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9260" windowHeight="4200" tabRatio="565" activeTab="2"/>
  </bookViews>
  <sheets>
    <sheet name="Inputs &amp; Results" sheetId="1" r:id="rId1"/>
    <sheet name="All Equity Partnership Flip" sheetId="8" r:id="rId2"/>
    <sheet name="Leveraged Partnership Flip" sheetId="2" r:id="rId3"/>
    <sheet name="Sale Leaseback" sheetId="10" r:id="rId4"/>
    <sheet name="Single Owner" sheetId="7" r:id="rId5"/>
    <sheet name="Depreciation Schedules" sheetId="4" r:id="rId6"/>
    <sheet name="Changes to v3" sheetId="11" r:id="rId7"/>
    <sheet name="Changes to v1" sheetId="5" r:id="rId8"/>
    <sheet name="Changes to v2" sheetId="6" r:id="rId9"/>
    <sheet name="Notes" sheetId="3" r:id="rId10"/>
  </sheets>
  <definedNames>
    <definedName name="AEPFFlipTarget">'Inputs &amp; Results'!$B$211</definedName>
    <definedName name="AEPFFlipTargetYear">'Inputs &amp; Results'!$B$212</definedName>
    <definedName name="AEPFInstalledCostTotal">'Inputs &amp; Results'!$B$160</definedName>
    <definedName name="AEPFPPAPrice">'Inputs &amp; Results'!$B$76</definedName>
    <definedName name="AEPFPPAPriceEsc">'Inputs &amp; Results'!$B$77</definedName>
    <definedName name="AEPFTEInvestment">'Inputs &amp; Results'!$B$181</definedName>
    <definedName name="AEPFTEPostFlipCash">'Inputs &amp; Results'!$B$193</definedName>
    <definedName name="AEPFTEPostFlipTax">'Inputs &amp; Results'!$B$200</definedName>
    <definedName name="AEPFTEPreFlipCash">'Inputs &amp; Results'!$B$192</definedName>
    <definedName name="AEPFTEPreFlipTax">'Inputs &amp; Results'!$B$199</definedName>
    <definedName name="AnalysisPeriod">'Inputs &amp; Results'!$F$12</definedName>
    <definedName name="BOP">'Inputs &amp; Results'!$B$5</definedName>
    <definedName name="CapacityAC">'Inputs &amp; Results'!$F$9</definedName>
    <definedName name="CapacityConversion">'Inputs &amp; Results'!$F$8</definedName>
    <definedName name="CapacityDC">'Inputs &amp; Results'!$F$7</definedName>
    <definedName name="CapitalRecoveryDuration">'Inputs &amp; Results'!$B$188</definedName>
    <definedName name="CapitalRecoveryMethod">'Inputs &amp; Results'!$B$187</definedName>
    <definedName name="CBIFed">'Inputs &amp; Results'!$B$60</definedName>
    <definedName name="CBIFedFedDeprec">'Inputs &amp; Results'!$K$60</definedName>
    <definedName name="CBIFedFedTax">'Inputs &amp; Results'!$I$60</definedName>
    <definedName name="CBIFedStateDeprec">'Inputs &amp; Results'!$L$60</definedName>
    <definedName name="CBIFedStateTax">'Inputs &amp; Results'!$J$60</definedName>
    <definedName name="CBIOther">'Inputs &amp; Results'!$B$63</definedName>
    <definedName name="CBIOtherFedDeprec">'Inputs &amp; Results'!$K$63</definedName>
    <definedName name="CBIOtherFedTax">'Inputs &amp; Results'!$I$63</definedName>
    <definedName name="CBIOtherStateDeprec">'Inputs &amp; Results'!$L$63</definedName>
    <definedName name="CBIOtherStateTax">'Inputs &amp; Results'!$J$63</definedName>
    <definedName name="CBIState">'Inputs &amp; Results'!$B$61</definedName>
    <definedName name="CBIStateFedDeprec">'Inputs &amp; Results'!$K$61</definedName>
    <definedName name="CBIStateFedTax">'Inputs &amp; Results'!$I$61</definedName>
    <definedName name="CBIStateStateDeprec">'Inputs &amp; Results'!$L$61</definedName>
    <definedName name="CBIStateStateTax">'Inputs &amp; Results'!$J$61</definedName>
    <definedName name="CBIUtility">'Inputs &amp; Results'!$B$62</definedName>
    <definedName name="CBIUtilityFedDeprec">'Inputs &amp; Results'!$K$62</definedName>
    <definedName name="CBIUtilityFedTax">'Inputs &amp; Results'!$I$62</definedName>
    <definedName name="CBIUtilityStateDeprec">'Inputs &amp; Results'!$L$62</definedName>
    <definedName name="CBIUtilityStateTax">'Inputs &amp; Results'!$J$62</definedName>
    <definedName name="ContingencyCost">'Inputs &amp; Results'!$B$10</definedName>
    <definedName name="DevCost">'Inputs &amp; Results'!$B$13</definedName>
    <definedName name="DiscountRate">'Inputs &amp; Results'!$F$14</definedName>
    <definedName name="FedBasisReduction">'Inputs &amp; Results'!$K$65</definedName>
    <definedName name="FedBonusDeprec">'Inputs &amp; Results'!$B$245</definedName>
    <definedName name="FedPTCAmount">'Inputs &amp; Results'!$B$42</definedName>
    <definedName name="FedPTCTerm">'Inputs &amp; Results'!$C$42</definedName>
    <definedName name="FedTax">'Inputs &amp; Results'!$J$3</definedName>
    <definedName name="GenerationEquipment">'Inputs &amp; Results'!$B$4</definedName>
    <definedName name="IBIFedFixed">'Inputs &amp; Results'!$B$50</definedName>
    <definedName name="IBIFedFixedFedDeprec">'Inputs &amp; Results'!$K$50</definedName>
    <definedName name="IBIFedFixedFedTax">'Inputs &amp; Results'!$I$50</definedName>
    <definedName name="IBIFedFixedStateDeprec">'Inputs &amp; Results'!$L$50</definedName>
    <definedName name="IBIFedFixedStateTax">'Inputs &amp; Results'!$J$50</definedName>
    <definedName name="IBIFedPercent">'Inputs &amp; Results'!$B$55</definedName>
    <definedName name="IBIFedPercentFedDeprec">'Inputs &amp; Results'!$K$55</definedName>
    <definedName name="IBIFedPercentFedTax">'Inputs &amp; Results'!$I$55</definedName>
    <definedName name="IBIFedPercentStateDeprec">'Inputs &amp; Results'!$L$55</definedName>
    <definedName name="IBIFedPercentStateTax">'Inputs &amp; Results'!$J$55</definedName>
    <definedName name="IBIOtherFixed">'Inputs &amp; Results'!$B$53</definedName>
    <definedName name="IBIOtherFixedFedDeprec">'Inputs &amp; Results'!$K$53</definedName>
    <definedName name="IBIOtherFixedFedTax">'Inputs &amp; Results'!$I$53</definedName>
    <definedName name="IBIOtherFixedStateDeprec">'Inputs &amp; Results'!$L$53</definedName>
    <definedName name="IBIOtherFixedStateTax">'Inputs &amp; Results'!$J$53</definedName>
    <definedName name="IBIOtherPercent">'Inputs &amp; Results'!$B$58</definedName>
    <definedName name="IBIOtherPercentFedDeprec">'Inputs &amp; Results'!$K$58</definedName>
    <definedName name="IBIOtherPercentFedTax">'Inputs &amp; Results'!$I$58</definedName>
    <definedName name="IBIOtherPercentStateDeprec">'Inputs &amp; Results'!$L$58</definedName>
    <definedName name="IBIOtherPercentStateTax">'Inputs &amp; Results'!$J$58</definedName>
    <definedName name="IBIStateFixed">'Inputs &amp; Results'!$B$51</definedName>
    <definedName name="IBIStateFixedFedDeprec">'Inputs &amp; Results'!$K$51</definedName>
    <definedName name="IBIStateFixedFedTax">'Inputs &amp; Results'!$I$51</definedName>
    <definedName name="IBIStateFixedStateDeprec">'Inputs &amp; Results'!$L$51</definedName>
    <definedName name="IBIStateFixedStateTax">'Inputs &amp; Results'!$J$51</definedName>
    <definedName name="IBIStatePercent">'Inputs &amp; Results'!$B$56</definedName>
    <definedName name="IBIStatePercentFedDeprec">'Inputs &amp; Results'!$K$56</definedName>
    <definedName name="IBIStatePercentFedTax">'Inputs &amp; Results'!$I$56</definedName>
    <definedName name="IBIStatePercentStateDeprec">'Inputs &amp; Results'!$L$56</definedName>
    <definedName name="IBIStatePercentStateTax">'Inputs &amp; Results'!$J$56</definedName>
    <definedName name="IBIUtilityFixed">'Inputs &amp; Results'!$B$52</definedName>
    <definedName name="IBIUtilityFixedFedDeprec">'Inputs &amp; Results'!$K$52</definedName>
    <definedName name="IBIUtilityFixedFedTax">'Inputs &amp; Results'!$I$52</definedName>
    <definedName name="IBIUtilityFixedStateDeprec">'Inputs &amp; Results'!$L$52</definedName>
    <definedName name="IBIUtilityFixedStateTax">'Inputs &amp; Results'!$J$52</definedName>
    <definedName name="IBIUtilityPercent">'Inputs &amp; Results'!$B$57</definedName>
    <definedName name="IBIUtilityPercentFedDeprec">'Inputs &amp; Results'!$K$57</definedName>
    <definedName name="IBIUtilityPercentFedTax">'Inputs &amp; Results'!$I$57</definedName>
    <definedName name="IBIUtilityPercentStateDeprec">'Inputs &amp; Results'!$L$57</definedName>
    <definedName name="IBIUtilityPercentStateTax">'Inputs &amp; Results'!$J$57</definedName>
    <definedName name="Inflation">'Inputs &amp; Results'!$F$13</definedName>
    <definedName name="InterestOnReserves">'Inputs &amp; Results'!$F$15</definedName>
    <definedName name="ITCFedFixed">'Inputs &amp; Results'!$B$34</definedName>
    <definedName name="ITCFedFixedFedDeprec">'Inputs &amp; Results'!$D$34</definedName>
    <definedName name="ITCFedFixedStateDeprec">'Inputs &amp; Results'!$E$34</definedName>
    <definedName name="ITCFedMax">'Inputs &amp; Results'!$C$38</definedName>
    <definedName name="ITCFedPercent">'Inputs &amp; Results'!$B$38</definedName>
    <definedName name="ITCFedPercentFedDeprec">'Inputs &amp; Results'!$D$38</definedName>
    <definedName name="ITCFedPercentStateDeprec">'Inputs &amp; Results'!$E$38</definedName>
    <definedName name="ITCStateFixed">'Inputs &amp; Results'!$B$35</definedName>
    <definedName name="ITCStateFixedFedDeprec">'Inputs &amp; Results'!$D$35</definedName>
    <definedName name="ITCStateFixedStateDeprec">'Inputs &amp; Results'!$E$35</definedName>
    <definedName name="ITCStateMax">'Inputs &amp; Results'!$C$39</definedName>
    <definedName name="ITCStatePercent">'Inputs &amp; Results'!$B$39</definedName>
    <definedName name="ITCStatePercentFedDeprec">'Inputs &amp; Results'!$D$39</definedName>
    <definedName name="ITCStatePercentStateDeprec">'Inputs &amp; Results'!$E$39</definedName>
    <definedName name="LandImprovements">'Inputs &amp; Results'!$B$14</definedName>
    <definedName name="LeaseReserveMonths">'Inputs &amp; Results'!$D$209</definedName>
    <definedName name="LeveragedFlipPPAPrice">'Inputs &amp; Results'!$C$76</definedName>
    <definedName name="LeveragedFlipPPAPriceEsc">'Inputs &amp; Results'!$C$77</definedName>
    <definedName name="LPFDebtAmount">'Inputs &amp; Results'!$C$136</definedName>
    <definedName name="LPFDebtRate">'Inputs &amp; Results'!$C$139</definedName>
    <definedName name="LPFDebtTerm">'Inputs &amp; Results'!$C$138</definedName>
    <definedName name="LPFDSCR">'Inputs &amp; Results'!$C$140</definedName>
    <definedName name="LPFDSRASize">'Inputs &amp; Results'!$C$141</definedName>
    <definedName name="LPFFlipTarget">'Inputs &amp; Results'!$C$211</definedName>
    <definedName name="LPFFlipTargetYear">'Inputs &amp; Results'!$C$212</definedName>
    <definedName name="LPFInstalledCostTotal">'Inputs &amp; Results'!$C$160</definedName>
    <definedName name="LPFTEInvestment">'Inputs &amp; Results'!$C$181</definedName>
    <definedName name="LPFTEPostFlipCash">'Inputs &amp; Results'!$C$193</definedName>
    <definedName name="LPFTEPostFlipTax">'Inputs &amp; Results'!$C$200</definedName>
    <definedName name="LPFTEPreFlipCash">'Inputs &amp; Results'!$C$192</definedName>
    <definedName name="LPFTEPreFlipTax">'Inputs &amp; Results'!$C$199</definedName>
    <definedName name="MMCost">'Inputs &amp; Results'!$J$16</definedName>
    <definedName name="MMCost2">'Inputs &amp; Results'!$J$20</definedName>
    <definedName name="MMCost3">'Inputs &amp; Results'!$J$24</definedName>
    <definedName name="MMFedTaxTreatment">'Inputs &amp; Results'!$J$29</definedName>
    <definedName name="MMFrequency">'Inputs &amp; Results'!$J$18</definedName>
    <definedName name="MMFrequency2">'Inputs &amp; Results'!$J$22</definedName>
    <definedName name="MMFrequency3">'Inputs &amp; Results'!$J$26</definedName>
    <definedName name="MMStateTaxTreatment">'Inputs &amp; Results'!$J$28</definedName>
    <definedName name="NetworkUpgrades">'Inputs &amp; Results'!$B$6</definedName>
    <definedName name="OMCapacity">'Inputs &amp; Results'!$F$22</definedName>
    <definedName name="OMCapacityRealEsc">'Inputs &amp; Results'!$F$23</definedName>
    <definedName name="OMFixedAnnual">'Inputs &amp; Results'!$F$19</definedName>
    <definedName name="OMFixedAnnualRealEsc">'Inputs &amp; Results'!$F$20</definedName>
    <definedName name="OMVariable">'Inputs &amp; Results'!$F$25</definedName>
    <definedName name="OMVariableRealEsc">'Inputs &amp; Results'!$F$26</definedName>
    <definedName name="Other">'Inputs &amp; Results'!$B$15</definedName>
    <definedName name="PBIFed">'Inputs &amp; Results'!$D$67</definedName>
    <definedName name="PBIFedDebtSwitch">'Inputs &amp; Results'!$M$67</definedName>
    <definedName name="PBIFedEsc">'Inputs &amp; Results'!$H$67</definedName>
    <definedName name="PBIFedFedTax">'Inputs &amp; Results'!$I$67</definedName>
    <definedName name="PBIFedStateTax">'Inputs &amp; Results'!$J$67</definedName>
    <definedName name="PBIFedTerm">'Inputs &amp; Results'!$G$67</definedName>
    <definedName name="PBIOther">'Inputs &amp; Results'!$D$70</definedName>
    <definedName name="PBIOtherDebtSwitch">'Inputs &amp; Results'!$M$70</definedName>
    <definedName name="PBIOtherEsc">'Inputs &amp; Results'!$H$70</definedName>
    <definedName name="PBIOtherFedTax">'Inputs &amp; Results'!$I$70</definedName>
    <definedName name="PBIOtherStateTax">'Inputs &amp; Results'!$J$70</definedName>
    <definedName name="PBIOtherTerm">'Inputs &amp; Results'!$G$70</definedName>
    <definedName name="PBIState">'Inputs &amp; Results'!$D$68</definedName>
    <definedName name="PBIStateDebtSwitch">'Inputs &amp; Results'!$M$68</definedName>
    <definedName name="PBIStateEsc">'Inputs &amp; Results'!$H$68</definedName>
    <definedName name="PBIStateFedTax">'Inputs &amp; Results'!$I$68</definedName>
    <definedName name="PBIStateStateTax">'Inputs &amp; Results'!$J$68</definedName>
    <definedName name="PBIStateTerm">'Inputs &amp; Results'!$G$68</definedName>
    <definedName name="PBIUtility">'Inputs &amp; Results'!$D$69</definedName>
    <definedName name="PBIUtilityDebtSwitch">'Inputs &amp; Results'!$M$69</definedName>
    <definedName name="PBIUtilityEsc">'Inputs &amp; Results'!$H$69</definedName>
    <definedName name="PBIUtilityFedTax">'Inputs &amp; Results'!$I$69</definedName>
    <definedName name="PBIUtilityStateTax">'Inputs &amp; Results'!$J$69</definedName>
    <definedName name="PBIUtilityTerm">'Inputs &amp; Results'!$G$69</definedName>
    <definedName name="PreFinancingInstalledCostTotal">'Inputs &amp; Results'!$B$21</definedName>
    <definedName name="_xlnm.Print_Area" localSheetId="7">'Changes to v1'!$A$1:$C$18</definedName>
    <definedName name="_xlnm.Print_Area" localSheetId="8">'Changes to v2'!$A$1:$C$16</definedName>
    <definedName name="_xlnm.Print_Area" localSheetId="6">'Changes to v3'!$A$1:$C$22</definedName>
    <definedName name="_xlnm.Print_Area" localSheetId="0">'Inputs &amp; Results'!$A$1:$O$70,'Inputs &amp; Results'!$A$72:$K$269</definedName>
    <definedName name="_xlnm.Print_Area" localSheetId="9">Notes!$A$1:$B$39</definedName>
    <definedName name="_xlnm.Print_Titles" localSheetId="1">'All Equity Partnership Flip'!$A:$A,'All Equity Partnership Flip'!$1:$2</definedName>
    <definedName name="_xlnm.Print_Titles" localSheetId="2">'Leveraged Partnership Flip'!$A:$A,'Leveraged Partnership Flip'!$1:$2</definedName>
    <definedName name="_xlnm.Print_Titles" localSheetId="3">'Sale Leaseback'!$A:$A,'Sale Leaseback'!$1:$2</definedName>
    <definedName name="_xlnm.Print_Titles" localSheetId="4">'Single Owner'!$A:$A,'Single Owner'!$1:$2</definedName>
    <definedName name="PropertyTaxRate">'Inputs &amp; Results'!$J$10</definedName>
    <definedName name="ReturnTime1">'Inputs &amp; Results'!$B$85</definedName>
    <definedName name="ReturnTime2">'Inputs &amp; Results'!$B$86</definedName>
    <definedName name="SalesTaxQualification">'Inputs &amp; Results'!$B$18</definedName>
    <definedName name="SalesTaxRate">'Inputs &amp; Results'!$J$11</definedName>
    <definedName name="SalesTaxTotal">'Inputs &amp; Results'!$B$19</definedName>
    <definedName name="SalvageValue">'Inputs &amp; Results'!$J$32</definedName>
    <definedName name="SLDevMargin">'Inputs &amp; Results'!$D$207</definedName>
    <definedName name="SLDevMarginEsc">'Inputs &amp; Results'!$D$208</definedName>
    <definedName name="SLInstalledCostTotal">'Inputs &amp; Results'!$D$160</definedName>
    <definedName name="SLPPAPrice">'Inputs &amp; Results'!$D$76</definedName>
    <definedName name="SLPPAPriceEsc">'Inputs &amp; Results'!$D$77</definedName>
    <definedName name="SLReturnTarget">'Inputs &amp; Results'!$D$211</definedName>
    <definedName name="SLReturnTargetYear">'Inputs &amp; Results'!$D$212</definedName>
    <definedName name="SLTEInvestment">'Inputs &amp; Results'!$D$181</definedName>
    <definedName name="SODebtAmount">'Inputs &amp; Results'!$E$136</definedName>
    <definedName name="SODebtRate">'Inputs &amp; Results'!$E$139</definedName>
    <definedName name="SODebtTerm">'Inputs &amp; Results'!$E$138</definedName>
    <definedName name="SODSCR">'Inputs &amp; Results'!$E$140</definedName>
    <definedName name="SODSRASize">'Inputs &amp; Results'!$E$141</definedName>
    <definedName name="SOInstalledCostTotal">'Inputs &amp; Results'!$E$160</definedName>
    <definedName name="solver_adj" localSheetId="0" hidden="1">'Inputs &amp; Results'!$C$76</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 &amp; Results'!$C$82</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OPPAPrice">'Inputs &amp; Results'!$E$76</definedName>
    <definedName name="SOPPAPriceEsc">'Inputs &amp; Results'!$E$77</definedName>
    <definedName name="SOReturnTarget">'Inputs &amp; Results'!$E$211</definedName>
    <definedName name="SOReturnTargetYear">'Inputs &amp; Results'!$E$212</definedName>
    <definedName name="StateBasisReduction">'Inputs &amp; Results'!$L$65</definedName>
    <definedName name="StateBonusDeprec">'Inputs &amp; Results'!$B$236</definedName>
    <definedName name="StatePTCAmount">'Inputs &amp; Results'!$B$43</definedName>
    <definedName name="StatePTCTerm">'Inputs &amp; Results'!$C$43</definedName>
    <definedName name="StateTax">'Inputs &amp; Results'!$J$4</definedName>
    <definedName name="TotalHardCosts">'Inputs &amp; Results'!$B$11</definedName>
    <definedName name="TotalSoftCosts">'Inputs &amp; Results'!$B$20</definedName>
  </definedNames>
  <calcPr calcId="125725" iterateCount="200" iterateDelta="1E-4"/>
</workbook>
</file>

<file path=xl/calcChain.xml><?xml version="1.0" encoding="utf-8"?>
<calcChain xmlns="http://schemas.openxmlformats.org/spreadsheetml/2006/main">
  <c r="J25" i="1"/>
  <c r="AP252" i="10"/>
  <c r="AO252"/>
  <c r="AN252"/>
  <c r="AM252"/>
  <c r="AL252"/>
  <c r="AK252"/>
  <c r="AJ252"/>
  <c r="AI252"/>
  <c r="AH252"/>
  <c r="AG252"/>
  <c r="AF252"/>
  <c r="AE252"/>
  <c r="AD252"/>
  <c r="AC252"/>
  <c r="AB252"/>
  <c r="AA252"/>
  <c r="Z252"/>
  <c r="Y252"/>
  <c r="X252"/>
  <c r="W252"/>
  <c r="V252"/>
  <c r="U252"/>
  <c r="T252"/>
  <c r="S252"/>
  <c r="R252"/>
  <c r="Q252"/>
  <c r="P252"/>
  <c r="O252"/>
  <c r="N252"/>
  <c r="M252"/>
  <c r="L252"/>
  <c r="K252"/>
  <c r="J252"/>
  <c r="I252"/>
  <c r="H252"/>
  <c r="G252"/>
  <c r="F252"/>
  <c r="E252"/>
  <c r="D252"/>
  <c r="AP169" i="7"/>
  <c r="AO169"/>
  <c r="AN169"/>
  <c r="AM169"/>
  <c r="AL169"/>
  <c r="AK169"/>
  <c r="AJ169"/>
  <c r="AI169"/>
  <c r="AH169"/>
  <c r="AG169"/>
  <c r="AF169"/>
  <c r="AE169"/>
  <c r="AD169"/>
  <c r="AC169"/>
  <c r="AB169"/>
  <c r="AA169"/>
  <c r="Z169"/>
  <c r="Y169"/>
  <c r="X169"/>
  <c r="W169"/>
  <c r="V169"/>
  <c r="U169"/>
  <c r="T169"/>
  <c r="S169"/>
  <c r="R169"/>
  <c r="Q169"/>
  <c r="P169"/>
  <c r="O169"/>
  <c r="N169"/>
  <c r="M169"/>
  <c r="L169"/>
  <c r="K169"/>
  <c r="J169"/>
  <c r="I169"/>
  <c r="H169"/>
  <c r="G169"/>
  <c r="F169"/>
  <c r="E169"/>
  <c r="D169"/>
  <c r="AP243" i="2"/>
  <c r="AO243"/>
  <c r="AN243"/>
  <c r="AM243"/>
  <c r="AL243"/>
  <c r="AK243"/>
  <c r="AJ243"/>
  <c r="AI243"/>
  <c r="AH243"/>
  <c r="AG243"/>
  <c r="AF243"/>
  <c r="AE243"/>
  <c r="AD243"/>
  <c r="AC243"/>
  <c r="AB243"/>
  <c r="AA243"/>
  <c r="Z243"/>
  <c r="Y243"/>
  <c r="X243"/>
  <c r="W243"/>
  <c r="V243"/>
  <c r="U243"/>
  <c r="T243"/>
  <c r="S243"/>
  <c r="R243"/>
  <c r="Q243"/>
  <c r="P243"/>
  <c r="O243"/>
  <c r="N243"/>
  <c r="M243"/>
  <c r="L243"/>
  <c r="K243"/>
  <c r="J243"/>
  <c r="I243"/>
  <c r="H243"/>
  <c r="G243"/>
  <c r="F243"/>
  <c r="E243"/>
  <c r="D243"/>
  <c r="D240" i="8"/>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P209" i="10"/>
  <c r="AO209"/>
  <c r="AN209"/>
  <c r="AM209"/>
  <c r="AL209"/>
  <c r="AK209"/>
  <c r="AJ209"/>
  <c r="AI209"/>
  <c r="AH209"/>
  <c r="AG209"/>
  <c r="AF209"/>
  <c r="AE209"/>
  <c r="AD209"/>
  <c r="AC209"/>
  <c r="AB209"/>
  <c r="AA209"/>
  <c r="Z209"/>
  <c r="Y209"/>
  <c r="X209"/>
  <c r="W209"/>
  <c r="V209"/>
  <c r="U209"/>
  <c r="T209"/>
  <c r="S209"/>
  <c r="R209"/>
  <c r="Q209"/>
  <c r="P209"/>
  <c r="O209"/>
  <c r="N209"/>
  <c r="M209"/>
  <c r="L209"/>
  <c r="K209"/>
  <c r="J209"/>
  <c r="I209"/>
  <c r="H209"/>
  <c r="G209"/>
  <c r="F209"/>
  <c r="E209"/>
  <c r="D209"/>
  <c r="B209"/>
  <c r="A123" i="1"/>
  <c r="A120"/>
  <c r="A117"/>
  <c r="A114"/>
  <c r="A110"/>
  <c r="A107"/>
  <c r="A104"/>
  <c r="A101"/>
  <c r="A97"/>
  <c r="A94"/>
  <c r="A91"/>
  <c r="A88"/>
  <c r="B308" i="10"/>
  <c r="B291"/>
  <c r="B283"/>
  <c r="B299" s="1"/>
  <c r="B282"/>
  <c r="B298" s="1"/>
  <c r="B281"/>
  <c r="B297" s="1"/>
  <c r="B280"/>
  <c r="B296" s="1"/>
  <c r="G451"/>
  <c r="G452"/>
  <c r="G453"/>
  <c r="G454"/>
  <c r="G455"/>
  <c r="E451"/>
  <c r="E452"/>
  <c r="E453"/>
  <c r="E454"/>
  <c r="E455"/>
  <c r="D452"/>
  <c r="D453"/>
  <c r="D454"/>
  <c r="D455"/>
  <c r="D451"/>
  <c r="G318"/>
  <c r="G319"/>
  <c r="G320"/>
  <c r="G321"/>
  <c r="G317"/>
  <c r="G341" i="7"/>
  <c r="G342"/>
  <c r="G343"/>
  <c r="G344"/>
  <c r="G345"/>
  <c r="E341"/>
  <c r="E342"/>
  <c r="E343"/>
  <c r="E344"/>
  <c r="E345"/>
  <c r="D342"/>
  <c r="D343"/>
  <c r="D344"/>
  <c r="D345"/>
  <c r="D341"/>
  <c r="G208"/>
  <c r="G209"/>
  <c r="G210"/>
  <c r="G211"/>
  <c r="G207"/>
  <c r="G415" i="2"/>
  <c r="G416"/>
  <c r="G417"/>
  <c r="G418"/>
  <c r="G419"/>
  <c r="G281"/>
  <c r="G282"/>
  <c r="G283"/>
  <c r="G284"/>
  <c r="G285"/>
  <c r="G278" i="8"/>
  <c r="G279"/>
  <c r="G280"/>
  <c r="G281"/>
  <c r="G282"/>
  <c r="G412"/>
  <c r="G413"/>
  <c r="G414"/>
  <c r="G415"/>
  <c r="G416"/>
  <c r="D207" i="1" l="1"/>
  <c r="B182" i="10"/>
  <c r="B199" s="1"/>
  <c r="B56" l="1"/>
  <c r="D80" i="1" l="1"/>
  <c r="B183" i="10"/>
  <c r="B200" s="1"/>
  <c r="B162"/>
  <c r="B161"/>
  <c r="AP274"/>
  <c r="AO274"/>
  <c r="AN274"/>
  <c r="AM274"/>
  <c r="AL274"/>
  <c r="AK274"/>
  <c r="AJ274"/>
  <c r="AI274"/>
  <c r="AH274"/>
  <c r="AG274"/>
  <c r="AF274"/>
  <c r="AE274"/>
  <c r="AD274"/>
  <c r="AC274"/>
  <c r="AB274"/>
  <c r="AA274"/>
  <c r="Z274"/>
  <c r="Y274"/>
  <c r="X274"/>
  <c r="W274"/>
  <c r="V274"/>
  <c r="U274"/>
  <c r="T274"/>
  <c r="S274"/>
  <c r="R274"/>
  <c r="Q274"/>
  <c r="P274"/>
  <c r="O274"/>
  <c r="N274"/>
  <c r="M274"/>
  <c r="L274"/>
  <c r="K274"/>
  <c r="J274"/>
  <c r="I274"/>
  <c r="H274"/>
  <c r="G274"/>
  <c r="F274"/>
  <c r="E274"/>
  <c r="D274"/>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P266" i="8"/>
  <c r="AO266"/>
  <c r="AN266"/>
  <c r="AM266"/>
  <c r="AL266"/>
  <c r="AK266"/>
  <c r="AJ266"/>
  <c r="AI266"/>
  <c r="AH266"/>
  <c r="AG266"/>
  <c r="AF266"/>
  <c r="AE266"/>
  <c r="AD266"/>
  <c r="AC266"/>
  <c r="AB266"/>
  <c r="AA266"/>
  <c r="Z266"/>
  <c r="Y266"/>
  <c r="X266"/>
  <c r="W266"/>
  <c r="V266"/>
  <c r="U266"/>
  <c r="T266"/>
  <c r="S266"/>
  <c r="R266"/>
  <c r="Q266"/>
  <c r="P266"/>
  <c r="O266"/>
  <c r="N266"/>
  <c r="M266"/>
  <c r="L266"/>
  <c r="K266"/>
  <c r="J266"/>
  <c r="I266"/>
  <c r="H266"/>
  <c r="G266"/>
  <c r="F266"/>
  <c r="E266"/>
  <c r="D266"/>
  <c r="AP265"/>
  <c r="AO265"/>
  <c r="AN265"/>
  <c r="AM265"/>
  <c r="AL265"/>
  <c r="AK265"/>
  <c r="AJ265"/>
  <c r="AI265"/>
  <c r="AH265"/>
  <c r="AG265"/>
  <c r="AF265"/>
  <c r="AE265"/>
  <c r="AD265"/>
  <c r="AC265"/>
  <c r="AB265"/>
  <c r="AA265"/>
  <c r="Z265"/>
  <c r="Y265"/>
  <c r="X265"/>
  <c r="W265"/>
  <c r="V265"/>
  <c r="U265"/>
  <c r="T265"/>
  <c r="S265"/>
  <c r="R265"/>
  <c r="Q265"/>
  <c r="P265"/>
  <c r="O265"/>
  <c r="N265"/>
  <c r="M265"/>
  <c r="L265"/>
  <c r="K265"/>
  <c r="J265"/>
  <c r="I265"/>
  <c r="H265"/>
  <c r="G265"/>
  <c r="F265"/>
  <c r="E265"/>
  <c r="D265"/>
  <c r="AP264"/>
  <c r="AO264"/>
  <c r="AN264"/>
  <c r="AM264"/>
  <c r="AL264"/>
  <c r="AK264"/>
  <c r="AJ264"/>
  <c r="AI264"/>
  <c r="AH264"/>
  <c r="AG264"/>
  <c r="AF264"/>
  <c r="AE264"/>
  <c r="AD264"/>
  <c r="AC264"/>
  <c r="AB264"/>
  <c r="AA264"/>
  <c r="Z264"/>
  <c r="Y264"/>
  <c r="X264"/>
  <c r="W264"/>
  <c r="V264"/>
  <c r="U264"/>
  <c r="T264"/>
  <c r="S264"/>
  <c r="R264"/>
  <c r="Q264"/>
  <c r="P264"/>
  <c r="O264"/>
  <c r="N264"/>
  <c r="M264"/>
  <c r="L264"/>
  <c r="K264"/>
  <c r="J264"/>
  <c r="I264"/>
  <c r="H264"/>
  <c r="G264"/>
  <c r="F264"/>
  <c r="E264"/>
  <c r="D264"/>
  <c r="AP263"/>
  <c r="AO263"/>
  <c r="AN263"/>
  <c r="AM263"/>
  <c r="AL263"/>
  <c r="AK263"/>
  <c r="AJ263"/>
  <c r="AI263"/>
  <c r="AH263"/>
  <c r="AG263"/>
  <c r="AF263"/>
  <c r="AE263"/>
  <c r="AD263"/>
  <c r="AC263"/>
  <c r="AB263"/>
  <c r="AA263"/>
  <c r="Z263"/>
  <c r="Y263"/>
  <c r="X263"/>
  <c r="W263"/>
  <c r="V263"/>
  <c r="U263"/>
  <c r="T263"/>
  <c r="S263"/>
  <c r="R263"/>
  <c r="Q263"/>
  <c r="P263"/>
  <c r="O263"/>
  <c r="N263"/>
  <c r="M263"/>
  <c r="L263"/>
  <c r="K263"/>
  <c r="J263"/>
  <c r="I263"/>
  <c r="H263"/>
  <c r="G263"/>
  <c r="F263"/>
  <c r="E263"/>
  <c r="D263"/>
  <c r="C266"/>
  <c r="C265"/>
  <c r="C264"/>
  <c r="C263"/>
  <c r="AP228"/>
  <c r="AO228"/>
  <c r="AN228"/>
  <c r="AM228"/>
  <c r="AL228"/>
  <c r="AK228"/>
  <c r="AJ228"/>
  <c r="AI228"/>
  <c r="AH228"/>
  <c r="AG228"/>
  <c r="AF228"/>
  <c r="AE228"/>
  <c r="AD228"/>
  <c r="AC228"/>
  <c r="AB228"/>
  <c r="AA228"/>
  <c r="Z228"/>
  <c r="Y228"/>
  <c r="X228"/>
  <c r="W228"/>
  <c r="V228"/>
  <c r="U228"/>
  <c r="T228"/>
  <c r="S228"/>
  <c r="R228"/>
  <c r="Q228"/>
  <c r="P228"/>
  <c r="O228"/>
  <c r="N228"/>
  <c r="M228"/>
  <c r="L228"/>
  <c r="K228"/>
  <c r="J228"/>
  <c r="I228"/>
  <c r="H228"/>
  <c r="G228"/>
  <c r="F228"/>
  <c r="E228"/>
  <c r="D228"/>
  <c r="AP227"/>
  <c r="AO227"/>
  <c r="AN227"/>
  <c r="AM227"/>
  <c r="AL227"/>
  <c r="AK227"/>
  <c r="AJ227"/>
  <c r="AI227"/>
  <c r="AH227"/>
  <c r="AG227"/>
  <c r="AF227"/>
  <c r="AE227"/>
  <c r="AD227"/>
  <c r="AC227"/>
  <c r="AB227"/>
  <c r="AA227"/>
  <c r="Z227"/>
  <c r="Y227"/>
  <c r="X227"/>
  <c r="W227"/>
  <c r="V227"/>
  <c r="U227"/>
  <c r="T227"/>
  <c r="S227"/>
  <c r="R227"/>
  <c r="Q227"/>
  <c r="P227"/>
  <c r="O227"/>
  <c r="N227"/>
  <c r="M227"/>
  <c r="L227"/>
  <c r="K227"/>
  <c r="J227"/>
  <c r="I227"/>
  <c r="H227"/>
  <c r="G227"/>
  <c r="F227"/>
  <c r="E227"/>
  <c r="D227"/>
  <c r="AP226"/>
  <c r="AO226"/>
  <c r="AN226"/>
  <c r="AM226"/>
  <c r="AL226"/>
  <c r="AK226"/>
  <c r="AJ226"/>
  <c r="AI226"/>
  <c r="AH226"/>
  <c r="AG226"/>
  <c r="AF226"/>
  <c r="AE226"/>
  <c r="AD226"/>
  <c r="AC226"/>
  <c r="AB226"/>
  <c r="AA226"/>
  <c r="Z226"/>
  <c r="Y226"/>
  <c r="X226"/>
  <c r="W226"/>
  <c r="V226"/>
  <c r="U226"/>
  <c r="T226"/>
  <c r="S226"/>
  <c r="R226"/>
  <c r="Q226"/>
  <c r="P226"/>
  <c r="O226"/>
  <c r="N226"/>
  <c r="M226"/>
  <c r="L226"/>
  <c r="K226"/>
  <c r="J226"/>
  <c r="I226"/>
  <c r="H226"/>
  <c r="G226"/>
  <c r="F226"/>
  <c r="E226"/>
  <c r="D226"/>
  <c r="AP225"/>
  <c r="AO225"/>
  <c r="AN225"/>
  <c r="AM225"/>
  <c r="AL225"/>
  <c r="AK225"/>
  <c r="AJ225"/>
  <c r="AI225"/>
  <c r="AH225"/>
  <c r="AG225"/>
  <c r="AF225"/>
  <c r="AE225"/>
  <c r="AD225"/>
  <c r="AC225"/>
  <c r="AB225"/>
  <c r="AA225"/>
  <c r="Z225"/>
  <c r="Y225"/>
  <c r="X225"/>
  <c r="W225"/>
  <c r="V225"/>
  <c r="U225"/>
  <c r="T225"/>
  <c r="S225"/>
  <c r="R225"/>
  <c r="Q225"/>
  <c r="P225"/>
  <c r="O225"/>
  <c r="N225"/>
  <c r="M225"/>
  <c r="L225"/>
  <c r="K225"/>
  <c r="J225"/>
  <c r="I225"/>
  <c r="H225"/>
  <c r="G225"/>
  <c r="F225"/>
  <c r="E225"/>
  <c r="D225"/>
  <c r="C228"/>
  <c r="C227"/>
  <c r="C226"/>
  <c r="C225"/>
  <c r="A642" i="10"/>
  <c r="B599" i="8"/>
  <c r="B638" i="10"/>
  <c r="B640" s="1"/>
  <c r="C11"/>
  <c r="A733"/>
  <c r="A734" s="1"/>
  <c r="A735" s="1"/>
  <c r="A736" s="1"/>
  <c r="A737" s="1"/>
  <c r="A738" s="1"/>
  <c r="A739" s="1"/>
  <c r="A740" s="1"/>
  <c r="A741" s="1"/>
  <c r="A721"/>
  <c r="A722" s="1"/>
  <c r="A723" s="1"/>
  <c r="A724" s="1"/>
  <c r="A725" s="1"/>
  <c r="A726" s="1"/>
  <c r="A727" s="1"/>
  <c r="A728" s="1"/>
  <c r="A729" s="1"/>
  <c r="B716"/>
  <c r="C713" s="1"/>
  <c r="A701"/>
  <c r="A702" s="1"/>
  <c r="A703" s="1"/>
  <c r="A704" s="1"/>
  <c r="A705" s="1"/>
  <c r="A706" s="1"/>
  <c r="A707" s="1"/>
  <c r="A708" s="1"/>
  <c r="A709" s="1"/>
  <c r="A689"/>
  <c r="A690" s="1"/>
  <c r="A691" s="1"/>
  <c r="A692" s="1"/>
  <c r="A693" s="1"/>
  <c r="A694" s="1"/>
  <c r="A695" s="1"/>
  <c r="A696" s="1"/>
  <c r="A697" s="1"/>
  <c r="B684"/>
  <c r="C681" s="1"/>
  <c r="A669"/>
  <c r="A670" s="1"/>
  <c r="A671" s="1"/>
  <c r="A672" s="1"/>
  <c r="A673" s="1"/>
  <c r="A674" s="1"/>
  <c r="A675" s="1"/>
  <c r="A676" s="1"/>
  <c r="A677" s="1"/>
  <c r="A657"/>
  <c r="A658" s="1"/>
  <c r="A659" s="1"/>
  <c r="A660" s="1"/>
  <c r="A661" s="1"/>
  <c r="A662" s="1"/>
  <c r="A663" s="1"/>
  <c r="A664" s="1"/>
  <c r="A665" s="1"/>
  <c r="B652"/>
  <c r="C649" s="1"/>
  <c r="A636"/>
  <c r="A628"/>
  <c r="A624"/>
  <c r="A620"/>
  <c r="A616"/>
  <c r="A612"/>
  <c r="A611"/>
  <c r="A342" s="1"/>
  <c r="A610"/>
  <c r="A341" s="1"/>
  <c r="A609"/>
  <c r="A340" s="1"/>
  <c r="A606"/>
  <c r="A337" s="1"/>
  <c r="A605"/>
  <c r="A336" s="1"/>
  <c r="A604"/>
  <c r="A335" s="1"/>
  <c r="A603"/>
  <c r="A334" s="1"/>
  <c r="A602"/>
  <c r="A333" s="1"/>
  <c r="C600"/>
  <c r="C260" s="1"/>
  <c r="A600"/>
  <c r="A331" s="1"/>
  <c r="C599"/>
  <c r="C259" s="1"/>
  <c r="A599"/>
  <c r="A330" s="1"/>
  <c r="C598"/>
  <c r="C258" s="1"/>
  <c r="A598"/>
  <c r="A329" s="1"/>
  <c r="C597"/>
  <c r="A597"/>
  <c r="A328" s="1"/>
  <c r="A596"/>
  <c r="A327" s="1"/>
  <c r="K457"/>
  <c r="K323"/>
  <c r="A571"/>
  <c r="A572" s="1"/>
  <c r="A573" s="1"/>
  <c r="A574" s="1"/>
  <c r="A575" s="1"/>
  <c r="A576" s="1"/>
  <c r="A577" s="1"/>
  <c r="A578" s="1"/>
  <c r="A579" s="1"/>
  <c r="A559"/>
  <c r="A560" s="1"/>
  <c r="A561" s="1"/>
  <c r="A562" s="1"/>
  <c r="A563" s="1"/>
  <c r="A564" s="1"/>
  <c r="A565" s="1"/>
  <c r="A566" s="1"/>
  <c r="A567" s="1"/>
  <c r="A545"/>
  <c r="A546" s="1"/>
  <c r="A547" s="1"/>
  <c r="A548" s="1"/>
  <c r="A549" s="1"/>
  <c r="A550" s="1"/>
  <c r="A551" s="1"/>
  <c r="A552" s="1"/>
  <c r="A553" s="1"/>
  <c r="A533"/>
  <c r="A534" s="1"/>
  <c r="A535" s="1"/>
  <c r="A536" s="1"/>
  <c r="A537" s="1"/>
  <c r="A538" s="1"/>
  <c r="A539" s="1"/>
  <c r="A540" s="1"/>
  <c r="A541" s="1"/>
  <c r="A519"/>
  <c r="A520" s="1"/>
  <c r="A521" s="1"/>
  <c r="A522" s="1"/>
  <c r="A523" s="1"/>
  <c r="A524" s="1"/>
  <c r="A525" s="1"/>
  <c r="A526" s="1"/>
  <c r="A527" s="1"/>
  <c r="A507"/>
  <c r="A508" s="1"/>
  <c r="A509" s="1"/>
  <c r="A510" s="1"/>
  <c r="A511" s="1"/>
  <c r="A512" s="1"/>
  <c r="A513" s="1"/>
  <c r="A514" s="1"/>
  <c r="A515" s="1"/>
  <c r="B501"/>
  <c r="B500"/>
  <c r="A479"/>
  <c r="B477"/>
  <c r="B476"/>
  <c r="B471"/>
  <c r="B470"/>
  <c r="B469"/>
  <c r="B468"/>
  <c r="B465"/>
  <c r="B464"/>
  <c r="B463"/>
  <c r="B462"/>
  <c r="P455"/>
  <c r="P454"/>
  <c r="P453"/>
  <c r="P452"/>
  <c r="A436"/>
  <c r="A437" s="1"/>
  <c r="A438" s="1"/>
  <c r="A439" s="1"/>
  <c r="A440" s="1"/>
  <c r="A441" s="1"/>
  <c r="A442" s="1"/>
  <c r="A443" s="1"/>
  <c r="A444" s="1"/>
  <c r="A424"/>
  <c r="A425" s="1"/>
  <c r="A426" s="1"/>
  <c r="A427" s="1"/>
  <c r="A428" s="1"/>
  <c r="A429" s="1"/>
  <c r="A430" s="1"/>
  <c r="A431" s="1"/>
  <c r="A432" s="1"/>
  <c r="A410"/>
  <c r="A411" s="1"/>
  <c r="A412" s="1"/>
  <c r="A413" s="1"/>
  <c r="A414" s="1"/>
  <c r="A415" s="1"/>
  <c r="A416" s="1"/>
  <c r="A417" s="1"/>
  <c r="A418" s="1"/>
  <c r="A398"/>
  <c r="A399" s="1"/>
  <c r="A400" s="1"/>
  <c r="A401" s="1"/>
  <c r="A402" s="1"/>
  <c r="A403" s="1"/>
  <c r="A404" s="1"/>
  <c r="A405" s="1"/>
  <c r="A406" s="1"/>
  <c r="A384"/>
  <c r="A385" s="1"/>
  <c r="A386" s="1"/>
  <c r="A387" s="1"/>
  <c r="A388" s="1"/>
  <c r="A389" s="1"/>
  <c r="A390" s="1"/>
  <c r="A391" s="1"/>
  <c r="A392" s="1"/>
  <c r="A373"/>
  <c r="A374" s="1"/>
  <c r="A375" s="1"/>
  <c r="A376" s="1"/>
  <c r="A377" s="1"/>
  <c r="A378" s="1"/>
  <c r="A379" s="1"/>
  <c r="A380" s="1"/>
  <c r="A381" s="1"/>
  <c r="B367"/>
  <c r="B366"/>
  <c r="A344"/>
  <c r="B343"/>
  <c r="A343"/>
  <c r="B342"/>
  <c r="A339"/>
  <c r="A338"/>
  <c r="B337"/>
  <c r="B336"/>
  <c r="B335"/>
  <c r="B334"/>
  <c r="A332"/>
  <c r="B331"/>
  <c r="B330"/>
  <c r="B329"/>
  <c r="B328"/>
  <c r="A326"/>
  <c r="P321"/>
  <c r="A321"/>
  <c r="P320"/>
  <c r="A320"/>
  <c r="A454" s="1"/>
  <c r="P319"/>
  <c r="A319"/>
  <c r="P318"/>
  <c r="A318"/>
  <c r="A452" s="1"/>
  <c r="A317"/>
  <c r="A316"/>
  <c r="A450" s="1"/>
  <c r="A307"/>
  <c r="A306"/>
  <c r="A305"/>
  <c r="A304"/>
  <c r="A272"/>
  <c r="A271"/>
  <c r="A270"/>
  <c r="A269"/>
  <c r="A268"/>
  <c r="A266"/>
  <c r="A265"/>
  <c r="A264"/>
  <c r="A263"/>
  <c r="A262"/>
  <c r="A260"/>
  <c r="A259"/>
  <c r="A258"/>
  <c r="A257"/>
  <c r="A256"/>
  <c r="A290"/>
  <c r="A289"/>
  <c r="A288"/>
  <c r="A287"/>
  <c r="A241"/>
  <c r="A240"/>
  <c r="A239"/>
  <c r="A238"/>
  <c r="A235"/>
  <c r="A234"/>
  <c r="A233"/>
  <c r="A232"/>
  <c r="A231"/>
  <c r="A229"/>
  <c r="A228"/>
  <c r="A227"/>
  <c r="A226"/>
  <c r="A225"/>
  <c r="B167"/>
  <c r="B159"/>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B114"/>
  <c r="AO108"/>
  <c r="AM108"/>
  <c r="AK108"/>
  <c r="AI108"/>
  <c r="AG108"/>
  <c r="AE108"/>
  <c r="AC108"/>
  <c r="AA108"/>
  <c r="Y108"/>
  <c r="W108"/>
  <c r="U108"/>
  <c r="S108"/>
  <c r="Q108"/>
  <c r="O108"/>
  <c r="M108"/>
  <c r="K108"/>
  <c r="I108"/>
  <c r="G108"/>
  <c r="E108"/>
  <c r="C108"/>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67"/>
  <c r="B66"/>
  <c r="B65"/>
  <c r="B62"/>
  <c r="B61"/>
  <c r="B60"/>
  <c r="B50"/>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C41" s="1"/>
  <c r="C183" s="1"/>
  <c r="C200" s="1"/>
  <c r="B49" i="8"/>
  <c r="B80" i="1"/>
  <c r="B173" i="8"/>
  <c r="B172"/>
  <c r="C601" i="10" l="1"/>
  <c r="C73"/>
  <c r="C94"/>
  <c r="E73"/>
  <c r="E94"/>
  <c r="G73"/>
  <c r="G94"/>
  <c r="I73"/>
  <c r="I94"/>
  <c r="K73"/>
  <c r="K94"/>
  <c r="M73"/>
  <c r="M94"/>
  <c r="O73"/>
  <c r="O94"/>
  <c r="Q73"/>
  <c r="Q94"/>
  <c r="S73"/>
  <c r="S94"/>
  <c r="U73"/>
  <c r="U94"/>
  <c r="W73"/>
  <c r="W94"/>
  <c r="Y73"/>
  <c r="Y94"/>
  <c r="AA73"/>
  <c r="AA94"/>
  <c r="AC73"/>
  <c r="AC94"/>
  <c r="AE73"/>
  <c r="AE94"/>
  <c r="AG73"/>
  <c r="AG94"/>
  <c r="AI73"/>
  <c r="AI94"/>
  <c r="AK73"/>
  <c r="AK94"/>
  <c r="AM73"/>
  <c r="AM94"/>
  <c r="AO73"/>
  <c r="AO94"/>
  <c r="D73"/>
  <c r="D94"/>
  <c r="F73"/>
  <c r="F94"/>
  <c r="H73"/>
  <c r="H94"/>
  <c r="J73"/>
  <c r="J94"/>
  <c r="L73"/>
  <c r="L94"/>
  <c r="N73"/>
  <c r="N94"/>
  <c r="P73"/>
  <c r="P94"/>
  <c r="R73"/>
  <c r="R94"/>
  <c r="T73"/>
  <c r="T94"/>
  <c r="V73"/>
  <c r="V94"/>
  <c r="X73"/>
  <c r="X94"/>
  <c r="Z73"/>
  <c r="Z94"/>
  <c r="AB73"/>
  <c r="AB94"/>
  <c r="AD73"/>
  <c r="AD94"/>
  <c r="AF73"/>
  <c r="AF94"/>
  <c r="AH73"/>
  <c r="AH94"/>
  <c r="AJ73"/>
  <c r="AJ94"/>
  <c r="AL73"/>
  <c r="AL94"/>
  <c r="AN73"/>
  <c r="AN94"/>
  <c r="AP73"/>
  <c r="AP94"/>
  <c r="C617"/>
  <c r="C621"/>
  <c r="C625"/>
  <c r="C629"/>
  <c r="B745"/>
  <c r="B332"/>
  <c r="C228"/>
  <c r="C229"/>
  <c r="C226"/>
  <c r="C227"/>
  <c r="C645"/>
  <c r="C181" s="1"/>
  <c r="C198" s="1"/>
  <c r="B338"/>
  <c r="B58"/>
  <c r="C257"/>
  <c r="C261" s="1"/>
  <c r="D11"/>
  <c r="B68"/>
  <c r="B163"/>
  <c r="B466"/>
  <c r="B472"/>
  <c r="A349"/>
  <c r="A356" s="1"/>
  <c r="C741"/>
  <c r="C740"/>
  <c r="C739"/>
  <c r="C738"/>
  <c r="C737"/>
  <c r="C736"/>
  <c r="C735"/>
  <c r="C734"/>
  <c r="C729"/>
  <c r="C432" s="1"/>
  <c r="C728"/>
  <c r="C431" s="1"/>
  <c r="C727"/>
  <c r="C430" s="1"/>
  <c r="C726"/>
  <c r="C429" s="1"/>
  <c r="C725"/>
  <c r="C428" s="1"/>
  <c r="C724"/>
  <c r="C427" s="1"/>
  <c r="C723"/>
  <c r="C722"/>
  <c r="C425" s="1"/>
  <c r="C733"/>
  <c r="C721"/>
  <c r="C424" s="1"/>
  <c r="C697"/>
  <c r="C406" s="1"/>
  <c r="C696"/>
  <c r="C405" s="1"/>
  <c r="C695"/>
  <c r="C404" s="1"/>
  <c r="C694"/>
  <c r="C403" s="1"/>
  <c r="C693"/>
  <c r="C402" s="1"/>
  <c r="C692"/>
  <c r="C401" s="1"/>
  <c r="C691"/>
  <c r="C400" s="1"/>
  <c r="C720"/>
  <c r="C423" s="1"/>
  <c r="C709"/>
  <c r="C708"/>
  <c r="C707"/>
  <c r="C706"/>
  <c r="C705"/>
  <c r="C704"/>
  <c r="C703"/>
  <c r="C702"/>
  <c r="C701"/>
  <c r="C690"/>
  <c r="C399" s="1"/>
  <c r="C665"/>
  <c r="C381" s="1"/>
  <c r="C664"/>
  <c r="C380" s="1"/>
  <c r="C663"/>
  <c r="C379" s="1"/>
  <c r="C662"/>
  <c r="C378" s="1"/>
  <c r="C661"/>
  <c r="C377" s="1"/>
  <c r="C660"/>
  <c r="C376" s="1"/>
  <c r="C689"/>
  <c r="C398" s="1"/>
  <c r="C688"/>
  <c r="C397" s="1"/>
  <c r="C677"/>
  <c r="C676"/>
  <c r="C675"/>
  <c r="C674"/>
  <c r="C673"/>
  <c r="C672"/>
  <c r="C671"/>
  <c r="C670"/>
  <c r="C669"/>
  <c r="C659"/>
  <c r="C375" s="1"/>
  <c r="C657"/>
  <c r="C373" s="1"/>
  <c r="C656"/>
  <c r="C372" s="1"/>
  <c r="C590"/>
  <c r="C591" s="1"/>
  <c r="C584"/>
  <c r="C585" s="1"/>
  <c r="C658"/>
  <c r="C374" s="1"/>
  <c r="C639"/>
  <c r="C180" s="1"/>
  <c r="C197" s="1"/>
  <c r="C488"/>
  <c r="C487"/>
  <c r="C486"/>
  <c r="C485"/>
  <c r="C484"/>
  <c r="C483"/>
  <c r="C367"/>
  <c r="C501"/>
  <c r="C426"/>
  <c r="C354"/>
  <c r="C353"/>
  <c r="C352"/>
  <c r="C351"/>
  <c r="C350"/>
  <c r="C349"/>
  <c r="D2"/>
  <c r="C177"/>
  <c r="C194"/>
  <c r="E177"/>
  <c r="E194"/>
  <c r="G177"/>
  <c r="G194"/>
  <c r="I177"/>
  <c r="I194"/>
  <c r="K177"/>
  <c r="K194"/>
  <c r="M177"/>
  <c r="M194"/>
  <c r="O177"/>
  <c r="O194"/>
  <c r="Q177"/>
  <c r="Q194"/>
  <c r="S177"/>
  <c r="S194"/>
  <c r="U177"/>
  <c r="U194"/>
  <c r="W177"/>
  <c r="W194"/>
  <c r="Y177"/>
  <c r="Y194"/>
  <c r="AA177"/>
  <c r="AA194"/>
  <c r="AC177"/>
  <c r="AC194"/>
  <c r="AE177"/>
  <c r="AE194"/>
  <c r="AG177"/>
  <c r="AG194"/>
  <c r="AI177"/>
  <c r="AI194"/>
  <c r="AK177"/>
  <c r="AK194"/>
  <c r="AM177"/>
  <c r="AM194"/>
  <c r="AO177"/>
  <c r="AO194"/>
  <c r="C19"/>
  <c r="C23"/>
  <c r="C25"/>
  <c r="C26"/>
  <c r="C30"/>
  <c r="A473"/>
  <c r="D108"/>
  <c r="F108"/>
  <c r="H108"/>
  <c r="J108"/>
  <c r="L108"/>
  <c r="N108"/>
  <c r="P108"/>
  <c r="R108"/>
  <c r="T108"/>
  <c r="V108"/>
  <c r="X108"/>
  <c r="Z108"/>
  <c r="AB108"/>
  <c r="AD108"/>
  <c r="AF108"/>
  <c r="AH108"/>
  <c r="AJ108"/>
  <c r="AL108"/>
  <c r="AN108"/>
  <c r="AP108"/>
  <c r="B118"/>
  <c r="A483"/>
  <c r="A490" s="1"/>
  <c r="A451"/>
  <c r="A350"/>
  <c r="A357" s="1"/>
  <c r="A485"/>
  <c r="A492" s="1"/>
  <c r="A453"/>
  <c r="A352"/>
  <c r="A359" s="1"/>
  <c r="A487"/>
  <c r="A494" s="1"/>
  <c r="A455"/>
  <c r="A354"/>
  <c r="A361" s="1"/>
  <c r="A461"/>
  <c r="A468"/>
  <c r="A469"/>
  <c r="A470"/>
  <c r="A471"/>
  <c r="A472"/>
  <c r="B122"/>
  <c r="A351"/>
  <c r="A358" s="1"/>
  <c r="A353"/>
  <c r="A360" s="1"/>
  <c r="A460"/>
  <c r="A462"/>
  <c r="A463"/>
  <c r="A464"/>
  <c r="A465"/>
  <c r="A466"/>
  <c r="A467"/>
  <c r="A474"/>
  <c r="A475"/>
  <c r="A476"/>
  <c r="A477"/>
  <c r="A478"/>
  <c r="C637"/>
  <c r="C11" i="8"/>
  <c r="C85" i="10" l="1"/>
  <c r="C86" s="1"/>
  <c r="C56"/>
  <c r="D41"/>
  <c r="D183" s="1"/>
  <c r="D200" s="1"/>
  <c r="D629"/>
  <c r="D625"/>
  <c r="D621"/>
  <c r="D617"/>
  <c r="B75"/>
  <c r="B179"/>
  <c r="B196" s="1"/>
  <c r="C141"/>
  <c r="C153" s="1"/>
  <c r="C249"/>
  <c r="C221"/>
  <c r="D323"/>
  <c r="C58"/>
  <c r="C59"/>
  <c r="C230"/>
  <c r="C640"/>
  <c r="D637" s="1"/>
  <c r="C27"/>
  <c r="D457"/>
  <c r="D450" s="1"/>
  <c r="E11"/>
  <c r="D645"/>
  <c r="D181" s="1"/>
  <c r="D198" s="1"/>
  <c r="C368"/>
  <c r="A488"/>
  <c r="A495" s="1"/>
  <c r="A486"/>
  <c r="A493" s="1"/>
  <c r="A484"/>
  <c r="A491" s="1"/>
  <c r="AP194"/>
  <c r="AP177"/>
  <c r="AL194"/>
  <c r="AL177"/>
  <c r="AH194"/>
  <c r="AH177"/>
  <c r="AD194"/>
  <c r="AD177"/>
  <c r="Z194"/>
  <c r="Z177"/>
  <c r="V194"/>
  <c r="V177"/>
  <c r="R194"/>
  <c r="R177"/>
  <c r="N194"/>
  <c r="N177"/>
  <c r="J194"/>
  <c r="J177"/>
  <c r="F194"/>
  <c r="F177"/>
  <c r="C509"/>
  <c r="C513"/>
  <c r="C533"/>
  <c r="C537"/>
  <c r="C541"/>
  <c r="C561"/>
  <c r="C565"/>
  <c r="C506"/>
  <c r="C510"/>
  <c r="C514"/>
  <c r="C534"/>
  <c r="C538"/>
  <c r="C558"/>
  <c r="C562"/>
  <c r="C566"/>
  <c r="C698"/>
  <c r="C683" s="1"/>
  <c r="C66" s="1"/>
  <c r="AN194"/>
  <c r="AN177"/>
  <c r="AJ194"/>
  <c r="AJ177"/>
  <c r="AF194"/>
  <c r="AF177"/>
  <c r="AB194"/>
  <c r="AB177"/>
  <c r="X194"/>
  <c r="X177"/>
  <c r="T194"/>
  <c r="T177"/>
  <c r="P194"/>
  <c r="P177"/>
  <c r="L194"/>
  <c r="L177"/>
  <c r="H194"/>
  <c r="H177"/>
  <c r="D194"/>
  <c r="D177"/>
  <c r="D741"/>
  <c r="D740"/>
  <c r="D739"/>
  <c r="D738"/>
  <c r="D737"/>
  <c r="D736"/>
  <c r="D735"/>
  <c r="D734"/>
  <c r="D733"/>
  <c r="D729"/>
  <c r="D728"/>
  <c r="D431" s="1"/>
  <c r="D727"/>
  <c r="D430" s="1"/>
  <c r="D726"/>
  <c r="D429" s="1"/>
  <c r="D725"/>
  <c r="D428" s="1"/>
  <c r="D724"/>
  <c r="D427" s="1"/>
  <c r="D723"/>
  <c r="D426" s="1"/>
  <c r="D722"/>
  <c r="D425" s="1"/>
  <c r="D721"/>
  <c r="D424" s="1"/>
  <c r="D720"/>
  <c r="D423" s="1"/>
  <c r="D709"/>
  <c r="D708"/>
  <c r="D707"/>
  <c r="D706"/>
  <c r="D705"/>
  <c r="D704"/>
  <c r="D703"/>
  <c r="D702"/>
  <c r="D701"/>
  <c r="D697"/>
  <c r="D406" s="1"/>
  <c r="D696"/>
  <c r="D405" s="1"/>
  <c r="D695"/>
  <c r="D694"/>
  <c r="D403" s="1"/>
  <c r="D693"/>
  <c r="D402" s="1"/>
  <c r="D692"/>
  <c r="D401" s="1"/>
  <c r="D691"/>
  <c r="D400" s="1"/>
  <c r="D690"/>
  <c r="D399" s="1"/>
  <c r="D689"/>
  <c r="D398" s="1"/>
  <c r="D688"/>
  <c r="D397" s="1"/>
  <c r="D677"/>
  <c r="D676"/>
  <c r="D675"/>
  <c r="D674"/>
  <c r="D673"/>
  <c r="D672"/>
  <c r="D671"/>
  <c r="D670"/>
  <c r="D669"/>
  <c r="D665"/>
  <c r="D381" s="1"/>
  <c r="D664"/>
  <c r="D380" s="1"/>
  <c r="D663"/>
  <c r="D379" s="1"/>
  <c r="D662"/>
  <c r="D378" s="1"/>
  <c r="D661"/>
  <c r="D377" s="1"/>
  <c r="D660"/>
  <c r="D376" s="1"/>
  <c r="D659"/>
  <c r="D375" s="1"/>
  <c r="D658"/>
  <c r="D374" s="1"/>
  <c r="D657"/>
  <c r="D373" s="1"/>
  <c r="D639"/>
  <c r="D656"/>
  <c r="D590"/>
  <c r="D591" s="1"/>
  <c r="D584"/>
  <c r="D585" s="1"/>
  <c r="D501"/>
  <c r="D432"/>
  <c r="D404"/>
  <c r="D354"/>
  <c r="D353"/>
  <c r="D352"/>
  <c r="D351"/>
  <c r="D350"/>
  <c r="D349"/>
  <c r="D488"/>
  <c r="D487"/>
  <c r="D486"/>
  <c r="D485"/>
  <c r="D484"/>
  <c r="D483"/>
  <c r="D367"/>
  <c r="C34"/>
  <c r="E2"/>
  <c r="D30"/>
  <c r="D26"/>
  <c r="D25"/>
  <c r="D23"/>
  <c r="D19"/>
  <c r="C507"/>
  <c r="C511"/>
  <c r="C515"/>
  <c r="C535"/>
  <c r="C539"/>
  <c r="C559"/>
  <c r="C563"/>
  <c r="C567"/>
  <c r="C508"/>
  <c r="C512"/>
  <c r="C532"/>
  <c r="C536"/>
  <c r="C540"/>
  <c r="C560"/>
  <c r="C564"/>
  <c r="C666"/>
  <c r="C651" s="1"/>
  <c r="C730"/>
  <c r="C715" s="1"/>
  <c r="C67" s="1"/>
  <c r="A688" i="8"/>
  <c r="A689" s="1"/>
  <c r="A690" s="1"/>
  <c r="A691" s="1"/>
  <c r="A692" s="1"/>
  <c r="A693" s="1"/>
  <c r="A694" s="1"/>
  <c r="A695" s="1"/>
  <c r="A696" s="1"/>
  <c r="A676"/>
  <c r="A677" s="1"/>
  <c r="A678" s="1"/>
  <c r="A679" s="1"/>
  <c r="A680" s="1"/>
  <c r="A681" s="1"/>
  <c r="A682" s="1"/>
  <c r="A683" s="1"/>
  <c r="A684" s="1"/>
  <c r="B671"/>
  <c r="C668" s="1"/>
  <c r="A656"/>
  <c r="A657" s="1"/>
  <c r="A658" s="1"/>
  <c r="A659" s="1"/>
  <c r="A660" s="1"/>
  <c r="A661" s="1"/>
  <c r="A662" s="1"/>
  <c r="A663" s="1"/>
  <c r="A664" s="1"/>
  <c r="A644"/>
  <c r="A645" s="1"/>
  <c r="A646" s="1"/>
  <c r="A647" s="1"/>
  <c r="A648" s="1"/>
  <c r="A649" s="1"/>
  <c r="A650" s="1"/>
  <c r="A651" s="1"/>
  <c r="A652" s="1"/>
  <c r="B639"/>
  <c r="C636" s="1"/>
  <c r="A624"/>
  <c r="A625" s="1"/>
  <c r="A626" s="1"/>
  <c r="A627" s="1"/>
  <c r="A628" s="1"/>
  <c r="A629" s="1"/>
  <c r="A630" s="1"/>
  <c r="A631" s="1"/>
  <c r="A632" s="1"/>
  <c r="A612"/>
  <c r="A613" s="1"/>
  <c r="A614" s="1"/>
  <c r="A615" s="1"/>
  <c r="A616" s="1"/>
  <c r="A617" s="1"/>
  <c r="A618" s="1"/>
  <c r="A619" s="1"/>
  <c r="A620" s="1"/>
  <c r="B607"/>
  <c r="C604" s="1"/>
  <c r="B601"/>
  <c r="A597"/>
  <c r="A589"/>
  <c r="A585"/>
  <c r="A581"/>
  <c r="A577"/>
  <c r="A573"/>
  <c r="A572"/>
  <c r="A303" s="1"/>
  <c r="A571"/>
  <c r="A302" s="1"/>
  <c r="A570"/>
  <c r="A301" s="1"/>
  <c r="A567"/>
  <c r="A566"/>
  <c r="A297" s="1"/>
  <c r="A565"/>
  <c r="A296" s="1"/>
  <c r="A564"/>
  <c r="A295" s="1"/>
  <c r="A563"/>
  <c r="A294" s="1"/>
  <c r="C561"/>
  <c r="C210" s="1"/>
  <c r="A561"/>
  <c r="A292" s="1"/>
  <c r="C560"/>
  <c r="C209" s="1"/>
  <c r="A560"/>
  <c r="A291" s="1"/>
  <c r="C559"/>
  <c r="C208" s="1"/>
  <c r="A559"/>
  <c r="A290" s="1"/>
  <c r="C558"/>
  <c r="C562" s="1"/>
  <c r="A558"/>
  <c r="A289" s="1"/>
  <c r="A557"/>
  <c r="A288" s="1"/>
  <c r="K418"/>
  <c r="K284"/>
  <c r="A532"/>
  <c r="A533" s="1"/>
  <c r="A534" s="1"/>
  <c r="A535" s="1"/>
  <c r="A536" s="1"/>
  <c r="A537" s="1"/>
  <c r="A538" s="1"/>
  <c r="A539" s="1"/>
  <c r="A540" s="1"/>
  <c r="A520"/>
  <c r="A521" s="1"/>
  <c r="A522" s="1"/>
  <c r="A523" s="1"/>
  <c r="A524" s="1"/>
  <c r="A525" s="1"/>
  <c r="A526" s="1"/>
  <c r="A527" s="1"/>
  <c r="A528" s="1"/>
  <c r="A506"/>
  <c r="A507" s="1"/>
  <c r="A508" s="1"/>
  <c r="A509" s="1"/>
  <c r="A510" s="1"/>
  <c r="A511" s="1"/>
  <c r="A512" s="1"/>
  <c r="A513" s="1"/>
  <c r="A514" s="1"/>
  <c r="A494"/>
  <c r="A495" s="1"/>
  <c r="A496" s="1"/>
  <c r="A497" s="1"/>
  <c r="A498" s="1"/>
  <c r="A499" s="1"/>
  <c r="A500" s="1"/>
  <c r="A501" s="1"/>
  <c r="A502" s="1"/>
  <c r="A480"/>
  <c r="A481" s="1"/>
  <c r="A482" s="1"/>
  <c r="A483" s="1"/>
  <c r="A484" s="1"/>
  <c r="A485" s="1"/>
  <c r="A486" s="1"/>
  <c r="A487" s="1"/>
  <c r="A488" s="1"/>
  <c r="A468"/>
  <c r="A469" s="1"/>
  <c r="A470" s="1"/>
  <c r="A471" s="1"/>
  <c r="A472" s="1"/>
  <c r="A473" s="1"/>
  <c r="A474" s="1"/>
  <c r="A475" s="1"/>
  <c r="A476" s="1"/>
  <c r="B462"/>
  <c r="B461"/>
  <c r="A440"/>
  <c r="B438"/>
  <c r="B437"/>
  <c r="B432"/>
  <c r="B431"/>
  <c r="B430"/>
  <c r="B429"/>
  <c r="B426"/>
  <c r="B425"/>
  <c r="B424"/>
  <c r="B423"/>
  <c r="P416"/>
  <c r="P415"/>
  <c r="P414"/>
  <c r="P413"/>
  <c r="A397"/>
  <c r="A398" s="1"/>
  <c r="A399" s="1"/>
  <c r="A400" s="1"/>
  <c r="A401" s="1"/>
  <c r="A402" s="1"/>
  <c r="A403" s="1"/>
  <c r="A404" s="1"/>
  <c r="A405" s="1"/>
  <c r="A385"/>
  <c r="A386" s="1"/>
  <c r="A387" s="1"/>
  <c r="A388" s="1"/>
  <c r="A389" s="1"/>
  <c r="A390" s="1"/>
  <c r="A391" s="1"/>
  <c r="A392" s="1"/>
  <c r="A393" s="1"/>
  <c r="A371"/>
  <c r="A372" s="1"/>
  <c r="A373" s="1"/>
  <c r="A374" s="1"/>
  <c r="A375" s="1"/>
  <c r="A376" s="1"/>
  <c r="A377" s="1"/>
  <c r="A378" s="1"/>
  <c r="A379" s="1"/>
  <c r="A359"/>
  <c r="A360" s="1"/>
  <c r="A361" s="1"/>
  <c r="A362" s="1"/>
  <c r="A363" s="1"/>
  <c r="A364" s="1"/>
  <c r="A365" s="1"/>
  <c r="A366" s="1"/>
  <c r="A367" s="1"/>
  <c r="A345"/>
  <c r="A346" s="1"/>
  <c r="A347" s="1"/>
  <c r="A348" s="1"/>
  <c r="A349" s="1"/>
  <c r="A350" s="1"/>
  <c r="A351" s="1"/>
  <c r="A352" s="1"/>
  <c r="A353" s="1"/>
  <c r="A334"/>
  <c r="A335" s="1"/>
  <c r="A336" s="1"/>
  <c r="A337" s="1"/>
  <c r="A338" s="1"/>
  <c r="A339" s="1"/>
  <c r="A340" s="1"/>
  <c r="A341" s="1"/>
  <c r="A342" s="1"/>
  <c r="B328"/>
  <c r="B327"/>
  <c r="A305"/>
  <c r="B304"/>
  <c r="A304"/>
  <c r="B303"/>
  <c r="A300"/>
  <c r="A299"/>
  <c r="B298"/>
  <c r="A298"/>
  <c r="B297"/>
  <c r="B296"/>
  <c r="B295"/>
  <c r="A293"/>
  <c r="B292"/>
  <c r="B291"/>
  <c r="B290"/>
  <c r="B289"/>
  <c r="A287"/>
  <c r="P282"/>
  <c r="A282"/>
  <c r="A416" s="1"/>
  <c r="P281"/>
  <c r="A281"/>
  <c r="A415" s="1"/>
  <c r="P280"/>
  <c r="A280"/>
  <c r="A414" s="1"/>
  <c r="P279"/>
  <c r="A279"/>
  <c r="A413" s="1"/>
  <c r="A278"/>
  <c r="A412" s="1"/>
  <c r="A277"/>
  <c r="A411" s="1"/>
  <c r="A266"/>
  <c r="A265"/>
  <c r="A264"/>
  <c r="A263"/>
  <c r="A262"/>
  <c r="A260"/>
  <c r="A259"/>
  <c r="A258"/>
  <c r="A257"/>
  <c r="A256"/>
  <c r="A254"/>
  <c r="A253"/>
  <c r="A252"/>
  <c r="A251"/>
  <c r="A250"/>
  <c r="C248"/>
  <c r="A248"/>
  <c r="C247"/>
  <c r="A247"/>
  <c r="C246"/>
  <c r="A246"/>
  <c r="C245"/>
  <c r="C249" s="1"/>
  <c r="A245"/>
  <c r="A244"/>
  <c r="A243"/>
  <c r="A228"/>
  <c r="A227"/>
  <c r="A226"/>
  <c r="A225"/>
  <c r="A224"/>
  <c r="A222"/>
  <c r="A221"/>
  <c r="A220"/>
  <c r="A219"/>
  <c r="A218"/>
  <c r="A216"/>
  <c r="A215"/>
  <c r="A214"/>
  <c r="A213"/>
  <c r="A212"/>
  <c r="A210"/>
  <c r="A209"/>
  <c r="A208"/>
  <c r="A207"/>
  <c r="A206"/>
  <c r="A205"/>
  <c r="AP186"/>
  <c r="AO186"/>
  <c r="AN186"/>
  <c r="AM186"/>
  <c r="AL186"/>
  <c r="AK186"/>
  <c r="AJ186"/>
  <c r="AI186"/>
  <c r="AH186"/>
  <c r="AG186"/>
  <c r="AF186"/>
  <c r="AE186"/>
  <c r="AD186"/>
  <c r="AC186"/>
  <c r="AB186"/>
  <c r="AA186"/>
  <c r="Z186"/>
  <c r="Y186"/>
  <c r="X186"/>
  <c r="W186"/>
  <c r="V186"/>
  <c r="U186"/>
  <c r="T186"/>
  <c r="S186"/>
  <c r="R186"/>
  <c r="Q186"/>
  <c r="P186"/>
  <c r="O186"/>
  <c r="N186"/>
  <c r="M186"/>
  <c r="L186"/>
  <c r="K186"/>
  <c r="J186"/>
  <c r="I186"/>
  <c r="H186"/>
  <c r="G186"/>
  <c r="F186"/>
  <c r="E186"/>
  <c r="D186"/>
  <c r="B177"/>
  <c r="B176"/>
  <c r="B139"/>
  <c r="B134"/>
  <c r="B133"/>
  <c r="B131"/>
  <c r="B117"/>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99"/>
  <c r="B189" s="1"/>
  <c r="B98"/>
  <c r="B188" s="1"/>
  <c r="B95"/>
  <c r="B181" s="1"/>
  <c r="B94"/>
  <c r="B180" s="1"/>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B92"/>
  <c r="AP77"/>
  <c r="AP86" s="1"/>
  <c r="AO77"/>
  <c r="AN77"/>
  <c r="AN86" s="1"/>
  <c r="AM77"/>
  <c r="AL77"/>
  <c r="AL86" s="1"/>
  <c r="AK77"/>
  <c r="AJ77"/>
  <c r="AJ86" s="1"/>
  <c r="AI77"/>
  <c r="AH77"/>
  <c r="AG77"/>
  <c r="AF77"/>
  <c r="AE77"/>
  <c r="AD77"/>
  <c r="AC77"/>
  <c r="AB77"/>
  <c r="AA77"/>
  <c r="Z77"/>
  <c r="Y77"/>
  <c r="X77"/>
  <c r="W77"/>
  <c r="V77"/>
  <c r="U77"/>
  <c r="T77"/>
  <c r="S77"/>
  <c r="R77"/>
  <c r="Q77"/>
  <c r="P77"/>
  <c r="O77"/>
  <c r="N77"/>
  <c r="M77"/>
  <c r="L77"/>
  <c r="K77"/>
  <c r="J77"/>
  <c r="I77"/>
  <c r="H77"/>
  <c r="G77"/>
  <c r="F77"/>
  <c r="E77"/>
  <c r="D77"/>
  <c r="C77"/>
  <c r="AP70"/>
  <c r="AO70"/>
  <c r="AN70"/>
  <c r="AM70"/>
  <c r="AL70"/>
  <c r="AK70"/>
  <c r="AJ70"/>
  <c r="AI70"/>
  <c r="AH70"/>
  <c r="AG70"/>
  <c r="AF70"/>
  <c r="AE70"/>
  <c r="AD70"/>
  <c r="AC70"/>
  <c r="AB70"/>
  <c r="AA70"/>
  <c r="Z70"/>
  <c r="Y70"/>
  <c r="X70"/>
  <c r="W70"/>
  <c r="V70"/>
  <c r="U70"/>
  <c r="T70"/>
  <c r="S70"/>
  <c r="R70"/>
  <c r="Q70"/>
  <c r="P70"/>
  <c r="O70"/>
  <c r="N70"/>
  <c r="M70"/>
  <c r="L70"/>
  <c r="K70"/>
  <c r="J70"/>
  <c r="I70"/>
  <c r="H70"/>
  <c r="G70"/>
  <c r="F70"/>
  <c r="E70"/>
  <c r="D70"/>
  <c r="C70"/>
  <c r="B62"/>
  <c r="B61"/>
  <c r="B60"/>
  <c r="B57"/>
  <c r="B56"/>
  <c r="B55"/>
  <c r="B54"/>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B563" i="7"/>
  <c r="B565" s="1"/>
  <c r="C562" s="1"/>
  <c r="E80" i="1"/>
  <c r="A3" i="6"/>
  <c r="A4" s="1"/>
  <c r="A5" s="1"/>
  <c r="C11" i="7"/>
  <c r="A652"/>
  <c r="A653" s="1"/>
  <c r="A654" s="1"/>
  <c r="A655" s="1"/>
  <c r="A656" s="1"/>
  <c r="A657" s="1"/>
  <c r="A658" s="1"/>
  <c r="A659" s="1"/>
  <c r="A660" s="1"/>
  <c r="A640"/>
  <c r="A641" s="1"/>
  <c r="A642" s="1"/>
  <c r="A643" s="1"/>
  <c r="A644" s="1"/>
  <c r="A645" s="1"/>
  <c r="A646" s="1"/>
  <c r="A647" s="1"/>
  <c r="A648" s="1"/>
  <c r="B635"/>
  <c r="C632" s="1"/>
  <c r="A620"/>
  <c r="A621" s="1"/>
  <c r="A622" s="1"/>
  <c r="A623" s="1"/>
  <c r="A624" s="1"/>
  <c r="A625" s="1"/>
  <c r="A626" s="1"/>
  <c r="A627" s="1"/>
  <c r="A628" s="1"/>
  <c r="A608"/>
  <c r="A609" s="1"/>
  <c r="A610" s="1"/>
  <c r="A611" s="1"/>
  <c r="A612" s="1"/>
  <c r="A613" s="1"/>
  <c r="A614" s="1"/>
  <c r="A615" s="1"/>
  <c r="A616" s="1"/>
  <c r="B603"/>
  <c r="C600" s="1"/>
  <c r="A588"/>
  <c r="A589" s="1"/>
  <c r="A590" s="1"/>
  <c r="A591" s="1"/>
  <c r="A592" s="1"/>
  <c r="A593" s="1"/>
  <c r="A594" s="1"/>
  <c r="A595" s="1"/>
  <c r="A596" s="1"/>
  <c r="A576"/>
  <c r="A577" s="1"/>
  <c r="A578" s="1"/>
  <c r="A579" s="1"/>
  <c r="A580" s="1"/>
  <c r="A581" s="1"/>
  <c r="A582" s="1"/>
  <c r="A583" s="1"/>
  <c r="A584" s="1"/>
  <c r="B571"/>
  <c r="C568" s="1"/>
  <c r="A561"/>
  <c r="A518"/>
  <c r="A514"/>
  <c r="A510"/>
  <c r="A506"/>
  <c r="A502"/>
  <c r="A233" s="1"/>
  <c r="A501"/>
  <c r="A232" s="1"/>
  <c r="A500"/>
  <c r="A231" s="1"/>
  <c r="A499"/>
  <c r="A230" s="1"/>
  <c r="A496"/>
  <c r="A227" s="1"/>
  <c r="A495"/>
  <c r="A226" s="1"/>
  <c r="A494"/>
  <c r="A225" s="1"/>
  <c r="A493"/>
  <c r="A224" s="1"/>
  <c r="A492"/>
  <c r="A223" s="1"/>
  <c r="C490"/>
  <c r="C138" s="1"/>
  <c r="A490"/>
  <c r="A221" s="1"/>
  <c r="C489"/>
  <c r="C137" s="1"/>
  <c r="A489"/>
  <c r="A220" s="1"/>
  <c r="C488"/>
  <c r="C136" s="1"/>
  <c r="A488"/>
  <c r="A219" s="1"/>
  <c r="C487"/>
  <c r="C491" s="1"/>
  <c r="A487"/>
  <c r="A218" s="1"/>
  <c r="A486"/>
  <c r="A217" s="1"/>
  <c r="K347"/>
  <c r="K213"/>
  <c r="A461"/>
  <c r="A462" s="1"/>
  <c r="A463" s="1"/>
  <c r="A464" s="1"/>
  <c r="A465" s="1"/>
  <c r="A466" s="1"/>
  <c r="A467" s="1"/>
  <c r="A468" s="1"/>
  <c r="A469" s="1"/>
  <c r="A449"/>
  <c r="A450" s="1"/>
  <c r="A451" s="1"/>
  <c r="A452" s="1"/>
  <c r="A453" s="1"/>
  <c r="A454" s="1"/>
  <c r="A455" s="1"/>
  <c r="A456" s="1"/>
  <c r="A457" s="1"/>
  <c r="A435"/>
  <c r="A436" s="1"/>
  <c r="A437" s="1"/>
  <c r="A438" s="1"/>
  <c r="A439" s="1"/>
  <c r="A440" s="1"/>
  <c r="A441" s="1"/>
  <c r="A442" s="1"/>
  <c r="A443" s="1"/>
  <c r="A423"/>
  <c r="A424" s="1"/>
  <c r="A425" s="1"/>
  <c r="A426" s="1"/>
  <c r="A427" s="1"/>
  <c r="A428" s="1"/>
  <c r="A429" s="1"/>
  <c r="A430" s="1"/>
  <c r="A431" s="1"/>
  <c r="A409"/>
  <c r="A410" s="1"/>
  <c r="A411" s="1"/>
  <c r="A412" s="1"/>
  <c r="A413" s="1"/>
  <c r="A414" s="1"/>
  <c r="A415" s="1"/>
  <c r="A416" s="1"/>
  <c r="A417" s="1"/>
  <c r="A397"/>
  <c r="A398" s="1"/>
  <c r="A399" s="1"/>
  <c r="A400" s="1"/>
  <c r="A401" s="1"/>
  <c r="A402" s="1"/>
  <c r="A403" s="1"/>
  <c r="A404" s="1"/>
  <c r="A405" s="1"/>
  <c r="B391"/>
  <c r="B390"/>
  <c r="A369"/>
  <c r="B367"/>
  <c r="B366"/>
  <c r="B361"/>
  <c r="B360"/>
  <c r="B359"/>
  <c r="B358"/>
  <c r="B355"/>
  <c r="B354"/>
  <c r="B353"/>
  <c r="B352"/>
  <c r="P345"/>
  <c r="P344"/>
  <c r="P343"/>
  <c r="P342"/>
  <c r="A326"/>
  <c r="A327" s="1"/>
  <c r="A328" s="1"/>
  <c r="A329" s="1"/>
  <c r="A330" s="1"/>
  <c r="A331" s="1"/>
  <c r="A332" s="1"/>
  <c r="A333" s="1"/>
  <c r="A334" s="1"/>
  <c r="A314"/>
  <c r="A315" s="1"/>
  <c r="A316" s="1"/>
  <c r="A317" s="1"/>
  <c r="A318" s="1"/>
  <c r="A319" s="1"/>
  <c r="A320" s="1"/>
  <c r="A321" s="1"/>
  <c r="A322" s="1"/>
  <c r="A300"/>
  <c r="A301" s="1"/>
  <c r="A302" s="1"/>
  <c r="A303" s="1"/>
  <c r="A304" s="1"/>
  <c r="A305" s="1"/>
  <c r="A306" s="1"/>
  <c r="A307" s="1"/>
  <c r="A308" s="1"/>
  <c r="A288"/>
  <c r="A289" s="1"/>
  <c r="A290" s="1"/>
  <c r="A291" s="1"/>
  <c r="A292" s="1"/>
  <c r="A293" s="1"/>
  <c r="A294" s="1"/>
  <c r="A295" s="1"/>
  <c r="A296" s="1"/>
  <c r="A274"/>
  <c r="A275" s="1"/>
  <c r="A276" s="1"/>
  <c r="A277" s="1"/>
  <c r="A278" s="1"/>
  <c r="A279" s="1"/>
  <c r="A280" s="1"/>
  <c r="A281" s="1"/>
  <c r="A282" s="1"/>
  <c r="A263"/>
  <c r="A264" s="1"/>
  <c r="A265" s="1"/>
  <c r="A266" s="1"/>
  <c r="A267" s="1"/>
  <c r="A268" s="1"/>
  <c r="A269" s="1"/>
  <c r="A270" s="1"/>
  <c r="A271" s="1"/>
  <c r="B257"/>
  <c r="B256"/>
  <c r="A234"/>
  <c r="B233"/>
  <c r="B232"/>
  <c r="A229"/>
  <c r="A228"/>
  <c r="B227"/>
  <c r="B226"/>
  <c r="B225"/>
  <c r="B224"/>
  <c r="A222"/>
  <c r="B221"/>
  <c r="B220"/>
  <c r="B219"/>
  <c r="B218"/>
  <c r="A216"/>
  <c r="P211"/>
  <c r="A211"/>
  <c r="A345" s="1"/>
  <c r="P210"/>
  <c r="A210"/>
  <c r="A344" s="1"/>
  <c r="P209"/>
  <c r="A209"/>
  <c r="A343" s="1"/>
  <c r="P208"/>
  <c r="A208"/>
  <c r="A342" s="1"/>
  <c r="A207"/>
  <c r="A341" s="1"/>
  <c r="A206"/>
  <c r="A340" s="1"/>
  <c r="A195"/>
  <c r="A194"/>
  <c r="A193"/>
  <c r="A192"/>
  <c r="A191"/>
  <c r="A189"/>
  <c r="A188"/>
  <c r="A187"/>
  <c r="A186"/>
  <c r="A185"/>
  <c r="A183"/>
  <c r="A182"/>
  <c r="A181"/>
  <c r="A180"/>
  <c r="A179"/>
  <c r="A177"/>
  <c r="A176"/>
  <c r="A175"/>
  <c r="A174"/>
  <c r="A173"/>
  <c r="A172"/>
  <c r="A156"/>
  <c r="A155"/>
  <c r="A154"/>
  <c r="A153"/>
  <c r="A152"/>
  <c r="A150"/>
  <c r="A149"/>
  <c r="A148"/>
  <c r="A147"/>
  <c r="A146"/>
  <c r="A144"/>
  <c r="A143"/>
  <c r="A142"/>
  <c r="A141"/>
  <c r="A140"/>
  <c r="A138"/>
  <c r="A137"/>
  <c r="A136"/>
  <c r="A135"/>
  <c r="A134"/>
  <c r="A133"/>
  <c r="B108"/>
  <c r="B107"/>
  <c r="B104"/>
  <c r="B103"/>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B101"/>
  <c r="AP86"/>
  <c r="AP95" s="1"/>
  <c r="AO86"/>
  <c r="AN86"/>
  <c r="AN95" s="1"/>
  <c r="AM86"/>
  <c r="AL86"/>
  <c r="AL95" s="1"/>
  <c r="AK86"/>
  <c r="AJ86"/>
  <c r="AJ95" s="1"/>
  <c r="AI86"/>
  <c r="AH86"/>
  <c r="AH95" s="1"/>
  <c r="AG86"/>
  <c r="AF86"/>
  <c r="AF95" s="1"/>
  <c r="AE86"/>
  <c r="AD86"/>
  <c r="AD95" s="1"/>
  <c r="AC86"/>
  <c r="AB86"/>
  <c r="AB95" s="1"/>
  <c r="AA86"/>
  <c r="Z86"/>
  <c r="Z95" s="1"/>
  <c r="Y86"/>
  <c r="X86"/>
  <c r="X95" s="1"/>
  <c r="W86"/>
  <c r="V86"/>
  <c r="V95" s="1"/>
  <c r="U86"/>
  <c r="T86"/>
  <c r="T95" s="1"/>
  <c r="S86"/>
  <c r="R86"/>
  <c r="R95" s="1"/>
  <c r="Q86"/>
  <c r="P86"/>
  <c r="P95" s="1"/>
  <c r="O86"/>
  <c r="N86"/>
  <c r="N95" s="1"/>
  <c r="M86"/>
  <c r="L86"/>
  <c r="L95" s="1"/>
  <c r="K86"/>
  <c r="J86"/>
  <c r="J95" s="1"/>
  <c r="I86"/>
  <c r="H86"/>
  <c r="H95" s="1"/>
  <c r="G86"/>
  <c r="F86"/>
  <c r="F95" s="1"/>
  <c r="E86"/>
  <c r="D86"/>
  <c r="D95" s="1"/>
  <c r="C86"/>
  <c r="AP78"/>
  <c r="AO78"/>
  <c r="AN78"/>
  <c r="AM78"/>
  <c r="AL78"/>
  <c r="AK78"/>
  <c r="AJ78"/>
  <c r="AI78"/>
  <c r="AH78"/>
  <c r="AG78"/>
  <c r="AF78"/>
  <c r="AE78"/>
  <c r="AD78"/>
  <c r="AC78"/>
  <c r="AB78"/>
  <c r="AA78"/>
  <c r="Z78"/>
  <c r="Y78"/>
  <c r="X78"/>
  <c r="W78"/>
  <c r="V78"/>
  <c r="U78"/>
  <c r="T78"/>
  <c r="S78"/>
  <c r="R78"/>
  <c r="Q78"/>
  <c r="P78"/>
  <c r="O78"/>
  <c r="N78"/>
  <c r="M78"/>
  <c r="L78"/>
  <c r="K78"/>
  <c r="J78"/>
  <c r="I78"/>
  <c r="H78"/>
  <c r="G78"/>
  <c r="F78"/>
  <c r="E78"/>
  <c r="D78"/>
  <c r="C78"/>
  <c r="B70"/>
  <c r="B69"/>
  <c r="B68"/>
  <c r="B65"/>
  <c r="B64"/>
  <c r="B63"/>
  <c r="B53"/>
  <c r="B56" s="1"/>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D17"/>
  <c r="C17"/>
  <c r="A17"/>
  <c r="A52" s="1"/>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D16"/>
  <c r="C16"/>
  <c r="A16"/>
  <c r="A51" s="1"/>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D15"/>
  <c r="C15"/>
  <c r="A15"/>
  <c r="A50" s="1"/>
  <c r="A14"/>
  <c r="A49" s="1"/>
  <c r="C2"/>
  <c r="C558" s="1"/>
  <c r="AP187" i="2"/>
  <c r="AO187"/>
  <c r="AN187"/>
  <c r="AM187"/>
  <c r="AL187"/>
  <c r="AK187"/>
  <c r="AJ187"/>
  <c r="AI187"/>
  <c r="AH187"/>
  <c r="AG187"/>
  <c r="AF187"/>
  <c r="AE187"/>
  <c r="AD187"/>
  <c r="AC187"/>
  <c r="AB187"/>
  <c r="AA187"/>
  <c r="Z187"/>
  <c r="Y187"/>
  <c r="X187"/>
  <c r="W187"/>
  <c r="V187"/>
  <c r="U187"/>
  <c r="T187"/>
  <c r="S187"/>
  <c r="R187"/>
  <c r="Q187"/>
  <c r="P187"/>
  <c r="O187"/>
  <c r="N187"/>
  <c r="M187"/>
  <c r="L187"/>
  <c r="K187"/>
  <c r="J187"/>
  <c r="I187"/>
  <c r="H187"/>
  <c r="G187"/>
  <c r="F187"/>
  <c r="E187"/>
  <c r="D187"/>
  <c r="M5" i="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B62" i="7" l="1"/>
  <c r="D2"/>
  <c r="E11" s="1"/>
  <c r="D519"/>
  <c r="D511"/>
  <c r="C534"/>
  <c r="C519"/>
  <c r="C515"/>
  <c r="C511"/>
  <c r="C507"/>
  <c r="D558"/>
  <c r="B293" i="8"/>
  <c r="D56" i="10"/>
  <c r="D85"/>
  <c r="D86" s="1"/>
  <c r="E629"/>
  <c r="E625"/>
  <c r="E621"/>
  <c r="E617"/>
  <c r="C590" i="8"/>
  <c r="C586"/>
  <c r="C582"/>
  <c r="C578"/>
  <c r="C65" i="10"/>
  <c r="C68" s="1"/>
  <c r="C75" s="1"/>
  <c r="D58"/>
  <c r="D180"/>
  <c r="D197" s="1"/>
  <c r="D141"/>
  <c r="D153" s="1"/>
  <c r="D249"/>
  <c r="D221"/>
  <c r="D59"/>
  <c r="F11"/>
  <c r="E645"/>
  <c r="E181" s="1"/>
  <c r="E198" s="1"/>
  <c r="E41"/>
  <c r="E183" s="1"/>
  <c r="E200" s="1"/>
  <c r="D27"/>
  <c r="C174" i="7"/>
  <c r="C175"/>
  <c r="C176"/>
  <c r="C177"/>
  <c r="D666" i="10"/>
  <c r="D651" s="1"/>
  <c r="D640"/>
  <c r="E637" s="1"/>
  <c r="D509"/>
  <c r="D513"/>
  <c r="D561"/>
  <c r="D565"/>
  <c r="D533"/>
  <c r="D537"/>
  <c r="D541"/>
  <c r="E741"/>
  <c r="E740"/>
  <c r="E739"/>
  <c r="E738"/>
  <c r="E737"/>
  <c r="E736"/>
  <c r="E735"/>
  <c r="E733"/>
  <c r="E729"/>
  <c r="E432" s="1"/>
  <c r="E728"/>
  <c r="E431" s="1"/>
  <c r="E727"/>
  <c r="E430" s="1"/>
  <c r="E726"/>
  <c r="E429" s="1"/>
  <c r="E725"/>
  <c r="E428" s="1"/>
  <c r="E724"/>
  <c r="E427" s="1"/>
  <c r="E723"/>
  <c r="E426" s="1"/>
  <c r="E722"/>
  <c r="E425" s="1"/>
  <c r="E721"/>
  <c r="E424" s="1"/>
  <c r="E734"/>
  <c r="E697"/>
  <c r="E406" s="1"/>
  <c r="E696"/>
  <c r="E405" s="1"/>
  <c r="E695"/>
  <c r="E404" s="1"/>
  <c r="E694"/>
  <c r="E403" s="1"/>
  <c r="E693"/>
  <c r="E402" s="1"/>
  <c r="E692"/>
  <c r="E401" s="1"/>
  <c r="E691"/>
  <c r="E400" s="1"/>
  <c r="E720"/>
  <c r="E423" s="1"/>
  <c r="E709"/>
  <c r="E708"/>
  <c r="E707"/>
  <c r="E706"/>
  <c r="E705"/>
  <c r="E704"/>
  <c r="E703"/>
  <c r="E702"/>
  <c r="E701"/>
  <c r="E665"/>
  <c r="E381" s="1"/>
  <c r="E664"/>
  <c r="E663"/>
  <c r="E379" s="1"/>
  <c r="E662"/>
  <c r="E378" s="1"/>
  <c r="E661"/>
  <c r="E377" s="1"/>
  <c r="E660"/>
  <c r="E376" s="1"/>
  <c r="E690"/>
  <c r="E399" s="1"/>
  <c r="E689"/>
  <c r="E398" s="1"/>
  <c r="E688"/>
  <c r="E397" s="1"/>
  <c r="E677"/>
  <c r="E676"/>
  <c r="E675"/>
  <c r="E674"/>
  <c r="E673"/>
  <c r="E672"/>
  <c r="E671"/>
  <c r="E670"/>
  <c r="E669"/>
  <c r="E658"/>
  <c r="E374" s="1"/>
  <c r="E656"/>
  <c r="E372" s="1"/>
  <c r="E590"/>
  <c r="E591" s="1"/>
  <c r="E584"/>
  <c r="E585" s="1"/>
  <c r="E659"/>
  <c r="E375" s="1"/>
  <c r="E657"/>
  <c r="E373" s="1"/>
  <c r="E639"/>
  <c r="E488"/>
  <c r="E487"/>
  <c r="E486"/>
  <c r="E485"/>
  <c r="E484"/>
  <c r="E483"/>
  <c r="E380"/>
  <c r="E367"/>
  <c r="E501"/>
  <c r="E354"/>
  <c r="E353"/>
  <c r="E352"/>
  <c r="E351"/>
  <c r="E350"/>
  <c r="E349"/>
  <c r="E30"/>
  <c r="E26"/>
  <c r="E25"/>
  <c r="E23"/>
  <c r="E19"/>
  <c r="F2"/>
  <c r="D508"/>
  <c r="D512"/>
  <c r="D532"/>
  <c r="D536"/>
  <c r="D540"/>
  <c r="D560"/>
  <c r="D564"/>
  <c r="D502"/>
  <c r="D368"/>
  <c r="D507"/>
  <c r="D511"/>
  <c r="D515"/>
  <c r="D535"/>
  <c r="D539"/>
  <c r="D559"/>
  <c r="D563"/>
  <c r="D567"/>
  <c r="D510"/>
  <c r="D514"/>
  <c r="D534"/>
  <c r="D538"/>
  <c r="D558"/>
  <c r="D562"/>
  <c r="D566"/>
  <c r="D372"/>
  <c r="D698"/>
  <c r="D683" s="1"/>
  <c r="D66" s="1"/>
  <c r="D730"/>
  <c r="D715" s="1"/>
  <c r="D67" s="1"/>
  <c r="C502"/>
  <c r="C207" i="8"/>
  <c r="C211" s="1"/>
  <c r="B228" i="7"/>
  <c r="B299" i="8"/>
  <c r="D11"/>
  <c r="C598"/>
  <c r="B700"/>
  <c r="B427"/>
  <c r="B433"/>
  <c r="D418" s="1"/>
  <c r="B135"/>
  <c r="B63"/>
  <c r="B178"/>
  <c r="C86"/>
  <c r="E86"/>
  <c r="G86"/>
  <c r="I86"/>
  <c r="K86"/>
  <c r="M86"/>
  <c r="O86"/>
  <c r="Q86"/>
  <c r="S86"/>
  <c r="U86"/>
  <c r="W86"/>
  <c r="Y86"/>
  <c r="AA86"/>
  <c r="AC86"/>
  <c r="AE86"/>
  <c r="AG86"/>
  <c r="AI86"/>
  <c r="AK86"/>
  <c r="AM86"/>
  <c r="AO86"/>
  <c r="D2"/>
  <c r="B182"/>
  <c r="B190"/>
  <c r="C696"/>
  <c r="C695"/>
  <c r="C694"/>
  <c r="C693"/>
  <c r="C692"/>
  <c r="C691"/>
  <c r="C690"/>
  <c r="C689"/>
  <c r="C688"/>
  <c r="C684"/>
  <c r="C683"/>
  <c r="C392" s="1"/>
  <c r="C682"/>
  <c r="C391" s="1"/>
  <c r="C681"/>
  <c r="C390" s="1"/>
  <c r="C680"/>
  <c r="C389" s="1"/>
  <c r="C679"/>
  <c r="C678"/>
  <c r="C387" s="1"/>
  <c r="C677"/>
  <c r="C386" s="1"/>
  <c r="C676"/>
  <c r="C385" s="1"/>
  <c r="C675"/>
  <c r="C384" s="1"/>
  <c r="C663"/>
  <c r="C661"/>
  <c r="C659"/>
  <c r="C652"/>
  <c r="C367" s="1"/>
  <c r="C651"/>
  <c r="C366" s="1"/>
  <c r="C650"/>
  <c r="C365" s="1"/>
  <c r="C649"/>
  <c r="C648"/>
  <c r="C363" s="1"/>
  <c r="C647"/>
  <c r="C362" s="1"/>
  <c r="C646"/>
  <c r="C361" s="1"/>
  <c r="C645"/>
  <c r="C360" s="1"/>
  <c r="C644"/>
  <c r="C359" s="1"/>
  <c r="C643"/>
  <c r="C358" s="1"/>
  <c r="C664"/>
  <c r="C662"/>
  <c r="C660"/>
  <c r="C658"/>
  <c r="C657"/>
  <c r="C656"/>
  <c r="C620"/>
  <c r="C342" s="1"/>
  <c r="C619"/>
  <c r="C341" s="1"/>
  <c r="C618"/>
  <c r="C340" s="1"/>
  <c r="C617"/>
  <c r="C339" s="1"/>
  <c r="C616"/>
  <c r="C338" s="1"/>
  <c r="C615"/>
  <c r="C337" s="1"/>
  <c r="C614"/>
  <c r="C336" s="1"/>
  <c r="C613"/>
  <c r="C335" s="1"/>
  <c r="C612"/>
  <c r="C334" s="1"/>
  <c r="C611"/>
  <c r="C333" s="1"/>
  <c r="C632"/>
  <c r="C631"/>
  <c r="C630"/>
  <c r="C629"/>
  <c r="C628"/>
  <c r="C627"/>
  <c r="C626"/>
  <c r="C625"/>
  <c r="C624"/>
  <c r="C600"/>
  <c r="C54" s="1"/>
  <c r="C551"/>
  <c r="C552" s="1"/>
  <c r="C545"/>
  <c r="C546" s="1"/>
  <c r="C449"/>
  <c r="C448"/>
  <c r="C447"/>
  <c r="C446"/>
  <c r="C445"/>
  <c r="C444"/>
  <c r="C388"/>
  <c r="C364"/>
  <c r="C462"/>
  <c r="C393"/>
  <c r="C328"/>
  <c r="C315"/>
  <c r="C314"/>
  <c r="C313"/>
  <c r="C312"/>
  <c r="C311"/>
  <c r="C310"/>
  <c r="D86"/>
  <c r="F86"/>
  <c r="H86"/>
  <c r="J86"/>
  <c r="L86"/>
  <c r="N86"/>
  <c r="P86"/>
  <c r="R86"/>
  <c r="T86"/>
  <c r="V86"/>
  <c r="X86"/>
  <c r="Z86"/>
  <c r="AB86"/>
  <c r="AD86"/>
  <c r="AF86"/>
  <c r="AH86"/>
  <c r="AJ170"/>
  <c r="AJ155"/>
  <c r="AL170"/>
  <c r="AL155"/>
  <c r="AN170"/>
  <c r="AN155"/>
  <c r="AP170"/>
  <c r="AP155"/>
  <c r="C19"/>
  <c r="C23"/>
  <c r="C25"/>
  <c r="C26"/>
  <c r="C30"/>
  <c r="A445"/>
  <c r="A452" s="1"/>
  <c r="A447"/>
  <c r="A454" s="1"/>
  <c r="A449"/>
  <c r="A456" s="1"/>
  <c r="A422"/>
  <c r="A429"/>
  <c r="A430"/>
  <c r="A431"/>
  <c r="A432"/>
  <c r="A433"/>
  <c r="A434"/>
  <c r="B100"/>
  <c r="A310"/>
  <c r="A317" s="1"/>
  <c r="A311"/>
  <c r="A318" s="1"/>
  <c r="A312"/>
  <c r="A319" s="1"/>
  <c r="A313"/>
  <c r="A320" s="1"/>
  <c r="A314"/>
  <c r="A321" s="1"/>
  <c r="A315"/>
  <c r="A322" s="1"/>
  <c r="A444"/>
  <c r="A451" s="1"/>
  <c r="A446"/>
  <c r="A453" s="1"/>
  <c r="A448"/>
  <c r="A455" s="1"/>
  <c r="A421"/>
  <c r="A423"/>
  <c r="A424"/>
  <c r="A425"/>
  <c r="A426"/>
  <c r="A427"/>
  <c r="A428"/>
  <c r="A435"/>
  <c r="A436"/>
  <c r="A437"/>
  <c r="A438"/>
  <c r="A439"/>
  <c r="B96"/>
  <c r="B222" i="7"/>
  <c r="B71"/>
  <c r="C135"/>
  <c r="C139" s="1"/>
  <c r="B356"/>
  <c r="B362"/>
  <c r="D11"/>
  <c r="D527"/>
  <c r="D534"/>
  <c r="C527"/>
  <c r="C528" s="1"/>
  <c r="D528" s="1"/>
  <c r="D660"/>
  <c r="D659"/>
  <c r="D658"/>
  <c r="D657"/>
  <c r="D656"/>
  <c r="D655"/>
  <c r="D654"/>
  <c r="D653"/>
  <c r="D652"/>
  <c r="D648"/>
  <c r="D647"/>
  <c r="D646"/>
  <c r="D645"/>
  <c r="D644"/>
  <c r="D643"/>
  <c r="D642"/>
  <c r="D641"/>
  <c r="D640"/>
  <c r="D639"/>
  <c r="D628"/>
  <c r="D627"/>
  <c r="D626"/>
  <c r="D625"/>
  <c r="D624"/>
  <c r="D623"/>
  <c r="D622"/>
  <c r="D621"/>
  <c r="D620"/>
  <c r="D616"/>
  <c r="D615"/>
  <c r="D614"/>
  <c r="D613"/>
  <c r="D612"/>
  <c r="D611"/>
  <c r="D610"/>
  <c r="D609"/>
  <c r="D608"/>
  <c r="D607"/>
  <c r="D596"/>
  <c r="D595"/>
  <c r="D594"/>
  <c r="D593"/>
  <c r="D592"/>
  <c r="D591"/>
  <c r="D590"/>
  <c r="D589"/>
  <c r="D588"/>
  <c r="D584"/>
  <c r="D583"/>
  <c r="D582"/>
  <c r="D581"/>
  <c r="D580"/>
  <c r="D579"/>
  <c r="D578"/>
  <c r="D577"/>
  <c r="D576"/>
  <c r="D575"/>
  <c r="D480"/>
  <c r="D481" s="1"/>
  <c r="D474"/>
  <c r="D475" s="1"/>
  <c r="D564"/>
  <c r="D62" s="1"/>
  <c r="D391"/>
  <c r="D378"/>
  <c r="D377"/>
  <c r="D376"/>
  <c r="D375"/>
  <c r="D374"/>
  <c r="D373"/>
  <c r="D244"/>
  <c r="D243"/>
  <c r="D242"/>
  <c r="D241"/>
  <c r="D240"/>
  <c r="D239"/>
  <c r="D257"/>
  <c r="C660"/>
  <c r="C659"/>
  <c r="C658"/>
  <c r="C657"/>
  <c r="C656"/>
  <c r="C655"/>
  <c r="C654"/>
  <c r="C653"/>
  <c r="C648"/>
  <c r="C322" s="1"/>
  <c r="C647"/>
  <c r="C321" s="1"/>
  <c r="C646"/>
  <c r="C645"/>
  <c r="C319" s="1"/>
  <c r="C644"/>
  <c r="C318" s="1"/>
  <c r="C643"/>
  <c r="C642"/>
  <c r="C316" s="1"/>
  <c r="C652"/>
  <c r="C641"/>
  <c r="C315" s="1"/>
  <c r="C616"/>
  <c r="C615"/>
  <c r="C295" s="1"/>
  <c r="C614"/>
  <c r="C294" s="1"/>
  <c r="C613"/>
  <c r="C293" s="1"/>
  <c r="C612"/>
  <c r="C611"/>
  <c r="C291" s="1"/>
  <c r="C640"/>
  <c r="C314" s="1"/>
  <c r="C639"/>
  <c r="C313" s="1"/>
  <c r="C628"/>
  <c r="C627"/>
  <c r="C626"/>
  <c r="C625"/>
  <c r="C624"/>
  <c r="C623"/>
  <c r="C622"/>
  <c r="C621"/>
  <c r="C620"/>
  <c r="C610"/>
  <c r="C290" s="1"/>
  <c r="C584"/>
  <c r="C271" s="1"/>
  <c r="C583"/>
  <c r="C270" s="1"/>
  <c r="C582"/>
  <c r="C269" s="1"/>
  <c r="C581"/>
  <c r="C268" s="1"/>
  <c r="C580"/>
  <c r="C267" s="1"/>
  <c r="C609"/>
  <c r="C289" s="1"/>
  <c r="C608"/>
  <c r="C288" s="1"/>
  <c r="C607"/>
  <c r="C596"/>
  <c r="C595"/>
  <c r="C594"/>
  <c r="C593"/>
  <c r="C592"/>
  <c r="C591"/>
  <c r="C590"/>
  <c r="C589"/>
  <c r="C588"/>
  <c r="C579"/>
  <c r="C266" s="1"/>
  <c r="C564"/>
  <c r="C62" s="1"/>
  <c r="C578"/>
  <c r="C265" s="1"/>
  <c r="C577"/>
  <c r="C264" s="1"/>
  <c r="C576"/>
  <c r="C575"/>
  <c r="C262" s="1"/>
  <c r="C480"/>
  <c r="C481" s="1"/>
  <c r="C474"/>
  <c r="C475" s="1"/>
  <c r="C378"/>
  <c r="C377"/>
  <c r="C376"/>
  <c r="C375"/>
  <c r="C374"/>
  <c r="C373"/>
  <c r="C391"/>
  <c r="C296"/>
  <c r="C257"/>
  <c r="C244"/>
  <c r="C243"/>
  <c r="C242"/>
  <c r="C241"/>
  <c r="C240"/>
  <c r="C239"/>
  <c r="B109"/>
  <c r="E2"/>
  <c r="C19"/>
  <c r="C23"/>
  <c r="C25"/>
  <c r="C26"/>
  <c r="C30"/>
  <c r="C34"/>
  <c r="C95"/>
  <c r="E95"/>
  <c r="G95"/>
  <c r="I95"/>
  <c r="K95"/>
  <c r="M95"/>
  <c r="O95"/>
  <c r="Q95"/>
  <c r="S95"/>
  <c r="U95"/>
  <c r="W95"/>
  <c r="Y95"/>
  <c r="AA95"/>
  <c r="AC95"/>
  <c r="AE95"/>
  <c r="AG95"/>
  <c r="AI95"/>
  <c r="AK95"/>
  <c r="AM95"/>
  <c r="AO95"/>
  <c r="D19"/>
  <c r="D23"/>
  <c r="D25"/>
  <c r="D26"/>
  <c r="D30"/>
  <c r="B105"/>
  <c r="A374"/>
  <c r="A381" s="1"/>
  <c r="A376"/>
  <c r="A383" s="1"/>
  <c r="A378"/>
  <c r="A385" s="1"/>
  <c r="A351"/>
  <c r="A358"/>
  <c r="A359"/>
  <c r="A360"/>
  <c r="A361"/>
  <c r="A362"/>
  <c r="A363"/>
  <c r="A239"/>
  <c r="A246" s="1"/>
  <c r="A240"/>
  <c r="A247" s="1"/>
  <c r="A241"/>
  <c r="A248" s="1"/>
  <c r="A242"/>
  <c r="A249" s="1"/>
  <c r="A243"/>
  <c r="A250" s="1"/>
  <c r="A244"/>
  <c r="A251" s="1"/>
  <c r="A373"/>
  <c r="A380" s="1"/>
  <c r="A375"/>
  <c r="A382" s="1"/>
  <c r="A377"/>
  <c r="A384" s="1"/>
  <c r="A350"/>
  <c r="A352"/>
  <c r="A353"/>
  <c r="A354"/>
  <c r="A355"/>
  <c r="A356"/>
  <c r="A357"/>
  <c r="A364"/>
  <c r="A365"/>
  <c r="A366"/>
  <c r="A367"/>
  <c r="A368"/>
  <c r="A535" i="2"/>
  <c r="A536" s="1"/>
  <c r="A537" s="1"/>
  <c r="A538" s="1"/>
  <c r="A539" s="1"/>
  <c r="A540" s="1"/>
  <c r="A541" s="1"/>
  <c r="A542" s="1"/>
  <c r="A543" s="1"/>
  <c r="A523"/>
  <c r="A524" s="1"/>
  <c r="A525" s="1"/>
  <c r="A526" s="1"/>
  <c r="A527" s="1"/>
  <c r="A528" s="1"/>
  <c r="A529" s="1"/>
  <c r="A530" s="1"/>
  <c r="A531" s="1"/>
  <c r="A509"/>
  <c r="A510" s="1"/>
  <c r="A511" s="1"/>
  <c r="A512" s="1"/>
  <c r="A513" s="1"/>
  <c r="A514" s="1"/>
  <c r="A515" s="1"/>
  <c r="A516" s="1"/>
  <c r="A517" s="1"/>
  <c r="A497"/>
  <c r="A498" s="1"/>
  <c r="A499" s="1"/>
  <c r="A500" s="1"/>
  <c r="A501" s="1"/>
  <c r="A502" s="1"/>
  <c r="A503" s="1"/>
  <c r="A504" s="1"/>
  <c r="A505" s="1"/>
  <c r="A400"/>
  <c r="A401" s="1"/>
  <c r="A402" s="1"/>
  <c r="A403" s="1"/>
  <c r="A404" s="1"/>
  <c r="A405" s="1"/>
  <c r="A406" s="1"/>
  <c r="A407" s="1"/>
  <c r="A408" s="1"/>
  <c r="A388"/>
  <c r="A389" s="1"/>
  <c r="A390" s="1"/>
  <c r="A391" s="1"/>
  <c r="A392" s="1"/>
  <c r="A393" s="1"/>
  <c r="A394" s="1"/>
  <c r="A395" s="1"/>
  <c r="A396" s="1"/>
  <c r="A374"/>
  <c r="A375" s="1"/>
  <c r="A376" s="1"/>
  <c r="A377" s="1"/>
  <c r="A378" s="1"/>
  <c r="A379" s="1"/>
  <c r="A380" s="1"/>
  <c r="A381" s="1"/>
  <c r="A382" s="1"/>
  <c r="A362"/>
  <c r="A363" s="1"/>
  <c r="A364" s="1"/>
  <c r="A365" s="1"/>
  <c r="A366" s="1"/>
  <c r="A367" s="1"/>
  <c r="A368" s="1"/>
  <c r="A369" s="1"/>
  <c r="A370" s="1"/>
  <c r="B70"/>
  <c r="B69"/>
  <c r="B65"/>
  <c r="B64"/>
  <c r="A3" i="5"/>
  <c r="A4" s="1"/>
  <c r="A5" s="1"/>
  <c r="A6" s="1"/>
  <c r="A7" s="1"/>
  <c r="A8" s="1"/>
  <c r="A9" s="1"/>
  <c r="A10" s="1"/>
  <c r="A11" s="1"/>
  <c r="A12" s="1"/>
  <c r="A13" s="1"/>
  <c r="A14" s="1"/>
  <c r="A15" s="1"/>
  <c r="A16" s="1"/>
  <c r="A17" s="1"/>
  <c r="A18" s="1"/>
  <c r="A726" i="2"/>
  <c r="A727" s="1"/>
  <c r="A728" s="1"/>
  <c r="A729" s="1"/>
  <c r="A730" s="1"/>
  <c r="A731" s="1"/>
  <c r="A732" s="1"/>
  <c r="A733" s="1"/>
  <c r="A734" s="1"/>
  <c r="A714"/>
  <c r="B709"/>
  <c r="C706" s="1"/>
  <c r="J21" i="1"/>
  <c r="J17"/>
  <c r="A694" i="2"/>
  <c r="A695" s="1"/>
  <c r="A696" s="1"/>
  <c r="A697" s="1"/>
  <c r="A698" s="1"/>
  <c r="A699" s="1"/>
  <c r="A700" s="1"/>
  <c r="A701" s="1"/>
  <c r="A702" s="1"/>
  <c r="A682"/>
  <c r="B677"/>
  <c r="C674" s="1"/>
  <c r="D213" i="7" l="1"/>
  <c r="D507"/>
  <c r="D515"/>
  <c r="E519"/>
  <c r="E515"/>
  <c r="E511"/>
  <c r="E507"/>
  <c r="E558"/>
  <c r="D284" i="8"/>
  <c r="C601"/>
  <c r="E56" i="10"/>
  <c r="E85"/>
  <c r="E86" s="1"/>
  <c r="F629"/>
  <c r="F625"/>
  <c r="F621"/>
  <c r="F617"/>
  <c r="D578" i="8"/>
  <c r="D590"/>
  <c r="D586"/>
  <c r="D582"/>
  <c r="D65" i="10"/>
  <c r="D68" s="1"/>
  <c r="D75" s="1"/>
  <c r="C179"/>
  <c r="C196" s="1"/>
  <c r="E58"/>
  <c r="E180"/>
  <c r="E197" s="1"/>
  <c r="E141"/>
  <c r="E153" s="1"/>
  <c r="E249"/>
  <c r="E221"/>
  <c r="E59"/>
  <c r="G11"/>
  <c r="F645"/>
  <c r="F181" s="1"/>
  <c r="F198" s="1"/>
  <c r="F41"/>
  <c r="F183" s="1"/>
  <c r="F200" s="1"/>
  <c r="E640"/>
  <c r="F637" s="1"/>
  <c r="C178" i="7"/>
  <c r="E27" i="10"/>
  <c r="E509"/>
  <c r="D506"/>
  <c r="F741"/>
  <c r="F740"/>
  <c r="F739"/>
  <c r="F738"/>
  <c r="F737"/>
  <c r="F736"/>
  <c r="F735"/>
  <c r="F734"/>
  <c r="F729"/>
  <c r="F728"/>
  <c r="F431" s="1"/>
  <c r="F727"/>
  <c r="F430" s="1"/>
  <c r="F726"/>
  <c r="F429" s="1"/>
  <c r="F725"/>
  <c r="F428" s="1"/>
  <c r="F724"/>
  <c r="F427" s="1"/>
  <c r="F723"/>
  <c r="F426" s="1"/>
  <c r="F722"/>
  <c r="F425" s="1"/>
  <c r="F721"/>
  <c r="F424" s="1"/>
  <c r="F720"/>
  <c r="F423" s="1"/>
  <c r="F709"/>
  <c r="F708"/>
  <c r="F707"/>
  <c r="F706"/>
  <c r="F705"/>
  <c r="F704"/>
  <c r="F703"/>
  <c r="F702"/>
  <c r="F701"/>
  <c r="F697"/>
  <c r="F406" s="1"/>
  <c r="F696"/>
  <c r="F695"/>
  <c r="F404" s="1"/>
  <c r="F694"/>
  <c r="F403" s="1"/>
  <c r="F693"/>
  <c r="F402" s="1"/>
  <c r="F692"/>
  <c r="F401" s="1"/>
  <c r="F691"/>
  <c r="F690"/>
  <c r="F399" s="1"/>
  <c r="F689"/>
  <c r="F398" s="1"/>
  <c r="F688"/>
  <c r="F397" s="1"/>
  <c r="F677"/>
  <c r="F676"/>
  <c r="F675"/>
  <c r="F674"/>
  <c r="F673"/>
  <c r="F672"/>
  <c r="F671"/>
  <c r="F670"/>
  <c r="F669"/>
  <c r="F665"/>
  <c r="F381" s="1"/>
  <c r="F664"/>
  <c r="F380" s="1"/>
  <c r="F663"/>
  <c r="F379" s="1"/>
  <c r="F662"/>
  <c r="F661"/>
  <c r="F377" s="1"/>
  <c r="F660"/>
  <c r="F376" s="1"/>
  <c r="F659"/>
  <c r="F375" s="1"/>
  <c r="F658"/>
  <c r="F374" s="1"/>
  <c r="F657"/>
  <c r="F639"/>
  <c r="F656"/>
  <c r="F372" s="1"/>
  <c r="F590"/>
  <c r="F591" s="1"/>
  <c r="F584"/>
  <c r="F585" s="1"/>
  <c r="F501"/>
  <c r="F432"/>
  <c r="F400"/>
  <c r="F373"/>
  <c r="F354"/>
  <c r="F353"/>
  <c r="F352"/>
  <c r="F351"/>
  <c r="F350"/>
  <c r="F349"/>
  <c r="F488"/>
  <c r="F487"/>
  <c r="F486"/>
  <c r="F485"/>
  <c r="F484"/>
  <c r="F483"/>
  <c r="F405"/>
  <c r="F378"/>
  <c r="F367"/>
  <c r="F30"/>
  <c r="F26"/>
  <c r="F25"/>
  <c r="F23"/>
  <c r="F19"/>
  <c r="G2"/>
  <c r="E513"/>
  <c r="E533"/>
  <c r="E537"/>
  <c r="E541"/>
  <c r="E561"/>
  <c r="E565"/>
  <c r="E506"/>
  <c r="E510"/>
  <c r="E514"/>
  <c r="E534"/>
  <c r="E538"/>
  <c r="E558"/>
  <c r="E562"/>
  <c r="E566"/>
  <c r="C565" i="7"/>
  <c r="D562" s="1"/>
  <c r="D565" s="1"/>
  <c r="E562" s="1"/>
  <c r="D263"/>
  <c r="D287"/>
  <c r="D316"/>
  <c r="D320"/>
  <c r="E666" i="10"/>
  <c r="E651" s="1"/>
  <c r="E698"/>
  <c r="E683" s="1"/>
  <c r="E66" s="1"/>
  <c r="E368"/>
  <c r="E507"/>
  <c r="E511"/>
  <c r="E515"/>
  <c r="E535"/>
  <c r="E539"/>
  <c r="E559"/>
  <c r="E563"/>
  <c r="E567"/>
  <c r="E508"/>
  <c r="E512"/>
  <c r="E532"/>
  <c r="E536"/>
  <c r="E540"/>
  <c r="E560"/>
  <c r="E564"/>
  <c r="E502"/>
  <c r="E730"/>
  <c r="E715" s="1"/>
  <c r="E67" s="1"/>
  <c r="E11" i="8"/>
  <c r="D598"/>
  <c r="C463"/>
  <c r="C392" i="7"/>
  <c r="D585"/>
  <c r="D570" s="1"/>
  <c r="D68" s="1"/>
  <c r="D649"/>
  <c r="D634" s="1"/>
  <c r="D70" s="1"/>
  <c r="D347"/>
  <c r="D340" s="1"/>
  <c r="C470" i="8"/>
  <c r="C474"/>
  <c r="C521"/>
  <c r="C525"/>
  <c r="C493"/>
  <c r="C497"/>
  <c r="C501"/>
  <c r="C469"/>
  <c r="C467"/>
  <c r="C494"/>
  <c r="C498"/>
  <c r="C502"/>
  <c r="C522"/>
  <c r="C526"/>
  <c r="C473"/>
  <c r="C621"/>
  <c r="C606" s="1"/>
  <c r="C60" s="1"/>
  <c r="D696"/>
  <c r="D695"/>
  <c r="D694"/>
  <c r="D693"/>
  <c r="D692"/>
  <c r="D691"/>
  <c r="D690"/>
  <c r="D689"/>
  <c r="D688"/>
  <c r="D684"/>
  <c r="D393" s="1"/>
  <c r="D683"/>
  <c r="D392" s="1"/>
  <c r="D682"/>
  <c r="D391" s="1"/>
  <c r="D681"/>
  <c r="D390" s="1"/>
  <c r="D680"/>
  <c r="D389" s="1"/>
  <c r="D679"/>
  <c r="D388" s="1"/>
  <c r="D678"/>
  <c r="D387" s="1"/>
  <c r="D677"/>
  <c r="D386" s="1"/>
  <c r="D676"/>
  <c r="D385" s="1"/>
  <c r="D675"/>
  <c r="D384" s="1"/>
  <c r="D664"/>
  <c r="D663"/>
  <c r="D662"/>
  <c r="D661"/>
  <c r="D660"/>
  <c r="D659"/>
  <c r="D658"/>
  <c r="D657"/>
  <c r="D656"/>
  <c r="D652"/>
  <c r="D651"/>
  <c r="D366" s="1"/>
  <c r="D650"/>
  <c r="D365" s="1"/>
  <c r="D649"/>
  <c r="D364" s="1"/>
  <c r="D648"/>
  <c r="D363" s="1"/>
  <c r="D647"/>
  <c r="D362" s="1"/>
  <c r="D646"/>
  <c r="D361" s="1"/>
  <c r="D645"/>
  <c r="D360" s="1"/>
  <c r="D644"/>
  <c r="D359" s="1"/>
  <c r="D643"/>
  <c r="D358" s="1"/>
  <c r="D632"/>
  <c r="D631"/>
  <c r="D630"/>
  <c r="D629"/>
  <c r="D628"/>
  <c r="D627"/>
  <c r="D626"/>
  <c r="D625"/>
  <c r="D624"/>
  <c r="D620"/>
  <c r="D342" s="1"/>
  <c r="D619"/>
  <c r="D341" s="1"/>
  <c r="D618"/>
  <c r="D340" s="1"/>
  <c r="D617"/>
  <c r="D339" s="1"/>
  <c r="D616"/>
  <c r="D338" s="1"/>
  <c r="D615"/>
  <c r="D337" s="1"/>
  <c r="D614"/>
  <c r="D336" s="1"/>
  <c r="D613"/>
  <c r="D335" s="1"/>
  <c r="D612"/>
  <c r="D334" s="1"/>
  <c r="D611"/>
  <c r="D333" s="1"/>
  <c r="D551"/>
  <c r="D552" s="1"/>
  <c r="D545"/>
  <c r="D546" s="1"/>
  <c r="D600"/>
  <c r="D54" s="1"/>
  <c r="D462"/>
  <c r="D367"/>
  <c r="D449"/>
  <c r="D448"/>
  <c r="D447"/>
  <c r="D446"/>
  <c r="D445"/>
  <c r="D444"/>
  <c r="D328"/>
  <c r="D315"/>
  <c r="D314"/>
  <c r="D313"/>
  <c r="D312"/>
  <c r="D311"/>
  <c r="D310"/>
  <c r="C34"/>
  <c r="E2"/>
  <c r="D30"/>
  <c r="D26"/>
  <c r="D25"/>
  <c r="D23"/>
  <c r="D19"/>
  <c r="C320" i="7"/>
  <c r="C455" s="1"/>
  <c r="C329" i="8"/>
  <c r="C27"/>
  <c r="AH170"/>
  <c r="AH155"/>
  <c r="AF170"/>
  <c r="AF155"/>
  <c r="AD170"/>
  <c r="AD155"/>
  <c r="AB170"/>
  <c r="AB155"/>
  <c r="Z170"/>
  <c r="Z155"/>
  <c r="X170"/>
  <c r="X155"/>
  <c r="V170"/>
  <c r="V155"/>
  <c r="T170"/>
  <c r="T155"/>
  <c r="R170"/>
  <c r="R155"/>
  <c r="P170"/>
  <c r="P155"/>
  <c r="N170"/>
  <c r="N155"/>
  <c r="L170"/>
  <c r="L155"/>
  <c r="J170"/>
  <c r="J155"/>
  <c r="H170"/>
  <c r="H155"/>
  <c r="F170"/>
  <c r="F155"/>
  <c r="D170"/>
  <c r="D155"/>
  <c r="C468"/>
  <c r="C472"/>
  <c r="C476"/>
  <c r="C496"/>
  <c r="C500"/>
  <c r="C520"/>
  <c r="C524"/>
  <c r="C528"/>
  <c r="C471"/>
  <c r="C475"/>
  <c r="C495"/>
  <c r="C499"/>
  <c r="C519"/>
  <c r="C523"/>
  <c r="C527"/>
  <c r="C653"/>
  <c r="C638" s="1"/>
  <c r="C61" s="1"/>
  <c r="C685"/>
  <c r="C670" s="1"/>
  <c r="C62" s="1"/>
  <c r="AO170"/>
  <c r="AO155"/>
  <c r="AM170"/>
  <c r="AM155"/>
  <c r="AK170"/>
  <c r="AK155"/>
  <c r="AI170"/>
  <c r="AI155"/>
  <c r="AG170"/>
  <c r="AG155"/>
  <c r="AE170"/>
  <c r="AE155"/>
  <c r="AC170"/>
  <c r="AC155"/>
  <c r="AA170"/>
  <c r="AA155"/>
  <c r="Y170"/>
  <c r="Y155"/>
  <c r="W170"/>
  <c r="W155"/>
  <c r="U170"/>
  <c r="U155"/>
  <c r="S170"/>
  <c r="S155"/>
  <c r="Q170"/>
  <c r="Q155"/>
  <c r="O170"/>
  <c r="O155"/>
  <c r="M170"/>
  <c r="M155"/>
  <c r="K170"/>
  <c r="K155"/>
  <c r="I170"/>
  <c r="I155"/>
  <c r="G170"/>
  <c r="G155"/>
  <c r="E170"/>
  <c r="E155"/>
  <c r="C170"/>
  <c r="C155"/>
  <c r="C258" i="7"/>
  <c r="C287"/>
  <c r="C422" s="1"/>
  <c r="D292"/>
  <c r="D427" s="1"/>
  <c r="D296"/>
  <c r="D431" s="1"/>
  <c r="D317"/>
  <c r="D452" s="1"/>
  <c r="D321"/>
  <c r="D456" s="1"/>
  <c r="D392"/>
  <c r="D27"/>
  <c r="C27"/>
  <c r="C292"/>
  <c r="C427" s="1"/>
  <c r="C317"/>
  <c r="C452" s="1"/>
  <c r="D268"/>
  <c r="D402" s="1"/>
  <c r="D617"/>
  <c r="D602" s="1"/>
  <c r="D69" s="1"/>
  <c r="E534"/>
  <c r="E527"/>
  <c r="E528" s="1"/>
  <c r="F11"/>
  <c r="D397"/>
  <c r="D422"/>
  <c r="D451"/>
  <c r="D455"/>
  <c r="E660"/>
  <c r="E659"/>
  <c r="E658"/>
  <c r="E657"/>
  <c r="E656"/>
  <c r="E655"/>
  <c r="E654"/>
  <c r="E652"/>
  <c r="E648"/>
  <c r="E322" s="1"/>
  <c r="E647"/>
  <c r="E321" s="1"/>
  <c r="E646"/>
  <c r="E320" s="1"/>
  <c r="E645"/>
  <c r="E319" s="1"/>
  <c r="E644"/>
  <c r="E318" s="1"/>
  <c r="E643"/>
  <c r="E317" s="1"/>
  <c r="E642"/>
  <c r="E316" s="1"/>
  <c r="E641"/>
  <c r="E315" s="1"/>
  <c r="E653"/>
  <c r="E640"/>
  <c r="E314" s="1"/>
  <c r="E616"/>
  <c r="E296" s="1"/>
  <c r="E615"/>
  <c r="E295" s="1"/>
  <c r="E614"/>
  <c r="E294" s="1"/>
  <c r="E613"/>
  <c r="E293" s="1"/>
  <c r="E612"/>
  <c r="E292" s="1"/>
  <c r="E611"/>
  <c r="E291" s="1"/>
  <c r="E639"/>
  <c r="E628"/>
  <c r="E627"/>
  <c r="E626"/>
  <c r="E625"/>
  <c r="E624"/>
  <c r="E623"/>
  <c r="E622"/>
  <c r="E621"/>
  <c r="E620"/>
  <c r="E584"/>
  <c r="E271" s="1"/>
  <c r="E583"/>
  <c r="E270" s="1"/>
  <c r="E582"/>
  <c r="E269" s="1"/>
  <c r="E581"/>
  <c r="E268" s="1"/>
  <c r="E580"/>
  <c r="E267" s="1"/>
  <c r="E610"/>
  <c r="E290" s="1"/>
  <c r="E609"/>
  <c r="E289" s="1"/>
  <c r="E608"/>
  <c r="E288" s="1"/>
  <c r="E607"/>
  <c r="E287" s="1"/>
  <c r="E596"/>
  <c r="E595"/>
  <c r="E594"/>
  <c r="E593"/>
  <c r="E592"/>
  <c r="E591"/>
  <c r="E590"/>
  <c r="E589"/>
  <c r="E588"/>
  <c r="E578"/>
  <c r="E265" s="1"/>
  <c r="E564"/>
  <c r="E62" s="1"/>
  <c r="E579"/>
  <c r="E266" s="1"/>
  <c r="E577"/>
  <c r="E264" s="1"/>
  <c r="E576"/>
  <c r="E263" s="1"/>
  <c r="E575"/>
  <c r="E262" s="1"/>
  <c r="E480"/>
  <c r="E481" s="1"/>
  <c r="E474"/>
  <c r="E475" s="1"/>
  <c r="E378"/>
  <c r="E377"/>
  <c r="E376"/>
  <c r="E375"/>
  <c r="E374"/>
  <c r="E373"/>
  <c r="E391"/>
  <c r="E257"/>
  <c r="E244"/>
  <c r="E243"/>
  <c r="E242"/>
  <c r="E241"/>
  <c r="E240"/>
  <c r="E239"/>
  <c r="F2"/>
  <c r="E30"/>
  <c r="E26"/>
  <c r="E25"/>
  <c r="E23"/>
  <c r="E19"/>
  <c r="C398"/>
  <c r="C400"/>
  <c r="C401"/>
  <c r="C405"/>
  <c r="C425"/>
  <c r="C429"/>
  <c r="C449"/>
  <c r="C453"/>
  <c r="C457"/>
  <c r="C426"/>
  <c r="C430"/>
  <c r="C450"/>
  <c r="C454"/>
  <c r="C585"/>
  <c r="C570" s="1"/>
  <c r="C68" s="1"/>
  <c r="C649"/>
  <c r="C634" s="1"/>
  <c r="C70" s="1"/>
  <c r="D258"/>
  <c r="C263"/>
  <c r="D271"/>
  <c r="D269"/>
  <c r="D264"/>
  <c r="D291"/>
  <c r="D295"/>
  <c r="D315"/>
  <c r="D319"/>
  <c r="D288"/>
  <c r="C402"/>
  <c r="C396"/>
  <c r="C404"/>
  <c r="C399"/>
  <c r="C403"/>
  <c r="C423"/>
  <c r="C431"/>
  <c r="C451"/>
  <c r="C424"/>
  <c r="C428"/>
  <c r="C448"/>
  <c r="C456"/>
  <c r="C617"/>
  <c r="C602" s="1"/>
  <c r="C69" s="1"/>
  <c r="D267"/>
  <c r="D265"/>
  <c r="D262"/>
  <c r="D266"/>
  <c r="D270"/>
  <c r="D289"/>
  <c r="D293"/>
  <c r="D313"/>
  <c r="D290"/>
  <c r="D294"/>
  <c r="D314"/>
  <c r="D318"/>
  <c r="D322"/>
  <c r="A715" i="2"/>
  <c r="A683"/>
  <c r="E126" i="1"/>
  <c r="D126"/>
  <c r="C126"/>
  <c r="B126"/>
  <c r="C177"/>
  <c r="D177"/>
  <c r="E177"/>
  <c r="B177"/>
  <c r="F519" i="7" l="1"/>
  <c r="F515"/>
  <c r="F511"/>
  <c r="F507"/>
  <c r="F558"/>
  <c r="E313"/>
  <c r="F56" i="10"/>
  <c r="F85"/>
  <c r="F86" s="1"/>
  <c r="G629"/>
  <c r="G625"/>
  <c r="G621"/>
  <c r="G617"/>
  <c r="E590" i="8"/>
  <c r="E586"/>
  <c r="E582"/>
  <c r="E578"/>
  <c r="E65" i="10"/>
  <c r="E68" s="1"/>
  <c r="E75" s="1"/>
  <c r="D179"/>
  <c r="D196" s="1"/>
  <c r="F58"/>
  <c r="F180"/>
  <c r="F197" s="1"/>
  <c r="F141"/>
  <c r="F153" s="1"/>
  <c r="F249"/>
  <c r="F221"/>
  <c r="F59"/>
  <c r="H11"/>
  <c r="G645"/>
  <c r="G181" s="1"/>
  <c r="G198" s="1"/>
  <c r="G41"/>
  <c r="G183" s="1"/>
  <c r="G200" s="1"/>
  <c r="F640"/>
  <c r="G637" s="1"/>
  <c r="F730"/>
  <c r="F715" s="1"/>
  <c r="F67" s="1"/>
  <c r="G741"/>
  <c r="G740"/>
  <c r="G739"/>
  <c r="G738"/>
  <c r="G737"/>
  <c r="G736"/>
  <c r="G735"/>
  <c r="G734"/>
  <c r="G729"/>
  <c r="G432" s="1"/>
  <c r="G728"/>
  <c r="G431" s="1"/>
  <c r="G727"/>
  <c r="G430" s="1"/>
  <c r="G726"/>
  <c r="G429" s="1"/>
  <c r="G725"/>
  <c r="G428" s="1"/>
  <c r="G724"/>
  <c r="G427" s="1"/>
  <c r="G723"/>
  <c r="G426" s="1"/>
  <c r="G722"/>
  <c r="G721"/>
  <c r="G424" s="1"/>
  <c r="G697"/>
  <c r="G406" s="1"/>
  <c r="G696"/>
  <c r="G405" s="1"/>
  <c r="G695"/>
  <c r="G404" s="1"/>
  <c r="G694"/>
  <c r="G403" s="1"/>
  <c r="G693"/>
  <c r="G402" s="1"/>
  <c r="G692"/>
  <c r="G691"/>
  <c r="G400" s="1"/>
  <c r="G720"/>
  <c r="G423" s="1"/>
  <c r="G709"/>
  <c r="G708"/>
  <c r="G707"/>
  <c r="G706"/>
  <c r="G705"/>
  <c r="G704"/>
  <c r="G703"/>
  <c r="G702"/>
  <c r="G701"/>
  <c r="G690"/>
  <c r="G399" s="1"/>
  <c r="G665"/>
  <c r="G381" s="1"/>
  <c r="G664"/>
  <c r="G380" s="1"/>
  <c r="G663"/>
  <c r="G379" s="1"/>
  <c r="G662"/>
  <c r="G378" s="1"/>
  <c r="G661"/>
  <c r="G377" s="1"/>
  <c r="G660"/>
  <c r="G376" s="1"/>
  <c r="G689"/>
  <c r="G398" s="1"/>
  <c r="G688"/>
  <c r="G397" s="1"/>
  <c r="G677"/>
  <c r="G676"/>
  <c r="G675"/>
  <c r="G674"/>
  <c r="G673"/>
  <c r="G672"/>
  <c r="G671"/>
  <c r="G670"/>
  <c r="G669"/>
  <c r="G659"/>
  <c r="G375" s="1"/>
  <c r="G657"/>
  <c r="G373" s="1"/>
  <c r="G656"/>
  <c r="G372" s="1"/>
  <c r="G590"/>
  <c r="G591" s="1"/>
  <c r="G584"/>
  <c r="G585" s="1"/>
  <c r="G658"/>
  <c r="G374" s="1"/>
  <c r="G639"/>
  <c r="G488"/>
  <c r="G487"/>
  <c r="G486"/>
  <c r="G485"/>
  <c r="G484"/>
  <c r="G483"/>
  <c r="G425"/>
  <c r="G401"/>
  <c r="G367"/>
  <c r="G501"/>
  <c r="G354"/>
  <c r="G353"/>
  <c r="G352"/>
  <c r="G351"/>
  <c r="G350"/>
  <c r="G349"/>
  <c r="G30"/>
  <c r="G26"/>
  <c r="G25"/>
  <c r="G23"/>
  <c r="G19"/>
  <c r="H2"/>
  <c r="F508"/>
  <c r="F512"/>
  <c r="F532"/>
  <c r="F536"/>
  <c r="F540"/>
  <c r="F560"/>
  <c r="F564"/>
  <c r="F502"/>
  <c r="F368"/>
  <c r="F507"/>
  <c r="F511"/>
  <c r="F515"/>
  <c r="F535"/>
  <c r="F539"/>
  <c r="F559"/>
  <c r="F563"/>
  <c r="F567"/>
  <c r="F666"/>
  <c r="F651" s="1"/>
  <c r="F27"/>
  <c r="F506"/>
  <c r="F510"/>
  <c r="F514"/>
  <c r="F534"/>
  <c r="F538"/>
  <c r="F558"/>
  <c r="F562"/>
  <c r="F566"/>
  <c r="F509"/>
  <c r="F513"/>
  <c r="F533"/>
  <c r="F537"/>
  <c r="F541"/>
  <c r="F561"/>
  <c r="F565"/>
  <c r="F698"/>
  <c r="F683" s="1"/>
  <c r="F66" s="1"/>
  <c r="D71" i="7"/>
  <c r="F11" i="8"/>
  <c r="D601"/>
  <c r="E696"/>
  <c r="E695"/>
  <c r="E694"/>
  <c r="E693"/>
  <c r="E692"/>
  <c r="E691"/>
  <c r="E690"/>
  <c r="E689"/>
  <c r="E688"/>
  <c r="E684"/>
  <c r="E393" s="1"/>
  <c r="E683"/>
  <c r="E392" s="1"/>
  <c r="E682"/>
  <c r="E391" s="1"/>
  <c r="E681"/>
  <c r="E390" s="1"/>
  <c r="E680"/>
  <c r="E389" s="1"/>
  <c r="E679"/>
  <c r="E388" s="1"/>
  <c r="E678"/>
  <c r="E387" s="1"/>
  <c r="E677"/>
  <c r="E676"/>
  <c r="E385" s="1"/>
  <c r="E675"/>
  <c r="E384" s="1"/>
  <c r="E664"/>
  <c r="E662"/>
  <c r="E660"/>
  <c r="E652"/>
  <c r="E367" s="1"/>
  <c r="E651"/>
  <c r="E650"/>
  <c r="E365" s="1"/>
  <c r="E649"/>
  <c r="E364" s="1"/>
  <c r="E648"/>
  <c r="E363" s="1"/>
  <c r="E647"/>
  <c r="E362" s="1"/>
  <c r="E646"/>
  <c r="E361" s="1"/>
  <c r="E645"/>
  <c r="E360" s="1"/>
  <c r="E644"/>
  <c r="E359" s="1"/>
  <c r="E643"/>
  <c r="E358" s="1"/>
  <c r="E663"/>
  <c r="E661"/>
  <c r="E659"/>
  <c r="E658"/>
  <c r="E657"/>
  <c r="E656"/>
  <c r="E620"/>
  <c r="E342" s="1"/>
  <c r="E619"/>
  <c r="E341" s="1"/>
  <c r="E618"/>
  <c r="E340" s="1"/>
  <c r="E617"/>
  <c r="E339" s="1"/>
  <c r="E616"/>
  <c r="E338" s="1"/>
  <c r="E615"/>
  <c r="E337" s="1"/>
  <c r="E614"/>
  <c r="E336" s="1"/>
  <c r="E613"/>
  <c r="E335" s="1"/>
  <c r="E612"/>
  <c r="E334" s="1"/>
  <c r="E611"/>
  <c r="E333" s="1"/>
  <c r="E632"/>
  <c r="E631"/>
  <c r="E630"/>
  <c r="E629"/>
  <c r="E628"/>
  <c r="E627"/>
  <c r="E626"/>
  <c r="E625"/>
  <c r="E624"/>
  <c r="E600"/>
  <c r="E54" s="1"/>
  <c r="E551"/>
  <c r="E552" s="1"/>
  <c r="E545"/>
  <c r="E546" s="1"/>
  <c r="E449"/>
  <c r="E448"/>
  <c r="E447"/>
  <c r="E446"/>
  <c r="E445"/>
  <c r="E444"/>
  <c r="E386"/>
  <c r="E366"/>
  <c r="E462"/>
  <c r="E328"/>
  <c r="E315"/>
  <c r="E314"/>
  <c r="E313"/>
  <c r="E312"/>
  <c r="E311"/>
  <c r="E310"/>
  <c r="E30"/>
  <c r="E26"/>
  <c r="E25"/>
  <c r="E23"/>
  <c r="E19"/>
  <c r="F2"/>
  <c r="D468"/>
  <c r="D469"/>
  <c r="D473"/>
  <c r="D493"/>
  <c r="D497"/>
  <c r="D501"/>
  <c r="D521"/>
  <c r="D525"/>
  <c r="D463"/>
  <c r="D472"/>
  <c r="D476"/>
  <c r="D496"/>
  <c r="D500"/>
  <c r="D520"/>
  <c r="D524"/>
  <c r="D528"/>
  <c r="D27"/>
  <c r="D621"/>
  <c r="D606" s="1"/>
  <c r="D60" s="1"/>
  <c r="D653"/>
  <c r="D638" s="1"/>
  <c r="D61" s="1"/>
  <c r="D685"/>
  <c r="D670" s="1"/>
  <c r="D62" s="1"/>
  <c r="C63"/>
  <c r="D329"/>
  <c r="D470"/>
  <c r="D467"/>
  <c r="D471"/>
  <c r="D475"/>
  <c r="D495"/>
  <c r="D499"/>
  <c r="D519"/>
  <c r="D523"/>
  <c r="D527"/>
  <c r="D474"/>
  <c r="D494"/>
  <c r="D498"/>
  <c r="D502"/>
  <c r="D522"/>
  <c r="D526"/>
  <c r="E565" i="7"/>
  <c r="F562" s="1"/>
  <c r="E27"/>
  <c r="E649"/>
  <c r="E634" s="1"/>
  <c r="E70" s="1"/>
  <c r="G11"/>
  <c r="F534"/>
  <c r="F527"/>
  <c r="F528" s="1"/>
  <c r="E585"/>
  <c r="E570" s="1"/>
  <c r="E68" s="1"/>
  <c r="D429"/>
  <c r="D428"/>
  <c r="D404"/>
  <c r="D457"/>
  <c r="D449"/>
  <c r="D425"/>
  <c r="D448"/>
  <c r="D424"/>
  <c r="D400"/>
  <c r="D399"/>
  <c r="D401"/>
  <c r="D450"/>
  <c r="D426"/>
  <c r="D403"/>
  <c r="D405"/>
  <c r="C397"/>
  <c r="E400"/>
  <c r="E402"/>
  <c r="E399"/>
  <c r="E403"/>
  <c r="E423"/>
  <c r="E427"/>
  <c r="E431"/>
  <c r="E451"/>
  <c r="E455"/>
  <c r="E424"/>
  <c r="E428"/>
  <c r="E448"/>
  <c r="E452"/>
  <c r="E456"/>
  <c r="C71"/>
  <c r="E617"/>
  <c r="E602" s="1"/>
  <c r="E69" s="1"/>
  <c r="D453"/>
  <c r="D396"/>
  <c r="D423"/>
  <c r="D454"/>
  <c r="D430"/>
  <c r="D398"/>
  <c r="F660"/>
  <c r="F659"/>
  <c r="F658"/>
  <c r="F657"/>
  <c r="F656"/>
  <c r="F655"/>
  <c r="F654"/>
  <c r="F653"/>
  <c r="F648"/>
  <c r="F647"/>
  <c r="F321" s="1"/>
  <c r="F646"/>
  <c r="F320" s="1"/>
  <c r="F645"/>
  <c r="F319" s="1"/>
  <c r="F644"/>
  <c r="F318" s="1"/>
  <c r="F643"/>
  <c r="F317" s="1"/>
  <c r="F642"/>
  <c r="F316" s="1"/>
  <c r="F641"/>
  <c r="F315" s="1"/>
  <c r="F640"/>
  <c r="F314" s="1"/>
  <c r="F639"/>
  <c r="F313" s="1"/>
  <c r="F628"/>
  <c r="F627"/>
  <c r="F626"/>
  <c r="F625"/>
  <c r="F624"/>
  <c r="F623"/>
  <c r="F622"/>
  <c r="F621"/>
  <c r="F620"/>
  <c r="F616"/>
  <c r="F296" s="1"/>
  <c r="F615"/>
  <c r="F614"/>
  <c r="F294" s="1"/>
  <c r="F613"/>
  <c r="F293" s="1"/>
  <c r="F612"/>
  <c r="F292" s="1"/>
  <c r="F611"/>
  <c r="F291" s="1"/>
  <c r="F610"/>
  <c r="F290" s="1"/>
  <c r="F609"/>
  <c r="F289" s="1"/>
  <c r="F608"/>
  <c r="F288" s="1"/>
  <c r="F607"/>
  <c r="F287" s="1"/>
  <c r="F596"/>
  <c r="F595"/>
  <c r="F594"/>
  <c r="F593"/>
  <c r="F592"/>
  <c r="F591"/>
  <c r="F590"/>
  <c r="F589"/>
  <c r="F588"/>
  <c r="F584"/>
  <c r="F271" s="1"/>
  <c r="F583"/>
  <c r="F270" s="1"/>
  <c r="F582"/>
  <c r="F269" s="1"/>
  <c r="F581"/>
  <c r="F268" s="1"/>
  <c r="F580"/>
  <c r="F267" s="1"/>
  <c r="F579"/>
  <c r="F266" s="1"/>
  <c r="F578"/>
  <c r="F265" s="1"/>
  <c r="F577"/>
  <c r="F264" s="1"/>
  <c r="F576"/>
  <c r="F263" s="1"/>
  <c r="F575"/>
  <c r="F262" s="1"/>
  <c r="F480"/>
  <c r="F481" s="1"/>
  <c r="F474"/>
  <c r="F475" s="1"/>
  <c r="F564"/>
  <c r="F62" s="1"/>
  <c r="F391"/>
  <c r="F322"/>
  <c r="F378"/>
  <c r="F377"/>
  <c r="F376"/>
  <c r="F375"/>
  <c r="F374"/>
  <c r="F373"/>
  <c r="F295"/>
  <c r="F244"/>
  <c r="F243"/>
  <c r="F242"/>
  <c r="F241"/>
  <c r="F240"/>
  <c r="F239"/>
  <c r="F257"/>
  <c r="F30"/>
  <c r="F26"/>
  <c r="F25"/>
  <c r="F23"/>
  <c r="F19"/>
  <c r="G2"/>
  <c r="E258"/>
  <c r="E396"/>
  <c r="E404"/>
  <c r="E398"/>
  <c r="E397"/>
  <c r="E401"/>
  <c r="E405"/>
  <c r="E425"/>
  <c r="E429"/>
  <c r="E449"/>
  <c r="E453"/>
  <c r="E457"/>
  <c r="E422"/>
  <c r="E426"/>
  <c r="E430"/>
  <c r="E450"/>
  <c r="E454"/>
  <c r="E392"/>
  <c r="A716" i="2"/>
  <c r="A684"/>
  <c r="G519" i="7" l="1"/>
  <c r="G515"/>
  <c r="G511"/>
  <c r="G507"/>
  <c r="G558"/>
  <c r="E71"/>
  <c r="G56" i="10"/>
  <c r="G85"/>
  <c r="G86" s="1"/>
  <c r="H629"/>
  <c r="H625"/>
  <c r="H621"/>
  <c r="H617"/>
  <c r="F590" i="8"/>
  <c r="F586"/>
  <c r="F582"/>
  <c r="F578"/>
  <c r="F65" i="10"/>
  <c r="E179"/>
  <c r="E196" s="1"/>
  <c r="G58"/>
  <c r="G180"/>
  <c r="G197" s="1"/>
  <c r="G141"/>
  <c r="G153" s="1"/>
  <c r="G249"/>
  <c r="G221"/>
  <c r="G59"/>
  <c r="G640"/>
  <c r="H637" s="1"/>
  <c r="I11"/>
  <c r="H645"/>
  <c r="H181" s="1"/>
  <c r="H198" s="1"/>
  <c r="H41"/>
  <c r="H183" s="1"/>
  <c r="H200" s="1"/>
  <c r="G698"/>
  <c r="G683" s="1"/>
  <c r="G66" s="1"/>
  <c r="H741"/>
  <c r="H740"/>
  <c r="H739"/>
  <c r="H738"/>
  <c r="H737"/>
  <c r="H736"/>
  <c r="H735"/>
  <c r="H734"/>
  <c r="H729"/>
  <c r="H728"/>
  <c r="H727"/>
  <c r="H430" s="1"/>
  <c r="H726"/>
  <c r="H429" s="1"/>
  <c r="H725"/>
  <c r="H428" s="1"/>
  <c r="H724"/>
  <c r="H427" s="1"/>
  <c r="H723"/>
  <c r="H426" s="1"/>
  <c r="H722"/>
  <c r="H425" s="1"/>
  <c r="H721"/>
  <c r="H424" s="1"/>
  <c r="H720"/>
  <c r="H423" s="1"/>
  <c r="H709"/>
  <c r="H708"/>
  <c r="H707"/>
  <c r="H706"/>
  <c r="H705"/>
  <c r="H704"/>
  <c r="H703"/>
  <c r="H702"/>
  <c r="H701"/>
  <c r="H697"/>
  <c r="H696"/>
  <c r="H405" s="1"/>
  <c r="H695"/>
  <c r="H404" s="1"/>
  <c r="H694"/>
  <c r="H403" s="1"/>
  <c r="H693"/>
  <c r="H402" s="1"/>
  <c r="H692"/>
  <c r="H401" s="1"/>
  <c r="H691"/>
  <c r="H400" s="1"/>
  <c r="H690"/>
  <c r="H399" s="1"/>
  <c r="H689"/>
  <c r="H398" s="1"/>
  <c r="H688"/>
  <c r="H397" s="1"/>
  <c r="H677"/>
  <c r="H676"/>
  <c r="H675"/>
  <c r="H674"/>
  <c r="H673"/>
  <c r="H672"/>
  <c r="H671"/>
  <c r="H670"/>
  <c r="H669"/>
  <c r="H665"/>
  <c r="H381" s="1"/>
  <c r="H664"/>
  <c r="H380" s="1"/>
  <c r="H663"/>
  <c r="H379" s="1"/>
  <c r="H662"/>
  <c r="H378" s="1"/>
  <c r="H661"/>
  <c r="H377" s="1"/>
  <c r="H660"/>
  <c r="H376" s="1"/>
  <c r="H659"/>
  <c r="H375" s="1"/>
  <c r="H658"/>
  <c r="H374" s="1"/>
  <c r="H657"/>
  <c r="H373" s="1"/>
  <c r="H639"/>
  <c r="H656"/>
  <c r="H372" s="1"/>
  <c r="H590"/>
  <c r="H591" s="1"/>
  <c r="H584"/>
  <c r="H585" s="1"/>
  <c r="H501"/>
  <c r="H432"/>
  <c r="H406"/>
  <c r="H354"/>
  <c r="H353"/>
  <c r="H352"/>
  <c r="H351"/>
  <c r="H350"/>
  <c r="H349"/>
  <c r="H488"/>
  <c r="H487"/>
  <c r="H486"/>
  <c r="H485"/>
  <c r="H484"/>
  <c r="H483"/>
  <c r="H431"/>
  <c r="H367"/>
  <c r="H30"/>
  <c r="H26"/>
  <c r="H25"/>
  <c r="H23"/>
  <c r="H19"/>
  <c r="I2"/>
  <c r="G368"/>
  <c r="G507"/>
  <c r="G511"/>
  <c r="G515"/>
  <c r="G535"/>
  <c r="G539"/>
  <c r="G559"/>
  <c r="G563"/>
  <c r="G567"/>
  <c r="G508"/>
  <c r="G512"/>
  <c r="G532"/>
  <c r="G536"/>
  <c r="G540"/>
  <c r="G560"/>
  <c r="G564"/>
  <c r="G502"/>
  <c r="G730"/>
  <c r="G715" s="1"/>
  <c r="G67" s="1"/>
  <c r="F68"/>
  <c r="F75" s="1"/>
  <c r="G27"/>
  <c r="G666"/>
  <c r="G651" s="1"/>
  <c r="G509"/>
  <c r="G513"/>
  <c r="G533"/>
  <c r="G537"/>
  <c r="G541"/>
  <c r="G561"/>
  <c r="G565"/>
  <c r="G506"/>
  <c r="G510"/>
  <c r="G514"/>
  <c r="G534"/>
  <c r="G538"/>
  <c r="G558"/>
  <c r="G562"/>
  <c r="G566"/>
  <c r="G11" i="8"/>
  <c r="E598"/>
  <c r="E601" s="1"/>
  <c r="E27"/>
  <c r="E621"/>
  <c r="E606" s="1"/>
  <c r="E60" s="1"/>
  <c r="E467"/>
  <c r="E468"/>
  <c r="E472"/>
  <c r="E476"/>
  <c r="E496"/>
  <c r="E500"/>
  <c r="E520"/>
  <c r="E524"/>
  <c r="E528"/>
  <c r="E471"/>
  <c r="E475"/>
  <c r="E495"/>
  <c r="E499"/>
  <c r="E519"/>
  <c r="E523"/>
  <c r="E527"/>
  <c r="E653"/>
  <c r="E638" s="1"/>
  <c r="E61" s="1"/>
  <c r="E685"/>
  <c r="E670" s="1"/>
  <c r="E62" s="1"/>
  <c r="F696"/>
  <c r="F695"/>
  <c r="F694"/>
  <c r="F693"/>
  <c r="F692"/>
  <c r="F691"/>
  <c r="F690"/>
  <c r="F689"/>
  <c r="F684"/>
  <c r="F683"/>
  <c r="F392" s="1"/>
  <c r="F682"/>
  <c r="F391" s="1"/>
  <c r="F681"/>
  <c r="F390" s="1"/>
  <c r="F680"/>
  <c r="F389" s="1"/>
  <c r="F679"/>
  <c r="F388" s="1"/>
  <c r="F678"/>
  <c r="F387" s="1"/>
  <c r="F677"/>
  <c r="F386" s="1"/>
  <c r="F676"/>
  <c r="F385" s="1"/>
  <c r="F675"/>
  <c r="F664"/>
  <c r="F663"/>
  <c r="F662"/>
  <c r="F661"/>
  <c r="F660"/>
  <c r="F659"/>
  <c r="F658"/>
  <c r="F657"/>
  <c r="F656"/>
  <c r="F652"/>
  <c r="F367" s="1"/>
  <c r="F651"/>
  <c r="F366" s="1"/>
  <c r="F650"/>
  <c r="F365" s="1"/>
  <c r="F649"/>
  <c r="F364" s="1"/>
  <c r="F648"/>
  <c r="F363" s="1"/>
  <c r="F647"/>
  <c r="F362" s="1"/>
  <c r="F646"/>
  <c r="F645"/>
  <c r="F360" s="1"/>
  <c r="F644"/>
  <c r="F359" s="1"/>
  <c r="F643"/>
  <c r="F358" s="1"/>
  <c r="F632"/>
  <c r="F631"/>
  <c r="F630"/>
  <c r="F629"/>
  <c r="F628"/>
  <c r="F627"/>
  <c r="F626"/>
  <c r="F625"/>
  <c r="F624"/>
  <c r="F620"/>
  <c r="F342" s="1"/>
  <c r="F619"/>
  <c r="F341" s="1"/>
  <c r="F618"/>
  <c r="F340" s="1"/>
  <c r="F617"/>
  <c r="F339" s="1"/>
  <c r="F616"/>
  <c r="F338" s="1"/>
  <c r="F615"/>
  <c r="F337" s="1"/>
  <c r="F614"/>
  <c r="F336" s="1"/>
  <c r="F613"/>
  <c r="F335" s="1"/>
  <c r="F612"/>
  <c r="F334" s="1"/>
  <c r="F611"/>
  <c r="F333" s="1"/>
  <c r="F551"/>
  <c r="F552" s="1"/>
  <c r="F545"/>
  <c r="F546" s="1"/>
  <c r="F600"/>
  <c r="F54" s="1"/>
  <c r="F462"/>
  <c r="F393"/>
  <c r="F361"/>
  <c r="F449"/>
  <c r="F448"/>
  <c r="F447"/>
  <c r="F446"/>
  <c r="F445"/>
  <c r="F444"/>
  <c r="F328"/>
  <c r="F315"/>
  <c r="F314"/>
  <c r="F313"/>
  <c r="F312"/>
  <c r="F311"/>
  <c r="F310"/>
  <c r="G2"/>
  <c r="F30"/>
  <c r="F26"/>
  <c r="F25"/>
  <c r="F23"/>
  <c r="F19"/>
  <c r="E329"/>
  <c r="E469"/>
  <c r="E470"/>
  <c r="E474"/>
  <c r="E494"/>
  <c r="E498"/>
  <c r="E502"/>
  <c r="E522"/>
  <c r="E526"/>
  <c r="E473"/>
  <c r="E493"/>
  <c r="E497"/>
  <c r="E501"/>
  <c r="E521"/>
  <c r="E525"/>
  <c r="E463"/>
  <c r="D63"/>
  <c r="F27" i="7"/>
  <c r="G534"/>
  <c r="G527"/>
  <c r="G528" s="1"/>
  <c r="H11"/>
  <c r="F403"/>
  <c r="F401"/>
  <c r="F396"/>
  <c r="F400"/>
  <c r="F404"/>
  <c r="F424"/>
  <c r="F428"/>
  <c r="F448"/>
  <c r="F452"/>
  <c r="F456"/>
  <c r="F425"/>
  <c r="F429"/>
  <c r="F449"/>
  <c r="F453"/>
  <c r="F457"/>
  <c r="F585"/>
  <c r="F570" s="1"/>
  <c r="F68" s="1"/>
  <c r="F617"/>
  <c r="F602" s="1"/>
  <c r="F69" s="1"/>
  <c r="F649"/>
  <c r="F634" s="1"/>
  <c r="F70" s="1"/>
  <c r="F565"/>
  <c r="G562" s="1"/>
  <c r="G660"/>
  <c r="G659"/>
  <c r="G658"/>
  <c r="G657"/>
  <c r="G656"/>
  <c r="G655"/>
  <c r="G654"/>
  <c r="G653"/>
  <c r="G648"/>
  <c r="G322" s="1"/>
  <c r="G647"/>
  <c r="G321" s="1"/>
  <c r="G646"/>
  <c r="G320" s="1"/>
  <c r="G645"/>
  <c r="G319" s="1"/>
  <c r="G644"/>
  <c r="G318" s="1"/>
  <c r="G643"/>
  <c r="G317" s="1"/>
  <c r="G642"/>
  <c r="G641"/>
  <c r="G315" s="1"/>
  <c r="G616"/>
  <c r="G296" s="1"/>
  <c r="G615"/>
  <c r="G295" s="1"/>
  <c r="G614"/>
  <c r="G294" s="1"/>
  <c r="G613"/>
  <c r="G293" s="1"/>
  <c r="G612"/>
  <c r="G292" s="1"/>
  <c r="G611"/>
  <c r="G291" s="1"/>
  <c r="G640"/>
  <c r="G314" s="1"/>
  <c r="G639"/>
  <c r="G313" s="1"/>
  <c r="G628"/>
  <c r="G627"/>
  <c r="G626"/>
  <c r="G625"/>
  <c r="G624"/>
  <c r="G623"/>
  <c r="G622"/>
  <c r="G621"/>
  <c r="G620"/>
  <c r="G610"/>
  <c r="G290" s="1"/>
  <c r="G584"/>
  <c r="G271" s="1"/>
  <c r="G583"/>
  <c r="G270" s="1"/>
  <c r="G582"/>
  <c r="G269" s="1"/>
  <c r="G581"/>
  <c r="G268" s="1"/>
  <c r="G580"/>
  <c r="G267" s="1"/>
  <c r="G609"/>
  <c r="G289" s="1"/>
  <c r="G608"/>
  <c r="G288" s="1"/>
  <c r="G607"/>
  <c r="G287" s="1"/>
  <c r="G596"/>
  <c r="G595"/>
  <c r="G594"/>
  <c r="G593"/>
  <c r="G592"/>
  <c r="G591"/>
  <c r="G590"/>
  <c r="G589"/>
  <c r="G588"/>
  <c r="G579"/>
  <c r="G266" s="1"/>
  <c r="G564"/>
  <c r="G62" s="1"/>
  <c r="G578"/>
  <c r="G265" s="1"/>
  <c r="G577"/>
  <c r="G264" s="1"/>
  <c r="G576"/>
  <c r="G263" s="1"/>
  <c r="G575"/>
  <c r="G262" s="1"/>
  <c r="G480"/>
  <c r="G481" s="1"/>
  <c r="G474"/>
  <c r="G475" s="1"/>
  <c r="G378"/>
  <c r="G377"/>
  <c r="G376"/>
  <c r="G375"/>
  <c r="G374"/>
  <c r="G373"/>
  <c r="G391"/>
  <c r="G316"/>
  <c r="G257"/>
  <c r="G244"/>
  <c r="G243"/>
  <c r="G242"/>
  <c r="G241"/>
  <c r="G240"/>
  <c r="G239"/>
  <c r="G30"/>
  <c r="G26"/>
  <c r="G25"/>
  <c r="G23"/>
  <c r="G19"/>
  <c r="H2"/>
  <c r="F399"/>
  <c r="F258"/>
  <c r="F397"/>
  <c r="F405"/>
  <c r="F398"/>
  <c r="F402"/>
  <c r="F422"/>
  <c r="F426"/>
  <c r="F430"/>
  <c r="F450"/>
  <c r="F454"/>
  <c r="F392"/>
  <c r="F423"/>
  <c r="F427"/>
  <c r="F431"/>
  <c r="F451"/>
  <c r="F455"/>
  <c r="A717" i="2"/>
  <c r="A685"/>
  <c r="H519" i="7" l="1"/>
  <c r="H515"/>
  <c r="H511"/>
  <c r="H507"/>
  <c r="H558"/>
  <c r="H56" i="10"/>
  <c r="H85"/>
  <c r="H86" s="1"/>
  <c r="I629"/>
  <c r="I625"/>
  <c r="I621"/>
  <c r="I617"/>
  <c r="G590" i="8"/>
  <c r="G586"/>
  <c r="G582"/>
  <c r="G578"/>
  <c r="G65" i="10"/>
  <c r="G68" s="1"/>
  <c r="G75" s="1"/>
  <c r="F179"/>
  <c r="F196" s="1"/>
  <c r="H58"/>
  <c r="H180"/>
  <c r="H197" s="1"/>
  <c r="H141"/>
  <c r="H153" s="1"/>
  <c r="H249"/>
  <c r="H221"/>
  <c r="H59"/>
  <c r="J11"/>
  <c r="I645"/>
  <c r="I181" s="1"/>
  <c r="I198" s="1"/>
  <c r="I41"/>
  <c r="I183" s="1"/>
  <c r="I200" s="1"/>
  <c r="E63" i="8"/>
  <c r="H27" i="10"/>
  <c r="I741"/>
  <c r="I740"/>
  <c r="I739"/>
  <c r="I738"/>
  <c r="I737"/>
  <c r="I736"/>
  <c r="I735"/>
  <c r="I733"/>
  <c r="I729"/>
  <c r="I432" s="1"/>
  <c r="I728"/>
  <c r="I727"/>
  <c r="I430" s="1"/>
  <c r="I726"/>
  <c r="I429" s="1"/>
  <c r="I725"/>
  <c r="I428" s="1"/>
  <c r="I724"/>
  <c r="I427" s="1"/>
  <c r="I723"/>
  <c r="I426" s="1"/>
  <c r="I722"/>
  <c r="I425" s="1"/>
  <c r="I721"/>
  <c r="I424" s="1"/>
  <c r="I720"/>
  <c r="I423" s="1"/>
  <c r="I697"/>
  <c r="I406" s="1"/>
  <c r="I696"/>
  <c r="I405" s="1"/>
  <c r="I695"/>
  <c r="I404" s="1"/>
  <c r="I694"/>
  <c r="I403" s="1"/>
  <c r="I693"/>
  <c r="I402" s="1"/>
  <c r="I692"/>
  <c r="I401" s="1"/>
  <c r="I691"/>
  <c r="I400" s="1"/>
  <c r="I709"/>
  <c r="I708"/>
  <c r="I707"/>
  <c r="I706"/>
  <c r="I705"/>
  <c r="I704"/>
  <c r="I703"/>
  <c r="I702"/>
  <c r="I701"/>
  <c r="I665"/>
  <c r="I381" s="1"/>
  <c r="I664"/>
  <c r="I380" s="1"/>
  <c r="I663"/>
  <c r="I379" s="1"/>
  <c r="I662"/>
  <c r="I378" s="1"/>
  <c r="I661"/>
  <c r="I377" s="1"/>
  <c r="I660"/>
  <c r="I376" s="1"/>
  <c r="I690"/>
  <c r="I399" s="1"/>
  <c r="I689"/>
  <c r="I398" s="1"/>
  <c r="I688"/>
  <c r="I397" s="1"/>
  <c r="I677"/>
  <c r="I676"/>
  <c r="I675"/>
  <c r="I674"/>
  <c r="I673"/>
  <c r="I672"/>
  <c r="I671"/>
  <c r="I670"/>
  <c r="I669"/>
  <c r="I658"/>
  <c r="I656"/>
  <c r="I372" s="1"/>
  <c r="I590"/>
  <c r="I591" s="1"/>
  <c r="I584"/>
  <c r="I585" s="1"/>
  <c r="I659"/>
  <c r="I375" s="1"/>
  <c r="I657"/>
  <c r="I373" s="1"/>
  <c r="I639"/>
  <c r="I488"/>
  <c r="I487"/>
  <c r="I486"/>
  <c r="I485"/>
  <c r="I484"/>
  <c r="I483"/>
  <c r="I431"/>
  <c r="I374"/>
  <c r="I367"/>
  <c r="I501"/>
  <c r="I354"/>
  <c r="I353"/>
  <c r="I352"/>
  <c r="I351"/>
  <c r="I350"/>
  <c r="I349"/>
  <c r="I30"/>
  <c r="I26"/>
  <c r="I25"/>
  <c r="I23"/>
  <c r="I19"/>
  <c r="J2"/>
  <c r="H508"/>
  <c r="H512"/>
  <c r="H532"/>
  <c r="H536"/>
  <c r="H540"/>
  <c r="H560"/>
  <c r="H564"/>
  <c r="H502"/>
  <c r="H368"/>
  <c r="H507"/>
  <c r="H511"/>
  <c r="H515"/>
  <c r="H535"/>
  <c r="H539"/>
  <c r="H559"/>
  <c r="H563"/>
  <c r="H567"/>
  <c r="H666"/>
  <c r="H651" s="1"/>
  <c r="H640"/>
  <c r="H506"/>
  <c r="H510"/>
  <c r="H514"/>
  <c r="H534"/>
  <c r="H538"/>
  <c r="H558"/>
  <c r="H562"/>
  <c r="H566"/>
  <c r="H509"/>
  <c r="H513"/>
  <c r="H533"/>
  <c r="H537"/>
  <c r="H541"/>
  <c r="H561"/>
  <c r="H565"/>
  <c r="H698"/>
  <c r="H683" s="1"/>
  <c r="H66" s="1"/>
  <c r="H730"/>
  <c r="H715" s="1"/>
  <c r="H67" s="1"/>
  <c r="H11" i="8"/>
  <c r="F598"/>
  <c r="F601" s="1"/>
  <c r="F685"/>
  <c r="F670" s="1"/>
  <c r="F62" s="1"/>
  <c r="F384"/>
  <c r="F519" s="1"/>
  <c r="F653"/>
  <c r="F638" s="1"/>
  <c r="F61" s="1"/>
  <c r="G696"/>
  <c r="G695"/>
  <c r="G694"/>
  <c r="G693"/>
  <c r="G692"/>
  <c r="G691"/>
  <c r="G690"/>
  <c r="G689"/>
  <c r="G684"/>
  <c r="G393" s="1"/>
  <c r="G683"/>
  <c r="G682"/>
  <c r="G391" s="1"/>
  <c r="G681"/>
  <c r="G390" s="1"/>
  <c r="G680"/>
  <c r="G389" s="1"/>
  <c r="G679"/>
  <c r="G388" s="1"/>
  <c r="G678"/>
  <c r="G387" s="1"/>
  <c r="G677"/>
  <c r="G386" s="1"/>
  <c r="G676"/>
  <c r="G385" s="1"/>
  <c r="G675"/>
  <c r="G663"/>
  <c r="G661"/>
  <c r="G659"/>
  <c r="G652"/>
  <c r="G367" s="1"/>
  <c r="G651"/>
  <c r="G366" s="1"/>
  <c r="G650"/>
  <c r="G365" s="1"/>
  <c r="G649"/>
  <c r="G364" s="1"/>
  <c r="G648"/>
  <c r="G363" s="1"/>
  <c r="G647"/>
  <c r="G362" s="1"/>
  <c r="G646"/>
  <c r="G361" s="1"/>
  <c r="G645"/>
  <c r="G360" s="1"/>
  <c r="G644"/>
  <c r="G643"/>
  <c r="G664"/>
  <c r="G662"/>
  <c r="G660"/>
  <c r="G658"/>
  <c r="G657"/>
  <c r="G656"/>
  <c r="G620"/>
  <c r="G342" s="1"/>
  <c r="G619"/>
  <c r="G341" s="1"/>
  <c r="G618"/>
  <c r="G340" s="1"/>
  <c r="G617"/>
  <c r="G339" s="1"/>
  <c r="G616"/>
  <c r="G338" s="1"/>
  <c r="G615"/>
  <c r="G337" s="1"/>
  <c r="G614"/>
  <c r="G336" s="1"/>
  <c r="G613"/>
  <c r="G335" s="1"/>
  <c r="G612"/>
  <c r="G334" s="1"/>
  <c r="G611"/>
  <c r="G333" s="1"/>
  <c r="G632"/>
  <c r="G631"/>
  <c r="G630"/>
  <c r="G629"/>
  <c r="G628"/>
  <c r="G627"/>
  <c r="G626"/>
  <c r="G625"/>
  <c r="G624"/>
  <c r="G600"/>
  <c r="G54" s="1"/>
  <c r="G551"/>
  <c r="G552" s="1"/>
  <c r="G545"/>
  <c r="G546" s="1"/>
  <c r="G449"/>
  <c r="G448"/>
  <c r="G447"/>
  <c r="G446"/>
  <c r="G445"/>
  <c r="G444"/>
  <c r="G392"/>
  <c r="G462"/>
  <c r="G359"/>
  <c r="G328"/>
  <c r="G315"/>
  <c r="G314"/>
  <c r="G313"/>
  <c r="G312"/>
  <c r="G311"/>
  <c r="G310"/>
  <c r="G30"/>
  <c r="G26"/>
  <c r="G25"/>
  <c r="G23"/>
  <c r="G19"/>
  <c r="H2"/>
  <c r="F329"/>
  <c r="F468"/>
  <c r="F467"/>
  <c r="F471"/>
  <c r="F475"/>
  <c r="F495"/>
  <c r="F499"/>
  <c r="F523"/>
  <c r="F527"/>
  <c r="F474"/>
  <c r="F494"/>
  <c r="F498"/>
  <c r="F502"/>
  <c r="F522"/>
  <c r="F526"/>
  <c r="F27"/>
  <c r="F470"/>
  <c r="F469"/>
  <c r="F473"/>
  <c r="F493"/>
  <c r="F497"/>
  <c r="F501"/>
  <c r="F521"/>
  <c r="F525"/>
  <c r="F463"/>
  <c r="F472"/>
  <c r="F476"/>
  <c r="F496"/>
  <c r="F500"/>
  <c r="F520"/>
  <c r="F524"/>
  <c r="F528"/>
  <c r="F621"/>
  <c r="F606" s="1"/>
  <c r="F60" s="1"/>
  <c r="G617" i="7"/>
  <c r="G602" s="1"/>
  <c r="G69" s="1"/>
  <c r="I11"/>
  <c r="H534"/>
  <c r="H527"/>
  <c r="H528" s="1"/>
  <c r="G27"/>
  <c r="G402"/>
  <c r="G396"/>
  <c r="G404"/>
  <c r="G399"/>
  <c r="G403"/>
  <c r="G423"/>
  <c r="G427"/>
  <c r="G431"/>
  <c r="G451"/>
  <c r="G455"/>
  <c r="G424"/>
  <c r="G428"/>
  <c r="G448"/>
  <c r="G452"/>
  <c r="G456"/>
  <c r="G565"/>
  <c r="H562" s="1"/>
  <c r="F71"/>
  <c r="H660"/>
  <c r="H659"/>
  <c r="H658"/>
  <c r="H657"/>
  <c r="H656"/>
  <c r="H655"/>
  <c r="H654"/>
  <c r="H653"/>
  <c r="H648"/>
  <c r="H647"/>
  <c r="H321" s="1"/>
  <c r="H646"/>
  <c r="H320" s="1"/>
  <c r="H645"/>
  <c r="H319" s="1"/>
  <c r="H644"/>
  <c r="H318" s="1"/>
  <c r="H643"/>
  <c r="H317" s="1"/>
  <c r="H642"/>
  <c r="H316" s="1"/>
  <c r="H641"/>
  <c r="H315" s="1"/>
  <c r="H640"/>
  <c r="H314" s="1"/>
  <c r="H639"/>
  <c r="H313" s="1"/>
  <c r="H628"/>
  <c r="H627"/>
  <c r="H626"/>
  <c r="H625"/>
  <c r="H624"/>
  <c r="H623"/>
  <c r="H622"/>
  <c r="H621"/>
  <c r="H620"/>
  <c r="H616"/>
  <c r="H296" s="1"/>
  <c r="H615"/>
  <c r="H614"/>
  <c r="H613"/>
  <c r="H293" s="1"/>
  <c r="H612"/>
  <c r="H292" s="1"/>
  <c r="H611"/>
  <c r="H291" s="1"/>
  <c r="H610"/>
  <c r="H290" s="1"/>
  <c r="H609"/>
  <c r="H289" s="1"/>
  <c r="H608"/>
  <c r="H288" s="1"/>
  <c r="H607"/>
  <c r="H287" s="1"/>
  <c r="H596"/>
  <c r="H595"/>
  <c r="H594"/>
  <c r="H593"/>
  <c r="H592"/>
  <c r="H591"/>
  <c r="H590"/>
  <c r="H589"/>
  <c r="H588"/>
  <c r="H584"/>
  <c r="H271" s="1"/>
  <c r="H583"/>
  <c r="H270" s="1"/>
  <c r="H582"/>
  <c r="H269" s="1"/>
  <c r="H581"/>
  <c r="H268" s="1"/>
  <c r="H580"/>
  <c r="H267" s="1"/>
  <c r="H579"/>
  <c r="H266" s="1"/>
  <c r="H578"/>
  <c r="H265" s="1"/>
  <c r="H577"/>
  <c r="H264" s="1"/>
  <c r="H576"/>
  <c r="H263" s="1"/>
  <c r="H575"/>
  <c r="H262" s="1"/>
  <c r="H480"/>
  <c r="H481" s="1"/>
  <c r="H474"/>
  <c r="H475" s="1"/>
  <c r="H564"/>
  <c r="H62" s="1"/>
  <c r="H391"/>
  <c r="H322"/>
  <c r="H294"/>
  <c r="H378"/>
  <c r="H377"/>
  <c r="H376"/>
  <c r="H375"/>
  <c r="H374"/>
  <c r="H373"/>
  <c r="H295"/>
  <c r="H244"/>
  <c r="H243"/>
  <c r="H242"/>
  <c r="H241"/>
  <c r="H240"/>
  <c r="H239"/>
  <c r="H257"/>
  <c r="H30"/>
  <c r="H26"/>
  <c r="H25"/>
  <c r="H23"/>
  <c r="H19"/>
  <c r="I2"/>
  <c r="G258"/>
  <c r="G398"/>
  <c r="G400"/>
  <c r="G397"/>
  <c r="G401"/>
  <c r="G405"/>
  <c r="G425"/>
  <c r="G429"/>
  <c r="G449"/>
  <c r="G453"/>
  <c r="G457"/>
  <c r="G422"/>
  <c r="G426"/>
  <c r="G430"/>
  <c r="G450"/>
  <c r="G454"/>
  <c r="G392"/>
  <c r="G585"/>
  <c r="G570" s="1"/>
  <c r="G68" s="1"/>
  <c r="G649"/>
  <c r="G634" s="1"/>
  <c r="G70" s="1"/>
  <c r="A718" i="2"/>
  <c r="A686"/>
  <c r="I519" i="7" l="1"/>
  <c r="I515"/>
  <c r="I511"/>
  <c r="I507"/>
  <c r="I558"/>
  <c r="G384" i="8"/>
  <c r="I56" i="10"/>
  <c r="I85"/>
  <c r="I86" s="1"/>
  <c r="J629"/>
  <c r="J625"/>
  <c r="J621"/>
  <c r="J617"/>
  <c r="H590" i="8"/>
  <c r="H586"/>
  <c r="H582"/>
  <c r="H578"/>
  <c r="H65" i="10"/>
  <c r="H68" s="1"/>
  <c r="H75" s="1"/>
  <c r="G179"/>
  <c r="G196" s="1"/>
  <c r="I58"/>
  <c r="I180"/>
  <c r="I197" s="1"/>
  <c r="I141"/>
  <c r="I153" s="1"/>
  <c r="I249"/>
  <c r="I221"/>
  <c r="I59"/>
  <c r="K11"/>
  <c r="J645"/>
  <c r="J181" s="1"/>
  <c r="J198" s="1"/>
  <c r="J41"/>
  <c r="J183" s="1"/>
  <c r="J200" s="1"/>
  <c r="I698"/>
  <c r="I683" s="1"/>
  <c r="I66" s="1"/>
  <c r="I637"/>
  <c r="I368"/>
  <c r="I507"/>
  <c r="I511"/>
  <c r="I515"/>
  <c r="I535"/>
  <c r="I539"/>
  <c r="I559"/>
  <c r="I563"/>
  <c r="I567"/>
  <c r="I508"/>
  <c r="I512"/>
  <c r="I532"/>
  <c r="I536"/>
  <c r="I540"/>
  <c r="I560"/>
  <c r="I564"/>
  <c r="I502"/>
  <c r="I27"/>
  <c r="J741"/>
  <c r="J740"/>
  <c r="J739"/>
  <c r="J738"/>
  <c r="J737"/>
  <c r="J736"/>
  <c r="J735"/>
  <c r="J733"/>
  <c r="J729"/>
  <c r="J728"/>
  <c r="J431" s="1"/>
  <c r="J727"/>
  <c r="J430" s="1"/>
  <c r="J726"/>
  <c r="J429" s="1"/>
  <c r="J725"/>
  <c r="J428" s="1"/>
  <c r="J724"/>
  <c r="J427" s="1"/>
  <c r="J723"/>
  <c r="J426" s="1"/>
  <c r="J722"/>
  <c r="J425" s="1"/>
  <c r="J721"/>
  <c r="J424" s="1"/>
  <c r="J720"/>
  <c r="J423" s="1"/>
  <c r="J709"/>
  <c r="J708"/>
  <c r="J707"/>
  <c r="J706"/>
  <c r="J705"/>
  <c r="J704"/>
  <c r="J703"/>
  <c r="J702"/>
  <c r="J701"/>
  <c r="J697"/>
  <c r="J406" s="1"/>
  <c r="J696"/>
  <c r="J405" s="1"/>
  <c r="J695"/>
  <c r="J404" s="1"/>
  <c r="J694"/>
  <c r="J403" s="1"/>
  <c r="J693"/>
  <c r="J402" s="1"/>
  <c r="J692"/>
  <c r="J401" s="1"/>
  <c r="J691"/>
  <c r="J400" s="1"/>
  <c r="J690"/>
  <c r="J399" s="1"/>
  <c r="J689"/>
  <c r="J398" s="1"/>
  <c r="J688"/>
  <c r="J397" s="1"/>
  <c r="J677"/>
  <c r="J676"/>
  <c r="J675"/>
  <c r="J674"/>
  <c r="J673"/>
  <c r="J672"/>
  <c r="J671"/>
  <c r="J670"/>
  <c r="J669"/>
  <c r="J665"/>
  <c r="J381" s="1"/>
  <c r="J664"/>
  <c r="J380" s="1"/>
  <c r="J663"/>
  <c r="J379" s="1"/>
  <c r="J662"/>
  <c r="J378" s="1"/>
  <c r="J661"/>
  <c r="J377" s="1"/>
  <c r="J660"/>
  <c r="J376" s="1"/>
  <c r="J659"/>
  <c r="J375" s="1"/>
  <c r="J658"/>
  <c r="J374" s="1"/>
  <c r="J657"/>
  <c r="J373" s="1"/>
  <c r="J639"/>
  <c r="J656"/>
  <c r="J372" s="1"/>
  <c r="J590"/>
  <c r="J591" s="1"/>
  <c r="J584"/>
  <c r="J585" s="1"/>
  <c r="J501"/>
  <c r="J432"/>
  <c r="J354"/>
  <c r="J353"/>
  <c r="J352"/>
  <c r="J351"/>
  <c r="J350"/>
  <c r="J349"/>
  <c r="J488"/>
  <c r="J487"/>
  <c r="J486"/>
  <c r="J485"/>
  <c r="J484"/>
  <c r="J483"/>
  <c r="J367"/>
  <c r="K2"/>
  <c r="J30"/>
  <c r="J26"/>
  <c r="J25"/>
  <c r="J23"/>
  <c r="J19"/>
  <c r="I509"/>
  <c r="I513"/>
  <c r="I533"/>
  <c r="I537"/>
  <c r="I541"/>
  <c r="I561"/>
  <c r="I565"/>
  <c r="I506"/>
  <c r="I510"/>
  <c r="I514"/>
  <c r="I534"/>
  <c r="I538"/>
  <c r="I558"/>
  <c r="I562"/>
  <c r="I566"/>
  <c r="I730"/>
  <c r="I715" s="1"/>
  <c r="I67" s="1"/>
  <c r="I666"/>
  <c r="I651" s="1"/>
  <c r="F63" i="8"/>
  <c r="I11"/>
  <c r="G598"/>
  <c r="G601" s="1"/>
  <c r="G685"/>
  <c r="G670" s="1"/>
  <c r="G62" s="1"/>
  <c r="G653"/>
  <c r="G638" s="1"/>
  <c r="G61" s="1"/>
  <c r="G497"/>
  <c r="G470"/>
  <c r="G474"/>
  <c r="G521"/>
  <c r="G525"/>
  <c r="G501"/>
  <c r="G468"/>
  <c r="G472"/>
  <c r="G476"/>
  <c r="G496"/>
  <c r="G500"/>
  <c r="G520"/>
  <c r="G524"/>
  <c r="G528"/>
  <c r="G471"/>
  <c r="G475"/>
  <c r="G495"/>
  <c r="G499"/>
  <c r="G519"/>
  <c r="G523"/>
  <c r="G527"/>
  <c r="H696"/>
  <c r="H695"/>
  <c r="H694"/>
  <c r="H693"/>
  <c r="H692"/>
  <c r="H691"/>
  <c r="H690"/>
  <c r="H689"/>
  <c r="H684"/>
  <c r="H683"/>
  <c r="H392" s="1"/>
  <c r="H682"/>
  <c r="H391" s="1"/>
  <c r="H681"/>
  <c r="H390" s="1"/>
  <c r="H680"/>
  <c r="H389" s="1"/>
  <c r="H679"/>
  <c r="H388" s="1"/>
  <c r="H678"/>
  <c r="H387" s="1"/>
  <c r="H677"/>
  <c r="H386" s="1"/>
  <c r="H676"/>
  <c r="H385" s="1"/>
  <c r="H675"/>
  <c r="H384" s="1"/>
  <c r="H664"/>
  <c r="H663"/>
  <c r="H662"/>
  <c r="H661"/>
  <c r="H660"/>
  <c r="H659"/>
  <c r="H658"/>
  <c r="H657"/>
  <c r="H656"/>
  <c r="H652"/>
  <c r="H367" s="1"/>
  <c r="H651"/>
  <c r="H366" s="1"/>
  <c r="H650"/>
  <c r="H365" s="1"/>
  <c r="H649"/>
  <c r="H364" s="1"/>
  <c r="H648"/>
  <c r="H363" s="1"/>
  <c r="H647"/>
  <c r="H362" s="1"/>
  <c r="H646"/>
  <c r="H361" s="1"/>
  <c r="H645"/>
  <c r="H360" s="1"/>
  <c r="H644"/>
  <c r="H359" s="1"/>
  <c r="H643"/>
  <c r="H358" s="1"/>
  <c r="H632"/>
  <c r="H631"/>
  <c r="H630"/>
  <c r="H629"/>
  <c r="H628"/>
  <c r="H627"/>
  <c r="H626"/>
  <c r="H625"/>
  <c r="H624"/>
  <c r="H620"/>
  <c r="H342" s="1"/>
  <c r="H619"/>
  <c r="H341" s="1"/>
  <c r="H618"/>
  <c r="H340" s="1"/>
  <c r="H617"/>
  <c r="H339" s="1"/>
  <c r="H616"/>
  <c r="H338" s="1"/>
  <c r="H615"/>
  <c r="H337" s="1"/>
  <c r="H614"/>
  <c r="H336" s="1"/>
  <c r="H613"/>
  <c r="H335" s="1"/>
  <c r="H612"/>
  <c r="H334" s="1"/>
  <c r="H611"/>
  <c r="H333" s="1"/>
  <c r="H551"/>
  <c r="H552" s="1"/>
  <c r="H545"/>
  <c r="H546" s="1"/>
  <c r="H600"/>
  <c r="H54" s="1"/>
  <c r="H462"/>
  <c r="H393"/>
  <c r="H449"/>
  <c r="H448"/>
  <c r="H447"/>
  <c r="H446"/>
  <c r="H445"/>
  <c r="H444"/>
  <c r="H328"/>
  <c r="H315"/>
  <c r="H314"/>
  <c r="H313"/>
  <c r="H312"/>
  <c r="H311"/>
  <c r="H310"/>
  <c r="I2"/>
  <c r="H30"/>
  <c r="H26"/>
  <c r="H25"/>
  <c r="H23"/>
  <c r="H19"/>
  <c r="G329"/>
  <c r="G469"/>
  <c r="G467"/>
  <c r="G494"/>
  <c r="G498"/>
  <c r="G502"/>
  <c r="G522"/>
  <c r="G526"/>
  <c r="G473"/>
  <c r="G463"/>
  <c r="G27"/>
  <c r="G358"/>
  <c r="G621"/>
  <c r="G606" s="1"/>
  <c r="G60" s="1"/>
  <c r="H27" i="7"/>
  <c r="H617"/>
  <c r="H602" s="1"/>
  <c r="H69" s="1"/>
  <c r="I534"/>
  <c r="I527"/>
  <c r="I528" s="1"/>
  <c r="J11"/>
  <c r="H585"/>
  <c r="H570" s="1"/>
  <c r="H68" s="1"/>
  <c r="H649"/>
  <c r="H634" s="1"/>
  <c r="H70" s="1"/>
  <c r="H397"/>
  <c r="H405"/>
  <c r="H403"/>
  <c r="H398"/>
  <c r="H402"/>
  <c r="H422"/>
  <c r="H426"/>
  <c r="H430"/>
  <c r="H450"/>
  <c r="H454"/>
  <c r="H392"/>
  <c r="H423"/>
  <c r="H427"/>
  <c r="H431"/>
  <c r="H451"/>
  <c r="H455"/>
  <c r="G71"/>
  <c r="I660"/>
  <c r="I659"/>
  <c r="I658"/>
  <c r="I657"/>
  <c r="I656"/>
  <c r="I655"/>
  <c r="I654"/>
  <c r="I652"/>
  <c r="I648"/>
  <c r="I647"/>
  <c r="I321" s="1"/>
  <c r="I646"/>
  <c r="I320" s="1"/>
  <c r="I645"/>
  <c r="I319" s="1"/>
  <c r="I644"/>
  <c r="I318" s="1"/>
  <c r="I643"/>
  <c r="I317" s="1"/>
  <c r="I642"/>
  <c r="I316" s="1"/>
  <c r="I641"/>
  <c r="I315" s="1"/>
  <c r="I640"/>
  <c r="I314" s="1"/>
  <c r="I616"/>
  <c r="I296" s="1"/>
  <c r="I615"/>
  <c r="I295" s="1"/>
  <c r="I614"/>
  <c r="I294" s="1"/>
  <c r="I613"/>
  <c r="I293" s="1"/>
  <c r="I612"/>
  <c r="I292" s="1"/>
  <c r="I611"/>
  <c r="I291" s="1"/>
  <c r="I639"/>
  <c r="I313" s="1"/>
  <c r="I628"/>
  <c r="I627"/>
  <c r="I626"/>
  <c r="I625"/>
  <c r="I624"/>
  <c r="I623"/>
  <c r="I622"/>
  <c r="I621"/>
  <c r="I620"/>
  <c r="I584"/>
  <c r="I271" s="1"/>
  <c r="I583"/>
  <c r="I582"/>
  <c r="I269" s="1"/>
  <c r="I581"/>
  <c r="I268" s="1"/>
  <c r="I580"/>
  <c r="I267" s="1"/>
  <c r="I579"/>
  <c r="I266" s="1"/>
  <c r="I610"/>
  <c r="I290" s="1"/>
  <c r="I609"/>
  <c r="I608"/>
  <c r="I288" s="1"/>
  <c r="I607"/>
  <c r="I287" s="1"/>
  <c r="I596"/>
  <c r="I595"/>
  <c r="I594"/>
  <c r="I593"/>
  <c r="I592"/>
  <c r="I591"/>
  <c r="I590"/>
  <c r="I589"/>
  <c r="I588"/>
  <c r="I578"/>
  <c r="I265" s="1"/>
  <c r="I564"/>
  <c r="I62" s="1"/>
  <c r="I577"/>
  <c r="I264" s="1"/>
  <c r="I576"/>
  <c r="I263" s="1"/>
  <c r="I575"/>
  <c r="I262" s="1"/>
  <c r="I480"/>
  <c r="I481" s="1"/>
  <c r="I474"/>
  <c r="I475" s="1"/>
  <c r="I378"/>
  <c r="I377"/>
  <c r="I376"/>
  <c r="I375"/>
  <c r="I374"/>
  <c r="I373"/>
  <c r="I289"/>
  <c r="I391"/>
  <c r="I322"/>
  <c r="I257"/>
  <c r="I270"/>
  <c r="I244"/>
  <c r="I243"/>
  <c r="I242"/>
  <c r="I241"/>
  <c r="I240"/>
  <c r="I239"/>
  <c r="I30"/>
  <c r="I26"/>
  <c r="I25"/>
  <c r="I23"/>
  <c r="I19"/>
  <c r="J2"/>
  <c r="H401"/>
  <c r="H258"/>
  <c r="H399"/>
  <c r="H396"/>
  <c r="H400"/>
  <c r="H404"/>
  <c r="H424"/>
  <c r="H428"/>
  <c r="H448"/>
  <c r="H452"/>
  <c r="H456"/>
  <c r="H425"/>
  <c r="H429"/>
  <c r="H449"/>
  <c r="H453"/>
  <c r="H457"/>
  <c r="H565"/>
  <c r="I562" s="1"/>
  <c r="A719" i="2"/>
  <c r="A687"/>
  <c r="J519" i="7" l="1"/>
  <c r="J515"/>
  <c r="J511"/>
  <c r="J507"/>
  <c r="J558"/>
  <c r="J56" i="10"/>
  <c r="J85"/>
  <c r="J86" s="1"/>
  <c r="K629"/>
  <c r="K625"/>
  <c r="K621"/>
  <c r="K617"/>
  <c r="I565" i="7"/>
  <c r="J562" s="1"/>
  <c r="I590" i="8"/>
  <c r="I586"/>
  <c r="I582"/>
  <c r="I578"/>
  <c r="I65" i="10"/>
  <c r="I68" s="1"/>
  <c r="I75" s="1"/>
  <c r="H179"/>
  <c r="H196" s="1"/>
  <c r="J58"/>
  <c r="J180"/>
  <c r="J197" s="1"/>
  <c r="J141"/>
  <c r="J153" s="1"/>
  <c r="J249"/>
  <c r="J221"/>
  <c r="I640"/>
  <c r="J637" s="1"/>
  <c r="J59"/>
  <c r="L11"/>
  <c r="K645"/>
  <c r="K181" s="1"/>
  <c r="K198" s="1"/>
  <c r="K41"/>
  <c r="K183" s="1"/>
  <c r="K200" s="1"/>
  <c r="J730"/>
  <c r="J715" s="1"/>
  <c r="J67" s="1"/>
  <c r="G63" i="8"/>
  <c r="J27" i="10"/>
  <c r="J508"/>
  <c r="J512"/>
  <c r="J532"/>
  <c r="J536"/>
  <c r="J540"/>
  <c r="J560"/>
  <c r="J564"/>
  <c r="J502"/>
  <c r="J368"/>
  <c r="J507"/>
  <c r="J511"/>
  <c r="J515"/>
  <c r="J535"/>
  <c r="J539"/>
  <c r="J559"/>
  <c r="J563"/>
  <c r="J567"/>
  <c r="J666"/>
  <c r="J651" s="1"/>
  <c r="K741"/>
  <c r="K740"/>
  <c r="K739"/>
  <c r="K738"/>
  <c r="K737"/>
  <c r="K736"/>
  <c r="K735"/>
  <c r="K729"/>
  <c r="K728"/>
  <c r="K431" s="1"/>
  <c r="K727"/>
  <c r="K430" s="1"/>
  <c r="K726"/>
  <c r="K429" s="1"/>
  <c r="K725"/>
  <c r="K428" s="1"/>
  <c r="K724"/>
  <c r="K427" s="1"/>
  <c r="K723"/>
  <c r="K426" s="1"/>
  <c r="K722"/>
  <c r="K425" s="1"/>
  <c r="K721"/>
  <c r="K424" s="1"/>
  <c r="K733"/>
  <c r="K697"/>
  <c r="K406" s="1"/>
  <c r="K696"/>
  <c r="K405" s="1"/>
  <c r="K695"/>
  <c r="K404" s="1"/>
  <c r="K694"/>
  <c r="K403" s="1"/>
  <c r="K693"/>
  <c r="K402" s="1"/>
  <c r="K692"/>
  <c r="K401" s="1"/>
  <c r="K691"/>
  <c r="K400" s="1"/>
  <c r="K720"/>
  <c r="K423" s="1"/>
  <c r="K709"/>
  <c r="K708"/>
  <c r="K707"/>
  <c r="K706"/>
  <c r="K705"/>
  <c r="K704"/>
  <c r="K703"/>
  <c r="K702"/>
  <c r="K701"/>
  <c r="K690"/>
  <c r="K399" s="1"/>
  <c r="K665"/>
  <c r="K381" s="1"/>
  <c r="K664"/>
  <c r="K380" s="1"/>
  <c r="K663"/>
  <c r="K379" s="1"/>
  <c r="K662"/>
  <c r="K378" s="1"/>
  <c r="K661"/>
  <c r="K377" s="1"/>
  <c r="K660"/>
  <c r="K376" s="1"/>
  <c r="K689"/>
  <c r="K398" s="1"/>
  <c r="K688"/>
  <c r="K397" s="1"/>
  <c r="K677"/>
  <c r="K676"/>
  <c r="K675"/>
  <c r="K674"/>
  <c r="K673"/>
  <c r="K672"/>
  <c r="K671"/>
  <c r="K670"/>
  <c r="K669"/>
  <c r="K659"/>
  <c r="K375" s="1"/>
  <c r="K657"/>
  <c r="K373" s="1"/>
  <c r="K656"/>
  <c r="K372" s="1"/>
  <c r="K590"/>
  <c r="K591" s="1"/>
  <c r="K584"/>
  <c r="K585" s="1"/>
  <c r="K658"/>
  <c r="K374" s="1"/>
  <c r="K639"/>
  <c r="K488"/>
  <c r="K487"/>
  <c r="K486"/>
  <c r="K485"/>
  <c r="K484"/>
  <c r="K483"/>
  <c r="K367"/>
  <c r="K501"/>
  <c r="K432"/>
  <c r="K354"/>
  <c r="K353"/>
  <c r="K352"/>
  <c r="K351"/>
  <c r="K350"/>
  <c r="K349"/>
  <c r="K30"/>
  <c r="K26"/>
  <c r="K25"/>
  <c r="K23"/>
  <c r="K19"/>
  <c r="L2"/>
  <c r="J506"/>
  <c r="J510"/>
  <c r="J514"/>
  <c r="J534"/>
  <c r="J538"/>
  <c r="J558"/>
  <c r="J562"/>
  <c r="J566"/>
  <c r="J509"/>
  <c r="J513"/>
  <c r="J533"/>
  <c r="J537"/>
  <c r="J541"/>
  <c r="J561"/>
  <c r="J565"/>
  <c r="J698"/>
  <c r="J683" s="1"/>
  <c r="J66" s="1"/>
  <c r="J11" i="8"/>
  <c r="H598"/>
  <c r="H601" s="1"/>
  <c r="H685"/>
  <c r="H670" s="1"/>
  <c r="H62" s="1"/>
  <c r="H467"/>
  <c r="H471"/>
  <c r="H475"/>
  <c r="H495"/>
  <c r="H499"/>
  <c r="G493"/>
  <c r="I696"/>
  <c r="I695"/>
  <c r="I694"/>
  <c r="I693"/>
  <c r="I692"/>
  <c r="I691"/>
  <c r="I690"/>
  <c r="I688"/>
  <c r="I684"/>
  <c r="I393" s="1"/>
  <c r="I683"/>
  <c r="I682"/>
  <c r="I391" s="1"/>
  <c r="I681"/>
  <c r="I390" s="1"/>
  <c r="I680"/>
  <c r="I389" s="1"/>
  <c r="I679"/>
  <c r="I388" s="1"/>
  <c r="I678"/>
  <c r="I387" s="1"/>
  <c r="I677"/>
  <c r="I386" s="1"/>
  <c r="I676"/>
  <c r="I385" s="1"/>
  <c r="I675"/>
  <c r="I384" s="1"/>
  <c r="I664"/>
  <c r="I662"/>
  <c r="I660"/>
  <c r="I652"/>
  <c r="I367" s="1"/>
  <c r="I651"/>
  <c r="I366" s="1"/>
  <c r="I650"/>
  <c r="I365" s="1"/>
  <c r="I649"/>
  <c r="I364" s="1"/>
  <c r="I648"/>
  <c r="I363" s="1"/>
  <c r="I647"/>
  <c r="I362" s="1"/>
  <c r="I646"/>
  <c r="I361" s="1"/>
  <c r="I645"/>
  <c r="I360" s="1"/>
  <c r="I644"/>
  <c r="I643"/>
  <c r="I358" s="1"/>
  <c r="I663"/>
  <c r="I661"/>
  <c r="I659"/>
  <c r="I658"/>
  <c r="I657"/>
  <c r="I656"/>
  <c r="I620"/>
  <c r="I342" s="1"/>
  <c r="I619"/>
  <c r="I341" s="1"/>
  <c r="I618"/>
  <c r="I340" s="1"/>
  <c r="I617"/>
  <c r="I339" s="1"/>
  <c r="I616"/>
  <c r="I338" s="1"/>
  <c r="I615"/>
  <c r="I337" s="1"/>
  <c r="I614"/>
  <c r="I336" s="1"/>
  <c r="I613"/>
  <c r="I335" s="1"/>
  <c r="I612"/>
  <c r="I334" s="1"/>
  <c r="I611"/>
  <c r="I333" s="1"/>
  <c r="I632"/>
  <c r="I631"/>
  <c r="I630"/>
  <c r="I629"/>
  <c r="I628"/>
  <c r="I627"/>
  <c r="I626"/>
  <c r="I625"/>
  <c r="I624"/>
  <c r="I600"/>
  <c r="I54" s="1"/>
  <c r="I551"/>
  <c r="I552" s="1"/>
  <c r="I545"/>
  <c r="I546" s="1"/>
  <c r="I449"/>
  <c r="I448"/>
  <c r="I447"/>
  <c r="I446"/>
  <c r="I445"/>
  <c r="I444"/>
  <c r="I392"/>
  <c r="I462"/>
  <c r="I359"/>
  <c r="I328"/>
  <c r="I315"/>
  <c r="I314"/>
  <c r="I313"/>
  <c r="I312"/>
  <c r="I311"/>
  <c r="I310"/>
  <c r="I30"/>
  <c r="I26"/>
  <c r="I25"/>
  <c r="I23"/>
  <c r="I19"/>
  <c r="J2"/>
  <c r="H329"/>
  <c r="H470"/>
  <c r="H519"/>
  <c r="H523"/>
  <c r="H527"/>
  <c r="H474"/>
  <c r="H494"/>
  <c r="H498"/>
  <c r="H502"/>
  <c r="H522"/>
  <c r="H526"/>
  <c r="H27"/>
  <c r="H468"/>
  <c r="H469"/>
  <c r="H473"/>
  <c r="H493"/>
  <c r="H497"/>
  <c r="H501"/>
  <c r="H521"/>
  <c r="H525"/>
  <c r="H463"/>
  <c r="H472"/>
  <c r="H476"/>
  <c r="H496"/>
  <c r="H500"/>
  <c r="H520"/>
  <c r="H524"/>
  <c r="H528"/>
  <c r="H621"/>
  <c r="H606" s="1"/>
  <c r="H60" s="1"/>
  <c r="H653"/>
  <c r="H638" s="1"/>
  <c r="H61" s="1"/>
  <c r="H71" i="7"/>
  <c r="K11"/>
  <c r="J534"/>
  <c r="J527"/>
  <c r="J528" s="1"/>
  <c r="I400"/>
  <c r="I402"/>
  <c r="I399"/>
  <c r="I403"/>
  <c r="I423"/>
  <c r="I427"/>
  <c r="I431"/>
  <c r="I451"/>
  <c r="I455"/>
  <c r="I424"/>
  <c r="I428"/>
  <c r="I448"/>
  <c r="I452"/>
  <c r="I456"/>
  <c r="I27"/>
  <c r="J660"/>
  <c r="J659"/>
  <c r="J658"/>
  <c r="J657"/>
  <c r="J656"/>
  <c r="J655"/>
  <c r="J654"/>
  <c r="J652"/>
  <c r="J648"/>
  <c r="J322" s="1"/>
  <c r="J647"/>
  <c r="J321" s="1"/>
  <c r="J646"/>
  <c r="J320" s="1"/>
  <c r="J645"/>
  <c r="J319" s="1"/>
  <c r="J644"/>
  <c r="J318" s="1"/>
  <c r="J643"/>
  <c r="J317" s="1"/>
  <c r="J642"/>
  <c r="J316" s="1"/>
  <c r="J641"/>
  <c r="J315" s="1"/>
  <c r="J640"/>
  <c r="J314" s="1"/>
  <c r="J639"/>
  <c r="J313" s="1"/>
  <c r="J628"/>
  <c r="J627"/>
  <c r="J626"/>
  <c r="J625"/>
  <c r="J624"/>
  <c r="J623"/>
  <c r="J622"/>
  <c r="J621"/>
  <c r="J620"/>
  <c r="J616"/>
  <c r="J296" s="1"/>
  <c r="J615"/>
  <c r="J295" s="1"/>
  <c r="J614"/>
  <c r="J294" s="1"/>
  <c r="J613"/>
  <c r="J293" s="1"/>
  <c r="J612"/>
  <c r="J292" s="1"/>
  <c r="J611"/>
  <c r="J291" s="1"/>
  <c r="J610"/>
  <c r="J609"/>
  <c r="J289" s="1"/>
  <c r="J608"/>
  <c r="J288" s="1"/>
  <c r="J607"/>
  <c r="J287" s="1"/>
  <c r="J596"/>
  <c r="J595"/>
  <c r="J594"/>
  <c r="J593"/>
  <c r="J592"/>
  <c r="J591"/>
  <c r="J590"/>
  <c r="J589"/>
  <c r="J588"/>
  <c r="J584"/>
  <c r="J271" s="1"/>
  <c r="J583"/>
  <c r="J270" s="1"/>
  <c r="J582"/>
  <c r="J269" s="1"/>
  <c r="J581"/>
  <c r="J268" s="1"/>
  <c r="J580"/>
  <c r="J267" s="1"/>
  <c r="J579"/>
  <c r="J578"/>
  <c r="J265" s="1"/>
  <c r="J577"/>
  <c r="J264" s="1"/>
  <c r="J576"/>
  <c r="J263" s="1"/>
  <c r="J575"/>
  <c r="J262" s="1"/>
  <c r="J480"/>
  <c r="J481" s="1"/>
  <c r="J474"/>
  <c r="J475" s="1"/>
  <c r="J564"/>
  <c r="J62" s="1"/>
  <c r="J391"/>
  <c r="J290"/>
  <c r="J378"/>
  <c r="J377"/>
  <c r="J376"/>
  <c r="J375"/>
  <c r="J374"/>
  <c r="J373"/>
  <c r="J266"/>
  <c r="J244"/>
  <c r="J243"/>
  <c r="J242"/>
  <c r="J241"/>
  <c r="J240"/>
  <c r="J239"/>
  <c r="J257"/>
  <c r="J30"/>
  <c r="J26"/>
  <c r="J25"/>
  <c r="J23"/>
  <c r="J19"/>
  <c r="K2"/>
  <c r="I258"/>
  <c r="I396"/>
  <c r="I404"/>
  <c r="I398"/>
  <c r="I397"/>
  <c r="I401"/>
  <c r="I405"/>
  <c r="I425"/>
  <c r="I429"/>
  <c r="I449"/>
  <c r="I453"/>
  <c r="I457"/>
  <c r="I422"/>
  <c r="I426"/>
  <c r="I430"/>
  <c r="I450"/>
  <c r="I454"/>
  <c r="I392"/>
  <c r="I585"/>
  <c r="I570" s="1"/>
  <c r="I68" s="1"/>
  <c r="I617"/>
  <c r="I602" s="1"/>
  <c r="I69" s="1"/>
  <c r="I649"/>
  <c r="I634" s="1"/>
  <c r="I70" s="1"/>
  <c r="A720" i="2"/>
  <c r="A688"/>
  <c r="K519" i="7" l="1"/>
  <c r="K515"/>
  <c r="K511"/>
  <c r="K507"/>
  <c r="K558"/>
  <c r="K56" i="10"/>
  <c r="K85"/>
  <c r="K86" s="1"/>
  <c r="L629"/>
  <c r="L625"/>
  <c r="L621"/>
  <c r="L617"/>
  <c r="J578" i="8"/>
  <c r="J590"/>
  <c r="J586"/>
  <c r="J582"/>
  <c r="J65" i="10"/>
  <c r="J68" s="1"/>
  <c r="J75" s="1"/>
  <c r="I179"/>
  <c r="I196" s="1"/>
  <c r="K58"/>
  <c r="K180"/>
  <c r="K197" s="1"/>
  <c r="K141"/>
  <c r="K153" s="1"/>
  <c r="K249"/>
  <c r="K221"/>
  <c r="J640"/>
  <c r="K637" s="1"/>
  <c r="K59"/>
  <c r="M11"/>
  <c r="L645"/>
  <c r="L181" s="1"/>
  <c r="L198" s="1"/>
  <c r="L41"/>
  <c r="L183" s="1"/>
  <c r="L200" s="1"/>
  <c r="K698"/>
  <c r="K683" s="1"/>
  <c r="K66" s="1"/>
  <c r="K508"/>
  <c r="L741"/>
  <c r="L740"/>
  <c r="L739"/>
  <c r="L738"/>
  <c r="L737"/>
  <c r="L736"/>
  <c r="L734"/>
  <c r="L733"/>
  <c r="L729"/>
  <c r="L728"/>
  <c r="L431" s="1"/>
  <c r="L727"/>
  <c r="L430" s="1"/>
  <c r="L726"/>
  <c r="L429" s="1"/>
  <c r="L725"/>
  <c r="L428" s="1"/>
  <c r="L724"/>
  <c r="L427" s="1"/>
  <c r="L723"/>
  <c r="L426" s="1"/>
  <c r="L722"/>
  <c r="L425" s="1"/>
  <c r="L721"/>
  <c r="L424" s="1"/>
  <c r="L720"/>
  <c r="L423" s="1"/>
  <c r="L709"/>
  <c r="L708"/>
  <c r="L707"/>
  <c r="L706"/>
  <c r="L705"/>
  <c r="L704"/>
  <c r="L703"/>
  <c r="L702"/>
  <c r="L701"/>
  <c r="L697"/>
  <c r="L696"/>
  <c r="L405" s="1"/>
  <c r="L695"/>
  <c r="L404" s="1"/>
  <c r="L694"/>
  <c r="L403" s="1"/>
  <c r="L693"/>
  <c r="L402" s="1"/>
  <c r="L692"/>
  <c r="L401" s="1"/>
  <c r="L691"/>
  <c r="L400" s="1"/>
  <c r="L690"/>
  <c r="L399" s="1"/>
  <c r="L689"/>
  <c r="L398" s="1"/>
  <c r="L688"/>
  <c r="L397" s="1"/>
  <c r="L677"/>
  <c r="L676"/>
  <c r="L675"/>
  <c r="L674"/>
  <c r="L673"/>
  <c r="L672"/>
  <c r="L671"/>
  <c r="L670"/>
  <c r="L669"/>
  <c r="L665"/>
  <c r="L381" s="1"/>
  <c r="L664"/>
  <c r="L380" s="1"/>
  <c r="L663"/>
  <c r="L379" s="1"/>
  <c r="L662"/>
  <c r="L378" s="1"/>
  <c r="L661"/>
  <c r="L377" s="1"/>
  <c r="L660"/>
  <c r="L376" s="1"/>
  <c r="L659"/>
  <c r="L375" s="1"/>
  <c r="L658"/>
  <c r="L374" s="1"/>
  <c r="L657"/>
  <c r="L373" s="1"/>
  <c r="L639"/>
  <c r="L656"/>
  <c r="L372" s="1"/>
  <c r="L590"/>
  <c r="L591" s="1"/>
  <c r="L584"/>
  <c r="L585" s="1"/>
  <c r="L501"/>
  <c r="L432"/>
  <c r="L406"/>
  <c r="L354"/>
  <c r="L353"/>
  <c r="L352"/>
  <c r="L351"/>
  <c r="L350"/>
  <c r="L349"/>
  <c r="L488"/>
  <c r="L487"/>
  <c r="L486"/>
  <c r="L485"/>
  <c r="L484"/>
  <c r="L483"/>
  <c r="L367"/>
  <c r="L30"/>
  <c r="L26"/>
  <c r="L25"/>
  <c r="L23"/>
  <c r="L19"/>
  <c r="M2"/>
  <c r="K368"/>
  <c r="K507"/>
  <c r="K511"/>
  <c r="K515"/>
  <c r="K535"/>
  <c r="K539"/>
  <c r="K559"/>
  <c r="K563"/>
  <c r="K567"/>
  <c r="K512"/>
  <c r="K532"/>
  <c r="K536"/>
  <c r="K540"/>
  <c r="K560"/>
  <c r="K564"/>
  <c r="K502"/>
  <c r="K730"/>
  <c r="K715" s="1"/>
  <c r="K67" s="1"/>
  <c r="K27"/>
  <c r="K666"/>
  <c r="K651" s="1"/>
  <c r="K509"/>
  <c r="K513"/>
  <c r="K533"/>
  <c r="K537"/>
  <c r="K541"/>
  <c r="K561"/>
  <c r="K565"/>
  <c r="K506"/>
  <c r="K510"/>
  <c r="K514"/>
  <c r="K534"/>
  <c r="K538"/>
  <c r="K558"/>
  <c r="K562"/>
  <c r="K566"/>
  <c r="K11" i="8"/>
  <c r="I598"/>
  <c r="I601" s="1"/>
  <c r="I653"/>
  <c r="I638" s="1"/>
  <c r="I61" s="1"/>
  <c r="J696"/>
  <c r="J695"/>
  <c r="J694"/>
  <c r="J693"/>
  <c r="J692"/>
  <c r="J691"/>
  <c r="J690"/>
  <c r="J688"/>
  <c r="J684"/>
  <c r="J683"/>
  <c r="J392" s="1"/>
  <c r="J682"/>
  <c r="J391" s="1"/>
  <c r="J681"/>
  <c r="J390" s="1"/>
  <c r="J680"/>
  <c r="J389" s="1"/>
  <c r="J679"/>
  <c r="J388" s="1"/>
  <c r="J678"/>
  <c r="J387" s="1"/>
  <c r="J677"/>
  <c r="J386" s="1"/>
  <c r="J676"/>
  <c r="J675"/>
  <c r="J384" s="1"/>
  <c r="J664"/>
  <c r="J663"/>
  <c r="J662"/>
  <c r="J661"/>
  <c r="J660"/>
  <c r="J659"/>
  <c r="J658"/>
  <c r="J657"/>
  <c r="J656"/>
  <c r="J652"/>
  <c r="J651"/>
  <c r="J366" s="1"/>
  <c r="J650"/>
  <c r="J365" s="1"/>
  <c r="J649"/>
  <c r="J364" s="1"/>
  <c r="J648"/>
  <c r="J363" s="1"/>
  <c r="J647"/>
  <c r="J362" s="1"/>
  <c r="J646"/>
  <c r="J361" s="1"/>
  <c r="J645"/>
  <c r="J644"/>
  <c r="J359" s="1"/>
  <c r="J643"/>
  <c r="J358" s="1"/>
  <c r="J632"/>
  <c r="J631"/>
  <c r="J630"/>
  <c r="J629"/>
  <c r="J628"/>
  <c r="J627"/>
  <c r="J626"/>
  <c r="J625"/>
  <c r="J624"/>
  <c r="J620"/>
  <c r="J342" s="1"/>
  <c r="J619"/>
  <c r="J341" s="1"/>
  <c r="J618"/>
  <c r="J340" s="1"/>
  <c r="J617"/>
  <c r="J339" s="1"/>
  <c r="J616"/>
  <c r="J338" s="1"/>
  <c r="J615"/>
  <c r="J337" s="1"/>
  <c r="J614"/>
  <c r="J613"/>
  <c r="J335" s="1"/>
  <c r="J612"/>
  <c r="J334" s="1"/>
  <c r="J611"/>
  <c r="J333" s="1"/>
  <c r="J551"/>
  <c r="J552" s="1"/>
  <c r="J545"/>
  <c r="J546" s="1"/>
  <c r="J600"/>
  <c r="J54" s="1"/>
  <c r="J462"/>
  <c r="J393"/>
  <c r="J385"/>
  <c r="J367"/>
  <c r="J449"/>
  <c r="J448"/>
  <c r="J447"/>
  <c r="J446"/>
  <c r="J445"/>
  <c r="J444"/>
  <c r="J360"/>
  <c r="J328"/>
  <c r="J315"/>
  <c r="J314"/>
  <c r="J313"/>
  <c r="J312"/>
  <c r="J311"/>
  <c r="J310"/>
  <c r="J336"/>
  <c r="K2"/>
  <c r="J30"/>
  <c r="J26"/>
  <c r="J25"/>
  <c r="J23"/>
  <c r="J19"/>
  <c r="I329"/>
  <c r="I469"/>
  <c r="I470"/>
  <c r="I474"/>
  <c r="I494"/>
  <c r="I498"/>
  <c r="I502"/>
  <c r="I522"/>
  <c r="I526"/>
  <c r="I473"/>
  <c r="I493"/>
  <c r="I497"/>
  <c r="I501"/>
  <c r="I521"/>
  <c r="I525"/>
  <c r="I463"/>
  <c r="I27"/>
  <c r="I621"/>
  <c r="I606" s="1"/>
  <c r="I60" s="1"/>
  <c r="I467"/>
  <c r="I468"/>
  <c r="I472"/>
  <c r="I476"/>
  <c r="I496"/>
  <c r="I500"/>
  <c r="I520"/>
  <c r="I524"/>
  <c r="I528"/>
  <c r="I471"/>
  <c r="I475"/>
  <c r="I495"/>
  <c r="I499"/>
  <c r="I519"/>
  <c r="I523"/>
  <c r="I527"/>
  <c r="I685"/>
  <c r="I670" s="1"/>
  <c r="I62" s="1"/>
  <c r="H63"/>
  <c r="K534" i="7"/>
  <c r="K527"/>
  <c r="K528" s="1"/>
  <c r="L11"/>
  <c r="J403"/>
  <c r="J401"/>
  <c r="J396"/>
  <c r="J400"/>
  <c r="J404"/>
  <c r="J424"/>
  <c r="J428"/>
  <c r="J448"/>
  <c r="J452"/>
  <c r="J456"/>
  <c r="J425"/>
  <c r="J429"/>
  <c r="J449"/>
  <c r="J453"/>
  <c r="J457"/>
  <c r="I71"/>
  <c r="J27"/>
  <c r="J585"/>
  <c r="J570" s="1"/>
  <c r="J68" s="1"/>
  <c r="J617"/>
  <c r="J602" s="1"/>
  <c r="J69" s="1"/>
  <c r="J649"/>
  <c r="J634" s="1"/>
  <c r="J70" s="1"/>
  <c r="K660"/>
  <c r="K659"/>
  <c r="K658"/>
  <c r="K657"/>
  <c r="K656"/>
  <c r="K655"/>
  <c r="K654"/>
  <c r="K648"/>
  <c r="K322" s="1"/>
  <c r="K647"/>
  <c r="K321" s="1"/>
  <c r="K646"/>
  <c r="K645"/>
  <c r="K319" s="1"/>
  <c r="K644"/>
  <c r="K318" s="1"/>
  <c r="K643"/>
  <c r="K317" s="1"/>
  <c r="K642"/>
  <c r="K316" s="1"/>
  <c r="K641"/>
  <c r="K315" s="1"/>
  <c r="K652"/>
  <c r="K616"/>
  <c r="K296" s="1"/>
  <c r="K615"/>
  <c r="K614"/>
  <c r="K294" s="1"/>
  <c r="K613"/>
  <c r="K293" s="1"/>
  <c r="K612"/>
  <c r="K292" s="1"/>
  <c r="K611"/>
  <c r="K291" s="1"/>
  <c r="K640"/>
  <c r="K314" s="1"/>
  <c r="K639"/>
  <c r="K628"/>
  <c r="K627"/>
  <c r="K626"/>
  <c r="K625"/>
  <c r="K624"/>
  <c r="K623"/>
  <c r="K622"/>
  <c r="K621"/>
  <c r="K620"/>
  <c r="K610"/>
  <c r="K290" s="1"/>
  <c r="K584"/>
  <c r="K271" s="1"/>
  <c r="K583"/>
  <c r="K270" s="1"/>
  <c r="K582"/>
  <c r="K269" s="1"/>
  <c r="K581"/>
  <c r="K268" s="1"/>
  <c r="K580"/>
  <c r="K267" s="1"/>
  <c r="K579"/>
  <c r="K266" s="1"/>
  <c r="K609"/>
  <c r="K289" s="1"/>
  <c r="K608"/>
  <c r="K288" s="1"/>
  <c r="K607"/>
  <c r="K287" s="1"/>
  <c r="K596"/>
  <c r="K595"/>
  <c r="K594"/>
  <c r="K593"/>
  <c r="K592"/>
  <c r="K591"/>
  <c r="K590"/>
  <c r="K589"/>
  <c r="K588"/>
  <c r="K577"/>
  <c r="K264" s="1"/>
  <c r="K564"/>
  <c r="K62" s="1"/>
  <c r="K578"/>
  <c r="K265" s="1"/>
  <c r="K576"/>
  <c r="K263" s="1"/>
  <c r="K575"/>
  <c r="K480"/>
  <c r="K481" s="1"/>
  <c r="K474"/>
  <c r="K475" s="1"/>
  <c r="K378"/>
  <c r="K377"/>
  <c r="K376"/>
  <c r="K375"/>
  <c r="K374"/>
  <c r="K373"/>
  <c r="K295"/>
  <c r="K391"/>
  <c r="K320"/>
  <c r="K257"/>
  <c r="K244"/>
  <c r="K243"/>
  <c r="K242"/>
  <c r="K241"/>
  <c r="K240"/>
  <c r="K239"/>
  <c r="L2"/>
  <c r="K30"/>
  <c r="K26"/>
  <c r="K25"/>
  <c r="K23"/>
  <c r="K19"/>
  <c r="J399"/>
  <c r="J258"/>
  <c r="J397"/>
  <c r="J405"/>
  <c r="J398"/>
  <c r="J402"/>
  <c r="J422"/>
  <c r="J426"/>
  <c r="J430"/>
  <c r="J450"/>
  <c r="J454"/>
  <c r="J392"/>
  <c r="J423"/>
  <c r="J427"/>
  <c r="J431"/>
  <c r="J451"/>
  <c r="J455"/>
  <c r="J565"/>
  <c r="K562" s="1"/>
  <c r="A721" i="2"/>
  <c r="A689"/>
  <c r="L519" i="7" l="1"/>
  <c r="L515"/>
  <c r="L511"/>
  <c r="L507"/>
  <c r="L56" i="10"/>
  <c r="L85"/>
  <c r="L86" s="1"/>
  <c r="M629"/>
  <c r="M625"/>
  <c r="M621"/>
  <c r="M617"/>
  <c r="K590" i="8"/>
  <c r="K586"/>
  <c r="K582"/>
  <c r="K578"/>
  <c r="K65" i="10"/>
  <c r="K68" s="1"/>
  <c r="K75" s="1"/>
  <c r="J179"/>
  <c r="J196" s="1"/>
  <c r="L58"/>
  <c r="L180"/>
  <c r="L197" s="1"/>
  <c r="L141"/>
  <c r="L153" s="1"/>
  <c r="L249"/>
  <c r="L221"/>
  <c r="K640"/>
  <c r="L637" s="1"/>
  <c r="L59"/>
  <c r="N11"/>
  <c r="M645"/>
  <c r="M181" s="1"/>
  <c r="M198" s="1"/>
  <c r="M41"/>
  <c r="M183" s="1"/>
  <c r="M200" s="1"/>
  <c r="L730"/>
  <c r="L715" s="1"/>
  <c r="L67" s="1"/>
  <c r="L698"/>
  <c r="L683" s="1"/>
  <c r="L66" s="1"/>
  <c r="M741"/>
  <c r="M740"/>
  <c r="M739"/>
  <c r="M738"/>
  <c r="M737"/>
  <c r="M736"/>
  <c r="M734"/>
  <c r="M733"/>
  <c r="M729"/>
  <c r="M432" s="1"/>
  <c r="M728"/>
  <c r="M727"/>
  <c r="M430" s="1"/>
  <c r="M726"/>
  <c r="M429" s="1"/>
  <c r="M725"/>
  <c r="M428" s="1"/>
  <c r="M724"/>
  <c r="M427" s="1"/>
  <c r="M723"/>
  <c r="M426" s="1"/>
  <c r="M722"/>
  <c r="M425" s="1"/>
  <c r="M721"/>
  <c r="M424" s="1"/>
  <c r="M720"/>
  <c r="M423" s="1"/>
  <c r="M697"/>
  <c r="M406" s="1"/>
  <c r="M696"/>
  <c r="M405" s="1"/>
  <c r="M695"/>
  <c r="M694"/>
  <c r="M403" s="1"/>
  <c r="M693"/>
  <c r="M402" s="1"/>
  <c r="M692"/>
  <c r="M401" s="1"/>
  <c r="M691"/>
  <c r="M400" s="1"/>
  <c r="M690"/>
  <c r="M399" s="1"/>
  <c r="M709"/>
  <c r="M708"/>
  <c r="M707"/>
  <c r="M706"/>
  <c r="M705"/>
  <c r="M704"/>
  <c r="M703"/>
  <c r="M702"/>
  <c r="M701"/>
  <c r="M665"/>
  <c r="M381" s="1"/>
  <c r="M664"/>
  <c r="M380" s="1"/>
  <c r="M663"/>
  <c r="M379" s="1"/>
  <c r="M662"/>
  <c r="M378" s="1"/>
  <c r="M661"/>
  <c r="M377" s="1"/>
  <c r="M660"/>
  <c r="M376" s="1"/>
  <c r="M689"/>
  <c r="M398" s="1"/>
  <c r="M688"/>
  <c r="M397" s="1"/>
  <c r="M677"/>
  <c r="M676"/>
  <c r="M675"/>
  <c r="M674"/>
  <c r="M673"/>
  <c r="M672"/>
  <c r="M671"/>
  <c r="M670"/>
  <c r="M669"/>
  <c r="M658"/>
  <c r="M374" s="1"/>
  <c r="M656"/>
  <c r="M372" s="1"/>
  <c r="M590"/>
  <c r="M591" s="1"/>
  <c r="M584"/>
  <c r="M585" s="1"/>
  <c r="M659"/>
  <c r="M375" s="1"/>
  <c r="M657"/>
  <c r="M373" s="1"/>
  <c r="M639"/>
  <c r="M488"/>
  <c r="M487"/>
  <c r="M486"/>
  <c r="M485"/>
  <c r="M484"/>
  <c r="M483"/>
  <c r="M431"/>
  <c r="M367"/>
  <c r="M501"/>
  <c r="M404"/>
  <c r="M354"/>
  <c r="M353"/>
  <c r="M352"/>
  <c r="M351"/>
  <c r="M350"/>
  <c r="M349"/>
  <c r="M30"/>
  <c r="M26"/>
  <c r="M25"/>
  <c r="M23"/>
  <c r="M19"/>
  <c r="N2"/>
  <c r="L508"/>
  <c r="L512"/>
  <c r="L532"/>
  <c r="L536"/>
  <c r="L540"/>
  <c r="L560"/>
  <c r="L564"/>
  <c r="L502"/>
  <c r="L368"/>
  <c r="L507"/>
  <c r="L511"/>
  <c r="L515"/>
  <c r="L535"/>
  <c r="L539"/>
  <c r="L559"/>
  <c r="L563"/>
  <c r="L567"/>
  <c r="L27"/>
  <c r="L666"/>
  <c r="L651" s="1"/>
  <c r="L506"/>
  <c r="L510"/>
  <c r="L514"/>
  <c r="L534"/>
  <c r="L538"/>
  <c r="L558"/>
  <c r="L562"/>
  <c r="L566"/>
  <c r="L509"/>
  <c r="L513"/>
  <c r="L533"/>
  <c r="L537"/>
  <c r="L541"/>
  <c r="L561"/>
  <c r="L565"/>
  <c r="K565" i="7"/>
  <c r="L562" s="1"/>
  <c r="L11" i="8"/>
  <c r="J598"/>
  <c r="J601" s="1"/>
  <c r="J685"/>
  <c r="J670" s="1"/>
  <c r="J62" s="1"/>
  <c r="K696"/>
  <c r="K695"/>
  <c r="K694"/>
  <c r="K693"/>
  <c r="K692"/>
  <c r="K691"/>
  <c r="K690"/>
  <c r="K688"/>
  <c r="K684"/>
  <c r="K393" s="1"/>
  <c r="K683"/>
  <c r="K682"/>
  <c r="K391" s="1"/>
  <c r="K681"/>
  <c r="K390" s="1"/>
  <c r="K680"/>
  <c r="K389" s="1"/>
  <c r="K679"/>
  <c r="K388" s="1"/>
  <c r="K678"/>
  <c r="K387" s="1"/>
  <c r="K677"/>
  <c r="K386" s="1"/>
  <c r="K676"/>
  <c r="K385" s="1"/>
  <c r="K675"/>
  <c r="K663"/>
  <c r="K661"/>
  <c r="K659"/>
  <c r="K652"/>
  <c r="K651"/>
  <c r="K366" s="1"/>
  <c r="K650"/>
  <c r="K365" s="1"/>
  <c r="K649"/>
  <c r="K364" s="1"/>
  <c r="K648"/>
  <c r="K647"/>
  <c r="K362" s="1"/>
  <c r="K646"/>
  <c r="K361" s="1"/>
  <c r="K645"/>
  <c r="K360" s="1"/>
  <c r="K644"/>
  <c r="K643"/>
  <c r="K358" s="1"/>
  <c r="K664"/>
  <c r="K662"/>
  <c r="K660"/>
  <c r="K658"/>
  <c r="K657"/>
  <c r="K656"/>
  <c r="K620"/>
  <c r="K342" s="1"/>
  <c r="K619"/>
  <c r="K341" s="1"/>
  <c r="K618"/>
  <c r="K340" s="1"/>
  <c r="K617"/>
  <c r="K339" s="1"/>
  <c r="K616"/>
  <c r="K338" s="1"/>
  <c r="K615"/>
  <c r="K337" s="1"/>
  <c r="K614"/>
  <c r="K336" s="1"/>
  <c r="K613"/>
  <c r="K335" s="1"/>
  <c r="K612"/>
  <c r="K334" s="1"/>
  <c r="K611"/>
  <c r="K333" s="1"/>
  <c r="K632"/>
  <c r="K631"/>
  <c r="K630"/>
  <c r="K629"/>
  <c r="K628"/>
  <c r="K627"/>
  <c r="K626"/>
  <c r="K625"/>
  <c r="K624"/>
  <c r="K600"/>
  <c r="K54" s="1"/>
  <c r="K551"/>
  <c r="K552" s="1"/>
  <c r="K545"/>
  <c r="K546" s="1"/>
  <c r="K449"/>
  <c r="K448"/>
  <c r="K447"/>
  <c r="K446"/>
  <c r="K445"/>
  <c r="K444"/>
  <c r="K392"/>
  <c r="K384"/>
  <c r="K462"/>
  <c r="K367"/>
  <c r="K363"/>
  <c r="K359"/>
  <c r="K328"/>
  <c r="K315"/>
  <c r="K314"/>
  <c r="K313"/>
  <c r="K312"/>
  <c r="K311"/>
  <c r="K310"/>
  <c r="K30"/>
  <c r="K26"/>
  <c r="K25"/>
  <c r="K23"/>
  <c r="K19"/>
  <c r="L2"/>
  <c r="J329"/>
  <c r="J468"/>
  <c r="J467"/>
  <c r="J471"/>
  <c r="J475"/>
  <c r="J495"/>
  <c r="J499"/>
  <c r="J519"/>
  <c r="J523"/>
  <c r="J527"/>
  <c r="J474"/>
  <c r="J494"/>
  <c r="J498"/>
  <c r="J502"/>
  <c r="J522"/>
  <c r="J526"/>
  <c r="J27"/>
  <c r="J470"/>
  <c r="J469"/>
  <c r="J473"/>
  <c r="J493"/>
  <c r="J497"/>
  <c r="J501"/>
  <c r="J521"/>
  <c r="J525"/>
  <c r="J463"/>
  <c r="J472"/>
  <c r="J476"/>
  <c r="J496"/>
  <c r="J500"/>
  <c r="J520"/>
  <c r="J524"/>
  <c r="J528"/>
  <c r="J621"/>
  <c r="J606" s="1"/>
  <c r="J60" s="1"/>
  <c r="J653"/>
  <c r="J638" s="1"/>
  <c r="J61" s="1"/>
  <c r="I63"/>
  <c r="M11" i="7"/>
  <c r="L534"/>
  <c r="L527"/>
  <c r="L528" s="1"/>
  <c r="K424"/>
  <c r="K403"/>
  <c r="K452"/>
  <c r="K456"/>
  <c r="K399"/>
  <c r="K428"/>
  <c r="K258"/>
  <c r="K400"/>
  <c r="K585"/>
  <c r="K570" s="1"/>
  <c r="K68" s="1"/>
  <c r="K617"/>
  <c r="K602" s="1"/>
  <c r="K69" s="1"/>
  <c r="K649"/>
  <c r="K634" s="1"/>
  <c r="K70" s="1"/>
  <c r="L660"/>
  <c r="L659"/>
  <c r="L658"/>
  <c r="L657"/>
  <c r="L656"/>
  <c r="L655"/>
  <c r="L653"/>
  <c r="L652"/>
  <c r="L648"/>
  <c r="L647"/>
  <c r="L321" s="1"/>
  <c r="L646"/>
  <c r="L320" s="1"/>
  <c r="L645"/>
  <c r="L319" s="1"/>
  <c r="L644"/>
  <c r="L318" s="1"/>
  <c r="L643"/>
  <c r="L317" s="1"/>
  <c r="L642"/>
  <c r="L316" s="1"/>
  <c r="L641"/>
  <c r="L315" s="1"/>
  <c r="L640"/>
  <c r="L314" s="1"/>
  <c r="L639"/>
  <c r="L628"/>
  <c r="L627"/>
  <c r="L626"/>
  <c r="L625"/>
  <c r="L624"/>
  <c r="L623"/>
  <c r="L622"/>
  <c r="L621"/>
  <c r="L620"/>
  <c r="L616"/>
  <c r="L615"/>
  <c r="L295" s="1"/>
  <c r="L614"/>
  <c r="L294" s="1"/>
  <c r="L613"/>
  <c r="L293" s="1"/>
  <c r="L612"/>
  <c r="L292" s="1"/>
  <c r="L611"/>
  <c r="L291" s="1"/>
  <c r="L610"/>
  <c r="L290" s="1"/>
  <c r="L609"/>
  <c r="L289" s="1"/>
  <c r="L608"/>
  <c r="L288" s="1"/>
  <c r="L607"/>
  <c r="L287" s="1"/>
  <c r="L596"/>
  <c r="L595"/>
  <c r="L594"/>
  <c r="L593"/>
  <c r="L592"/>
  <c r="L591"/>
  <c r="L590"/>
  <c r="L589"/>
  <c r="L588"/>
  <c r="L584"/>
  <c r="L271" s="1"/>
  <c r="L583"/>
  <c r="L270" s="1"/>
  <c r="L582"/>
  <c r="L269" s="1"/>
  <c r="L581"/>
  <c r="L268" s="1"/>
  <c r="L580"/>
  <c r="L579"/>
  <c r="L266" s="1"/>
  <c r="L578"/>
  <c r="L265" s="1"/>
  <c r="L577"/>
  <c r="L264" s="1"/>
  <c r="L576"/>
  <c r="L263" s="1"/>
  <c r="L575"/>
  <c r="L480"/>
  <c r="L481" s="1"/>
  <c r="L474"/>
  <c r="L475" s="1"/>
  <c r="L564"/>
  <c r="L62" s="1"/>
  <c r="L391"/>
  <c r="L322"/>
  <c r="L296"/>
  <c r="L378"/>
  <c r="L377"/>
  <c r="L376"/>
  <c r="L375"/>
  <c r="L374"/>
  <c r="L373"/>
  <c r="L244"/>
  <c r="L243"/>
  <c r="L242"/>
  <c r="L241"/>
  <c r="L240"/>
  <c r="L239"/>
  <c r="L267"/>
  <c r="L257"/>
  <c r="L30"/>
  <c r="L26"/>
  <c r="L25"/>
  <c r="L23"/>
  <c r="L19"/>
  <c r="M2"/>
  <c r="K402"/>
  <c r="K404"/>
  <c r="K423"/>
  <c r="K427"/>
  <c r="K431"/>
  <c r="K451"/>
  <c r="K455"/>
  <c r="K27"/>
  <c r="K262"/>
  <c r="K313"/>
  <c r="K398"/>
  <c r="K397"/>
  <c r="K401"/>
  <c r="K405"/>
  <c r="K425"/>
  <c r="K429"/>
  <c r="K449"/>
  <c r="K453"/>
  <c r="K457"/>
  <c r="K422"/>
  <c r="K426"/>
  <c r="K430"/>
  <c r="K450"/>
  <c r="K454"/>
  <c r="K392"/>
  <c r="J71"/>
  <c r="A722" i="2"/>
  <c r="A690"/>
  <c r="M519" i="7" l="1"/>
  <c r="M515"/>
  <c r="M511"/>
  <c r="M507"/>
  <c r="M558"/>
  <c r="M56" i="10"/>
  <c r="M85"/>
  <c r="M86" s="1"/>
  <c r="N629"/>
  <c r="N625"/>
  <c r="N621"/>
  <c r="N617"/>
  <c r="L313" i="7"/>
  <c r="L578" i="8"/>
  <c r="L590"/>
  <c r="L586"/>
  <c r="L582"/>
  <c r="L65" i="10"/>
  <c r="L68" s="1"/>
  <c r="L75" s="1"/>
  <c r="K179"/>
  <c r="K196" s="1"/>
  <c r="M58"/>
  <c r="M180"/>
  <c r="M197" s="1"/>
  <c r="M141"/>
  <c r="M153" s="1"/>
  <c r="M249"/>
  <c r="M221"/>
  <c r="M59"/>
  <c r="L640"/>
  <c r="M637" s="1"/>
  <c r="O11"/>
  <c r="N645"/>
  <c r="N181" s="1"/>
  <c r="N198" s="1"/>
  <c r="N41"/>
  <c r="N183" s="1"/>
  <c r="N200" s="1"/>
  <c r="M730"/>
  <c r="M715" s="1"/>
  <c r="M67" s="1"/>
  <c r="L565" i="7"/>
  <c r="M562" s="1"/>
  <c r="M698" i="10"/>
  <c r="M683" s="1"/>
  <c r="M66" s="1"/>
  <c r="M368"/>
  <c r="M507"/>
  <c r="M511"/>
  <c r="M515"/>
  <c r="M535"/>
  <c r="M539"/>
  <c r="M559"/>
  <c r="M563"/>
  <c r="M567"/>
  <c r="M508"/>
  <c r="M512"/>
  <c r="M532"/>
  <c r="M536"/>
  <c r="M540"/>
  <c r="M560"/>
  <c r="M564"/>
  <c r="M502"/>
  <c r="M27"/>
  <c r="N741"/>
  <c r="N740"/>
  <c r="N739"/>
  <c r="N738"/>
  <c r="N737"/>
  <c r="N736"/>
  <c r="N734"/>
  <c r="N733"/>
  <c r="N729"/>
  <c r="N432" s="1"/>
  <c r="N728"/>
  <c r="N431" s="1"/>
  <c r="N727"/>
  <c r="N430" s="1"/>
  <c r="N726"/>
  <c r="N429" s="1"/>
  <c r="N725"/>
  <c r="N428" s="1"/>
  <c r="N724"/>
  <c r="N427" s="1"/>
  <c r="N723"/>
  <c r="N426" s="1"/>
  <c r="N722"/>
  <c r="N425" s="1"/>
  <c r="N721"/>
  <c r="N424" s="1"/>
  <c r="N720"/>
  <c r="N423" s="1"/>
  <c r="N709"/>
  <c r="N708"/>
  <c r="N707"/>
  <c r="N706"/>
  <c r="N705"/>
  <c r="N704"/>
  <c r="N703"/>
  <c r="N702"/>
  <c r="N701"/>
  <c r="N697"/>
  <c r="N406" s="1"/>
  <c r="N696"/>
  <c r="N405" s="1"/>
  <c r="N695"/>
  <c r="N404" s="1"/>
  <c r="N694"/>
  <c r="N403" s="1"/>
  <c r="N693"/>
  <c r="N402" s="1"/>
  <c r="N692"/>
  <c r="N401" s="1"/>
  <c r="N691"/>
  <c r="N400" s="1"/>
  <c r="N690"/>
  <c r="N399" s="1"/>
  <c r="N689"/>
  <c r="N398" s="1"/>
  <c r="N688"/>
  <c r="N397" s="1"/>
  <c r="N677"/>
  <c r="N676"/>
  <c r="N675"/>
  <c r="N674"/>
  <c r="N673"/>
  <c r="N672"/>
  <c r="N671"/>
  <c r="N670"/>
  <c r="N669"/>
  <c r="N665"/>
  <c r="N381" s="1"/>
  <c r="N664"/>
  <c r="N380" s="1"/>
  <c r="N663"/>
  <c r="N379" s="1"/>
  <c r="N662"/>
  <c r="N378" s="1"/>
  <c r="N661"/>
  <c r="N377" s="1"/>
  <c r="N660"/>
  <c r="N376" s="1"/>
  <c r="N659"/>
  <c r="N375" s="1"/>
  <c r="N658"/>
  <c r="N374" s="1"/>
  <c r="N657"/>
  <c r="N373" s="1"/>
  <c r="N639"/>
  <c r="N656"/>
  <c r="N372" s="1"/>
  <c r="N590"/>
  <c r="N591" s="1"/>
  <c r="N584"/>
  <c r="N585" s="1"/>
  <c r="N501"/>
  <c r="N354"/>
  <c r="N353"/>
  <c r="N352"/>
  <c r="N351"/>
  <c r="N350"/>
  <c r="N349"/>
  <c r="N488"/>
  <c r="N487"/>
  <c r="N486"/>
  <c r="N485"/>
  <c r="N484"/>
  <c r="N483"/>
  <c r="N367"/>
  <c r="O2"/>
  <c r="N30"/>
  <c r="N26"/>
  <c r="N25"/>
  <c r="N23"/>
  <c r="N19"/>
  <c r="M509"/>
  <c r="M513"/>
  <c r="M533"/>
  <c r="M537"/>
  <c r="M541"/>
  <c r="M561"/>
  <c r="M565"/>
  <c r="M506"/>
  <c r="M510"/>
  <c r="M514"/>
  <c r="M534"/>
  <c r="M538"/>
  <c r="M558"/>
  <c r="M562"/>
  <c r="M566"/>
  <c r="M666"/>
  <c r="M651" s="1"/>
  <c r="M11" i="8"/>
  <c r="K598"/>
  <c r="K601" s="1"/>
  <c r="K27"/>
  <c r="K653"/>
  <c r="K638" s="1"/>
  <c r="K61" s="1"/>
  <c r="K685"/>
  <c r="K670" s="1"/>
  <c r="K62" s="1"/>
  <c r="L696"/>
  <c r="L695"/>
  <c r="L694"/>
  <c r="L693"/>
  <c r="L692"/>
  <c r="L691"/>
  <c r="L689"/>
  <c r="L688"/>
  <c r="L684"/>
  <c r="L683"/>
  <c r="L392" s="1"/>
  <c r="L682"/>
  <c r="L391" s="1"/>
  <c r="L681"/>
  <c r="L390" s="1"/>
  <c r="L680"/>
  <c r="L389" s="1"/>
  <c r="L679"/>
  <c r="L388" s="1"/>
  <c r="L678"/>
  <c r="L387" s="1"/>
  <c r="L677"/>
  <c r="L386" s="1"/>
  <c r="L676"/>
  <c r="L385" s="1"/>
  <c r="L675"/>
  <c r="L384" s="1"/>
  <c r="L664"/>
  <c r="L663"/>
  <c r="L662"/>
  <c r="L661"/>
  <c r="L660"/>
  <c r="L659"/>
  <c r="L658"/>
  <c r="L657"/>
  <c r="L656"/>
  <c r="L652"/>
  <c r="L651"/>
  <c r="L366" s="1"/>
  <c r="L650"/>
  <c r="L365" s="1"/>
  <c r="L649"/>
  <c r="L364" s="1"/>
  <c r="L648"/>
  <c r="L363" s="1"/>
  <c r="L647"/>
  <c r="L362" s="1"/>
  <c r="L646"/>
  <c r="L361" s="1"/>
  <c r="L645"/>
  <c r="L360" s="1"/>
  <c r="L644"/>
  <c r="L359" s="1"/>
  <c r="L643"/>
  <c r="L358" s="1"/>
  <c r="L632"/>
  <c r="L631"/>
  <c r="L630"/>
  <c r="L629"/>
  <c r="L628"/>
  <c r="L627"/>
  <c r="L626"/>
  <c r="L625"/>
  <c r="L624"/>
  <c r="L620"/>
  <c r="L342" s="1"/>
  <c r="L619"/>
  <c r="L341" s="1"/>
  <c r="L618"/>
  <c r="L340" s="1"/>
  <c r="L617"/>
  <c r="L339" s="1"/>
  <c r="L616"/>
  <c r="L338" s="1"/>
  <c r="L615"/>
  <c r="L337" s="1"/>
  <c r="L614"/>
  <c r="L336" s="1"/>
  <c r="L613"/>
  <c r="L335" s="1"/>
  <c r="L612"/>
  <c r="L334" s="1"/>
  <c r="L611"/>
  <c r="L333" s="1"/>
  <c r="L551"/>
  <c r="L552" s="1"/>
  <c r="L545"/>
  <c r="L546" s="1"/>
  <c r="L600"/>
  <c r="L54" s="1"/>
  <c r="L462"/>
  <c r="L393"/>
  <c r="L367"/>
  <c r="L449"/>
  <c r="L448"/>
  <c r="L447"/>
  <c r="L446"/>
  <c r="L445"/>
  <c r="L444"/>
  <c r="L328"/>
  <c r="L315"/>
  <c r="L314"/>
  <c r="L313"/>
  <c r="L312"/>
  <c r="L311"/>
  <c r="L310"/>
  <c r="M2"/>
  <c r="L30"/>
  <c r="L26"/>
  <c r="L25"/>
  <c r="L23"/>
  <c r="L19"/>
  <c r="K329"/>
  <c r="K469"/>
  <c r="K467"/>
  <c r="K470"/>
  <c r="K474"/>
  <c r="K494"/>
  <c r="K498"/>
  <c r="K502"/>
  <c r="K522"/>
  <c r="K526"/>
  <c r="K473"/>
  <c r="K493"/>
  <c r="K497"/>
  <c r="K501"/>
  <c r="K521"/>
  <c r="K525"/>
  <c r="K463"/>
  <c r="K621"/>
  <c r="K606" s="1"/>
  <c r="K60" s="1"/>
  <c r="K468"/>
  <c r="K472"/>
  <c r="K476"/>
  <c r="K496"/>
  <c r="K500"/>
  <c r="K520"/>
  <c r="K524"/>
  <c r="K528"/>
  <c r="K471"/>
  <c r="K475"/>
  <c r="K495"/>
  <c r="K499"/>
  <c r="K519"/>
  <c r="K523"/>
  <c r="K527"/>
  <c r="L585" i="7"/>
  <c r="L570" s="1"/>
  <c r="L68" s="1"/>
  <c r="L649"/>
  <c r="L634" s="1"/>
  <c r="L70" s="1"/>
  <c r="J63" i="8"/>
  <c r="L262" i="7"/>
  <c r="L27"/>
  <c r="L617"/>
  <c r="L602" s="1"/>
  <c r="L69" s="1"/>
  <c r="M534"/>
  <c r="M527"/>
  <c r="M528" s="1"/>
  <c r="N11"/>
  <c r="K448"/>
  <c r="L401"/>
  <c r="L258"/>
  <c r="L399"/>
  <c r="L396"/>
  <c r="L400"/>
  <c r="L404"/>
  <c r="L424"/>
  <c r="L428"/>
  <c r="L448"/>
  <c r="L452"/>
  <c r="L456"/>
  <c r="L425"/>
  <c r="L429"/>
  <c r="L449"/>
  <c r="L453"/>
  <c r="L457"/>
  <c r="K396"/>
  <c r="M660"/>
  <c r="M659"/>
  <c r="M658"/>
  <c r="M657"/>
  <c r="M656"/>
  <c r="M655"/>
  <c r="M652"/>
  <c r="M648"/>
  <c r="M322" s="1"/>
  <c r="M647"/>
  <c r="M321" s="1"/>
  <c r="M646"/>
  <c r="M320" s="1"/>
  <c r="M645"/>
  <c r="M319" s="1"/>
  <c r="M644"/>
  <c r="M318" s="1"/>
  <c r="M643"/>
  <c r="M317" s="1"/>
  <c r="M642"/>
  <c r="M316" s="1"/>
  <c r="M641"/>
  <c r="M315" s="1"/>
  <c r="M653"/>
  <c r="M640"/>
  <c r="M314" s="1"/>
  <c r="M616"/>
  <c r="M296" s="1"/>
  <c r="M615"/>
  <c r="M295" s="1"/>
  <c r="M614"/>
  <c r="M294" s="1"/>
  <c r="M613"/>
  <c r="M293" s="1"/>
  <c r="M612"/>
  <c r="M292" s="1"/>
  <c r="M611"/>
  <c r="M291" s="1"/>
  <c r="M610"/>
  <c r="M290" s="1"/>
  <c r="M639"/>
  <c r="M628"/>
  <c r="M627"/>
  <c r="M626"/>
  <c r="M625"/>
  <c r="M624"/>
  <c r="M623"/>
  <c r="M622"/>
  <c r="M621"/>
  <c r="M620"/>
  <c r="M584"/>
  <c r="M271" s="1"/>
  <c r="M583"/>
  <c r="M270" s="1"/>
  <c r="M582"/>
  <c r="M581"/>
  <c r="M268" s="1"/>
  <c r="M580"/>
  <c r="M267" s="1"/>
  <c r="M579"/>
  <c r="M266" s="1"/>
  <c r="M609"/>
  <c r="M289" s="1"/>
  <c r="M608"/>
  <c r="M288" s="1"/>
  <c r="M607"/>
  <c r="M287" s="1"/>
  <c r="M596"/>
  <c r="M595"/>
  <c r="M594"/>
  <c r="M593"/>
  <c r="M592"/>
  <c r="M591"/>
  <c r="M590"/>
  <c r="M589"/>
  <c r="M588"/>
  <c r="M578"/>
  <c r="M265" s="1"/>
  <c r="M564"/>
  <c r="M62" s="1"/>
  <c r="M577"/>
  <c r="M264" s="1"/>
  <c r="M576"/>
  <c r="M263" s="1"/>
  <c r="M575"/>
  <c r="M262" s="1"/>
  <c r="M480"/>
  <c r="M481" s="1"/>
  <c r="M474"/>
  <c r="M475" s="1"/>
  <c r="M378"/>
  <c r="M377"/>
  <c r="M376"/>
  <c r="M375"/>
  <c r="M374"/>
  <c r="M373"/>
  <c r="M391"/>
  <c r="M269"/>
  <c r="M257"/>
  <c r="M244"/>
  <c r="M243"/>
  <c r="M242"/>
  <c r="M241"/>
  <c r="M240"/>
  <c r="M239"/>
  <c r="M30"/>
  <c r="M26"/>
  <c r="M25"/>
  <c r="M23"/>
  <c r="M19"/>
  <c r="N2"/>
  <c r="L397"/>
  <c r="L405"/>
  <c r="L403"/>
  <c r="L398"/>
  <c r="L402"/>
  <c r="L422"/>
  <c r="L426"/>
  <c r="L430"/>
  <c r="L450"/>
  <c r="L454"/>
  <c r="L392"/>
  <c r="L423"/>
  <c r="L427"/>
  <c r="L431"/>
  <c r="L451"/>
  <c r="L455"/>
  <c r="K71"/>
  <c r="M313" l="1"/>
  <c r="N519"/>
  <c r="N515"/>
  <c r="N511"/>
  <c r="N507"/>
  <c r="M565"/>
  <c r="N562" s="1"/>
  <c r="K63" i="8"/>
  <c r="N56" i="10"/>
  <c r="N85"/>
  <c r="N86" s="1"/>
  <c r="O629"/>
  <c r="O625"/>
  <c r="O621"/>
  <c r="O617"/>
  <c r="M590" i="8"/>
  <c r="M586"/>
  <c r="M582"/>
  <c r="M578"/>
  <c r="M65" i="10"/>
  <c r="M68" s="1"/>
  <c r="M75" s="1"/>
  <c r="L179"/>
  <c r="L196" s="1"/>
  <c r="N58"/>
  <c r="N180"/>
  <c r="N197" s="1"/>
  <c r="N141"/>
  <c r="N153" s="1"/>
  <c r="N249"/>
  <c r="N221"/>
  <c r="N59"/>
  <c r="M640"/>
  <c r="N637" s="1"/>
  <c r="P11"/>
  <c r="O645"/>
  <c r="O181" s="1"/>
  <c r="O198" s="1"/>
  <c r="O41"/>
  <c r="O183" s="1"/>
  <c r="O200" s="1"/>
  <c r="N666"/>
  <c r="N651" s="1"/>
  <c r="N508"/>
  <c r="N512"/>
  <c r="N532"/>
  <c r="N536"/>
  <c r="N540"/>
  <c r="N560"/>
  <c r="N564"/>
  <c r="N502"/>
  <c r="N368"/>
  <c r="N507"/>
  <c r="N511"/>
  <c r="N515"/>
  <c r="N535"/>
  <c r="N539"/>
  <c r="N559"/>
  <c r="N563"/>
  <c r="N567"/>
  <c r="O741"/>
  <c r="O740"/>
  <c r="O739"/>
  <c r="O738"/>
  <c r="O737"/>
  <c r="O735"/>
  <c r="O734"/>
  <c r="O729"/>
  <c r="O432" s="1"/>
  <c r="O728"/>
  <c r="O431" s="1"/>
  <c r="O727"/>
  <c r="O430" s="1"/>
  <c r="O726"/>
  <c r="O429" s="1"/>
  <c r="O725"/>
  <c r="O428" s="1"/>
  <c r="O724"/>
  <c r="O427" s="1"/>
  <c r="O723"/>
  <c r="O426" s="1"/>
  <c r="O722"/>
  <c r="O425" s="1"/>
  <c r="O721"/>
  <c r="O424" s="1"/>
  <c r="O733"/>
  <c r="O697"/>
  <c r="O406" s="1"/>
  <c r="O696"/>
  <c r="O405" s="1"/>
  <c r="O695"/>
  <c r="O404" s="1"/>
  <c r="O694"/>
  <c r="O403" s="1"/>
  <c r="O693"/>
  <c r="O402" s="1"/>
  <c r="O692"/>
  <c r="O401" s="1"/>
  <c r="O691"/>
  <c r="O400" s="1"/>
  <c r="O690"/>
  <c r="O399" s="1"/>
  <c r="O720"/>
  <c r="O423" s="1"/>
  <c r="O709"/>
  <c r="O708"/>
  <c r="O707"/>
  <c r="O706"/>
  <c r="O705"/>
  <c r="O704"/>
  <c r="O703"/>
  <c r="O702"/>
  <c r="O701"/>
  <c r="O665"/>
  <c r="O381" s="1"/>
  <c r="O664"/>
  <c r="O380" s="1"/>
  <c r="O663"/>
  <c r="O379" s="1"/>
  <c r="O662"/>
  <c r="O378" s="1"/>
  <c r="O661"/>
  <c r="O377" s="1"/>
  <c r="O660"/>
  <c r="O376" s="1"/>
  <c r="O689"/>
  <c r="O398" s="1"/>
  <c r="O688"/>
  <c r="O397" s="1"/>
  <c r="O677"/>
  <c r="O676"/>
  <c r="O675"/>
  <c r="O674"/>
  <c r="O673"/>
  <c r="O672"/>
  <c r="O671"/>
  <c r="O670"/>
  <c r="O668"/>
  <c r="O659"/>
  <c r="O375" s="1"/>
  <c r="O657"/>
  <c r="O373" s="1"/>
  <c r="O656"/>
  <c r="O372" s="1"/>
  <c r="O590"/>
  <c r="O591" s="1"/>
  <c r="O584"/>
  <c r="O585" s="1"/>
  <c r="O658"/>
  <c r="O374" s="1"/>
  <c r="O639"/>
  <c r="O488"/>
  <c r="O487"/>
  <c r="O486"/>
  <c r="O485"/>
  <c r="O484"/>
  <c r="O483"/>
  <c r="O367"/>
  <c r="O501"/>
  <c r="O354"/>
  <c r="O353"/>
  <c r="O352"/>
  <c r="O351"/>
  <c r="O350"/>
  <c r="O349"/>
  <c r="O30"/>
  <c r="O26"/>
  <c r="O25"/>
  <c r="O23"/>
  <c r="O19"/>
  <c r="P2"/>
  <c r="N506"/>
  <c r="N510"/>
  <c r="N514"/>
  <c r="N534"/>
  <c r="N538"/>
  <c r="N558"/>
  <c r="N562"/>
  <c r="N566"/>
  <c r="N509"/>
  <c r="N513"/>
  <c r="N533"/>
  <c r="N537"/>
  <c r="N541"/>
  <c r="N561"/>
  <c r="N565"/>
  <c r="N27"/>
  <c r="N698"/>
  <c r="N683" s="1"/>
  <c r="N66" s="1"/>
  <c r="N730"/>
  <c r="N715" s="1"/>
  <c r="N67" s="1"/>
  <c r="N11" i="8"/>
  <c r="L598"/>
  <c r="L71" i="7"/>
  <c r="L601" i="8"/>
  <c r="L27"/>
  <c r="L468"/>
  <c r="L469"/>
  <c r="L473"/>
  <c r="L493"/>
  <c r="L497"/>
  <c r="L501"/>
  <c r="L521"/>
  <c r="L525"/>
  <c r="L463"/>
  <c r="L472"/>
  <c r="L476"/>
  <c r="L496"/>
  <c r="L500"/>
  <c r="L520"/>
  <c r="L524"/>
  <c r="L528"/>
  <c r="L621"/>
  <c r="L606" s="1"/>
  <c r="L60" s="1"/>
  <c r="L653"/>
  <c r="L638" s="1"/>
  <c r="L61" s="1"/>
  <c r="L685"/>
  <c r="L670" s="1"/>
  <c r="L62" s="1"/>
  <c r="M696"/>
  <c r="M695"/>
  <c r="M694"/>
  <c r="M693"/>
  <c r="M692"/>
  <c r="M691"/>
  <c r="M689"/>
  <c r="M688"/>
  <c r="M684"/>
  <c r="M393" s="1"/>
  <c r="M683"/>
  <c r="M682"/>
  <c r="M391" s="1"/>
  <c r="M681"/>
  <c r="M390" s="1"/>
  <c r="M680"/>
  <c r="M679"/>
  <c r="M388" s="1"/>
  <c r="M678"/>
  <c r="M387" s="1"/>
  <c r="M677"/>
  <c r="M386" s="1"/>
  <c r="M676"/>
  <c r="M385" s="1"/>
  <c r="M675"/>
  <c r="M384" s="1"/>
  <c r="M664"/>
  <c r="M662"/>
  <c r="M660"/>
  <c r="M658"/>
  <c r="M652"/>
  <c r="M367" s="1"/>
  <c r="M651"/>
  <c r="M366" s="1"/>
  <c r="M650"/>
  <c r="M365" s="1"/>
  <c r="M649"/>
  <c r="M364" s="1"/>
  <c r="M648"/>
  <c r="M363" s="1"/>
  <c r="M647"/>
  <c r="M362" s="1"/>
  <c r="M646"/>
  <c r="M361" s="1"/>
  <c r="M645"/>
  <c r="M360" s="1"/>
  <c r="M644"/>
  <c r="M359" s="1"/>
  <c r="M643"/>
  <c r="M358" s="1"/>
  <c r="M663"/>
  <c r="M661"/>
  <c r="M659"/>
  <c r="M657"/>
  <c r="M656"/>
  <c r="M620"/>
  <c r="M342" s="1"/>
  <c r="M619"/>
  <c r="M618"/>
  <c r="M340" s="1"/>
  <c r="M617"/>
  <c r="M339" s="1"/>
  <c r="M616"/>
  <c r="M338" s="1"/>
  <c r="M615"/>
  <c r="M337" s="1"/>
  <c r="M614"/>
  <c r="M336" s="1"/>
  <c r="M613"/>
  <c r="M335" s="1"/>
  <c r="M612"/>
  <c r="M334" s="1"/>
  <c r="M611"/>
  <c r="M333" s="1"/>
  <c r="M632"/>
  <c r="M631"/>
  <c r="M630"/>
  <c r="M629"/>
  <c r="M628"/>
  <c r="M627"/>
  <c r="M626"/>
  <c r="M625"/>
  <c r="M624"/>
  <c r="M600"/>
  <c r="M54" s="1"/>
  <c r="M551"/>
  <c r="M552" s="1"/>
  <c r="M545"/>
  <c r="M546" s="1"/>
  <c r="M449"/>
  <c r="M448"/>
  <c r="M447"/>
  <c r="M446"/>
  <c r="M445"/>
  <c r="M444"/>
  <c r="M392"/>
  <c r="M341"/>
  <c r="M462"/>
  <c r="M389"/>
  <c r="M328"/>
  <c r="M315"/>
  <c r="M314"/>
  <c r="M313"/>
  <c r="M312"/>
  <c r="M311"/>
  <c r="M310"/>
  <c r="M30"/>
  <c r="M26"/>
  <c r="M25"/>
  <c r="M23"/>
  <c r="M19"/>
  <c r="N2"/>
  <c r="L329"/>
  <c r="L470"/>
  <c r="L467"/>
  <c r="L471"/>
  <c r="L475"/>
  <c r="L495"/>
  <c r="L499"/>
  <c r="L519"/>
  <c r="L523"/>
  <c r="L527"/>
  <c r="L474"/>
  <c r="L494"/>
  <c r="L498"/>
  <c r="L502"/>
  <c r="L522"/>
  <c r="L526"/>
  <c r="M649" i="7"/>
  <c r="M634" s="1"/>
  <c r="M70" s="1"/>
  <c r="O11"/>
  <c r="N534"/>
  <c r="N527"/>
  <c r="N528" s="1"/>
  <c r="M27"/>
  <c r="M397"/>
  <c r="M426"/>
  <c r="M430"/>
  <c r="M449"/>
  <c r="M404"/>
  <c r="M453"/>
  <c r="M457"/>
  <c r="M400"/>
  <c r="M402"/>
  <c r="M399"/>
  <c r="M403"/>
  <c r="M423"/>
  <c r="M427"/>
  <c r="M431"/>
  <c r="M451"/>
  <c r="M455"/>
  <c r="M424"/>
  <c r="M428"/>
  <c r="M448"/>
  <c r="M452"/>
  <c r="M456"/>
  <c r="N660"/>
  <c r="N659"/>
  <c r="N658"/>
  <c r="N657"/>
  <c r="N656"/>
  <c r="N655"/>
  <c r="N653"/>
  <c r="N652"/>
  <c r="N648"/>
  <c r="N322" s="1"/>
  <c r="N647"/>
  <c r="N646"/>
  <c r="N320" s="1"/>
  <c r="N645"/>
  <c r="N319" s="1"/>
  <c r="N644"/>
  <c r="N318" s="1"/>
  <c r="N643"/>
  <c r="N317" s="1"/>
  <c r="N642"/>
  <c r="N316" s="1"/>
  <c r="N641"/>
  <c r="N315" s="1"/>
  <c r="N640"/>
  <c r="N314" s="1"/>
  <c r="N639"/>
  <c r="N313" s="1"/>
  <c r="N628"/>
  <c r="N627"/>
  <c r="N626"/>
  <c r="N625"/>
  <c r="N624"/>
  <c r="N623"/>
  <c r="N622"/>
  <c r="N621"/>
  <c r="N620"/>
  <c r="N616"/>
  <c r="N296" s="1"/>
  <c r="N615"/>
  <c r="N295" s="1"/>
  <c r="N614"/>
  <c r="N294" s="1"/>
  <c r="N613"/>
  <c r="N293" s="1"/>
  <c r="N612"/>
  <c r="N292" s="1"/>
  <c r="N611"/>
  <c r="N291" s="1"/>
  <c r="N610"/>
  <c r="N290" s="1"/>
  <c r="N609"/>
  <c r="N289" s="1"/>
  <c r="N608"/>
  <c r="N288" s="1"/>
  <c r="N607"/>
  <c r="N596"/>
  <c r="N595"/>
  <c r="N594"/>
  <c r="N593"/>
  <c r="N592"/>
  <c r="N591"/>
  <c r="N590"/>
  <c r="N589"/>
  <c r="N588"/>
  <c r="N584"/>
  <c r="N583"/>
  <c r="N270" s="1"/>
  <c r="N582"/>
  <c r="N269" s="1"/>
  <c r="N581"/>
  <c r="N268" s="1"/>
  <c r="N580"/>
  <c r="N267" s="1"/>
  <c r="N579"/>
  <c r="N578"/>
  <c r="N265" s="1"/>
  <c r="N577"/>
  <c r="N264" s="1"/>
  <c r="N576"/>
  <c r="N263" s="1"/>
  <c r="N575"/>
  <c r="N262" s="1"/>
  <c r="N480"/>
  <c r="N481" s="1"/>
  <c r="N474"/>
  <c r="N475" s="1"/>
  <c r="N564"/>
  <c r="N62" s="1"/>
  <c r="N391"/>
  <c r="N378"/>
  <c r="N377"/>
  <c r="N376"/>
  <c r="N375"/>
  <c r="N374"/>
  <c r="N373"/>
  <c r="N321"/>
  <c r="N287"/>
  <c r="N266"/>
  <c r="N271"/>
  <c r="N244"/>
  <c r="N243"/>
  <c r="N242"/>
  <c r="N241"/>
  <c r="N240"/>
  <c r="N239"/>
  <c r="N257"/>
  <c r="N30"/>
  <c r="N26"/>
  <c r="N25"/>
  <c r="N23"/>
  <c r="N19"/>
  <c r="O2"/>
  <c r="M258"/>
  <c r="M396"/>
  <c r="M398"/>
  <c r="M401"/>
  <c r="M405"/>
  <c r="M425"/>
  <c r="M429"/>
  <c r="M422"/>
  <c r="M450"/>
  <c r="M454"/>
  <c r="M392"/>
  <c r="M585"/>
  <c r="M570" s="1"/>
  <c r="M68" s="1"/>
  <c r="M617"/>
  <c r="M602" s="1"/>
  <c r="M69" s="1"/>
  <c r="B16" i="1"/>
  <c r="B7"/>
  <c r="B10" s="1"/>
  <c r="P416" i="2"/>
  <c r="P417"/>
  <c r="P418"/>
  <c r="P419"/>
  <c r="P282"/>
  <c r="P283"/>
  <c r="P284"/>
  <c r="P285"/>
  <c r="O519" i="7" l="1"/>
  <c r="O515"/>
  <c r="O511"/>
  <c r="O507"/>
  <c r="O558"/>
  <c r="O56" i="10"/>
  <c r="O85"/>
  <c r="O86" s="1"/>
  <c r="P629"/>
  <c r="P625"/>
  <c r="P621"/>
  <c r="P617"/>
  <c r="N578" i="8"/>
  <c r="N590"/>
  <c r="N586"/>
  <c r="N582"/>
  <c r="N65" i="10"/>
  <c r="N68" s="1"/>
  <c r="N75" s="1"/>
  <c r="M179"/>
  <c r="M196" s="1"/>
  <c r="O58"/>
  <c r="O180"/>
  <c r="O197" s="1"/>
  <c r="O141"/>
  <c r="O153" s="1"/>
  <c r="O249"/>
  <c r="O221"/>
  <c r="N640"/>
  <c r="O637" s="1"/>
  <c r="O59"/>
  <c r="Q11"/>
  <c r="P645"/>
  <c r="P181" s="1"/>
  <c r="P198" s="1"/>
  <c r="P41"/>
  <c r="P183" s="1"/>
  <c r="P200" s="1"/>
  <c r="O27"/>
  <c r="O666"/>
  <c r="O651" s="1"/>
  <c r="O509"/>
  <c r="O513"/>
  <c r="O533"/>
  <c r="O537"/>
  <c r="O541"/>
  <c r="O561"/>
  <c r="O565"/>
  <c r="O506"/>
  <c r="O510"/>
  <c r="O514"/>
  <c r="O534"/>
  <c r="O538"/>
  <c r="O558"/>
  <c r="O562"/>
  <c r="O566"/>
  <c r="O698"/>
  <c r="O683" s="1"/>
  <c r="O66" s="1"/>
  <c r="O730"/>
  <c r="O715" s="1"/>
  <c r="O67" s="1"/>
  <c r="P741"/>
  <c r="P740"/>
  <c r="P739"/>
  <c r="P738"/>
  <c r="P737"/>
  <c r="P735"/>
  <c r="P734"/>
  <c r="P733"/>
  <c r="P729"/>
  <c r="P728"/>
  <c r="P431" s="1"/>
  <c r="P727"/>
  <c r="P430" s="1"/>
  <c r="P726"/>
  <c r="P429" s="1"/>
  <c r="P725"/>
  <c r="P428" s="1"/>
  <c r="P724"/>
  <c r="P427" s="1"/>
  <c r="P723"/>
  <c r="P426" s="1"/>
  <c r="P722"/>
  <c r="P425" s="1"/>
  <c r="P721"/>
  <c r="P424" s="1"/>
  <c r="P720"/>
  <c r="P423" s="1"/>
  <c r="P709"/>
  <c r="P708"/>
  <c r="P707"/>
  <c r="P706"/>
  <c r="P705"/>
  <c r="P704"/>
  <c r="P703"/>
  <c r="P702"/>
  <c r="P701"/>
  <c r="P697"/>
  <c r="P406" s="1"/>
  <c r="P696"/>
  <c r="P405" s="1"/>
  <c r="P695"/>
  <c r="P404" s="1"/>
  <c r="P694"/>
  <c r="P403" s="1"/>
  <c r="P693"/>
  <c r="P402" s="1"/>
  <c r="P692"/>
  <c r="P401" s="1"/>
  <c r="P691"/>
  <c r="P400" s="1"/>
  <c r="P690"/>
  <c r="P399" s="1"/>
  <c r="P689"/>
  <c r="P398" s="1"/>
  <c r="P688"/>
  <c r="P397" s="1"/>
  <c r="P677"/>
  <c r="P676"/>
  <c r="P675"/>
  <c r="P674"/>
  <c r="P673"/>
  <c r="P672"/>
  <c r="P671"/>
  <c r="P670"/>
  <c r="P668"/>
  <c r="P665"/>
  <c r="P381" s="1"/>
  <c r="P664"/>
  <c r="P380" s="1"/>
  <c r="P663"/>
  <c r="P379" s="1"/>
  <c r="P662"/>
  <c r="P378" s="1"/>
  <c r="P661"/>
  <c r="P377" s="1"/>
  <c r="P660"/>
  <c r="P376" s="1"/>
  <c r="P659"/>
  <c r="P375" s="1"/>
  <c r="P658"/>
  <c r="P374" s="1"/>
  <c r="P657"/>
  <c r="P373" s="1"/>
  <c r="P639"/>
  <c r="P656"/>
  <c r="P372" s="1"/>
  <c r="P590"/>
  <c r="P591" s="1"/>
  <c r="P584"/>
  <c r="P585" s="1"/>
  <c r="P501"/>
  <c r="P432"/>
  <c r="P354"/>
  <c r="P353"/>
  <c r="P352"/>
  <c r="P351"/>
  <c r="P350"/>
  <c r="P349"/>
  <c r="P488"/>
  <c r="P487"/>
  <c r="P486"/>
  <c r="P485"/>
  <c r="P484"/>
  <c r="P483"/>
  <c r="P367"/>
  <c r="P30"/>
  <c r="P26"/>
  <c r="P25"/>
  <c r="P23"/>
  <c r="P19"/>
  <c r="Q2"/>
  <c r="O368"/>
  <c r="O507"/>
  <c r="O511"/>
  <c r="O515"/>
  <c r="O535"/>
  <c r="O539"/>
  <c r="O559"/>
  <c r="O563"/>
  <c r="O567"/>
  <c r="O508"/>
  <c r="O512"/>
  <c r="O532"/>
  <c r="O536"/>
  <c r="O540"/>
  <c r="O560"/>
  <c r="O564"/>
  <c r="O502"/>
  <c r="O11" i="8"/>
  <c r="M598"/>
  <c r="M601" s="1"/>
  <c r="M685"/>
  <c r="M670" s="1"/>
  <c r="M62" s="1"/>
  <c r="N696"/>
  <c r="N695"/>
  <c r="N694"/>
  <c r="N693"/>
  <c r="N692"/>
  <c r="N691"/>
  <c r="N689"/>
  <c r="N688"/>
  <c r="N684"/>
  <c r="N683"/>
  <c r="N392" s="1"/>
  <c r="N682"/>
  <c r="N391" s="1"/>
  <c r="N681"/>
  <c r="N390" s="1"/>
  <c r="N680"/>
  <c r="N389" s="1"/>
  <c r="N679"/>
  <c r="N388" s="1"/>
  <c r="N678"/>
  <c r="N387" s="1"/>
  <c r="N677"/>
  <c r="N676"/>
  <c r="N385" s="1"/>
  <c r="N675"/>
  <c r="N384" s="1"/>
  <c r="N664"/>
  <c r="N663"/>
  <c r="N662"/>
  <c r="N661"/>
  <c r="N660"/>
  <c r="N659"/>
  <c r="N658"/>
  <c r="N657"/>
  <c r="N656"/>
  <c r="N652"/>
  <c r="N367" s="1"/>
  <c r="N651"/>
  <c r="N366" s="1"/>
  <c r="N650"/>
  <c r="N365" s="1"/>
  <c r="N649"/>
  <c r="N364" s="1"/>
  <c r="N648"/>
  <c r="N363" s="1"/>
  <c r="N647"/>
  <c r="N362" s="1"/>
  <c r="N646"/>
  <c r="N361" s="1"/>
  <c r="N645"/>
  <c r="N644"/>
  <c r="N359" s="1"/>
  <c r="N643"/>
  <c r="N358" s="1"/>
  <c r="N632"/>
  <c r="N631"/>
  <c r="N630"/>
  <c r="N629"/>
  <c r="N628"/>
  <c r="N627"/>
  <c r="N626"/>
  <c r="N625"/>
  <c r="N624"/>
  <c r="N620"/>
  <c r="N342" s="1"/>
  <c r="N619"/>
  <c r="N341" s="1"/>
  <c r="N618"/>
  <c r="N340" s="1"/>
  <c r="N617"/>
  <c r="N616"/>
  <c r="N338" s="1"/>
  <c r="N615"/>
  <c r="N337" s="1"/>
  <c r="N614"/>
  <c r="N336" s="1"/>
  <c r="N613"/>
  <c r="N335" s="1"/>
  <c r="N612"/>
  <c r="N334" s="1"/>
  <c r="N611"/>
  <c r="N333" s="1"/>
  <c r="N551"/>
  <c r="N552" s="1"/>
  <c r="N545"/>
  <c r="N546" s="1"/>
  <c r="N600"/>
  <c r="N54" s="1"/>
  <c r="N462"/>
  <c r="N393"/>
  <c r="N449"/>
  <c r="N448"/>
  <c r="N447"/>
  <c r="N446"/>
  <c r="N445"/>
  <c r="N444"/>
  <c r="N386"/>
  <c r="N360"/>
  <c r="N339"/>
  <c r="N328"/>
  <c r="N315"/>
  <c r="N314"/>
  <c r="N313"/>
  <c r="N312"/>
  <c r="N311"/>
  <c r="N310"/>
  <c r="O2"/>
  <c r="N30"/>
  <c r="N26"/>
  <c r="N25"/>
  <c r="N23"/>
  <c r="N19"/>
  <c r="M329"/>
  <c r="M469"/>
  <c r="M470"/>
  <c r="M474"/>
  <c r="M494"/>
  <c r="M498"/>
  <c r="M502"/>
  <c r="M522"/>
  <c r="M526"/>
  <c r="M473"/>
  <c r="M493"/>
  <c r="M497"/>
  <c r="M501"/>
  <c r="M521"/>
  <c r="M525"/>
  <c r="M463"/>
  <c r="M27"/>
  <c r="M621"/>
  <c r="M606" s="1"/>
  <c r="M60" s="1"/>
  <c r="M653"/>
  <c r="M638" s="1"/>
  <c r="M61" s="1"/>
  <c r="L63"/>
  <c r="M467"/>
  <c r="M468"/>
  <c r="M472"/>
  <c r="M476"/>
  <c r="M496"/>
  <c r="M500"/>
  <c r="M520"/>
  <c r="M524"/>
  <c r="M528"/>
  <c r="M471"/>
  <c r="M475"/>
  <c r="M495"/>
  <c r="M499"/>
  <c r="M519"/>
  <c r="M523"/>
  <c r="M527"/>
  <c r="O534" i="7"/>
  <c r="O527"/>
  <c r="O528" s="1"/>
  <c r="P11"/>
  <c r="N425"/>
  <c r="N401"/>
  <c r="N403"/>
  <c r="N449"/>
  <c r="N453"/>
  <c r="N457"/>
  <c r="N429"/>
  <c r="N399"/>
  <c r="N258"/>
  <c r="N397"/>
  <c r="N405"/>
  <c r="N398"/>
  <c r="N402"/>
  <c r="N422"/>
  <c r="N426"/>
  <c r="N430"/>
  <c r="N450"/>
  <c r="N454"/>
  <c r="N392"/>
  <c r="N423"/>
  <c r="N427"/>
  <c r="N431"/>
  <c r="N451"/>
  <c r="N455"/>
  <c r="O660"/>
  <c r="O659"/>
  <c r="O658"/>
  <c r="O657"/>
  <c r="O656"/>
  <c r="O654"/>
  <c r="O653"/>
  <c r="O648"/>
  <c r="O322" s="1"/>
  <c r="O647"/>
  <c r="O321" s="1"/>
  <c r="O646"/>
  <c r="O320" s="1"/>
  <c r="O645"/>
  <c r="O319" s="1"/>
  <c r="O644"/>
  <c r="O318" s="1"/>
  <c r="O643"/>
  <c r="O317" s="1"/>
  <c r="O642"/>
  <c r="O316" s="1"/>
  <c r="O641"/>
  <c r="O315" s="1"/>
  <c r="O652"/>
  <c r="O639"/>
  <c r="O313" s="1"/>
  <c r="O616"/>
  <c r="O296" s="1"/>
  <c r="O615"/>
  <c r="O295" s="1"/>
  <c r="O614"/>
  <c r="O294" s="1"/>
  <c r="O613"/>
  <c r="O293" s="1"/>
  <c r="O612"/>
  <c r="O292" s="1"/>
  <c r="O611"/>
  <c r="O291" s="1"/>
  <c r="O610"/>
  <c r="O290" s="1"/>
  <c r="O640"/>
  <c r="O314" s="1"/>
  <c r="O628"/>
  <c r="O627"/>
  <c r="O626"/>
  <c r="O625"/>
  <c r="O624"/>
  <c r="O623"/>
  <c r="O622"/>
  <c r="O621"/>
  <c r="O620"/>
  <c r="O584"/>
  <c r="O271" s="1"/>
  <c r="O583"/>
  <c r="O270" s="1"/>
  <c r="O582"/>
  <c r="O269" s="1"/>
  <c r="O581"/>
  <c r="O268" s="1"/>
  <c r="O580"/>
  <c r="O267" s="1"/>
  <c r="O579"/>
  <c r="O266" s="1"/>
  <c r="O609"/>
  <c r="O289" s="1"/>
  <c r="O608"/>
  <c r="O288" s="1"/>
  <c r="O607"/>
  <c r="O287" s="1"/>
  <c r="O596"/>
  <c r="O595"/>
  <c r="O594"/>
  <c r="O593"/>
  <c r="O592"/>
  <c r="O591"/>
  <c r="O590"/>
  <c r="O589"/>
  <c r="O587"/>
  <c r="O577"/>
  <c r="O264" s="1"/>
  <c r="O564"/>
  <c r="O62" s="1"/>
  <c r="O578"/>
  <c r="O265" s="1"/>
  <c r="O576"/>
  <c r="O263" s="1"/>
  <c r="O575"/>
  <c r="O480"/>
  <c r="O481" s="1"/>
  <c r="O474"/>
  <c r="O475" s="1"/>
  <c r="O378"/>
  <c r="O377"/>
  <c r="O376"/>
  <c r="O375"/>
  <c r="O374"/>
  <c r="O373"/>
  <c r="O391"/>
  <c r="O257"/>
  <c r="O244"/>
  <c r="O243"/>
  <c r="O242"/>
  <c r="O241"/>
  <c r="O240"/>
  <c r="O239"/>
  <c r="O30"/>
  <c r="O26"/>
  <c r="O25"/>
  <c r="O23"/>
  <c r="O19"/>
  <c r="P2"/>
  <c r="N396"/>
  <c r="N400"/>
  <c r="N404"/>
  <c r="N424"/>
  <c r="N428"/>
  <c r="N448"/>
  <c r="N452"/>
  <c r="N456"/>
  <c r="M71"/>
  <c r="N565"/>
  <c r="O562" s="1"/>
  <c r="N27"/>
  <c r="N585"/>
  <c r="N570" s="1"/>
  <c r="N68" s="1"/>
  <c r="N617"/>
  <c r="N602" s="1"/>
  <c r="N69" s="1"/>
  <c r="N649"/>
  <c r="N634" s="1"/>
  <c r="N70" s="1"/>
  <c r="B11" i="1"/>
  <c r="L24"/>
  <c r="L5"/>
  <c r="L25" s="1"/>
  <c r="D34" i="2"/>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Y38"/>
  <c r="Z38"/>
  <c r="AA38"/>
  <c r="AB38"/>
  <c r="AC38"/>
  <c r="AD38"/>
  <c r="AE38"/>
  <c r="AF38"/>
  <c r="AG38"/>
  <c r="AH38"/>
  <c r="AI38"/>
  <c r="AJ38"/>
  <c r="AK38"/>
  <c r="AL38"/>
  <c r="AM38"/>
  <c r="AN38"/>
  <c r="AO38"/>
  <c r="AP38"/>
  <c r="S38"/>
  <c r="T38"/>
  <c r="U38"/>
  <c r="V38"/>
  <c r="W38"/>
  <c r="X38"/>
  <c r="L38"/>
  <c r="M38"/>
  <c r="N38"/>
  <c r="O38"/>
  <c r="P38"/>
  <c r="Q38"/>
  <c r="R38"/>
  <c r="G38"/>
  <c r="H38"/>
  <c r="I38"/>
  <c r="J38"/>
  <c r="K38"/>
  <c r="E38"/>
  <c r="F38"/>
  <c r="D38"/>
  <c r="C38"/>
  <c r="D36"/>
  <c r="E36" s="1"/>
  <c r="F36" s="1"/>
  <c r="G36" s="1"/>
  <c r="H36" s="1"/>
  <c r="P519" i="7" l="1"/>
  <c r="P515"/>
  <c r="P511"/>
  <c r="P507"/>
  <c r="P558"/>
  <c r="P56" i="10"/>
  <c r="P85"/>
  <c r="P86" s="1"/>
  <c r="Q629"/>
  <c r="Q625"/>
  <c r="Q621"/>
  <c r="Q617"/>
  <c r="O590" i="8"/>
  <c r="O586"/>
  <c r="O582"/>
  <c r="O578"/>
  <c r="O65" i="10"/>
  <c r="O68" s="1"/>
  <c r="O179" s="1"/>
  <c r="O196" s="1"/>
  <c r="N179"/>
  <c r="N196" s="1"/>
  <c r="P58"/>
  <c r="P180"/>
  <c r="P197" s="1"/>
  <c r="P141"/>
  <c r="P153" s="1"/>
  <c r="P249"/>
  <c r="P221"/>
  <c r="P59"/>
  <c r="O640"/>
  <c r="R11"/>
  <c r="Q645"/>
  <c r="Q181" s="1"/>
  <c r="Q198" s="1"/>
  <c r="Q41"/>
  <c r="Q183" s="1"/>
  <c r="Q200" s="1"/>
  <c r="P27"/>
  <c r="P666"/>
  <c r="P651" s="1"/>
  <c r="Q741"/>
  <c r="Q740"/>
  <c r="Q739"/>
  <c r="Q738"/>
  <c r="Q737"/>
  <c r="Q735"/>
  <c r="Q734"/>
  <c r="Q733"/>
  <c r="Q729"/>
  <c r="Q432" s="1"/>
  <c r="Q728"/>
  <c r="Q727"/>
  <c r="Q430" s="1"/>
  <c r="Q726"/>
  <c r="Q429" s="1"/>
  <c r="Q725"/>
  <c r="Q428" s="1"/>
  <c r="Q724"/>
  <c r="Q427" s="1"/>
  <c r="Q723"/>
  <c r="Q426" s="1"/>
  <c r="Q722"/>
  <c r="Q425" s="1"/>
  <c r="Q721"/>
  <c r="Q424" s="1"/>
  <c r="Q720"/>
  <c r="Q423" s="1"/>
  <c r="Q697"/>
  <c r="Q406" s="1"/>
  <c r="Q696"/>
  <c r="Q405" s="1"/>
  <c r="Q695"/>
  <c r="Q404" s="1"/>
  <c r="Q694"/>
  <c r="Q403" s="1"/>
  <c r="Q693"/>
  <c r="Q402" s="1"/>
  <c r="Q692"/>
  <c r="Q401" s="1"/>
  <c r="Q691"/>
  <c r="Q400" s="1"/>
  <c r="Q690"/>
  <c r="Q399" s="1"/>
  <c r="Q709"/>
  <c r="Q708"/>
  <c r="Q707"/>
  <c r="Q706"/>
  <c r="Q705"/>
  <c r="Q704"/>
  <c r="Q703"/>
  <c r="Q702"/>
  <c r="Q701"/>
  <c r="Q665"/>
  <c r="Q381" s="1"/>
  <c r="Q664"/>
  <c r="Q663"/>
  <c r="Q379" s="1"/>
  <c r="Q662"/>
  <c r="Q378" s="1"/>
  <c r="Q661"/>
  <c r="Q377" s="1"/>
  <c r="Q660"/>
  <c r="Q376" s="1"/>
  <c r="Q659"/>
  <c r="Q375" s="1"/>
  <c r="Q689"/>
  <c r="Q398" s="1"/>
  <c r="Q688"/>
  <c r="Q397" s="1"/>
  <c r="Q677"/>
  <c r="Q676"/>
  <c r="Q675"/>
  <c r="Q674"/>
  <c r="Q673"/>
  <c r="Q672"/>
  <c r="Q671"/>
  <c r="Q670"/>
  <c r="Q668"/>
  <c r="Q658"/>
  <c r="Q374" s="1"/>
  <c r="Q656"/>
  <c r="Q372" s="1"/>
  <c r="Q590"/>
  <c r="Q591" s="1"/>
  <c r="Q584"/>
  <c r="Q585" s="1"/>
  <c r="Q657"/>
  <c r="Q373" s="1"/>
  <c r="Q639"/>
  <c r="Q488"/>
  <c r="Q487"/>
  <c r="Q486"/>
  <c r="Q485"/>
  <c r="Q484"/>
  <c r="Q483"/>
  <c r="Q431"/>
  <c r="Q380"/>
  <c r="Q367"/>
  <c r="Q501"/>
  <c r="Q354"/>
  <c r="Q353"/>
  <c r="Q352"/>
  <c r="Q351"/>
  <c r="Q350"/>
  <c r="Q349"/>
  <c r="Q30"/>
  <c r="Q26"/>
  <c r="Q25"/>
  <c r="Q23"/>
  <c r="Q19"/>
  <c r="R2"/>
  <c r="P508"/>
  <c r="P512"/>
  <c r="P532"/>
  <c r="P536"/>
  <c r="P540"/>
  <c r="P560"/>
  <c r="P564"/>
  <c r="P502"/>
  <c r="P368"/>
  <c r="P507"/>
  <c r="P511"/>
  <c r="P515"/>
  <c r="P535"/>
  <c r="P539"/>
  <c r="P559"/>
  <c r="P563"/>
  <c r="P567"/>
  <c r="P506"/>
  <c r="P510"/>
  <c r="P514"/>
  <c r="P534"/>
  <c r="P538"/>
  <c r="P558"/>
  <c r="P562"/>
  <c r="P566"/>
  <c r="P509"/>
  <c r="P513"/>
  <c r="P533"/>
  <c r="P537"/>
  <c r="P541"/>
  <c r="P561"/>
  <c r="P565"/>
  <c r="P637"/>
  <c r="P698"/>
  <c r="P683" s="1"/>
  <c r="P66" s="1"/>
  <c r="P730"/>
  <c r="P715" s="1"/>
  <c r="P67" s="1"/>
  <c r="P11" i="8"/>
  <c r="N598"/>
  <c r="N601" s="1"/>
  <c r="M63"/>
  <c r="N621"/>
  <c r="N606" s="1"/>
  <c r="N60" s="1"/>
  <c r="N685"/>
  <c r="N670" s="1"/>
  <c r="N62" s="1"/>
  <c r="N653"/>
  <c r="N638" s="1"/>
  <c r="N61" s="1"/>
  <c r="M72"/>
  <c r="O696"/>
  <c r="O695"/>
  <c r="O694"/>
  <c r="O693"/>
  <c r="O692"/>
  <c r="O690"/>
  <c r="O689"/>
  <c r="O688"/>
  <c r="O684"/>
  <c r="O393" s="1"/>
  <c r="O683"/>
  <c r="O682"/>
  <c r="O391" s="1"/>
  <c r="O681"/>
  <c r="O680"/>
  <c r="O389" s="1"/>
  <c r="O679"/>
  <c r="O678"/>
  <c r="O387" s="1"/>
  <c r="O677"/>
  <c r="O386" s="1"/>
  <c r="O676"/>
  <c r="O385" s="1"/>
  <c r="O675"/>
  <c r="O663"/>
  <c r="O661"/>
  <c r="O659"/>
  <c r="O652"/>
  <c r="O651"/>
  <c r="O650"/>
  <c r="O365" s="1"/>
  <c r="O649"/>
  <c r="O364" s="1"/>
  <c r="O648"/>
  <c r="O647"/>
  <c r="O362" s="1"/>
  <c r="O646"/>
  <c r="O361" s="1"/>
  <c r="O645"/>
  <c r="O360" s="1"/>
  <c r="O644"/>
  <c r="O643"/>
  <c r="O358" s="1"/>
  <c r="O664"/>
  <c r="O662"/>
  <c r="O660"/>
  <c r="O658"/>
  <c r="O657"/>
  <c r="O656"/>
  <c r="O620"/>
  <c r="O342" s="1"/>
  <c r="O619"/>
  <c r="O341" s="1"/>
  <c r="O618"/>
  <c r="O340" s="1"/>
  <c r="O617"/>
  <c r="O339" s="1"/>
  <c r="O616"/>
  <c r="O338" s="1"/>
  <c r="O615"/>
  <c r="O337" s="1"/>
  <c r="O614"/>
  <c r="O336" s="1"/>
  <c r="O613"/>
  <c r="O335" s="1"/>
  <c r="O612"/>
  <c r="O334" s="1"/>
  <c r="O611"/>
  <c r="O333" s="1"/>
  <c r="O632"/>
  <c r="O631"/>
  <c r="O630"/>
  <c r="O629"/>
  <c r="O628"/>
  <c r="O627"/>
  <c r="O626"/>
  <c r="O625"/>
  <c r="O623"/>
  <c r="O600"/>
  <c r="O54" s="1"/>
  <c r="O551"/>
  <c r="O552" s="1"/>
  <c r="O545"/>
  <c r="O546" s="1"/>
  <c r="O449"/>
  <c r="O448"/>
  <c r="O447"/>
  <c r="O446"/>
  <c r="O445"/>
  <c r="O444"/>
  <c r="O392"/>
  <c r="O390"/>
  <c r="O388"/>
  <c r="O384"/>
  <c r="O366"/>
  <c r="O462"/>
  <c r="O367"/>
  <c r="O363"/>
  <c r="O359"/>
  <c r="O328"/>
  <c r="O315"/>
  <c r="O314"/>
  <c r="O313"/>
  <c r="O312"/>
  <c r="O311"/>
  <c r="O310"/>
  <c r="O30"/>
  <c r="O26"/>
  <c r="O25"/>
  <c r="O23"/>
  <c r="O19"/>
  <c r="P2"/>
  <c r="N329"/>
  <c r="N468"/>
  <c r="N467"/>
  <c r="N471"/>
  <c r="N475"/>
  <c r="N495"/>
  <c r="N499"/>
  <c r="N519"/>
  <c r="N523"/>
  <c r="N527"/>
  <c r="N474"/>
  <c r="N494"/>
  <c r="N498"/>
  <c r="N502"/>
  <c r="N522"/>
  <c r="N526"/>
  <c r="O565" i="7"/>
  <c r="P562" s="1"/>
  <c r="O27"/>
  <c r="N27" i="8"/>
  <c r="N470"/>
  <c r="N469"/>
  <c r="N473"/>
  <c r="N493"/>
  <c r="N497"/>
  <c r="N501"/>
  <c r="N521"/>
  <c r="N525"/>
  <c r="N463"/>
  <c r="N472"/>
  <c r="N476"/>
  <c r="N496"/>
  <c r="N500"/>
  <c r="N520"/>
  <c r="N524"/>
  <c r="N528"/>
  <c r="Q11" i="7"/>
  <c r="P534"/>
  <c r="P527"/>
  <c r="P528" s="1"/>
  <c r="O585"/>
  <c r="O570" s="1"/>
  <c r="O68" s="1"/>
  <c r="O617"/>
  <c r="O602" s="1"/>
  <c r="O69" s="1"/>
  <c r="O424"/>
  <c r="O403"/>
  <c r="O452"/>
  <c r="O399"/>
  <c r="O427"/>
  <c r="P660"/>
  <c r="P659"/>
  <c r="P658"/>
  <c r="P657"/>
  <c r="P656"/>
  <c r="P654"/>
  <c r="P653"/>
  <c r="P652"/>
  <c r="P648"/>
  <c r="P647"/>
  <c r="P321" s="1"/>
  <c r="P646"/>
  <c r="P320" s="1"/>
  <c r="P645"/>
  <c r="P319" s="1"/>
  <c r="P644"/>
  <c r="P318" s="1"/>
  <c r="P643"/>
  <c r="P317" s="1"/>
  <c r="P642"/>
  <c r="P316" s="1"/>
  <c r="P641"/>
  <c r="P315" s="1"/>
  <c r="P640"/>
  <c r="P314" s="1"/>
  <c r="P639"/>
  <c r="P313" s="1"/>
  <c r="P628"/>
  <c r="P627"/>
  <c r="P626"/>
  <c r="P625"/>
  <c r="P624"/>
  <c r="P623"/>
  <c r="P622"/>
  <c r="P621"/>
  <c r="P620"/>
  <c r="P616"/>
  <c r="P615"/>
  <c r="P295" s="1"/>
  <c r="P614"/>
  <c r="P294" s="1"/>
  <c r="P613"/>
  <c r="P293" s="1"/>
  <c r="P612"/>
  <c r="P292" s="1"/>
  <c r="P611"/>
  <c r="P291" s="1"/>
  <c r="P610"/>
  <c r="P290" s="1"/>
  <c r="P609"/>
  <c r="P289" s="1"/>
  <c r="P608"/>
  <c r="P288" s="1"/>
  <c r="P607"/>
  <c r="P287" s="1"/>
  <c r="P596"/>
  <c r="P595"/>
  <c r="P594"/>
  <c r="P593"/>
  <c r="P592"/>
  <c r="P591"/>
  <c r="P590"/>
  <c r="P589"/>
  <c r="P587"/>
  <c r="P584"/>
  <c r="P271" s="1"/>
  <c r="P583"/>
  <c r="P270" s="1"/>
  <c r="P582"/>
  <c r="P269" s="1"/>
  <c r="P581"/>
  <c r="P268" s="1"/>
  <c r="P580"/>
  <c r="P267" s="1"/>
  <c r="P579"/>
  <c r="P266" s="1"/>
  <c r="P578"/>
  <c r="P265" s="1"/>
  <c r="P577"/>
  <c r="P264" s="1"/>
  <c r="P576"/>
  <c r="P263" s="1"/>
  <c r="P575"/>
  <c r="P480"/>
  <c r="P481" s="1"/>
  <c r="P474"/>
  <c r="P475" s="1"/>
  <c r="P564"/>
  <c r="P62" s="1"/>
  <c r="P391"/>
  <c r="P322"/>
  <c r="P296"/>
  <c r="P378"/>
  <c r="P377"/>
  <c r="P376"/>
  <c r="P375"/>
  <c r="P374"/>
  <c r="P373"/>
  <c r="P244"/>
  <c r="P243"/>
  <c r="P242"/>
  <c r="P241"/>
  <c r="P240"/>
  <c r="P239"/>
  <c r="P257"/>
  <c r="P30"/>
  <c r="P26"/>
  <c r="P25"/>
  <c r="P23"/>
  <c r="P19"/>
  <c r="Q2"/>
  <c r="O400"/>
  <c r="O401"/>
  <c r="O425"/>
  <c r="O449"/>
  <c r="O453"/>
  <c r="O457"/>
  <c r="O426"/>
  <c r="O430"/>
  <c r="O454"/>
  <c r="O392"/>
  <c r="O402"/>
  <c r="O404"/>
  <c r="O423"/>
  <c r="O431"/>
  <c r="O451"/>
  <c r="O455"/>
  <c r="O428"/>
  <c r="O448"/>
  <c r="O456"/>
  <c r="N71"/>
  <c r="O262"/>
  <c r="O649"/>
  <c r="O634" s="1"/>
  <c r="O70" s="1"/>
  <c r="O258"/>
  <c r="O398"/>
  <c r="O397"/>
  <c r="O405"/>
  <c r="O429"/>
  <c r="O422"/>
  <c r="O450"/>
  <c r="B19" i="1"/>
  <c r="B20" s="1"/>
  <c r="D156"/>
  <c r="B156"/>
  <c r="C156"/>
  <c r="E156"/>
  <c r="L6"/>
  <c r="I36" i="2"/>
  <c r="C11"/>
  <c r="Q519" i="7" l="1"/>
  <c r="Q515"/>
  <c r="Q511"/>
  <c r="Q507"/>
  <c r="O75" i="10"/>
  <c r="Q56"/>
  <c r="Q85"/>
  <c r="Q86" s="1"/>
  <c r="R629"/>
  <c r="R625"/>
  <c r="R621"/>
  <c r="R617"/>
  <c r="P578" i="8"/>
  <c r="P590"/>
  <c r="P586"/>
  <c r="P582"/>
  <c r="P65" i="10"/>
  <c r="P68" s="1"/>
  <c r="P75" s="1"/>
  <c r="Q58"/>
  <c r="Q180"/>
  <c r="Q197" s="1"/>
  <c r="Q141"/>
  <c r="Q153" s="1"/>
  <c r="Q249"/>
  <c r="Q221"/>
  <c r="Q59"/>
  <c r="P640"/>
  <c r="Q637" s="1"/>
  <c r="S11"/>
  <c r="R645"/>
  <c r="R181" s="1"/>
  <c r="R198" s="1"/>
  <c r="R41"/>
  <c r="R183" s="1"/>
  <c r="R200" s="1"/>
  <c r="Q730"/>
  <c r="Q715" s="1"/>
  <c r="Q67" s="1"/>
  <c r="Q368"/>
  <c r="Q507"/>
  <c r="Q511"/>
  <c r="Q515"/>
  <c r="Q535"/>
  <c r="Q539"/>
  <c r="Q559"/>
  <c r="Q563"/>
  <c r="Q567"/>
  <c r="Q508"/>
  <c r="Q512"/>
  <c r="Q532"/>
  <c r="Q536"/>
  <c r="Q540"/>
  <c r="Q560"/>
  <c r="Q564"/>
  <c r="Q502"/>
  <c r="Q27"/>
  <c r="Q666"/>
  <c r="Q651" s="1"/>
  <c r="Q698"/>
  <c r="Q683" s="1"/>
  <c r="Q66" s="1"/>
  <c r="R741"/>
  <c r="R740"/>
  <c r="R739"/>
  <c r="R738"/>
  <c r="R736"/>
  <c r="R735"/>
  <c r="R734"/>
  <c r="R733"/>
  <c r="R729"/>
  <c r="R728"/>
  <c r="R431" s="1"/>
  <c r="R727"/>
  <c r="R430" s="1"/>
  <c r="R726"/>
  <c r="R429" s="1"/>
  <c r="R725"/>
  <c r="R428" s="1"/>
  <c r="R724"/>
  <c r="R427" s="1"/>
  <c r="R723"/>
  <c r="R426" s="1"/>
  <c r="R722"/>
  <c r="R425" s="1"/>
  <c r="R721"/>
  <c r="R424" s="1"/>
  <c r="R720"/>
  <c r="R423" s="1"/>
  <c r="R709"/>
  <c r="R708"/>
  <c r="R707"/>
  <c r="R706"/>
  <c r="R705"/>
  <c r="R704"/>
  <c r="R703"/>
  <c r="R702"/>
  <c r="R700"/>
  <c r="R697"/>
  <c r="R406" s="1"/>
  <c r="R696"/>
  <c r="R405" s="1"/>
  <c r="R695"/>
  <c r="R404" s="1"/>
  <c r="R694"/>
  <c r="R403" s="1"/>
  <c r="R693"/>
  <c r="R402" s="1"/>
  <c r="R692"/>
  <c r="R401" s="1"/>
  <c r="R691"/>
  <c r="R400" s="1"/>
  <c r="R690"/>
  <c r="R399" s="1"/>
  <c r="R689"/>
  <c r="R398" s="1"/>
  <c r="R688"/>
  <c r="R397" s="1"/>
  <c r="R677"/>
  <c r="R676"/>
  <c r="R675"/>
  <c r="R674"/>
  <c r="R673"/>
  <c r="R672"/>
  <c r="R671"/>
  <c r="R670"/>
  <c r="R668"/>
  <c r="R665"/>
  <c r="R381" s="1"/>
  <c r="R664"/>
  <c r="R380" s="1"/>
  <c r="R663"/>
  <c r="R379" s="1"/>
  <c r="R662"/>
  <c r="R378" s="1"/>
  <c r="R661"/>
  <c r="R377" s="1"/>
  <c r="R660"/>
  <c r="R376" s="1"/>
  <c r="R659"/>
  <c r="R375" s="1"/>
  <c r="R658"/>
  <c r="R374" s="1"/>
  <c r="R657"/>
  <c r="R373" s="1"/>
  <c r="R639"/>
  <c r="R656"/>
  <c r="R590"/>
  <c r="R591" s="1"/>
  <c r="R584"/>
  <c r="R585" s="1"/>
  <c r="R501"/>
  <c r="R432"/>
  <c r="R354"/>
  <c r="R353"/>
  <c r="R352"/>
  <c r="R351"/>
  <c r="R350"/>
  <c r="R349"/>
  <c r="R488"/>
  <c r="R487"/>
  <c r="R486"/>
  <c r="R485"/>
  <c r="R484"/>
  <c r="R483"/>
  <c r="R367"/>
  <c r="S2"/>
  <c r="R30"/>
  <c r="R26"/>
  <c r="R25"/>
  <c r="R23"/>
  <c r="R19"/>
  <c r="Q509"/>
  <c r="Q513"/>
  <c r="Q533"/>
  <c r="Q537"/>
  <c r="Q541"/>
  <c r="Q561"/>
  <c r="Q565"/>
  <c r="Q506"/>
  <c r="Q510"/>
  <c r="Q514"/>
  <c r="Q534"/>
  <c r="Q538"/>
  <c r="Q558"/>
  <c r="Q562"/>
  <c r="Q566"/>
  <c r="P565" i="7"/>
  <c r="Q562" s="1"/>
  <c r="N63" i="8"/>
  <c r="Q11"/>
  <c r="O598"/>
  <c r="O601" s="1"/>
  <c r="O653"/>
  <c r="O638" s="1"/>
  <c r="O61" s="1"/>
  <c r="O685"/>
  <c r="O670" s="1"/>
  <c r="O62" s="1"/>
  <c r="P696"/>
  <c r="P695"/>
  <c r="P694"/>
  <c r="P693"/>
  <c r="P692"/>
  <c r="P690"/>
  <c r="P689"/>
  <c r="P688"/>
  <c r="P684"/>
  <c r="P683"/>
  <c r="P392" s="1"/>
  <c r="P682"/>
  <c r="P391" s="1"/>
  <c r="P681"/>
  <c r="P390" s="1"/>
  <c r="P680"/>
  <c r="P389" s="1"/>
  <c r="P679"/>
  <c r="P388" s="1"/>
  <c r="P678"/>
  <c r="P387" s="1"/>
  <c r="P677"/>
  <c r="P386" s="1"/>
  <c r="P676"/>
  <c r="P385" s="1"/>
  <c r="P675"/>
  <c r="P384" s="1"/>
  <c r="P664"/>
  <c r="P663"/>
  <c r="P662"/>
  <c r="P661"/>
  <c r="P660"/>
  <c r="P659"/>
  <c r="P658"/>
  <c r="P657"/>
  <c r="P656"/>
  <c r="P652"/>
  <c r="P367" s="1"/>
  <c r="P651"/>
  <c r="P366" s="1"/>
  <c r="P650"/>
  <c r="P365" s="1"/>
  <c r="P649"/>
  <c r="P364" s="1"/>
  <c r="P648"/>
  <c r="P363" s="1"/>
  <c r="P647"/>
  <c r="P362" s="1"/>
  <c r="P646"/>
  <c r="P361" s="1"/>
  <c r="P645"/>
  <c r="P360" s="1"/>
  <c r="P644"/>
  <c r="P643"/>
  <c r="P358" s="1"/>
  <c r="P632"/>
  <c r="P631"/>
  <c r="P630"/>
  <c r="P629"/>
  <c r="P628"/>
  <c r="P627"/>
  <c r="P626"/>
  <c r="P625"/>
  <c r="P623"/>
  <c r="P620"/>
  <c r="P342" s="1"/>
  <c r="P619"/>
  <c r="P341" s="1"/>
  <c r="P618"/>
  <c r="P340" s="1"/>
  <c r="P617"/>
  <c r="P339" s="1"/>
  <c r="P616"/>
  <c r="P338" s="1"/>
  <c r="P615"/>
  <c r="P337" s="1"/>
  <c r="P614"/>
  <c r="P336" s="1"/>
  <c r="P613"/>
  <c r="P335" s="1"/>
  <c r="P612"/>
  <c r="P334" s="1"/>
  <c r="P611"/>
  <c r="P333" s="1"/>
  <c r="P551"/>
  <c r="P552" s="1"/>
  <c r="P545"/>
  <c r="P546" s="1"/>
  <c r="P600"/>
  <c r="P54" s="1"/>
  <c r="P462"/>
  <c r="P393"/>
  <c r="P359"/>
  <c r="P449"/>
  <c r="P448"/>
  <c r="P447"/>
  <c r="P446"/>
  <c r="P445"/>
  <c r="P444"/>
  <c r="P328"/>
  <c r="P315"/>
  <c r="P314"/>
  <c r="P313"/>
  <c r="P312"/>
  <c r="P311"/>
  <c r="P310"/>
  <c r="Q2"/>
  <c r="P30"/>
  <c r="P26"/>
  <c r="P25"/>
  <c r="P23"/>
  <c r="P19"/>
  <c r="O329"/>
  <c r="O469"/>
  <c r="O467"/>
  <c r="O470"/>
  <c r="O474"/>
  <c r="O494"/>
  <c r="O498"/>
  <c r="O502"/>
  <c r="O522"/>
  <c r="O526"/>
  <c r="O473"/>
  <c r="O493"/>
  <c r="O497"/>
  <c r="O501"/>
  <c r="O521"/>
  <c r="O525"/>
  <c r="O463"/>
  <c r="O27"/>
  <c r="O621"/>
  <c r="O606" s="1"/>
  <c r="O60" s="1"/>
  <c r="N72"/>
  <c r="O468"/>
  <c r="O472"/>
  <c r="O476"/>
  <c r="O496"/>
  <c r="O500"/>
  <c r="O520"/>
  <c r="O524"/>
  <c r="O528"/>
  <c r="O471"/>
  <c r="O475"/>
  <c r="O495"/>
  <c r="O499"/>
  <c r="O519"/>
  <c r="O523"/>
  <c r="O527"/>
  <c r="O71" i="7"/>
  <c r="Q534"/>
  <c r="Q527"/>
  <c r="Q528" s="1"/>
  <c r="R11"/>
  <c r="O396"/>
  <c r="P401"/>
  <c r="P258"/>
  <c r="P399"/>
  <c r="P400"/>
  <c r="P404"/>
  <c r="P424"/>
  <c r="P428"/>
  <c r="P448"/>
  <c r="P452"/>
  <c r="P456"/>
  <c r="P425"/>
  <c r="P429"/>
  <c r="P449"/>
  <c r="P453"/>
  <c r="P457"/>
  <c r="P27"/>
  <c r="P262"/>
  <c r="P585"/>
  <c r="P570" s="1"/>
  <c r="P68" s="1"/>
  <c r="P617"/>
  <c r="P602" s="1"/>
  <c r="P69" s="1"/>
  <c r="P649"/>
  <c r="P634" s="1"/>
  <c r="P70" s="1"/>
  <c r="Q660"/>
  <c r="Q659"/>
  <c r="Q658"/>
  <c r="Q657"/>
  <c r="Q656"/>
  <c r="Q654"/>
  <c r="Q652"/>
  <c r="Q648"/>
  <c r="Q322" s="1"/>
  <c r="Q647"/>
  <c r="Q321" s="1"/>
  <c r="Q646"/>
  <c r="Q320" s="1"/>
  <c r="Q645"/>
  <c r="Q319" s="1"/>
  <c r="Q644"/>
  <c r="Q318" s="1"/>
  <c r="Q643"/>
  <c r="Q317" s="1"/>
  <c r="Q642"/>
  <c r="Q316" s="1"/>
  <c r="Q641"/>
  <c r="Q315" s="1"/>
  <c r="Q653"/>
  <c r="Q640"/>
  <c r="Q314" s="1"/>
  <c r="Q616"/>
  <c r="Q615"/>
  <c r="Q295" s="1"/>
  <c r="Q614"/>
  <c r="Q294" s="1"/>
  <c r="Q613"/>
  <c r="Q293" s="1"/>
  <c r="Q612"/>
  <c r="Q292" s="1"/>
  <c r="Q611"/>
  <c r="Q291" s="1"/>
  <c r="Q610"/>
  <c r="Q290" s="1"/>
  <c r="Q639"/>
  <c r="Q313" s="1"/>
  <c r="Q628"/>
  <c r="Q627"/>
  <c r="Q626"/>
  <c r="Q625"/>
  <c r="Q624"/>
  <c r="Q623"/>
  <c r="Q622"/>
  <c r="Q621"/>
  <c r="Q620"/>
  <c r="Q609"/>
  <c r="Q289" s="1"/>
  <c r="Q584"/>
  <c r="Q271" s="1"/>
  <c r="Q583"/>
  <c r="Q270" s="1"/>
  <c r="Q582"/>
  <c r="Q269" s="1"/>
  <c r="Q581"/>
  <c r="Q268" s="1"/>
  <c r="Q580"/>
  <c r="Q267" s="1"/>
  <c r="Q579"/>
  <c r="Q266" s="1"/>
  <c r="Q608"/>
  <c r="Q288" s="1"/>
  <c r="Q607"/>
  <c r="Q596"/>
  <c r="Q595"/>
  <c r="Q594"/>
  <c r="Q593"/>
  <c r="Q592"/>
  <c r="Q591"/>
  <c r="Q590"/>
  <c r="Q589"/>
  <c r="Q587"/>
  <c r="Q578"/>
  <c r="Q265" s="1"/>
  <c r="Q564"/>
  <c r="Q62" s="1"/>
  <c r="Q577"/>
  <c r="Q264" s="1"/>
  <c r="Q576"/>
  <c r="Q263" s="1"/>
  <c r="Q575"/>
  <c r="Q480"/>
  <c r="Q481" s="1"/>
  <c r="Q474"/>
  <c r="Q475" s="1"/>
  <c r="Q378"/>
  <c r="Q377"/>
  <c r="Q376"/>
  <c r="Q375"/>
  <c r="Q374"/>
  <c r="Q373"/>
  <c r="Q391"/>
  <c r="Q296"/>
  <c r="Q257"/>
  <c r="Q244"/>
  <c r="Q243"/>
  <c r="Q242"/>
  <c r="Q241"/>
  <c r="Q240"/>
  <c r="Q239"/>
  <c r="R2"/>
  <c r="Q30"/>
  <c r="Q26"/>
  <c r="Q25"/>
  <c r="Q23"/>
  <c r="Q19"/>
  <c r="P397"/>
  <c r="P405"/>
  <c r="P403"/>
  <c r="P398"/>
  <c r="P402"/>
  <c r="P422"/>
  <c r="P426"/>
  <c r="P430"/>
  <c r="P450"/>
  <c r="P454"/>
  <c r="P392"/>
  <c r="P423"/>
  <c r="P427"/>
  <c r="P431"/>
  <c r="P451"/>
  <c r="P455"/>
  <c r="C157" i="1"/>
  <c r="E157"/>
  <c r="D157"/>
  <c r="B157"/>
  <c r="B21"/>
  <c r="R40" i="10" s="1"/>
  <c r="L26" i="1"/>
  <c r="L7"/>
  <c r="J36" i="2"/>
  <c r="B61" i="1"/>
  <c r="B62"/>
  <c r="C611" i="10" s="1"/>
  <c r="B63" i="1"/>
  <c r="C612" i="10" s="1"/>
  <c r="B60" i="1"/>
  <c r="C80"/>
  <c r="B178" i="2"/>
  <c r="B177"/>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B126"/>
  <c r="C213" i="1"/>
  <c r="D213"/>
  <c r="E213"/>
  <c r="B213"/>
  <c r="C203"/>
  <c r="C202"/>
  <c r="B202"/>
  <c r="C195"/>
  <c r="C196"/>
  <c r="B196"/>
  <c r="B195"/>
  <c r="B203"/>
  <c r="C184"/>
  <c r="B184"/>
  <c r="B143" i="2"/>
  <c r="B142"/>
  <c r="B140"/>
  <c r="B108"/>
  <c r="B190" s="1"/>
  <c r="B107"/>
  <c r="B189" s="1"/>
  <c r="B104"/>
  <c r="B103"/>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B101"/>
  <c r="D101"/>
  <c r="G86"/>
  <c r="G95" s="1"/>
  <c r="H86"/>
  <c r="H95" s="1"/>
  <c r="I86"/>
  <c r="I95" s="1"/>
  <c r="J86"/>
  <c r="J95" s="1"/>
  <c r="K86"/>
  <c r="K95" s="1"/>
  <c r="L86"/>
  <c r="L95" s="1"/>
  <c r="M86"/>
  <c r="M95" s="1"/>
  <c r="N86"/>
  <c r="N95" s="1"/>
  <c r="O86"/>
  <c r="O95" s="1"/>
  <c r="P86"/>
  <c r="P95" s="1"/>
  <c r="Q86"/>
  <c r="Q95" s="1"/>
  <c r="R86"/>
  <c r="R95" s="1"/>
  <c r="S86"/>
  <c r="S95" s="1"/>
  <c r="T86"/>
  <c r="T95" s="1"/>
  <c r="U86"/>
  <c r="U95" s="1"/>
  <c r="V86"/>
  <c r="V95" s="1"/>
  <c r="W86"/>
  <c r="W95" s="1"/>
  <c r="X86"/>
  <c r="X95" s="1"/>
  <c r="Y86"/>
  <c r="Y95" s="1"/>
  <c r="Z86"/>
  <c r="Z95" s="1"/>
  <c r="AA86"/>
  <c r="AA95" s="1"/>
  <c r="AB86"/>
  <c r="AB95" s="1"/>
  <c r="AC86"/>
  <c r="AC95" s="1"/>
  <c r="AD86"/>
  <c r="AD95" s="1"/>
  <c r="AE86"/>
  <c r="AE95" s="1"/>
  <c r="AF86"/>
  <c r="AF95" s="1"/>
  <c r="AG86"/>
  <c r="AG95" s="1"/>
  <c r="AH86"/>
  <c r="AH95" s="1"/>
  <c r="AI86"/>
  <c r="AI95" s="1"/>
  <c r="AJ86"/>
  <c r="AJ95" s="1"/>
  <c r="AK86"/>
  <c r="AK95" s="1"/>
  <c r="AL86"/>
  <c r="AL95" s="1"/>
  <c r="AM86"/>
  <c r="AM95" s="1"/>
  <c r="AN86"/>
  <c r="AN95" s="1"/>
  <c r="AO86"/>
  <c r="AO95" s="1"/>
  <c r="AP86"/>
  <c r="AP95" s="1"/>
  <c r="C86"/>
  <c r="C95" s="1"/>
  <c r="D86"/>
  <c r="D95" s="1"/>
  <c r="E86"/>
  <c r="E95" s="1"/>
  <c r="F86"/>
  <c r="F95" s="1"/>
  <c r="B53"/>
  <c r="B56" s="1"/>
  <c r="B465"/>
  <c r="B464"/>
  <c r="A483"/>
  <c r="A484" s="1"/>
  <c r="A485" s="1"/>
  <c r="A486" s="1"/>
  <c r="A487" s="1"/>
  <c r="A488" s="1"/>
  <c r="A489" s="1"/>
  <c r="A490" s="1"/>
  <c r="A491" s="1"/>
  <c r="A471"/>
  <c r="A472" s="1"/>
  <c r="A473" s="1"/>
  <c r="A474" s="1"/>
  <c r="A475" s="1"/>
  <c r="A476" s="1"/>
  <c r="A477" s="1"/>
  <c r="A478" s="1"/>
  <c r="A479" s="1"/>
  <c r="A348"/>
  <c r="A349" s="1"/>
  <c r="A350" s="1"/>
  <c r="A351" s="1"/>
  <c r="A352" s="1"/>
  <c r="A353" s="1"/>
  <c r="A354" s="1"/>
  <c r="A355" s="1"/>
  <c r="A356" s="1"/>
  <c r="B331"/>
  <c r="R530" i="7" l="1"/>
  <c r="R531"/>
  <c r="R519"/>
  <c r="R515"/>
  <c r="R511"/>
  <c r="R507"/>
  <c r="R558"/>
  <c r="C610" i="10"/>
  <c r="C270" s="1"/>
  <c r="B475"/>
  <c r="B341"/>
  <c r="B302" i="8"/>
  <c r="B231" i="7"/>
  <c r="B436" i="8"/>
  <c r="B365" i="7"/>
  <c r="C609" i="10"/>
  <c r="C269" s="1"/>
  <c r="B340"/>
  <c r="B344" s="1"/>
  <c r="B474"/>
  <c r="B478" s="1"/>
  <c r="B435" i="8"/>
  <c r="B364" i="7"/>
  <c r="B301" i="8"/>
  <c r="B305" s="1"/>
  <c r="B230" i="7"/>
  <c r="R56" i="10"/>
  <c r="R85"/>
  <c r="R86" s="1"/>
  <c r="S629"/>
  <c r="S625"/>
  <c r="S621"/>
  <c r="S617"/>
  <c r="Q590" i="8"/>
  <c r="Q586"/>
  <c r="Q582"/>
  <c r="Q578"/>
  <c r="Q65" i="10"/>
  <c r="P179"/>
  <c r="P196" s="1"/>
  <c r="R58"/>
  <c r="R180"/>
  <c r="R197" s="1"/>
  <c r="R141"/>
  <c r="R153" s="1"/>
  <c r="R249"/>
  <c r="R221"/>
  <c r="Q640"/>
  <c r="R637" s="1"/>
  <c r="R59"/>
  <c r="T11"/>
  <c r="S645"/>
  <c r="S181" s="1"/>
  <c r="S198" s="1"/>
  <c r="S41"/>
  <c r="S183" s="1"/>
  <c r="S200" s="1"/>
  <c r="R666"/>
  <c r="R651" s="1"/>
  <c r="Q262" i="7"/>
  <c r="Q396" s="1"/>
  <c r="R372" i="10"/>
  <c r="C239"/>
  <c r="C271"/>
  <c r="C240"/>
  <c r="S741"/>
  <c r="S740"/>
  <c r="S739"/>
  <c r="S738"/>
  <c r="S736"/>
  <c r="S735"/>
  <c r="S734"/>
  <c r="S729"/>
  <c r="S432" s="1"/>
  <c r="S728"/>
  <c r="S431" s="1"/>
  <c r="S727"/>
  <c r="S430" s="1"/>
  <c r="S726"/>
  <c r="S429" s="1"/>
  <c r="S725"/>
  <c r="S428" s="1"/>
  <c r="S724"/>
  <c r="S427" s="1"/>
  <c r="S723"/>
  <c r="S426" s="1"/>
  <c r="S722"/>
  <c r="S425" s="1"/>
  <c r="S721"/>
  <c r="S424" s="1"/>
  <c r="S733"/>
  <c r="S697"/>
  <c r="S406" s="1"/>
  <c r="S696"/>
  <c r="S405" s="1"/>
  <c r="S695"/>
  <c r="S404" s="1"/>
  <c r="S694"/>
  <c r="S403" s="1"/>
  <c r="S693"/>
  <c r="S402" s="1"/>
  <c r="S692"/>
  <c r="S401" s="1"/>
  <c r="S691"/>
  <c r="S690"/>
  <c r="S399" s="1"/>
  <c r="S720"/>
  <c r="S709"/>
  <c r="S708"/>
  <c r="S707"/>
  <c r="S706"/>
  <c r="S705"/>
  <c r="S704"/>
  <c r="S703"/>
  <c r="S702"/>
  <c r="S700"/>
  <c r="S665"/>
  <c r="S381" s="1"/>
  <c r="S664"/>
  <c r="S380" s="1"/>
  <c r="S663"/>
  <c r="S379" s="1"/>
  <c r="S662"/>
  <c r="S378" s="1"/>
  <c r="S661"/>
  <c r="S377" s="1"/>
  <c r="S660"/>
  <c r="S376" s="1"/>
  <c r="S659"/>
  <c r="S375" s="1"/>
  <c r="S689"/>
  <c r="S398" s="1"/>
  <c r="S688"/>
  <c r="S397" s="1"/>
  <c r="S677"/>
  <c r="S676"/>
  <c r="S675"/>
  <c r="S674"/>
  <c r="S673"/>
  <c r="S672"/>
  <c r="S671"/>
  <c r="S670"/>
  <c r="S668"/>
  <c r="S657"/>
  <c r="S373" s="1"/>
  <c r="S656"/>
  <c r="S590"/>
  <c r="S591" s="1"/>
  <c r="S584"/>
  <c r="S585" s="1"/>
  <c r="S658"/>
  <c r="S374" s="1"/>
  <c r="S639"/>
  <c r="S488"/>
  <c r="S487"/>
  <c r="S486"/>
  <c r="S485"/>
  <c r="S484"/>
  <c r="S483"/>
  <c r="S423"/>
  <c r="S367"/>
  <c r="S501"/>
  <c r="S400"/>
  <c r="S354"/>
  <c r="S353"/>
  <c r="S352"/>
  <c r="S351"/>
  <c r="S350"/>
  <c r="S349"/>
  <c r="S30"/>
  <c r="S26"/>
  <c r="S25"/>
  <c r="S23"/>
  <c r="S19"/>
  <c r="S40"/>
  <c r="T2"/>
  <c r="R506"/>
  <c r="R510"/>
  <c r="R514"/>
  <c r="R534"/>
  <c r="R538"/>
  <c r="R558"/>
  <c r="R562"/>
  <c r="R566"/>
  <c r="R509"/>
  <c r="R513"/>
  <c r="R533"/>
  <c r="R537"/>
  <c r="R541"/>
  <c r="R561"/>
  <c r="R565"/>
  <c r="R27"/>
  <c r="R698"/>
  <c r="R683" s="1"/>
  <c r="R66" s="1"/>
  <c r="R730"/>
  <c r="R715" s="1"/>
  <c r="R67" s="1"/>
  <c r="C272"/>
  <c r="C241"/>
  <c r="C40"/>
  <c r="D40"/>
  <c r="E40"/>
  <c r="F40"/>
  <c r="G40"/>
  <c r="H40"/>
  <c r="I40"/>
  <c r="J40"/>
  <c r="K40"/>
  <c r="L40"/>
  <c r="M40"/>
  <c r="N40"/>
  <c r="O40"/>
  <c r="P40"/>
  <c r="Q40"/>
  <c r="R508"/>
  <c r="R512"/>
  <c r="R532"/>
  <c r="R536"/>
  <c r="R540"/>
  <c r="R560"/>
  <c r="R564"/>
  <c r="R502"/>
  <c r="R368"/>
  <c r="R507"/>
  <c r="R511"/>
  <c r="R515"/>
  <c r="R535"/>
  <c r="R539"/>
  <c r="R559"/>
  <c r="R563"/>
  <c r="R567"/>
  <c r="Q68"/>
  <c r="Q75" s="1"/>
  <c r="O63" i="8"/>
  <c r="R11"/>
  <c r="P598"/>
  <c r="P621"/>
  <c r="P606" s="1"/>
  <c r="P60" s="1"/>
  <c r="P685"/>
  <c r="P670" s="1"/>
  <c r="P62" s="1"/>
  <c r="Q617" i="7"/>
  <c r="Q602" s="1"/>
  <c r="Q69" s="1"/>
  <c r="P601" i="8"/>
  <c r="P653"/>
  <c r="P638" s="1"/>
  <c r="P61" s="1"/>
  <c r="C500" i="7"/>
  <c r="C187" s="1"/>
  <c r="C571" i="8"/>
  <c r="Q40" i="7"/>
  <c r="C40" i="8"/>
  <c r="D40"/>
  <c r="E40"/>
  <c r="F40"/>
  <c r="G40"/>
  <c r="H40"/>
  <c r="I40"/>
  <c r="J40"/>
  <c r="K40"/>
  <c r="L40"/>
  <c r="M40"/>
  <c r="N40"/>
  <c r="O40"/>
  <c r="C499" i="7"/>
  <c r="C186" s="1"/>
  <c r="C570" i="8"/>
  <c r="C501" i="7"/>
  <c r="C188" s="1"/>
  <c r="C572" i="8"/>
  <c r="O72"/>
  <c r="Q696"/>
  <c r="Q695"/>
  <c r="Q694"/>
  <c r="Q693"/>
  <c r="Q692"/>
  <c r="Q690"/>
  <c r="Q689"/>
  <c r="Q688"/>
  <c r="Q684"/>
  <c r="Q393" s="1"/>
  <c r="Q683"/>
  <c r="Q682"/>
  <c r="Q391" s="1"/>
  <c r="Q681"/>
  <c r="Q390" s="1"/>
  <c r="Q680"/>
  <c r="Q389" s="1"/>
  <c r="Q679"/>
  <c r="Q388" s="1"/>
  <c r="Q678"/>
  <c r="Q387" s="1"/>
  <c r="Q677"/>
  <c r="Q386" s="1"/>
  <c r="Q676"/>
  <c r="Q385" s="1"/>
  <c r="Q675"/>
  <c r="Q384" s="1"/>
  <c r="Q664"/>
  <c r="Q662"/>
  <c r="Q660"/>
  <c r="Q658"/>
  <c r="Q652"/>
  <c r="Q367" s="1"/>
  <c r="Q651"/>
  <c r="Q366" s="1"/>
  <c r="Q650"/>
  <c r="Q365" s="1"/>
  <c r="Q649"/>
  <c r="Q364" s="1"/>
  <c r="Q648"/>
  <c r="Q363" s="1"/>
  <c r="Q647"/>
  <c r="Q362" s="1"/>
  <c r="Q646"/>
  <c r="Q361" s="1"/>
  <c r="Q645"/>
  <c r="Q360" s="1"/>
  <c r="Q644"/>
  <c r="Q359" s="1"/>
  <c r="Q643"/>
  <c r="Q358" s="1"/>
  <c r="Q663"/>
  <c r="Q661"/>
  <c r="Q659"/>
  <c r="Q657"/>
  <c r="Q656"/>
  <c r="Q620"/>
  <c r="Q342" s="1"/>
  <c r="Q619"/>
  <c r="Q341" s="1"/>
  <c r="Q618"/>
  <c r="Q340" s="1"/>
  <c r="Q617"/>
  <c r="Q339" s="1"/>
  <c r="Q616"/>
  <c r="Q338" s="1"/>
  <c r="Q615"/>
  <c r="Q337" s="1"/>
  <c r="Q614"/>
  <c r="Q336" s="1"/>
  <c r="Q613"/>
  <c r="Q335" s="1"/>
  <c r="Q612"/>
  <c r="Q334" s="1"/>
  <c r="Q611"/>
  <c r="Q333" s="1"/>
  <c r="Q632"/>
  <c r="Q631"/>
  <c r="Q630"/>
  <c r="Q629"/>
  <c r="Q628"/>
  <c r="Q627"/>
  <c r="Q626"/>
  <c r="Q625"/>
  <c r="Q623"/>
  <c r="Q600"/>
  <c r="Q54" s="1"/>
  <c r="Q551"/>
  <c r="Q552" s="1"/>
  <c r="Q545"/>
  <c r="Q546" s="1"/>
  <c r="Q449"/>
  <c r="Q448"/>
  <c r="Q447"/>
  <c r="Q446"/>
  <c r="Q445"/>
  <c r="Q444"/>
  <c r="Q392"/>
  <c r="Q462"/>
  <c r="Q328"/>
  <c r="Q315"/>
  <c r="Q314"/>
  <c r="Q313"/>
  <c r="Q312"/>
  <c r="Q311"/>
  <c r="Q310"/>
  <c r="Q30"/>
  <c r="Q26"/>
  <c r="Q25"/>
  <c r="Q23"/>
  <c r="Q19"/>
  <c r="Q40"/>
  <c r="R2"/>
  <c r="P329"/>
  <c r="P470"/>
  <c r="P467"/>
  <c r="P471"/>
  <c r="P475"/>
  <c r="P495"/>
  <c r="P499"/>
  <c r="P519"/>
  <c r="P523"/>
  <c r="P527"/>
  <c r="P474"/>
  <c r="P494"/>
  <c r="P498"/>
  <c r="P502"/>
  <c r="P522"/>
  <c r="P526"/>
  <c r="P27"/>
  <c r="P40"/>
  <c r="C502" i="7"/>
  <c r="C150" s="1"/>
  <c r="C573" i="8"/>
  <c r="P468"/>
  <c r="P469"/>
  <c r="P473"/>
  <c r="P493"/>
  <c r="P497"/>
  <c r="P501"/>
  <c r="P521"/>
  <c r="P525"/>
  <c r="P463"/>
  <c r="P472"/>
  <c r="P476"/>
  <c r="P496"/>
  <c r="P500"/>
  <c r="P520"/>
  <c r="P524"/>
  <c r="P528"/>
  <c r="Q27" i="7"/>
  <c r="Q287"/>
  <c r="Q422" s="1"/>
  <c r="Q585"/>
  <c r="Q570" s="1"/>
  <c r="Q68" s="1"/>
  <c r="S11"/>
  <c r="R534"/>
  <c r="R527"/>
  <c r="R528" s="1"/>
  <c r="C148"/>
  <c r="Q400"/>
  <c r="Q402"/>
  <c r="Q399"/>
  <c r="Q403"/>
  <c r="Q423"/>
  <c r="Q427"/>
  <c r="Q431"/>
  <c r="Q451"/>
  <c r="Q455"/>
  <c r="Q424"/>
  <c r="Q428"/>
  <c r="Q448"/>
  <c r="Q452"/>
  <c r="Q456"/>
  <c r="P396"/>
  <c r="Q649"/>
  <c r="Q634" s="1"/>
  <c r="Q70" s="1"/>
  <c r="P71"/>
  <c r="C40"/>
  <c r="D40"/>
  <c r="E40"/>
  <c r="F40"/>
  <c r="G40"/>
  <c r="H40"/>
  <c r="I40"/>
  <c r="J40"/>
  <c r="K40"/>
  <c r="L40"/>
  <c r="M40"/>
  <c r="N40"/>
  <c r="O40"/>
  <c r="P40"/>
  <c r="R660"/>
  <c r="R659"/>
  <c r="R658"/>
  <c r="R657"/>
  <c r="R655"/>
  <c r="R654"/>
  <c r="R653"/>
  <c r="R652"/>
  <c r="R648"/>
  <c r="R647"/>
  <c r="R321" s="1"/>
  <c r="R646"/>
  <c r="R320" s="1"/>
  <c r="R645"/>
  <c r="R319" s="1"/>
  <c r="R644"/>
  <c r="R318" s="1"/>
  <c r="R643"/>
  <c r="R317" s="1"/>
  <c r="R642"/>
  <c r="R316" s="1"/>
  <c r="R641"/>
  <c r="R640"/>
  <c r="R314" s="1"/>
  <c r="R639"/>
  <c r="R313" s="1"/>
  <c r="R628"/>
  <c r="R627"/>
  <c r="R626"/>
  <c r="R625"/>
  <c r="R624"/>
  <c r="R623"/>
  <c r="R622"/>
  <c r="R621"/>
  <c r="R619"/>
  <c r="R616"/>
  <c r="R296" s="1"/>
  <c r="R615"/>
  <c r="R295" s="1"/>
  <c r="R614"/>
  <c r="R294" s="1"/>
  <c r="R613"/>
  <c r="R293" s="1"/>
  <c r="R612"/>
  <c r="R292" s="1"/>
  <c r="R611"/>
  <c r="R291" s="1"/>
  <c r="R610"/>
  <c r="R290" s="1"/>
  <c r="R609"/>
  <c r="R289" s="1"/>
  <c r="R608"/>
  <c r="R288" s="1"/>
  <c r="R607"/>
  <c r="R596"/>
  <c r="R595"/>
  <c r="R594"/>
  <c r="R593"/>
  <c r="R592"/>
  <c r="R591"/>
  <c r="R590"/>
  <c r="R589"/>
  <c r="R587"/>
  <c r="R584"/>
  <c r="R271" s="1"/>
  <c r="R583"/>
  <c r="R270" s="1"/>
  <c r="R582"/>
  <c r="R269" s="1"/>
  <c r="R581"/>
  <c r="R268" s="1"/>
  <c r="R580"/>
  <c r="R579"/>
  <c r="R266" s="1"/>
  <c r="R578"/>
  <c r="R265" s="1"/>
  <c r="R577"/>
  <c r="R264" s="1"/>
  <c r="R576"/>
  <c r="R263" s="1"/>
  <c r="R575"/>
  <c r="R480"/>
  <c r="R481" s="1"/>
  <c r="R474"/>
  <c r="R475" s="1"/>
  <c r="R564"/>
  <c r="R62" s="1"/>
  <c r="R391"/>
  <c r="R322"/>
  <c r="R378"/>
  <c r="R377"/>
  <c r="R376"/>
  <c r="R375"/>
  <c r="R374"/>
  <c r="R373"/>
  <c r="R315"/>
  <c r="R267"/>
  <c r="R244"/>
  <c r="R243"/>
  <c r="R242"/>
  <c r="R241"/>
  <c r="R240"/>
  <c r="R239"/>
  <c r="R257"/>
  <c r="R30"/>
  <c r="R26"/>
  <c r="R25"/>
  <c r="R23"/>
  <c r="R19"/>
  <c r="R40"/>
  <c r="S2"/>
  <c r="Q258"/>
  <c r="Q404"/>
  <c r="Q398"/>
  <c r="Q397"/>
  <c r="Q401"/>
  <c r="Q405"/>
  <c r="Q425"/>
  <c r="Q429"/>
  <c r="Q449"/>
  <c r="Q453"/>
  <c r="Q457"/>
  <c r="Q426"/>
  <c r="Q430"/>
  <c r="Q450"/>
  <c r="Q454"/>
  <c r="Q392"/>
  <c r="Q565"/>
  <c r="R562" s="1"/>
  <c r="D146" i="1"/>
  <c r="C146"/>
  <c r="B146"/>
  <c r="L8"/>
  <c r="L27"/>
  <c r="K36" i="2"/>
  <c r="B182"/>
  <c r="B179"/>
  <c r="B105"/>
  <c r="B191"/>
  <c r="B144"/>
  <c r="AM172"/>
  <c r="AM158"/>
  <c r="AE172"/>
  <c r="AE158"/>
  <c r="W172"/>
  <c r="W158"/>
  <c r="O172"/>
  <c r="O158"/>
  <c r="G172"/>
  <c r="G158"/>
  <c r="F158"/>
  <c r="F172"/>
  <c r="AP158"/>
  <c r="AP172"/>
  <c r="AN158"/>
  <c r="AN172"/>
  <c r="AL158"/>
  <c r="AL172"/>
  <c r="AH158"/>
  <c r="AH172"/>
  <c r="AF158"/>
  <c r="AF172"/>
  <c r="AB158"/>
  <c r="AB172"/>
  <c r="Z158"/>
  <c r="Z172"/>
  <c r="V158"/>
  <c r="V172"/>
  <c r="T158"/>
  <c r="T172"/>
  <c r="R158"/>
  <c r="R172"/>
  <c r="N158"/>
  <c r="N172"/>
  <c r="J158"/>
  <c r="J172"/>
  <c r="E172"/>
  <c r="E158"/>
  <c r="AO172"/>
  <c r="AO158"/>
  <c r="AK172"/>
  <c r="AK158"/>
  <c r="AG172"/>
  <c r="AG158"/>
  <c r="AC172"/>
  <c r="AC158"/>
  <c r="Y172"/>
  <c r="Y158"/>
  <c r="U172"/>
  <c r="U158"/>
  <c r="Q172"/>
  <c r="Q158"/>
  <c r="M172"/>
  <c r="M158"/>
  <c r="I172"/>
  <c r="I158"/>
  <c r="B181"/>
  <c r="D158"/>
  <c r="D172"/>
  <c r="AJ158"/>
  <c r="AJ172"/>
  <c r="AD158"/>
  <c r="AD172"/>
  <c r="X158"/>
  <c r="X172"/>
  <c r="P158"/>
  <c r="P172"/>
  <c r="L158"/>
  <c r="L172"/>
  <c r="H158"/>
  <c r="H172"/>
  <c r="AI172"/>
  <c r="AI158"/>
  <c r="AA172"/>
  <c r="AA158"/>
  <c r="S172"/>
  <c r="S158"/>
  <c r="K172"/>
  <c r="K158"/>
  <c r="C172"/>
  <c r="C158"/>
  <c r="B109"/>
  <c r="B330"/>
  <c r="A337"/>
  <c r="A338" s="1"/>
  <c r="A339" s="1"/>
  <c r="A340" s="1"/>
  <c r="A341" s="1"/>
  <c r="A342" s="1"/>
  <c r="A343" s="1"/>
  <c r="A344" s="1"/>
  <c r="A345" s="1"/>
  <c r="R287" i="7" l="1"/>
  <c r="B234"/>
  <c r="C613" i="10"/>
  <c r="C149" i="7"/>
  <c r="B439" i="8"/>
  <c r="C238" i="10"/>
  <c r="C242" s="1"/>
  <c r="B368" i="7"/>
  <c r="E347" s="1"/>
  <c r="E340" s="1"/>
  <c r="R532"/>
  <c r="S530"/>
  <c r="S531"/>
  <c r="S519"/>
  <c r="S515"/>
  <c r="S511"/>
  <c r="S507"/>
  <c r="S558"/>
  <c r="E284" i="8"/>
  <c r="B306"/>
  <c r="E418"/>
  <c r="B440"/>
  <c r="E323" i="10"/>
  <c r="B345"/>
  <c r="E213" i="7"/>
  <c r="B235"/>
  <c r="E457" i="10"/>
  <c r="E450" s="1"/>
  <c r="B479"/>
  <c r="B195"/>
  <c r="B55"/>
  <c r="S56"/>
  <c r="S85"/>
  <c r="S86" s="1"/>
  <c r="T629"/>
  <c r="T625"/>
  <c r="T621"/>
  <c r="T617"/>
  <c r="R578" i="8"/>
  <c r="R590"/>
  <c r="R586"/>
  <c r="R582"/>
  <c r="R65" i="10"/>
  <c r="R68" s="1"/>
  <c r="Q179"/>
  <c r="Q196" s="1"/>
  <c r="S58"/>
  <c r="S180"/>
  <c r="S197" s="1"/>
  <c r="S141"/>
  <c r="S153" s="1"/>
  <c r="S249"/>
  <c r="S221"/>
  <c r="B178"/>
  <c r="R640"/>
  <c r="S637" s="1"/>
  <c r="S59"/>
  <c r="S372"/>
  <c r="S506" s="1"/>
  <c r="U11"/>
  <c r="T645"/>
  <c r="T181" s="1"/>
  <c r="T198" s="1"/>
  <c r="T41"/>
  <c r="T183" s="1"/>
  <c r="T200" s="1"/>
  <c r="R262" i="7"/>
  <c r="R396" s="1"/>
  <c r="C147"/>
  <c r="Q71"/>
  <c r="S730" i="10"/>
  <c r="S715" s="1"/>
  <c r="S67" s="1"/>
  <c r="T741"/>
  <c r="T740"/>
  <c r="T739"/>
  <c r="T738"/>
  <c r="T736"/>
  <c r="T735"/>
  <c r="T734"/>
  <c r="T733"/>
  <c r="T729"/>
  <c r="T728"/>
  <c r="T431" s="1"/>
  <c r="T727"/>
  <c r="T430" s="1"/>
  <c r="T726"/>
  <c r="T429" s="1"/>
  <c r="T725"/>
  <c r="T428" s="1"/>
  <c r="T724"/>
  <c r="T427" s="1"/>
  <c r="T723"/>
  <c r="T426" s="1"/>
  <c r="T722"/>
  <c r="T425" s="1"/>
  <c r="T721"/>
  <c r="T424" s="1"/>
  <c r="T720"/>
  <c r="T423" s="1"/>
  <c r="T709"/>
  <c r="T708"/>
  <c r="T707"/>
  <c r="T706"/>
  <c r="T705"/>
  <c r="T704"/>
  <c r="T703"/>
  <c r="T702"/>
  <c r="T700"/>
  <c r="T697"/>
  <c r="T406" s="1"/>
  <c r="T696"/>
  <c r="T405" s="1"/>
  <c r="T695"/>
  <c r="T404" s="1"/>
  <c r="T694"/>
  <c r="T403" s="1"/>
  <c r="T693"/>
  <c r="T402" s="1"/>
  <c r="T692"/>
  <c r="T401" s="1"/>
  <c r="T691"/>
  <c r="T400" s="1"/>
  <c r="T690"/>
  <c r="T399" s="1"/>
  <c r="T689"/>
  <c r="T398" s="1"/>
  <c r="T688"/>
  <c r="T397" s="1"/>
  <c r="T677"/>
  <c r="T676"/>
  <c r="T675"/>
  <c r="T674"/>
  <c r="T673"/>
  <c r="T672"/>
  <c r="T671"/>
  <c r="T670"/>
  <c r="T668"/>
  <c r="T665"/>
  <c r="T381" s="1"/>
  <c r="T664"/>
  <c r="T380" s="1"/>
  <c r="T663"/>
  <c r="T379" s="1"/>
  <c r="T662"/>
  <c r="T378" s="1"/>
  <c r="T661"/>
  <c r="T377" s="1"/>
  <c r="T660"/>
  <c r="T376" s="1"/>
  <c r="T659"/>
  <c r="T375" s="1"/>
  <c r="T658"/>
  <c r="T374" s="1"/>
  <c r="T657"/>
  <c r="T373" s="1"/>
  <c r="T639"/>
  <c r="T656"/>
  <c r="T590"/>
  <c r="T591" s="1"/>
  <c r="T584"/>
  <c r="T585" s="1"/>
  <c r="T501"/>
  <c r="T432"/>
  <c r="T354"/>
  <c r="T353"/>
  <c r="T352"/>
  <c r="T351"/>
  <c r="T350"/>
  <c r="T349"/>
  <c r="T488"/>
  <c r="T487"/>
  <c r="T486"/>
  <c r="T485"/>
  <c r="T484"/>
  <c r="T483"/>
  <c r="T367"/>
  <c r="T40"/>
  <c r="T30"/>
  <c r="T26"/>
  <c r="T25"/>
  <c r="T23"/>
  <c r="T19"/>
  <c r="U2"/>
  <c r="S368"/>
  <c r="S507"/>
  <c r="S511"/>
  <c r="S515"/>
  <c r="S535"/>
  <c r="S539"/>
  <c r="S559"/>
  <c r="S563"/>
  <c r="S567"/>
  <c r="S508"/>
  <c r="S512"/>
  <c r="S532"/>
  <c r="S536"/>
  <c r="S540"/>
  <c r="S560"/>
  <c r="S564"/>
  <c r="S502"/>
  <c r="S27"/>
  <c r="S666"/>
  <c r="S651" s="1"/>
  <c r="S698"/>
  <c r="S683" s="1"/>
  <c r="S66" s="1"/>
  <c r="S509"/>
  <c r="S513"/>
  <c r="S533"/>
  <c r="S537"/>
  <c r="S541"/>
  <c r="S561"/>
  <c r="S565"/>
  <c r="S510"/>
  <c r="S514"/>
  <c r="S534"/>
  <c r="S538"/>
  <c r="S558"/>
  <c r="S562"/>
  <c r="S566"/>
  <c r="C273"/>
  <c r="B171" i="8"/>
  <c r="C503" i="7"/>
  <c r="R565"/>
  <c r="S562" s="1"/>
  <c r="S11" i="8"/>
  <c r="Q598"/>
  <c r="Q601" s="1"/>
  <c r="P63"/>
  <c r="Q27"/>
  <c r="Q685"/>
  <c r="Q670" s="1"/>
  <c r="Q62" s="1"/>
  <c r="R696"/>
  <c r="R695"/>
  <c r="R694"/>
  <c r="R693"/>
  <c r="R691"/>
  <c r="R690"/>
  <c r="R689"/>
  <c r="R688"/>
  <c r="R684"/>
  <c r="R683"/>
  <c r="R392" s="1"/>
  <c r="R682"/>
  <c r="R391" s="1"/>
  <c r="R681"/>
  <c r="R390" s="1"/>
  <c r="R680"/>
  <c r="R389" s="1"/>
  <c r="R679"/>
  <c r="R388" s="1"/>
  <c r="R678"/>
  <c r="R677"/>
  <c r="R386" s="1"/>
  <c r="R676"/>
  <c r="R675"/>
  <c r="R384" s="1"/>
  <c r="R664"/>
  <c r="R663"/>
  <c r="R662"/>
  <c r="R661"/>
  <c r="R660"/>
  <c r="R659"/>
  <c r="R658"/>
  <c r="R657"/>
  <c r="R655"/>
  <c r="R652"/>
  <c r="R367" s="1"/>
  <c r="R651"/>
  <c r="R650"/>
  <c r="R365" s="1"/>
  <c r="R649"/>
  <c r="R364" s="1"/>
  <c r="R648"/>
  <c r="R363" s="1"/>
  <c r="R647"/>
  <c r="R646"/>
  <c r="R361" s="1"/>
  <c r="R645"/>
  <c r="R360" s="1"/>
  <c r="R644"/>
  <c r="R359" s="1"/>
  <c r="R643"/>
  <c r="R632"/>
  <c r="R631"/>
  <c r="R630"/>
  <c r="R629"/>
  <c r="R628"/>
  <c r="R627"/>
  <c r="R626"/>
  <c r="R625"/>
  <c r="R623"/>
  <c r="R620"/>
  <c r="R619"/>
  <c r="R341" s="1"/>
  <c r="R618"/>
  <c r="R340" s="1"/>
  <c r="R617"/>
  <c r="R339" s="1"/>
  <c r="R616"/>
  <c r="R615"/>
  <c r="R337" s="1"/>
  <c r="R614"/>
  <c r="R613"/>
  <c r="R335" s="1"/>
  <c r="R612"/>
  <c r="R611"/>
  <c r="R333" s="1"/>
  <c r="R551"/>
  <c r="R552" s="1"/>
  <c r="R545"/>
  <c r="R546" s="1"/>
  <c r="R600"/>
  <c r="R54" s="1"/>
  <c r="R462"/>
  <c r="R393"/>
  <c r="R387"/>
  <c r="R385"/>
  <c r="R342"/>
  <c r="R338"/>
  <c r="R449"/>
  <c r="R448"/>
  <c r="R447"/>
  <c r="R446"/>
  <c r="R445"/>
  <c r="R444"/>
  <c r="R366"/>
  <c r="R362"/>
  <c r="R358"/>
  <c r="R328"/>
  <c r="R334"/>
  <c r="R315"/>
  <c r="R314"/>
  <c r="R313"/>
  <c r="R312"/>
  <c r="R311"/>
  <c r="R310"/>
  <c r="R336"/>
  <c r="R40"/>
  <c r="S2"/>
  <c r="R30"/>
  <c r="R26"/>
  <c r="R25"/>
  <c r="R23"/>
  <c r="R19"/>
  <c r="Q329"/>
  <c r="Q469"/>
  <c r="Q470"/>
  <c r="Q474"/>
  <c r="Q494"/>
  <c r="Q498"/>
  <c r="Q502"/>
  <c r="Q522"/>
  <c r="Q526"/>
  <c r="Q473"/>
  <c r="Q493"/>
  <c r="Q497"/>
  <c r="Q501"/>
  <c r="Q521"/>
  <c r="Q525"/>
  <c r="Q463"/>
  <c r="Q621"/>
  <c r="Q606" s="1"/>
  <c r="Q60" s="1"/>
  <c r="Q653"/>
  <c r="Q638" s="1"/>
  <c r="Q61" s="1"/>
  <c r="B156"/>
  <c r="P72"/>
  <c r="C260"/>
  <c r="C222"/>
  <c r="Q467"/>
  <c r="Q468"/>
  <c r="Q472"/>
  <c r="Q476"/>
  <c r="Q496"/>
  <c r="Q500"/>
  <c r="Q520"/>
  <c r="Q524"/>
  <c r="Q528"/>
  <c r="Q471"/>
  <c r="Q475"/>
  <c r="Q495"/>
  <c r="Q499"/>
  <c r="Q519"/>
  <c r="Q523"/>
  <c r="Q527"/>
  <c r="C259"/>
  <c r="C221"/>
  <c r="C574"/>
  <c r="C257"/>
  <c r="C219"/>
  <c r="C258"/>
  <c r="C220"/>
  <c r="C189" i="7"/>
  <c r="C190" s="1"/>
  <c r="S534"/>
  <c r="S527"/>
  <c r="S528" s="1"/>
  <c r="T11"/>
  <c r="S660"/>
  <c r="S659"/>
  <c r="S658"/>
  <c r="S657"/>
  <c r="S655"/>
  <c r="S654"/>
  <c r="S653"/>
  <c r="S648"/>
  <c r="S322" s="1"/>
  <c r="S647"/>
  <c r="S321" s="1"/>
  <c r="S646"/>
  <c r="S320" s="1"/>
  <c r="S645"/>
  <c r="S319" s="1"/>
  <c r="S644"/>
  <c r="S318" s="1"/>
  <c r="S643"/>
  <c r="S317" s="1"/>
  <c r="S642"/>
  <c r="S316" s="1"/>
  <c r="S641"/>
  <c r="S315" s="1"/>
  <c r="S652"/>
  <c r="S639"/>
  <c r="S313" s="1"/>
  <c r="S616"/>
  <c r="S296" s="1"/>
  <c r="S615"/>
  <c r="S295" s="1"/>
  <c r="S614"/>
  <c r="S294" s="1"/>
  <c r="S613"/>
  <c r="S293" s="1"/>
  <c r="S612"/>
  <c r="S292" s="1"/>
  <c r="S611"/>
  <c r="S291" s="1"/>
  <c r="S610"/>
  <c r="S290" s="1"/>
  <c r="S640"/>
  <c r="S314" s="1"/>
  <c r="S628"/>
  <c r="S627"/>
  <c r="S626"/>
  <c r="S625"/>
  <c r="S624"/>
  <c r="S623"/>
  <c r="S622"/>
  <c r="S621"/>
  <c r="S619"/>
  <c r="S584"/>
  <c r="S271" s="1"/>
  <c r="S583"/>
  <c r="S270" s="1"/>
  <c r="S582"/>
  <c r="S269" s="1"/>
  <c r="S581"/>
  <c r="S268" s="1"/>
  <c r="S580"/>
  <c r="S267" s="1"/>
  <c r="S579"/>
  <c r="S266" s="1"/>
  <c r="S609"/>
  <c r="S289" s="1"/>
  <c r="S608"/>
  <c r="S288" s="1"/>
  <c r="S607"/>
  <c r="S287" s="1"/>
  <c r="S596"/>
  <c r="S595"/>
  <c r="S594"/>
  <c r="S593"/>
  <c r="S592"/>
  <c r="S591"/>
  <c r="S590"/>
  <c r="S589"/>
  <c r="S587"/>
  <c r="S577"/>
  <c r="S264" s="1"/>
  <c r="S564"/>
  <c r="S62" s="1"/>
  <c r="S578"/>
  <c r="S265" s="1"/>
  <c r="S576"/>
  <c r="S263" s="1"/>
  <c r="S575"/>
  <c r="S480"/>
  <c r="S481" s="1"/>
  <c r="S474"/>
  <c r="S475" s="1"/>
  <c r="S378"/>
  <c r="S377"/>
  <c r="S376"/>
  <c r="S375"/>
  <c r="S374"/>
  <c r="S373"/>
  <c r="S391"/>
  <c r="S257"/>
  <c r="S244"/>
  <c r="S243"/>
  <c r="S242"/>
  <c r="S241"/>
  <c r="S240"/>
  <c r="S239"/>
  <c r="S40"/>
  <c r="S30"/>
  <c r="S26"/>
  <c r="S25"/>
  <c r="S23"/>
  <c r="S19"/>
  <c r="T2"/>
  <c r="R403"/>
  <c r="R401"/>
  <c r="R400"/>
  <c r="R404"/>
  <c r="R424"/>
  <c r="R428"/>
  <c r="R448"/>
  <c r="R452"/>
  <c r="R456"/>
  <c r="R425"/>
  <c r="R429"/>
  <c r="R449"/>
  <c r="R453"/>
  <c r="R457"/>
  <c r="R27"/>
  <c r="R585"/>
  <c r="R570" s="1"/>
  <c r="R68" s="1"/>
  <c r="R617"/>
  <c r="R602" s="1"/>
  <c r="R69" s="1"/>
  <c r="R649"/>
  <c r="R634" s="1"/>
  <c r="R70" s="1"/>
  <c r="R399"/>
  <c r="R258"/>
  <c r="R397"/>
  <c r="R405"/>
  <c r="R398"/>
  <c r="R402"/>
  <c r="R422"/>
  <c r="R426"/>
  <c r="R430"/>
  <c r="R450"/>
  <c r="R454"/>
  <c r="R392"/>
  <c r="R423"/>
  <c r="R427"/>
  <c r="R431"/>
  <c r="R451"/>
  <c r="R455"/>
  <c r="C151"/>
  <c r="B173" i="2"/>
  <c r="B159"/>
  <c r="L9" i="1"/>
  <c r="L28"/>
  <c r="L36" i="2"/>
  <c r="M36" s="1"/>
  <c r="N36" s="1"/>
  <c r="O36" s="1"/>
  <c r="P36" s="1"/>
  <c r="Q36" s="1"/>
  <c r="R36" s="1"/>
  <c r="B183"/>
  <c r="I78"/>
  <c r="J78"/>
  <c r="K78"/>
  <c r="L78"/>
  <c r="M78"/>
  <c r="N78"/>
  <c r="O78"/>
  <c r="P78"/>
  <c r="Q78"/>
  <c r="R78"/>
  <c r="S78"/>
  <c r="T78"/>
  <c r="U78"/>
  <c r="V78"/>
  <c r="W78"/>
  <c r="X78"/>
  <c r="Y78"/>
  <c r="Z78"/>
  <c r="AA78"/>
  <c r="AB78"/>
  <c r="AC78"/>
  <c r="AD78"/>
  <c r="AE78"/>
  <c r="AF78"/>
  <c r="AG78"/>
  <c r="AH78"/>
  <c r="AI78"/>
  <c r="AJ78"/>
  <c r="AK78"/>
  <c r="AL78"/>
  <c r="AM78"/>
  <c r="AN78"/>
  <c r="AO78"/>
  <c r="AP78"/>
  <c r="G78"/>
  <c r="H78"/>
  <c r="C78"/>
  <c r="D78"/>
  <c r="E78"/>
  <c r="F78"/>
  <c r="B68"/>
  <c r="B71" s="1"/>
  <c r="B63"/>
  <c r="A662"/>
  <c r="A663" s="1"/>
  <c r="A650"/>
  <c r="A651" s="1"/>
  <c r="A652" s="1"/>
  <c r="B645"/>
  <c r="C642" s="1"/>
  <c r="A635"/>
  <c r="B637"/>
  <c r="B639" s="1"/>
  <c r="C636" s="1"/>
  <c r="B369" i="7" l="1"/>
  <c r="C185" i="2"/>
  <c r="C186" s="1"/>
  <c r="C184" i="8"/>
  <c r="C185" s="1"/>
  <c r="C207" i="10"/>
  <c r="C208" s="1"/>
  <c r="S532" i="7"/>
  <c r="T530"/>
  <c r="T531"/>
  <c r="T519"/>
  <c r="T515"/>
  <c r="T511"/>
  <c r="T507"/>
  <c r="T558"/>
  <c r="T56" i="10"/>
  <c r="T85"/>
  <c r="T86" s="1"/>
  <c r="U629"/>
  <c r="U625"/>
  <c r="U621"/>
  <c r="U617"/>
  <c r="S590" i="8"/>
  <c r="S586"/>
  <c r="S582"/>
  <c r="S578"/>
  <c r="R179" i="10"/>
  <c r="R196" s="1"/>
  <c r="R75"/>
  <c r="S65"/>
  <c r="S68" s="1"/>
  <c r="S75" s="1"/>
  <c r="T58"/>
  <c r="T180"/>
  <c r="T197" s="1"/>
  <c r="T141"/>
  <c r="T153" s="1"/>
  <c r="T249"/>
  <c r="T221"/>
  <c r="S565" i="7"/>
  <c r="T562" s="1"/>
  <c r="T372" i="10"/>
  <c r="S640"/>
  <c r="T59"/>
  <c r="V11"/>
  <c r="U645"/>
  <c r="U181" s="1"/>
  <c r="U198" s="1"/>
  <c r="U41"/>
  <c r="U183" s="1"/>
  <c r="U200" s="1"/>
  <c r="S262" i="7"/>
  <c r="S396" s="1"/>
  <c r="T27" i="10"/>
  <c r="T666"/>
  <c r="T651" s="1"/>
  <c r="T637"/>
  <c r="T506"/>
  <c r="T510"/>
  <c r="T514"/>
  <c r="T534"/>
  <c r="T538"/>
  <c r="T558"/>
  <c r="T562"/>
  <c r="T566"/>
  <c r="T509"/>
  <c r="T513"/>
  <c r="T533"/>
  <c r="T537"/>
  <c r="T541"/>
  <c r="T561"/>
  <c r="T565"/>
  <c r="T698"/>
  <c r="T683" s="1"/>
  <c r="T66" s="1"/>
  <c r="T730"/>
  <c r="T715" s="1"/>
  <c r="T67" s="1"/>
  <c r="U741"/>
  <c r="U740"/>
  <c r="U739"/>
  <c r="U737"/>
  <c r="U736"/>
  <c r="U735"/>
  <c r="U734"/>
  <c r="U733"/>
  <c r="U729"/>
  <c r="U432" s="1"/>
  <c r="U728"/>
  <c r="U727"/>
  <c r="U430" s="1"/>
  <c r="U726"/>
  <c r="U429" s="1"/>
  <c r="U725"/>
  <c r="U428" s="1"/>
  <c r="U724"/>
  <c r="U427" s="1"/>
  <c r="U723"/>
  <c r="U426" s="1"/>
  <c r="U722"/>
  <c r="U425" s="1"/>
  <c r="U721"/>
  <c r="U424" s="1"/>
  <c r="U720"/>
  <c r="U423" s="1"/>
  <c r="U697"/>
  <c r="U406" s="1"/>
  <c r="U696"/>
  <c r="U405" s="1"/>
  <c r="U695"/>
  <c r="U404" s="1"/>
  <c r="U694"/>
  <c r="U403" s="1"/>
  <c r="U693"/>
  <c r="U402" s="1"/>
  <c r="U692"/>
  <c r="U401" s="1"/>
  <c r="U691"/>
  <c r="U400" s="1"/>
  <c r="U690"/>
  <c r="U399" s="1"/>
  <c r="U709"/>
  <c r="U708"/>
  <c r="U707"/>
  <c r="U706"/>
  <c r="U705"/>
  <c r="U704"/>
  <c r="U703"/>
  <c r="U702"/>
  <c r="U700"/>
  <c r="U665"/>
  <c r="U381" s="1"/>
  <c r="U664"/>
  <c r="U380" s="1"/>
  <c r="U663"/>
  <c r="U379" s="1"/>
  <c r="U662"/>
  <c r="U378" s="1"/>
  <c r="U661"/>
  <c r="U377" s="1"/>
  <c r="U660"/>
  <c r="U376" s="1"/>
  <c r="U659"/>
  <c r="U375" s="1"/>
  <c r="U689"/>
  <c r="U398" s="1"/>
  <c r="U688"/>
  <c r="U397" s="1"/>
  <c r="U677"/>
  <c r="U676"/>
  <c r="U675"/>
  <c r="U674"/>
  <c r="U673"/>
  <c r="U672"/>
  <c r="U671"/>
  <c r="U670"/>
  <c r="U668"/>
  <c r="U658"/>
  <c r="U374" s="1"/>
  <c r="U656"/>
  <c r="U590"/>
  <c r="U591" s="1"/>
  <c r="U584"/>
  <c r="U585" s="1"/>
  <c r="U657"/>
  <c r="U373" s="1"/>
  <c r="U639"/>
  <c r="U488"/>
  <c r="U487"/>
  <c r="U486"/>
  <c r="U485"/>
  <c r="U484"/>
  <c r="U483"/>
  <c r="U431"/>
  <c r="U367"/>
  <c r="U501"/>
  <c r="U354"/>
  <c r="U353"/>
  <c r="U352"/>
  <c r="U351"/>
  <c r="U350"/>
  <c r="U349"/>
  <c r="U30"/>
  <c r="U26"/>
  <c r="U25"/>
  <c r="U23"/>
  <c r="U19"/>
  <c r="U40"/>
  <c r="V2"/>
  <c r="T508"/>
  <c r="T512"/>
  <c r="T532"/>
  <c r="T536"/>
  <c r="T540"/>
  <c r="T560"/>
  <c r="T564"/>
  <c r="T502"/>
  <c r="T368"/>
  <c r="T507"/>
  <c r="T511"/>
  <c r="T515"/>
  <c r="T535"/>
  <c r="T539"/>
  <c r="T559"/>
  <c r="T563"/>
  <c r="T567"/>
  <c r="T11" i="8"/>
  <c r="R598"/>
  <c r="R601" s="1"/>
  <c r="Q63"/>
  <c r="R653"/>
  <c r="R638" s="1"/>
  <c r="R61" s="1"/>
  <c r="R621"/>
  <c r="R606" s="1"/>
  <c r="R60" s="1"/>
  <c r="R685"/>
  <c r="R670" s="1"/>
  <c r="R62" s="1"/>
  <c r="Q72"/>
  <c r="S696"/>
  <c r="S695"/>
  <c r="S694"/>
  <c r="S693"/>
  <c r="S691"/>
  <c r="S690"/>
  <c r="S689"/>
  <c r="S688"/>
  <c r="S684"/>
  <c r="S393" s="1"/>
  <c r="S683"/>
  <c r="S682"/>
  <c r="S391" s="1"/>
  <c r="S681"/>
  <c r="S390" s="1"/>
  <c r="S680"/>
  <c r="S389" s="1"/>
  <c r="S679"/>
  <c r="S388" s="1"/>
  <c r="S678"/>
  <c r="S387" s="1"/>
  <c r="S677"/>
  <c r="S386" s="1"/>
  <c r="S676"/>
  <c r="S385" s="1"/>
  <c r="S675"/>
  <c r="S384" s="1"/>
  <c r="S663"/>
  <c r="S661"/>
  <c r="S659"/>
  <c r="S652"/>
  <c r="S367" s="1"/>
  <c r="S651"/>
  <c r="S650"/>
  <c r="S365" s="1"/>
  <c r="S649"/>
  <c r="S364" s="1"/>
  <c r="S648"/>
  <c r="S363" s="1"/>
  <c r="S647"/>
  <c r="S362" s="1"/>
  <c r="S646"/>
  <c r="S361" s="1"/>
  <c r="S645"/>
  <c r="S360" s="1"/>
  <c r="S644"/>
  <c r="S359" s="1"/>
  <c r="S643"/>
  <c r="S358" s="1"/>
  <c r="S664"/>
  <c r="S662"/>
  <c r="S660"/>
  <c r="S658"/>
  <c r="S657"/>
  <c r="S655"/>
  <c r="S620"/>
  <c r="S342" s="1"/>
  <c r="S619"/>
  <c r="S341" s="1"/>
  <c r="S618"/>
  <c r="S340" s="1"/>
  <c r="S617"/>
  <c r="S339" s="1"/>
  <c r="S616"/>
  <c r="S338" s="1"/>
  <c r="S615"/>
  <c r="S337" s="1"/>
  <c r="S614"/>
  <c r="S336" s="1"/>
  <c r="S613"/>
  <c r="S335" s="1"/>
  <c r="S612"/>
  <c r="S334" s="1"/>
  <c r="S611"/>
  <c r="S333" s="1"/>
  <c r="S632"/>
  <c r="S631"/>
  <c r="S630"/>
  <c r="S629"/>
  <c r="S628"/>
  <c r="S627"/>
  <c r="S626"/>
  <c r="S625"/>
  <c r="S623"/>
  <c r="S600"/>
  <c r="S54" s="1"/>
  <c r="S551"/>
  <c r="S552" s="1"/>
  <c r="S545"/>
  <c r="S546" s="1"/>
  <c r="S449"/>
  <c r="S448"/>
  <c r="S447"/>
  <c r="S446"/>
  <c r="S445"/>
  <c r="S444"/>
  <c r="S392"/>
  <c r="S366"/>
  <c r="S462"/>
  <c r="S328"/>
  <c r="S315"/>
  <c r="S314"/>
  <c r="S313"/>
  <c r="S312"/>
  <c r="S311"/>
  <c r="S310"/>
  <c r="S30"/>
  <c r="S26"/>
  <c r="S25"/>
  <c r="S23"/>
  <c r="S19"/>
  <c r="S40"/>
  <c r="T2"/>
  <c r="R329"/>
  <c r="R468"/>
  <c r="R467"/>
  <c r="R471"/>
  <c r="R475"/>
  <c r="R495"/>
  <c r="R499"/>
  <c r="R519"/>
  <c r="R523"/>
  <c r="R527"/>
  <c r="R474"/>
  <c r="R494"/>
  <c r="R498"/>
  <c r="R502"/>
  <c r="R522"/>
  <c r="R526"/>
  <c r="C261"/>
  <c r="R27"/>
  <c r="R470"/>
  <c r="R469"/>
  <c r="R473"/>
  <c r="R493"/>
  <c r="R497"/>
  <c r="R501"/>
  <c r="R521"/>
  <c r="R525"/>
  <c r="R463"/>
  <c r="R472"/>
  <c r="R476"/>
  <c r="R496"/>
  <c r="R500"/>
  <c r="R520"/>
  <c r="R524"/>
  <c r="R528"/>
  <c r="C223"/>
  <c r="U11" i="7"/>
  <c r="T534"/>
  <c r="T527"/>
  <c r="T528" s="1"/>
  <c r="T660"/>
  <c r="T659"/>
  <c r="T658"/>
  <c r="T657"/>
  <c r="T655"/>
  <c r="T654"/>
  <c r="T653"/>
  <c r="T652"/>
  <c r="T648"/>
  <c r="T322" s="1"/>
  <c r="T647"/>
  <c r="T646"/>
  <c r="T320" s="1"/>
  <c r="T645"/>
  <c r="T319" s="1"/>
  <c r="T644"/>
  <c r="T318" s="1"/>
  <c r="T643"/>
  <c r="T317" s="1"/>
  <c r="T642"/>
  <c r="T316" s="1"/>
  <c r="T641"/>
  <c r="T315" s="1"/>
  <c r="T640"/>
  <c r="T314" s="1"/>
  <c r="T639"/>
  <c r="T313" s="1"/>
  <c r="T628"/>
  <c r="T627"/>
  <c r="T626"/>
  <c r="T625"/>
  <c r="T624"/>
  <c r="T623"/>
  <c r="T622"/>
  <c r="T621"/>
  <c r="T619"/>
  <c r="T616"/>
  <c r="T296" s="1"/>
  <c r="T615"/>
  <c r="T295" s="1"/>
  <c r="T614"/>
  <c r="T294" s="1"/>
  <c r="T613"/>
  <c r="T293" s="1"/>
  <c r="T612"/>
  <c r="T292" s="1"/>
  <c r="T611"/>
  <c r="T291" s="1"/>
  <c r="T610"/>
  <c r="T290" s="1"/>
  <c r="T609"/>
  <c r="T289" s="1"/>
  <c r="T608"/>
  <c r="T288" s="1"/>
  <c r="T607"/>
  <c r="T287" s="1"/>
  <c r="T596"/>
  <c r="T595"/>
  <c r="T594"/>
  <c r="T593"/>
  <c r="T592"/>
  <c r="T591"/>
  <c r="T590"/>
  <c r="T589"/>
  <c r="T587"/>
  <c r="T584"/>
  <c r="T271" s="1"/>
  <c r="T583"/>
  <c r="T270" s="1"/>
  <c r="T582"/>
  <c r="T269" s="1"/>
  <c r="T581"/>
  <c r="T268" s="1"/>
  <c r="T580"/>
  <c r="T267" s="1"/>
  <c r="T579"/>
  <c r="T266" s="1"/>
  <c r="T578"/>
  <c r="T265" s="1"/>
  <c r="T577"/>
  <c r="T264" s="1"/>
  <c r="T576"/>
  <c r="T263" s="1"/>
  <c r="T575"/>
  <c r="T480"/>
  <c r="T481" s="1"/>
  <c r="T474"/>
  <c r="T475" s="1"/>
  <c r="T564"/>
  <c r="T62" s="1"/>
  <c r="T391"/>
  <c r="T378"/>
  <c r="T377"/>
  <c r="T376"/>
  <c r="T375"/>
  <c r="T374"/>
  <c r="T373"/>
  <c r="T321"/>
  <c r="T244"/>
  <c r="T243"/>
  <c r="T242"/>
  <c r="T241"/>
  <c r="T240"/>
  <c r="T239"/>
  <c r="T257"/>
  <c r="T30"/>
  <c r="T26"/>
  <c r="T25"/>
  <c r="T23"/>
  <c r="T19"/>
  <c r="T40"/>
  <c r="U2"/>
  <c r="S258"/>
  <c r="S398"/>
  <c r="S400"/>
  <c r="S397"/>
  <c r="S401"/>
  <c r="S405"/>
  <c r="S425"/>
  <c r="S429"/>
  <c r="S449"/>
  <c r="S453"/>
  <c r="S457"/>
  <c r="S422"/>
  <c r="S426"/>
  <c r="S430"/>
  <c r="S450"/>
  <c r="S454"/>
  <c r="S392"/>
  <c r="R71"/>
  <c r="S27"/>
  <c r="S585"/>
  <c r="S570" s="1"/>
  <c r="S68" s="1"/>
  <c r="S617"/>
  <c r="S602" s="1"/>
  <c r="S69" s="1"/>
  <c r="S402"/>
  <c r="S404"/>
  <c r="S399"/>
  <c r="S403"/>
  <c r="S423"/>
  <c r="S427"/>
  <c r="S431"/>
  <c r="S451"/>
  <c r="S455"/>
  <c r="S424"/>
  <c r="S428"/>
  <c r="S448"/>
  <c r="S452"/>
  <c r="S456"/>
  <c r="S649"/>
  <c r="S634" s="1"/>
  <c r="S70" s="1"/>
  <c r="L10" i="1"/>
  <c r="L29"/>
  <c r="S36" i="2"/>
  <c r="T36" s="1"/>
  <c r="U36" s="1"/>
  <c r="V36" s="1"/>
  <c r="W36" s="1"/>
  <c r="X36" s="1"/>
  <c r="B62"/>
  <c r="A664"/>
  <c r="A653"/>
  <c r="C187" l="1"/>
  <c r="C186" i="8"/>
  <c r="C209" i="10"/>
  <c r="T262" i="7"/>
  <c r="T396" s="1"/>
  <c r="T532"/>
  <c r="U530"/>
  <c r="U531"/>
  <c r="U519"/>
  <c r="U515"/>
  <c r="U511"/>
  <c r="U507"/>
  <c r="U558"/>
  <c r="U372" i="10"/>
  <c r="U506" s="1"/>
  <c r="T565" i="7"/>
  <c r="U562" s="1"/>
  <c r="U56" i="10"/>
  <c r="U85"/>
  <c r="U86" s="1"/>
  <c r="V629"/>
  <c r="V625"/>
  <c r="V621"/>
  <c r="V617"/>
  <c r="T578" i="8"/>
  <c r="T590"/>
  <c r="T586"/>
  <c r="T582"/>
  <c r="T65" i="10"/>
  <c r="T68" s="1"/>
  <c r="T75" s="1"/>
  <c r="S179"/>
  <c r="S196" s="1"/>
  <c r="U58"/>
  <c r="U180"/>
  <c r="U197" s="1"/>
  <c r="U141"/>
  <c r="U153" s="1"/>
  <c r="U249"/>
  <c r="U221"/>
  <c r="T640"/>
  <c r="U637" s="1"/>
  <c r="U59"/>
  <c r="W11"/>
  <c r="V645"/>
  <c r="V181" s="1"/>
  <c r="V198" s="1"/>
  <c r="V41"/>
  <c r="V183" s="1"/>
  <c r="V200" s="1"/>
  <c r="U730"/>
  <c r="U715" s="1"/>
  <c r="U67" s="1"/>
  <c r="U368"/>
  <c r="U507"/>
  <c r="U511"/>
  <c r="U515"/>
  <c r="U535"/>
  <c r="U539"/>
  <c r="U559"/>
  <c r="U563"/>
  <c r="U567"/>
  <c r="U508"/>
  <c r="U512"/>
  <c r="U532"/>
  <c r="U536"/>
  <c r="U540"/>
  <c r="U560"/>
  <c r="U564"/>
  <c r="U502"/>
  <c r="U27"/>
  <c r="U666"/>
  <c r="U651" s="1"/>
  <c r="U698"/>
  <c r="U683" s="1"/>
  <c r="U66" s="1"/>
  <c r="V741"/>
  <c r="V740"/>
  <c r="V739"/>
  <c r="V737"/>
  <c r="V736"/>
  <c r="V735"/>
  <c r="V734"/>
  <c r="V733"/>
  <c r="V729"/>
  <c r="V728"/>
  <c r="V431" s="1"/>
  <c r="V727"/>
  <c r="V430" s="1"/>
  <c r="V726"/>
  <c r="V429" s="1"/>
  <c r="V725"/>
  <c r="V428" s="1"/>
  <c r="V724"/>
  <c r="V427" s="1"/>
  <c r="V723"/>
  <c r="V426" s="1"/>
  <c r="V722"/>
  <c r="V425" s="1"/>
  <c r="V721"/>
  <c r="V424" s="1"/>
  <c r="V720"/>
  <c r="V423" s="1"/>
  <c r="V709"/>
  <c r="V708"/>
  <c r="V707"/>
  <c r="V706"/>
  <c r="V705"/>
  <c r="V704"/>
  <c r="V703"/>
  <c r="V702"/>
  <c r="V700"/>
  <c r="V697"/>
  <c r="V406" s="1"/>
  <c r="V696"/>
  <c r="V405" s="1"/>
  <c r="V695"/>
  <c r="V694"/>
  <c r="V403" s="1"/>
  <c r="V693"/>
  <c r="V402" s="1"/>
  <c r="V692"/>
  <c r="V401" s="1"/>
  <c r="V691"/>
  <c r="V400" s="1"/>
  <c r="V690"/>
  <c r="V399" s="1"/>
  <c r="V689"/>
  <c r="V398" s="1"/>
  <c r="V688"/>
  <c r="V397" s="1"/>
  <c r="V677"/>
  <c r="V676"/>
  <c r="V675"/>
  <c r="V674"/>
  <c r="V673"/>
  <c r="V672"/>
  <c r="V671"/>
  <c r="V670"/>
  <c r="V668"/>
  <c r="V665"/>
  <c r="V381" s="1"/>
  <c r="V664"/>
  <c r="V380" s="1"/>
  <c r="V663"/>
  <c r="V379" s="1"/>
  <c r="V662"/>
  <c r="V378" s="1"/>
  <c r="V661"/>
  <c r="V377" s="1"/>
  <c r="V660"/>
  <c r="V376" s="1"/>
  <c r="V659"/>
  <c r="V375" s="1"/>
  <c r="V658"/>
  <c r="V374" s="1"/>
  <c r="V657"/>
  <c r="V373" s="1"/>
  <c r="V639"/>
  <c r="V656"/>
  <c r="V590"/>
  <c r="V591" s="1"/>
  <c r="V584"/>
  <c r="V585" s="1"/>
  <c r="V501"/>
  <c r="V432"/>
  <c r="V404"/>
  <c r="V354"/>
  <c r="V353"/>
  <c r="V352"/>
  <c r="V351"/>
  <c r="V350"/>
  <c r="V349"/>
  <c r="V488"/>
  <c r="V487"/>
  <c r="V486"/>
  <c r="V485"/>
  <c r="V484"/>
  <c r="V483"/>
  <c r="V367"/>
  <c r="V40"/>
  <c r="W2"/>
  <c r="V30"/>
  <c r="V26"/>
  <c r="V25"/>
  <c r="V23"/>
  <c r="V19"/>
  <c r="U509"/>
  <c r="U513"/>
  <c r="U533"/>
  <c r="U537"/>
  <c r="U541"/>
  <c r="U561"/>
  <c r="U565"/>
  <c r="U510"/>
  <c r="U514"/>
  <c r="U534"/>
  <c r="U538"/>
  <c r="U558"/>
  <c r="U562"/>
  <c r="U566"/>
  <c r="U11" i="8"/>
  <c r="S598"/>
  <c r="S601" s="1"/>
  <c r="S653"/>
  <c r="S638" s="1"/>
  <c r="S61" s="1"/>
  <c r="S685"/>
  <c r="S670" s="1"/>
  <c r="S62" s="1"/>
  <c r="R63"/>
  <c r="R72"/>
  <c r="T696"/>
  <c r="T695"/>
  <c r="T694"/>
  <c r="T693"/>
  <c r="T691"/>
  <c r="T690"/>
  <c r="T689"/>
  <c r="T688"/>
  <c r="T684"/>
  <c r="T683"/>
  <c r="T392" s="1"/>
  <c r="T682"/>
  <c r="T391" s="1"/>
  <c r="T681"/>
  <c r="T390" s="1"/>
  <c r="T680"/>
  <c r="T389" s="1"/>
  <c r="T679"/>
  <c r="T388" s="1"/>
  <c r="T678"/>
  <c r="T387" s="1"/>
  <c r="T677"/>
  <c r="T386" s="1"/>
  <c r="T676"/>
  <c r="T385" s="1"/>
  <c r="T675"/>
  <c r="T664"/>
  <c r="T663"/>
  <c r="T662"/>
  <c r="T661"/>
  <c r="T660"/>
  <c r="T659"/>
  <c r="T658"/>
  <c r="T657"/>
  <c r="T655"/>
  <c r="T652"/>
  <c r="T367" s="1"/>
  <c r="T651"/>
  <c r="T366" s="1"/>
  <c r="T650"/>
  <c r="T365" s="1"/>
  <c r="T649"/>
  <c r="T364" s="1"/>
  <c r="T648"/>
  <c r="T363" s="1"/>
  <c r="T647"/>
  <c r="T362" s="1"/>
  <c r="T646"/>
  <c r="T361" s="1"/>
  <c r="T645"/>
  <c r="T360" s="1"/>
  <c r="T644"/>
  <c r="T359" s="1"/>
  <c r="T643"/>
  <c r="T358" s="1"/>
  <c r="T632"/>
  <c r="T631"/>
  <c r="T630"/>
  <c r="T629"/>
  <c r="T628"/>
  <c r="T627"/>
  <c r="T626"/>
  <c r="T625"/>
  <c r="T623"/>
  <c r="T620"/>
  <c r="T342" s="1"/>
  <c r="T619"/>
  <c r="T341" s="1"/>
  <c r="T618"/>
  <c r="T340" s="1"/>
  <c r="T617"/>
  <c r="T339" s="1"/>
  <c r="T616"/>
  <c r="T338" s="1"/>
  <c r="T615"/>
  <c r="T337" s="1"/>
  <c r="T614"/>
  <c r="T336" s="1"/>
  <c r="T613"/>
  <c r="T335" s="1"/>
  <c r="T612"/>
  <c r="T334" s="1"/>
  <c r="T611"/>
  <c r="T333" s="1"/>
  <c r="T551"/>
  <c r="T552" s="1"/>
  <c r="T545"/>
  <c r="T546" s="1"/>
  <c r="T600"/>
  <c r="T54" s="1"/>
  <c r="T462"/>
  <c r="T393"/>
  <c r="T449"/>
  <c r="T448"/>
  <c r="T447"/>
  <c r="T446"/>
  <c r="T445"/>
  <c r="T444"/>
  <c r="T384"/>
  <c r="T328"/>
  <c r="T315"/>
  <c r="T314"/>
  <c r="T313"/>
  <c r="T312"/>
  <c r="T311"/>
  <c r="T310"/>
  <c r="T40"/>
  <c r="U2"/>
  <c r="T30"/>
  <c r="T26"/>
  <c r="T25"/>
  <c r="T23"/>
  <c r="T19"/>
  <c r="S329"/>
  <c r="S469"/>
  <c r="S467"/>
  <c r="S470"/>
  <c r="S474"/>
  <c r="S494"/>
  <c r="S498"/>
  <c r="S502"/>
  <c r="S522"/>
  <c r="S526"/>
  <c r="S473"/>
  <c r="S493"/>
  <c r="S497"/>
  <c r="S501"/>
  <c r="S521"/>
  <c r="S525"/>
  <c r="S463"/>
  <c r="S27"/>
  <c r="S621"/>
  <c r="S606" s="1"/>
  <c r="S60" s="1"/>
  <c r="S468"/>
  <c r="S472"/>
  <c r="S476"/>
  <c r="S496"/>
  <c r="S500"/>
  <c r="S520"/>
  <c r="S524"/>
  <c r="S528"/>
  <c r="S471"/>
  <c r="S475"/>
  <c r="S495"/>
  <c r="S499"/>
  <c r="S519"/>
  <c r="S523"/>
  <c r="S527"/>
  <c r="B186"/>
  <c r="T649" i="7"/>
  <c r="T634" s="1"/>
  <c r="T70" s="1"/>
  <c r="U534"/>
  <c r="U527"/>
  <c r="U528" s="1"/>
  <c r="V11"/>
  <c r="U660"/>
  <c r="U659"/>
  <c r="U658"/>
  <c r="U656"/>
  <c r="U655"/>
  <c r="U654"/>
  <c r="U653"/>
  <c r="U652"/>
  <c r="U648"/>
  <c r="U322" s="1"/>
  <c r="U647"/>
  <c r="U646"/>
  <c r="U320" s="1"/>
  <c r="U645"/>
  <c r="U319" s="1"/>
  <c r="U644"/>
  <c r="U318" s="1"/>
  <c r="U643"/>
  <c r="U317" s="1"/>
  <c r="U642"/>
  <c r="U316" s="1"/>
  <c r="U641"/>
  <c r="U315" s="1"/>
  <c r="U640"/>
  <c r="U616"/>
  <c r="U296" s="1"/>
  <c r="U615"/>
  <c r="U295" s="1"/>
  <c r="U614"/>
  <c r="U294" s="1"/>
  <c r="U613"/>
  <c r="U293" s="1"/>
  <c r="U612"/>
  <c r="U292" s="1"/>
  <c r="U611"/>
  <c r="U291" s="1"/>
  <c r="U610"/>
  <c r="U290" s="1"/>
  <c r="U639"/>
  <c r="U313" s="1"/>
  <c r="U628"/>
  <c r="U627"/>
  <c r="U626"/>
  <c r="U625"/>
  <c r="U624"/>
  <c r="U623"/>
  <c r="U622"/>
  <c r="U621"/>
  <c r="U619"/>
  <c r="U609"/>
  <c r="U289" s="1"/>
  <c r="U584"/>
  <c r="U271" s="1"/>
  <c r="U583"/>
  <c r="U270" s="1"/>
  <c r="U582"/>
  <c r="U269" s="1"/>
  <c r="U581"/>
  <c r="U268" s="1"/>
  <c r="U580"/>
  <c r="U267" s="1"/>
  <c r="U579"/>
  <c r="U266" s="1"/>
  <c r="U608"/>
  <c r="U288" s="1"/>
  <c r="U607"/>
  <c r="U287" s="1"/>
  <c r="U596"/>
  <c r="U595"/>
  <c r="U594"/>
  <c r="U593"/>
  <c r="U592"/>
  <c r="U591"/>
  <c r="U590"/>
  <c r="U589"/>
  <c r="U587"/>
  <c r="U578"/>
  <c r="U265" s="1"/>
  <c r="U564"/>
  <c r="U62" s="1"/>
  <c r="U577"/>
  <c r="U264" s="1"/>
  <c r="U576"/>
  <c r="U263" s="1"/>
  <c r="U575"/>
  <c r="U480"/>
  <c r="U481" s="1"/>
  <c r="U474"/>
  <c r="U475" s="1"/>
  <c r="U378"/>
  <c r="U377"/>
  <c r="U376"/>
  <c r="U375"/>
  <c r="U374"/>
  <c r="U373"/>
  <c r="U321"/>
  <c r="U391"/>
  <c r="U314"/>
  <c r="U257"/>
  <c r="U244"/>
  <c r="U243"/>
  <c r="U242"/>
  <c r="U241"/>
  <c r="U240"/>
  <c r="U239"/>
  <c r="U40"/>
  <c r="V2"/>
  <c r="U30"/>
  <c r="U26"/>
  <c r="U25"/>
  <c r="U23"/>
  <c r="U19"/>
  <c r="T401"/>
  <c r="T258"/>
  <c r="T399"/>
  <c r="T400"/>
  <c r="T404"/>
  <c r="T424"/>
  <c r="T428"/>
  <c r="T448"/>
  <c r="T452"/>
  <c r="T456"/>
  <c r="T425"/>
  <c r="T429"/>
  <c r="T449"/>
  <c r="T453"/>
  <c r="T457"/>
  <c r="T27"/>
  <c r="T585"/>
  <c r="T570" s="1"/>
  <c r="T68" s="1"/>
  <c r="T617"/>
  <c r="T602" s="1"/>
  <c r="T69" s="1"/>
  <c r="T397"/>
  <c r="T405"/>
  <c r="T403"/>
  <c r="T398"/>
  <c r="T402"/>
  <c r="T422"/>
  <c r="T426"/>
  <c r="T430"/>
  <c r="T450"/>
  <c r="T454"/>
  <c r="T392"/>
  <c r="T423"/>
  <c r="T427"/>
  <c r="T431"/>
  <c r="T451"/>
  <c r="T455"/>
  <c r="S71"/>
  <c r="B187" i="2"/>
  <c r="L11" i="1"/>
  <c r="L30"/>
  <c r="Y36" i="2"/>
  <c r="Z36" s="1"/>
  <c r="AA36" s="1"/>
  <c r="AB36" s="1"/>
  <c r="AC36" s="1"/>
  <c r="AD36" s="1"/>
  <c r="AE36" s="1"/>
  <c r="AF36" s="1"/>
  <c r="A665"/>
  <c r="A654"/>
  <c r="A655" s="1"/>
  <c r="A656" s="1"/>
  <c r="A657" s="1"/>
  <c r="A658" s="1"/>
  <c r="U565" i="7" l="1"/>
  <c r="V562" s="1"/>
  <c r="U262"/>
  <c r="U532"/>
  <c r="V530"/>
  <c r="V531"/>
  <c r="V519"/>
  <c r="V515"/>
  <c r="V511"/>
  <c r="V507"/>
  <c r="V557"/>
  <c r="S63" i="8"/>
  <c r="V56" i="10"/>
  <c r="V85"/>
  <c r="V86" s="1"/>
  <c r="W629"/>
  <c r="W625"/>
  <c r="W621"/>
  <c r="W617"/>
  <c r="U590" i="8"/>
  <c r="U586"/>
  <c r="U582"/>
  <c r="U578"/>
  <c r="U65" i="10"/>
  <c r="U68" s="1"/>
  <c r="U75" s="1"/>
  <c r="T179"/>
  <c r="T196" s="1"/>
  <c r="V58"/>
  <c r="V180"/>
  <c r="V197" s="1"/>
  <c r="V141"/>
  <c r="V153" s="1"/>
  <c r="V249"/>
  <c r="V221"/>
  <c r="U640"/>
  <c r="V637" s="1"/>
  <c r="V59"/>
  <c r="X11"/>
  <c r="W645"/>
  <c r="W181" s="1"/>
  <c r="W198" s="1"/>
  <c r="W41"/>
  <c r="W183" s="1"/>
  <c r="W200" s="1"/>
  <c r="V666"/>
  <c r="V651" s="1"/>
  <c r="V509"/>
  <c r="V513"/>
  <c r="V533"/>
  <c r="V537"/>
  <c r="V541"/>
  <c r="W741"/>
  <c r="W740"/>
  <c r="W739"/>
  <c r="W737"/>
  <c r="W736"/>
  <c r="W735"/>
  <c r="W734"/>
  <c r="W729"/>
  <c r="W432" s="1"/>
  <c r="W728"/>
  <c r="W431" s="1"/>
  <c r="W727"/>
  <c r="W430" s="1"/>
  <c r="W726"/>
  <c r="W429" s="1"/>
  <c r="W725"/>
  <c r="W428" s="1"/>
  <c r="W724"/>
  <c r="W427" s="1"/>
  <c r="W723"/>
  <c r="W426" s="1"/>
  <c r="W722"/>
  <c r="W425" s="1"/>
  <c r="W721"/>
  <c r="W424" s="1"/>
  <c r="W732"/>
  <c r="W697"/>
  <c r="W406" s="1"/>
  <c r="W696"/>
  <c r="W405" s="1"/>
  <c r="W695"/>
  <c r="W404" s="1"/>
  <c r="W694"/>
  <c r="W403" s="1"/>
  <c r="W693"/>
  <c r="W402" s="1"/>
  <c r="W692"/>
  <c r="W401" s="1"/>
  <c r="W691"/>
  <c r="W400" s="1"/>
  <c r="W690"/>
  <c r="W399" s="1"/>
  <c r="W720"/>
  <c r="W423" s="1"/>
  <c r="W709"/>
  <c r="W708"/>
  <c r="W707"/>
  <c r="W706"/>
  <c r="W705"/>
  <c r="W704"/>
  <c r="W703"/>
  <c r="W702"/>
  <c r="W700"/>
  <c r="W665"/>
  <c r="W664"/>
  <c r="W380" s="1"/>
  <c r="W663"/>
  <c r="W379" s="1"/>
  <c r="W662"/>
  <c r="W378" s="1"/>
  <c r="W661"/>
  <c r="W377" s="1"/>
  <c r="W660"/>
  <c r="W376" s="1"/>
  <c r="W659"/>
  <c r="W375" s="1"/>
  <c r="W689"/>
  <c r="W398" s="1"/>
  <c r="W688"/>
  <c r="W397" s="1"/>
  <c r="W677"/>
  <c r="W676"/>
  <c r="W675"/>
  <c r="W674"/>
  <c r="W673"/>
  <c r="W672"/>
  <c r="W671"/>
  <c r="W670"/>
  <c r="W668"/>
  <c r="W657"/>
  <c r="W373" s="1"/>
  <c r="W656"/>
  <c r="W590"/>
  <c r="W591" s="1"/>
  <c r="W584"/>
  <c r="W585" s="1"/>
  <c r="W658"/>
  <c r="W374" s="1"/>
  <c r="W639"/>
  <c r="W488"/>
  <c r="W487"/>
  <c r="W486"/>
  <c r="W485"/>
  <c r="W484"/>
  <c r="W483"/>
  <c r="W367"/>
  <c r="W501"/>
  <c r="W381"/>
  <c r="W354"/>
  <c r="W353"/>
  <c r="W352"/>
  <c r="W351"/>
  <c r="W350"/>
  <c r="W349"/>
  <c r="W30"/>
  <c r="W26"/>
  <c r="W25"/>
  <c r="W23"/>
  <c r="W19"/>
  <c r="W40"/>
  <c r="X2"/>
  <c r="V510"/>
  <c r="V514"/>
  <c r="V534"/>
  <c r="V538"/>
  <c r="V558"/>
  <c r="V562"/>
  <c r="V566"/>
  <c r="V561"/>
  <c r="V565"/>
  <c r="V27"/>
  <c r="V372"/>
  <c r="V698"/>
  <c r="V683" s="1"/>
  <c r="V66" s="1"/>
  <c r="V730"/>
  <c r="V715" s="1"/>
  <c r="V67" s="1"/>
  <c r="V508"/>
  <c r="V512"/>
  <c r="V532"/>
  <c r="V536"/>
  <c r="V540"/>
  <c r="V560"/>
  <c r="V564"/>
  <c r="V502"/>
  <c r="V368"/>
  <c r="V507"/>
  <c r="V511"/>
  <c r="V515"/>
  <c r="V535"/>
  <c r="V539"/>
  <c r="V559"/>
  <c r="V563"/>
  <c r="V567"/>
  <c r="V11" i="8"/>
  <c r="T598"/>
  <c r="T601" s="1"/>
  <c r="T621"/>
  <c r="T606" s="1"/>
  <c r="T60" s="1"/>
  <c r="T685"/>
  <c r="T670" s="1"/>
  <c r="T62" s="1"/>
  <c r="T653"/>
  <c r="T638" s="1"/>
  <c r="T61" s="1"/>
  <c r="S72"/>
  <c r="U696"/>
  <c r="U695"/>
  <c r="U694"/>
  <c r="U692"/>
  <c r="U691"/>
  <c r="U690"/>
  <c r="U689"/>
  <c r="U688"/>
  <c r="U684"/>
  <c r="U393" s="1"/>
  <c r="U683"/>
  <c r="U682"/>
  <c r="U391" s="1"/>
  <c r="U681"/>
  <c r="U390" s="1"/>
  <c r="U680"/>
  <c r="U389" s="1"/>
  <c r="U679"/>
  <c r="U388" s="1"/>
  <c r="U678"/>
  <c r="U387" s="1"/>
  <c r="U677"/>
  <c r="U386" s="1"/>
  <c r="U676"/>
  <c r="U385" s="1"/>
  <c r="U675"/>
  <c r="U384" s="1"/>
  <c r="U664"/>
  <c r="U662"/>
  <c r="U660"/>
  <c r="U658"/>
  <c r="U652"/>
  <c r="U367" s="1"/>
  <c r="U651"/>
  <c r="U366" s="1"/>
  <c r="U650"/>
  <c r="U365" s="1"/>
  <c r="U649"/>
  <c r="U364" s="1"/>
  <c r="U648"/>
  <c r="U363" s="1"/>
  <c r="U647"/>
  <c r="U362" s="1"/>
  <c r="U646"/>
  <c r="U361" s="1"/>
  <c r="U645"/>
  <c r="U360" s="1"/>
  <c r="U644"/>
  <c r="U359" s="1"/>
  <c r="U643"/>
  <c r="U358" s="1"/>
  <c r="U663"/>
  <c r="U661"/>
  <c r="U659"/>
  <c r="U657"/>
  <c r="U655"/>
  <c r="U620"/>
  <c r="U342" s="1"/>
  <c r="U619"/>
  <c r="U341" s="1"/>
  <c r="U618"/>
  <c r="U340" s="1"/>
  <c r="U617"/>
  <c r="U339" s="1"/>
  <c r="U616"/>
  <c r="U338" s="1"/>
  <c r="U615"/>
  <c r="U337" s="1"/>
  <c r="U614"/>
  <c r="U336" s="1"/>
  <c r="U613"/>
  <c r="U335" s="1"/>
  <c r="U612"/>
  <c r="U334" s="1"/>
  <c r="U611"/>
  <c r="U333" s="1"/>
  <c r="U632"/>
  <c r="U631"/>
  <c r="U630"/>
  <c r="U629"/>
  <c r="U628"/>
  <c r="U627"/>
  <c r="U626"/>
  <c r="U625"/>
  <c r="U623"/>
  <c r="U600"/>
  <c r="U54" s="1"/>
  <c r="U551"/>
  <c r="U552" s="1"/>
  <c r="U545"/>
  <c r="U546" s="1"/>
  <c r="U449"/>
  <c r="U448"/>
  <c r="U447"/>
  <c r="U446"/>
  <c r="U445"/>
  <c r="U444"/>
  <c r="U392"/>
  <c r="U462"/>
  <c r="U328"/>
  <c r="U315"/>
  <c r="U314"/>
  <c r="U313"/>
  <c r="U312"/>
  <c r="U311"/>
  <c r="U310"/>
  <c r="U30"/>
  <c r="U26"/>
  <c r="U25"/>
  <c r="U23"/>
  <c r="U19"/>
  <c r="U40"/>
  <c r="V2"/>
  <c r="T329"/>
  <c r="T470"/>
  <c r="T467"/>
  <c r="T471"/>
  <c r="T475"/>
  <c r="T495"/>
  <c r="T499"/>
  <c r="T519"/>
  <c r="T523"/>
  <c r="T527"/>
  <c r="T474"/>
  <c r="T494"/>
  <c r="T498"/>
  <c r="T502"/>
  <c r="T522"/>
  <c r="T526"/>
  <c r="T27"/>
  <c r="T468"/>
  <c r="T469"/>
  <c r="T473"/>
  <c r="T493"/>
  <c r="T497"/>
  <c r="T501"/>
  <c r="T521"/>
  <c r="T525"/>
  <c r="T463"/>
  <c r="T472"/>
  <c r="T476"/>
  <c r="T496"/>
  <c r="T500"/>
  <c r="T520"/>
  <c r="T524"/>
  <c r="T528"/>
  <c r="U649" i="7"/>
  <c r="U634" s="1"/>
  <c r="U70" s="1"/>
  <c r="W11"/>
  <c r="V534"/>
  <c r="V527"/>
  <c r="V528" s="1"/>
  <c r="V660"/>
  <c r="V659"/>
  <c r="V658"/>
  <c r="V656"/>
  <c r="V655"/>
  <c r="V654"/>
  <c r="V653"/>
  <c r="V652"/>
  <c r="V648"/>
  <c r="V647"/>
  <c r="V646"/>
  <c r="V320" s="1"/>
  <c r="V645"/>
  <c r="V319" s="1"/>
  <c r="V644"/>
  <c r="V318" s="1"/>
  <c r="V643"/>
  <c r="V317" s="1"/>
  <c r="V642"/>
  <c r="V316" s="1"/>
  <c r="V641"/>
  <c r="V315" s="1"/>
  <c r="V640"/>
  <c r="V314" s="1"/>
  <c r="V639"/>
  <c r="V628"/>
  <c r="V627"/>
  <c r="V626"/>
  <c r="V625"/>
  <c r="V624"/>
  <c r="V623"/>
  <c r="V622"/>
  <c r="V621"/>
  <c r="V619"/>
  <c r="V616"/>
  <c r="V296" s="1"/>
  <c r="V615"/>
  <c r="V295" s="1"/>
  <c r="V614"/>
  <c r="V294" s="1"/>
  <c r="V613"/>
  <c r="V293" s="1"/>
  <c r="V612"/>
  <c r="V292" s="1"/>
  <c r="V611"/>
  <c r="V291" s="1"/>
  <c r="V610"/>
  <c r="V290" s="1"/>
  <c r="V609"/>
  <c r="V289" s="1"/>
  <c r="V608"/>
  <c r="V288" s="1"/>
  <c r="V607"/>
  <c r="V287" s="1"/>
  <c r="V596"/>
  <c r="V595"/>
  <c r="V594"/>
  <c r="V593"/>
  <c r="V592"/>
  <c r="V591"/>
  <c r="V590"/>
  <c r="V589"/>
  <c r="V587"/>
  <c r="V584"/>
  <c r="V271" s="1"/>
  <c r="V583"/>
  <c r="V270" s="1"/>
  <c r="V582"/>
  <c r="V269" s="1"/>
  <c r="V581"/>
  <c r="V268" s="1"/>
  <c r="V580"/>
  <c r="V267" s="1"/>
  <c r="V579"/>
  <c r="V266" s="1"/>
  <c r="V578"/>
  <c r="V265" s="1"/>
  <c r="V577"/>
  <c r="V264" s="1"/>
  <c r="V576"/>
  <c r="V263" s="1"/>
  <c r="V575"/>
  <c r="V480"/>
  <c r="V481" s="1"/>
  <c r="V474"/>
  <c r="V475" s="1"/>
  <c r="V564"/>
  <c r="V62" s="1"/>
  <c r="V391"/>
  <c r="V322"/>
  <c r="V378"/>
  <c r="V377"/>
  <c r="V376"/>
  <c r="V375"/>
  <c r="V374"/>
  <c r="V373"/>
  <c r="V321"/>
  <c r="V313"/>
  <c r="V244"/>
  <c r="V243"/>
  <c r="V242"/>
  <c r="V241"/>
  <c r="V240"/>
  <c r="V239"/>
  <c r="V257"/>
  <c r="V30"/>
  <c r="V26"/>
  <c r="V25"/>
  <c r="V23"/>
  <c r="V19"/>
  <c r="V40"/>
  <c r="W2"/>
  <c r="U258"/>
  <c r="U396"/>
  <c r="U404"/>
  <c r="U398"/>
  <c r="U397"/>
  <c r="U401"/>
  <c r="U405"/>
  <c r="U425"/>
  <c r="U429"/>
  <c r="U449"/>
  <c r="U453"/>
  <c r="U457"/>
  <c r="U422"/>
  <c r="U426"/>
  <c r="U430"/>
  <c r="U450"/>
  <c r="U454"/>
  <c r="U392"/>
  <c r="T71"/>
  <c r="U27"/>
  <c r="U585"/>
  <c r="U570" s="1"/>
  <c r="U68" s="1"/>
  <c r="U617"/>
  <c r="U602" s="1"/>
  <c r="U69" s="1"/>
  <c r="U400"/>
  <c r="U402"/>
  <c r="U399"/>
  <c r="U403"/>
  <c r="U423"/>
  <c r="U427"/>
  <c r="U431"/>
  <c r="U451"/>
  <c r="U455"/>
  <c r="U424"/>
  <c r="U428"/>
  <c r="U448"/>
  <c r="U452"/>
  <c r="U456"/>
  <c r="L12" i="1"/>
  <c r="L31"/>
  <c r="AG36" i="2"/>
  <c r="A666"/>
  <c r="V532" i="7" l="1"/>
  <c r="W530"/>
  <c r="W531"/>
  <c r="W519"/>
  <c r="W515"/>
  <c r="W511"/>
  <c r="W507"/>
  <c r="W559"/>
  <c r="W558"/>
  <c r="W557"/>
  <c r="W56" i="10"/>
  <c r="W85"/>
  <c r="W86" s="1"/>
  <c r="X629"/>
  <c r="X625"/>
  <c r="X621"/>
  <c r="X617"/>
  <c r="V578" i="8"/>
  <c r="V590"/>
  <c r="V586"/>
  <c r="V582"/>
  <c r="V65" i="10"/>
  <c r="V68" s="1"/>
  <c r="V75" s="1"/>
  <c r="U179"/>
  <c r="U196" s="1"/>
  <c r="W58"/>
  <c r="W180"/>
  <c r="W197" s="1"/>
  <c r="W141"/>
  <c r="W153" s="1"/>
  <c r="W249"/>
  <c r="W221"/>
  <c r="V640"/>
  <c r="W637" s="1"/>
  <c r="W59"/>
  <c r="W730"/>
  <c r="W715" s="1"/>
  <c r="W67" s="1"/>
  <c r="Y11"/>
  <c r="X645"/>
  <c r="X181" s="1"/>
  <c r="X198" s="1"/>
  <c r="X41"/>
  <c r="X183" s="1"/>
  <c r="X200" s="1"/>
  <c r="V506"/>
  <c r="W368"/>
  <c r="W507"/>
  <c r="W511"/>
  <c r="W515"/>
  <c r="W535"/>
  <c r="W539"/>
  <c r="W559"/>
  <c r="W563"/>
  <c r="W567"/>
  <c r="W508"/>
  <c r="W512"/>
  <c r="W532"/>
  <c r="W536"/>
  <c r="W540"/>
  <c r="W560"/>
  <c r="W564"/>
  <c r="W502"/>
  <c r="W27"/>
  <c r="W666"/>
  <c r="W651" s="1"/>
  <c r="W698"/>
  <c r="W683" s="1"/>
  <c r="W66" s="1"/>
  <c r="X741"/>
  <c r="X740"/>
  <c r="X738"/>
  <c r="X737"/>
  <c r="X736"/>
  <c r="X735"/>
  <c r="X734"/>
  <c r="X732"/>
  <c r="X729"/>
  <c r="X728"/>
  <c r="X431" s="1"/>
  <c r="X727"/>
  <c r="X430" s="1"/>
  <c r="X726"/>
  <c r="X429" s="1"/>
  <c r="X725"/>
  <c r="X428" s="1"/>
  <c r="X724"/>
  <c r="X427" s="1"/>
  <c r="X723"/>
  <c r="X426" s="1"/>
  <c r="X722"/>
  <c r="X425" s="1"/>
  <c r="X721"/>
  <c r="X424" s="1"/>
  <c r="X720"/>
  <c r="X423" s="1"/>
  <c r="X709"/>
  <c r="X708"/>
  <c r="X707"/>
  <c r="X706"/>
  <c r="X705"/>
  <c r="X704"/>
  <c r="X703"/>
  <c r="X702"/>
  <c r="X700"/>
  <c r="X697"/>
  <c r="X406" s="1"/>
  <c r="X696"/>
  <c r="X405" s="1"/>
  <c r="X695"/>
  <c r="X404" s="1"/>
  <c r="X694"/>
  <c r="X403" s="1"/>
  <c r="X693"/>
  <c r="X402" s="1"/>
  <c r="X692"/>
  <c r="X401" s="1"/>
  <c r="X691"/>
  <c r="X400" s="1"/>
  <c r="X690"/>
  <c r="X399" s="1"/>
  <c r="X689"/>
  <c r="X398" s="1"/>
  <c r="X688"/>
  <c r="X677"/>
  <c r="X676"/>
  <c r="X675"/>
  <c r="X674"/>
  <c r="X673"/>
  <c r="X672"/>
  <c r="X671"/>
  <c r="X670"/>
  <c r="X668"/>
  <c r="X665"/>
  <c r="X381" s="1"/>
  <c r="X664"/>
  <c r="X380" s="1"/>
  <c r="X663"/>
  <c r="X379" s="1"/>
  <c r="X662"/>
  <c r="X378" s="1"/>
  <c r="X661"/>
  <c r="X377" s="1"/>
  <c r="X660"/>
  <c r="X376" s="1"/>
  <c r="X659"/>
  <c r="X375" s="1"/>
  <c r="X658"/>
  <c r="X374" s="1"/>
  <c r="X657"/>
  <c r="X373" s="1"/>
  <c r="X639"/>
  <c r="X656"/>
  <c r="X590"/>
  <c r="X591" s="1"/>
  <c r="X584"/>
  <c r="X585" s="1"/>
  <c r="X501"/>
  <c r="X432"/>
  <c r="X354"/>
  <c r="X353"/>
  <c r="X352"/>
  <c r="X351"/>
  <c r="X350"/>
  <c r="X349"/>
  <c r="X488"/>
  <c r="X487"/>
  <c r="X486"/>
  <c r="X485"/>
  <c r="X484"/>
  <c r="X483"/>
  <c r="X367"/>
  <c r="X40"/>
  <c r="X30"/>
  <c r="X26"/>
  <c r="X25"/>
  <c r="X23"/>
  <c r="X19"/>
  <c r="Y2"/>
  <c r="W509"/>
  <c r="W513"/>
  <c r="W533"/>
  <c r="W537"/>
  <c r="W541"/>
  <c r="W561"/>
  <c r="W565"/>
  <c r="W510"/>
  <c r="W514"/>
  <c r="W534"/>
  <c r="W538"/>
  <c r="W558"/>
  <c r="W562"/>
  <c r="W566"/>
  <c r="W372"/>
  <c r="V565" i="7"/>
  <c r="W562" s="1"/>
  <c r="W11" i="8"/>
  <c r="U598"/>
  <c r="U601" s="1"/>
  <c r="T63"/>
  <c r="V585" i="7"/>
  <c r="V570" s="1"/>
  <c r="V68" s="1"/>
  <c r="V649"/>
  <c r="V634" s="1"/>
  <c r="V70" s="1"/>
  <c r="U27" i="8"/>
  <c r="U621"/>
  <c r="U606" s="1"/>
  <c r="U60" s="1"/>
  <c r="U653"/>
  <c r="U638" s="1"/>
  <c r="U61" s="1"/>
  <c r="T72"/>
  <c r="U467"/>
  <c r="U468"/>
  <c r="U472"/>
  <c r="U476"/>
  <c r="U496"/>
  <c r="U500"/>
  <c r="U520"/>
  <c r="U524"/>
  <c r="U528"/>
  <c r="U471"/>
  <c r="U475"/>
  <c r="U495"/>
  <c r="U499"/>
  <c r="U519"/>
  <c r="U523"/>
  <c r="U527"/>
  <c r="V262" i="7"/>
  <c r="V396" s="1"/>
  <c r="U685" i="8"/>
  <c r="U670" s="1"/>
  <c r="U62" s="1"/>
  <c r="V696"/>
  <c r="V695"/>
  <c r="V694"/>
  <c r="V692"/>
  <c r="V691"/>
  <c r="V690"/>
  <c r="V689"/>
  <c r="V688"/>
  <c r="V684"/>
  <c r="V683"/>
  <c r="V392" s="1"/>
  <c r="V682"/>
  <c r="V391" s="1"/>
  <c r="V681"/>
  <c r="V390" s="1"/>
  <c r="V680"/>
  <c r="V389" s="1"/>
  <c r="V679"/>
  <c r="V388" s="1"/>
  <c r="V678"/>
  <c r="V387" s="1"/>
  <c r="V677"/>
  <c r="V386" s="1"/>
  <c r="V676"/>
  <c r="V385" s="1"/>
  <c r="V675"/>
  <c r="V384" s="1"/>
  <c r="V664"/>
  <c r="V663"/>
  <c r="V662"/>
  <c r="V661"/>
  <c r="V660"/>
  <c r="V659"/>
  <c r="V658"/>
  <c r="V657"/>
  <c r="V655"/>
  <c r="V652"/>
  <c r="V367" s="1"/>
  <c r="V651"/>
  <c r="V366" s="1"/>
  <c r="V650"/>
  <c r="V365" s="1"/>
  <c r="V649"/>
  <c r="V364" s="1"/>
  <c r="V648"/>
  <c r="V363" s="1"/>
  <c r="V647"/>
  <c r="V362" s="1"/>
  <c r="V646"/>
  <c r="V361" s="1"/>
  <c r="V645"/>
  <c r="V360" s="1"/>
  <c r="V644"/>
  <c r="V359" s="1"/>
  <c r="V643"/>
  <c r="V632"/>
  <c r="V631"/>
  <c r="V630"/>
  <c r="V629"/>
  <c r="V628"/>
  <c r="V627"/>
  <c r="V626"/>
  <c r="V625"/>
  <c r="V623"/>
  <c r="V620"/>
  <c r="V342" s="1"/>
  <c r="V619"/>
  <c r="V341" s="1"/>
  <c r="V618"/>
  <c r="V340" s="1"/>
  <c r="V617"/>
  <c r="V339" s="1"/>
  <c r="V616"/>
  <c r="V338" s="1"/>
  <c r="V615"/>
  <c r="V337" s="1"/>
  <c r="V614"/>
  <c r="V336" s="1"/>
  <c r="V613"/>
  <c r="V335" s="1"/>
  <c r="V612"/>
  <c r="V334" s="1"/>
  <c r="V611"/>
  <c r="V333" s="1"/>
  <c r="V551"/>
  <c r="V552" s="1"/>
  <c r="V545"/>
  <c r="V546" s="1"/>
  <c r="V600"/>
  <c r="V54" s="1"/>
  <c r="V462"/>
  <c r="V393"/>
  <c r="V449"/>
  <c r="V448"/>
  <c r="V447"/>
  <c r="V446"/>
  <c r="V445"/>
  <c r="V444"/>
  <c r="V358"/>
  <c r="V328"/>
  <c r="V315"/>
  <c r="V314"/>
  <c r="V313"/>
  <c r="V312"/>
  <c r="V311"/>
  <c r="V310"/>
  <c r="V40"/>
  <c r="W2"/>
  <c r="V30"/>
  <c r="V26"/>
  <c r="V25"/>
  <c r="V23"/>
  <c r="V19"/>
  <c r="U329"/>
  <c r="U469"/>
  <c r="U470"/>
  <c r="U474"/>
  <c r="U494"/>
  <c r="U498"/>
  <c r="U502"/>
  <c r="U522"/>
  <c r="U526"/>
  <c r="U473"/>
  <c r="U493"/>
  <c r="U497"/>
  <c r="U501"/>
  <c r="U521"/>
  <c r="U525"/>
  <c r="U463"/>
  <c r="V27" i="7"/>
  <c r="V617"/>
  <c r="V602" s="1"/>
  <c r="V69" s="1"/>
  <c r="W550"/>
  <c r="W548"/>
  <c r="W544"/>
  <c r="W535"/>
  <c r="W534"/>
  <c r="W545" s="1"/>
  <c r="V559" s="1"/>
  <c r="W556" s="1"/>
  <c r="W528"/>
  <c r="W527"/>
  <c r="X11"/>
  <c r="W660"/>
  <c r="W659"/>
  <c r="W658"/>
  <c r="W656"/>
  <c r="W655"/>
  <c r="W654"/>
  <c r="W653"/>
  <c r="W648"/>
  <c r="W322" s="1"/>
  <c r="W647"/>
  <c r="W321" s="1"/>
  <c r="W646"/>
  <c r="W320" s="1"/>
  <c r="W645"/>
  <c r="W319" s="1"/>
  <c r="W644"/>
  <c r="W318" s="1"/>
  <c r="W643"/>
  <c r="W317" s="1"/>
  <c r="W642"/>
  <c r="W316" s="1"/>
  <c r="W641"/>
  <c r="W315" s="1"/>
  <c r="W651"/>
  <c r="W639"/>
  <c r="W313" s="1"/>
  <c r="W616"/>
  <c r="W296" s="1"/>
  <c r="W615"/>
  <c r="W295" s="1"/>
  <c r="W614"/>
  <c r="W294" s="1"/>
  <c r="W613"/>
  <c r="W293" s="1"/>
  <c r="W612"/>
  <c r="W292" s="1"/>
  <c r="W611"/>
  <c r="W291" s="1"/>
  <c r="W610"/>
  <c r="W290" s="1"/>
  <c r="W640"/>
  <c r="W314" s="1"/>
  <c r="W628"/>
  <c r="W627"/>
  <c r="W626"/>
  <c r="W625"/>
  <c r="W624"/>
  <c r="W623"/>
  <c r="W622"/>
  <c r="W621"/>
  <c r="W619"/>
  <c r="W584"/>
  <c r="W271" s="1"/>
  <c r="W583"/>
  <c r="W270" s="1"/>
  <c r="W582"/>
  <c r="W269" s="1"/>
  <c r="W581"/>
  <c r="W268" s="1"/>
  <c r="W580"/>
  <c r="W267" s="1"/>
  <c r="W579"/>
  <c r="W266" s="1"/>
  <c r="W609"/>
  <c r="W289" s="1"/>
  <c r="W608"/>
  <c r="W288" s="1"/>
  <c r="W607"/>
  <c r="W287" s="1"/>
  <c r="W596"/>
  <c r="W595"/>
  <c r="W594"/>
  <c r="W593"/>
  <c r="W592"/>
  <c r="W591"/>
  <c r="W590"/>
  <c r="W589"/>
  <c r="W587"/>
  <c r="W577"/>
  <c r="W264" s="1"/>
  <c r="W564"/>
  <c r="W62" s="1"/>
  <c r="W578"/>
  <c r="W265" s="1"/>
  <c r="W576"/>
  <c r="W263" s="1"/>
  <c r="W575"/>
  <c r="W480"/>
  <c r="W481" s="1"/>
  <c r="W474"/>
  <c r="W475" s="1"/>
  <c r="W378"/>
  <c r="W377"/>
  <c r="W376"/>
  <c r="W375"/>
  <c r="W374"/>
  <c r="W373"/>
  <c r="W391"/>
  <c r="W257"/>
  <c r="W244"/>
  <c r="W243"/>
  <c r="W242"/>
  <c r="W241"/>
  <c r="W240"/>
  <c r="W239"/>
  <c r="W40"/>
  <c r="W30"/>
  <c r="W26"/>
  <c r="W25"/>
  <c r="W23"/>
  <c r="W19"/>
  <c r="X2"/>
  <c r="V399"/>
  <c r="V258"/>
  <c r="V397"/>
  <c r="V405"/>
  <c r="V398"/>
  <c r="V402"/>
  <c r="V422"/>
  <c r="V426"/>
  <c r="V430"/>
  <c r="V450"/>
  <c r="V454"/>
  <c r="V392"/>
  <c r="V423"/>
  <c r="V427"/>
  <c r="V431"/>
  <c r="V451"/>
  <c r="V455"/>
  <c r="V403"/>
  <c r="V401"/>
  <c r="V400"/>
  <c r="V404"/>
  <c r="V424"/>
  <c r="V428"/>
  <c r="V448"/>
  <c r="V452"/>
  <c r="V456"/>
  <c r="V425"/>
  <c r="V429"/>
  <c r="V449"/>
  <c r="V453"/>
  <c r="V457"/>
  <c r="U71"/>
  <c r="L13" i="1"/>
  <c r="L32"/>
  <c r="AH36" i="2"/>
  <c r="A667"/>
  <c r="W532" i="7" l="1"/>
  <c r="W533" s="1"/>
  <c r="W61"/>
  <c r="X530"/>
  <c r="X531"/>
  <c r="X519"/>
  <c r="X515"/>
  <c r="X511"/>
  <c r="X507"/>
  <c r="X559"/>
  <c r="X558"/>
  <c r="X557"/>
  <c r="X56" i="10"/>
  <c r="X85"/>
  <c r="X86" s="1"/>
  <c r="Y629"/>
  <c r="Y625"/>
  <c r="Y621"/>
  <c r="Y617"/>
  <c r="V71" i="7"/>
  <c r="W590" i="8"/>
  <c r="W586"/>
  <c r="W582"/>
  <c r="W578"/>
  <c r="U63"/>
  <c r="W262" i="7"/>
  <c r="V179" i="10"/>
  <c r="V196" s="1"/>
  <c r="W65"/>
  <c r="W68" s="1"/>
  <c r="W75" s="1"/>
  <c r="X58"/>
  <c r="X180"/>
  <c r="X197" s="1"/>
  <c r="X141"/>
  <c r="X153" s="1"/>
  <c r="X249"/>
  <c r="X221"/>
  <c r="X698"/>
  <c r="X683" s="1"/>
  <c r="X66" s="1"/>
  <c r="X372"/>
  <c r="X506" s="1"/>
  <c r="W640"/>
  <c r="X637" s="1"/>
  <c r="X59"/>
  <c r="Z11"/>
  <c r="Y645"/>
  <c r="Y181" s="1"/>
  <c r="Y198" s="1"/>
  <c r="Y41"/>
  <c r="Y183" s="1"/>
  <c r="Y200" s="1"/>
  <c r="X730"/>
  <c r="X715" s="1"/>
  <c r="X67" s="1"/>
  <c r="X508"/>
  <c r="X512"/>
  <c r="X536"/>
  <c r="X540"/>
  <c r="W506"/>
  <c r="Y741"/>
  <c r="Y740"/>
  <c r="Y738"/>
  <c r="Y737"/>
  <c r="Y736"/>
  <c r="Y735"/>
  <c r="Y734"/>
  <c r="Y729"/>
  <c r="Y432" s="1"/>
  <c r="Y728"/>
  <c r="Y431" s="1"/>
  <c r="Y727"/>
  <c r="Y430" s="1"/>
  <c r="Y726"/>
  <c r="Y429" s="1"/>
  <c r="Y725"/>
  <c r="Y428" s="1"/>
  <c r="Y724"/>
  <c r="Y427" s="1"/>
  <c r="Y723"/>
  <c r="Y426" s="1"/>
  <c r="Y722"/>
  <c r="Y425" s="1"/>
  <c r="Y721"/>
  <c r="Y424" s="1"/>
  <c r="Y732"/>
  <c r="Y720"/>
  <c r="Y697"/>
  <c r="Y406" s="1"/>
  <c r="Y696"/>
  <c r="Y405" s="1"/>
  <c r="Y695"/>
  <c r="Y404" s="1"/>
  <c r="Y694"/>
  <c r="Y403" s="1"/>
  <c r="Y693"/>
  <c r="Y402" s="1"/>
  <c r="Y692"/>
  <c r="Y401" s="1"/>
  <c r="Y691"/>
  <c r="Y400" s="1"/>
  <c r="Y690"/>
  <c r="Y399" s="1"/>
  <c r="Y709"/>
  <c r="Y708"/>
  <c r="Y707"/>
  <c r="Y706"/>
  <c r="Y705"/>
  <c r="Y704"/>
  <c r="Y703"/>
  <c r="Y702"/>
  <c r="Y700"/>
  <c r="Y665"/>
  <c r="Y381" s="1"/>
  <c r="Y664"/>
  <c r="Y380" s="1"/>
  <c r="Y663"/>
  <c r="Y379" s="1"/>
  <c r="Y662"/>
  <c r="Y378" s="1"/>
  <c r="Y661"/>
  <c r="Y377" s="1"/>
  <c r="Y660"/>
  <c r="Y376" s="1"/>
  <c r="Y659"/>
  <c r="Y375" s="1"/>
  <c r="Y689"/>
  <c r="Y398" s="1"/>
  <c r="Y688"/>
  <c r="Y677"/>
  <c r="Y676"/>
  <c r="Y675"/>
  <c r="Y674"/>
  <c r="Y673"/>
  <c r="Y672"/>
  <c r="Y671"/>
  <c r="Y670"/>
  <c r="Y668"/>
  <c r="Y658"/>
  <c r="Y374" s="1"/>
  <c r="Y656"/>
  <c r="Y590"/>
  <c r="Y591" s="1"/>
  <c r="Y584"/>
  <c r="Y585" s="1"/>
  <c r="Y657"/>
  <c r="Y373" s="1"/>
  <c r="Y639"/>
  <c r="Y488"/>
  <c r="Y487"/>
  <c r="Y486"/>
  <c r="Y485"/>
  <c r="Y484"/>
  <c r="Y483"/>
  <c r="Y423"/>
  <c r="Y367"/>
  <c r="Y501"/>
  <c r="Y354"/>
  <c r="Y353"/>
  <c r="Y352"/>
  <c r="Y351"/>
  <c r="Y350"/>
  <c r="Y349"/>
  <c r="Y30"/>
  <c r="Y26"/>
  <c r="Y25"/>
  <c r="Y23"/>
  <c r="Y19"/>
  <c r="Y40"/>
  <c r="Z2"/>
  <c r="X560"/>
  <c r="X564"/>
  <c r="X502"/>
  <c r="X368"/>
  <c r="X507"/>
  <c r="X511"/>
  <c r="X515"/>
  <c r="X535"/>
  <c r="X539"/>
  <c r="X559"/>
  <c r="X563"/>
  <c r="X567"/>
  <c r="X27"/>
  <c r="X397"/>
  <c r="X666"/>
  <c r="X651" s="1"/>
  <c r="X510"/>
  <c r="X514"/>
  <c r="X534"/>
  <c r="X538"/>
  <c r="X558"/>
  <c r="X562"/>
  <c r="X566"/>
  <c r="X509"/>
  <c r="X513"/>
  <c r="X533"/>
  <c r="X537"/>
  <c r="X541"/>
  <c r="X561"/>
  <c r="X565"/>
  <c r="X11" i="8"/>
  <c r="V598"/>
  <c r="V601" s="1"/>
  <c r="V621"/>
  <c r="V606" s="1"/>
  <c r="V60" s="1"/>
  <c r="V470"/>
  <c r="V469"/>
  <c r="V473"/>
  <c r="V493"/>
  <c r="V497"/>
  <c r="V501"/>
  <c r="V521"/>
  <c r="V525"/>
  <c r="V463"/>
  <c r="V472"/>
  <c r="V476"/>
  <c r="V496"/>
  <c r="V500"/>
  <c r="V520"/>
  <c r="V524"/>
  <c r="V528"/>
  <c r="V653"/>
  <c r="V638" s="1"/>
  <c r="V61" s="1"/>
  <c r="V685"/>
  <c r="V670" s="1"/>
  <c r="V62" s="1"/>
  <c r="U72"/>
  <c r="W696"/>
  <c r="W695"/>
  <c r="W694"/>
  <c r="W692"/>
  <c r="W691"/>
  <c r="W690"/>
  <c r="W689"/>
  <c r="W684"/>
  <c r="W393" s="1"/>
  <c r="W683"/>
  <c r="W392" s="1"/>
  <c r="W682"/>
  <c r="W391" s="1"/>
  <c r="W681"/>
  <c r="W390" s="1"/>
  <c r="W680"/>
  <c r="W389" s="1"/>
  <c r="W679"/>
  <c r="W388" s="1"/>
  <c r="W678"/>
  <c r="W387" s="1"/>
  <c r="W677"/>
  <c r="W386" s="1"/>
  <c r="W676"/>
  <c r="W385" s="1"/>
  <c r="W675"/>
  <c r="W384" s="1"/>
  <c r="W687"/>
  <c r="W663"/>
  <c r="W661"/>
  <c r="W659"/>
  <c r="W652"/>
  <c r="W367" s="1"/>
  <c r="W651"/>
  <c r="W366" s="1"/>
  <c r="W650"/>
  <c r="W365" s="1"/>
  <c r="W649"/>
  <c r="W364" s="1"/>
  <c r="W648"/>
  <c r="W363" s="1"/>
  <c r="W647"/>
  <c r="W362" s="1"/>
  <c r="W646"/>
  <c r="W361" s="1"/>
  <c r="W645"/>
  <c r="W360" s="1"/>
  <c r="W644"/>
  <c r="W359" s="1"/>
  <c r="W643"/>
  <c r="W358" s="1"/>
  <c r="W664"/>
  <c r="W662"/>
  <c r="W660"/>
  <c r="W658"/>
  <c r="W657"/>
  <c r="W655"/>
  <c r="W620"/>
  <c r="W342" s="1"/>
  <c r="W619"/>
  <c r="W341" s="1"/>
  <c r="W618"/>
  <c r="W340" s="1"/>
  <c r="W617"/>
  <c r="W339" s="1"/>
  <c r="W616"/>
  <c r="W338" s="1"/>
  <c r="W615"/>
  <c r="W337" s="1"/>
  <c r="W614"/>
  <c r="W336" s="1"/>
  <c r="W613"/>
  <c r="W612"/>
  <c r="W334" s="1"/>
  <c r="W611"/>
  <c r="W632"/>
  <c r="W631"/>
  <c r="W630"/>
  <c r="W629"/>
  <c r="W628"/>
  <c r="W627"/>
  <c r="W626"/>
  <c r="W625"/>
  <c r="W623"/>
  <c r="W600"/>
  <c r="W54" s="1"/>
  <c r="W551"/>
  <c r="W552" s="1"/>
  <c r="W545"/>
  <c r="W546" s="1"/>
  <c r="W449"/>
  <c r="W448"/>
  <c r="W447"/>
  <c r="W446"/>
  <c r="W445"/>
  <c r="W444"/>
  <c r="W462"/>
  <c r="W333"/>
  <c r="W328"/>
  <c r="W335"/>
  <c r="W315"/>
  <c r="W314"/>
  <c r="W313"/>
  <c r="W312"/>
  <c r="W311"/>
  <c r="W310"/>
  <c r="W30"/>
  <c r="W26"/>
  <c r="W25"/>
  <c r="W23"/>
  <c r="W19"/>
  <c r="W40"/>
  <c r="X2"/>
  <c r="V329"/>
  <c r="V468"/>
  <c r="V467"/>
  <c r="V471"/>
  <c r="V475"/>
  <c r="V495"/>
  <c r="V499"/>
  <c r="V519"/>
  <c r="V523"/>
  <c r="V527"/>
  <c r="V474"/>
  <c r="V494"/>
  <c r="V498"/>
  <c r="V502"/>
  <c r="V522"/>
  <c r="V526"/>
  <c r="W565" i="7"/>
  <c r="X562" s="1"/>
  <c r="W27"/>
  <c r="W617"/>
  <c r="W602" s="1"/>
  <c r="W69" s="1"/>
  <c r="V27" i="8"/>
  <c r="W585" i="7"/>
  <c r="W570" s="1"/>
  <c r="W68" s="1"/>
  <c r="Y11"/>
  <c r="X550"/>
  <c r="X548"/>
  <c r="X544"/>
  <c r="X535"/>
  <c r="X534"/>
  <c r="X545" s="1"/>
  <c r="X528"/>
  <c r="X527"/>
  <c r="W402"/>
  <c r="W396"/>
  <c r="W404"/>
  <c r="W399"/>
  <c r="W403"/>
  <c r="W423"/>
  <c r="W427"/>
  <c r="W431"/>
  <c r="W451"/>
  <c r="W455"/>
  <c r="W424"/>
  <c r="W428"/>
  <c r="W448"/>
  <c r="W452"/>
  <c r="W456"/>
  <c r="W549"/>
  <c r="W543"/>
  <c r="X556"/>
  <c r="W649"/>
  <c r="W634" s="1"/>
  <c r="W70" s="1"/>
  <c r="X660"/>
  <c r="X659"/>
  <c r="X657"/>
  <c r="X656"/>
  <c r="X655"/>
  <c r="X654"/>
  <c r="X653"/>
  <c r="X651"/>
  <c r="X648"/>
  <c r="X322" s="1"/>
  <c r="X647"/>
  <c r="X321" s="1"/>
  <c r="X646"/>
  <c r="X645"/>
  <c r="X319" s="1"/>
  <c r="X644"/>
  <c r="X318" s="1"/>
  <c r="X643"/>
  <c r="X642"/>
  <c r="X316" s="1"/>
  <c r="X641"/>
  <c r="X315" s="1"/>
  <c r="X640"/>
  <c r="X314" s="1"/>
  <c r="X639"/>
  <c r="X313" s="1"/>
  <c r="X628"/>
  <c r="X627"/>
  <c r="X626"/>
  <c r="X625"/>
  <c r="X624"/>
  <c r="X623"/>
  <c r="X622"/>
  <c r="X621"/>
  <c r="X619"/>
  <c r="X616"/>
  <c r="X296" s="1"/>
  <c r="X615"/>
  <c r="X295" s="1"/>
  <c r="X614"/>
  <c r="X613"/>
  <c r="X293" s="1"/>
  <c r="X612"/>
  <c r="X292" s="1"/>
  <c r="X611"/>
  <c r="X291" s="1"/>
  <c r="X610"/>
  <c r="X290" s="1"/>
  <c r="X609"/>
  <c r="X289" s="1"/>
  <c r="X608"/>
  <c r="X288" s="1"/>
  <c r="X607"/>
  <c r="X287" s="1"/>
  <c r="X596"/>
  <c r="X595"/>
  <c r="X594"/>
  <c r="X593"/>
  <c r="X592"/>
  <c r="X591"/>
  <c r="X590"/>
  <c r="X589"/>
  <c r="X587"/>
  <c r="X584"/>
  <c r="X271" s="1"/>
  <c r="X583"/>
  <c r="X270" s="1"/>
  <c r="X582"/>
  <c r="X269" s="1"/>
  <c r="X581"/>
  <c r="X268" s="1"/>
  <c r="X580"/>
  <c r="X267" s="1"/>
  <c r="X579"/>
  <c r="X266" s="1"/>
  <c r="X578"/>
  <c r="X265" s="1"/>
  <c r="X577"/>
  <c r="X264" s="1"/>
  <c r="X576"/>
  <c r="X263" s="1"/>
  <c r="X575"/>
  <c r="X480"/>
  <c r="X481" s="1"/>
  <c r="X474"/>
  <c r="X475" s="1"/>
  <c r="X564"/>
  <c r="X62" s="1"/>
  <c r="X391"/>
  <c r="X320"/>
  <c r="X294"/>
  <c r="X378"/>
  <c r="X377"/>
  <c r="X376"/>
  <c r="X375"/>
  <c r="X374"/>
  <c r="X373"/>
  <c r="X317"/>
  <c r="X244"/>
  <c r="X243"/>
  <c r="X242"/>
  <c r="X241"/>
  <c r="X240"/>
  <c r="X239"/>
  <c r="X257"/>
  <c r="X30"/>
  <c r="X26"/>
  <c r="X25"/>
  <c r="X23"/>
  <c r="X19"/>
  <c r="X40"/>
  <c r="Y2"/>
  <c r="W258"/>
  <c r="W398"/>
  <c r="W400"/>
  <c r="W397"/>
  <c r="W401"/>
  <c r="W405"/>
  <c r="W425"/>
  <c r="W429"/>
  <c r="W449"/>
  <c r="W453"/>
  <c r="W457"/>
  <c r="W422"/>
  <c r="W426"/>
  <c r="W430"/>
  <c r="W450"/>
  <c r="W454"/>
  <c r="W392"/>
  <c r="W166"/>
  <c r="W130"/>
  <c r="W55"/>
  <c r="L14" i="1"/>
  <c r="L33"/>
  <c r="AI36" i="2"/>
  <c r="A668"/>
  <c r="X532" i="7" l="1"/>
  <c r="X533" s="1"/>
  <c r="Y530"/>
  <c r="Y531"/>
  <c r="Y519"/>
  <c r="Y515"/>
  <c r="Y511"/>
  <c r="Y507"/>
  <c r="Y559"/>
  <c r="Y558"/>
  <c r="Y557"/>
  <c r="X262"/>
  <c r="Y56" i="10"/>
  <c r="Y85"/>
  <c r="Y86" s="1"/>
  <c r="Z629"/>
  <c r="Z625"/>
  <c r="Z621"/>
  <c r="Z617"/>
  <c r="Y397"/>
  <c r="Y532" s="1"/>
  <c r="X565" i="7"/>
  <c r="Y562" s="1"/>
  <c r="X578" i="8"/>
  <c r="X590"/>
  <c r="X586"/>
  <c r="X582"/>
  <c r="W71" i="7"/>
  <c r="X65" i="10"/>
  <c r="X68" s="1"/>
  <c r="X75" s="1"/>
  <c r="W179"/>
  <c r="W196" s="1"/>
  <c r="Y58"/>
  <c r="Y180"/>
  <c r="Y197" s="1"/>
  <c r="Y141"/>
  <c r="Y153" s="1"/>
  <c r="Y249"/>
  <c r="Y221"/>
  <c r="Y372"/>
  <c r="Y506" s="1"/>
  <c r="X640"/>
  <c r="Y637" s="1"/>
  <c r="Y59"/>
  <c r="Y27"/>
  <c r="Y698"/>
  <c r="Y683" s="1"/>
  <c r="Y66" s="1"/>
  <c r="AA11"/>
  <c r="Z645"/>
  <c r="Z181" s="1"/>
  <c r="Z198" s="1"/>
  <c r="Z41"/>
  <c r="Z183" s="1"/>
  <c r="Z200" s="1"/>
  <c r="Y666"/>
  <c r="Y651" s="1"/>
  <c r="Y509"/>
  <c r="Y513"/>
  <c r="Y533"/>
  <c r="Y537"/>
  <c r="Y541"/>
  <c r="Y561"/>
  <c r="Y565"/>
  <c r="Y510"/>
  <c r="Y514"/>
  <c r="Y534"/>
  <c r="Y538"/>
  <c r="Y558"/>
  <c r="Y562"/>
  <c r="Y566"/>
  <c r="Y730"/>
  <c r="Y715" s="1"/>
  <c r="Y67" s="1"/>
  <c r="X532"/>
  <c r="Z741"/>
  <c r="Z740"/>
  <c r="Z738"/>
  <c r="Z737"/>
  <c r="Z736"/>
  <c r="Z735"/>
  <c r="Z734"/>
  <c r="Z732"/>
  <c r="Z729"/>
  <c r="Z728"/>
  <c r="Z431" s="1"/>
  <c r="Z727"/>
  <c r="Z430" s="1"/>
  <c r="Z726"/>
  <c r="Z429" s="1"/>
  <c r="Z725"/>
  <c r="Z428" s="1"/>
  <c r="Z724"/>
  <c r="Z427" s="1"/>
  <c r="Z723"/>
  <c r="Z426" s="1"/>
  <c r="Z722"/>
  <c r="Z425" s="1"/>
  <c r="Z721"/>
  <c r="Z424" s="1"/>
  <c r="Z720"/>
  <c r="Z423" s="1"/>
  <c r="Z709"/>
  <c r="Z708"/>
  <c r="Z707"/>
  <c r="Z706"/>
  <c r="Z705"/>
  <c r="Z704"/>
  <c r="Z703"/>
  <c r="Z702"/>
  <c r="Z700"/>
  <c r="Z697"/>
  <c r="Z406" s="1"/>
  <c r="Z696"/>
  <c r="Z405" s="1"/>
  <c r="Z695"/>
  <c r="Z404" s="1"/>
  <c r="Z694"/>
  <c r="Z403" s="1"/>
  <c r="Z693"/>
  <c r="Z692"/>
  <c r="Z401" s="1"/>
  <c r="Z691"/>
  <c r="Z400" s="1"/>
  <c r="Z690"/>
  <c r="Z399" s="1"/>
  <c r="Z689"/>
  <c r="Z398" s="1"/>
  <c r="Z688"/>
  <c r="Z677"/>
  <c r="Z676"/>
  <c r="Z675"/>
  <c r="Z674"/>
  <c r="Z673"/>
  <c r="Z672"/>
  <c r="Z671"/>
  <c r="Z670"/>
  <c r="Z668"/>
  <c r="Z665"/>
  <c r="Z381" s="1"/>
  <c r="Z664"/>
  <c r="Z380" s="1"/>
  <c r="Z663"/>
  <c r="Z379" s="1"/>
  <c r="Z662"/>
  <c r="Z378" s="1"/>
  <c r="Z661"/>
  <c r="Z377" s="1"/>
  <c r="Z660"/>
  <c r="Z376" s="1"/>
  <c r="Z659"/>
  <c r="Z375" s="1"/>
  <c r="Z658"/>
  <c r="Z374" s="1"/>
  <c r="Z657"/>
  <c r="Z373" s="1"/>
  <c r="Z656"/>
  <c r="Z639"/>
  <c r="Z590"/>
  <c r="Z591" s="1"/>
  <c r="Z584"/>
  <c r="Z585" s="1"/>
  <c r="Z501"/>
  <c r="Z432"/>
  <c r="Z402"/>
  <c r="Z354"/>
  <c r="Z353"/>
  <c r="Z352"/>
  <c r="Z351"/>
  <c r="Z350"/>
  <c r="Z349"/>
  <c r="Z488"/>
  <c r="Z487"/>
  <c r="Z486"/>
  <c r="Z485"/>
  <c r="Z484"/>
  <c r="Z483"/>
  <c r="Z367"/>
  <c r="Z40"/>
  <c r="AA2"/>
  <c r="Z30"/>
  <c r="Z26"/>
  <c r="Z25"/>
  <c r="Z23"/>
  <c r="Z19"/>
  <c r="Y368"/>
  <c r="Y507"/>
  <c r="Y511"/>
  <c r="Y515"/>
  <c r="Y535"/>
  <c r="Y539"/>
  <c r="Y559"/>
  <c r="Y563"/>
  <c r="Y567"/>
  <c r="Y508"/>
  <c r="Y512"/>
  <c r="Y536"/>
  <c r="Y540"/>
  <c r="Y560"/>
  <c r="Y564"/>
  <c r="Y502"/>
  <c r="Y11" i="8"/>
  <c r="W598"/>
  <c r="W601" s="1"/>
  <c r="V63"/>
  <c r="W27"/>
  <c r="W621"/>
  <c r="W606" s="1"/>
  <c r="W60" s="1"/>
  <c r="W468"/>
  <c r="W472"/>
  <c r="W476"/>
  <c r="W496"/>
  <c r="W500"/>
  <c r="W520"/>
  <c r="W524"/>
  <c r="W528"/>
  <c r="W471"/>
  <c r="W475"/>
  <c r="W495"/>
  <c r="W499"/>
  <c r="W519"/>
  <c r="W523"/>
  <c r="W527"/>
  <c r="W653"/>
  <c r="W638" s="1"/>
  <c r="W61" s="1"/>
  <c r="W685"/>
  <c r="W670" s="1"/>
  <c r="W62" s="1"/>
  <c r="X696"/>
  <c r="X695"/>
  <c r="X693"/>
  <c r="X692"/>
  <c r="X691"/>
  <c r="X690"/>
  <c r="X689"/>
  <c r="X687"/>
  <c r="X684"/>
  <c r="X683"/>
  <c r="X392" s="1"/>
  <c r="X682"/>
  <c r="X391" s="1"/>
  <c r="X681"/>
  <c r="X390" s="1"/>
  <c r="X680"/>
  <c r="X389" s="1"/>
  <c r="X679"/>
  <c r="X388" s="1"/>
  <c r="X678"/>
  <c r="X387" s="1"/>
  <c r="X677"/>
  <c r="X386" s="1"/>
  <c r="X676"/>
  <c r="X385" s="1"/>
  <c r="X675"/>
  <c r="X384" s="1"/>
  <c r="X664"/>
  <c r="X663"/>
  <c r="X662"/>
  <c r="X661"/>
  <c r="X660"/>
  <c r="X659"/>
  <c r="X658"/>
  <c r="X657"/>
  <c r="X655"/>
  <c r="X652"/>
  <c r="X367" s="1"/>
  <c r="X651"/>
  <c r="X366" s="1"/>
  <c r="X650"/>
  <c r="X365" s="1"/>
  <c r="X649"/>
  <c r="X364" s="1"/>
  <c r="X648"/>
  <c r="X363" s="1"/>
  <c r="X647"/>
  <c r="X362" s="1"/>
  <c r="X646"/>
  <c r="X361" s="1"/>
  <c r="X645"/>
  <c r="X360" s="1"/>
  <c r="X644"/>
  <c r="X359" s="1"/>
  <c r="X643"/>
  <c r="X358" s="1"/>
  <c r="X632"/>
  <c r="X631"/>
  <c r="X630"/>
  <c r="X629"/>
  <c r="X628"/>
  <c r="X627"/>
  <c r="X626"/>
  <c r="X625"/>
  <c r="X623"/>
  <c r="X620"/>
  <c r="X342" s="1"/>
  <c r="X619"/>
  <c r="X618"/>
  <c r="X340" s="1"/>
  <c r="X617"/>
  <c r="X339" s="1"/>
  <c r="X616"/>
  <c r="X338" s="1"/>
  <c r="X615"/>
  <c r="X337" s="1"/>
  <c r="X614"/>
  <c r="X336" s="1"/>
  <c r="X613"/>
  <c r="X335" s="1"/>
  <c r="X612"/>
  <c r="X334" s="1"/>
  <c r="X611"/>
  <c r="X333" s="1"/>
  <c r="X551"/>
  <c r="X552" s="1"/>
  <c r="X545"/>
  <c r="X546" s="1"/>
  <c r="X600"/>
  <c r="X54" s="1"/>
  <c r="X462"/>
  <c r="X393"/>
  <c r="X449"/>
  <c r="X448"/>
  <c r="X447"/>
  <c r="X446"/>
  <c r="X445"/>
  <c r="X444"/>
  <c r="X341"/>
  <c r="X328"/>
  <c r="X315"/>
  <c r="X314"/>
  <c r="X313"/>
  <c r="X312"/>
  <c r="X311"/>
  <c r="X310"/>
  <c r="X40"/>
  <c r="Y2"/>
  <c r="X30"/>
  <c r="X26"/>
  <c r="X25"/>
  <c r="X23"/>
  <c r="X19"/>
  <c r="W329"/>
  <c r="W469"/>
  <c r="W467"/>
  <c r="W470"/>
  <c r="W474"/>
  <c r="W494"/>
  <c r="W498"/>
  <c r="W502"/>
  <c r="W522"/>
  <c r="W526"/>
  <c r="W473"/>
  <c r="W493"/>
  <c r="W497"/>
  <c r="W501"/>
  <c r="W521"/>
  <c r="W525"/>
  <c r="W463"/>
  <c r="V72"/>
  <c r="Y550" i="7"/>
  <c r="Y548"/>
  <c r="Y544"/>
  <c r="Y535"/>
  <c r="Y534"/>
  <c r="Y545" s="1"/>
  <c r="Y528"/>
  <c r="Y527"/>
  <c r="Z11"/>
  <c r="X401"/>
  <c r="X258"/>
  <c r="X399"/>
  <c r="X396"/>
  <c r="X400"/>
  <c r="X404"/>
  <c r="X424"/>
  <c r="X428"/>
  <c r="X448"/>
  <c r="X452"/>
  <c r="X456"/>
  <c r="X425"/>
  <c r="X429"/>
  <c r="X449"/>
  <c r="X453"/>
  <c r="X457"/>
  <c r="X549"/>
  <c r="X543"/>
  <c r="Y556"/>
  <c r="X166"/>
  <c r="X130"/>
  <c r="X55"/>
  <c r="W540"/>
  <c r="W80"/>
  <c r="W81" s="1"/>
  <c r="X27"/>
  <c r="X61"/>
  <c r="X585"/>
  <c r="X570" s="1"/>
  <c r="X68" s="1"/>
  <c r="X617"/>
  <c r="X602" s="1"/>
  <c r="X69" s="1"/>
  <c r="X649"/>
  <c r="X634" s="1"/>
  <c r="X70" s="1"/>
  <c r="Y660"/>
  <c r="Y659"/>
  <c r="Y657"/>
  <c r="Y656"/>
  <c r="Y655"/>
  <c r="Y654"/>
  <c r="Y653"/>
  <c r="Y648"/>
  <c r="Y322" s="1"/>
  <c r="Y647"/>
  <c r="Y321" s="1"/>
  <c r="Y646"/>
  <c r="Y320" s="1"/>
  <c r="Y645"/>
  <c r="Y319" s="1"/>
  <c r="Y644"/>
  <c r="Y318" s="1"/>
  <c r="Y643"/>
  <c r="Y317" s="1"/>
  <c r="Y642"/>
  <c r="Y316" s="1"/>
  <c r="Y641"/>
  <c r="Y315" s="1"/>
  <c r="Y651"/>
  <c r="Y640"/>
  <c r="Y616"/>
  <c r="Y296" s="1"/>
  <c r="Y615"/>
  <c r="Y295" s="1"/>
  <c r="Y614"/>
  <c r="Y294" s="1"/>
  <c r="Y613"/>
  <c r="Y293" s="1"/>
  <c r="Y612"/>
  <c r="Y292" s="1"/>
  <c r="Y611"/>
  <c r="Y291" s="1"/>
  <c r="Y610"/>
  <c r="Y290" s="1"/>
  <c r="Y639"/>
  <c r="Y313" s="1"/>
  <c r="Y628"/>
  <c r="Y627"/>
  <c r="Y626"/>
  <c r="Y625"/>
  <c r="Y624"/>
  <c r="Y623"/>
  <c r="Y622"/>
  <c r="Y621"/>
  <c r="Y619"/>
  <c r="Y609"/>
  <c r="Y289" s="1"/>
  <c r="Y584"/>
  <c r="Y271" s="1"/>
  <c r="Y583"/>
  <c r="Y270" s="1"/>
  <c r="Y582"/>
  <c r="Y269" s="1"/>
  <c r="Y581"/>
  <c r="Y268" s="1"/>
  <c r="Y580"/>
  <c r="Y267" s="1"/>
  <c r="Y579"/>
  <c r="Y266" s="1"/>
  <c r="Y608"/>
  <c r="Y288" s="1"/>
  <c r="Y607"/>
  <c r="Y287" s="1"/>
  <c r="Y596"/>
  <c r="Y595"/>
  <c r="Y594"/>
  <c r="Y593"/>
  <c r="Y592"/>
  <c r="Y591"/>
  <c r="Y590"/>
  <c r="Y589"/>
  <c r="Y587"/>
  <c r="Y578"/>
  <c r="Y265" s="1"/>
  <c r="Y564"/>
  <c r="Y62" s="1"/>
  <c r="Y577"/>
  <c r="Y264" s="1"/>
  <c r="Y576"/>
  <c r="Y263" s="1"/>
  <c r="Y575"/>
  <c r="Y262" s="1"/>
  <c r="Y480"/>
  <c r="Y481" s="1"/>
  <c r="Y474"/>
  <c r="Y475" s="1"/>
  <c r="Y378"/>
  <c r="Y377"/>
  <c r="Y376"/>
  <c r="Y375"/>
  <c r="Y374"/>
  <c r="Y373"/>
  <c r="Y391"/>
  <c r="Y314"/>
  <c r="Y257"/>
  <c r="Y244"/>
  <c r="Y243"/>
  <c r="Y242"/>
  <c r="Y241"/>
  <c r="Y240"/>
  <c r="Y239"/>
  <c r="Y40"/>
  <c r="Y30"/>
  <c r="Y26"/>
  <c r="Y25"/>
  <c r="Y23"/>
  <c r="Y19"/>
  <c r="Z2"/>
  <c r="X397"/>
  <c r="X405"/>
  <c r="X403"/>
  <c r="X398"/>
  <c r="X402"/>
  <c r="X422"/>
  <c r="X426"/>
  <c r="X430"/>
  <c r="X450"/>
  <c r="X454"/>
  <c r="X392"/>
  <c r="X423"/>
  <c r="X427"/>
  <c r="X431"/>
  <c r="X451"/>
  <c r="X455"/>
  <c r="L15" i="1"/>
  <c r="L34"/>
  <c r="AJ36" i="2"/>
  <c r="A669"/>
  <c r="Y532" i="7" l="1"/>
  <c r="Y533" s="1"/>
  <c r="Z530"/>
  <c r="Z531"/>
  <c r="Z519"/>
  <c r="Z515"/>
  <c r="Z511"/>
  <c r="Z507"/>
  <c r="Z559"/>
  <c r="Z558"/>
  <c r="Z557"/>
  <c r="Z56" i="10"/>
  <c r="Z85"/>
  <c r="Z86" s="1"/>
  <c r="AA629"/>
  <c r="AA625"/>
  <c r="AA621"/>
  <c r="AA617"/>
  <c r="Z397"/>
  <c r="Z532" s="1"/>
  <c r="W63" i="8"/>
  <c r="Y590"/>
  <c r="Y586"/>
  <c r="Y582"/>
  <c r="Y578"/>
  <c r="Y65" i="10"/>
  <c r="X179"/>
  <c r="X196" s="1"/>
  <c r="Z58"/>
  <c r="Z180"/>
  <c r="Z197" s="1"/>
  <c r="Y68"/>
  <c r="Y179" s="1"/>
  <c r="Y196" s="1"/>
  <c r="Z141"/>
  <c r="Z153" s="1"/>
  <c r="Z249"/>
  <c r="Z221"/>
  <c r="Z372"/>
  <c r="Y640"/>
  <c r="Z637" s="1"/>
  <c r="Z59"/>
  <c r="Z698"/>
  <c r="Z683" s="1"/>
  <c r="Z66" s="1"/>
  <c r="AB11"/>
  <c r="AA645"/>
  <c r="AA181" s="1"/>
  <c r="AA198" s="1"/>
  <c r="AA41"/>
  <c r="AA183" s="1"/>
  <c r="AA200" s="1"/>
  <c r="Z27"/>
  <c r="Z666"/>
  <c r="Z651" s="1"/>
  <c r="Z730"/>
  <c r="Z715" s="1"/>
  <c r="Z67" s="1"/>
  <c r="Z508"/>
  <c r="Z512"/>
  <c r="Z536"/>
  <c r="Z540"/>
  <c r="Z560"/>
  <c r="Z564"/>
  <c r="Z502"/>
  <c r="Z368"/>
  <c r="Z507"/>
  <c r="Z511"/>
  <c r="Z515"/>
  <c r="Z535"/>
  <c r="Z539"/>
  <c r="Z559"/>
  <c r="Z563"/>
  <c r="Z567"/>
  <c r="AA741"/>
  <c r="AA739"/>
  <c r="AA738"/>
  <c r="AA737"/>
  <c r="AA736"/>
  <c r="AA735"/>
  <c r="AA734"/>
  <c r="AA729"/>
  <c r="AA432" s="1"/>
  <c r="AA728"/>
  <c r="AA431" s="1"/>
  <c r="AA727"/>
  <c r="AA430" s="1"/>
  <c r="AA726"/>
  <c r="AA429" s="1"/>
  <c r="AA725"/>
  <c r="AA428" s="1"/>
  <c r="AA724"/>
  <c r="AA427" s="1"/>
  <c r="AA723"/>
  <c r="AA426" s="1"/>
  <c r="AA722"/>
  <c r="AA425" s="1"/>
  <c r="AA721"/>
  <c r="AA424" s="1"/>
  <c r="AA732"/>
  <c r="AA697"/>
  <c r="AA406" s="1"/>
  <c r="AA696"/>
  <c r="AA405" s="1"/>
  <c r="AA695"/>
  <c r="AA404" s="1"/>
  <c r="AA694"/>
  <c r="AA403" s="1"/>
  <c r="AA693"/>
  <c r="AA402" s="1"/>
  <c r="AA692"/>
  <c r="AA401" s="1"/>
  <c r="AA691"/>
  <c r="AA400" s="1"/>
  <c r="AA690"/>
  <c r="AA399" s="1"/>
  <c r="AA720"/>
  <c r="AA709"/>
  <c r="AA708"/>
  <c r="AA707"/>
  <c r="AA706"/>
  <c r="AA705"/>
  <c r="AA704"/>
  <c r="AA703"/>
  <c r="AA702"/>
  <c r="AA700"/>
  <c r="AA665"/>
  <c r="AA381" s="1"/>
  <c r="AA664"/>
  <c r="AA380" s="1"/>
  <c r="AA663"/>
  <c r="AA379" s="1"/>
  <c r="AA662"/>
  <c r="AA378" s="1"/>
  <c r="AA661"/>
  <c r="AA377" s="1"/>
  <c r="AA660"/>
  <c r="AA376" s="1"/>
  <c r="AA659"/>
  <c r="AA375" s="1"/>
  <c r="AA689"/>
  <c r="AA398" s="1"/>
  <c r="AA688"/>
  <c r="AA677"/>
  <c r="AA676"/>
  <c r="AA675"/>
  <c r="AA674"/>
  <c r="AA673"/>
  <c r="AA672"/>
  <c r="AA671"/>
  <c r="AA669"/>
  <c r="AA668"/>
  <c r="AA657"/>
  <c r="AA373" s="1"/>
  <c r="AA590"/>
  <c r="AA591" s="1"/>
  <c r="AA584"/>
  <c r="AA585" s="1"/>
  <c r="AA658"/>
  <c r="AA374" s="1"/>
  <c r="AA656"/>
  <c r="AA639"/>
  <c r="AA488"/>
  <c r="AA487"/>
  <c r="AA486"/>
  <c r="AA485"/>
  <c r="AA484"/>
  <c r="AA483"/>
  <c r="AA423"/>
  <c r="AA367"/>
  <c r="AA501"/>
  <c r="AA354"/>
  <c r="AA353"/>
  <c r="AA352"/>
  <c r="AA351"/>
  <c r="AA350"/>
  <c r="AA349"/>
  <c r="AA30"/>
  <c r="AA26"/>
  <c r="AA25"/>
  <c r="AA23"/>
  <c r="AA19"/>
  <c r="AA40"/>
  <c r="AB2"/>
  <c r="Z510"/>
  <c r="Z514"/>
  <c r="Z534"/>
  <c r="Z538"/>
  <c r="Z558"/>
  <c r="Z562"/>
  <c r="Z566"/>
  <c r="Z509"/>
  <c r="Z513"/>
  <c r="Z533"/>
  <c r="Z537"/>
  <c r="Z541"/>
  <c r="Z561"/>
  <c r="Z565"/>
  <c r="Y649" i="7"/>
  <c r="Y634" s="1"/>
  <c r="Y70" s="1"/>
  <c r="Z11" i="8"/>
  <c r="X598"/>
  <c r="X601" s="1"/>
  <c r="X621"/>
  <c r="X606" s="1"/>
  <c r="X60" s="1"/>
  <c r="X685"/>
  <c r="X670" s="1"/>
  <c r="X62" s="1"/>
  <c r="X653"/>
  <c r="X638" s="1"/>
  <c r="X61" s="1"/>
  <c r="W72"/>
  <c r="Y696"/>
  <c r="Y695"/>
  <c r="Y693"/>
  <c r="Y692"/>
  <c r="Y691"/>
  <c r="Y690"/>
  <c r="Y689"/>
  <c r="Y684"/>
  <c r="Y683"/>
  <c r="Y392" s="1"/>
  <c r="Y682"/>
  <c r="Y391" s="1"/>
  <c r="Y681"/>
  <c r="Y390" s="1"/>
  <c r="Y680"/>
  <c r="Y389" s="1"/>
  <c r="Y679"/>
  <c r="Y388" s="1"/>
  <c r="Y678"/>
  <c r="Y387" s="1"/>
  <c r="Y677"/>
  <c r="Y386" s="1"/>
  <c r="Y676"/>
  <c r="Y385" s="1"/>
  <c r="Y675"/>
  <c r="Y384" s="1"/>
  <c r="Y687"/>
  <c r="Y664"/>
  <c r="Y662"/>
  <c r="Y660"/>
  <c r="Y658"/>
  <c r="Y652"/>
  <c r="Y367" s="1"/>
  <c r="Y651"/>
  <c r="Y366" s="1"/>
  <c r="Y650"/>
  <c r="Y365" s="1"/>
  <c r="Y649"/>
  <c r="Y364" s="1"/>
  <c r="Y648"/>
  <c r="Y363" s="1"/>
  <c r="Y647"/>
  <c r="Y362" s="1"/>
  <c r="Y646"/>
  <c r="Y361" s="1"/>
  <c r="Y645"/>
  <c r="Y644"/>
  <c r="Y359" s="1"/>
  <c r="Y643"/>
  <c r="Y358" s="1"/>
  <c r="Y663"/>
  <c r="Y661"/>
  <c r="Y659"/>
  <c r="Y657"/>
  <c r="Y655"/>
  <c r="Y620"/>
  <c r="Y342" s="1"/>
  <c r="Y619"/>
  <c r="Y341" s="1"/>
  <c r="Y618"/>
  <c r="Y340" s="1"/>
  <c r="Y617"/>
  <c r="Y339" s="1"/>
  <c r="Y616"/>
  <c r="Y338" s="1"/>
  <c r="Y615"/>
  <c r="Y337" s="1"/>
  <c r="Y614"/>
  <c r="Y336" s="1"/>
  <c r="Y613"/>
  <c r="Y335" s="1"/>
  <c r="Y612"/>
  <c r="Y334" s="1"/>
  <c r="Y611"/>
  <c r="Y333" s="1"/>
  <c r="Y632"/>
  <c r="Y631"/>
  <c r="Y630"/>
  <c r="Y629"/>
  <c r="Y628"/>
  <c r="Y627"/>
  <c r="Y626"/>
  <c r="Y625"/>
  <c r="Y623"/>
  <c r="Y600"/>
  <c r="Y54" s="1"/>
  <c r="Y551"/>
  <c r="Y552" s="1"/>
  <c r="Y545"/>
  <c r="Y546" s="1"/>
  <c r="Y449"/>
  <c r="Y448"/>
  <c r="Y447"/>
  <c r="Y446"/>
  <c r="Y445"/>
  <c r="Y444"/>
  <c r="Y360"/>
  <c r="Y462"/>
  <c r="Y393"/>
  <c r="Y328"/>
  <c r="Y315"/>
  <c r="Y314"/>
  <c r="Y313"/>
  <c r="Y312"/>
  <c r="Y311"/>
  <c r="Y310"/>
  <c r="Y30"/>
  <c r="Y26"/>
  <c r="Y25"/>
  <c r="Y23"/>
  <c r="Y19"/>
  <c r="Y40"/>
  <c r="Z2"/>
  <c r="X329"/>
  <c r="X470"/>
  <c r="X467"/>
  <c r="X471"/>
  <c r="X475"/>
  <c r="X495"/>
  <c r="X499"/>
  <c r="X519"/>
  <c r="X523"/>
  <c r="X527"/>
  <c r="X474"/>
  <c r="X494"/>
  <c r="X498"/>
  <c r="X502"/>
  <c r="X522"/>
  <c r="X526"/>
  <c r="X27"/>
  <c r="X468"/>
  <c r="X469"/>
  <c r="X473"/>
  <c r="X493"/>
  <c r="X497"/>
  <c r="X501"/>
  <c r="X521"/>
  <c r="X525"/>
  <c r="X463"/>
  <c r="X472"/>
  <c r="X476"/>
  <c r="X496"/>
  <c r="X500"/>
  <c r="X520"/>
  <c r="X524"/>
  <c r="X528"/>
  <c r="Y27" i="7"/>
  <c r="AA11"/>
  <c r="Z550"/>
  <c r="Z548"/>
  <c r="Z544"/>
  <c r="Z535"/>
  <c r="Z534"/>
  <c r="Z528"/>
  <c r="Z527"/>
  <c r="Z660"/>
  <c r="Z659"/>
  <c r="Z657"/>
  <c r="Z656"/>
  <c r="Z655"/>
  <c r="Z654"/>
  <c r="Z653"/>
  <c r="Z651"/>
  <c r="Z648"/>
  <c r="Z322" s="1"/>
  <c r="Z647"/>
  <c r="Z646"/>
  <c r="Z320" s="1"/>
  <c r="Z645"/>
  <c r="Z319" s="1"/>
  <c r="Z644"/>
  <c r="Z318" s="1"/>
  <c r="Z643"/>
  <c r="Z317" s="1"/>
  <c r="Z642"/>
  <c r="Z316" s="1"/>
  <c r="Z641"/>
  <c r="Z315" s="1"/>
  <c r="Z640"/>
  <c r="Z314" s="1"/>
  <c r="Z639"/>
  <c r="Z313" s="1"/>
  <c r="Z628"/>
  <c r="Z627"/>
  <c r="Z626"/>
  <c r="Z625"/>
  <c r="Z624"/>
  <c r="Z623"/>
  <c r="Z622"/>
  <c r="Z621"/>
  <c r="Z619"/>
  <c r="Z616"/>
  <c r="Z296" s="1"/>
  <c r="Z615"/>
  <c r="Z295" s="1"/>
  <c r="Z614"/>
  <c r="Z294" s="1"/>
  <c r="Z613"/>
  <c r="Z293" s="1"/>
  <c r="Z612"/>
  <c r="Z292" s="1"/>
  <c r="Z611"/>
  <c r="Z291" s="1"/>
  <c r="Z610"/>
  <c r="Z290" s="1"/>
  <c r="Z609"/>
  <c r="Z289" s="1"/>
  <c r="Z608"/>
  <c r="Z288" s="1"/>
  <c r="Z607"/>
  <c r="Z287" s="1"/>
  <c r="Z596"/>
  <c r="Z595"/>
  <c r="Z594"/>
  <c r="Z593"/>
  <c r="Z592"/>
  <c r="Z591"/>
  <c r="Z590"/>
  <c r="Z589"/>
  <c r="Z587"/>
  <c r="Z584"/>
  <c r="Z271" s="1"/>
  <c r="Z583"/>
  <c r="Z270" s="1"/>
  <c r="Z582"/>
  <c r="Z269" s="1"/>
  <c r="Z581"/>
  <c r="Z268" s="1"/>
  <c r="Z580"/>
  <c r="Z267" s="1"/>
  <c r="Z579"/>
  <c r="Z266" s="1"/>
  <c r="Z578"/>
  <c r="Z265" s="1"/>
  <c r="Z577"/>
  <c r="Z264" s="1"/>
  <c r="Z576"/>
  <c r="Z263" s="1"/>
  <c r="Z575"/>
  <c r="Z262" s="1"/>
  <c r="Z480"/>
  <c r="Z481" s="1"/>
  <c r="Z474"/>
  <c r="Z475" s="1"/>
  <c r="Z564"/>
  <c r="Z62" s="1"/>
  <c r="Z545"/>
  <c r="Z391"/>
  <c r="Z378"/>
  <c r="Z377"/>
  <c r="Z376"/>
  <c r="Z375"/>
  <c r="Z374"/>
  <c r="Z373"/>
  <c r="Z321"/>
  <c r="Z244"/>
  <c r="Z243"/>
  <c r="Z242"/>
  <c r="Z241"/>
  <c r="Z240"/>
  <c r="Z239"/>
  <c r="Z257"/>
  <c r="Z30"/>
  <c r="Z26"/>
  <c r="Z25"/>
  <c r="Z23"/>
  <c r="Z19"/>
  <c r="Z40"/>
  <c r="AA2"/>
  <c r="Y258"/>
  <c r="Y396"/>
  <c r="Y404"/>
  <c r="Y398"/>
  <c r="Y397"/>
  <c r="Y401"/>
  <c r="Y405"/>
  <c r="Y425"/>
  <c r="Y429"/>
  <c r="Y449"/>
  <c r="Y453"/>
  <c r="Y457"/>
  <c r="Y422"/>
  <c r="Y426"/>
  <c r="Y430"/>
  <c r="Y450"/>
  <c r="Y454"/>
  <c r="Y392"/>
  <c r="Y166"/>
  <c r="Y130"/>
  <c r="Y55"/>
  <c r="Y61"/>
  <c r="Y585"/>
  <c r="Y570" s="1"/>
  <c r="Y68" s="1"/>
  <c r="Y617"/>
  <c r="Y602" s="1"/>
  <c r="Y69" s="1"/>
  <c r="X71"/>
  <c r="Y400"/>
  <c r="Y402"/>
  <c r="Y399"/>
  <c r="Y403"/>
  <c r="Y423"/>
  <c r="Y427"/>
  <c r="Y431"/>
  <c r="Y451"/>
  <c r="Y455"/>
  <c r="Y424"/>
  <c r="Y428"/>
  <c r="Y448"/>
  <c r="Y452"/>
  <c r="Y456"/>
  <c r="Y549"/>
  <c r="Y543"/>
  <c r="Z556"/>
  <c r="X540"/>
  <c r="X80"/>
  <c r="X81" s="1"/>
  <c r="Y565"/>
  <c r="Z562" s="1"/>
  <c r="L16" i="1"/>
  <c r="L35"/>
  <c r="AK36" i="2"/>
  <c r="A670"/>
  <c r="Z532" i="7" l="1"/>
  <c r="Z533" s="1"/>
  <c r="AA530"/>
  <c r="AA531"/>
  <c r="AA519"/>
  <c r="AA515"/>
  <c r="AA511"/>
  <c r="AA507"/>
  <c r="AA559"/>
  <c r="AA558"/>
  <c r="AA557"/>
  <c r="AA397" i="10"/>
  <c r="AA532" s="1"/>
  <c r="AA56"/>
  <c r="AA85"/>
  <c r="AA86" s="1"/>
  <c r="AB629"/>
  <c r="AB625"/>
  <c r="AB621"/>
  <c r="AB617"/>
  <c r="Y75"/>
  <c r="Z578" i="8"/>
  <c r="Z590"/>
  <c r="Z586"/>
  <c r="Z582"/>
  <c r="Z65" i="10"/>
  <c r="Z68" s="1"/>
  <c r="Z75" s="1"/>
  <c r="AA58"/>
  <c r="AA180"/>
  <c r="AA197" s="1"/>
  <c r="AA372"/>
  <c r="AA141"/>
  <c r="AA153" s="1"/>
  <c r="AA249"/>
  <c r="AA221"/>
  <c r="Z506"/>
  <c r="Z640"/>
  <c r="AA637" s="1"/>
  <c r="AA59"/>
  <c r="AC11"/>
  <c r="AB645"/>
  <c r="AB181" s="1"/>
  <c r="AB198" s="1"/>
  <c r="AB41"/>
  <c r="AB183" s="1"/>
  <c r="AB200" s="1"/>
  <c r="AA730"/>
  <c r="AA715" s="1"/>
  <c r="AA67" s="1"/>
  <c r="AA666"/>
  <c r="AA651" s="1"/>
  <c r="AA368"/>
  <c r="AA507"/>
  <c r="AA511"/>
  <c r="AA515"/>
  <c r="AA535"/>
  <c r="AA539"/>
  <c r="AA559"/>
  <c r="AA563"/>
  <c r="AA567"/>
  <c r="AA508"/>
  <c r="AA512"/>
  <c r="AA536"/>
  <c r="AA540"/>
  <c r="AA560"/>
  <c r="AA564"/>
  <c r="AA502"/>
  <c r="AA27"/>
  <c r="AA698"/>
  <c r="AA683" s="1"/>
  <c r="AA66" s="1"/>
  <c r="AB741"/>
  <c r="AB739"/>
  <c r="AB738"/>
  <c r="AB737"/>
  <c r="AB736"/>
  <c r="AB735"/>
  <c r="AB734"/>
  <c r="AB732"/>
  <c r="AB729"/>
  <c r="AB728"/>
  <c r="AB431" s="1"/>
  <c r="AB727"/>
  <c r="AB430" s="1"/>
  <c r="AB726"/>
  <c r="AB725"/>
  <c r="AB428" s="1"/>
  <c r="AB724"/>
  <c r="AB427" s="1"/>
  <c r="AB723"/>
  <c r="AB426" s="1"/>
  <c r="AB722"/>
  <c r="AB721"/>
  <c r="AB424" s="1"/>
  <c r="AB720"/>
  <c r="AB423" s="1"/>
  <c r="AB709"/>
  <c r="AB708"/>
  <c r="AB707"/>
  <c r="AB706"/>
  <c r="AB705"/>
  <c r="AB704"/>
  <c r="AB703"/>
  <c r="AB702"/>
  <c r="AB700"/>
  <c r="AB697"/>
  <c r="AB406" s="1"/>
  <c r="AB696"/>
  <c r="AB405" s="1"/>
  <c r="AB695"/>
  <c r="AB404" s="1"/>
  <c r="AB694"/>
  <c r="AB403" s="1"/>
  <c r="AB693"/>
  <c r="AB692"/>
  <c r="AB401" s="1"/>
  <c r="AB691"/>
  <c r="AB400" s="1"/>
  <c r="AB690"/>
  <c r="AB399" s="1"/>
  <c r="AB689"/>
  <c r="AB688"/>
  <c r="AB397" s="1"/>
  <c r="AB677"/>
  <c r="AB676"/>
  <c r="AB675"/>
  <c r="AB674"/>
  <c r="AB673"/>
  <c r="AB672"/>
  <c r="AB671"/>
  <c r="AB669"/>
  <c r="AB668"/>
  <c r="AB665"/>
  <c r="AB381" s="1"/>
  <c r="AB664"/>
  <c r="AB663"/>
  <c r="AB379" s="1"/>
  <c r="AB662"/>
  <c r="AB378" s="1"/>
  <c r="AB661"/>
  <c r="AB377" s="1"/>
  <c r="AB660"/>
  <c r="AB659"/>
  <c r="AB375" s="1"/>
  <c r="AB658"/>
  <c r="AB374" s="1"/>
  <c r="AB657"/>
  <c r="AB373" s="1"/>
  <c r="AB656"/>
  <c r="AB639"/>
  <c r="AB590"/>
  <c r="AB591" s="1"/>
  <c r="AB584"/>
  <c r="AB585" s="1"/>
  <c r="AB501"/>
  <c r="AB432"/>
  <c r="AB402"/>
  <c r="AB398"/>
  <c r="AB354"/>
  <c r="AB353"/>
  <c r="AB352"/>
  <c r="AB351"/>
  <c r="AB350"/>
  <c r="AB349"/>
  <c r="AB488"/>
  <c r="AB487"/>
  <c r="AB486"/>
  <c r="AB485"/>
  <c r="AB484"/>
  <c r="AB483"/>
  <c r="AB429"/>
  <c r="AB425"/>
  <c r="AB380"/>
  <c r="AB376"/>
  <c r="AB367"/>
  <c r="AB40"/>
  <c r="AB30"/>
  <c r="AB26"/>
  <c r="AB25"/>
  <c r="AB23"/>
  <c r="AB19"/>
  <c r="AC2"/>
  <c r="AA509"/>
  <c r="AA513"/>
  <c r="AA533"/>
  <c r="AA537"/>
  <c r="AA541"/>
  <c r="AA561"/>
  <c r="AA565"/>
  <c r="AA510"/>
  <c r="AA514"/>
  <c r="AA534"/>
  <c r="AA538"/>
  <c r="AA558"/>
  <c r="AA562"/>
  <c r="AA566"/>
  <c r="Z565" i="7"/>
  <c r="AA562" s="1"/>
  <c r="AA11" i="8"/>
  <c r="Y598"/>
  <c r="X63"/>
  <c r="Y601"/>
  <c r="Y685"/>
  <c r="Y670" s="1"/>
  <c r="Y62" s="1"/>
  <c r="Z696"/>
  <c r="Z695"/>
  <c r="Z693"/>
  <c r="Z692"/>
  <c r="Z691"/>
  <c r="Z690"/>
  <c r="Z689"/>
  <c r="Z687"/>
  <c r="Z684"/>
  <c r="Z393" s="1"/>
  <c r="Z683"/>
  <c r="Z392" s="1"/>
  <c r="Z682"/>
  <c r="Z681"/>
  <c r="Z680"/>
  <c r="Z389" s="1"/>
  <c r="Z679"/>
  <c r="Z388" s="1"/>
  <c r="Z678"/>
  <c r="Z387" s="1"/>
  <c r="Z677"/>
  <c r="Z676"/>
  <c r="Z385" s="1"/>
  <c r="Z675"/>
  <c r="Z384" s="1"/>
  <c r="Z664"/>
  <c r="Z663"/>
  <c r="Z662"/>
  <c r="Z661"/>
  <c r="Z660"/>
  <c r="Z659"/>
  <c r="Z658"/>
  <c r="Z657"/>
  <c r="Z655"/>
  <c r="Z652"/>
  <c r="Z367" s="1"/>
  <c r="Z651"/>
  <c r="Z366" s="1"/>
  <c r="Z650"/>
  <c r="Z365" s="1"/>
  <c r="Z649"/>
  <c r="Z364" s="1"/>
  <c r="Z648"/>
  <c r="Z363" s="1"/>
  <c r="Z647"/>
  <c r="Z362" s="1"/>
  <c r="Z646"/>
  <c r="Z361" s="1"/>
  <c r="Z645"/>
  <c r="Z360" s="1"/>
  <c r="Z644"/>
  <c r="Z643"/>
  <c r="Z358" s="1"/>
  <c r="Z632"/>
  <c r="Z631"/>
  <c r="Z630"/>
  <c r="Z629"/>
  <c r="Z628"/>
  <c r="Z627"/>
  <c r="Z626"/>
  <c r="Z625"/>
  <c r="Z623"/>
  <c r="Z620"/>
  <c r="Z342" s="1"/>
  <c r="Z619"/>
  <c r="Z341" s="1"/>
  <c r="Z618"/>
  <c r="Z340" s="1"/>
  <c r="Z617"/>
  <c r="Z339" s="1"/>
  <c r="Z616"/>
  <c r="Z338" s="1"/>
  <c r="Z615"/>
  <c r="Z337" s="1"/>
  <c r="Z614"/>
  <c r="Z336" s="1"/>
  <c r="Z613"/>
  <c r="Z335" s="1"/>
  <c r="Z612"/>
  <c r="Z334" s="1"/>
  <c r="Z611"/>
  <c r="Z551"/>
  <c r="Z552" s="1"/>
  <c r="Z545"/>
  <c r="Z546" s="1"/>
  <c r="Z600"/>
  <c r="Z54" s="1"/>
  <c r="Z462"/>
  <c r="Z391"/>
  <c r="Z359"/>
  <c r="Z449"/>
  <c r="Z448"/>
  <c r="Z447"/>
  <c r="Z446"/>
  <c r="Z445"/>
  <c r="Z444"/>
  <c r="Z390"/>
  <c r="Z386"/>
  <c r="Z333"/>
  <c r="Z328"/>
  <c r="Z315"/>
  <c r="Z314"/>
  <c r="Z313"/>
  <c r="Z312"/>
  <c r="Z311"/>
  <c r="Z310"/>
  <c r="Z40"/>
  <c r="AA2"/>
  <c r="Z30"/>
  <c r="Z26"/>
  <c r="Z25"/>
  <c r="Z23"/>
  <c r="Z19"/>
  <c r="Y329"/>
  <c r="Y469"/>
  <c r="Y470"/>
  <c r="Y474"/>
  <c r="Y494"/>
  <c r="Y498"/>
  <c r="Y502"/>
  <c r="Y522"/>
  <c r="Y526"/>
  <c r="Y473"/>
  <c r="Y493"/>
  <c r="Y497"/>
  <c r="Y501"/>
  <c r="Y521"/>
  <c r="Y525"/>
  <c r="Y463"/>
  <c r="Y27"/>
  <c r="Y621"/>
  <c r="Y606" s="1"/>
  <c r="Y60" s="1"/>
  <c r="Y653"/>
  <c r="Y638" s="1"/>
  <c r="Y61" s="1"/>
  <c r="X72"/>
  <c r="Y467"/>
  <c r="Y468"/>
  <c r="Y472"/>
  <c r="Y476"/>
  <c r="Y496"/>
  <c r="Y500"/>
  <c r="Y520"/>
  <c r="Y524"/>
  <c r="Y528"/>
  <c r="Y471"/>
  <c r="Y475"/>
  <c r="Y495"/>
  <c r="Y499"/>
  <c r="Y519"/>
  <c r="Y523"/>
  <c r="Y527"/>
  <c r="AA550" i="7"/>
  <c r="AA548"/>
  <c r="AA544"/>
  <c r="AA535"/>
  <c r="AA534"/>
  <c r="AA528"/>
  <c r="AA527"/>
  <c r="AB11"/>
  <c r="Y540"/>
  <c r="Y80"/>
  <c r="Y81" s="1"/>
  <c r="AA660"/>
  <c r="AA658"/>
  <c r="AA657"/>
  <c r="AA656"/>
  <c r="AA655"/>
  <c r="AA654"/>
  <c r="AA653"/>
  <c r="AA648"/>
  <c r="AA322" s="1"/>
  <c r="AA647"/>
  <c r="AA646"/>
  <c r="AA320" s="1"/>
  <c r="AA645"/>
  <c r="AA319" s="1"/>
  <c r="AA644"/>
  <c r="AA318" s="1"/>
  <c r="AA643"/>
  <c r="AA317" s="1"/>
  <c r="AA642"/>
  <c r="AA316" s="1"/>
  <c r="AA641"/>
  <c r="AA315" s="1"/>
  <c r="AA651"/>
  <c r="AA639"/>
  <c r="AA313" s="1"/>
  <c r="AA616"/>
  <c r="AA296" s="1"/>
  <c r="AA615"/>
  <c r="AA295" s="1"/>
  <c r="AA614"/>
  <c r="AA294" s="1"/>
  <c r="AA613"/>
  <c r="AA293" s="1"/>
  <c r="AA612"/>
  <c r="AA292" s="1"/>
  <c r="AA611"/>
  <c r="AA291" s="1"/>
  <c r="AA610"/>
  <c r="AA290" s="1"/>
  <c r="AA640"/>
  <c r="AA314" s="1"/>
  <c r="AA628"/>
  <c r="AA627"/>
  <c r="AA626"/>
  <c r="AA625"/>
  <c r="AA624"/>
  <c r="AA623"/>
  <c r="AA622"/>
  <c r="AA621"/>
  <c r="AA619"/>
  <c r="AA584"/>
  <c r="AA583"/>
  <c r="AA270" s="1"/>
  <c r="AA582"/>
  <c r="AA269" s="1"/>
  <c r="AA581"/>
  <c r="AA268" s="1"/>
  <c r="AA580"/>
  <c r="AA267" s="1"/>
  <c r="AA579"/>
  <c r="AA266" s="1"/>
  <c r="AA609"/>
  <c r="AA289" s="1"/>
  <c r="AA608"/>
  <c r="AA288" s="1"/>
  <c r="AA607"/>
  <c r="AA287" s="1"/>
  <c r="AA596"/>
  <c r="AA595"/>
  <c r="AA594"/>
  <c r="AA593"/>
  <c r="AA592"/>
  <c r="AA591"/>
  <c r="AA590"/>
  <c r="AA588"/>
  <c r="AA587"/>
  <c r="AA577"/>
  <c r="AA264" s="1"/>
  <c r="AA564"/>
  <c r="AA62" s="1"/>
  <c r="AA545"/>
  <c r="AA578"/>
  <c r="AA265" s="1"/>
  <c r="AA576"/>
  <c r="AA263" s="1"/>
  <c r="AA575"/>
  <c r="AA262" s="1"/>
  <c r="AA480"/>
  <c r="AA481" s="1"/>
  <c r="AA474"/>
  <c r="AA475" s="1"/>
  <c r="AA378"/>
  <c r="AA377"/>
  <c r="AA376"/>
  <c r="AA375"/>
  <c r="AA374"/>
  <c r="AA373"/>
  <c r="AA321"/>
  <c r="AA391"/>
  <c r="AA271"/>
  <c r="AA257"/>
  <c r="AA244"/>
  <c r="AA243"/>
  <c r="AA242"/>
  <c r="AA241"/>
  <c r="AA240"/>
  <c r="AA239"/>
  <c r="AA40"/>
  <c r="AB2"/>
  <c r="AA30"/>
  <c r="AA26"/>
  <c r="AA25"/>
  <c r="AA23"/>
  <c r="AA19"/>
  <c r="Z403"/>
  <c r="Z401"/>
  <c r="Z396"/>
  <c r="Z400"/>
  <c r="Z404"/>
  <c r="Z424"/>
  <c r="Z428"/>
  <c r="Z448"/>
  <c r="Z452"/>
  <c r="Z456"/>
  <c r="Z425"/>
  <c r="Z429"/>
  <c r="Z449"/>
  <c r="Z453"/>
  <c r="Z457"/>
  <c r="Z549"/>
  <c r="Z543"/>
  <c r="AA556"/>
  <c r="Z166"/>
  <c r="Z130"/>
  <c r="Z55"/>
  <c r="Z27"/>
  <c r="Z61"/>
  <c r="Z585"/>
  <c r="Z570" s="1"/>
  <c r="Z68" s="1"/>
  <c r="Z617"/>
  <c r="Z602" s="1"/>
  <c r="Z69" s="1"/>
  <c r="Z649"/>
  <c r="Z634" s="1"/>
  <c r="Z70" s="1"/>
  <c r="Z399"/>
  <c r="Z258"/>
  <c r="Z397"/>
  <c r="Z405"/>
  <c r="Z398"/>
  <c r="Z402"/>
  <c r="Z422"/>
  <c r="Z426"/>
  <c r="Z430"/>
  <c r="Z450"/>
  <c r="Z454"/>
  <c r="Z392"/>
  <c r="Z423"/>
  <c r="Z427"/>
  <c r="Z431"/>
  <c r="Z451"/>
  <c r="Z455"/>
  <c r="Y71"/>
  <c r="L17" i="1"/>
  <c r="L36"/>
  <c r="AL36" i="2"/>
  <c r="C166" i="1"/>
  <c r="D166"/>
  <c r="E166"/>
  <c r="B166"/>
  <c r="AA565" i="7" l="1"/>
  <c r="AB562" s="1"/>
  <c r="AA532"/>
  <c r="AA533" s="1"/>
  <c r="AB530"/>
  <c r="AB531"/>
  <c r="AB519"/>
  <c r="AB515"/>
  <c r="AB511"/>
  <c r="AB507"/>
  <c r="AB559"/>
  <c r="AB558"/>
  <c r="AB557"/>
  <c r="AB56" i="10"/>
  <c r="AB85"/>
  <c r="AB86" s="1"/>
  <c r="AC629"/>
  <c r="AC625"/>
  <c r="AC621"/>
  <c r="AC617"/>
  <c r="AB372"/>
  <c r="AB506" s="1"/>
  <c r="AA590" i="8"/>
  <c r="AA586"/>
  <c r="AA582"/>
  <c r="AA578"/>
  <c r="AA506" i="10"/>
  <c r="AA65"/>
  <c r="AA68" s="1"/>
  <c r="AA75" s="1"/>
  <c r="Z179"/>
  <c r="Z196" s="1"/>
  <c r="AB58"/>
  <c r="AB180"/>
  <c r="AB197" s="1"/>
  <c r="AB141"/>
  <c r="AB153" s="1"/>
  <c r="AB249"/>
  <c r="AB221"/>
  <c r="AA640"/>
  <c r="AB637" s="1"/>
  <c r="AB59"/>
  <c r="AD11"/>
  <c r="AC645"/>
  <c r="AC181" s="1"/>
  <c r="AC198" s="1"/>
  <c r="AC41"/>
  <c r="AC183" s="1"/>
  <c r="AC200" s="1"/>
  <c r="AB698"/>
  <c r="AB683" s="1"/>
  <c r="AB66" s="1"/>
  <c r="AB666"/>
  <c r="AB651" s="1"/>
  <c r="AB730"/>
  <c r="AB715" s="1"/>
  <c r="AB67" s="1"/>
  <c r="AC741"/>
  <c r="AC739"/>
  <c r="AC738"/>
  <c r="AC737"/>
  <c r="AC736"/>
  <c r="AC735"/>
  <c r="AC734"/>
  <c r="AC729"/>
  <c r="AC432" s="1"/>
  <c r="AC728"/>
  <c r="AC431" s="1"/>
  <c r="AC727"/>
  <c r="AC430" s="1"/>
  <c r="AC726"/>
  <c r="AC429" s="1"/>
  <c r="AC725"/>
  <c r="AC428" s="1"/>
  <c r="AC724"/>
  <c r="AC427" s="1"/>
  <c r="AC723"/>
  <c r="AC426" s="1"/>
  <c r="AC722"/>
  <c r="AC425" s="1"/>
  <c r="AC721"/>
  <c r="AC424" s="1"/>
  <c r="AC732"/>
  <c r="AC720"/>
  <c r="AC697"/>
  <c r="AC406" s="1"/>
  <c r="AC696"/>
  <c r="AC405" s="1"/>
  <c r="AC695"/>
  <c r="AC404" s="1"/>
  <c r="AC694"/>
  <c r="AC403" s="1"/>
  <c r="AC693"/>
  <c r="AC692"/>
  <c r="AC401" s="1"/>
  <c r="AC691"/>
  <c r="AC400" s="1"/>
  <c r="AC690"/>
  <c r="AC399" s="1"/>
  <c r="AC709"/>
  <c r="AC708"/>
  <c r="AC707"/>
  <c r="AC706"/>
  <c r="AC705"/>
  <c r="AC704"/>
  <c r="AC703"/>
  <c r="AC702"/>
  <c r="AC700"/>
  <c r="AC665"/>
  <c r="AC381" s="1"/>
  <c r="AC664"/>
  <c r="AC380" s="1"/>
  <c r="AC663"/>
  <c r="AC379" s="1"/>
  <c r="AC662"/>
  <c r="AC378" s="1"/>
  <c r="AC661"/>
  <c r="AC377" s="1"/>
  <c r="AC660"/>
  <c r="AC376" s="1"/>
  <c r="AC659"/>
  <c r="AC375" s="1"/>
  <c r="AC689"/>
  <c r="AC398" s="1"/>
  <c r="AC688"/>
  <c r="AC397" s="1"/>
  <c r="AC677"/>
  <c r="AC676"/>
  <c r="AC675"/>
  <c r="AC674"/>
  <c r="AC673"/>
  <c r="AC672"/>
  <c r="AC671"/>
  <c r="AC669"/>
  <c r="AC668"/>
  <c r="AC658"/>
  <c r="AC374" s="1"/>
  <c r="AC656"/>
  <c r="AC590"/>
  <c r="AC591" s="1"/>
  <c r="AC584"/>
  <c r="AC585" s="1"/>
  <c r="AC657"/>
  <c r="AC373" s="1"/>
  <c r="AC639"/>
  <c r="AC488"/>
  <c r="AC487"/>
  <c r="AC486"/>
  <c r="AC485"/>
  <c r="AC484"/>
  <c r="AC483"/>
  <c r="AC423"/>
  <c r="AC367"/>
  <c r="AC501"/>
  <c r="AC402"/>
  <c r="AC354"/>
  <c r="AC353"/>
  <c r="AC352"/>
  <c r="AC351"/>
  <c r="AC350"/>
  <c r="AC349"/>
  <c r="AC30"/>
  <c r="AC26"/>
  <c r="AC25"/>
  <c r="AC23"/>
  <c r="AC19"/>
  <c r="AC40"/>
  <c r="AD2"/>
  <c r="AB508"/>
  <c r="AB512"/>
  <c r="AB532"/>
  <c r="AB536"/>
  <c r="AB540"/>
  <c r="AB560"/>
  <c r="AB564"/>
  <c r="AB502"/>
  <c r="AB368"/>
  <c r="AB507"/>
  <c r="AB511"/>
  <c r="AB515"/>
  <c r="AB535"/>
  <c r="AB539"/>
  <c r="AB559"/>
  <c r="AB563"/>
  <c r="AB567"/>
  <c r="AB27"/>
  <c r="AB510"/>
  <c r="AB514"/>
  <c r="AB534"/>
  <c r="AB538"/>
  <c r="AB558"/>
  <c r="AB562"/>
  <c r="AB566"/>
  <c r="AB509"/>
  <c r="AB513"/>
  <c r="AB533"/>
  <c r="AB537"/>
  <c r="AB541"/>
  <c r="AB561"/>
  <c r="AB565"/>
  <c r="AB11" i="8"/>
  <c r="Z598"/>
  <c r="Z601" s="1"/>
  <c r="Z621"/>
  <c r="Z606" s="1"/>
  <c r="Z60" s="1"/>
  <c r="Z685"/>
  <c r="Z670" s="1"/>
  <c r="Z62" s="1"/>
  <c r="Z653"/>
  <c r="Z638" s="1"/>
  <c r="Z61" s="1"/>
  <c r="Z470"/>
  <c r="Z469"/>
  <c r="Z473"/>
  <c r="Z493"/>
  <c r="Z497"/>
  <c r="Z501"/>
  <c r="Z521"/>
  <c r="Z525"/>
  <c r="Z463"/>
  <c r="Z472"/>
  <c r="Z476"/>
  <c r="Z496"/>
  <c r="Z500"/>
  <c r="Z520"/>
  <c r="Z524"/>
  <c r="Z528"/>
  <c r="Y63"/>
  <c r="Y72"/>
  <c r="AA696"/>
  <c r="AA694"/>
  <c r="AA693"/>
  <c r="AA692"/>
  <c r="AA691"/>
  <c r="AA690"/>
  <c r="AA689"/>
  <c r="AA684"/>
  <c r="AA393" s="1"/>
  <c r="AA683"/>
  <c r="AA392" s="1"/>
  <c r="AA682"/>
  <c r="AA391" s="1"/>
  <c r="AA681"/>
  <c r="AA390" s="1"/>
  <c r="AA680"/>
  <c r="AA389" s="1"/>
  <c r="AA679"/>
  <c r="AA388" s="1"/>
  <c r="AA678"/>
  <c r="AA387" s="1"/>
  <c r="AA677"/>
  <c r="AA386" s="1"/>
  <c r="AA676"/>
  <c r="AA385" s="1"/>
  <c r="AA675"/>
  <c r="AA384" s="1"/>
  <c r="AA687"/>
  <c r="AA663"/>
  <c r="AA661"/>
  <c r="AA659"/>
  <c r="AA652"/>
  <c r="AA367" s="1"/>
  <c r="AA651"/>
  <c r="AA366" s="1"/>
  <c r="AA650"/>
  <c r="AA365" s="1"/>
  <c r="AA649"/>
  <c r="AA364" s="1"/>
  <c r="AA648"/>
  <c r="AA363" s="1"/>
  <c r="AA647"/>
  <c r="AA362" s="1"/>
  <c r="AA646"/>
  <c r="AA645"/>
  <c r="AA360" s="1"/>
  <c r="AA644"/>
  <c r="AA359" s="1"/>
  <c r="AA643"/>
  <c r="AA358" s="1"/>
  <c r="AA664"/>
  <c r="AA662"/>
  <c r="AA660"/>
  <c r="AA658"/>
  <c r="AA657"/>
  <c r="AA655"/>
  <c r="AA620"/>
  <c r="AA342" s="1"/>
  <c r="AA619"/>
  <c r="AA341" s="1"/>
  <c r="AA618"/>
  <c r="AA340" s="1"/>
  <c r="AA617"/>
  <c r="AA339" s="1"/>
  <c r="AA616"/>
  <c r="AA338" s="1"/>
  <c r="AA615"/>
  <c r="AA337" s="1"/>
  <c r="AA614"/>
  <c r="AA336" s="1"/>
  <c r="AA613"/>
  <c r="AA335" s="1"/>
  <c r="AA612"/>
  <c r="AA334" s="1"/>
  <c r="AA611"/>
  <c r="AA333" s="1"/>
  <c r="AA632"/>
  <c r="AA631"/>
  <c r="AA630"/>
  <c r="AA629"/>
  <c r="AA628"/>
  <c r="AA627"/>
  <c r="AA626"/>
  <c r="AA624"/>
  <c r="AA623"/>
  <c r="AA600"/>
  <c r="AA54" s="1"/>
  <c r="AA551"/>
  <c r="AA552" s="1"/>
  <c r="AA545"/>
  <c r="AA546" s="1"/>
  <c r="AA449"/>
  <c r="AA448"/>
  <c r="AA447"/>
  <c r="AA446"/>
  <c r="AA445"/>
  <c r="AA444"/>
  <c r="AA462"/>
  <c r="AA361"/>
  <c r="AA328"/>
  <c r="AA315"/>
  <c r="AA314"/>
  <c r="AA313"/>
  <c r="AA312"/>
  <c r="AA311"/>
  <c r="AA310"/>
  <c r="AA30"/>
  <c r="AA26"/>
  <c r="AA25"/>
  <c r="AA23"/>
  <c r="AA19"/>
  <c r="AA40"/>
  <c r="AB2"/>
  <c r="Z329"/>
  <c r="Z468"/>
  <c r="Z467"/>
  <c r="Z471"/>
  <c r="Z475"/>
  <c r="Z495"/>
  <c r="Z499"/>
  <c r="Z519"/>
  <c r="Z523"/>
  <c r="Z527"/>
  <c r="Z474"/>
  <c r="Z494"/>
  <c r="Z498"/>
  <c r="Z502"/>
  <c r="Z522"/>
  <c r="Z526"/>
  <c r="AA617" i="7"/>
  <c r="AA602" s="1"/>
  <c r="AA69" s="1"/>
  <c r="Z27" i="8"/>
  <c r="AA585" i="7"/>
  <c r="AA570" s="1"/>
  <c r="AA68" s="1"/>
  <c r="AC11"/>
  <c r="AB550"/>
  <c r="AB548"/>
  <c r="AB544"/>
  <c r="AB535"/>
  <c r="AB534"/>
  <c r="AB545" s="1"/>
  <c r="AB528"/>
  <c r="AB527"/>
  <c r="AA61"/>
  <c r="AB660"/>
  <c r="AB658"/>
  <c r="AB657"/>
  <c r="AB656"/>
  <c r="AB655"/>
  <c r="AB654"/>
  <c r="AB653"/>
  <c r="AB651"/>
  <c r="AB648"/>
  <c r="AB322" s="1"/>
  <c r="AB647"/>
  <c r="AB321" s="1"/>
  <c r="AB646"/>
  <c r="AB320" s="1"/>
  <c r="AB645"/>
  <c r="AB319" s="1"/>
  <c r="AB644"/>
  <c r="AB318" s="1"/>
  <c r="AB643"/>
  <c r="AB317" s="1"/>
  <c r="AB642"/>
  <c r="AB316" s="1"/>
  <c r="AB641"/>
  <c r="AB315" s="1"/>
  <c r="AB640"/>
  <c r="AB314" s="1"/>
  <c r="AB639"/>
  <c r="AB313" s="1"/>
  <c r="AB628"/>
  <c r="AB627"/>
  <c r="AB626"/>
  <c r="AB625"/>
  <c r="AB624"/>
  <c r="AB623"/>
  <c r="AB622"/>
  <c r="AB621"/>
  <c r="AB619"/>
  <c r="AB616"/>
  <c r="AB296" s="1"/>
  <c r="AB615"/>
  <c r="AB295" s="1"/>
  <c r="AB614"/>
  <c r="AB613"/>
  <c r="AB293" s="1"/>
  <c r="AB612"/>
  <c r="AB292" s="1"/>
  <c r="AB611"/>
  <c r="AB291" s="1"/>
  <c r="AB610"/>
  <c r="AB290" s="1"/>
  <c r="AB609"/>
  <c r="AB289" s="1"/>
  <c r="AB608"/>
  <c r="AB288" s="1"/>
  <c r="AB607"/>
  <c r="AB287" s="1"/>
  <c r="AB596"/>
  <c r="AB595"/>
  <c r="AB594"/>
  <c r="AB593"/>
  <c r="AB592"/>
  <c r="AB591"/>
  <c r="AB590"/>
  <c r="AB588"/>
  <c r="AB587"/>
  <c r="AB584"/>
  <c r="AB271" s="1"/>
  <c r="AB583"/>
  <c r="AB270" s="1"/>
  <c r="AB582"/>
  <c r="AB269" s="1"/>
  <c r="AB581"/>
  <c r="AB268" s="1"/>
  <c r="AB580"/>
  <c r="AB267" s="1"/>
  <c r="AB579"/>
  <c r="AB266" s="1"/>
  <c r="AB578"/>
  <c r="AB265" s="1"/>
  <c r="AB577"/>
  <c r="AB264" s="1"/>
  <c r="AB576"/>
  <c r="AB263" s="1"/>
  <c r="AB575"/>
  <c r="AB262" s="1"/>
  <c r="AB480"/>
  <c r="AB481" s="1"/>
  <c r="AB474"/>
  <c r="AB475" s="1"/>
  <c r="AB564"/>
  <c r="AB62" s="1"/>
  <c r="AB391"/>
  <c r="AB294"/>
  <c r="AB378"/>
  <c r="AB377"/>
  <c r="AB376"/>
  <c r="AB375"/>
  <c r="AB374"/>
  <c r="AB373"/>
  <c r="AB257"/>
  <c r="AB244"/>
  <c r="AB243"/>
  <c r="AB242"/>
  <c r="AB241"/>
  <c r="AB240"/>
  <c r="AB239"/>
  <c r="AB30"/>
  <c r="AB26"/>
  <c r="AB25"/>
  <c r="AB23"/>
  <c r="AB19"/>
  <c r="AB40"/>
  <c r="AC2"/>
  <c r="AA402"/>
  <c r="AA396"/>
  <c r="AA404"/>
  <c r="AA399"/>
  <c r="AA403"/>
  <c r="AA423"/>
  <c r="AA427"/>
  <c r="AA431"/>
  <c r="AA451"/>
  <c r="AA455"/>
  <c r="AA424"/>
  <c r="AA428"/>
  <c r="AA448"/>
  <c r="AA452"/>
  <c r="AA456"/>
  <c r="AA549"/>
  <c r="AA543"/>
  <c r="AB556"/>
  <c r="Z71"/>
  <c r="AA27"/>
  <c r="AA649"/>
  <c r="AA634" s="1"/>
  <c r="AA70" s="1"/>
  <c r="Z540"/>
  <c r="Z80"/>
  <c r="Z81" s="1"/>
  <c r="AA258"/>
  <c r="AA398"/>
  <c r="AA400"/>
  <c r="AA397"/>
  <c r="AA401"/>
  <c r="AA405"/>
  <c r="AA425"/>
  <c r="AA429"/>
  <c r="AA449"/>
  <c r="AA453"/>
  <c r="AA457"/>
  <c r="AA422"/>
  <c r="AA426"/>
  <c r="AA430"/>
  <c r="AA450"/>
  <c r="AA454"/>
  <c r="AA392"/>
  <c r="AA166"/>
  <c r="AA130"/>
  <c r="AA55"/>
  <c r="L18" i="1"/>
  <c r="L37"/>
  <c r="AM36" i="2"/>
  <c r="K421"/>
  <c r="K287"/>
  <c r="AA71" i="7" l="1"/>
  <c r="AB532"/>
  <c r="AB533" s="1"/>
  <c r="AC530"/>
  <c r="AC531"/>
  <c r="AC519"/>
  <c r="AC515"/>
  <c r="AC511"/>
  <c r="AC507"/>
  <c r="AC559"/>
  <c r="AC558"/>
  <c r="AC557"/>
  <c r="AC56" i="10"/>
  <c r="AC85"/>
  <c r="AC86" s="1"/>
  <c r="AC372"/>
  <c r="AD629"/>
  <c r="AD625"/>
  <c r="AD621"/>
  <c r="AD617"/>
  <c r="AB578" i="8"/>
  <c r="AB590"/>
  <c r="AB586"/>
  <c r="AB582"/>
  <c r="AB65" i="10"/>
  <c r="AB68" s="1"/>
  <c r="AB75" s="1"/>
  <c r="AA179"/>
  <c r="AA196" s="1"/>
  <c r="AC58"/>
  <c r="AC180"/>
  <c r="AC197" s="1"/>
  <c r="AC141"/>
  <c r="AC153" s="1"/>
  <c r="AC249"/>
  <c r="AC221"/>
  <c r="AC730"/>
  <c r="AC715" s="1"/>
  <c r="AC67" s="1"/>
  <c r="AB640"/>
  <c r="AC637" s="1"/>
  <c r="AC59"/>
  <c r="AE11"/>
  <c r="AD645"/>
  <c r="AD181" s="1"/>
  <c r="AD198" s="1"/>
  <c r="AD41"/>
  <c r="AD183" s="1"/>
  <c r="AD200" s="1"/>
  <c r="AC27"/>
  <c r="AD740"/>
  <c r="AD739"/>
  <c r="AD738"/>
  <c r="AD737"/>
  <c r="AD736"/>
  <c r="AD735"/>
  <c r="AD734"/>
  <c r="AD732"/>
  <c r="AD729"/>
  <c r="AD728"/>
  <c r="AD431" s="1"/>
  <c r="AD727"/>
  <c r="AD430" s="1"/>
  <c r="AD726"/>
  <c r="AD429" s="1"/>
  <c r="AD725"/>
  <c r="AD428" s="1"/>
  <c r="AD724"/>
  <c r="AD427" s="1"/>
  <c r="AD723"/>
  <c r="AD426" s="1"/>
  <c r="AD722"/>
  <c r="AD425" s="1"/>
  <c r="AD721"/>
  <c r="AD424" s="1"/>
  <c r="AD720"/>
  <c r="AD423" s="1"/>
  <c r="AD709"/>
  <c r="AD708"/>
  <c r="AD707"/>
  <c r="AD706"/>
  <c r="AD705"/>
  <c r="AD704"/>
  <c r="AD703"/>
  <c r="AD702"/>
  <c r="AD700"/>
  <c r="AD697"/>
  <c r="AD696"/>
  <c r="AD405" s="1"/>
  <c r="AD695"/>
  <c r="AD404" s="1"/>
  <c r="AD694"/>
  <c r="AD403" s="1"/>
  <c r="AD693"/>
  <c r="AD402" s="1"/>
  <c r="AD692"/>
  <c r="AD401" s="1"/>
  <c r="AD691"/>
  <c r="AD400" s="1"/>
  <c r="AD690"/>
  <c r="AD399" s="1"/>
  <c r="AD689"/>
  <c r="AD398" s="1"/>
  <c r="AD688"/>
  <c r="AD397" s="1"/>
  <c r="AD677"/>
  <c r="AD676"/>
  <c r="AD675"/>
  <c r="AD674"/>
  <c r="AD673"/>
  <c r="AD672"/>
  <c r="AD671"/>
  <c r="AD669"/>
  <c r="AD668"/>
  <c r="AD665"/>
  <c r="AD381" s="1"/>
  <c r="AD664"/>
  <c r="AD380" s="1"/>
  <c r="AD663"/>
  <c r="AD379" s="1"/>
  <c r="AD662"/>
  <c r="AD378" s="1"/>
  <c r="AD661"/>
  <c r="AD377" s="1"/>
  <c r="AD660"/>
  <c r="AD376" s="1"/>
  <c r="AD659"/>
  <c r="AD375" s="1"/>
  <c r="AD658"/>
  <c r="AD374" s="1"/>
  <c r="AD657"/>
  <c r="AD373" s="1"/>
  <c r="AD656"/>
  <c r="AD372" s="1"/>
  <c r="AD639"/>
  <c r="AD590"/>
  <c r="AD591" s="1"/>
  <c r="AD584"/>
  <c r="AD585" s="1"/>
  <c r="AD501"/>
  <c r="AD432"/>
  <c r="AD406"/>
  <c r="AD354"/>
  <c r="AD353"/>
  <c r="AD352"/>
  <c r="AD351"/>
  <c r="AD350"/>
  <c r="AD349"/>
  <c r="AD488"/>
  <c r="AD487"/>
  <c r="AD486"/>
  <c r="AD485"/>
  <c r="AD484"/>
  <c r="AD483"/>
  <c r="AD367"/>
  <c r="AD40"/>
  <c r="AE2"/>
  <c r="AD30"/>
  <c r="AD26"/>
  <c r="AD25"/>
  <c r="AD23"/>
  <c r="AD19"/>
  <c r="AC368"/>
  <c r="AC507"/>
  <c r="AC511"/>
  <c r="AC515"/>
  <c r="AC535"/>
  <c r="AC539"/>
  <c r="AC559"/>
  <c r="AC563"/>
  <c r="AC567"/>
  <c r="AC508"/>
  <c r="AC512"/>
  <c r="AC532"/>
  <c r="AC536"/>
  <c r="AC540"/>
  <c r="AC560"/>
  <c r="AC564"/>
  <c r="AC502"/>
  <c r="AC666"/>
  <c r="AC651" s="1"/>
  <c r="AC698"/>
  <c r="AC683" s="1"/>
  <c r="AC66" s="1"/>
  <c r="AC509"/>
  <c r="AC513"/>
  <c r="AC533"/>
  <c r="AC537"/>
  <c r="AC541"/>
  <c r="AC561"/>
  <c r="AC565"/>
  <c r="AC506"/>
  <c r="AC510"/>
  <c r="AC514"/>
  <c r="AC534"/>
  <c r="AC538"/>
  <c r="AC558"/>
  <c r="AC562"/>
  <c r="AC566"/>
  <c r="AB565" i="7"/>
  <c r="AC562" s="1"/>
  <c r="AC11" i="8"/>
  <c r="AA598"/>
  <c r="AA601" s="1"/>
  <c r="AB585" i="7"/>
  <c r="AB570" s="1"/>
  <c r="AB68" s="1"/>
  <c r="AB649"/>
  <c r="AB634" s="1"/>
  <c r="AB70" s="1"/>
  <c r="Z63" i="8"/>
  <c r="AA27"/>
  <c r="AA621"/>
  <c r="AA606" s="1"/>
  <c r="AA60" s="1"/>
  <c r="AA468"/>
  <c r="AA472"/>
  <c r="AA476"/>
  <c r="AA496"/>
  <c r="AA500"/>
  <c r="AA520"/>
  <c r="AA524"/>
  <c r="AA528"/>
  <c r="AA471"/>
  <c r="AA475"/>
  <c r="AA495"/>
  <c r="AA499"/>
  <c r="AA519"/>
  <c r="AA523"/>
  <c r="AA527"/>
  <c r="Z72"/>
  <c r="AA653"/>
  <c r="AA638" s="1"/>
  <c r="AA61" s="1"/>
  <c r="AA685"/>
  <c r="AA670" s="1"/>
  <c r="AA62" s="1"/>
  <c r="AB696"/>
  <c r="AB694"/>
  <c r="AB693"/>
  <c r="AB692"/>
  <c r="AB691"/>
  <c r="AB690"/>
  <c r="AB689"/>
  <c r="AB687"/>
  <c r="AB684"/>
  <c r="AB393" s="1"/>
  <c r="AB683"/>
  <c r="AB392" s="1"/>
  <c r="AB682"/>
  <c r="AB681"/>
  <c r="AB390" s="1"/>
  <c r="AB680"/>
  <c r="AB389" s="1"/>
  <c r="AB679"/>
  <c r="AB388" s="1"/>
  <c r="AB678"/>
  <c r="AB387" s="1"/>
  <c r="AB677"/>
  <c r="AB386" s="1"/>
  <c r="AB676"/>
  <c r="AB385" s="1"/>
  <c r="AB675"/>
  <c r="AB384" s="1"/>
  <c r="AB664"/>
  <c r="AB663"/>
  <c r="AB662"/>
  <c r="AB661"/>
  <c r="AB660"/>
  <c r="AB659"/>
  <c r="AB658"/>
  <c r="AB657"/>
  <c r="AB655"/>
  <c r="AB652"/>
  <c r="AB367" s="1"/>
  <c r="AB651"/>
  <c r="AB366" s="1"/>
  <c r="AB650"/>
  <c r="AB365" s="1"/>
  <c r="AB649"/>
  <c r="AB364" s="1"/>
  <c r="AB648"/>
  <c r="AB363" s="1"/>
  <c r="AB647"/>
  <c r="AB362" s="1"/>
  <c r="AB646"/>
  <c r="AB361" s="1"/>
  <c r="AB645"/>
  <c r="AB360" s="1"/>
  <c r="AB644"/>
  <c r="AB359" s="1"/>
  <c r="AB643"/>
  <c r="AB358" s="1"/>
  <c r="AB632"/>
  <c r="AB631"/>
  <c r="AB630"/>
  <c r="AB629"/>
  <c r="AB628"/>
  <c r="AB627"/>
  <c r="AB626"/>
  <c r="AB624"/>
  <c r="AB623"/>
  <c r="AB620"/>
  <c r="AB342" s="1"/>
  <c r="AB619"/>
  <c r="AB341" s="1"/>
  <c r="AB618"/>
  <c r="AB340" s="1"/>
  <c r="AB617"/>
  <c r="AB339" s="1"/>
  <c r="AB616"/>
  <c r="AB338" s="1"/>
  <c r="AB615"/>
  <c r="AB337" s="1"/>
  <c r="AB614"/>
  <c r="AB336" s="1"/>
  <c r="AB613"/>
  <c r="AB335" s="1"/>
  <c r="AB612"/>
  <c r="AB334" s="1"/>
  <c r="AB611"/>
  <c r="AB333" s="1"/>
  <c r="AB551"/>
  <c r="AB552" s="1"/>
  <c r="AB545"/>
  <c r="AB546" s="1"/>
  <c r="AB600"/>
  <c r="AB54" s="1"/>
  <c r="AB462"/>
  <c r="AB391"/>
  <c r="AB449"/>
  <c r="AB448"/>
  <c r="AB447"/>
  <c r="AB446"/>
  <c r="AB445"/>
  <c r="AB444"/>
  <c r="AB328"/>
  <c r="AB315"/>
  <c r="AB314"/>
  <c r="AB313"/>
  <c r="AB312"/>
  <c r="AB311"/>
  <c r="AB310"/>
  <c r="AB40"/>
  <c r="AC2"/>
  <c r="AB30"/>
  <c r="AB26"/>
  <c r="AB25"/>
  <c r="AB23"/>
  <c r="AB19"/>
  <c r="AA329"/>
  <c r="AA469"/>
  <c r="AA467"/>
  <c r="AA470"/>
  <c r="AA474"/>
  <c r="AA494"/>
  <c r="AA498"/>
  <c r="AA502"/>
  <c r="AA522"/>
  <c r="AA526"/>
  <c r="AA473"/>
  <c r="AA493"/>
  <c r="AA497"/>
  <c r="AA501"/>
  <c r="AA521"/>
  <c r="AA525"/>
  <c r="AA463"/>
  <c r="AB27" i="7"/>
  <c r="AC550"/>
  <c r="AC548"/>
  <c r="AC544"/>
  <c r="AC535"/>
  <c r="AC534"/>
  <c r="AC528"/>
  <c r="AC527"/>
  <c r="AD11"/>
  <c r="AB617"/>
  <c r="AB602" s="1"/>
  <c r="AB69" s="1"/>
  <c r="AB61"/>
  <c r="AC660"/>
  <c r="AC658"/>
  <c r="AC657"/>
  <c r="AC656"/>
  <c r="AC655"/>
  <c r="AC654"/>
  <c r="AC653"/>
  <c r="AC648"/>
  <c r="AC322" s="1"/>
  <c r="AC647"/>
  <c r="AC646"/>
  <c r="AC320" s="1"/>
  <c r="AC645"/>
  <c r="AC319" s="1"/>
  <c r="AC644"/>
  <c r="AC643"/>
  <c r="AC317" s="1"/>
  <c r="AC642"/>
  <c r="AC316" s="1"/>
  <c r="AC641"/>
  <c r="AC315" s="1"/>
  <c r="AC651"/>
  <c r="AC640"/>
  <c r="AC314" s="1"/>
  <c r="AC616"/>
  <c r="AC296" s="1"/>
  <c r="AC615"/>
  <c r="AC295" s="1"/>
  <c r="AC614"/>
  <c r="AC613"/>
  <c r="AC293" s="1"/>
  <c r="AC612"/>
  <c r="AC292" s="1"/>
  <c r="AC611"/>
  <c r="AC291" s="1"/>
  <c r="AC610"/>
  <c r="AC639"/>
  <c r="AC313" s="1"/>
  <c r="AC628"/>
  <c r="AC627"/>
  <c r="AC626"/>
  <c r="AC625"/>
  <c r="AC624"/>
  <c r="AC623"/>
  <c r="AC622"/>
  <c r="AC621"/>
  <c r="AC619"/>
  <c r="AC609"/>
  <c r="AC289" s="1"/>
  <c r="AC584"/>
  <c r="AC583"/>
  <c r="AC270" s="1"/>
  <c r="AC582"/>
  <c r="AC269" s="1"/>
  <c r="AC581"/>
  <c r="AC268" s="1"/>
  <c r="AC580"/>
  <c r="AC579"/>
  <c r="AC266" s="1"/>
  <c r="AC608"/>
  <c r="AC288" s="1"/>
  <c r="AC607"/>
  <c r="AC287" s="1"/>
  <c r="AC596"/>
  <c r="AC595"/>
  <c r="AC594"/>
  <c r="AC593"/>
  <c r="AC592"/>
  <c r="AC591"/>
  <c r="AC590"/>
  <c r="AC588"/>
  <c r="AC587"/>
  <c r="AC578"/>
  <c r="AC265" s="1"/>
  <c r="AC564"/>
  <c r="AC62" s="1"/>
  <c r="AC545"/>
  <c r="AC577"/>
  <c r="AC264" s="1"/>
  <c r="AC576"/>
  <c r="AC263" s="1"/>
  <c r="AC575"/>
  <c r="AC262" s="1"/>
  <c r="AC480"/>
  <c r="AC481" s="1"/>
  <c r="AC474"/>
  <c r="AC475" s="1"/>
  <c r="AC378"/>
  <c r="AC377"/>
  <c r="AC376"/>
  <c r="AC375"/>
  <c r="AC374"/>
  <c r="AC373"/>
  <c r="AC321"/>
  <c r="AC391"/>
  <c r="AC318"/>
  <c r="AC294"/>
  <c r="AC290"/>
  <c r="AC271"/>
  <c r="AC267"/>
  <c r="AC257"/>
  <c r="AC244"/>
  <c r="AC243"/>
  <c r="AC242"/>
  <c r="AC241"/>
  <c r="AC240"/>
  <c r="AC239"/>
  <c r="AC40"/>
  <c r="AC30"/>
  <c r="AC26"/>
  <c r="AC25"/>
  <c r="AC23"/>
  <c r="AC19"/>
  <c r="AD2"/>
  <c r="AB401"/>
  <c r="AB258"/>
  <c r="AB399"/>
  <c r="AB398"/>
  <c r="AB402"/>
  <c r="AB422"/>
  <c r="AB426"/>
  <c r="AB430"/>
  <c r="AB450"/>
  <c r="AB454"/>
  <c r="AB392"/>
  <c r="AB423"/>
  <c r="AB427"/>
  <c r="AB431"/>
  <c r="AB451"/>
  <c r="AB455"/>
  <c r="AC565"/>
  <c r="AD562" s="1"/>
  <c r="AA540"/>
  <c r="AA80"/>
  <c r="AA81" s="1"/>
  <c r="AB397"/>
  <c r="AB405"/>
  <c r="AB403"/>
  <c r="AB396"/>
  <c r="AB400"/>
  <c r="AB404"/>
  <c r="AB424"/>
  <c r="AB428"/>
  <c r="AB448"/>
  <c r="AB452"/>
  <c r="AB456"/>
  <c r="AB425"/>
  <c r="AB429"/>
  <c r="AB449"/>
  <c r="AB453"/>
  <c r="AB457"/>
  <c r="AB549"/>
  <c r="AB543"/>
  <c r="AC556"/>
  <c r="AB166"/>
  <c r="AB130"/>
  <c r="AB55"/>
  <c r="L19" i="1"/>
  <c r="L38"/>
  <c r="AN36" i="2"/>
  <c r="AC532" i="7" l="1"/>
  <c r="AC533" s="1"/>
  <c r="AD530"/>
  <c r="AD531"/>
  <c r="AD519"/>
  <c r="AD515"/>
  <c r="AD511"/>
  <c r="AD507"/>
  <c r="AD559"/>
  <c r="AD558"/>
  <c r="AD557"/>
  <c r="AD56" i="10"/>
  <c r="AD85"/>
  <c r="AD86" s="1"/>
  <c r="AE629"/>
  <c r="AE625"/>
  <c r="AE621"/>
  <c r="AE617"/>
  <c r="AC590" i="8"/>
  <c r="AC586"/>
  <c r="AC582"/>
  <c r="AC578"/>
  <c r="AC65" i="10"/>
  <c r="AB179"/>
  <c r="AB196" s="1"/>
  <c r="AD58"/>
  <c r="AD180"/>
  <c r="AD197" s="1"/>
  <c r="AD141"/>
  <c r="AD153" s="1"/>
  <c r="AD249"/>
  <c r="AD221"/>
  <c r="AD59"/>
  <c r="AC640"/>
  <c r="AF11"/>
  <c r="AE645"/>
  <c r="AE181" s="1"/>
  <c r="AE198" s="1"/>
  <c r="AE41"/>
  <c r="AE183" s="1"/>
  <c r="AE200" s="1"/>
  <c r="AD730"/>
  <c r="AD715" s="1"/>
  <c r="AD67" s="1"/>
  <c r="AD27"/>
  <c r="AD666"/>
  <c r="AD651" s="1"/>
  <c r="AD698"/>
  <c r="AD683" s="1"/>
  <c r="AD66" s="1"/>
  <c r="AD637"/>
  <c r="AE740"/>
  <c r="AE739"/>
  <c r="AE738"/>
  <c r="AE737"/>
  <c r="AE736"/>
  <c r="AE735"/>
  <c r="AE734"/>
  <c r="AE732"/>
  <c r="AE729"/>
  <c r="AE432" s="1"/>
  <c r="AE728"/>
  <c r="AE727"/>
  <c r="AE430" s="1"/>
  <c r="AE726"/>
  <c r="AE429" s="1"/>
  <c r="AE725"/>
  <c r="AE428" s="1"/>
  <c r="AE724"/>
  <c r="AE427" s="1"/>
  <c r="AE723"/>
  <c r="AE426" s="1"/>
  <c r="AE722"/>
  <c r="AE425" s="1"/>
  <c r="AE721"/>
  <c r="AE424" s="1"/>
  <c r="AE697"/>
  <c r="AE406" s="1"/>
  <c r="AE696"/>
  <c r="AE695"/>
  <c r="AE404" s="1"/>
  <c r="AE694"/>
  <c r="AE403" s="1"/>
  <c r="AE693"/>
  <c r="AE402" s="1"/>
  <c r="AE692"/>
  <c r="AE401" s="1"/>
  <c r="AE691"/>
  <c r="AE400" s="1"/>
  <c r="AE690"/>
  <c r="AE399" s="1"/>
  <c r="AE720"/>
  <c r="AE709"/>
  <c r="AE708"/>
  <c r="AE707"/>
  <c r="AE706"/>
  <c r="AE705"/>
  <c r="AE704"/>
  <c r="AE703"/>
  <c r="AE702"/>
  <c r="AE700"/>
  <c r="AE665"/>
  <c r="AE381" s="1"/>
  <c r="AE664"/>
  <c r="AE380" s="1"/>
  <c r="AE663"/>
  <c r="AE379" s="1"/>
  <c r="AE662"/>
  <c r="AE378" s="1"/>
  <c r="AE661"/>
  <c r="AE377" s="1"/>
  <c r="AE660"/>
  <c r="AE376" s="1"/>
  <c r="AE659"/>
  <c r="AE375" s="1"/>
  <c r="AE689"/>
  <c r="AE398" s="1"/>
  <c r="AE688"/>
  <c r="AE397" s="1"/>
  <c r="AE677"/>
  <c r="AE676"/>
  <c r="AE675"/>
  <c r="AE674"/>
  <c r="AE673"/>
  <c r="AE672"/>
  <c r="AE671"/>
  <c r="AE669"/>
  <c r="AE668"/>
  <c r="AE657"/>
  <c r="AE373" s="1"/>
  <c r="AE590"/>
  <c r="AE591" s="1"/>
  <c r="AE584"/>
  <c r="AE585" s="1"/>
  <c r="AE658"/>
  <c r="AE374" s="1"/>
  <c r="AE656"/>
  <c r="AE639"/>
  <c r="AE488"/>
  <c r="AE487"/>
  <c r="AE486"/>
  <c r="AE485"/>
  <c r="AE484"/>
  <c r="AE483"/>
  <c r="AE431"/>
  <c r="AE405"/>
  <c r="AE367"/>
  <c r="AE501"/>
  <c r="AE354"/>
  <c r="AE353"/>
  <c r="AE352"/>
  <c r="AE351"/>
  <c r="AE350"/>
  <c r="AE349"/>
  <c r="AE30"/>
  <c r="AE26"/>
  <c r="AE25"/>
  <c r="AE23"/>
  <c r="AE19"/>
  <c r="AE40"/>
  <c r="AF2"/>
  <c r="AD506"/>
  <c r="AD510"/>
  <c r="AD514"/>
  <c r="AD534"/>
  <c r="AD538"/>
  <c r="AD558"/>
  <c r="AD562"/>
  <c r="AD566"/>
  <c r="AD509"/>
  <c r="AD513"/>
  <c r="AD533"/>
  <c r="AD537"/>
  <c r="AD541"/>
  <c r="AD561"/>
  <c r="AD565"/>
  <c r="AC68"/>
  <c r="AC75" s="1"/>
  <c r="AD508"/>
  <c r="AD512"/>
  <c r="AD532"/>
  <c r="AD536"/>
  <c r="AD540"/>
  <c r="AD560"/>
  <c r="AD564"/>
  <c r="AD502"/>
  <c r="AD368"/>
  <c r="AD507"/>
  <c r="AD511"/>
  <c r="AD515"/>
  <c r="AD535"/>
  <c r="AD539"/>
  <c r="AD559"/>
  <c r="AD563"/>
  <c r="AD567"/>
  <c r="AB71" i="7"/>
  <c r="AD11" i="8"/>
  <c r="AB598"/>
  <c r="AB601" s="1"/>
  <c r="AA63"/>
  <c r="AC649" i="7"/>
  <c r="AC634" s="1"/>
  <c r="AC70" s="1"/>
  <c r="AB27" i="8"/>
  <c r="AB468"/>
  <c r="AB469"/>
  <c r="AB473"/>
  <c r="AB493"/>
  <c r="AB497"/>
  <c r="AB501"/>
  <c r="AB521"/>
  <c r="AB525"/>
  <c r="AB463"/>
  <c r="AB472"/>
  <c r="AB476"/>
  <c r="AB496"/>
  <c r="AB500"/>
  <c r="AB520"/>
  <c r="AB524"/>
  <c r="AB528"/>
  <c r="AB621"/>
  <c r="AB606" s="1"/>
  <c r="AB60" s="1"/>
  <c r="AB653"/>
  <c r="AB638" s="1"/>
  <c r="AB61" s="1"/>
  <c r="AB685"/>
  <c r="AB670" s="1"/>
  <c r="AB62" s="1"/>
  <c r="AA72"/>
  <c r="AC696"/>
  <c r="AC694"/>
  <c r="AC693"/>
  <c r="AC692"/>
  <c r="AC691"/>
  <c r="AC690"/>
  <c r="AC689"/>
  <c r="AC687"/>
  <c r="AC684"/>
  <c r="AC683"/>
  <c r="AC682"/>
  <c r="AC391" s="1"/>
  <c r="AC681"/>
  <c r="AC390" s="1"/>
  <c r="AC680"/>
  <c r="AC389" s="1"/>
  <c r="AC679"/>
  <c r="AC388" s="1"/>
  <c r="AC678"/>
  <c r="AC387" s="1"/>
  <c r="AC677"/>
  <c r="AC386" s="1"/>
  <c r="AC676"/>
  <c r="AC385" s="1"/>
  <c r="AC675"/>
  <c r="AC384" s="1"/>
  <c r="AC664"/>
  <c r="AC662"/>
  <c r="AC660"/>
  <c r="AC658"/>
  <c r="AC652"/>
  <c r="AC367" s="1"/>
  <c r="AC651"/>
  <c r="AC366" s="1"/>
  <c r="AC650"/>
  <c r="AC365" s="1"/>
  <c r="AC649"/>
  <c r="AC364" s="1"/>
  <c r="AC648"/>
  <c r="AC363" s="1"/>
  <c r="AC647"/>
  <c r="AC362" s="1"/>
  <c r="AC646"/>
  <c r="AC645"/>
  <c r="AC360" s="1"/>
  <c r="AC644"/>
  <c r="AC359" s="1"/>
  <c r="AC643"/>
  <c r="AC358" s="1"/>
  <c r="AC663"/>
  <c r="AC661"/>
  <c r="AC659"/>
  <c r="AC657"/>
  <c r="AC655"/>
  <c r="AC620"/>
  <c r="AC342" s="1"/>
  <c r="AC619"/>
  <c r="AC341" s="1"/>
  <c r="AC618"/>
  <c r="AC340" s="1"/>
  <c r="AC617"/>
  <c r="AC339" s="1"/>
  <c r="AC616"/>
  <c r="AC338" s="1"/>
  <c r="AC615"/>
  <c r="AC614"/>
  <c r="AC336" s="1"/>
  <c r="AC613"/>
  <c r="AC335" s="1"/>
  <c r="AC612"/>
  <c r="AC334" s="1"/>
  <c r="AC611"/>
  <c r="AC333" s="1"/>
  <c r="AC632"/>
  <c r="AC631"/>
  <c r="AC630"/>
  <c r="AC629"/>
  <c r="AC628"/>
  <c r="AC627"/>
  <c r="AC626"/>
  <c r="AC624"/>
  <c r="AC623"/>
  <c r="AC600"/>
  <c r="AC54" s="1"/>
  <c r="AC551"/>
  <c r="AC552" s="1"/>
  <c r="AC545"/>
  <c r="AC546" s="1"/>
  <c r="AC449"/>
  <c r="AC448"/>
  <c r="AC447"/>
  <c r="AC446"/>
  <c r="AC445"/>
  <c r="AC444"/>
  <c r="AC392"/>
  <c r="AC337"/>
  <c r="AC462"/>
  <c r="AC393"/>
  <c r="AC361"/>
  <c r="AC328"/>
  <c r="AC315"/>
  <c r="AC314"/>
  <c r="AC313"/>
  <c r="AC312"/>
  <c r="AC311"/>
  <c r="AC310"/>
  <c r="AC30"/>
  <c r="AC26"/>
  <c r="AC25"/>
  <c r="AC23"/>
  <c r="AC19"/>
  <c r="AC40"/>
  <c r="AD2"/>
  <c r="AB329"/>
  <c r="AB470"/>
  <c r="AB467"/>
  <c r="AB471"/>
  <c r="AB475"/>
  <c r="AB495"/>
  <c r="AB499"/>
  <c r="AB519"/>
  <c r="AB523"/>
  <c r="AB527"/>
  <c r="AB474"/>
  <c r="AB494"/>
  <c r="AB498"/>
  <c r="AB502"/>
  <c r="AB522"/>
  <c r="AB526"/>
  <c r="AC27" i="7"/>
  <c r="AE11"/>
  <c r="AD550"/>
  <c r="AD548"/>
  <c r="AD544"/>
  <c r="AD535"/>
  <c r="AD534"/>
  <c r="AD528"/>
  <c r="AD527"/>
  <c r="AB540"/>
  <c r="AB80"/>
  <c r="AB81" s="1"/>
  <c r="AD659"/>
  <c r="AD658"/>
  <c r="AD657"/>
  <c r="AD656"/>
  <c r="AD655"/>
  <c r="AD654"/>
  <c r="AD653"/>
  <c r="AD651"/>
  <c r="AD648"/>
  <c r="AD322" s="1"/>
  <c r="AD647"/>
  <c r="AD321" s="1"/>
  <c r="AD646"/>
  <c r="AD320" s="1"/>
  <c r="AD645"/>
  <c r="AD319" s="1"/>
  <c r="AD644"/>
  <c r="AD318" s="1"/>
  <c r="AD643"/>
  <c r="AD317" s="1"/>
  <c r="AD642"/>
  <c r="AD316" s="1"/>
  <c r="AD641"/>
  <c r="AD315" s="1"/>
  <c r="AD640"/>
  <c r="AD314" s="1"/>
  <c r="AD639"/>
  <c r="AD313" s="1"/>
  <c r="AD628"/>
  <c r="AD627"/>
  <c r="AD626"/>
  <c r="AD625"/>
  <c r="AD624"/>
  <c r="AD623"/>
  <c r="AD622"/>
  <c r="AD621"/>
  <c r="AD619"/>
  <c r="AD616"/>
  <c r="AD296" s="1"/>
  <c r="AD615"/>
  <c r="AD295" s="1"/>
  <c r="AD614"/>
  <c r="AD294" s="1"/>
  <c r="AD613"/>
  <c r="AD293" s="1"/>
  <c r="AD612"/>
  <c r="AD292" s="1"/>
  <c r="AD611"/>
  <c r="AD291" s="1"/>
  <c r="AD610"/>
  <c r="AD290" s="1"/>
  <c r="AD609"/>
  <c r="AD289" s="1"/>
  <c r="AD608"/>
  <c r="AD288" s="1"/>
  <c r="AD607"/>
  <c r="AD287" s="1"/>
  <c r="AD596"/>
  <c r="AD595"/>
  <c r="AD594"/>
  <c r="AD593"/>
  <c r="AD592"/>
  <c r="AD591"/>
  <c r="AD590"/>
  <c r="AD588"/>
  <c r="AD587"/>
  <c r="AD584"/>
  <c r="AD271" s="1"/>
  <c r="AD583"/>
  <c r="AD270" s="1"/>
  <c r="AD582"/>
  <c r="AD269" s="1"/>
  <c r="AD581"/>
  <c r="AD268" s="1"/>
  <c r="AD580"/>
  <c r="AD267" s="1"/>
  <c r="AD579"/>
  <c r="AD266" s="1"/>
  <c r="AD578"/>
  <c r="AD265" s="1"/>
  <c r="AD577"/>
  <c r="AD264" s="1"/>
  <c r="AD576"/>
  <c r="AD263" s="1"/>
  <c r="AD575"/>
  <c r="AD262" s="1"/>
  <c r="AD480"/>
  <c r="AD481" s="1"/>
  <c r="AD474"/>
  <c r="AD475" s="1"/>
  <c r="AD564"/>
  <c r="AD62" s="1"/>
  <c r="AD545"/>
  <c r="AD391"/>
  <c r="AD378"/>
  <c r="AD377"/>
  <c r="AD376"/>
  <c r="AD375"/>
  <c r="AD374"/>
  <c r="AD373"/>
  <c r="AD257"/>
  <c r="AD244"/>
  <c r="AD243"/>
  <c r="AD242"/>
  <c r="AD241"/>
  <c r="AD240"/>
  <c r="AD239"/>
  <c r="AD30"/>
  <c r="AD26"/>
  <c r="AD25"/>
  <c r="AD23"/>
  <c r="AD19"/>
  <c r="AD40"/>
  <c r="AE2"/>
  <c r="AC258"/>
  <c r="AC400"/>
  <c r="AC398"/>
  <c r="AC397"/>
  <c r="AC401"/>
  <c r="AC405"/>
  <c r="AC425"/>
  <c r="AC429"/>
  <c r="AC449"/>
  <c r="AC453"/>
  <c r="AC457"/>
  <c r="AC422"/>
  <c r="AC426"/>
  <c r="AC430"/>
  <c r="AC450"/>
  <c r="AC454"/>
  <c r="AC392"/>
  <c r="AC166"/>
  <c r="AC130"/>
  <c r="AC55"/>
  <c r="AC61"/>
  <c r="AC585"/>
  <c r="AC570" s="1"/>
  <c r="AC68" s="1"/>
  <c r="AC617"/>
  <c r="AC602" s="1"/>
  <c r="AC69" s="1"/>
  <c r="AC396"/>
  <c r="AC404"/>
  <c r="AC402"/>
  <c r="AC399"/>
  <c r="AC403"/>
  <c r="AC423"/>
  <c r="AC427"/>
  <c r="AC431"/>
  <c r="AC451"/>
  <c r="AC455"/>
  <c r="AC424"/>
  <c r="AC428"/>
  <c r="AC448"/>
  <c r="AC452"/>
  <c r="AC456"/>
  <c r="AC549"/>
  <c r="AC543"/>
  <c r="AD556"/>
  <c r="L20" i="1"/>
  <c r="L39"/>
  <c r="AO36" i="2"/>
  <c r="B441"/>
  <c r="B438"/>
  <c r="B435"/>
  <c r="B434"/>
  <c r="B429"/>
  <c r="B428"/>
  <c r="B427"/>
  <c r="B426"/>
  <c r="A443"/>
  <c r="G42" i="4"/>
  <c r="B307" i="2"/>
  <c r="B305"/>
  <c r="B300"/>
  <c r="B299"/>
  <c r="B295"/>
  <c r="B294"/>
  <c r="B293"/>
  <c r="B292"/>
  <c r="A308"/>
  <c r="A302"/>
  <c r="A303"/>
  <c r="A296"/>
  <c r="A290"/>
  <c r="A281"/>
  <c r="A314" s="1"/>
  <c r="A321" s="1"/>
  <c r="A282"/>
  <c r="A315" s="1"/>
  <c r="A322" s="1"/>
  <c r="A283"/>
  <c r="A316" s="1"/>
  <c r="A323" s="1"/>
  <c r="A284"/>
  <c r="A317" s="1"/>
  <c r="A324" s="1"/>
  <c r="A285"/>
  <c r="A318" s="1"/>
  <c r="A325" s="1"/>
  <c r="A280"/>
  <c r="A313" s="1"/>
  <c r="AE530" i="7" l="1"/>
  <c r="AE531"/>
  <c r="AE519"/>
  <c r="AE515"/>
  <c r="AE511"/>
  <c r="AE507"/>
  <c r="AE559"/>
  <c r="AE558"/>
  <c r="AE557"/>
  <c r="AD532"/>
  <c r="AE56" i="10"/>
  <c r="AE85"/>
  <c r="AE86" s="1"/>
  <c r="AF629"/>
  <c r="AF625"/>
  <c r="AF621"/>
  <c r="AF617"/>
  <c r="AD578" i="8"/>
  <c r="AD590"/>
  <c r="AD586"/>
  <c r="AD582"/>
  <c r="AD65" i="10"/>
  <c r="AD68" s="1"/>
  <c r="AD75" s="1"/>
  <c r="AC179"/>
  <c r="AC196" s="1"/>
  <c r="AE58"/>
  <c r="AE180"/>
  <c r="AE197" s="1"/>
  <c r="AE141"/>
  <c r="AE153" s="1"/>
  <c r="AE249"/>
  <c r="AE221"/>
  <c r="AE666"/>
  <c r="AE651" s="1"/>
  <c r="AE730"/>
  <c r="AE715" s="1"/>
  <c r="AE67" s="1"/>
  <c r="AE423"/>
  <c r="AE558" s="1"/>
  <c r="AD640"/>
  <c r="AE637" s="1"/>
  <c r="AE59"/>
  <c r="AG11"/>
  <c r="AF41"/>
  <c r="AF183" s="1"/>
  <c r="AF200" s="1"/>
  <c r="AE372"/>
  <c r="AE368"/>
  <c r="AE507"/>
  <c r="AE511"/>
  <c r="AE515"/>
  <c r="AE535"/>
  <c r="AE539"/>
  <c r="AE559"/>
  <c r="AE563"/>
  <c r="AE567"/>
  <c r="AE508"/>
  <c r="AE512"/>
  <c r="AE532"/>
  <c r="AE536"/>
  <c r="AE540"/>
  <c r="AE560"/>
  <c r="AE564"/>
  <c r="AE502"/>
  <c r="AD565" i="7"/>
  <c r="AE562" s="1"/>
  <c r="AD533"/>
  <c r="AE27" i="10"/>
  <c r="AE698"/>
  <c r="AE683" s="1"/>
  <c r="AE66" s="1"/>
  <c r="AF740"/>
  <c r="AF739"/>
  <c r="AF738"/>
  <c r="AF737"/>
  <c r="AF736"/>
  <c r="AF735"/>
  <c r="AF734"/>
  <c r="AF732"/>
  <c r="AF729"/>
  <c r="AF432" s="1"/>
  <c r="AF728"/>
  <c r="AF431" s="1"/>
  <c r="AF727"/>
  <c r="AF430" s="1"/>
  <c r="AF726"/>
  <c r="AF725"/>
  <c r="AF428" s="1"/>
  <c r="AF724"/>
  <c r="AF427" s="1"/>
  <c r="AF723"/>
  <c r="AF426" s="1"/>
  <c r="AF722"/>
  <c r="AF425" s="1"/>
  <c r="AF721"/>
  <c r="AF424" s="1"/>
  <c r="AF720"/>
  <c r="AF709"/>
  <c r="AF708"/>
  <c r="AF707"/>
  <c r="AF706"/>
  <c r="AF705"/>
  <c r="AF704"/>
  <c r="AF703"/>
  <c r="AF702"/>
  <c r="AF700"/>
  <c r="AF697"/>
  <c r="AF406" s="1"/>
  <c r="AF696"/>
  <c r="AF405" s="1"/>
  <c r="AF695"/>
  <c r="AF404" s="1"/>
  <c r="AF694"/>
  <c r="AF403" s="1"/>
  <c r="AF693"/>
  <c r="AF402" s="1"/>
  <c r="AF692"/>
  <c r="AF401" s="1"/>
  <c r="AF691"/>
  <c r="AF400" s="1"/>
  <c r="AF690"/>
  <c r="AF399" s="1"/>
  <c r="AF689"/>
  <c r="AF398" s="1"/>
  <c r="AF688"/>
  <c r="AF397" s="1"/>
  <c r="AF677"/>
  <c r="AF676"/>
  <c r="AF675"/>
  <c r="AF674"/>
  <c r="AF673"/>
  <c r="AF672"/>
  <c r="AF671"/>
  <c r="AF669"/>
  <c r="AF668"/>
  <c r="AF665"/>
  <c r="AF381" s="1"/>
  <c r="AF664"/>
  <c r="AF380" s="1"/>
  <c r="AF663"/>
  <c r="AF379" s="1"/>
  <c r="AF662"/>
  <c r="AF378" s="1"/>
  <c r="AF661"/>
  <c r="AF377" s="1"/>
  <c r="AF660"/>
  <c r="AF376" s="1"/>
  <c r="AF659"/>
  <c r="AF375" s="1"/>
  <c r="AF658"/>
  <c r="AF374" s="1"/>
  <c r="AF657"/>
  <c r="AF373" s="1"/>
  <c r="AF656"/>
  <c r="AF590"/>
  <c r="AF591" s="1"/>
  <c r="AF584"/>
  <c r="AF585" s="1"/>
  <c r="AF501"/>
  <c r="AF354"/>
  <c r="AF353"/>
  <c r="AF352"/>
  <c r="AF351"/>
  <c r="AF350"/>
  <c r="AF349"/>
  <c r="AF488"/>
  <c r="AF487"/>
  <c r="AF486"/>
  <c r="AF485"/>
  <c r="AF484"/>
  <c r="AF483"/>
  <c r="AF429"/>
  <c r="AF367"/>
  <c r="AF40"/>
  <c r="AF30"/>
  <c r="AF26"/>
  <c r="AF25"/>
  <c r="AF23"/>
  <c r="AF19"/>
  <c r="AG2"/>
  <c r="AG750" s="1"/>
  <c r="AE509"/>
  <c r="AE513"/>
  <c r="AE533"/>
  <c r="AE537"/>
  <c r="AE541"/>
  <c r="AE561"/>
  <c r="AE565"/>
  <c r="AE510"/>
  <c r="AE514"/>
  <c r="AE534"/>
  <c r="AE538"/>
  <c r="AE562"/>
  <c r="AE566"/>
  <c r="AE11" i="8"/>
  <c r="AC598"/>
  <c r="AC601" s="1"/>
  <c r="AC27"/>
  <c r="AC621"/>
  <c r="AC606" s="1"/>
  <c r="AC60" s="1"/>
  <c r="AC653"/>
  <c r="AC638" s="1"/>
  <c r="AC61" s="1"/>
  <c r="AC685"/>
  <c r="AC670" s="1"/>
  <c r="AC62" s="1"/>
  <c r="AC467"/>
  <c r="AC468"/>
  <c r="AC472"/>
  <c r="AC476"/>
  <c r="AC496"/>
  <c r="AC500"/>
  <c r="AC520"/>
  <c r="AC524"/>
  <c r="AC528"/>
  <c r="AC471"/>
  <c r="AC475"/>
  <c r="AC495"/>
  <c r="AC499"/>
  <c r="AC519"/>
  <c r="AC523"/>
  <c r="AC527"/>
  <c r="AD695"/>
  <c r="AD694"/>
  <c r="AD693"/>
  <c r="AD692"/>
  <c r="AD691"/>
  <c r="AD690"/>
  <c r="AD689"/>
  <c r="AD687"/>
  <c r="AD684"/>
  <c r="AD683"/>
  <c r="AD392" s="1"/>
  <c r="AD682"/>
  <c r="AD391" s="1"/>
  <c r="AD681"/>
  <c r="AD390" s="1"/>
  <c r="AD680"/>
  <c r="AD389" s="1"/>
  <c r="AD679"/>
  <c r="AD388" s="1"/>
  <c r="AD678"/>
  <c r="AD387" s="1"/>
  <c r="AD677"/>
  <c r="AD386" s="1"/>
  <c r="AD676"/>
  <c r="AD385" s="1"/>
  <c r="AD675"/>
  <c r="AD384" s="1"/>
  <c r="AD664"/>
  <c r="AD663"/>
  <c r="AD662"/>
  <c r="AD661"/>
  <c r="AD660"/>
  <c r="AD659"/>
  <c r="AD658"/>
  <c r="AD657"/>
  <c r="AD655"/>
  <c r="AD652"/>
  <c r="AD367" s="1"/>
  <c r="AD651"/>
  <c r="AD366" s="1"/>
  <c r="AD650"/>
  <c r="AD649"/>
  <c r="AD364" s="1"/>
  <c r="AD648"/>
  <c r="AD363" s="1"/>
  <c r="AD647"/>
  <c r="AD362" s="1"/>
  <c r="AD646"/>
  <c r="AD361" s="1"/>
  <c r="AD645"/>
  <c r="AD360" s="1"/>
  <c r="AD644"/>
  <c r="AD359" s="1"/>
  <c r="AD643"/>
  <c r="AD358" s="1"/>
  <c r="AD632"/>
  <c r="AD631"/>
  <c r="AD630"/>
  <c r="AD629"/>
  <c r="AD628"/>
  <c r="AD627"/>
  <c r="AD626"/>
  <c r="AD624"/>
  <c r="AD623"/>
  <c r="AD620"/>
  <c r="AD342" s="1"/>
  <c r="AD619"/>
  <c r="AD341" s="1"/>
  <c r="AD618"/>
  <c r="AD340" s="1"/>
  <c r="AD617"/>
  <c r="AD339" s="1"/>
  <c r="AD616"/>
  <c r="AD338" s="1"/>
  <c r="AD615"/>
  <c r="AD337" s="1"/>
  <c r="AD614"/>
  <c r="AD336" s="1"/>
  <c r="AD613"/>
  <c r="AD335" s="1"/>
  <c r="AD612"/>
  <c r="AD334" s="1"/>
  <c r="AD611"/>
  <c r="AD333" s="1"/>
  <c r="AD551"/>
  <c r="AD552" s="1"/>
  <c r="AD545"/>
  <c r="AD546" s="1"/>
  <c r="AD600"/>
  <c r="AD54" s="1"/>
  <c r="AD462"/>
  <c r="AD393"/>
  <c r="AD365"/>
  <c r="AD449"/>
  <c r="AD448"/>
  <c r="AD447"/>
  <c r="AD446"/>
  <c r="AD445"/>
  <c r="AD444"/>
  <c r="AD328"/>
  <c r="AD315"/>
  <c r="AD314"/>
  <c r="AD313"/>
  <c r="AD312"/>
  <c r="AD311"/>
  <c r="AD310"/>
  <c r="AD40"/>
  <c r="AE2"/>
  <c r="AD30"/>
  <c r="AD26"/>
  <c r="AD25"/>
  <c r="AD23"/>
  <c r="AD19"/>
  <c r="AC329"/>
  <c r="AC469"/>
  <c r="AC470"/>
  <c r="AC474"/>
  <c r="AC494"/>
  <c r="AC498"/>
  <c r="AC502"/>
  <c r="AC522"/>
  <c r="AC526"/>
  <c r="AC473"/>
  <c r="AC493"/>
  <c r="AC497"/>
  <c r="AC501"/>
  <c r="AC521"/>
  <c r="AC525"/>
  <c r="AC463"/>
  <c r="AB72"/>
  <c r="AB63"/>
  <c r="AE550" i="7"/>
  <c r="AE548"/>
  <c r="AE544"/>
  <c r="AE535"/>
  <c r="AE534"/>
  <c r="AE545" s="1"/>
  <c r="AE528"/>
  <c r="AE527"/>
  <c r="AF11"/>
  <c r="AC540"/>
  <c r="AC80"/>
  <c r="AC81" s="1"/>
  <c r="AE659"/>
  <c r="AE658"/>
  <c r="AE657"/>
  <c r="AE656"/>
  <c r="AE655"/>
  <c r="AE654"/>
  <c r="AE653"/>
  <c r="AE651"/>
  <c r="AE648"/>
  <c r="AE322" s="1"/>
  <c r="AE647"/>
  <c r="AE321" s="1"/>
  <c r="AE646"/>
  <c r="AE320" s="1"/>
  <c r="AE645"/>
  <c r="AE319" s="1"/>
  <c r="AE644"/>
  <c r="AE643"/>
  <c r="AE317" s="1"/>
  <c r="AE642"/>
  <c r="AE316" s="1"/>
  <c r="AE641"/>
  <c r="AE639"/>
  <c r="AE313" s="1"/>
  <c r="AE616"/>
  <c r="AE296" s="1"/>
  <c r="AE615"/>
  <c r="AE295" s="1"/>
  <c r="AE614"/>
  <c r="AE294" s="1"/>
  <c r="AE613"/>
  <c r="AE293" s="1"/>
  <c r="AE612"/>
  <c r="AE292" s="1"/>
  <c r="AE611"/>
  <c r="AE291" s="1"/>
  <c r="AE610"/>
  <c r="AE290" s="1"/>
  <c r="AE640"/>
  <c r="AE314" s="1"/>
  <c r="AE628"/>
  <c r="AE627"/>
  <c r="AE626"/>
  <c r="AE625"/>
  <c r="AE624"/>
  <c r="AE623"/>
  <c r="AE622"/>
  <c r="AE621"/>
  <c r="AE619"/>
  <c r="AE584"/>
  <c r="AE583"/>
  <c r="AE270" s="1"/>
  <c r="AE582"/>
  <c r="AE269" s="1"/>
  <c r="AE581"/>
  <c r="AE268" s="1"/>
  <c r="AE580"/>
  <c r="AE267" s="1"/>
  <c r="AE579"/>
  <c r="AE266" s="1"/>
  <c r="AE609"/>
  <c r="AE289" s="1"/>
  <c r="AE608"/>
  <c r="AE288" s="1"/>
  <c r="AE607"/>
  <c r="AE287" s="1"/>
  <c r="AE596"/>
  <c r="AE595"/>
  <c r="AE594"/>
  <c r="AE593"/>
  <c r="AE592"/>
  <c r="AE591"/>
  <c r="AE590"/>
  <c r="AE588"/>
  <c r="AE587"/>
  <c r="AE577"/>
  <c r="AE564"/>
  <c r="AE62" s="1"/>
  <c r="AE578"/>
  <c r="AE265" s="1"/>
  <c r="AE576"/>
  <c r="AE263" s="1"/>
  <c r="AE575"/>
  <c r="AE262" s="1"/>
  <c r="AE480"/>
  <c r="AE481" s="1"/>
  <c r="AE474"/>
  <c r="AE475" s="1"/>
  <c r="AE378"/>
  <c r="AE377"/>
  <c r="AE376"/>
  <c r="AE375"/>
  <c r="AE374"/>
  <c r="AE373"/>
  <c r="AE315"/>
  <c r="AE391"/>
  <c r="AE318"/>
  <c r="AE271"/>
  <c r="AE257"/>
  <c r="AE264"/>
  <c r="AE244"/>
  <c r="AE243"/>
  <c r="AE242"/>
  <c r="AE241"/>
  <c r="AE240"/>
  <c r="AE239"/>
  <c r="AE40"/>
  <c r="AE30"/>
  <c r="AE26"/>
  <c r="AE25"/>
  <c r="AE23"/>
  <c r="AE19"/>
  <c r="AF2"/>
  <c r="AD399"/>
  <c r="AD258"/>
  <c r="AD397"/>
  <c r="AD405"/>
  <c r="AD396"/>
  <c r="AD400"/>
  <c r="AD404"/>
  <c r="AD424"/>
  <c r="AD428"/>
  <c r="AD448"/>
  <c r="AD452"/>
  <c r="AD456"/>
  <c r="AD425"/>
  <c r="AD429"/>
  <c r="AD449"/>
  <c r="AD453"/>
  <c r="AD457"/>
  <c r="AD549"/>
  <c r="AD543"/>
  <c r="AE556"/>
  <c r="AD166"/>
  <c r="AD130"/>
  <c r="AD55"/>
  <c r="AD27"/>
  <c r="AD61"/>
  <c r="AD585"/>
  <c r="AD570" s="1"/>
  <c r="AD68" s="1"/>
  <c r="AD617"/>
  <c r="AD602" s="1"/>
  <c r="AD69" s="1"/>
  <c r="AD649"/>
  <c r="AD634" s="1"/>
  <c r="AD70" s="1"/>
  <c r="AD403"/>
  <c r="AD401"/>
  <c r="AD398"/>
  <c r="AD402"/>
  <c r="AD422"/>
  <c r="AD426"/>
  <c r="AD430"/>
  <c r="AD450"/>
  <c r="AD454"/>
  <c r="AD392"/>
  <c r="AD423"/>
  <c r="AD427"/>
  <c r="AD431"/>
  <c r="AD451"/>
  <c r="AD455"/>
  <c r="AC71"/>
  <c r="L21" i="1"/>
  <c r="L40"/>
  <c r="AP36" i="2"/>
  <c r="A320"/>
  <c r="A424"/>
  <c r="A437"/>
  <c r="A442"/>
  <c r="A430"/>
  <c r="A436"/>
  <c r="B430"/>
  <c r="A418"/>
  <c r="A416"/>
  <c r="A414"/>
  <c r="A419"/>
  <c r="A417"/>
  <c r="A415"/>
  <c r="B296"/>
  <c r="AF530" i="7" l="1"/>
  <c r="AF531"/>
  <c r="AF519"/>
  <c r="AF515"/>
  <c r="AF511"/>
  <c r="AF507"/>
  <c r="AF559"/>
  <c r="AF558"/>
  <c r="AF557"/>
  <c r="AE532"/>
  <c r="AE533" s="1"/>
  <c r="AG182" i="10"/>
  <c r="AG199" s="1"/>
  <c r="AG282"/>
  <c r="AG298" s="1"/>
  <c r="AF56"/>
  <c r="AF85"/>
  <c r="AF86" s="1"/>
  <c r="AF423"/>
  <c r="AF558" s="1"/>
  <c r="AG629"/>
  <c r="AG625"/>
  <c r="AG621"/>
  <c r="AG617"/>
  <c r="AE590" i="8"/>
  <c r="AE586"/>
  <c r="AE582"/>
  <c r="AE578"/>
  <c r="AE65" i="10"/>
  <c r="AE68" s="1"/>
  <c r="AE75" s="1"/>
  <c r="AD179"/>
  <c r="AD196" s="1"/>
  <c r="AF141"/>
  <c r="AF153" s="1"/>
  <c r="AF249"/>
  <c r="AF221"/>
  <c r="AE640"/>
  <c r="AF637" s="1"/>
  <c r="AH11"/>
  <c r="AG41"/>
  <c r="AG183" s="1"/>
  <c r="AG200" s="1"/>
  <c r="AG645"/>
  <c r="AG181" s="1"/>
  <c r="AG198" s="1"/>
  <c r="AF372"/>
  <c r="AF506" s="1"/>
  <c r="AE506"/>
  <c r="AF27"/>
  <c r="AF509"/>
  <c r="AF513"/>
  <c r="AF533"/>
  <c r="AF537"/>
  <c r="AF541"/>
  <c r="AG746"/>
  <c r="AG741"/>
  <c r="AG740"/>
  <c r="AG739"/>
  <c r="AG738"/>
  <c r="AG737"/>
  <c r="AG736"/>
  <c r="AG735"/>
  <c r="AG734"/>
  <c r="AG729"/>
  <c r="AG728"/>
  <c r="AG727"/>
  <c r="AG726"/>
  <c r="AG725"/>
  <c r="AG724"/>
  <c r="AG723"/>
  <c r="AG722"/>
  <c r="AG721"/>
  <c r="AG732"/>
  <c r="AG720"/>
  <c r="AG697"/>
  <c r="AG696"/>
  <c r="AG695"/>
  <c r="AG694"/>
  <c r="AG693"/>
  <c r="AG692"/>
  <c r="AG691"/>
  <c r="AG690"/>
  <c r="AG709"/>
  <c r="AG708"/>
  <c r="AG707"/>
  <c r="AG706"/>
  <c r="AG705"/>
  <c r="AG704"/>
  <c r="AG703"/>
  <c r="AG701"/>
  <c r="AG700"/>
  <c r="AG689"/>
  <c r="AG665"/>
  <c r="AG664"/>
  <c r="AG663"/>
  <c r="AG662"/>
  <c r="AG661"/>
  <c r="AG660"/>
  <c r="AG659"/>
  <c r="AG688"/>
  <c r="AG677"/>
  <c r="AG676"/>
  <c r="AG675"/>
  <c r="AG674"/>
  <c r="AG673"/>
  <c r="AG672"/>
  <c r="AG671"/>
  <c r="AG669"/>
  <c r="AG668"/>
  <c r="AG658"/>
  <c r="AG656"/>
  <c r="AG590"/>
  <c r="AG591" s="1"/>
  <c r="AG584"/>
  <c r="AG585" s="1"/>
  <c r="AG657"/>
  <c r="AG639"/>
  <c r="AG488"/>
  <c r="AG487"/>
  <c r="AG486"/>
  <c r="AG485"/>
  <c r="AG484"/>
  <c r="AG483"/>
  <c r="AG431"/>
  <c r="AG429"/>
  <c r="AG427"/>
  <c r="AG425"/>
  <c r="AG423"/>
  <c r="AG405"/>
  <c r="AG403"/>
  <c r="AG401"/>
  <c r="AG399"/>
  <c r="AG397"/>
  <c r="AG380"/>
  <c r="AG378"/>
  <c r="AG376"/>
  <c r="AG374"/>
  <c r="AG372"/>
  <c r="AG367"/>
  <c r="AG501"/>
  <c r="AG432"/>
  <c r="AG430"/>
  <c r="AG428"/>
  <c r="AG426"/>
  <c r="AG424"/>
  <c r="AG406"/>
  <c r="AG404"/>
  <c r="AG402"/>
  <c r="AG400"/>
  <c r="AG398"/>
  <c r="AG381"/>
  <c r="AG379"/>
  <c r="AG377"/>
  <c r="AG375"/>
  <c r="AG373"/>
  <c r="AG354"/>
  <c r="AG353"/>
  <c r="AG352"/>
  <c r="AG351"/>
  <c r="AG350"/>
  <c r="AG349"/>
  <c r="AG250"/>
  <c r="AG222"/>
  <c r="AG33"/>
  <c r="AG35" s="1"/>
  <c r="AG37" s="1"/>
  <c r="AG30"/>
  <c r="AG26"/>
  <c r="AG25"/>
  <c r="AG23"/>
  <c r="AG19"/>
  <c r="AG5"/>
  <c r="AG40"/>
  <c r="AH2"/>
  <c r="AH750" s="1"/>
  <c r="AF508"/>
  <c r="AF512"/>
  <c r="AF532"/>
  <c r="AF536"/>
  <c r="AF540"/>
  <c r="AF560"/>
  <c r="AF564"/>
  <c r="AF502"/>
  <c r="AF368"/>
  <c r="AF507"/>
  <c r="AF511"/>
  <c r="AF515"/>
  <c r="AF535"/>
  <c r="AF539"/>
  <c r="AF559"/>
  <c r="AF563"/>
  <c r="AF567"/>
  <c r="AF510"/>
  <c r="AF514"/>
  <c r="AF534"/>
  <c r="AF538"/>
  <c r="AF562"/>
  <c r="AF566"/>
  <c r="AF561"/>
  <c r="AF565"/>
  <c r="AF666"/>
  <c r="AF651" s="1"/>
  <c r="AF698"/>
  <c r="AF683" s="1"/>
  <c r="AF66" s="1"/>
  <c r="AF730"/>
  <c r="AF715" s="1"/>
  <c r="AF67" s="1"/>
  <c r="AE565" i="7"/>
  <c r="AF562" s="1"/>
  <c r="AF564" s="1"/>
  <c r="AF62" s="1"/>
  <c r="AF11" i="8"/>
  <c r="AD598"/>
  <c r="AD601" s="1"/>
  <c r="AC63"/>
  <c r="AD653"/>
  <c r="AD638" s="1"/>
  <c r="AD61" s="1"/>
  <c r="AD621"/>
  <c r="AD606" s="1"/>
  <c r="AD60" s="1"/>
  <c r="AD685"/>
  <c r="AD670" s="1"/>
  <c r="AD62" s="1"/>
  <c r="AC72"/>
  <c r="AE695"/>
  <c r="AE694"/>
  <c r="AE693"/>
  <c r="AE692"/>
  <c r="AE691"/>
  <c r="AE690"/>
  <c r="AE689"/>
  <c r="AE687"/>
  <c r="AE684"/>
  <c r="AE393" s="1"/>
  <c r="AE683"/>
  <c r="AE682"/>
  <c r="AE391" s="1"/>
  <c r="AE681"/>
  <c r="AE390" s="1"/>
  <c r="AE680"/>
  <c r="AE389" s="1"/>
  <c r="AE679"/>
  <c r="AE388" s="1"/>
  <c r="AE678"/>
  <c r="AE387" s="1"/>
  <c r="AE677"/>
  <c r="AE386" s="1"/>
  <c r="AE676"/>
  <c r="AE385" s="1"/>
  <c r="AE675"/>
  <c r="AE384" s="1"/>
  <c r="AE663"/>
  <c r="AE661"/>
  <c r="AE659"/>
  <c r="AE652"/>
  <c r="AE367" s="1"/>
  <c r="AE651"/>
  <c r="AE650"/>
  <c r="AE365" s="1"/>
  <c r="AE649"/>
  <c r="AE364" s="1"/>
  <c r="AE648"/>
  <c r="AE363" s="1"/>
  <c r="AE647"/>
  <c r="AE362" s="1"/>
  <c r="AE646"/>
  <c r="AE361" s="1"/>
  <c r="AE645"/>
  <c r="AE360" s="1"/>
  <c r="AE644"/>
  <c r="AE359" s="1"/>
  <c r="AE643"/>
  <c r="AE358" s="1"/>
  <c r="AE664"/>
  <c r="AE662"/>
  <c r="AE660"/>
  <c r="AE658"/>
  <c r="AE657"/>
  <c r="AE655"/>
  <c r="AE620"/>
  <c r="AE342" s="1"/>
  <c r="AE619"/>
  <c r="AE341" s="1"/>
  <c r="AE618"/>
  <c r="AE340" s="1"/>
  <c r="AE617"/>
  <c r="AE339" s="1"/>
  <c r="AE616"/>
  <c r="AE338" s="1"/>
  <c r="AE615"/>
  <c r="AE337" s="1"/>
  <c r="AE614"/>
  <c r="AE336" s="1"/>
  <c r="AE613"/>
  <c r="AE335" s="1"/>
  <c r="AE612"/>
  <c r="AE334" s="1"/>
  <c r="AE611"/>
  <c r="AE333" s="1"/>
  <c r="AE632"/>
  <c r="AE631"/>
  <c r="AE630"/>
  <c r="AE629"/>
  <c r="AE628"/>
  <c r="AE627"/>
  <c r="AE626"/>
  <c r="AE624"/>
  <c r="AE623"/>
  <c r="AE600"/>
  <c r="AE54" s="1"/>
  <c r="AE551"/>
  <c r="AE552" s="1"/>
  <c r="AE545"/>
  <c r="AE546" s="1"/>
  <c r="AE449"/>
  <c r="AE448"/>
  <c r="AE447"/>
  <c r="AE446"/>
  <c r="AE445"/>
  <c r="AE444"/>
  <c r="AE392"/>
  <c r="AE366"/>
  <c r="AE462"/>
  <c r="AE328"/>
  <c r="AE315"/>
  <c r="AE314"/>
  <c r="AE313"/>
  <c r="AE312"/>
  <c r="AE311"/>
  <c r="AE310"/>
  <c r="AE30"/>
  <c r="AE26"/>
  <c r="AE25"/>
  <c r="AE23"/>
  <c r="AE19"/>
  <c r="AE40"/>
  <c r="AF2"/>
  <c r="AD329"/>
  <c r="AD468"/>
  <c r="AD467"/>
  <c r="AD471"/>
  <c r="AD475"/>
  <c r="AD495"/>
  <c r="AD499"/>
  <c r="AD519"/>
  <c r="AD523"/>
  <c r="AD527"/>
  <c r="AD474"/>
  <c r="AD494"/>
  <c r="AD498"/>
  <c r="AD502"/>
  <c r="AD522"/>
  <c r="AD526"/>
  <c r="AD27"/>
  <c r="AD470"/>
  <c r="AD469"/>
  <c r="AD473"/>
  <c r="AD493"/>
  <c r="AD497"/>
  <c r="AD501"/>
  <c r="AD521"/>
  <c r="AD525"/>
  <c r="AD463"/>
  <c r="AD472"/>
  <c r="AD476"/>
  <c r="AD496"/>
  <c r="AD500"/>
  <c r="AD520"/>
  <c r="AD524"/>
  <c r="AD528"/>
  <c r="AG11" i="7"/>
  <c r="AF550"/>
  <c r="AF548"/>
  <c r="AF544"/>
  <c r="AF535"/>
  <c r="AF534"/>
  <c r="AF545" s="1"/>
  <c r="AF528"/>
  <c r="AF527"/>
  <c r="AE585"/>
  <c r="AE570" s="1"/>
  <c r="AE68" s="1"/>
  <c r="AE617"/>
  <c r="AE602" s="1"/>
  <c r="AE69" s="1"/>
  <c r="AE61"/>
  <c r="AE402"/>
  <c r="AE396"/>
  <c r="AE404"/>
  <c r="AE399"/>
  <c r="AE403"/>
  <c r="AE423"/>
  <c r="AE427"/>
  <c r="AE431"/>
  <c r="AE451"/>
  <c r="AE455"/>
  <c r="AE424"/>
  <c r="AE428"/>
  <c r="AE448"/>
  <c r="AE452"/>
  <c r="AE456"/>
  <c r="AE549"/>
  <c r="AE543"/>
  <c r="AF556"/>
  <c r="AE27"/>
  <c r="AE649"/>
  <c r="AE634" s="1"/>
  <c r="AE70" s="1"/>
  <c r="AD540"/>
  <c r="AD80"/>
  <c r="AD81" s="1"/>
  <c r="AF659"/>
  <c r="AF658"/>
  <c r="AF657"/>
  <c r="AF656"/>
  <c r="AF655"/>
  <c r="AF654"/>
  <c r="AF653"/>
  <c r="AF651"/>
  <c r="AF648"/>
  <c r="AF322" s="1"/>
  <c r="AF647"/>
  <c r="AF321" s="1"/>
  <c r="AF646"/>
  <c r="AF320" s="1"/>
  <c r="AF645"/>
  <c r="AF319" s="1"/>
  <c r="AF644"/>
  <c r="AF318" s="1"/>
  <c r="AF643"/>
  <c r="AF317" s="1"/>
  <c r="AF642"/>
  <c r="AF316" s="1"/>
  <c r="AF641"/>
  <c r="AF315" s="1"/>
  <c r="AF640"/>
  <c r="AF314" s="1"/>
  <c r="AF639"/>
  <c r="AF313" s="1"/>
  <c r="AF628"/>
  <c r="AF627"/>
  <c r="AF626"/>
  <c r="AF625"/>
  <c r="AF624"/>
  <c r="AF623"/>
  <c r="AF622"/>
  <c r="AF621"/>
  <c r="AF619"/>
  <c r="AF616"/>
  <c r="AF296" s="1"/>
  <c r="AF615"/>
  <c r="AF295" s="1"/>
  <c r="AF614"/>
  <c r="AF294" s="1"/>
  <c r="AF613"/>
  <c r="AF293" s="1"/>
  <c r="AF612"/>
  <c r="AF292" s="1"/>
  <c r="AF611"/>
  <c r="AF291" s="1"/>
  <c r="AF610"/>
  <c r="AF290" s="1"/>
  <c r="AF609"/>
  <c r="AF289" s="1"/>
  <c r="AF608"/>
  <c r="AF288" s="1"/>
  <c r="AF607"/>
  <c r="AF287" s="1"/>
  <c r="AF596"/>
  <c r="AF595"/>
  <c r="AF594"/>
  <c r="AF593"/>
  <c r="AF592"/>
  <c r="AF591"/>
  <c r="AF590"/>
  <c r="AF588"/>
  <c r="AF587"/>
  <c r="AF584"/>
  <c r="AF271" s="1"/>
  <c r="AF583"/>
  <c r="AF270" s="1"/>
  <c r="AF582"/>
  <c r="AF269" s="1"/>
  <c r="AF581"/>
  <c r="AF268" s="1"/>
  <c r="AF580"/>
  <c r="AF267" s="1"/>
  <c r="AF579"/>
  <c r="AF266" s="1"/>
  <c r="AF578"/>
  <c r="AF265" s="1"/>
  <c r="AF577"/>
  <c r="AF264" s="1"/>
  <c r="AF576"/>
  <c r="AF263" s="1"/>
  <c r="AF575"/>
  <c r="AF262" s="1"/>
  <c r="AF480"/>
  <c r="AF481" s="1"/>
  <c r="AF474"/>
  <c r="AF475" s="1"/>
  <c r="AF391"/>
  <c r="AF378"/>
  <c r="AF377"/>
  <c r="AF376"/>
  <c r="AF375"/>
  <c r="AF374"/>
  <c r="AF373"/>
  <c r="AF257"/>
  <c r="AF244"/>
  <c r="AF243"/>
  <c r="AF242"/>
  <c r="AF241"/>
  <c r="AF240"/>
  <c r="AF239"/>
  <c r="AF30"/>
  <c r="AF26"/>
  <c r="AF25"/>
  <c r="AF23"/>
  <c r="AF19"/>
  <c r="AF40"/>
  <c r="AG2"/>
  <c r="AE258"/>
  <c r="AE398"/>
  <c r="AE400"/>
  <c r="AE397"/>
  <c r="AE401"/>
  <c r="AE405"/>
  <c r="AE425"/>
  <c r="AE429"/>
  <c r="AE449"/>
  <c r="AE453"/>
  <c r="AE457"/>
  <c r="AE422"/>
  <c r="AE426"/>
  <c r="AE430"/>
  <c r="AE450"/>
  <c r="AE454"/>
  <c r="AE392"/>
  <c r="AE166"/>
  <c r="AE130"/>
  <c r="AE55"/>
  <c r="AD71"/>
  <c r="L22" i="1"/>
  <c r="L41"/>
  <c r="A448" i="2"/>
  <c r="A452"/>
  <c r="A459" s="1"/>
  <c r="A449"/>
  <c r="A456" s="1"/>
  <c r="A450"/>
  <c r="A457" s="1"/>
  <c r="A447"/>
  <c r="A451"/>
  <c r="A458" s="1"/>
  <c r="A455"/>
  <c r="G3" i="4"/>
  <c r="C223" i="1"/>
  <c r="D223"/>
  <c r="D224" s="1"/>
  <c r="E223"/>
  <c r="E224" s="1"/>
  <c r="B223"/>
  <c r="B224" s="1"/>
  <c r="C224"/>
  <c r="AG530" i="7" l="1"/>
  <c r="AG531"/>
  <c r="AG519"/>
  <c r="AG515"/>
  <c r="AG511"/>
  <c r="AG507"/>
  <c r="AG559"/>
  <c r="AG558"/>
  <c r="AG557"/>
  <c r="AF532"/>
  <c r="AH182" i="10"/>
  <c r="AH199" s="1"/>
  <c r="AH282"/>
  <c r="AH298" s="1"/>
  <c r="AG56"/>
  <c r="AG85"/>
  <c r="AG86" s="1"/>
  <c r="AH629"/>
  <c r="AH625"/>
  <c r="AH621"/>
  <c r="AH617"/>
  <c r="AF578" i="8"/>
  <c r="AF590"/>
  <c r="AF586"/>
  <c r="AF582"/>
  <c r="AF65" i="10"/>
  <c r="AE179"/>
  <c r="AE196" s="1"/>
  <c r="AG58"/>
  <c r="AG180"/>
  <c r="AG197" s="1"/>
  <c r="AG141"/>
  <c r="AG153" s="1"/>
  <c r="AG249"/>
  <c r="AG221"/>
  <c r="AG39"/>
  <c r="AG59"/>
  <c r="AI11"/>
  <c r="AH645"/>
  <c r="AH181" s="1"/>
  <c r="AH198" s="1"/>
  <c r="AH41"/>
  <c r="AH183" s="1"/>
  <c r="AH200" s="1"/>
  <c r="AG27"/>
  <c r="AG698"/>
  <c r="AG683" s="1"/>
  <c r="AG66" s="1"/>
  <c r="AG666"/>
  <c r="AG651" s="1"/>
  <c r="AF639"/>
  <c r="AG626"/>
  <c r="AG627" s="1"/>
  <c r="AG618"/>
  <c r="AG619" s="1"/>
  <c r="AG592"/>
  <c r="AG593" s="1"/>
  <c r="AG586"/>
  <c r="AG587" s="1"/>
  <c r="AG630"/>
  <c r="AG631" s="1"/>
  <c r="AG622"/>
  <c r="AG130"/>
  <c r="AG29"/>
  <c r="AG31" s="1"/>
  <c r="AG10"/>
  <c r="AG12" s="1"/>
  <c r="AG280" s="1"/>
  <c r="AG296" s="1"/>
  <c r="AG509"/>
  <c r="AG513"/>
  <c r="AG533"/>
  <c r="AG537"/>
  <c r="AG541"/>
  <c r="AG561"/>
  <c r="AG565"/>
  <c r="AG506"/>
  <c r="AG510"/>
  <c r="AG514"/>
  <c r="AG534"/>
  <c r="AG538"/>
  <c r="AG558"/>
  <c r="AG562"/>
  <c r="AG566"/>
  <c r="AG49"/>
  <c r="AG281" s="1"/>
  <c r="AG297" s="1"/>
  <c r="AE71" i="7"/>
  <c r="AF68" i="10"/>
  <c r="AF179" s="1"/>
  <c r="AF196" s="1"/>
  <c r="AG730"/>
  <c r="AG715" s="1"/>
  <c r="AG67" s="1"/>
  <c r="AH741"/>
  <c r="AH740"/>
  <c r="AH739"/>
  <c r="AH738"/>
  <c r="AH737"/>
  <c r="AH736"/>
  <c r="AH735"/>
  <c r="AH734"/>
  <c r="AH732"/>
  <c r="AH746"/>
  <c r="AH729"/>
  <c r="AH728"/>
  <c r="AH727"/>
  <c r="AH726"/>
  <c r="AH725"/>
  <c r="AH724"/>
  <c r="AH723"/>
  <c r="AH722"/>
  <c r="AH721"/>
  <c r="AH720"/>
  <c r="AH709"/>
  <c r="AH708"/>
  <c r="AH707"/>
  <c r="AH706"/>
  <c r="AH705"/>
  <c r="AH704"/>
  <c r="AH703"/>
  <c r="AH701"/>
  <c r="AH700"/>
  <c r="AH697"/>
  <c r="AH696"/>
  <c r="AH695"/>
  <c r="AH694"/>
  <c r="AH693"/>
  <c r="AH692"/>
  <c r="AH691"/>
  <c r="AH690"/>
  <c r="AH689"/>
  <c r="AH688"/>
  <c r="AH677"/>
  <c r="AH676"/>
  <c r="AH675"/>
  <c r="AH674"/>
  <c r="AH673"/>
  <c r="AH672"/>
  <c r="AH671"/>
  <c r="AH669"/>
  <c r="AH668"/>
  <c r="AH665"/>
  <c r="AH664"/>
  <c r="AH663"/>
  <c r="AH662"/>
  <c r="AH661"/>
  <c r="AH660"/>
  <c r="AH659"/>
  <c r="AH658"/>
  <c r="AH657"/>
  <c r="AH656"/>
  <c r="AH639"/>
  <c r="AH590"/>
  <c r="AH591" s="1"/>
  <c r="AH584"/>
  <c r="AH585" s="1"/>
  <c r="AH501"/>
  <c r="AH432"/>
  <c r="AH430"/>
  <c r="AH428"/>
  <c r="AH426"/>
  <c r="AH424"/>
  <c r="AH406"/>
  <c r="AH404"/>
  <c r="AH402"/>
  <c r="AH400"/>
  <c r="AH398"/>
  <c r="AH381"/>
  <c r="AH379"/>
  <c r="AH377"/>
  <c r="AH375"/>
  <c r="AH373"/>
  <c r="AH354"/>
  <c r="AH353"/>
  <c r="AH352"/>
  <c r="AH351"/>
  <c r="AH350"/>
  <c r="AH349"/>
  <c r="AH488"/>
  <c r="AH487"/>
  <c r="AH486"/>
  <c r="AH485"/>
  <c r="AH484"/>
  <c r="AH483"/>
  <c r="AH431"/>
  <c r="AH429"/>
  <c r="AH427"/>
  <c r="AH425"/>
  <c r="AH423"/>
  <c r="AH405"/>
  <c r="AH403"/>
  <c r="AH401"/>
  <c r="AH399"/>
  <c r="AH397"/>
  <c r="AH380"/>
  <c r="AH378"/>
  <c r="AH376"/>
  <c r="AH374"/>
  <c r="AH372"/>
  <c r="AH367"/>
  <c r="AH250"/>
  <c r="AH222"/>
  <c r="AH40"/>
  <c r="AI2"/>
  <c r="AI750" s="1"/>
  <c r="AH33"/>
  <c r="AH35" s="1"/>
  <c r="AH37" s="1"/>
  <c r="AH30"/>
  <c r="AH26"/>
  <c r="AH25"/>
  <c r="AH23"/>
  <c r="AH19"/>
  <c r="AH5"/>
  <c r="AG368"/>
  <c r="AG507"/>
  <c r="AG511"/>
  <c r="AG515"/>
  <c r="AG535"/>
  <c r="AG539"/>
  <c r="AG559"/>
  <c r="AG563"/>
  <c r="AG567"/>
  <c r="AG508"/>
  <c r="AG512"/>
  <c r="AG532"/>
  <c r="AG536"/>
  <c r="AG540"/>
  <c r="AG560"/>
  <c r="AG564"/>
  <c r="AG502"/>
  <c r="AG623"/>
  <c r="AG11" i="8"/>
  <c r="AE598"/>
  <c r="AE601" s="1"/>
  <c r="AE653"/>
  <c r="AE638" s="1"/>
  <c r="AE61" s="1"/>
  <c r="AD63"/>
  <c r="AE468"/>
  <c r="AE472"/>
  <c r="AE476"/>
  <c r="AE496"/>
  <c r="AE500"/>
  <c r="AE520"/>
  <c r="AE524"/>
  <c r="AE528"/>
  <c r="AE471"/>
  <c r="AE475"/>
  <c r="AE495"/>
  <c r="AE499"/>
  <c r="AE519"/>
  <c r="AE523"/>
  <c r="AE527"/>
  <c r="AD72"/>
  <c r="AF695"/>
  <c r="AF694"/>
  <c r="AF693"/>
  <c r="AF692"/>
  <c r="AF691"/>
  <c r="AF690"/>
  <c r="AF689"/>
  <c r="AF687"/>
  <c r="AF684"/>
  <c r="AF393" s="1"/>
  <c r="AF683"/>
  <c r="AF392" s="1"/>
  <c r="AF682"/>
  <c r="AF391" s="1"/>
  <c r="AF681"/>
  <c r="AF390" s="1"/>
  <c r="AF680"/>
  <c r="AF389" s="1"/>
  <c r="AF679"/>
  <c r="AF678"/>
  <c r="AF387" s="1"/>
  <c r="AF677"/>
  <c r="AF386" s="1"/>
  <c r="AF676"/>
  <c r="AF385" s="1"/>
  <c r="AF675"/>
  <c r="AF384" s="1"/>
  <c r="AF664"/>
  <c r="AF663"/>
  <c r="AF662"/>
  <c r="AF661"/>
  <c r="AF660"/>
  <c r="AF659"/>
  <c r="AF658"/>
  <c r="AF657"/>
  <c r="AF655"/>
  <c r="AF652"/>
  <c r="AF367" s="1"/>
  <c r="AF651"/>
  <c r="AF366" s="1"/>
  <c r="AF650"/>
  <c r="AF365" s="1"/>
  <c r="AF649"/>
  <c r="AF364" s="1"/>
  <c r="AF648"/>
  <c r="AF363" s="1"/>
  <c r="AF647"/>
  <c r="AF362" s="1"/>
  <c r="AF646"/>
  <c r="AF361" s="1"/>
  <c r="AF645"/>
  <c r="AF360" s="1"/>
  <c r="AF644"/>
  <c r="AF359" s="1"/>
  <c r="AF643"/>
  <c r="AF358" s="1"/>
  <c r="AF632"/>
  <c r="AF631"/>
  <c r="AF630"/>
  <c r="AF629"/>
  <c r="AF628"/>
  <c r="AF627"/>
  <c r="AF626"/>
  <c r="AF624"/>
  <c r="AF623"/>
  <c r="AF620"/>
  <c r="AF342" s="1"/>
  <c r="AF619"/>
  <c r="AF341" s="1"/>
  <c r="AF618"/>
  <c r="AF340" s="1"/>
  <c r="AF617"/>
  <c r="AF339" s="1"/>
  <c r="AF616"/>
  <c r="AF338" s="1"/>
  <c r="AF615"/>
  <c r="AF337" s="1"/>
  <c r="AF614"/>
  <c r="AF336" s="1"/>
  <c r="AF613"/>
  <c r="AF335" s="1"/>
  <c r="AF612"/>
  <c r="AF334" s="1"/>
  <c r="AF611"/>
  <c r="AF333" s="1"/>
  <c r="AF551"/>
  <c r="AF552" s="1"/>
  <c r="AF545"/>
  <c r="AF546" s="1"/>
  <c r="AF462"/>
  <c r="AF449"/>
  <c r="AF448"/>
  <c r="AF447"/>
  <c r="AF446"/>
  <c r="AF445"/>
  <c r="AF444"/>
  <c r="AF388"/>
  <c r="AF328"/>
  <c r="AF315"/>
  <c r="AF314"/>
  <c r="AF313"/>
  <c r="AF312"/>
  <c r="AF311"/>
  <c r="AF310"/>
  <c r="AF40"/>
  <c r="AG2"/>
  <c r="AF30"/>
  <c r="AF26"/>
  <c r="AF25"/>
  <c r="AF23"/>
  <c r="AF19"/>
  <c r="AE329"/>
  <c r="AE469"/>
  <c r="AE467"/>
  <c r="AE470"/>
  <c r="AE474"/>
  <c r="AE494"/>
  <c r="AE498"/>
  <c r="AE502"/>
  <c r="AE522"/>
  <c r="AE526"/>
  <c r="AE473"/>
  <c r="AE493"/>
  <c r="AE497"/>
  <c r="AE501"/>
  <c r="AE521"/>
  <c r="AE525"/>
  <c r="AE463"/>
  <c r="AE27"/>
  <c r="AE621"/>
  <c r="AE606" s="1"/>
  <c r="AE60" s="1"/>
  <c r="AE685"/>
  <c r="AE670" s="1"/>
  <c r="AE62" s="1"/>
  <c r="AF617" i="7"/>
  <c r="AF602" s="1"/>
  <c r="AF69" s="1"/>
  <c r="AG550"/>
  <c r="AG548"/>
  <c r="AG544"/>
  <c r="AG535"/>
  <c r="AG534"/>
  <c r="AG545" s="1"/>
  <c r="AG528"/>
  <c r="AG527"/>
  <c r="AH11"/>
  <c r="AF27"/>
  <c r="AF585"/>
  <c r="AF570" s="1"/>
  <c r="AF68" s="1"/>
  <c r="AF649"/>
  <c r="AF634" s="1"/>
  <c r="AF70" s="1"/>
  <c r="AF61"/>
  <c r="AG665"/>
  <c r="AG660"/>
  <c r="AG659"/>
  <c r="AG658"/>
  <c r="AG657"/>
  <c r="AG656"/>
  <c r="AG655"/>
  <c r="AG654"/>
  <c r="AG653"/>
  <c r="AG648"/>
  <c r="AG647"/>
  <c r="AG646"/>
  <c r="AG645"/>
  <c r="AG644"/>
  <c r="AG643"/>
  <c r="AG642"/>
  <c r="AG641"/>
  <c r="AG651"/>
  <c r="AG640"/>
  <c r="AG616"/>
  <c r="AG615"/>
  <c r="AG614"/>
  <c r="AG613"/>
  <c r="AG612"/>
  <c r="AG611"/>
  <c r="AG610"/>
  <c r="AG639"/>
  <c r="AG628"/>
  <c r="AG627"/>
  <c r="AG626"/>
  <c r="AG625"/>
  <c r="AG624"/>
  <c r="AG623"/>
  <c r="AG622"/>
  <c r="AG620"/>
  <c r="AG619"/>
  <c r="AG609"/>
  <c r="AG584"/>
  <c r="AG583"/>
  <c r="AG582"/>
  <c r="AG581"/>
  <c r="AG580"/>
  <c r="AG579"/>
  <c r="AG608"/>
  <c r="AG607"/>
  <c r="AG596"/>
  <c r="AG595"/>
  <c r="AG594"/>
  <c r="AG593"/>
  <c r="AG592"/>
  <c r="AG591"/>
  <c r="AG590"/>
  <c r="AG588"/>
  <c r="AG587"/>
  <c r="AG578"/>
  <c r="AG564"/>
  <c r="AG62" s="1"/>
  <c r="AG577"/>
  <c r="AG576"/>
  <c r="AG575"/>
  <c r="AG480"/>
  <c r="AG481" s="1"/>
  <c r="AG474"/>
  <c r="AG475" s="1"/>
  <c r="AG378"/>
  <c r="AG377"/>
  <c r="AG376"/>
  <c r="AG375"/>
  <c r="AG374"/>
  <c r="AG373"/>
  <c r="AG321"/>
  <c r="AG319"/>
  <c r="AG317"/>
  <c r="AG315"/>
  <c r="AG313"/>
  <c r="AG295"/>
  <c r="AG293"/>
  <c r="AG291"/>
  <c r="AG289"/>
  <c r="AG287"/>
  <c r="AG391"/>
  <c r="AG322"/>
  <c r="AG320"/>
  <c r="AG318"/>
  <c r="AG316"/>
  <c r="AG314"/>
  <c r="AG296"/>
  <c r="AG294"/>
  <c r="AG292"/>
  <c r="AG290"/>
  <c r="AG288"/>
  <c r="AG271"/>
  <c r="AG269"/>
  <c r="AG267"/>
  <c r="AG265"/>
  <c r="AG263"/>
  <c r="AG268"/>
  <c r="AG264"/>
  <c r="AG167"/>
  <c r="AG131"/>
  <c r="AG270"/>
  <c r="AG266"/>
  <c r="AG262"/>
  <c r="AG257"/>
  <c r="AG244"/>
  <c r="AG243"/>
  <c r="AG242"/>
  <c r="AG241"/>
  <c r="AG240"/>
  <c r="AG239"/>
  <c r="AG40"/>
  <c r="AG33"/>
  <c r="AG35" s="1"/>
  <c r="AG37" s="1"/>
  <c r="AG39" s="1"/>
  <c r="AG30"/>
  <c r="AG26"/>
  <c r="AG25"/>
  <c r="AG23"/>
  <c r="AG19"/>
  <c r="AG5"/>
  <c r="AH2"/>
  <c r="AF401"/>
  <c r="AF258"/>
  <c r="AF399"/>
  <c r="AF398"/>
  <c r="AF402"/>
  <c r="AF422"/>
  <c r="AF426"/>
  <c r="AF430"/>
  <c r="AF450"/>
  <c r="AF454"/>
  <c r="AF392"/>
  <c r="AF423"/>
  <c r="AF427"/>
  <c r="AF431"/>
  <c r="AF451"/>
  <c r="AF455"/>
  <c r="AF533"/>
  <c r="AF565"/>
  <c r="AG562" s="1"/>
  <c r="AF397"/>
  <c r="AF405"/>
  <c r="AF403"/>
  <c r="AF396"/>
  <c r="AF400"/>
  <c r="AF404"/>
  <c r="AF424"/>
  <c r="AF428"/>
  <c r="AF448"/>
  <c r="AF452"/>
  <c r="AF456"/>
  <c r="AF425"/>
  <c r="AF429"/>
  <c r="AF449"/>
  <c r="AF453"/>
  <c r="AF457"/>
  <c r="AF549"/>
  <c r="AF543"/>
  <c r="AG556"/>
  <c r="AF166"/>
  <c r="AF130"/>
  <c r="AF55"/>
  <c r="AE540"/>
  <c r="AE80"/>
  <c r="AE81" s="1"/>
  <c r="L42" i="1"/>
  <c r="L23"/>
  <c r="A454" i="2"/>
  <c r="AH530" i="7" l="1"/>
  <c r="AH531"/>
  <c r="AH519"/>
  <c r="AH515"/>
  <c r="AH511"/>
  <c r="AH507"/>
  <c r="AH559"/>
  <c r="AH558"/>
  <c r="AH557"/>
  <c r="AG532"/>
  <c r="AI182" i="10"/>
  <c r="AI199" s="1"/>
  <c r="AI282"/>
  <c r="AI298" s="1"/>
  <c r="AH56"/>
  <c r="AH85"/>
  <c r="AH86" s="1"/>
  <c r="AI629"/>
  <c r="AI625"/>
  <c r="AI621"/>
  <c r="AI617"/>
  <c r="AG590" i="8"/>
  <c r="AG586"/>
  <c r="AG582"/>
  <c r="AG578"/>
  <c r="AG65" i="10"/>
  <c r="AG68" s="1"/>
  <c r="AG179" s="1"/>
  <c r="AG196" s="1"/>
  <c r="AF58"/>
  <c r="AF180"/>
  <c r="AF197" s="1"/>
  <c r="AH58"/>
  <c r="AH180"/>
  <c r="AH197" s="1"/>
  <c r="AH141"/>
  <c r="AH153" s="1"/>
  <c r="AH249"/>
  <c r="AH221"/>
  <c r="AG161"/>
  <c r="AG253" s="1"/>
  <c r="AG162"/>
  <c r="AG287"/>
  <c r="AG304"/>
  <c r="AG288"/>
  <c r="AG305"/>
  <c r="AG290"/>
  <c r="AG307"/>
  <c r="AG289"/>
  <c r="AG306"/>
  <c r="AH39"/>
  <c r="AH59"/>
  <c r="AG42"/>
  <c r="AG283"/>
  <c r="AG299" s="1"/>
  <c r="AJ11"/>
  <c r="AI41"/>
  <c r="AI183" s="1"/>
  <c r="AI200" s="1"/>
  <c r="AI645"/>
  <c r="AI181" s="1"/>
  <c r="AI198" s="1"/>
  <c r="C5"/>
  <c r="D5"/>
  <c r="E5"/>
  <c r="F5"/>
  <c r="G5"/>
  <c r="H5"/>
  <c r="I5"/>
  <c r="J5"/>
  <c r="K5"/>
  <c r="L5"/>
  <c r="M5"/>
  <c r="N5"/>
  <c r="O5"/>
  <c r="P5"/>
  <c r="Q5"/>
  <c r="R5"/>
  <c r="S5"/>
  <c r="T5"/>
  <c r="U5"/>
  <c r="V5"/>
  <c r="W5"/>
  <c r="X5"/>
  <c r="Y5"/>
  <c r="Z5"/>
  <c r="AA5"/>
  <c r="AB5"/>
  <c r="AC5"/>
  <c r="AD5"/>
  <c r="AE5"/>
  <c r="AF5"/>
  <c r="AF640"/>
  <c r="AG118"/>
  <c r="AG15"/>
  <c r="AI746"/>
  <c r="AI741"/>
  <c r="AI740"/>
  <c r="AI739"/>
  <c r="AI738"/>
  <c r="AI737"/>
  <c r="AI736"/>
  <c r="AI735"/>
  <c r="AI734"/>
  <c r="AI732"/>
  <c r="AI729"/>
  <c r="AI728"/>
  <c r="AI727"/>
  <c r="AI726"/>
  <c r="AI725"/>
  <c r="AI724"/>
  <c r="AI723"/>
  <c r="AI722"/>
  <c r="AI721"/>
  <c r="AI697"/>
  <c r="AI696"/>
  <c r="AI695"/>
  <c r="AI694"/>
  <c r="AI693"/>
  <c r="AI692"/>
  <c r="AI691"/>
  <c r="AI690"/>
  <c r="AI720"/>
  <c r="AI709"/>
  <c r="AI708"/>
  <c r="AI707"/>
  <c r="AI706"/>
  <c r="AI705"/>
  <c r="AI704"/>
  <c r="AI703"/>
  <c r="AI701"/>
  <c r="AI700"/>
  <c r="AI665"/>
  <c r="AI664"/>
  <c r="AI663"/>
  <c r="AI662"/>
  <c r="AI661"/>
  <c r="AI660"/>
  <c r="AI659"/>
  <c r="AI689"/>
  <c r="AI688"/>
  <c r="AI677"/>
  <c r="AI676"/>
  <c r="AI675"/>
  <c r="AI674"/>
  <c r="AI673"/>
  <c r="AI672"/>
  <c r="AI671"/>
  <c r="AI669"/>
  <c r="AI668"/>
  <c r="AI657"/>
  <c r="AI590"/>
  <c r="AI591" s="1"/>
  <c r="AI584"/>
  <c r="AI585" s="1"/>
  <c r="AI658"/>
  <c r="AI656"/>
  <c r="AI639"/>
  <c r="AI488"/>
  <c r="AI487"/>
  <c r="AI486"/>
  <c r="AI485"/>
  <c r="AI484"/>
  <c r="AI483"/>
  <c r="AI431"/>
  <c r="AI429"/>
  <c r="AI427"/>
  <c r="AI425"/>
  <c r="AI423"/>
  <c r="AI405"/>
  <c r="AI403"/>
  <c r="AI401"/>
  <c r="AI399"/>
  <c r="AI397"/>
  <c r="AI380"/>
  <c r="AI378"/>
  <c r="AI376"/>
  <c r="AI374"/>
  <c r="AI372"/>
  <c r="AI367"/>
  <c r="AI501"/>
  <c r="AI432"/>
  <c r="AI430"/>
  <c r="AI428"/>
  <c r="AI426"/>
  <c r="AI424"/>
  <c r="AI406"/>
  <c r="AI404"/>
  <c r="AI402"/>
  <c r="AI400"/>
  <c r="AI398"/>
  <c r="AI381"/>
  <c r="AI379"/>
  <c r="AI377"/>
  <c r="AI375"/>
  <c r="AI373"/>
  <c r="AI354"/>
  <c r="AI353"/>
  <c r="AI352"/>
  <c r="AI351"/>
  <c r="AI350"/>
  <c r="AI349"/>
  <c r="AI250"/>
  <c r="AI222"/>
  <c r="AI33"/>
  <c r="AI35" s="1"/>
  <c r="AI37" s="1"/>
  <c r="AI30"/>
  <c r="AI26"/>
  <c r="AI25"/>
  <c r="AI23"/>
  <c r="AI19"/>
  <c r="AI40"/>
  <c r="AJ2"/>
  <c r="AJ750" s="1"/>
  <c r="AI5"/>
  <c r="AH506"/>
  <c r="AH510"/>
  <c r="AH514"/>
  <c r="AH534"/>
  <c r="AH538"/>
  <c r="AH558"/>
  <c r="AH562"/>
  <c r="AH566"/>
  <c r="AH509"/>
  <c r="AH513"/>
  <c r="AH533"/>
  <c r="AH537"/>
  <c r="AH541"/>
  <c r="AH561"/>
  <c r="AH565"/>
  <c r="AH49"/>
  <c r="AH281" s="1"/>
  <c r="AH297" s="1"/>
  <c r="AH27"/>
  <c r="AH666"/>
  <c r="AH651" s="1"/>
  <c r="AH698"/>
  <c r="AH683" s="1"/>
  <c r="AH66" s="1"/>
  <c r="AH730"/>
  <c r="AH715" s="1"/>
  <c r="AH67" s="1"/>
  <c r="AG633"/>
  <c r="AG14"/>
  <c r="AH630"/>
  <c r="AH631" s="1"/>
  <c r="AH622"/>
  <c r="AH623" s="1"/>
  <c r="AH626"/>
  <c r="AH627" s="1"/>
  <c r="AH618"/>
  <c r="AH619" s="1"/>
  <c r="AH592"/>
  <c r="AH593" s="1"/>
  <c r="AH586"/>
  <c r="AH587" s="1"/>
  <c r="AH130"/>
  <c r="AH29"/>
  <c r="AH31" s="1"/>
  <c r="AH10"/>
  <c r="AH12" s="1"/>
  <c r="AH280" s="1"/>
  <c r="AH296" s="1"/>
  <c r="AH508"/>
  <c r="AH512"/>
  <c r="AH532"/>
  <c r="AH536"/>
  <c r="AH540"/>
  <c r="AH560"/>
  <c r="AH564"/>
  <c r="AH502"/>
  <c r="AH368"/>
  <c r="AH507"/>
  <c r="AH511"/>
  <c r="AH515"/>
  <c r="AH535"/>
  <c r="AH539"/>
  <c r="AH559"/>
  <c r="AH563"/>
  <c r="AH567"/>
  <c r="AG16"/>
  <c r="AG17"/>
  <c r="AG129"/>
  <c r="AG637"/>
  <c r="AH11" i="8"/>
  <c r="AF598"/>
  <c r="AF600" s="1"/>
  <c r="AF54" s="1"/>
  <c r="L43" i="1"/>
  <c r="C5" i="8"/>
  <c r="D5" i="7"/>
  <c r="C5"/>
  <c r="D5" i="8"/>
  <c r="E5" i="7"/>
  <c r="F5"/>
  <c r="E5" i="8"/>
  <c r="F5"/>
  <c r="G5" i="7"/>
  <c r="H5"/>
  <c r="G5" i="8"/>
  <c r="H5"/>
  <c r="I5" i="7"/>
  <c r="I5" i="8"/>
  <c r="J5" i="7"/>
  <c r="K5"/>
  <c r="J5" i="8"/>
  <c r="L5" i="7"/>
  <c r="K5" i="8"/>
  <c r="L5"/>
  <c r="M5" i="7"/>
  <c r="M5" i="8"/>
  <c r="N5" i="7"/>
  <c r="N5" i="8"/>
  <c r="O5" i="7"/>
  <c r="P5"/>
  <c r="O5" i="8"/>
  <c r="P5"/>
  <c r="Q5" i="7"/>
  <c r="R5"/>
  <c r="Q5" i="8"/>
  <c r="R5"/>
  <c r="S5" i="7"/>
  <c r="S5" i="8"/>
  <c r="T5" i="7"/>
  <c r="T5" i="8"/>
  <c r="U5" i="7"/>
  <c r="U5" i="8"/>
  <c r="V5" i="7"/>
  <c r="V5" i="8"/>
  <c r="W5" i="7"/>
  <c r="W5" i="8"/>
  <c r="X5" i="7"/>
  <c r="X5" i="8"/>
  <c r="Y5" i="7"/>
  <c r="Y5" i="8"/>
  <c r="Z5" i="7"/>
  <c r="Z5" i="8"/>
  <c r="AA5" i="7"/>
  <c r="AA5" i="8"/>
  <c r="AB5" i="7"/>
  <c r="AB5" i="8"/>
  <c r="AC5" i="7"/>
  <c r="AC5" i="8"/>
  <c r="AD5" i="7"/>
  <c r="AD5" i="8"/>
  <c r="AE5" i="7"/>
  <c r="AE5" i="8"/>
  <c r="AF5" i="7"/>
  <c r="AF5" i="8"/>
  <c r="AF579" s="1"/>
  <c r="AF580" s="1"/>
  <c r="AF14" s="1"/>
  <c r="AG565" i="7"/>
  <c r="AH562" s="1"/>
  <c r="AF27" i="8"/>
  <c r="AF468"/>
  <c r="AF469"/>
  <c r="AF473"/>
  <c r="AF493"/>
  <c r="AF497"/>
  <c r="AF501"/>
  <c r="AF521"/>
  <c r="AF525"/>
  <c r="AF463"/>
  <c r="AF472"/>
  <c r="AF476"/>
  <c r="AF496"/>
  <c r="AF500"/>
  <c r="AF520"/>
  <c r="AF524"/>
  <c r="AF528"/>
  <c r="AG649" i="7"/>
  <c r="AG634" s="1"/>
  <c r="AG70" s="1"/>
  <c r="AF71"/>
  <c r="AE63" i="8"/>
  <c r="AF621"/>
  <c r="AF606" s="1"/>
  <c r="AF60" s="1"/>
  <c r="AF653"/>
  <c r="AF638" s="1"/>
  <c r="AF61" s="1"/>
  <c r="AF685"/>
  <c r="AF670" s="1"/>
  <c r="AF62" s="1"/>
  <c r="AF601"/>
  <c r="AE72"/>
  <c r="AG701"/>
  <c r="AG696"/>
  <c r="AG695"/>
  <c r="AG694"/>
  <c r="AG693"/>
  <c r="AG692"/>
  <c r="AG691"/>
  <c r="AG690"/>
  <c r="AG689"/>
  <c r="AG687"/>
  <c r="AG684"/>
  <c r="AG683"/>
  <c r="AG682"/>
  <c r="AG681"/>
  <c r="AG680"/>
  <c r="AG679"/>
  <c r="AG678"/>
  <c r="AG677"/>
  <c r="AG676"/>
  <c r="AG675"/>
  <c r="AG664"/>
  <c r="AG662"/>
  <c r="AG660"/>
  <c r="AG658"/>
  <c r="AG652"/>
  <c r="AG651"/>
  <c r="AG650"/>
  <c r="AG649"/>
  <c r="AG648"/>
  <c r="AG647"/>
  <c r="AG646"/>
  <c r="AG645"/>
  <c r="AG644"/>
  <c r="AG643"/>
  <c r="AG663"/>
  <c r="AG661"/>
  <c r="AG659"/>
  <c r="AG656"/>
  <c r="AG655"/>
  <c r="AG620"/>
  <c r="AG619"/>
  <c r="AG618"/>
  <c r="AG617"/>
  <c r="AG616"/>
  <c r="AG615"/>
  <c r="AG614"/>
  <c r="AG613"/>
  <c r="AG612"/>
  <c r="AG611"/>
  <c r="AG632"/>
  <c r="AG631"/>
  <c r="AG630"/>
  <c r="AG629"/>
  <c r="AG628"/>
  <c r="AG627"/>
  <c r="AG626"/>
  <c r="AG624"/>
  <c r="AG623"/>
  <c r="AG600"/>
  <c r="AG54" s="1"/>
  <c r="AG551"/>
  <c r="AG552" s="1"/>
  <c r="AG545"/>
  <c r="AG546" s="1"/>
  <c r="AG449"/>
  <c r="AG448"/>
  <c r="AG447"/>
  <c r="AG446"/>
  <c r="AG445"/>
  <c r="AG444"/>
  <c r="AG392"/>
  <c r="AG390"/>
  <c r="AG388"/>
  <c r="AG386"/>
  <c r="AG384"/>
  <c r="AG366"/>
  <c r="AG364"/>
  <c r="AG362"/>
  <c r="AG360"/>
  <c r="AG358"/>
  <c r="AG341"/>
  <c r="AG339"/>
  <c r="AG337"/>
  <c r="AG462"/>
  <c r="AG393"/>
  <c r="AG391"/>
  <c r="AG389"/>
  <c r="AG387"/>
  <c r="AG385"/>
  <c r="AG367"/>
  <c r="AG365"/>
  <c r="AG363"/>
  <c r="AG361"/>
  <c r="AG359"/>
  <c r="AG342"/>
  <c r="AG340"/>
  <c r="AG338"/>
  <c r="AG336"/>
  <c r="AG334"/>
  <c r="AG335"/>
  <c r="AG238"/>
  <c r="AG203"/>
  <c r="AG333"/>
  <c r="AG328"/>
  <c r="AG315"/>
  <c r="AG314"/>
  <c r="AG313"/>
  <c r="AG312"/>
  <c r="AG311"/>
  <c r="AG310"/>
  <c r="AG33"/>
  <c r="AG35" s="1"/>
  <c r="AG37" s="1"/>
  <c r="AG39" s="1"/>
  <c r="AG30"/>
  <c r="AG26"/>
  <c r="AG25"/>
  <c r="AG23"/>
  <c r="AG19"/>
  <c r="AG5"/>
  <c r="AG40"/>
  <c r="AH2"/>
  <c r="AF329"/>
  <c r="AF470"/>
  <c r="AF467"/>
  <c r="AF471"/>
  <c r="AF475"/>
  <c r="AF495"/>
  <c r="AF499"/>
  <c r="AF519"/>
  <c r="AF523"/>
  <c r="AF527"/>
  <c r="AF474"/>
  <c r="AF494"/>
  <c r="AF498"/>
  <c r="AF502"/>
  <c r="AF522"/>
  <c r="AF526"/>
  <c r="AI11" i="7"/>
  <c r="AH550"/>
  <c r="AH548"/>
  <c r="AH544"/>
  <c r="AH535"/>
  <c r="AH534"/>
  <c r="AH545" s="1"/>
  <c r="AH528"/>
  <c r="AH527"/>
  <c r="AF540"/>
  <c r="AF80"/>
  <c r="AF81" s="1"/>
  <c r="AH660"/>
  <c r="AH659"/>
  <c r="AH658"/>
  <c r="AH657"/>
  <c r="AH656"/>
  <c r="AH655"/>
  <c r="AH654"/>
  <c r="AH653"/>
  <c r="AH651"/>
  <c r="AH665"/>
  <c r="AH648"/>
  <c r="AH647"/>
  <c r="AH646"/>
  <c r="AH645"/>
  <c r="AH644"/>
  <c r="AH643"/>
  <c r="AH642"/>
  <c r="AH641"/>
  <c r="AH640"/>
  <c r="AH639"/>
  <c r="AH628"/>
  <c r="AH627"/>
  <c r="AH626"/>
  <c r="AH625"/>
  <c r="AH624"/>
  <c r="AH623"/>
  <c r="AH622"/>
  <c r="AH620"/>
  <c r="AH619"/>
  <c r="AH616"/>
  <c r="AH615"/>
  <c r="AH614"/>
  <c r="AH613"/>
  <c r="AH612"/>
  <c r="AH611"/>
  <c r="AH610"/>
  <c r="AH609"/>
  <c r="AH608"/>
  <c r="AH607"/>
  <c r="AH596"/>
  <c r="AH595"/>
  <c r="AH594"/>
  <c r="AH593"/>
  <c r="AH592"/>
  <c r="AH591"/>
  <c r="AH590"/>
  <c r="AH588"/>
  <c r="AH587"/>
  <c r="AH584"/>
  <c r="AH583"/>
  <c r="AH582"/>
  <c r="AH581"/>
  <c r="AH580"/>
  <c r="AH579"/>
  <c r="AH578"/>
  <c r="AH577"/>
  <c r="AH576"/>
  <c r="AH575"/>
  <c r="AH480"/>
  <c r="AH481" s="1"/>
  <c r="AH474"/>
  <c r="AH475" s="1"/>
  <c r="AH564"/>
  <c r="AH62" s="1"/>
  <c r="AH391"/>
  <c r="AH322"/>
  <c r="AH320"/>
  <c r="AH318"/>
  <c r="AH316"/>
  <c r="AH314"/>
  <c r="AH296"/>
  <c r="AH294"/>
  <c r="AH292"/>
  <c r="AH290"/>
  <c r="AH288"/>
  <c r="AH378"/>
  <c r="AH377"/>
  <c r="AH376"/>
  <c r="AH375"/>
  <c r="AH374"/>
  <c r="AH373"/>
  <c r="AH321"/>
  <c r="AH319"/>
  <c r="AH317"/>
  <c r="AH315"/>
  <c r="AH313"/>
  <c r="AH295"/>
  <c r="AH293"/>
  <c r="AH291"/>
  <c r="AH289"/>
  <c r="AH287"/>
  <c r="AH270"/>
  <c r="AH268"/>
  <c r="AH266"/>
  <c r="AH264"/>
  <c r="AH262"/>
  <c r="AH257"/>
  <c r="AH271"/>
  <c r="AH267"/>
  <c r="AH263"/>
  <c r="AH244"/>
  <c r="AH243"/>
  <c r="AH242"/>
  <c r="AH241"/>
  <c r="AH240"/>
  <c r="AH239"/>
  <c r="AH269"/>
  <c r="AH265"/>
  <c r="AH167"/>
  <c r="AH131"/>
  <c r="AH33"/>
  <c r="AH35" s="1"/>
  <c r="AH37" s="1"/>
  <c r="AH39" s="1"/>
  <c r="AH30"/>
  <c r="AH26"/>
  <c r="AH25"/>
  <c r="AH23"/>
  <c r="AH19"/>
  <c r="AH40"/>
  <c r="AI2"/>
  <c r="AH5"/>
  <c r="AG258"/>
  <c r="AG400"/>
  <c r="AG398"/>
  <c r="AG397"/>
  <c r="AG401"/>
  <c r="AG405"/>
  <c r="AG425"/>
  <c r="AG429"/>
  <c r="AG449"/>
  <c r="AG453"/>
  <c r="AG457"/>
  <c r="AG422"/>
  <c r="AG426"/>
  <c r="AG430"/>
  <c r="AG450"/>
  <c r="AG454"/>
  <c r="AG392"/>
  <c r="AG166"/>
  <c r="AG130"/>
  <c r="AG55"/>
  <c r="AG165"/>
  <c r="AG129"/>
  <c r="AG54"/>
  <c r="AG27"/>
  <c r="AG61"/>
  <c r="AG585"/>
  <c r="AG570" s="1"/>
  <c r="AG68" s="1"/>
  <c r="AG533"/>
  <c r="AG617"/>
  <c r="AG602" s="1"/>
  <c r="AG69" s="1"/>
  <c r="AG520"/>
  <c r="AG521" s="1"/>
  <c r="AG512"/>
  <c r="AG513" s="1"/>
  <c r="AG516"/>
  <c r="AG517" s="1"/>
  <c r="AG508"/>
  <c r="AG509" s="1"/>
  <c r="AG14" s="1"/>
  <c r="AG18" s="1"/>
  <c r="AG482"/>
  <c r="AG483" s="1"/>
  <c r="AG104" s="1"/>
  <c r="AG476"/>
  <c r="AG477" s="1"/>
  <c r="AG103" s="1"/>
  <c r="AG170" s="1"/>
  <c r="AG120"/>
  <c r="AG29"/>
  <c r="AG31" s="1"/>
  <c r="AG41" s="1"/>
  <c r="AG10"/>
  <c r="AG12" s="1"/>
  <c r="AG396"/>
  <c r="AG404"/>
  <c r="AG402"/>
  <c r="AG399"/>
  <c r="AG403"/>
  <c r="AG423"/>
  <c r="AG427"/>
  <c r="AG431"/>
  <c r="AG451"/>
  <c r="AG455"/>
  <c r="AG424"/>
  <c r="AG428"/>
  <c r="AG448"/>
  <c r="AG452"/>
  <c r="AG456"/>
  <c r="AG549"/>
  <c r="AG543"/>
  <c r="AH556"/>
  <c r="A228" i="2"/>
  <c r="A229"/>
  <c r="A230"/>
  <c r="A227"/>
  <c r="A226"/>
  <c r="A222"/>
  <c r="A223"/>
  <c r="A224"/>
  <c r="A221"/>
  <c r="A220"/>
  <c r="A216"/>
  <c r="A217"/>
  <c r="A218"/>
  <c r="A215"/>
  <c r="A214"/>
  <c r="A210"/>
  <c r="A211"/>
  <c r="A212"/>
  <c r="A209"/>
  <c r="A208"/>
  <c r="A207"/>
  <c r="AI530" i="7" l="1"/>
  <c r="AI531"/>
  <c r="AI519"/>
  <c r="AI515"/>
  <c r="AI511"/>
  <c r="AI507"/>
  <c r="AI559"/>
  <c r="AI558"/>
  <c r="AI557"/>
  <c r="AH532"/>
  <c r="AJ182" i="10"/>
  <c r="AJ199" s="1"/>
  <c r="AJ282"/>
  <c r="AJ298" s="1"/>
  <c r="AH565" i="7"/>
  <c r="AI562" s="1"/>
  <c r="AI85" i="10"/>
  <c r="AI86" s="1"/>
  <c r="AI56"/>
  <c r="AJ629"/>
  <c r="AJ625"/>
  <c r="AJ621"/>
  <c r="AJ617"/>
  <c r="AG75"/>
  <c r="AH578" i="8"/>
  <c r="AH590"/>
  <c r="AH586"/>
  <c r="AH582"/>
  <c r="AH65" i="10"/>
  <c r="AI58"/>
  <c r="AI180"/>
  <c r="AI197" s="1"/>
  <c r="AI141"/>
  <c r="AI153" s="1"/>
  <c r="AI249"/>
  <c r="AI221"/>
  <c r="AH162"/>
  <c r="AH161"/>
  <c r="AH253" s="1"/>
  <c r="AH283"/>
  <c r="AH299" s="1"/>
  <c r="AH289"/>
  <c r="AH306"/>
  <c r="AH290"/>
  <c r="AH307"/>
  <c r="AH287"/>
  <c r="AH304"/>
  <c r="AH288"/>
  <c r="AH305"/>
  <c r="AG640"/>
  <c r="AH637" s="1"/>
  <c r="AI39"/>
  <c r="AI59"/>
  <c r="AK11"/>
  <c r="AJ645"/>
  <c r="AJ181" s="1"/>
  <c r="AJ198" s="1"/>
  <c r="AJ41"/>
  <c r="AJ183" s="1"/>
  <c r="AJ200" s="1"/>
  <c r="AH42"/>
  <c r="AE626"/>
  <c r="AE627" s="1"/>
  <c r="AE592"/>
  <c r="AE593" s="1"/>
  <c r="AE630"/>
  <c r="AE631" s="1"/>
  <c r="AE130"/>
  <c r="AE10"/>
  <c r="AE12" s="1"/>
  <c r="AE618"/>
  <c r="AE619" s="1"/>
  <c r="AE586"/>
  <c r="AE587" s="1"/>
  <c r="AE622"/>
  <c r="AE623" s="1"/>
  <c r="AE29"/>
  <c r="AE31" s="1"/>
  <c r="AC618"/>
  <c r="AC619" s="1"/>
  <c r="AC586"/>
  <c r="AC587" s="1"/>
  <c r="AC622"/>
  <c r="AC623" s="1"/>
  <c r="AC29"/>
  <c r="AC31" s="1"/>
  <c r="AC626"/>
  <c r="AC627" s="1"/>
  <c r="AC592"/>
  <c r="AC593" s="1"/>
  <c r="AC630"/>
  <c r="AC631" s="1"/>
  <c r="AC130"/>
  <c r="AC10"/>
  <c r="AC12" s="1"/>
  <c r="AA626"/>
  <c r="AA627" s="1"/>
  <c r="AA592"/>
  <c r="AA593" s="1"/>
  <c r="AA630"/>
  <c r="AA631" s="1"/>
  <c r="AA130"/>
  <c r="AA10"/>
  <c r="AA12" s="1"/>
  <c r="AA618"/>
  <c r="AA619" s="1"/>
  <c r="AA586"/>
  <c r="AA587" s="1"/>
  <c r="AA622"/>
  <c r="AA623" s="1"/>
  <c r="AA29"/>
  <c r="AA31" s="1"/>
  <c r="Y618"/>
  <c r="Y619" s="1"/>
  <c r="Y586"/>
  <c r="Y587" s="1"/>
  <c r="Y622"/>
  <c r="Y623" s="1"/>
  <c r="Y29"/>
  <c r="Y31" s="1"/>
  <c r="Y626"/>
  <c r="Y627" s="1"/>
  <c r="Y592"/>
  <c r="Y593" s="1"/>
  <c r="Y630"/>
  <c r="Y631" s="1"/>
  <c r="Y130"/>
  <c r="Y10"/>
  <c r="Y12" s="1"/>
  <c r="W626"/>
  <c r="W627" s="1"/>
  <c r="W592"/>
  <c r="W593" s="1"/>
  <c r="W630"/>
  <c r="W631" s="1"/>
  <c r="W130"/>
  <c r="W10"/>
  <c r="W12" s="1"/>
  <c r="W618"/>
  <c r="W619" s="1"/>
  <c r="W586"/>
  <c r="W587" s="1"/>
  <c r="W622"/>
  <c r="W623" s="1"/>
  <c r="W29"/>
  <c r="W31" s="1"/>
  <c r="U626"/>
  <c r="U627" s="1"/>
  <c r="U592"/>
  <c r="U593" s="1"/>
  <c r="U630"/>
  <c r="U631" s="1"/>
  <c r="U130"/>
  <c r="U10"/>
  <c r="U12" s="1"/>
  <c r="U280" s="1"/>
  <c r="U296" s="1"/>
  <c r="U618"/>
  <c r="U619" s="1"/>
  <c r="U586"/>
  <c r="U587" s="1"/>
  <c r="U622"/>
  <c r="U623" s="1"/>
  <c r="U29"/>
  <c r="U31" s="1"/>
  <c r="S626"/>
  <c r="S627" s="1"/>
  <c r="S592"/>
  <c r="S593" s="1"/>
  <c r="S630"/>
  <c r="S631" s="1"/>
  <c r="S130"/>
  <c r="S10"/>
  <c r="S12" s="1"/>
  <c r="S618"/>
  <c r="S619" s="1"/>
  <c r="S586"/>
  <c r="S587" s="1"/>
  <c r="S622"/>
  <c r="S623" s="1"/>
  <c r="S29"/>
  <c r="S31" s="1"/>
  <c r="Q618"/>
  <c r="Q619" s="1"/>
  <c r="Q586"/>
  <c r="Q587" s="1"/>
  <c r="Q622"/>
  <c r="Q623" s="1"/>
  <c r="Q29"/>
  <c r="Q31" s="1"/>
  <c r="Q626"/>
  <c r="Q627" s="1"/>
  <c r="Q592"/>
  <c r="Q593" s="1"/>
  <c r="Q630"/>
  <c r="Q631" s="1"/>
  <c r="Q130"/>
  <c r="Q10"/>
  <c r="Q12" s="1"/>
  <c r="O626"/>
  <c r="O627" s="1"/>
  <c r="O592"/>
  <c r="O593" s="1"/>
  <c r="O630"/>
  <c r="O631" s="1"/>
  <c r="O130"/>
  <c r="O10"/>
  <c r="O12" s="1"/>
  <c r="O618"/>
  <c r="O619" s="1"/>
  <c r="O586"/>
  <c r="O587" s="1"/>
  <c r="O622"/>
  <c r="O623" s="1"/>
  <c r="O29"/>
  <c r="O31" s="1"/>
  <c r="M618"/>
  <c r="M619" s="1"/>
  <c r="M586"/>
  <c r="M587" s="1"/>
  <c r="M622"/>
  <c r="M623" s="1"/>
  <c r="M29"/>
  <c r="M31" s="1"/>
  <c r="M626"/>
  <c r="M627" s="1"/>
  <c r="M592"/>
  <c r="M593" s="1"/>
  <c r="M630"/>
  <c r="M631" s="1"/>
  <c r="M130"/>
  <c r="M10"/>
  <c r="M12" s="1"/>
  <c r="K626"/>
  <c r="K627" s="1"/>
  <c r="K592"/>
  <c r="K593" s="1"/>
  <c r="K630"/>
  <c r="K631" s="1"/>
  <c r="K130"/>
  <c r="K10"/>
  <c r="K12" s="1"/>
  <c r="K618"/>
  <c r="K619" s="1"/>
  <c r="K586"/>
  <c r="K587" s="1"/>
  <c r="K622"/>
  <c r="K623" s="1"/>
  <c r="K29"/>
  <c r="K31" s="1"/>
  <c r="I626"/>
  <c r="I627" s="1"/>
  <c r="I592"/>
  <c r="I593" s="1"/>
  <c r="I630"/>
  <c r="I631" s="1"/>
  <c r="I130"/>
  <c r="I10"/>
  <c r="I12" s="1"/>
  <c r="I618"/>
  <c r="I619" s="1"/>
  <c r="I586"/>
  <c r="I587" s="1"/>
  <c r="I622"/>
  <c r="I623" s="1"/>
  <c r="I29"/>
  <c r="I31" s="1"/>
  <c r="G618"/>
  <c r="G619" s="1"/>
  <c r="G586"/>
  <c r="G587" s="1"/>
  <c r="G622"/>
  <c r="G623" s="1"/>
  <c r="G29"/>
  <c r="G31" s="1"/>
  <c r="G626"/>
  <c r="G627" s="1"/>
  <c r="G592"/>
  <c r="G593" s="1"/>
  <c r="G630"/>
  <c r="G631" s="1"/>
  <c r="G130"/>
  <c r="G10"/>
  <c r="G12" s="1"/>
  <c r="E618"/>
  <c r="E619" s="1"/>
  <c r="E586"/>
  <c r="E587" s="1"/>
  <c r="E622"/>
  <c r="E623" s="1"/>
  <c r="E29"/>
  <c r="E31" s="1"/>
  <c r="E626"/>
  <c r="E627" s="1"/>
  <c r="E592"/>
  <c r="E593" s="1"/>
  <c r="E630"/>
  <c r="E631" s="1"/>
  <c r="E130"/>
  <c r="E10"/>
  <c r="E12" s="1"/>
  <c r="C626"/>
  <c r="C592"/>
  <c r="C593" s="1"/>
  <c r="C630"/>
  <c r="C130"/>
  <c r="C10"/>
  <c r="C12" s="1"/>
  <c r="C618"/>
  <c r="C619" s="1"/>
  <c r="C586"/>
  <c r="C587" s="1"/>
  <c r="C622"/>
  <c r="C623" s="1"/>
  <c r="C29"/>
  <c r="C31" s="1"/>
  <c r="AF630"/>
  <c r="AF631" s="1"/>
  <c r="AF626"/>
  <c r="AF627" s="1"/>
  <c r="AF592"/>
  <c r="AF593" s="1"/>
  <c r="AF130"/>
  <c r="AF10"/>
  <c r="AF12" s="1"/>
  <c r="AF622"/>
  <c r="AF623" s="1"/>
  <c r="AF618"/>
  <c r="AF619" s="1"/>
  <c r="AF29"/>
  <c r="AF31" s="1"/>
  <c r="AF586"/>
  <c r="AF587" s="1"/>
  <c r="AD622"/>
  <c r="AD623" s="1"/>
  <c r="AD618"/>
  <c r="AD619" s="1"/>
  <c r="AD586"/>
  <c r="AD587" s="1"/>
  <c r="AD29"/>
  <c r="AD31" s="1"/>
  <c r="AD630"/>
  <c r="AD631" s="1"/>
  <c r="AD626"/>
  <c r="AD627" s="1"/>
  <c r="AD592"/>
  <c r="AD593" s="1"/>
  <c r="AD130"/>
  <c r="AD10"/>
  <c r="AD12" s="1"/>
  <c r="AB622"/>
  <c r="AB623" s="1"/>
  <c r="AB618"/>
  <c r="AB619" s="1"/>
  <c r="AB586"/>
  <c r="AB587" s="1"/>
  <c r="AB29"/>
  <c r="AB31" s="1"/>
  <c r="AB630"/>
  <c r="AB631" s="1"/>
  <c r="AB626"/>
  <c r="AB627" s="1"/>
  <c r="AB592"/>
  <c r="AB593" s="1"/>
  <c r="AB130"/>
  <c r="AB10"/>
  <c r="AB12" s="1"/>
  <c r="Z622"/>
  <c r="Z623" s="1"/>
  <c r="Z618"/>
  <c r="Z619" s="1"/>
  <c r="Z586"/>
  <c r="Z587" s="1"/>
  <c r="Z29"/>
  <c r="Z31" s="1"/>
  <c r="Z630"/>
  <c r="Z631" s="1"/>
  <c r="Z626"/>
  <c r="Z627" s="1"/>
  <c r="Z592"/>
  <c r="Z593" s="1"/>
  <c r="Z130"/>
  <c r="Z10"/>
  <c r="Z12" s="1"/>
  <c r="X622"/>
  <c r="X623" s="1"/>
  <c r="X618"/>
  <c r="X619" s="1"/>
  <c r="X586"/>
  <c r="X587" s="1"/>
  <c r="X29"/>
  <c r="X31" s="1"/>
  <c r="X630"/>
  <c r="X631" s="1"/>
  <c r="X626"/>
  <c r="X627" s="1"/>
  <c r="X592"/>
  <c r="X593" s="1"/>
  <c r="X130"/>
  <c r="X10"/>
  <c r="X12" s="1"/>
  <c r="V622"/>
  <c r="V623" s="1"/>
  <c r="V618"/>
  <c r="V619" s="1"/>
  <c r="V586"/>
  <c r="V587" s="1"/>
  <c r="V29"/>
  <c r="V31" s="1"/>
  <c r="V630"/>
  <c r="V631" s="1"/>
  <c r="V626"/>
  <c r="V627" s="1"/>
  <c r="V592"/>
  <c r="V593" s="1"/>
  <c r="V130"/>
  <c r="V10"/>
  <c r="V12" s="1"/>
  <c r="T622"/>
  <c r="T623" s="1"/>
  <c r="T618"/>
  <c r="T619" s="1"/>
  <c r="T586"/>
  <c r="T587" s="1"/>
  <c r="T29"/>
  <c r="T31" s="1"/>
  <c r="T630"/>
  <c r="T631" s="1"/>
  <c r="T626"/>
  <c r="T627" s="1"/>
  <c r="T592"/>
  <c r="T593" s="1"/>
  <c r="T130"/>
  <c r="T10"/>
  <c r="T12" s="1"/>
  <c r="R622"/>
  <c r="R623" s="1"/>
  <c r="R618"/>
  <c r="R619" s="1"/>
  <c r="R586"/>
  <c r="R587" s="1"/>
  <c r="R29"/>
  <c r="R31" s="1"/>
  <c r="R630"/>
  <c r="R631" s="1"/>
  <c r="R626"/>
  <c r="R627" s="1"/>
  <c r="R592"/>
  <c r="R593" s="1"/>
  <c r="R130"/>
  <c r="R10"/>
  <c r="R12" s="1"/>
  <c r="R280" s="1"/>
  <c r="R296" s="1"/>
  <c r="P622"/>
  <c r="P623" s="1"/>
  <c r="P618"/>
  <c r="P619" s="1"/>
  <c r="P586"/>
  <c r="P587" s="1"/>
  <c r="P29"/>
  <c r="P31" s="1"/>
  <c r="P630"/>
  <c r="P631" s="1"/>
  <c r="P626"/>
  <c r="P627" s="1"/>
  <c r="P592"/>
  <c r="P593" s="1"/>
  <c r="P130"/>
  <c r="P10"/>
  <c r="P12" s="1"/>
  <c r="N630"/>
  <c r="N631" s="1"/>
  <c r="N626"/>
  <c r="N627" s="1"/>
  <c r="N592"/>
  <c r="N593" s="1"/>
  <c r="N130"/>
  <c r="N10"/>
  <c r="N12" s="1"/>
  <c r="N622"/>
  <c r="N623" s="1"/>
  <c r="N618"/>
  <c r="N619" s="1"/>
  <c r="N586"/>
  <c r="N587" s="1"/>
  <c r="N29"/>
  <c r="N31" s="1"/>
  <c r="L622"/>
  <c r="L623" s="1"/>
  <c r="L618"/>
  <c r="L619" s="1"/>
  <c r="L586"/>
  <c r="L587" s="1"/>
  <c r="L29"/>
  <c r="L31" s="1"/>
  <c r="L630"/>
  <c r="L631" s="1"/>
  <c r="L626"/>
  <c r="L627" s="1"/>
  <c r="L592"/>
  <c r="L593" s="1"/>
  <c r="L130"/>
  <c r="L10"/>
  <c r="L12" s="1"/>
  <c r="J622"/>
  <c r="J623" s="1"/>
  <c r="J618"/>
  <c r="J619" s="1"/>
  <c r="J586"/>
  <c r="J587" s="1"/>
  <c r="J29"/>
  <c r="J31" s="1"/>
  <c r="J630"/>
  <c r="J631" s="1"/>
  <c r="J626"/>
  <c r="J627" s="1"/>
  <c r="J592"/>
  <c r="J593" s="1"/>
  <c r="J130"/>
  <c r="J10"/>
  <c r="J12" s="1"/>
  <c r="H630"/>
  <c r="H631" s="1"/>
  <c r="H626"/>
  <c r="H627" s="1"/>
  <c r="H592"/>
  <c r="H593" s="1"/>
  <c r="H130"/>
  <c r="H10"/>
  <c r="H12" s="1"/>
  <c r="H622"/>
  <c r="H623" s="1"/>
  <c r="H618"/>
  <c r="H619" s="1"/>
  <c r="H586"/>
  <c r="H587" s="1"/>
  <c r="H29"/>
  <c r="H31" s="1"/>
  <c r="F622"/>
  <c r="F623" s="1"/>
  <c r="F618"/>
  <c r="F619" s="1"/>
  <c r="F586"/>
  <c r="F587" s="1"/>
  <c r="F29"/>
  <c r="F31" s="1"/>
  <c r="F630"/>
  <c r="F631" s="1"/>
  <c r="F626"/>
  <c r="F627" s="1"/>
  <c r="F592"/>
  <c r="F593" s="1"/>
  <c r="F130"/>
  <c r="F10"/>
  <c r="F12" s="1"/>
  <c r="D630"/>
  <c r="D631" s="1"/>
  <c r="D626"/>
  <c r="D627" s="1"/>
  <c r="D592"/>
  <c r="D593" s="1"/>
  <c r="D130"/>
  <c r="D10"/>
  <c r="D12" s="1"/>
  <c r="D622"/>
  <c r="D623" s="1"/>
  <c r="D618"/>
  <c r="D619" s="1"/>
  <c r="D586"/>
  <c r="D587" s="1"/>
  <c r="D29"/>
  <c r="D31" s="1"/>
  <c r="AI730"/>
  <c r="AI715" s="1"/>
  <c r="AI67" s="1"/>
  <c r="AI666"/>
  <c r="AI651" s="1"/>
  <c r="AH16"/>
  <c r="AH17"/>
  <c r="AH15"/>
  <c r="AH118"/>
  <c r="AI626"/>
  <c r="AI627" s="1"/>
  <c r="AI618"/>
  <c r="AI619" s="1"/>
  <c r="AI592"/>
  <c r="AI586"/>
  <c r="AI587" s="1"/>
  <c r="AI630"/>
  <c r="AI631" s="1"/>
  <c r="AI622"/>
  <c r="AI130"/>
  <c r="AI29"/>
  <c r="AI31" s="1"/>
  <c r="AI10"/>
  <c r="AI12" s="1"/>
  <c r="AI280" s="1"/>
  <c r="AI296" s="1"/>
  <c r="AI368"/>
  <c r="AI507"/>
  <c r="AI511"/>
  <c r="AI515"/>
  <c r="AI535"/>
  <c r="AI539"/>
  <c r="AI559"/>
  <c r="AI563"/>
  <c r="AI567"/>
  <c r="AI508"/>
  <c r="AI512"/>
  <c r="AI532"/>
  <c r="AI536"/>
  <c r="AI540"/>
  <c r="AI560"/>
  <c r="AI564"/>
  <c r="AI502"/>
  <c r="AG18"/>
  <c r="AG20" s="1"/>
  <c r="AG44" s="1"/>
  <c r="AG308"/>
  <c r="AI27"/>
  <c r="AI623"/>
  <c r="AI593"/>
  <c r="AI698"/>
  <c r="AI683" s="1"/>
  <c r="AI66" s="1"/>
  <c r="AH633"/>
  <c r="AH14"/>
  <c r="AH129"/>
  <c r="AJ741"/>
  <c r="AJ740"/>
  <c r="AJ739"/>
  <c r="AJ738"/>
  <c r="AJ737"/>
  <c r="AJ736"/>
  <c r="AJ735"/>
  <c r="AJ734"/>
  <c r="AJ732"/>
  <c r="AJ746"/>
  <c r="AJ729"/>
  <c r="AJ728"/>
  <c r="AJ727"/>
  <c r="AJ726"/>
  <c r="AJ725"/>
  <c r="AJ724"/>
  <c r="AJ723"/>
  <c r="AJ722"/>
  <c r="AJ721"/>
  <c r="AJ720"/>
  <c r="AJ709"/>
  <c r="AJ708"/>
  <c r="AJ707"/>
  <c r="AJ706"/>
  <c r="AJ705"/>
  <c r="AJ704"/>
  <c r="AJ703"/>
  <c r="AJ701"/>
  <c r="AJ700"/>
  <c r="AJ697"/>
  <c r="AJ696"/>
  <c r="AJ695"/>
  <c r="AJ694"/>
  <c r="AJ693"/>
  <c r="AJ692"/>
  <c r="AJ691"/>
  <c r="AJ690"/>
  <c r="AJ689"/>
  <c r="AJ688"/>
  <c r="AJ677"/>
  <c r="AJ676"/>
  <c r="AJ675"/>
  <c r="AJ674"/>
  <c r="AJ673"/>
  <c r="AJ672"/>
  <c r="AJ671"/>
  <c r="AJ669"/>
  <c r="AJ668"/>
  <c r="AJ665"/>
  <c r="AJ664"/>
  <c r="AJ663"/>
  <c r="AJ662"/>
  <c r="AJ661"/>
  <c r="AJ660"/>
  <c r="AJ659"/>
  <c r="AJ658"/>
  <c r="AJ657"/>
  <c r="AJ656"/>
  <c r="AJ639"/>
  <c r="AJ590"/>
  <c r="AJ591" s="1"/>
  <c r="AJ584"/>
  <c r="AJ585" s="1"/>
  <c r="AJ501"/>
  <c r="AJ432"/>
  <c r="AJ430"/>
  <c r="AJ428"/>
  <c r="AJ426"/>
  <c r="AJ424"/>
  <c r="AJ406"/>
  <c r="AJ404"/>
  <c r="AJ402"/>
  <c r="AJ400"/>
  <c r="AJ398"/>
  <c r="AJ381"/>
  <c r="AJ379"/>
  <c r="AJ377"/>
  <c r="AJ375"/>
  <c r="AJ373"/>
  <c r="AJ354"/>
  <c r="AJ353"/>
  <c r="AJ352"/>
  <c r="AJ351"/>
  <c r="AJ350"/>
  <c r="AJ349"/>
  <c r="AJ488"/>
  <c r="AJ487"/>
  <c r="AJ486"/>
  <c r="AJ485"/>
  <c r="AJ484"/>
  <c r="AJ483"/>
  <c r="AJ431"/>
  <c r="AJ429"/>
  <c r="AJ427"/>
  <c r="AJ425"/>
  <c r="AJ423"/>
  <c r="AJ405"/>
  <c r="AJ403"/>
  <c r="AJ401"/>
  <c r="AJ399"/>
  <c r="AJ397"/>
  <c r="AJ380"/>
  <c r="AJ378"/>
  <c r="AJ376"/>
  <c r="AJ374"/>
  <c r="AJ372"/>
  <c r="AJ367"/>
  <c r="AJ250"/>
  <c r="AJ222"/>
  <c r="AJ40"/>
  <c r="AJ33"/>
  <c r="AJ35" s="1"/>
  <c r="AJ37" s="1"/>
  <c r="AJ30"/>
  <c r="AJ26"/>
  <c r="AJ25"/>
  <c r="AJ23"/>
  <c r="AJ19"/>
  <c r="AJ5"/>
  <c r="AK2"/>
  <c r="AK750" s="1"/>
  <c r="AI509"/>
  <c r="AI513"/>
  <c r="AI533"/>
  <c r="AI537"/>
  <c r="AI541"/>
  <c r="AI561"/>
  <c r="AI565"/>
  <c r="AI506"/>
  <c r="AI510"/>
  <c r="AI514"/>
  <c r="AI534"/>
  <c r="AI538"/>
  <c r="AI558"/>
  <c r="AI562"/>
  <c r="AI566"/>
  <c r="AI49"/>
  <c r="AI281" s="1"/>
  <c r="AI297" s="1"/>
  <c r="AG291"/>
  <c r="AH68"/>
  <c r="AH75" s="1"/>
  <c r="AI11" i="8"/>
  <c r="AG598"/>
  <c r="AG601" s="1"/>
  <c r="AF587"/>
  <c r="AF588" s="1"/>
  <c r="AF16" s="1"/>
  <c r="AF10"/>
  <c r="AF12" s="1"/>
  <c r="AF107" s="1"/>
  <c r="AF591"/>
  <c r="AF592" s="1"/>
  <c r="AF17" s="1"/>
  <c r="AF108"/>
  <c r="AF553"/>
  <c r="AF554" s="1"/>
  <c r="AF95" s="1"/>
  <c r="AF29"/>
  <c r="AF31" s="1"/>
  <c r="AF583"/>
  <c r="AF584" s="1"/>
  <c r="AF15" s="1"/>
  <c r="AF547"/>
  <c r="AF548" s="1"/>
  <c r="AF94" s="1"/>
  <c r="AF241" s="1"/>
  <c r="AE583"/>
  <c r="AE584" s="1"/>
  <c r="AE15" s="1"/>
  <c r="AE579"/>
  <c r="AE580" s="1"/>
  <c r="AE14" s="1"/>
  <c r="AE547"/>
  <c r="AE548" s="1"/>
  <c r="AE94" s="1"/>
  <c r="AE241" s="1"/>
  <c r="AE29"/>
  <c r="AE31" s="1"/>
  <c r="AE591"/>
  <c r="AE592" s="1"/>
  <c r="AE17" s="1"/>
  <c r="AE587"/>
  <c r="AE588" s="1"/>
  <c r="AE16" s="1"/>
  <c r="AE553"/>
  <c r="AE554" s="1"/>
  <c r="AE95" s="1"/>
  <c r="AE108"/>
  <c r="AE10"/>
  <c r="AE12" s="1"/>
  <c r="AD587"/>
  <c r="AD588" s="1"/>
  <c r="AD16" s="1"/>
  <c r="AD553"/>
  <c r="AD554" s="1"/>
  <c r="AD95" s="1"/>
  <c r="AD591"/>
  <c r="AD592" s="1"/>
  <c r="AD17" s="1"/>
  <c r="AD108"/>
  <c r="AD10"/>
  <c r="AD12" s="1"/>
  <c r="AD579"/>
  <c r="AD580" s="1"/>
  <c r="AD14" s="1"/>
  <c r="AD547"/>
  <c r="AD548" s="1"/>
  <c r="AD94" s="1"/>
  <c r="AD241" s="1"/>
  <c r="AD583"/>
  <c r="AD584" s="1"/>
  <c r="AD15" s="1"/>
  <c r="AD29"/>
  <c r="AD31" s="1"/>
  <c r="AC583"/>
  <c r="AC584" s="1"/>
  <c r="AC15" s="1"/>
  <c r="AC579"/>
  <c r="AC580" s="1"/>
  <c r="AC14" s="1"/>
  <c r="AC547"/>
  <c r="AC548" s="1"/>
  <c r="AC94" s="1"/>
  <c r="AC241" s="1"/>
  <c r="AC29"/>
  <c r="AC31" s="1"/>
  <c r="AC591"/>
  <c r="AC592" s="1"/>
  <c r="AC17" s="1"/>
  <c r="AC587"/>
  <c r="AC588" s="1"/>
  <c r="AC16" s="1"/>
  <c r="AC553"/>
  <c r="AC554" s="1"/>
  <c r="AC95" s="1"/>
  <c r="AC108"/>
  <c r="AC10"/>
  <c r="AC12" s="1"/>
  <c r="AB579"/>
  <c r="AB580" s="1"/>
  <c r="AB14" s="1"/>
  <c r="AB547"/>
  <c r="AB548" s="1"/>
  <c r="AB94" s="1"/>
  <c r="AB241" s="1"/>
  <c r="AB583"/>
  <c r="AB584" s="1"/>
  <c r="AB15" s="1"/>
  <c r="AB29"/>
  <c r="AB31" s="1"/>
  <c r="AB587"/>
  <c r="AB588" s="1"/>
  <c r="AB16" s="1"/>
  <c r="AB553"/>
  <c r="AB554" s="1"/>
  <c r="AB95" s="1"/>
  <c r="AB591"/>
  <c r="AB592" s="1"/>
  <c r="AB17" s="1"/>
  <c r="AB108"/>
  <c r="AB10"/>
  <c r="AB12" s="1"/>
  <c r="AA583"/>
  <c r="AA584" s="1"/>
  <c r="AA15" s="1"/>
  <c r="AA579"/>
  <c r="AA580" s="1"/>
  <c r="AA14" s="1"/>
  <c r="AA547"/>
  <c r="AA548" s="1"/>
  <c r="AA94" s="1"/>
  <c r="AA241" s="1"/>
  <c r="AA29"/>
  <c r="AA31" s="1"/>
  <c r="AA591"/>
  <c r="AA592" s="1"/>
  <c r="AA17" s="1"/>
  <c r="AA587"/>
  <c r="AA588" s="1"/>
  <c r="AA16" s="1"/>
  <c r="AA553"/>
  <c r="AA554" s="1"/>
  <c r="AA95" s="1"/>
  <c r="AA108"/>
  <c r="AA10"/>
  <c r="AA12" s="1"/>
  <c r="Z579"/>
  <c r="Z580" s="1"/>
  <c r="Z14" s="1"/>
  <c r="Z547"/>
  <c r="Z548" s="1"/>
  <c r="Z94" s="1"/>
  <c r="Z241" s="1"/>
  <c r="Z583"/>
  <c r="Z584" s="1"/>
  <c r="Z15" s="1"/>
  <c r="Z29"/>
  <c r="Z31" s="1"/>
  <c r="Z587"/>
  <c r="Z588" s="1"/>
  <c r="Z16" s="1"/>
  <c r="Z553"/>
  <c r="Z554" s="1"/>
  <c r="Z95" s="1"/>
  <c r="Z591"/>
  <c r="Z592" s="1"/>
  <c r="Z17" s="1"/>
  <c r="Z108"/>
  <c r="Z10"/>
  <c r="Z12" s="1"/>
  <c r="Y591"/>
  <c r="Y592" s="1"/>
  <c r="Y17" s="1"/>
  <c r="Y587"/>
  <c r="Y588" s="1"/>
  <c r="Y16" s="1"/>
  <c r="Y553"/>
  <c r="Y554" s="1"/>
  <c r="Y95" s="1"/>
  <c r="Y108"/>
  <c r="Y10"/>
  <c r="Y12" s="1"/>
  <c r="Y583"/>
  <c r="Y584" s="1"/>
  <c r="Y15" s="1"/>
  <c r="Y579"/>
  <c r="Y580" s="1"/>
  <c r="Y14" s="1"/>
  <c r="Y547"/>
  <c r="Y548" s="1"/>
  <c r="Y94" s="1"/>
  <c r="Y241" s="1"/>
  <c r="Y29"/>
  <c r="Y31" s="1"/>
  <c r="X587"/>
  <c r="X588" s="1"/>
  <c r="X16" s="1"/>
  <c r="X553"/>
  <c r="X554" s="1"/>
  <c r="X95" s="1"/>
  <c r="X591"/>
  <c r="X592" s="1"/>
  <c r="X17" s="1"/>
  <c r="X108"/>
  <c r="X10"/>
  <c r="X12" s="1"/>
  <c r="X579"/>
  <c r="X580" s="1"/>
  <c r="X14" s="1"/>
  <c r="X547"/>
  <c r="X548" s="1"/>
  <c r="X94" s="1"/>
  <c r="X241" s="1"/>
  <c r="X583"/>
  <c r="X584" s="1"/>
  <c r="X15" s="1"/>
  <c r="X29"/>
  <c r="X31" s="1"/>
  <c r="W583"/>
  <c r="W584" s="1"/>
  <c r="W15" s="1"/>
  <c r="W579"/>
  <c r="W580" s="1"/>
  <c r="W14" s="1"/>
  <c r="W547"/>
  <c r="W548" s="1"/>
  <c r="W94" s="1"/>
  <c r="W241" s="1"/>
  <c r="W29"/>
  <c r="W31" s="1"/>
  <c r="W591"/>
  <c r="W592" s="1"/>
  <c r="W17" s="1"/>
  <c r="W587"/>
  <c r="W588" s="1"/>
  <c r="W16" s="1"/>
  <c r="W553"/>
  <c r="W554" s="1"/>
  <c r="W95" s="1"/>
  <c r="W108"/>
  <c r="W10"/>
  <c r="W12" s="1"/>
  <c r="V587"/>
  <c r="V588" s="1"/>
  <c r="V16" s="1"/>
  <c r="V553"/>
  <c r="V554" s="1"/>
  <c r="V95" s="1"/>
  <c r="V591"/>
  <c r="V592" s="1"/>
  <c r="V17" s="1"/>
  <c r="V108"/>
  <c r="V10"/>
  <c r="V12" s="1"/>
  <c r="V579"/>
  <c r="V580" s="1"/>
  <c r="V14" s="1"/>
  <c r="V547"/>
  <c r="V548" s="1"/>
  <c r="V94" s="1"/>
  <c r="V241" s="1"/>
  <c r="V583"/>
  <c r="V584" s="1"/>
  <c r="V15" s="1"/>
  <c r="V29"/>
  <c r="V31" s="1"/>
  <c r="U583"/>
  <c r="U584" s="1"/>
  <c r="U15" s="1"/>
  <c r="U579"/>
  <c r="U580" s="1"/>
  <c r="U14" s="1"/>
  <c r="U547"/>
  <c r="U548" s="1"/>
  <c r="U94" s="1"/>
  <c r="U241" s="1"/>
  <c r="U29"/>
  <c r="U31" s="1"/>
  <c r="U591"/>
  <c r="U592" s="1"/>
  <c r="U17" s="1"/>
  <c r="U587"/>
  <c r="U588" s="1"/>
  <c r="U16" s="1"/>
  <c r="U553"/>
  <c r="U554" s="1"/>
  <c r="U95" s="1"/>
  <c r="U108"/>
  <c r="U10"/>
  <c r="U12" s="1"/>
  <c r="T587"/>
  <c r="T588" s="1"/>
  <c r="T16" s="1"/>
  <c r="T553"/>
  <c r="T554" s="1"/>
  <c r="T95" s="1"/>
  <c r="T591"/>
  <c r="T592" s="1"/>
  <c r="T17" s="1"/>
  <c r="T108"/>
  <c r="T10"/>
  <c r="T12" s="1"/>
  <c r="T579"/>
  <c r="T580" s="1"/>
  <c r="T14" s="1"/>
  <c r="T547"/>
  <c r="T548" s="1"/>
  <c r="T94" s="1"/>
  <c r="T241" s="1"/>
  <c r="T583"/>
  <c r="T584" s="1"/>
  <c r="T15" s="1"/>
  <c r="T29"/>
  <c r="T31" s="1"/>
  <c r="S591"/>
  <c r="S592" s="1"/>
  <c r="S17" s="1"/>
  <c r="S587"/>
  <c r="S588" s="1"/>
  <c r="S16" s="1"/>
  <c r="S553"/>
  <c r="S554" s="1"/>
  <c r="S95" s="1"/>
  <c r="S108"/>
  <c r="S10"/>
  <c r="S12" s="1"/>
  <c r="S583"/>
  <c r="S584" s="1"/>
  <c r="S15" s="1"/>
  <c r="S579"/>
  <c r="S580" s="1"/>
  <c r="S14" s="1"/>
  <c r="S547"/>
  <c r="S548" s="1"/>
  <c r="S94" s="1"/>
  <c r="S241" s="1"/>
  <c r="S29"/>
  <c r="S31" s="1"/>
  <c r="R579"/>
  <c r="R580" s="1"/>
  <c r="R14" s="1"/>
  <c r="R547"/>
  <c r="R548" s="1"/>
  <c r="R94" s="1"/>
  <c r="R241" s="1"/>
  <c r="R583"/>
  <c r="R584" s="1"/>
  <c r="R15" s="1"/>
  <c r="R29"/>
  <c r="R31" s="1"/>
  <c r="R587"/>
  <c r="R588" s="1"/>
  <c r="R16" s="1"/>
  <c r="R553"/>
  <c r="R554" s="1"/>
  <c r="R95" s="1"/>
  <c r="R591"/>
  <c r="R592" s="1"/>
  <c r="R17" s="1"/>
  <c r="R108"/>
  <c r="R10"/>
  <c r="R12" s="1"/>
  <c r="R520" i="7"/>
  <c r="R521" s="1"/>
  <c r="R508"/>
  <c r="R509" s="1"/>
  <c r="R14" s="1"/>
  <c r="R18" s="1"/>
  <c r="R476"/>
  <c r="R477" s="1"/>
  <c r="R103" s="1"/>
  <c r="R170" s="1"/>
  <c r="R512"/>
  <c r="R513" s="1"/>
  <c r="R29"/>
  <c r="R31" s="1"/>
  <c r="R516"/>
  <c r="R517" s="1"/>
  <c r="R482"/>
  <c r="R483" s="1"/>
  <c r="R104" s="1"/>
  <c r="R120"/>
  <c r="R10"/>
  <c r="R12" s="1"/>
  <c r="P587" i="8"/>
  <c r="P588" s="1"/>
  <c r="P16" s="1"/>
  <c r="P553"/>
  <c r="P554" s="1"/>
  <c r="P95" s="1"/>
  <c r="P591"/>
  <c r="P592" s="1"/>
  <c r="P17" s="1"/>
  <c r="P108"/>
  <c r="P10"/>
  <c r="P12" s="1"/>
  <c r="P579"/>
  <c r="P580" s="1"/>
  <c r="P14" s="1"/>
  <c r="P547"/>
  <c r="P548" s="1"/>
  <c r="P94" s="1"/>
  <c r="P241" s="1"/>
  <c r="P583"/>
  <c r="P584" s="1"/>
  <c r="P15" s="1"/>
  <c r="P29"/>
  <c r="P31" s="1"/>
  <c r="P508" i="7"/>
  <c r="P509" s="1"/>
  <c r="P14" s="1"/>
  <c r="P18" s="1"/>
  <c r="P476"/>
  <c r="P477" s="1"/>
  <c r="P103" s="1"/>
  <c r="P170" s="1"/>
  <c r="P512"/>
  <c r="P513" s="1"/>
  <c r="P29"/>
  <c r="P31" s="1"/>
  <c r="P516"/>
  <c r="P517" s="1"/>
  <c r="P482"/>
  <c r="P483" s="1"/>
  <c r="P104" s="1"/>
  <c r="P520"/>
  <c r="P521" s="1"/>
  <c r="P120"/>
  <c r="P10"/>
  <c r="P12" s="1"/>
  <c r="N587" i="8"/>
  <c r="N588" s="1"/>
  <c r="N16" s="1"/>
  <c r="N553"/>
  <c r="N554" s="1"/>
  <c r="N95" s="1"/>
  <c r="N591"/>
  <c r="N592" s="1"/>
  <c r="N17" s="1"/>
  <c r="N108"/>
  <c r="N10"/>
  <c r="N12" s="1"/>
  <c r="N579"/>
  <c r="N580" s="1"/>
  <c r="N14" s="1"/>
  <c r="N547"/>
  <c r="N548" s="1"/>
  <c r="N94" s="1"/>
  <c r="N241" s="1"/>
  <c r="N583"/>
  <c r="N584" s="1"/>
  <c r="N15" s="1"/>
  <c r="N29"/>
  <c r="N31" s="1"/>
  <c r="M583"/>
  <c r="M584" s="1"/>
  <c r="M15" s="1"/>
  <c r="M579"/>
  <c r="M580" s="1"/>
  <c r="M14" s="1"/>
  <c r="M547"/>
  <c r="M548" s="1"/>
  <c r="M94" s="1"/>
  <c r="M241" s="1"/>
  <c r="M29"/>
  <c r="M31" s="1"/>
  <c r="M591"/>
  <c r="M592" s="1"/>
  <c r="M17" s="1"/>
  <c r="M587"/>
  <c r="M588" s="1"/>
  <c r="M16" s="1"/>
  <c r="M553"/>
  <c r="M554" s="1"/>
  <c r="M95" s="1"/>
  <c r="M108"/>
  <c r="M10"/>
  <c r="M12" s="1"/>
  <c r="L579"/>
  <c r="L580" s="1"/>
  <c r="L14" s="1"/>
  <c r="L547"/>
  <c r="L548" s="1"/>
  <c r="L94" s="1"/>
  <c r="L241" s="1"/>
  <c r="L583"/>
  <c r="L584" s="1"/>
  <c r="L15" s="1"/>
  <c r="L29"/>
  <c r="L31" s="1"/>
  <c r="L587"/>
  <c r="L588" s="1"/>
  <c r="L16" s="1"/>
  <c r="L553"/>
  <c r="L554" s="1"/>
  <c r="L95" s="1"/>
  <c r="L591"/>
  <c r="L592" s="1"/>
  <c r="L17" s="1"/>
  <c r="L108"/>
  <c r="L10"/>
  <c r="L12" s="1"/>
  <c r="L508" i="7"/>
  <c r="L509" s="1"/>
  <c r="L14" s="1"/>
  <c r="L18" s="1"/>
  <c r="L476"/>
  <c r="L477" s="1"/>
  <c r="L103" s="1"/>
  <c r="L170" s="1"/>
  <c r="L512"/>
  <c r="L513" s="1"/>
  <c r="L29"/>
  <c r="L31" s="1"/>
  <c r="L516"/>
  <c r="L517" s="1"/>
  <c r="L482"/>
  <c r="L483" s="1"/>
  <c r="L104" s="1"/>
  <c r="L520"/>
  <c r="L521" s="1"/>
  <c r="L120"/>
  <c r="L10"/>
  <c r="L12" s="1"/>
  <c r="K520"/>
  <c r="K521" s="1"/>
  <c r="K516"/>
  <c r="K517" s="1"/>
  <c r="K482"/>
  <c r="K483" s="1"/>
  <c r="K104" s="1"/>
  <c r="K120"/>
  <c r="K10"/>
  <c r="K12" s="1"/>
  <c r="K512"/>
  <c r="K513" s="1"/>
  <c r="K476"/>
  <c r="K477" s="1"/>
  <c r="K103" s="1"/>
  <c r="K29"/>
  <c r="K31" s="1"/>
  <c r="K508"/>
  <c r="K509" s="1"/>
  <c r="K14" s="1"/>
  <c r="K18" s="1"/>
  <c r="I591" i="8"/>
  <c r="I592" s="1"/>
  <c r="I17" s="1"/>
  <c r="I587"/>
  <c r="I588" s="1"/>
  <c r="I16" s="1"/>
  <c r="I553"/>
  <c r="I554" s="1"/>
  <c r="I95" s="1"/>
  <c r="I108"/>
  <c r="I10"/>
  <c r="I12" s="1"/>
  <c r="I583"/>
  <c r="I584" s="1"/>
  <c r="I15" s="1"/>
  <c r="I579"/>
  <c r="I580" s="1"/>
  <c r="I14" s="1"/>
  <c r="I547"/>
  <c r="I548" s="1"/>
  <c r="I94" s="1"/>
  <c r="I241" s="1"/>
  <c r="I29"/>
  <c r="I31" s="1"/>
  <c r="H579"/>
  <c r="H580" s="1"/>
  <c r="H14" s="1"/>
  <c r="H547"/>
  <c r="H548" s="1"/>
  <c r="H94" s="1"/>
  <c r="H241" s="1"/>
  <c r="H583"/>
  <c r="H584" s="1"/>
  <c r="H15" s="1"/>
  <c r="H29"/>
  <c r="H31" s="1"/>
  <c r="H587"/>
  <c r="H588" s="1"/>
  <c r="H16" s="1"/>
  <c r="H553"/>
  <c r="H554" s="1"/>
  <c r="H95" s="1"/>
  <c r="H591"/>
  <c r="H592" s="1"/>
  <c r="H17" s="1"/>
  <c r="H108"/>
  <c r="H10"/>
  <c r="H12" s="1"/>
  <c r="H508" i="7"/>
  <c r="H509" s="1"/>
  <c r="H14" s="1"/>
  <c r="H18" s="1"/>
  <c r="H476"/>
  <c r="H477" s="1"/>
  <c r="H103" s="1"/>
  <c r="H170" s="1"/>
  <c r="H512"/>
  <c r="H513" s="1"/>
  <c r="H29"/>
  <c r="H31" s="1"/>
  <c r="H516"/>
  <c r="H517" s="1"/>
  <c r="H482"/>
  <c r="H483" s="1"/>
  <c r="H104" s="1"/>
  <c r="H520"/>
  <c r="H521" s="1"/>
  <c r="H120"/>
  <c r="H10"/>
  <c r="H12" s="1"/>
  <c r="F587" i="8"/>
  <c r="F588" s="1"/>
  <c r="F16" s="1"/>
  <c r="F553"/>
  <c r="F554" s="1"/>
  <c r="F95" s="1"/>
  <c r="F591"/>
  <c r="F592" s="1"/>
  <c r="F17" s="1"/>
  <c r="F108"/>
  <c r="F10"/>
  <c r="F12" s="1"/>
  <c r="F579"/>
  <c r="F580" s="1"/>
  <c r="F14" s="1"/>
  <c r="F547"/>
  <c r="F548" s="1"/>
  <c r="F94" s="1"/>
  <c r="F241" s="1"/>
  <c r="F583"/>
  <c r="F584" s="1"/>
  <c r="F15" s="1"/>
  <c r="F29"/>
  <c r="F31" s="1"/>
  <c r="F516" i="7"/>
  <c r="F517" s="1"/>
  <c r="F482"/>
  <c r="F483" s="1"/>
  <c r="F104" s="1"/>
  <c r="F520"/>
  <c r="F521" s="1"/>
  <c r="F120"/>
  <c r="F10"/>
  <c r="F12" s="1"/>
  <c r="F508"/>
  <c r="F509" s="1"/>
  <c r="F14" s="1"/>
  <c r="F18" s="1"/>
  <c r="F476"/>
  <c r="F477" s="1"/>
  <c r="F103" s="1"/>
  <c r="F170" s="1"/>
  <c r="F512"/>
  <c r="F513" s="1"/>
  <c r="F29"/>
  <c r="F31" s="1"/>
  <c r="D587" i="8"/>
  <c r="D588" s="1"/>
  <c r="D16" s="1"/>
  <c r="D553"/>
  <c r="D554" s="1"/>
  <c r="D95" s="1"/>
  <c r="D591"/>
  <c r="D592" s="1"/>
  <c r="D17" s="1"/>
  <c r="D108"/>
  <c r="D10"/>
  <c r="D12" s="1"/>
  <c r="D579"/>
  <c r="D580" s="1"/>
  <c r="D14" s="1"/>
  <c r="D547"/>
  <c r="D548" s="1"/>
  <c r="D94" s="1"/>
  <c r="D241" s="1"/>
  <c r="D583"/>
  <c r="D584" s="1"/>
  <c r="D15" s="1"/>
  <c r="D29"/>
  <c r="D31" s="1"/>
  <c r="D516" i="7"/>
  <c r="D517" s="1"/>
  <c r="D482"/>
  <c r="D483" s="1"/>
  <c r="D104" s="1"/>
  <c r="D520"/>
  <c r="D521" s="1"/>
  <c r="D120"/>
  <c r="D10"/>
  <c r="D12" s="1"/>
  <c r="D508"/>
  <c r="D509" s="1"/>
  <c r="D14" s="1"/>
  <c r="D18" s="1"/>
  <c r="D476"/>
  <c r="D477" s="1"/>
  <c r="D103" s="1"/>
  <c r="D170" s="1"/>
  <c r="D512"/>
  <c r="D513" s="1"/>
  <c r="D29"/>
  <c r="D31" s="1"/>
  <c r="AF508"/>
  <c r="AF509" s="1"/>
  <c r="AF14" s="1"/>
  <c r="AF18" s="1"/>
  <c r="AF476"/>
  <c r="AF477" s="1"/>
  <c r="AF103" s="1"/>
  <c r="AF170" s="1"/>
  <c r="AF512"/>
  <c r="AF513" s="1"/>
  <c r="AF29"/>
  <c r="AF31" s="1"/>
  <c r="AF516"/>
  <c r="AF517" s="1"/>
  <c r="AF482"/>
  <c r="AF483" s="1"/>
  <c r="AF104" s="1"/>
  <c r="AF520"/>
  <c r="AF521" s="1"/>
  <c r="AF120"/>
  <c r="AF10"/>
  <c r="AF12" s="1"/>
  <c r="AE520"/>
  <c r="AE521" s="1"/>
  <c r="AE516"/>
  <c r="AE517" s="1"/>
  <c r="AE482"/>
  <c r="AE483" s="1"/>
  <c r="AE104" s="1"/>
  <c r="AE120"/>
  <c r="AE10"/>
  <c r="AE12" s="1"/>
  <c r="AE512"/>
  <c r="AE513" s="1"/>
  <c r="AE508"/>
  <c r="AE509" s="1"/>
  <c r="AE14" s="1"/>
  <c r="AE18" s="1"/>
  <c r="AE476"/>
  <c r="AE477" s="1"/>
  <c r="AE103" s="1"/>
  <c r="AE170" s="1"/>
  <c r="AE29"/>
  <c r="AE31" s="1"/>
  <c r="AD508"/>
  <c r="AD509" s="1"/>
  <c r="AD14" s="1"/>
  <c r="AD18" s="1"/>
  <c r="AD476"/>
  <c r="AD477" s="1"/>
  <c r="AD103" s="1"/>
  <c r="AD170" s="1"/>
  <c r="AD512"/>
  <c r="AD513" s="1"/>
  <c r="AD29"/>
  <c r="AD31" s="1"/>
  <c r="AD516"/>
  <c r="AD517" s="1"/>
  <c r="AD482"/>
  <c r="AD483" s="1"/>
  <c r="AD104" s="1"/>
  <c r="AD520"/>
  <c r="AD521" s="1"/>
  <c r="AD120"/>
  <c r="AD10"/>
  <c r="AD12" s="1"/>
  <c r="AC520"/>
  <c r="AC521" s="1"/>
  <c r="AC516"/>
  <c r="AC517" s="1"/>
  <c r="AC482"/>
  <c r="AC483" s="1"/>
  <c r="AC104" s="1"/>
  <c r="AC120"/>
  <c r="AC10"/>
  <c r="AC12" s="1"/>
  <c r="AC512"/>
  <c r="AC513" s="1"/>
  <c r="AC508"/>
  <c r="AC509" s="1"/>
  <c r="AC14" s="1"/>
  <c r="AC18" s="1"/>
  <c r="AC476"/>
  <c r="AC477" s="1"/>
  <c r="AC103" s="1"/>
  <c r="AC170" s="1"/>
  <c r="AC29"/>
  <c r="AC31" s="1"/>
  <c r="AB508"/>
  <c r="AB509" s="1"/>
  <c r="AB14" s="1"/>
  <c r="AB18" s="1"/>
  <c r="AB516"/>
  <c r="AB517" s="1"/>
  <c r="AB482"/>
  <c r="AB483" s="1"/>
  <c r="AB104" s="1"/>
  <c r="AB520"/>
  <c r="AB521" s="1"/>
  <c r="AB120"/>
  <c r="AB10"/>
  <c r="AB12" s="1"/>
  <c r="AB476"/>
  <c r="AB477" s="1"/>
  <c r="AB103" s="1"/>
  <c r="AB512"/>
  <c r="AB513" s="1"/>
  <c r="AB29"/>
  <c r="AB31" s="1"/>
  <c r="AA512"/>
  <c r="AA513" s="1"/>
  <c r="AA508"/>
  <c r="AA509" s="1"/>
  <c r="AA14" s="1"/>
  <c r="AA18" s="1"/>
  <c r="AA476"/>
  <c r="AA477" s="1"/>
  <c r="AA103" s="1"/>
  <c r="AA170" s="1"/>
  <c r="AA29"/>
  <c r="AA31" s="1"/>
  <c r="AA520"/>
  <c r="AA521" s="1"/>
  <c r="AA516"/>
  <c r="AA517" s="1"/>
  <c r="AA482"/>
  <c r="AA483" s="1"/>
  <c r="AA104" s="1"/>
  <c r="AA120"/>
  <c r="AA10"/>
  <c r="AA12" s="1"/>
  <c r="Z516"/>
  <c r="Z517" s="1"/>
  <c r="Z482"/>
  <c r="Z483" s="1"/>
  <c r="Z104" s="1"/>
  <c r="Z10"/>
  <c r="Z12" s="1"/>
  <c r="Z508"/>
  <c r="Z509" s="1"/>
  <c r="Z14" s="1"/>
  <c r="Z18" s="1"/>
  <c r="Z476"/>
  <c r="Z477" s="1"/>
  <c r="Z103" s="1"/>
  <c r="Z170" s="1"/>
  <c r="Z512"/>
  <c r="Z513" s="1"/>
  <c r="Z29"/>
  <c r="Z31" s="1"/>
  <c r="Z520"/>
  <c r="Z521" s="1"/>
  <c r="Z120"/>
  <c r="Y520"/>
  <c r="Y521" s="1"/>
  <c r="Y516"/>
  <c r="Y517" s="1"/>
  <c r="Y482"/>
  <c r="Y483" s="1"/>
  <c r="Y104" s="1"/>
  <c r="Y120"/>
  <c r="Y10"/>
  <c r="Y12" s="1"/>
  <c r="Y512"/>
  <c r="Y513" s="1"/>
  <c r="Y508"/>
  <c r="Y509" s="1"/>
  <c r="Y14" s="1"/>
  <c r="Y18" s="1"/>
  <c r="Y476"/>
  <c r="Y477" s="1"/>
  <c r="Y103" s="1"/>
  <c r="Y170" s="1"/>
  <c r="Y29"/>
  <c r="Y31" s="1"/>
  <c r="X508"/>
  <c r="X509" s="1"/>
  <c r="X14" s="1"/>
  <c r="X18" s="1"/>
  <c r="X476"/>
  <c r="X477" s="1"/>
  <c r="X103" s="1"/>
  <c r="X170" s="1"/>
  <c r="X512"/>
  <c r="X513" s="1"/>
  <c r="X29"/>
  <c r="X31" s="1"/>
  <c r="X516"/>
  <c r="X517" s="1"/>
  <c r="X482"/>
  <c r="X483" s="1"/>
  <c r="X104" s="1"/>
  <c r="X520"/>
  <c r="X521" s="1"/>
  <c r="X120"/>
  <c r="X10"/>
  <c r="X12" s="1"/>
  <c r="W512"/>
  <c r="W513" s="1"/>
  <c r="W508"/>
  <c r="W509" s="1"/>
  <c r="W14" s="1"/>
  <c r="W18" s="1"/>
  <c r="W476"/>
  <c r="W477" s="1"/>
  <c r="W103" s="1"/>
  <c r="W170" s="1"/>
  <c r="W29"/>
  <c r="W31" s="1"/>
  <c r="W520"/>
  <c r="W521" s="1"/>
  <c r="W516"/>
  <c r="W517" s="1"/>
  <c r="W482"/>
  <c r="W483" s="1"/>
  <c r="W104" s="1"/>
  <c r="W120"/>
  <c r="W10"/>
  <c r="W12" s="1"/>
  <c r="V516"/>
  <c r="V517" s="1"/>
  <c r="V482"/>
  <c r="V483" s="1"/>
  <c r="V104" s="1"/>
  <c r="V520"/>
  <c r="V521" s="1"/>
  <c r="V10"/>
  <c r="V12" s="1"/>
  <c r="V508"/>
  <c r="V509" s="1"/>
  <c r="V14" s="1"/>
  <c r="V18" s="1"/>
  <c r="V476"/>
  <c r="V477" s="1"/>
  <c r="V103" s="1"/>
  <c r="V512"/>
  <c r="V513" s="1"/>
  <c r="V29"/>
  <c r="V31" s="1"/>
  <c r="V120"/>
  <c r="U520"/>
  <c r="U521" s="1"/>
  <c r="U516"/>
  <c r="U517" s="1"/>
  <c r="U482"/>
  <c r="U483" s="1"/>
  <c r="U104" s="1"/>
  <c r="U120"/>
  <c r="U10"/>
  <c r="U12" s="1"/>
  <c r="U476"/>
  <c r="U477" s="1"/>
  <c r="U103" s="1"/>
  <c r="U170" s="1"/>
  <c r="U512"/>
  <c r="U513" s="1"/>
  <c r="U508"/>
  <c r="U509" s="1"/>
  <c r="U14" s="1"/>
  <c r="U18" s="1"/>
  <c r="U29"/>
  <c r="U31" s="1"/>
  <c r="T476"/>
  <c r="T477" s="1"/>
  <c r="T103" s="1"/>
  <c r="T170" s="1"/>
  <c r="T516"/>
  <c r="T517" s="1"/>
  <c r="T482"/>
  <c r="T483" s="1"/>
  <c r="T104" s="1"/>
  <c r="T520"/>
  <c r="T521" s="1"/>
  <c r="T120"/>
  <c r="T10"/>
  <c r="T12" s="1"/>
  <c r="T508"/>
  <c r="T509" s="1"/>
  <c r="T14" s="1"/>
  <c r="T18" s="1"/>
  <c r="T512"/>
  <c r="T513" s="1"/>
  <c r="T29"/>
  <c r="T31" s="1"/>
  <c r="S512"/>
  <c r="S513" s="1"/>
  <c r="S508"/>
  <c r="S509" s="1"/>
  <c r="S14" s="1"/>
  <c r="S18" s="1"/>
  <c r="S476"/>
  <c r="S477" s="1"/>
  <c r="S103" s="1"/>
  <c r="S170" s="1"/>
  <c r="S29"/>
  <c r="S31" s="1"/>
  <c r="S520"/>
  <c r="S521" s="1"/>
  <c r="S516"/>
  <c r="S517" s="1"/>
  <c r="S482"/>
  <c r="S483" s="1"/>
  <c r="S104" s="1"/>
  <c r="S120"/>
  <c r="S10"/>
  <c r="S12" s="1"/>
  <c r="Q583" i="8"/>
  <c r="Q584" s="1"/>
  <c r="Q15" s="1"/>
  <c r="Q579"/>
  <c r="Q580" s="1"/>
  <c r="Q14" s="1"/>
  <c r="Q547"/>
  <c r="Q548" s="1"/>
  <c r="Q94" s="1"/>
  <c r="Q241" s="1"/>
  <c r="Q29"/>
  <c r="Q31" s="1"/>
  <c r="Q591"/>
  <c r="Q592" s="1"/>
  <c r="Q17" s="1"/>
  <c r="Q587"/>
  <c r="Q588" s="1"/>
  <c r="Q16" s="1"/>
  <c r="Q553"/>
  <c r="Q554" s="1"/>
  <c r="Q95" s="1"/>
  <c r="Q108"/>
  <c r="Q10"/>
  <c r="Q12" s="1"/>
  <c r="Q520" i="7"/>
  <c r="Q521" s="1"/>
  <c r="Q516"/>
  <c r="Q517" s="1"/>
  <c r="Q482"/>
  <c r="Q483" s="1"/>
  <c r="Q104" s="1"/>
  <c r="Q120"/>
  <c r="Q10"/>
  <c r="Q12" s="1"/>
  <c r="Q512"/>
  <c r="Q513" s="1"/>
  <c r="Q508"/>
  <c r="Q509" s="1"/>
  <c r="Q14" s="1"/>
  <c r="Q18" s="1"/>
  <c r="Q476"/>
  <c r="Q477" s="1"/>
  <c r="Q103" s="1"/>
  <c r="Q170" s="1"/>
  <c r="Q29"/>
  <c r="Q31" s="1"/>
  <c r="O583" i="8"/>
  <c r="O584" s="1"/>
  <c r="O15" s="1"/>
  <c r="O579"/>
  <c r="O580" s="1"/>
  <c r="O14" s="1"/>
  <c r="O547"/>
  <c r="O548" s="1"/>
  <c r="O94" s="1"/>
  <c r="O241" s="1"/>
  <c r="O29"/>
  <c r="O31" s="1"/>
  <c r="O591"/>
  <c r="O592" s="1"/>
  <c r="O17" s="1"/>
  <c r="O587"/>
  <c r="O588" s="1"/>
  <c r="O16" s="1"/>
  <c r="O553"/>
  <c r="O554" s="1"/>
  <c r="O95" s="1"/>
  <c r="O108"/>
  <c r="O10"/>
  <c r="O12" s="1"/>
  <c r="O520" i="7"/>
  <c r="O521" s="1"/>
  <c r="O516"/>
  <c r="O517" s="1"/>
  <c r="O120"/>
  <c r="O512"/>
  <c r="O513" s="1"/>
  <c r="O508"/>
  <c r="O509" s="1"/>
  <c r="O14" s="1"/>
  <c r="O18" s="1"/>
  <c r="O476"/>
  <c r="O477" s="1"/>
  <c r="O103" s="1"/>
  <c r="O170" s="1"/>
  <c r="O29"/>
  <c r="O31" s="1"/>
  <c r="O482"/>
  <c r="O483" s="1"/>
  <c r="O104" s="1"/>
  <c r="O10"/>
  <c r="O12" s="1"/>
  <c r="N508"/>
  <c r="N509" s="1"/>
  <c r="N14" s="1"/>
  <c r="N18" s="1"/>
  <c r="N476"/>
  <c r="N477" s="1"/>
  <c r="N103" s="1"/>
  <c r="N170" s="1"/>
  <c r="N512"/>
  <c r="N513" s="1"/>
  <c r="N29"/>
  <c r="N31" s="1"/>
  <c r="N516"/>
  <c r="N517" s="1"/>
  <c r="N482"/>
  <c r="N483" s="1"/>
  <c r="N104" s="1"/>
  <c r="N520"/>
  <c r="N521" s="1"/>
  <c r="N120"/>
  <c r="N10"/>
  <c r="N12" s="1"/>
  <c r="M520"/>
  <c r="M521" s="1"/>
  <c r="M482"/>
  <c r="M483" s="1"/>
  <c r="M104" s="1"/>
  <c r="M512"/>
  <c r="M513" s="1"/>
  <c r="M508"/>
  <c r="M509" s="1"/>
  <c r="M14" s="1"/>
  <c r="M18" s="1"/>
  <c r="M476"/>
  <c r="M477" s="1"/>
  <c r="M103" s="1"/>
  <c r="M170" s="1"/>
  <c r="M29"/>
  <c r="M31" s="1"/>
  <c r="M516"/>
  <c r="M517" s="1"/>
  <c r="M120"/>
  <c r="M10"/>
  <c r="M12" s="1"/>
  <c r="K583" i="8"/>
  <c r="K584" s="1"/>
  <c r="K15" s="1"/>
  <c r="K579"/>
  <c r="K580" s="1"/>
  <c r="K14" s="1"/>
  <c r="K547"/>
  <c r="K548" s="1"/>
  <c r="K94" s="1"/>
  <c r="K241" s="1"/>
  <c r="K29"/>
  <c r="K31" s="1"/>
  <c r="K591"/>
  <c r="K592" s="1"/>
  <c r="K17" s="1"/>
  <c r="K587"/>
  <c r="K588" s="1"/>
  <c r="K16" s="1"/>
  <c r="K553"/>
  <c r="K554" s="1"/>
  <c r="K95" s="1"/>
  <c r="K108"/>
  <c r="K10"/>
  <c r="K12" s="1"/>
  <c r="J587"/>
  <c r="J588" s="1"/>
  <c r="J16" s="1"/>
  <c r="J553"/>
  <c r="J554" s="1"/>
  <c r="J95" s="1"/>
  <c r="J591"/>
  <c r="J592" s="1"/>
  <c r="J17" s="1"/>
  <c r="J108"/>
  <c r="J10"/>
  <c r="J12" s="1"/>
  <c r="J579"/>
  <c r="J580" s="1"/>
  <c r="J14" s="1"/>
  <c r="J547"/>
  <c r="J548" s="1"/>
  <c r="J94" s="1"/>
  <c r="J241" s="1"/>
  <c r="J29"/>
  <c r="J31" s="1"/>
  <c r="J583"/>
  <c r="J584" s="1"/>
  <c r="J15" s="1"/>
  <c r="J508" i="7"/>
  <c r="J509" s="1"/>
  <c r="J14" s="1"/>
  <c r="J18" s="1"/>
  <c r="J476"/>
  <c r="J477" s="1"/>
  <c r="J103" s="1"/>
  <c r="J170" s="1"/>
  <c r="J512"/>
  <c r="J513" s="1"/>
  <c r="J29"/>
  <c r="J31" s="1"/>
  <c r="J516"/>
  <c r="J517" s="1"/>
  <c r="J482"/>
  <c r="J483" s="1"/>
  <c r="J104" s="1"/>
  <c r="J520"/>
  <c r="J521" s="1"/>
  <c r="J120"/>
  <c r="J10"/>
  <c r="J12" s="1"/>
  <c r="I512"/>
  <c r="I513" s="1"/>
  <c r="I508"/>
  <c r="I509" s="1"/>
  <c r="I14" s="1"/>
  <c r="I18" s="1"/>
  <c r="I476"/>
  <c r="I477" s="1"/>
  <c r="I103" s="1"/>
  <c r="I170" s="1"/>
  <c r="I29"/>
  <c r="I31" s="1"/>
  <c r="I520"/>
  <c r="I521" s="1"/>
  <c r="I516"/>
  <c r="I517" s="1"/>
  <c r="I482"/>
  <c r="I483" s="1"/>
  <c r="I104" s="1"/>
  <c r="I120"/>
  <c r="I10"/>
  <c r="I12" s="1"/>
  <c r="G583" i="8"/>
  <c r="G584" s="1"/>
  <c r="G15" s="1"/>
  <c r="G579"/>
  <c r="G580" s="1"/>
  <c r="G14" s="1"/>
  <c r="G547"/>
  <c r="G548" s="1"/>
  <c r="G94" s="1"/>
  <c r="G241" s="1"/>
  <c r="G29"/>
  <c r="G31" s="1"/>
  <c r="G591"/>
  <c r="G592" s="1"/>
  <c r="G17" s="1"/>
  <c r="G587"/>
  <c r="G588" s="1"/>
  <c r="G16" s="1"/>
  <c r="G553"/>
  <c r="G554" s="1"/>
  <c r="G95" s="1"/>
  <c r="G108"/>
  <c r="G10"/>
  <c r="G12" s="1"/>
  <c r="G520" i="7"/>
  <c r="G521" s="1"/>
  <c r="G516"/>
  <c r="G517" s="1"/>
  <c r="G482"/>
  <c r="G483" s="1"/>
  <c r="G104" s="1"/>
  <c r="G120"/>
  <c r="G10"/>
  <c r="G12" s="1"/>
  <c r="G512"/>
  <c r="G513" s="1"/>
  <c r="G508"/>
  <c r="G509" s="1"/>
  <c r="G14" s="1"/>
  <c r="G18" s="1"/>
  <c r="G476"/>
  <c r="G477" s="1"/>
  <c r="G103" s="1"/>
  <c r="G170" s="1"/>
  <c r="G29"/>
  <c r="G31" s="1"/>
  <c r="E583" i="8"/>
  <c r="E584" s="1"/>
  <c r="E15" s="1"/>
  <c r="E579"/>
  <c r="E580" s="1"/>
  <c r="E14" s="1"/>
  <c r="E547"/>
  <c r="E548" s="1"/>
  <c r="E94" s="1"/>
  <c r="E241" s="1"/>
  <c r="E29"/>
  <c r="E31" s="1"/>
  <c r="E591"/>
  <c r="E592" s="1"/>
  <c r="E17" s="1"/>
  <c r="E587"/>
  <c r="E588" s="1"/>
  <c r="E16" s="1"/>
  <c r="E553"/>
  <c r="E554" s="1"/>
  <c r="E95" s="1"/>
  <c r="E108"/>
  <c r="E10"/>
  <c r="E12" s="1"/>
  <c r="E520" i="7"/>
  <c r="E521" s="1"/>
  <c r="E516"/>
  <c r="E517" s="1"/>
  <c r="E482"/>
  <c r="E483" s="1"/>
  <c r="E104" s="1"/>
  <c r="E120"/>
  <c r="E10"/>
  <c r="E12" s="1"/>
  <c r="E512"/>
  <c r="E513" s="1"/>
  <c r="E508"/>
  <c r="E509" s="1"/>
  <c r="E14" s="1"/>
  <c r="E18" s="1"/>
  <c r="E476"/>
  <c r="E477" s="1"/>
  <c r="E103" s="1"/>
  <c r="E170" s="1"/>
  <c r="E29"/>
  <c r="E31" s="1"/>
  <c r="C512"/>
  <c r="C513" s="1"/>
  <c r="C508"/>
  <c r="C509" s="1"/>
  <c r="C14" s="1"/>
  <c r="C18" s="1"/>
  <c r="C476"/>
  <c r="C477" s="1"/>
  <c r="C103" s="1"/>
  <c r="C170" s="1"/>
  <c r="C29"/>
  <c r="C31" s="1"/>
  <c r="C520"/>
  <c r="C521" s="1"/>
  <c r="C516"/>
  <c r="C517" s="1"/>
  <c r="C482"/>
  <c r="C483" s="1"/>
  <c r="C104" s="1"/>
  <c r="C120"/>
  <c r="C10"/>
  <c r="C12" s="1"/>
  <c r="C591" i="8"/>
  <c r="C592" s="1"/>
  <c r="C17" s="1"/>
  <c r="C587"/>
  <c r="C588" s="1"/>
  <c r="C16" s="1"/>
  <c r="C553"/>
  <c r="C554" s="1"/>
  <c r="C95" s="1"/>
  <c r="C108"/>
  <c r="C10"/>
  <c r="C12" s="1"/>
  <c r="C583"/>
  <c r="C584" s="1"/>
  <c r="C15" s="1"/>
  <c r="C579"/>
  <c r="C580" s="1"/>
  <c r="C14" s="1"/>
  <c r="C547"/>
  <c r="C548" s="1"/>
  <c r="C94" s="1"/>
  <c r="C241" s="1"/>
  <c r="C29"/>
  <c r="C31" s="1"/>
  <c r="AG591"/>
  <c r="AG592" s="1"/>
  <c r="AG17" s="1"/>
  <c r="AG583"/>
  <c r="AG584" s="1"/>
  <c r="AG15" s="1"/>
  <c r="AG587"/>
  <c r="AG588" s="1"/>
  <c r="AG16" s="1"/>
  <c r="AG579"/>
  <c r="AG580" s="1"/>
  <c r="AG14" s="1"/>
  <c r="AG553"/>
  <c r="AG554" s="1"/>
  <c r="AG95" s="1"/>
  <c r="AG547"/>
  <c r="AG108"/>
  <c r="AG29"/>
  <c r="AG31" s="1"/>
  <c r="AG10"/>
  <c r="AG12" s="1"/>
  <c r="AG467"/>
  <c r="AG468"/>
  <c r="AG472"/>
  <c r="AG476"/>
  <c r="AG496"/>
  <c r="AG500"/>
  <c r="AG520"/>
  <c r="AG524"/>
  <c r="AG528"/>
  <c r="AG471"/>
  <c r="AG475"/>
  <c r="AG495"/>
  <c r="AG499"/>
  <c r="AG519"/>
  <c r="AG523"/>
  <c r="AG527"/>
  <c r="AF594"/>
  <c r="AF72"/>
  <c r="AF63"/>
  <c r="AH696"/>
  <c r="AH695"/>
  <c r="AH694"/>
  <c r="AH693"/>
  <c r="AH692"/>
  <c r="AH691"/>
  <c r="AH690"/>
  <c r="AH689"/>
  <c r="AH701"/>
  <c r="AH687"/>
  <c r="AH684"/>
  <c r="AH683"/>
  <c r="AH682"/>
  <c r="AH681"/>
  <c r="AH680"/>
  <c r="AH679"/>
  <c r="AH678"/>
  <c r="AH677"/>
  <c r="AH676"/>
  <c r="AH675"/>
  <c r="AH664"/>
  <c r="AH663"/>
  <c r="AH662"/>
  <c r="AH661"/>
  <c r="AH660"/>
  <c r="AH659"/>
  <c r="AH658"/>
  <c r="AH656"/>
  <c r="AH655"/>
  <c r="AH652"/>
  <c r="AH651"/>
  <c r="AH650"/>
  <c r="AH649"/>
  <c r="AH648"/>
  <c r="AH647"/>
  <c r="AH646"/>
  <c r="AH645"/>
  <c r="AH644"/>
  <c r="AH643"/>
  <c r="AH632"/>
  <c r="AH631"/>
  <c r="AH630"/>
  <c r="AH629"/>
  <c r="AH628"/>
  <c r="AH627"/>
  <c r="AH626"/>
  <c r="AH624"/>
  <c r="AH623"/>
  <c r="AH620"/>
  <c r="AH619"/>
  <c r="AH618"/>
  <c r="AH617"/>
  <c r="AH616"/>
  <c r="AH615"/>
  <c r="AH614"/>
  <c r="AH613"/>
  <c r="AH612"/>
  <c r="AH611"/>
  <c r="AH551"/>
  <c r="AH552" s="1"/>
  <c r="AH545"/>
  <c r="AH546" s="1"/>
  <c r="AH600"/>
  <c r="AH54" s="1"/>
  <c r="AH462"/>
  <c r="AH393"/>
  <c r="AH391"/>
  <c r="AH389"/>
  <c r="AH387"/>
  <c r="AH385"/>
  <c r="AH367"/>
  <c r="AH365"/>
  <c r="AH363"/>
  <c r="AH361"/>
  <c r="AH359"/>
  <c r="AH342"/>
  <c r="AH340"/>
  <c r="AH338"/>
  <c r="AH449"/>
  <c r="AH448"/>
  <c r="AH447"/>
  <c r="AH446"/>
  <c r="AH445"/>
  <c r="AH444"/>
  <c r="AH392"/>
  <c r="AH390"/>
  <c r="AH388"/>
  <c r="AH386"/>
  <c r="AH384"/>
  <c r="AH366"/>
  <c r="AH364"/>
  <c r="AH362"/>
  <c r="AH360"/>
  <c r="AH358"/>
  <c r="AH341"/>
  <c r="AH339"/>
  <c r="AH337"/>
  <c r="AH335"/>
  <c r="AH333"/>
  <c r="AH328"/>
  <c r="AH334"/>
  <c r="AH315"/>
  <c r="AH314"/>
  <c r="AH313"/>
  <c r="AH312"/>
  <c r="AH311"/>
  <c r="AH310"/>
  <c r="AH336"/>
  <c r="AH238"/>
  <c r="AH203"/>
  <c r="AH40"/>
  <c r="AI2"/>
  <c r="AH33"/>
  <c r="AH35" s="1"/>
  <c r="AH37" s="1"/>
  <c r="AH39" s="1"/>
  <c r="AH30"/>
  <c r="AH26"/>
  <c r="AH25"/>
  <c r="AH23"/>
  <c r="AH19"/>
  <c r="AH5"/>
  <c r="AG329"/>
  <c r="AG469"/>
  <c r="AG470"/>
  <c r="AG474"/>
  <c r="AG494"/>
  <c r="AG498"/>
  <c r="AG502"/>
  <c r="AG522"/>
  <c r="AG526"/>
  <c r="AG473"/>
  <c r="AG493"/>
  <c r="AG497"/>
  <c r="AG501"/>
  <c r="AG521"/>
  <c r="AG525"/>
  <c r="AG463"/>
  <c r="AG237"/>
  <c r="AG202"/>
  <c r="AG48"/>
  <c r="AH533" i="7"/>
  <c r="AG27" i="8"/>
  <c r="AG548"/>
  <c r="AG94" s="1"/>
  <c r="AG241" s="1"/>
  <c r="AG621"/>
  <c r="AG606" s="1"/>
  <c r="AG60" s="1"/>
  <c r="AG653"/>
  <c r="AG638" s="1"/>
  <c r="AG61" s="1"/>
  <c r="AG685"/>
  <c r="AG670" s="1"/>
  <c r="AG62" s="1"/>
  <c r="AI550" i="7"/>
  <c r="AI548"/>
  <c r="AI544"/>
  <c r="AI535"/>
  <c r="AI534"/>
  <c r="AI545" s="1"/>
  <c r="AI528"/>
  <c r="AI527"/>
  <c r="AJ11"/>
  <c r="AH27"/>
  <c r="AH585"/>
  <c r="AH570" s="1"/>
  <c r="AH68" s="1"/>
  <c r="AH61"/>
  <c r="AG105"/>
  <c r="AG523"/>
  <c r="AG192"/>
  <c r="AG153"/>
  <c r="AG49"/>
  <c r="AG193"/>
  <c r="AG154"/>
  <c r="AG50"/>
  <c r="AG194"/>
  <c r="AG155"/>
  <c r="AG51"/>
  <c r="AG540"/>
  <c r="AG80"/>
  <c r="AG81" s="1"/>
  <c r="AG119"/>
  <c r="AG20"/>
  <c r="AG43" s="1"/>
  <c r="AI665"/>
  <c r="AI660"/>
  <c r="AI659"/>
  <c r="AI658"/>
  <c r="AI657"/>
  <c r="AI656"/>
  <c r="AI655"/>
  <c r="AI654"/>
  <c r="AI653"/>
  <c r="AI651"/>
  <c r="AI648"/>
  <c r="AI647"/>
  <c r="AI646"/>
  <c r="AI645"/>
  <c r="AI644"/>
  <c r="AI643"/>
  <c r="AI642"/>
  <c r="AI641"/>
  <c r="AI639"/>
  <c r="AI616"/>
  <c r="AI615"/>
  <c r="AI614"/>
  <c r="AI613"/>
  <c r="AI612"/>
  <c r="AI611"/>
  <c r="AI610"/>
  <c r="AI640"/>
  <c r="AI628"/>
  <c r="AI627"/>
  <c r="AI626"/>
  <c r="AI625"/>
  <c r="AI624"/>
  <c r="AI623"/>
  <c r="AI622"/>
  <c r="AI620"/>
  <c r="AI619"/>
  <c r="AI584"/>
  <c r="AI583"/>
  <c r="AI582"/>
  <c r="AI581"/>
  <c r="AI580"/>
  <c r="AI579"/>
  <c r="AI609"/>
  <c r="AI608"/>
  <c r="AI607"/>
  <c r="AI596"/>
  <c r="AI595"/>
  <c r="AI594"/>
  <c r="AI593"/>
  <c r="AI592"/>
  <c r="AI591"/>
  <c r="AI590"/>
  <c r="AI588"/>
  <c r="AI587"/>
  <c r="AI577"/>
  <c r="AI564"/>
  <c r="AI62" s="1"/>
  <c r="AI578"/>
  <c r="AI576"/>
  <c r="AI575"/>
  <c r="AI480"/>
  <c r="AI481" s="1"/>
  <c r="AI474"/>
  <c r="AI475" s="1"/>
  <c r="AI378"/>
  <c r="AI377"/>
  <c r="AI376"/>
  <c r="AI375"/>
  <c r="AI374"/>
  <c r="AI373"/>
  <c r="AI321"/>
  <c r="AI319"/>
  <c r="AI317"/>
  <c r="AI315"/>
  <c r="AI313"/>
  <c r="AI295"/>
  <c r="AI293"/>
  <c r="AI291"/>
  <c r="AI289"/>
  <c r="AI287"/>
  <c r="AI391"/>
  <c r="AI322"/>
  <c r="AI320"/>
  <c r="AI318"/>
  <c r="AI316"/>
  <c r="AI314"/>
  <c r="AI296"/>
  <c r="AI294"/>
  <c r="AI292"/>
  <c r="AI290"/>
  <c r="AI288"/>
  <c r="AI271"/>
  <c r="AI269"/>
  <c r="AI267"/>
  <c r="AI265"/>
  <c r="AI263"/>
  <c r="AI270"/>
  <c r="AI266"/>
  <c r="AI262"/>
  <c r="AI257"/>
  <c r="AI167"/>
  <c r="AI131"/>
  <c r="AI268"/>
  <c r="AI264"/>
  <c r="AI244"/>
  <c r="AI243"/>
  <c r="AI242"/>
  <c r="AI241"/>
  <c r="AI240"/>
  <c r="AI239"/>
  <c r="AI40"/>
  <c r="AJ2"/>
  <c r="AI33"/>
  <c r="AI35" s="1"/>
  <c r="AI37" s="1"/>
  <c r="AI39" s="1"/>
  <c r="AI30"/>
  <c r="AI26"/>
  <c r="AI25"/>
  <c r="AI23"/>
  <c r="AI19"/>
  <c r="AI5"/>
  <c r="AH403"/>
  <c r="AH401"/>
  <c r="AH398"/>
  <c r="AH402"/>
  <c r="AH422"/>
  <c r="AH426"/>
  <c r="AH430"/>
  <c r="AH450"/>
  <c r="AH454"/>
  <c r="AH392"/>
  <c r="AH423"/>
  <c r="AH427"/>
  <c r="AH431"/>
  <c r="AH451"/>
  <c r="AH455"/>
  <c r="AG71"/>
  <c r="AG195"/>
  <c r="AG156"/>
  <c r="AG52"/>
  <c r="AH516"/>
  <c r="AH517" s="1"/>
  <c r="AH508"/>
  <c r="AH509" s="1"/>
  <c r="AH14" s="1"/>
  <c r="AH18" s="1"/>
  <c r="AH482"/>
  <c r="AH483" s="1"/>
  <c r="AH104" s="1"/>
  <c r="AH476"/>
  <c r="AH477" s="1"/>
  <c r="AH103" s="1"/>
  <c r="AH170" s="1"/>
  <c r="AH520"/>
  <c r="AH521" s="1"/>
  <c r="AH512"/>
  <c r="AH120"/>
  <c r="AH29"/>
  <c r="AH31" s="1"/>
  <c r="AH10"/>
  <c r="AH12" s="1"/>
  <c r="AH399"/>
  <c r="AH258"/>
  <c r="AH397"/>
  <c r="AH405"/>
  <c r="AH396"/>
  <c r="AH400"/>
  <c r="AH404"/>
  <c r="AH424"/>
  <c r="AH428"/>
  <c r="AH448"/>
  <c r="AH452"/>
  <c r="AH456"/>
  <c r="AH425"/>
  <c r="AH429"/>
  <c r="AH449"/>
  <c r="AH453"/>
  <c r="AH457"/>
  <c r="AH549"/>
  <c r="AH543"/>
  <c r="AI556"/>
  <c r="AH166"/>
  <c r="AH130"/>
  <c r="AH55"/>
  <c r="AH165"/>
  <c r="AH129"/>
  <c r="AH54"/>
  <c r="AH513"/>
  <c r="AH617"/>
  <c r="AH602" s="1"/>
  <c r="AH69" s="1"/>
  <c r="AH649"/>
  <c r="AH634" s="1"/>
  <c r="AH70" s="1"/>
  <c r="D16" i="2"/>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C16"/>
  <c r="A574"/>
  <c r="A305" s="1"/>
  <c r="A575"/>
  <c r="A306" s="1"/>
  <c r="A576"/>
  <c r="A307" s="1"/>
  <c r="A573"/>
  <c r="A304" s="1"/>
  <c r="C564"/>
  <c r="C563"/>
  <c r="C562"/>
  <c r="C561"/>
  <c r="A561"/>
  <c r="A292" s="1"/>
  <c r="A562"/>
  <c r="A293" s="1"/>
  <c r="A563"/>
  <c r="A294" s="1"/>
  <c r="A564"/>
  <c r="A295" s="1"/>
  <c r="A566"/>
  <c r="A297" s="1"/>
  <c r="A567"/>
  <c r="A298" s="1"/>
  <c r="A568"/>
  <c r="A299" s="1"/>
  <c r="A569"/>
  <c r="A300" s="1"/>
  <c r="A570"/>
  <c r="A301" s="1"/>
  <c r="A560"/>
  <c r="A291" s="1"/>
  <c r="A584"/>
  <c r="A588"/>
  <c r="A592"/>
  <c r="A580"/>
  <c r="A263"/>
  <c r="A265"/>
  <c r="A266"/>
  <c r="A267"/>
  <c r="A268"/>
  <c r="A269"/>
  <c r="A254"/>
  <c r="A255"/>
  <c r="A256"/>
  <c r="A257"/>
  <c r="A259"/>
  <c r="A260"/>
  <c r="A261"/>
  <c r="A262"/>
  <c r="A249"/>
  <c r="A250"/>
  <c r="A251"/>
  <c r="A253"/>
  <c r="A248"/>
  <c r="A247"/>
  <c r="A246"/>
  <c r="AB105" i="7" l="1"/>
  <c r="AB170"/>
  <c r="K105"/>
  <c r="K170"/>
  <c r="V105"/>
  <c r="V170"/>
  <c r="AJ530"/>
  <c r="AJ531"/>
  <c r="AJ519"/>
  <c r="AJ515"/>
  <c r="AJ511"/>
  <c r="AJ507"/>
  <c r="AJ559"/>
  <c r="AJ558"/>
  <c r="AJ557"/>
  <c r="AI532"/>
  <c r="AI533" s="1"/>
  <c r="AK182" i="10"/>
  <c r="AK199" s="1"/>
  <c r="AK282"/>
  <c r="AK298" s="1"/>
  <c r="AJ56"/>
  <c r="AJ85"/>
  <c r="AJ86" s="1"/>
  <c r="AK629"/>
  <c r="AK625"/>
  <c r="AK621"/>
  <c r="AK617"/>
  <c r="AI590" i="8"/>
  <c r="AI586"/>
  <c r="AI582"/>
  <c r="AI578"/>
  <c r="AF18"/>
  <c r="AF20" s="1"/>
  <c r="AI65" i="10"/>
  <c r="AI68" s="1"/>
  <c r="AI75" s="1"/>
  <c r="AH179"/>
  <c r="AH196" s="1"/>
  <c r="AJ58"/>
  <c r="AJ180"/>
  <c r="AJ197" s="1"/>
  <c r="AJ141"/>
  <c r="AJ153" s="1"/>
  <c r="AJ249"/>
  <c r="AJ221"/>
  <c r="AI162"/>
  <c r="D161"/>
  <c r="D253" s="1"/>
  <c r="F162"/>
  <c r="F161"/>
  <c r="F253" s="1"/>
  <c r="H161"/>
  <c r="H253" s="1"/>
  <c r="J162"/>
  <c r="J161"/>
  <c r="J253" s="1"/>
  <c r="N162"/>
  <c r="R162"/>
  <c r="R161"/>
  <c r="R253" s="1"/>
  <c r="V162"/>
  <c r="V161"/>
  <c r="V253" s="1"/>
  <c r="Z162"/>
  <c r="Z161"/>
  <c r="Z253" s="1"/>
  <c r="AD162"/>
  <c r="AD161"/>
  <c r="AD253" s="1"/>
  <c r="C161"/>
  <c r="C253" s="1"/>
  <c r="E162"/>
  <c r="E161"/>
  <c r="E253" s="1"/>
  <c r="I162"/>
  <c r="K161"/>
  <c r="K253" s="1"/>
  <c r="M162"/>
  <c r="M161"/>
  <c r="M253" s="1"/>
  <c r="O161"/>
  <c r="O253" s="1"/>
  <c r="Q162"/>
  <c r="Q161"/>
  <c r="Q253" s="1"/>
  <c r="S161"/>
  <c r="S253" s="1"/>
  <c r="U162"/>
  <c r="W161"/>
  <c r="W253" s="1"/>
  <c r="Y162"/>
  <c r="Y161"/>
  <c r="Y253" s="1"/>
  <c r="AA161"/>
  <c r="AA253" s="1"/>
  <c r="AC162"/>
  <c r="AC161"/>
  <c r="AC253" s="1"/>
  <c r="AE161"/>
  <c r="AE253" s="1"/>
  <c r="AI161"/>
  <c r="AI253" s="1"/>
  <c r="D162"/>
  <c r="H162"/>
  <c r="L162"/>
  <c r="L161"/>
  <c r="L253" s="1"/>
  <c r="N161"/>
  <c r="N253" s="1"/>
  <c r="P162"/>
  <c r="P161"/>
  <c r="P253" s="1"/>
  <c r="T162"/>
  <c r="T161"/>
  <c r="T253" s="1"/>
  <c r="X162"/>
  <c r="X161"/>
  <c r="X253" s="1"/>
  <c r="AB162"/>
  <c r="AB161"/>
  <c r="AB253" s="1"/>
  <c r="AF161"/>
  <c r="AF253" s="1"/>
  <c r="AF162"/>
  <c r="C162"/>
  <c r="G162"/>
  <c r="G161"/>
  <c r="G253" s="1"/>
  <c r="I161"/>
  <c r="I253" s="1"/>
  <c r="K162"/>
  <c r="O162"/>
  <c r="S162"/>
  <c r="U161"/>
  <c r="U253" s="1"/>
  <c r="W162"/>
  <c r="AA162"/>
  <c r="AE162"/>
  <c r="C631"/>
  <c r="C307" s="1"/>
  <c r="C627"/>
  <c r="C306" s="1"/>
  <c r="AI288"/>
  <c r="AI305"/>
  <c r="AI287"/>
  <c r="AI304"/>
  <c r="D287"/>
  <c r="D304"/>
  <c r="D290"/>
  <c r="D307"/>
  <c r="F289"/>
  <c r="F306"/>
  <c r="F287"/>
  <c r="F304"/>
  <c r="H287"/>
  <c r="H304"/>
  <c r="H290"/>
  <c r="H307"/>
  <c r="J289"/>
  <c r="J306"/>
  <c r="J287"/>
  <c r="J304"/>
  <c r="L290"/>
  <c r="L307"/>
  <c r="L288"/>
  <c r="L305"/>
  <c r="N288"/>
  <c r="N305"/>
  <c r="N289"/>
  <c r="N306"/>
  <c r="P290"/>
  <c r="P307"/>
  <c r="P288"/>
  <c r="P305"/>
  <c r="R289"/>
  <c r="R306"/>
  <c r="R287"/>
  <c r="R304"/>
  <c r="T290"/>
  <c r="T307"/>
  <c r="T288"/>
  <c r="T305"/>
  <c r="V289"/>
  <c r="V306"/>
  <c r="V287"/>
  <c r="V304"/>
  <c r="X290"/>
  <c r="X307"/>
  <c r="X288"/>
  <c r="X305"/>
  <c r="Z289"/>
  <c r="Z306"/>
  <c r="Z287"/>
  <c r="Z304"/>
  <c r="AB290"/>
  <c r="AB307"/>
  <c r="AB288"/>
  <c r="AB305"/>
  <c r="AD289"/>
  <c r="AD306"/>
  <c r="AD287"/>
  <c r="AD304"/>
  <c r="AF287"/>
  <c r="AF304"/>
  <c r="AF290"/>
  <c r="AF307"/>
  <c r="C288"/>
  <c r="C305"/>
  <c r="C287"/>
  <c r="C304"/>
  <c r="E290"/>
  <c r="E307"/>
  <c r="E289"/>
  <c r="E306"/>
  <c r="E288"/>
  <c r="E305"/>
  <c r="E287"/>
  <c r="E304"/>
  <c r="E308" s="1"/>
  <c r="I290"/>
  <c r="I307"/>
  <c r="I289"/>
  <c r="I306"/>
  <c r="K288"/>
  <c r="K305"/>
  <c r="K287"/>
  <c r="K304"/>
  <c r="M290"/>
  <c r="M307"/>
  <c r="M289"/>
  <c r="M306"/>
  <c r="M288"/>
  <c r="M305"/>
  <c r="M287"/>
  <c r="M304"/>
  <c r="O288"/>
  <c r="O305"/>
  <c r="O287"/>
  <c r="O304"/>
  <c r="Q290"/>
  <c r="Q307"/>
  <c r="Q289"/>
  <c r="Q306"/>
  <c r="Q288"/>
  <c r="Q305"/>
  <c r="Q287"/>
  <c r="Q304"/>
  <c r="S288"/>
  <c r="S305"/>
  <c r="S287"/>
  <c r="S304"/>
  <c r="U290"/>
  <c r="U307"/>
  <c r="U289"/>
  <c r="U306"/>
  <c r="W288"/>
  <c r="W305"/>
  <c r="W287"/>
  <c r="W304"/>
  <c r="Y290"/>
  <c r="Y307"/>
  <c r="Y289"/>
  <c r="Y306"/>
  <c r="Y288"/>
  <c r="Y305"/>
  <c r="Y287"/>
  <c r="Y304"/>
  <c r="AA288"/>
  <c r="AA305"/>
  <c r="AA287"/>
  <c r="AA304"/>
  <c r="AC290"/>
  <c r="AC307"/>
  <c r="AC289"/>
  <c r="AC306"/>
  <c r="AC288"/>
  <c r="AC305"/>
  <c r="AC287"/>
  <c r="AC304"/>
  <c r="AE288"/>
  <c r="AE305"/>
  <c r="AE287"/>
  <c r="AE304"/>
  <c r="AI290"/>
  <c r="AI307"/>
  <c r="AI289"/>
  <c r="AI306"/>
  <c r="D288"/>
  <c r="D305"/>
  <c r="D289"/>
  <c r="D306"/>
  <c r="F290"/>
  <c r="F307"/>
  <c r="F288"/>
  <c r="F305"/>
  <c r="H288"/>
  <c r="H305"/>
  <c r="H289"/>
  <c r="H306"/>
  <c r="J290"/>
  <c r="J307"/>
  <c r="J288"/>
  <c r="J305"/>
  <c r="L289"/>
  <c r="L306"/>
  <c r="L287"/>
  <c r="L304"/>
  <c r="N287"/>
  <c r="N304"/>
  <c r="N290"/>
  <c r="N307"/>
  <c r="P289"/>
  <c r="P306"/>
  <c r="P287"/>
  <c r="P304"/>
  <c r="R290"/>
  <c r="R307"/>
  <c r="R288"/>
  <c r="R305"/>
  <c r="T289"/>
  <c r="T306"/>
  <c r="T287"/>
  <c r="T304"/>
  <c r="V290"/>
  <c r="V307"/>
  <c r="V288"/>
  <c r="V305"/>
  <c r="X289"/>
  <c r="X306"/>
  <c r="X287"/>
  <c r="X304"/>
  <c r="Z290"/>
  <c r="Z307"/>
  <c r="Z288"/>
  <c r="Z305"/>
  <c r="AB289"/>
  <c r="AB306"/>
  <c r="AB287"/>
  <c r="AB304"/>
  <c r="AD290"/>
  <c r="AD307"/>
  <c r="AD288"/>
  <c r="AD305"/>
  <c r="AF288"/>
  <c r="AF305"/>
  <c r="AF289"/>
  <c r="AF306"/>
  <c r="C290"/>
  <c r="C289"/>
  <c r="G290"/>
  <c r="G307"/>
  <c r="G289"/>
  <c r="G306"/>
  <c r="G288"/>
  <c r="G305"/>
  <c r="G287"/>
  <c r="G304"/>
  <c r="I288"/>
  <c r="I305"/>
  <c r="I287"/>
  <c r="I304"/>
  <c r="K290"/>
  <c r="K307"/>
  <c r="K289"/>
  <c r="K306"/>
  <c r="O290"/>
  <c r="O307"/>
  <c r="O289"/>
  <c r="O306"/>
  <c r="S290"/>
  <c r="S307"/>
  <c r="S289"/>
  <c r="S306"/>
  <c r="U288"/>
  <c r="U305"/>
  <c r="U287"/>
  <c r="U304"/>
  <c r="W290"/>
  <c r="W307"/>
  <c r="W289"/>
  <c r="W306"/>
  <c r="AA290"/>
  <c r="AA307"/>
  <c r="AA289"/>
  <c r="AA306"/>
  <c r="AE290"/>
  <c r="AE307"/>
  <c r="AE289"/>
  <c r="AE306"/>
  <c r="AE118"/>
  <c r="AJ39"/>
  <c r="AH640"/>
  <c r="AI637" s="1"/>
  <c r="AJ59"/>
  <c r="AI283"/>
  <c r="AI299" s="1"/>
  <c r="F129"/>
  <c r="F280"/>
  <c r="F296" s="1"/>
  <c r="J129"/>
  <c r="J280"/>
  <c r="J296" s="1"/>
  <c r="N129"/>
  <c r="N280"/>
  <c r="N296" s="1"/>
  <c r="V129"/>
  <c r="V280"/>
  <c r="V296" s="1"/>
  <c r="Z129"/>
  <c r="Z280"/>
  <c r="Z296" s="1"/>
  <c r="AD129"/>
  <c r="AD280"/>
  <c r="AD296" s="1"/>
  <c r="C129"/>
  <c r="C280"/>
  <c r="C296" s="1"/>
  <c r="G129"/>
  <c r="G280"/>
  <c r="G296" s="1"/>
  <c r="K129"/>
  <c r="K280"/>
  <c r="K296" s="1"/>
  <c r="O129"/>
  <c r="O280"/>
  <c r="O296" s="1"/>
  <c r="S129"/>
  <c r="S280"/>
  <c r="S296" s="1"/>
  <c r="W129"/>
  <c r="W280"/>
  <c r="W296" s="1"/>
  <c r="AA129"/>
  <c r="AA280"/>
  <c r="AA296" s="1"/>
  <c r="AE129"/>
  <c r="AE280"/>
  <c r="AE296" s="1"/>
  <c r="D129"/>
  <c r="D280"/>
  <c r="D296" s="1"/>
  <c r="H129"/>
  <c r="H280"/>
  <c r="H296" s="1"/>
  <c r="L129"/>
  <c r="L280"/>
  <c r="L296" s="1"/>
  <c r="P129"/>
  <c r="P280"/>
  <c r="P296" s="1"/>
  <c r="T129"/>
  <c r="T280"/>
  <c r="T296" s="1"/>
  <c r="X129"/>
  <c r="X280"/>
  <c r="X296" s="1"/>
  <c r="AB129"/>
  <c r="AB280"/>
  <c r="AB296" s="1"/>
  <c r="AF129"/>
  <c r="AF280"/>
  <c r="AF296" s="1"/>
  <c r="E129"/>
  <c r="E280"/>
  <c r="E296" s="1"/>
  <c r="I129"/>
  <c r="I280"/>
  <c r="I296" s="1"/>
  <c r="M129"/>
  <c r="M280"/>
  <c r="M296" s="1"/>
  <c r="Q129"/>
  <c r="Q280"/>
  <c r="Q296" s="1"/>
  <c r="Y129"/>
  <c r="Y280"/>
  <c r="Y296" s="1"/>
  <c r="AC129"/>
  <c r="AC280"/>
  <c r="AC296" s="1"/>
  <c r="S118"/>
  <c r="W118"/>
  <c r="AA118"/>
  <c r="D118"/>
  <c r="H118"/>
  <c r="C118"/>
  <c r="K118"/>
  <c r="O118"/>
  <c r="AL11"/>
  <c r="AK41"/>
  <c r="AK183" s="1"/>
  <c r="AK200" s="1"/>
  <c r="AK645"/>
  <c r="AK181" s="1"/>
  <c r="AK198" s="1"/>
  <c r="AI42"/>
  <c r="D15"/>
  <c r="D16"/>
  <c r="F17"/>
  <c r="F15"/>
  <c r="H15"/>
  <c r="H16"/>
  <c r="J17"/>
  <c r="J15"/>
  <c r="L16"/>
  <c r="L14"/>
  <c r="L633"/>
  <c r="N14"/>
  <c r="N633"/>
  <c r="N17"/>
  <c r="P16"/>
  <c r="P633"/>
  <c r="P14"/>
  <c r="R129"/>
  <c r="R17"/>
  <c r="R15"/>
  <c r="T16"/>
  <c r="T633"/>
  <c r="T14"/>
  <c r="V17"/>
  <c r="V15"/>
  <c r="X16"/>
  <c r="X633"/>
  <c r="X14"/>
  <c r="Z17"/>
  <c r="Z15"/>
  <c r="AB16"/>
  <c r="AB14"/>
  <c r="AB633"/>
  <c r="AD17"/>
  <c r="AD15"/>
  <c r="AF15"/>
  <c r="AF16"/>
  <c r="G17"/>
  <c r="G16"/>
  <c r="G15"/>
  <c r="G14"/>
  <c r="G633"/>
  <c r="I15"/>
  <c r="I633"/>
  <c r="I14"/>
  <c r="K17"/>
  <c r="K16"/>
  <c r="O17"/>
  <c r="O16"/>
  <c r="S17"/>
  <c r="S16"/>
  <c r="U15"/>
  <c r="U14"/>
  <c r="U633"/>
  <c r="W17"/>
  <c r="W16"/>
  <c r="AA17"/>
  <c r="AA16"/>
  <c r="AE17"/>
  <c r="AE16"/>
  <c r="F118"/>
  <c r="J118"/>
  <c r="R118"/>
  <c r="V118"/>
  <c r="Z118"/>
  <c r="AD118"/>
  <c r="E118"/>
  <c r="M118"/>
  <c r="Q118"/>
  <c r="Y118"/>
  <c r="AC118"/>
  <c r="D14"/>
  <c r="D633"/>
  <c r="D17"/>
  <c r="F16"/>
  <c r="F14"/>
  <c r="F633"/>
  <c r="H14"/>
  <c r="H633"/>
  <c r="H17"/>
  <c r="J16"/>
  <c r="J14"/>
  <c r="J633"/>
  <c r="L17"/>
  <c r="L15"/>
  <c r="N15"/>
  <c r="N16"/>
  <c r="P17"/>
  <c r="P15"/>
  <c r="R16"/>
  <c r="R14"/>
  <c r="R633"/>
  <c r="T17"/>
  <c r="T15"/>
  <c r="V16"/>
  <c r="V633"/>
  <c r="V14"/>
  <c r="X17"/>
  <c r="X15"/>
  <c r="Z16"/>
  <c r="Z633"/>
  <c r="Z14"/>
  <c r="AB17"/>
  <c r="AB15"/>
  <c r="AD16"/>
  <c r="AD633"/>
  <c r="AD14"/>
  <c r="AF14"/>
  <c r="AF633"/>
  <c r="AF17"/>
  <c r="C15"/>
  <c r="C14"/>
  <c r="E17"/>
  <c r="E16"/>
  <c r="E15"/>
  <c r="E14"/>
  <c r="E633"/>
  <c r="I17"/>
  <c r="I16"/>
  <c r="K15"/>
  <c r="K633"/>
  <c r="K14"/>
  <c r="M17"/>
  <c r="M16"/>
  <c r="M15"/>
  <c r="M14"/>
  <c r="M633"/>
  <c r="O15"/>
  <c r="O14"/>
  <c r="O633"/>
  <c r="Q17"/>
  <c r="Q16"/>
  <c r="Q15"/>
  <c r="Q14"/>
  <c r="Q633"/>
  <c r="S15"/>
  <c r="S633"/>
  <c r="S14"/>
  <c r="U129"/>
  <c r="U17"/>
  <c r="U16"/>
  <c r="W15"/>
  <c r="W14"/>
  <c r="W633"/>
  <c r="Y17"/>
  <c r="Y16"/>
  <c r="Y15"/>
  <c r="Y633"/>
  <c r="Y14"/>
  <c r="AA15"/>
  <c r="AA14"/>
  <c r="AA633"/>
  <c r="AC17"/>
  <c r="AC16"/>
  <c r="AC15"/>
  <c r="AC14"/>
  <c r="AC633"/>
  <c r="AE15"/>
  <c r="AE633"/>
  <c r="AE14"/>
  <c r="C18" i="8"/>
  <c r="C20" s="1"/>
  <c r="I18"/>
  <c r="S18"/>
  <c r="Y18"/>
  <c r="Y20" s="1"/>
  <c r="AJ27" i="10"/>
  <c r="AH18"/>
  <c r="AH20" s="1"/>
  <c r="AH44" s="1"/>
  <c r="AH308"/>
  <c r="L118"/>
  <c r="N118"/>
  <c r="P118"/>
  <c r="T118"/>
  <c r="X118"/>
  <c r="AB118"/>
  <c r="G118"/>
  <c r="I118"/>
  <c r="U118"/>
  <c r="AH291"/>
  <c r="AI118"/>
  <c r="AI17"/>
  <c r="AJ630"/>
  <c r="AJ631" s="1"/>
  <c r="AJ622"/>
  <c r="AJ623" s="1"/>
  <c r="AJ626"/>
  <c r="AJ627" s="1"/>
  <c r="AJ618"/>
  <c r="AJ619" s="1"/>
  <c r="AJ592"/>
  <c r="AJ593" s="1"/>
  <c r="AJ586"/>
  <c r="AJ587" s="1"/>
  <c r="AJ130"/>
  <c r="AJ29"/>
  <c r="AJ31" s="1"/>
  <c r="AJ10"/>
  <c r="AJ12" s="1"/>
  <c r="AJ280" s="1"/>
  <c r="AJ296" s="1"/>
  <c r="AJ506"/>
  <c r="AJ510"/>
  <c r="AJ514"/>
  <c r="AJ534"/>
  <c r="AJ538"/>
  <c r="AJ558"/>
  <c r="AJ562"/>
  <c r="AJ566"/>
  <c r="AJ509"/>
  <c r="AJ513"/>
  <c r="AJ533"/>
  <c r="AJ537"/>
  <c r="AJ541"/>
  <c r="AJ561"/>
  <c r="AJ565"/>
  <c r="AJ49"/>
  <c r="AJ281" s="1"/>
  <c r="AJ297" s="1"/>
  <c r="AI16"/>
  <c r="AG48"/>
  <c r="AG50" s="1"/>
  <c r="AI129"/>
  <c r="AJ666"/>
  <c r="AJ651" s="1"/>
  <c r="AJ698"/>
  <c r="AJ683" s="1"/>
  <c r="AJ66" s="1"/>
  <c r="AJ730"/>
  <c r="AJ715" s="1"/>
  <c r="AJ67" s="1"/>
  <c r="AI633"/>
  <c r="AI14"/>
  <c r="AK746"/>
  <c r="AK741"/>
  <c r="AK740"/>
  <c r="AK739"/>
  <c r="AK738"/>
  <c r="AK737"/>
  <c r="AK736"/>
  <c r="AK735"/>
  <c r="AK734"/>
  <c r="AK729"/>
  <c r="AK728"/>
  <c r="AK727"/>
  <c r="AK726"/>
  <c r="AK725"/>
  <c r="AK724"/>
  <c r="AK723"/>
  <c r="AK722"/>
  <c r="AK721"/>
  <c r="AK732"/>
  <c r="AK720"/>
  <c r="AK697"/>
  <c r="AK696"/>
  <c r="AK695"/>
  <c r="AK694"/>
  <c r="AK693"/>
  <c r="AK692"/>
  <c r="AK691"/>
  <c r="AK690"/>
  <c r="AK709"/>
  <c r="AK708"/>
  <c r="AK707"/>
  <c r="AK706"/>
  <c r="AK705"/>
  <c r="AK704"/>
  <c r="AK703"/>
  <c r="AK701"/>
  <c r="AK700"/>
  <c r="AK689"/>
  <c r="AK665"/>
  <c r="AK664"/>
  <c r="AK663"/>
  <c r="AK662"/>
  <c r="AK661"/>
  <c r="AK660"/>
  <c r="AK659"/>
  <c r="AK688"/>
  <c r="AK677"/>
  <c r="AK676"/>
  <c r="AK675"/>
  <c r="AK674"/>
  <c r="AK673"/>
  <c r="AK672"/>
  <c r="AK671"/>
  <c r="AK669"/>
  <c r="AK668"/>
  <c r="AK658"/>
  <c r="AK656"/>
  <c r="AK590"/>
  <c r="AK591" s="1"/>
  <c r="AK584"/>
  <c r="AK585" s="1"/>
  <c r="AK657"/>
  <c r="AK639"/>
  <c r="AK488"/>
  <c r="AK487"/>
  <c r="AK486"/>
  <c r="AK485"/>
  <c r="AK484"/>
  <c r="AK483"/>
  <c r="AK431"/>
  <c r="AK429"/>
  <c r="AK427"/>
  <c r="AK425"/>
  <c r="AK423"/>
  <c r="AK405"/>
  <c r="AK403"/>
  <c r="AK401"/>
  <c r="AK399"/>
  <c r="AK397"/>
  <c r="AK380"/>
  <c r="AK378"/>
  <c r="AK376"/>
  <c r="AK374"/>
  <c r="AK372"/>
  <c r="AK367"/>
  <c r="AK501"/>
  <c r="AK432"/>
  <c r="AK430"/>
  <c r="AK428"/>
  <c r="AK426"/>
  <c r="AK424"/>
  <c r="AK406"/>
  <c r="AK404"/>
  <c r="AK402"/>
  <c r="AK400"/>
  <c r="AK398"/>
  <c r="AK381"/>
  <c r="AK379"/>
  <c r="AK377"/>
  <c r="AK375"/>
  <c r="AK373"/>
  <c r="AK354"/>
  <c r="AK353"/>
  <c r="AK352"/>
  <c r="AK351"/>
  <c r="AK350"/>
  <c r="AK349"/>
  <c r="AK250"/>
  <c r="AK222"/>
  <c r="AK33"/>
  <c r="AK35" s="1"/>
  <c r="AK37" s="1"/>
  <c r="AK30"/>
  <c r="AK26"/>
  <c r="AK25"/>
  <c r="AK23"/>
  <c r="AK19"/>
  <c r="AK5"/>
  <c r="AK40"/>
  <c r="AL2"/>
  <c r="AL750" s="1"/>
  <c r="AJ508"/>
  <c r="AJ512"/>
  <c r="AJ532"/>
  <c r="AJ536"/>
  <c r="AJ540"/>
  <c r="AJ560"/>
  <c r="AJ564"/>
  <c r="AJ502"/>
  <c r="AJ368"/>
  <c r="AJ507"/>
  <c r="AJ511"/>
  <c r="AJ515"/>
  <c r="AJ535"/>
  <c r="AJ539"/>
  <c r="AJ559"/>
  <c r="AJ563"/>
  <c r="AJ567"/>
  <c r="AI15"/>
  <c r="AG18" i="8"/>
  <c r="AG20" s="1"/>
  <c r="E18"/>
  <c r="E20" s="1"/>
  <c r="G18"/>
  <c r="G20" s="1"/>
  <c r="K18"/>
  <c r="O18"/>
  <c r="O20" s="1"/>
  <c r="Q18"/>
  <c r="D18"/>
  <c r="D20" s="1"/>
  <c r="F18"/>
  <c r="N18"/>
  <c r="N20" s="1"/>
  <c r="P18"/>
  <c r="T18"/>
  <c r="V18"/>
  <c r="X18"/>
  <c r="X20" s="1"/>
  <c r="AD18"/>
  <c r="J18"/>
  <c r="J20" s="1"/>
  <c r="H18"/>
  <c r="H20" s="1"/>
  <c r="L18"/>
  <c r="M18"/>
  <c r="M20" s="1"/>
  <c r="R18"/>
  <c r="R20" s="1"/>
  <c r="U18"/>
  <c r="W18"/>
  <c r="W20" s="1"/>
  <c r="Z18"/>
  <c r="AA18"/>
  <c r="AA20" s="1"/>
  <c r="AB18"/>
  <c r="AC18"/>
  <c r="AC20" s="1"/>
  <c r="AE18"/>
  <c r="AH41" i="7"/>
  <c r="AG41" i="8"/>
  <c r="E105" i="7"/>
  <c r="G105"/>
  <c r="Q105"/>
  <c r="U105"/>
  <c r="Y105"/>
  <c r="Z105"/>
  <c r="AC105"/>
  <c r="AE105"/>
  <c r="AF96" i="8"/>
  <c r="AJ11"/>
  <c r="AH598"/>
  <c r="AH601" s="1"/>
  <c r="C96"/>
  <c r="D96"/>
  <c r="F96"/>
  <c r="I96"/>
  <c r="N96"/>
  <c r="P96"/>
  <c r="X96"/>
  <c r="Y96"/>
  <c r="AD96"/>
  <c r="S96"/>
  <c r="T96"/>
  <c r="V96"/>
  <c r="C594"/>
  <c r="C107"/>
  <c r="C194" i="7"/>
  <c r="C51"/>
  <c r="C155"/>
  <c r="C192"/>
  <c r="C49"/>
  <c r="C523"/>
  <c r="C153"/>
  <c r="E523"/>
  <c r="E153"/>
  <c r="E192"/>
  <c r="E49"/>
  <c r="E119"/>
  <c r="E20"/>
  <c r="E156"/>
  <c r="E195"/>
  <c r="E52"/>
  <c r="E594" i="8"/>
  <c r="G523" i="7"/>
  <c r="G153"/>
  <c r="G192"/>
  <c r="G49"/>
  <c r="G20"/>
  <c r="G119"/>
  <c r="G156"/>
  <c r="G195"/>
  <c r="G52"/>
  <c r="G594" i="8"/>
  <c r="I20" i="7"/>
  <c r="I119"/>
  <c r="I156"/>
  <c r="I195"/>
  <c r="I52"/>
  <c r="I154"/>
  <c r="I193"/>
  <c r="I50"/>
  <c r="J107" i="8"/>
  <c r="K594"/>
  <c r="M20" i="7"/>
  <c r="M119"/>
  <c r="M194"/>
  <c r="M51"/>
  <c r="M155"/>
  <c r="M154"/>
  <c r="M193"/>
  <c r="M50"/>
  <c r="M195"/>
  <c r="M52"/>
  <c r="M156"/>
  <c r="O20"/>
  <c r="O119"/>
  <c r="O523"/>
  <c r="O153"/>
  <c r="O192"/>
  <c r="O49"/>
  <c r="O156"/>
  <c r="O195"/>
  <c r="O52"/>
  <c r="O594" i="8"/>
  <c r="Q192" i="7"/>
  <c r="Q49"/>
  <c r="Q523"/>
  <c r="Q153"/>
  <c r="Q119"/>
  <c r="Q20"/>
  <c r="Q195"/>
  <c r="Q156"/>
  <c r="Q52"/>
  <c r="Q594" i="8"/>
  <c r="S119" i="7"/>
  <c r="S20"/>
  <c r="S156"/>
  <c r="S195"/>
  <c r="S52"/>
  <c r="S193"/>
  <c r="S154"/>
  <c r="S50"/>
  <c r="T154"/>
  <c r="T193"/>
  <c r="T50"/>
  <c r="T20"/>
  <c r="T119"/>
  <c r="T195"/>
  <c r="T52"/>
  <c r="T156"/>
  <c r="T194"/>
  <c r="T51"/>
  <c r="T155"/>
  <c r="U193"/>
  <c r="U50"/>
  <c r="U154"/>
  <c r="U119"/>
  <c r="U20"/>
  <c r="U156"/>
  <c r="U195"/>
  <c r="U52"/>
  <c r="V119"/>
  <c r="V20"/>
  <c r="W20"/>
  <c r="W119"/>
  <c r="W195"/>
  <c r="W52"/>
  <c r="W156"/>
  <c r="W193"/>
  <c r="W50"/>
  <c r="W154"/>
  <c r="Y192"/>
  <c r="Y49"/>
  <c r="Y523"/>
  <c r="Y153"/>
  <c r="Y119"/>
  <c r="Y20"/>
  <c r="Y195"/>
  <c r="Y52"/>
  <c r="Y156"/>
  <c r="Z195"/>
  <c r="Z52"/>
  <c r="Z156"/>
  <c r="Z154"/>
  <c r="Z193"/>
  <c r="Z50"/>
  <c r="Z192"/>
  <c r="Z49"/>
  <c r="Z523"/>
  <c r="Z153"/>
  <c r="AA119"/>
  <c r="AA20"/>
  <c r="AA195"/>
  <c r="AA52"/>
  <c r="AA156"/>
  <c r="AA154"/>
  <c r="AA193"/>
  <c r="AA50"/>
  <c r="AB193"/>
  <c r="AB50"/>
  <c r="AB154"/>
  <c r="AB119"/>
  <c r="AB20"/>
  <c r="AB156"/>
  <c r="AB195"/>
  <c r="AB52"/>
  <c r="AB155"/>
  <c r="AB194"/>
  <c r="AB51"/>
  <c r="AC192"/>
  <c r="AC49"/>
  <c r="AC523"/>
  <c r="AC153"/>
  <c r="AC20"/>
  <c r="AC119"/>
  <c r="AC195"/>
  <c r="AC52"/>
  <c r="AC156"/>
  <c r="AE192"/>
  <c r="AE49"/>
  <c r="AE523"/>
  <c r="AE153"/>
  <c r="AE20"/>
  <c r="AE119"/>
  <c r="AE195"/>
  <c r="AE52"/>
  <c r="AE156"/>
  <c r="D20"/>
  <c r="D119"/>
  <c r="D156"/>
  <c r="D195"/>
  <c r="D52"/>
  <c r="D194"/>
  <c r="D51"/>
  <c r="D155"/>
  <c r="D594" i="8"/>
  <c r="F20" i="7"/>
  <c r="F119"/>
  <c r="F195"/>
  <c r="F52"/>
  <c r="F156"/>
  <c r="F155"/>
  <c r="F194"/>
  <c r="F51"/>
  <c r="F594" i="8"/>
  <c r="H119" i="7"/>
  <c r="H20"/>
  <c r="H156"/>
  <c r="H195"/>
  <c r="H52"/>
  <c r="H194"/>
  <c r="H51"/>
  <c r="H155"/>
  <c r="H154"/>
  <c r="H193"/>
  <c r="H50"/>
  <c r="H192"/>
  <c r="H196" s="1"/>
  <c r="H197" s="1"/>
  <c r="H49"/>
  <c r="H53" s="1"/>
  <c r="H523"/>
  <c r="H153"/>
  <c r="I594" i="8"/>
  <c r="I20"/>
  <c r="I107"/>
  <c r="K154" i="7"/>
  <c r="K193"/>
  <c r="K50"/>
  <c r="K194"/>
  <c r="K51"/>
  <c r="K155"/>
  <c r="L119"/>
  <c r="L20"/>
  <c r="L156"/>
  <c r="L195"/>
  <c r="L52"/>
  <c r="L194"/>
  <c r="L51"/>
  <c r="L155"/>
  <c r="L154"/>
  <c r="L193"/>
  <c r="L50"/>
  <c r="L523"/>
  <c r="L153"/>
  <c r="L192"/>
  <c r="L196" s="1"/>
  <c r="L197" s="1"/>
  <c r="L49"/>
  <c r="L53" s="1"/>
  <c r="M107" i="8"/>
  <c r="N594"/>
  <c r="P119" i="7"/>
  <c r="P20"/>
  <c r="P156"/>
  <c r="P195"/>
  <c r="P52"/>
  <c r="P194"/>
  <c r="P51"/>
  <c r="P155"/>
  <c r="P154"/>
  <c r="P193"/>
  <c r="P50"/>
  <c r="P192"/>
  <c r="P196" s="1"/>
  <c r="P197" s="1"/>
  <c r="P49"/>
  <c r="P53" s="1"/>
  <c r="P523"/>
  <c r="P153"/>
  <c r="P594" i="8"/>
  <c r="R119" i="7"/>
  <c r="R20"/>
  <c r="R195"/>
  <c r="R52"/>
  <c r="R156"/>
  <c r="S594" i="8"/>
  <c r="S107"/>
  <c r="S20"/>
  <c r="T594"/>
  <c r="U20"/>
  <c r="U107"/>
  <c r="V594"/>
  <c r="W107"/>
  <c r="X594"/>
  <c r="Y594"/>
  <c r="Y107"/>
  <c r="AA107"/>
  <c r="AC107"/>
  <c r="AD594"/>
  <c r="AE20"/>
  <c r="AE107"/>
  <c r="I105" i="7"/>
  <c r="J105"/>
  <c r="J96" i="8"/>
  <c r="M105" i="7"/>
  <c r="N105"/>
  <c r="S105"/>
  <c r="W105"/>
  <c r="X105"/>
  <c r="AA105"/>
  <c r="AD105"/>
  <c r="AF105"/>
  <c r="D105"/>
  <c r="F105"/>
  <c r="H96" i="8"/>
  <c r="L96"/>
  <c r="M96"/>
  <c r="R105" i="7"/>
  <c r="R96" i="8"/>
  <c r="U96"/>
  <c r="W96"/>
  <c r="Z96"/>
  <c r="AA96"/>
  <c r="AB96"/>
  <c r="AC96"/>
  <c r="AE96"/>
  <c r="C20" i="7"/>
  <c r="C119"/>
  <c r="C195"/>
  <c r="C52"/>
  <c r="C156"/>
  <c r="C154"/>
  <c r="C193"/>
  <c r="C50"/>
  <c r="E154"/>
  <c r="E193"/>
  <c r="E50"/>
  <c r="E155"/>
  <c r="E194"/>
  <c r="E51"/>
  <c r="E107" i="8"/>
  <c r="G154" i="7"/>
  <c r="G193"/>
  <c r="G50"/>
  <c r="G194"/>
  <c r="G51"/>
  <c r="G155"/>
  <c r="G107" i="8"/>
  <c r="I194" i="7"/>
  <c r="I51"/>
  <c r="I155"/>
  <c r="I192"/>
  <c r="I49"/>
  <c r="I523"/>
  <c r="I153"/>
  <c r="J119"/>
  <c r="J20"/>
  <c r="J195"/>
  <c r="J52"/>
  <c r="J156"/>
  <c r="J194"/>
  <c r="J51"/>
  <c r="J155"/>
  <c r="J154"/>
  <c r="J193"/>
  <c r="J50"/>
  <c r="J523"/>
  <c r="J153"/>
  <c r="J192"/>
  <c r="J49"/>
  <c r="J594" i="8"/>
  <c r="J229"/>
  <c r="J230" s="1"/>
  <c r="K20"/>
  <c r="K107"/>
  <c r="M192" i="7"/>
  <c r="M49"/>
  <c r="M523"/>
  <c r="M153"/>
  <c r="N20"/>
  <c r="N119"/>
  <c r="N156"/>
  <c r="N195"/>
  <c r="N52"/>
  <c r="N194"/>
  <c r="N51"/>
  <c r="N155"/>
  <c r="N154"/>
  <c r="N193"/>
  <c r="N50"/>
  <c r="N192"/>
  <c r="N196" s="1"/>
  <c r="N197" s="1"/>
  <c r="N49"/>
  <c r="N523"/>
  <c r="N153"/>
  <c r="O193"/>
  <c r="O50"/>
  <c r="O154"/>
  <c r="O194"/>
  <c r="O51"/>
  <c r="O155"/>
  <c r="O107" i="8"/>
  <c r="Q193" i="7"/>
  <c r="Q50"/>
  <c r="Q154"/>
  <c r="Q51"/>
  <c r="Q155"/>
  <c r="Q194"/>
  <c r="Q20" i="8"/>
  <c r="Q107"/>
  <c r="S194" i="7"/>
  <c r="S51"/>
  <c r="S155"/>
  <c r="S49"/>
  <c r="S523"/>
  <c r="S153"/>
  <c r="S192"/>
  <c r="T523"/>
  <c r="T153"/>
  <c r="T192"/>
  <c r="T49"/>
  <c r="U192"/>
  <c r="U49"/>
  <c r="U523"/>
  <c r="U153"/>
  <c r="U194"/>
  <c r="U51"/>
  <c r="U155"/>
  <c r="V193"/>
  <c r="V50"/>
  <c r="V154"/>
  <c r="V523"/>
  <c r="V153"/>
  <c r="V192"/>
  <c r="V49"/>
  <c r="V156"/>
  <c r="V195"/>
  <c r="V52"/>
  <c r="V194"/>
  <c r="V51"/>
  <c r="V155"/>
  <c r="W194"/>
  <c r="W51"/>
  <c r="W155"/>
  <c r="W192"/>
  <c r="W49"/>
  <c r="W523"/>
  <c r="W153"/>
  <c r="X119"/>
  <c r="X20"/>
  <c r="X156"/>
  <c r="X195"/>
  <c r="X52"/>
  <c r="X194"/>
  <c r="X51"/>
  <c r="X155"/>
  <c r="X193"/>
  <c r="X50"/>
  <c r="X154"/>
  <c r="X523"/>
  <c r="X153"/>
  <c r="X192"/>
  <c r="X49"/>
  <c r="Y154"/>
  <c r="Y193"/>
  <c r="Y50"/>
  <c r="Y194"/>
  <c r="Y51"/>
  <c r="Y155"/>
  <c r="Z20"/>
  <c r="Z119"/>
  <c r="Z155"/>
  <c r="Z194"/>
  <c r="Z51"/>
  <c r="AA194"/>
  <c r="AA51"/>
  <c r="AA155"/>
  <c r="AA523"/>
  <c r="AA153"/>
  <c r="AA192"/>
  <c r="AA49"/>
  <c r="AB192"/>
  <c r="AB49"/>
  <c r="AB523"/>
  <c r="AB153"/>
  <c r="AC154"/>
  <c r="AC193"/>
  <c r="AC50"/>
  <c r="AC194"/>
  <c r="AC51"/>
  <c r="AC155"/>
  <c r="AD20"/>
  <c r="AD119"/>
  <c r="AD156"/>
  <c r="AD195"/>
  <c r="AD52"/>
  <c r="AD194"/>
  <c r="AD51"/>
  <c r="AD155"/>
  <c r="AD193"/>
  <c r="AD50"/>
  <c r="AD154"/>
  <c r="AD523"/>
  <c r="AD153"/>
  <c r="AD192"/>
  <c r="AD49"/>
  <c r="AE193"/>
  <c r="AE50"/>
  <c r="AE154"/>
  <c r="AE155"/>
  <c r="AE194"/>
  <c r="AE51"/>
  <c r="AF119"/>
  <c r="AF20"/>
  <c r="AF195"/>
  <c r="AF52"/>
  <c r="AF156"/>
  <c r="AF194"/>
  <c r="AF51"/>
  <c r="AF155"/>
  <c r="AF154"/>
  <c r="AF193"/>
  <c r="AF50"/>
  <c r="AF192"/>
  <c r="AF49"/>
  <c r="AF523"/>
  <c r="AF153"/>
  <c r="D193"/>
  <c r="D50"/>
  <c r="D154"/>
  <c r="D523"/>
  <c r="D153"/>
  <c r="D192"/>
  <c r="D49"/>
  <c r="D107" i="8"/>
  <c r="F193" i="7"/>
  <c r="F50"/>
  <c r="F154"/>
  <c r="F523"/>
  <c r="F153"/>
  <c r="F192"/>
  <c r="F49"/>
  <c r="F20" i="8"/>
  <c r="F107"/>
  <c r="H107"/>
  <c r="H594"/>
  <c r="K192" i="7"/>
  <c r="K49"/>
  <c r="K523"/>
  <c r="K153"/>
  <c r="K20"/>
  <c r="K119"/>
  <c r="K195"/>
  <c r="K52"/>
  <c r="K156"/>
  <c r="L20" i="8"/>
  <c r="L107"/>
  <c r="L594"/>
  <c r="M594"/>
  <c r="M229"/>
  <c r="M230" s="1"/>
  <c r="N107"/>
  <c r="P20"/>
  <c r="P107"/>
  <c r="R155" i="7"/>
  <c r="R194"/>
  <c r="R51"/>
  <c r="R193"/>
  <c r="R50"/>
  <c r="R154"/>
  <c r="R192"/>
  <c r="R49"/>
  <c r="R523"/>
  <c r="R153"/>
  <c r="R107" i="8"/>
  <c r="R594"/>
  <c r="T20"/>
  <c r="T107"/>
  <c r="U594"/>
  <c r="V107"/>
  <c r="V20"/>
  <c r="W594"/>
  <c r="X107"/>
  <c r="Z107"/>
  <c r="Z20"/>
  <c r="Z594"/>
  <c r="AA594"/>
  <c r="AB107"/>
  <c r="AB20"/>
  <c r="AB594"/>
  <c r="AC594"/>
  <c r="AD107"/>
  <c r="AD20"/>
  <c r="AE594"/>
  <c r="C105" i="7"/>
  <c r="E96" i="8"/>
  <c r="G96"/>
  <c r="K96"/>
  <c r="O105" i="7"/>
  <c r="O96" i="8"/>
  <c r="Q96"/>
  <c r="T105" i="7"/>
  <c r="H105"/>
  <c r="L105"/>
  <c r="P105"/>
  <c r="AH27" i="8"/>
  <c r="AH685"/>
  <c r="AH670" s="1"/>
  <c r="AH62" s="1"/>
  <c r="AG96"/>
  <c r="AG72"/>
  <c r="AI701"/>
  <c r="AI696"/>
  <c r="AI695"/>
  <c r="AI694"/>
  <c r="AI693"/>
  <c r="AI692"/>
  <c r="AI691"/>
  <c r="AI690"/>
  <c r="AI689"/>
  <c r="AI687"/>
  <c r="AI684"/>
  <c r="AI683"/>
  <c r="AI682"/>
  <c r="AI681"/>
  <c r="AI680"/>
  <c r="AI679"/>
  <c r="AI678"/>
  <c r="AI677"/>
  <c r="AI676"/>
  <c r="AI675"/>
  <c r="AI663"/>
  <c r="AI661"/>
  <c r="AI659"/>
  <c r="AI652"/>
  <c r="AI651"/>
  <c r="AI650"/>
  <c r="AI649"/>
  <c r="AI648"/>
  <c r="AI647"/>
  <c r="AI646"/>
  <c r="AI645"/>
  <c r="AI644"/>
  <c r="AI643"/>
  <c r="AI664"/>
  <c r="AI662"/>
  <c r="AI660"/>
  <c r="AI658"/>
  <c r="AI656"/>
  <c r="AI655"/>
  <c r="AI620"/>
  <c r="AI619"/>
  <c r="AI618"/>
  <c r="AI617"/>
  <c r="AI616"/>
  <c r="AI615"/>
  <c r="AI614"/>
  <c r="AI613"/>
  <c r="AI612"/>
  <c r="AI611"/>
  <c r="AI632"/>
  <c r="AI631"/>
  <c r="AI630"/>
  <c r="AI629"/>
  <c r="AI628"/>
  <c r="AI627"/>
  <c r="AI626"/>
  <c r="AI624"/>
  <c r="AI623"/>
  <c r="AI600"/>
  <c r="AI54" s="1"/>
  <c r="AI551"/>
  <c r="AI552" s="1"/>
  <c r="AI545"/>
  <c r="AI546" s="1"/>
  <c r="AI449"/>
  <c r="AI448"/>
  <c r="AI447"/>
  <c r="AI446"/>
  <c r="AI445"/>
  <c r="AI444"/>
  <c r="AI392"/>
  <c r="AI390"/>
  <c r="AI388"/>
  <c r="AI386"/>
  <c r="AI384"/>
  <c r="AI366"/>
  <c r="AI364"/>
  <c r="AI362"/>
  <c r="AI360"/>
  <c r="AI358"/>
  <c r="AI341"/>
  <c r="AI339"/>
  <c r="AI337"/>
  <c r="AI462"/>
  <c r="AI393"/>
  <c r="AI391"/>
  <c r="AI389"/>
  <c r="AI387"/>
  <c r="AI385"/>
  <c r="AI367"/>
  <c r="AI365"/>
  <c r="AI363"/>
  <c r="AI361"/>
  <c r="AI359"/>
  <c r="AI342"/>
  <c r="AI340"/>
  <c r="AI338"/>
  <c r="AI336"/>
  <c r="AI334"/>
  <c r="AI333"/>
  <c r="AI328"/>
  <c r="AI238"/>
  <c r="AI203"/>
  <c r="AI335"/>
  <c r="AI315"/>
  <c r="AI314"/>
  <c r="AI313"/>
  <c r="AI312"/>
  <c r="AI311"/>
  <c r="AI310"/>
  <c r="AI33"/>
  <c r="AI35" s="1"/>
  <c r="AI37" s="1"/>
  <c r="AI39" s="1"/>
  <c r="AI30"/>
  <c r="AI26"/>
  <c r="AI25"/>
  <c r="AI23"/>
  <c r="AI19"/>
  <c r="AI5"/>
  <c r="AI40"/>
  <c r="AJ2"/>
  <c r="AH329"/>
  <c r="AH468"/>
  <c r="AH467"/>
  <c r="AH471"/>
  <c r="AH475"/>
  <c r="AH495"/>
  <c r="AH499"/>
  <c r="AH519"/>
  <c r="AH523"/>
  <c r="AH527"/>
  <c r="AH474"/>
  <c r="AH494"/>
  <c r="AH498"/>
  <c r="AH502"/>
  <c r="AH522"/>
  <c r="AH526"/>
  <c r="AH237"/>
  <c r="AH202"/>
  <c r="AH48"/>
  <c r="AG107"/>
  <c r="AF267"/>
  <c r="AF268" s="1"/>
  <c r="AG594"/>
  <c r="AH587"/>
  <c r="AH588" s="1"/>
  <c r="AH16" s="1"/>
  <c r="AH579"/>
  <c r="AH580" s="1"/>
  <c r="AH14" s="1"/>
  <c r="AH553"/>
  <c r="AH554" s="1"/>
  <c r="AH95" s="1"/>
  <c r="AH547"/>
  <c r="AH548" s="1"/>
  <c r="AH94" s="1"/>
  <c r="AH241" s="1"/>
  <c r="AH591"/>
  <c r="AH592" s="1"/>
  <c r="AH17" s="1"/>
  <c r="AH583"/>
  <c r="AH584" s="1"/>
  <c r="AH15" s="1"/>
  <c r="AH108"/>
  <c r="AH29"/>
  <c r="AH31" s="1"/>
  <c r="AH10"/>
  <c r="AH12" s="1"/>
  <c r="AH470"/>
  <c r="AH469"/>
  <c r="AH473"/>
  <c r="AH493"/>
  <c r="AH497"/>
  <c r="AH501"/>
  <c r="AH521"/>
  <c r="AH525"/>
  <c r="AH463"/>
  <c r="AH472"/>
  <c r="AH476"/>
  <c r="AH496"/>
  <c r="AH500"/>
  <c r="AH520"/>
  <c r="AH524"/>
  <c r="AH528"/>
  <c r="AI565" i="7"/>
  <c r="AJ562" s="1"/>
  <c r="AG63" i="8"/>
  <c r="AH621"/>
  <c r="AH606" s="1"/>
  <c r="AH60" s="1"/>
  <c r="AH653"/>
  <c r="AH638" s="1"/>
  <c r="AH61" s="1"/>
  <c r="AF229"/>
  <c r="AF230" s="1"/>
  <c r="AH71" i="7"/>
  <c r="AK11"/>
  <c r="AJ550"/>
  <c r="AJ548"/>
  <c r="AJ544"/>
  <c r="AJ535"/>
  <c r="AJ534"/>
  <c r="AJ545" s="1"/>
  <c r="AJ528"/>
  <c r="AJ527"/>
  <c r="AH195"/>
  <c r="AH156"/>
  <c r="AH52"/>
  <c r="AH194"/>
  <c r="AH155"/>
  <c r="AH51"/>
  <c r="AH105"/>
  <c r="AH540"/>
  <c r="AH80"/>
  <c r="AH81" s="1"/>
  <c r="AH119"/>
  <c r="AH20"/>
  <c r="AH43" s="1"/>
  <c r="AJ660"/>
  <c r="AJ659"/>
  <c r="AJ658"/>
  <c r="AJ657"/>
  <c r="AJ656"/>
  <c r="AJ655"/>
  <c r="AJ654"/>
  <c r="AJ653"/>
  <c r="AJ651"/>
  <c r="AJ665"/>
  <c r="AJ648"/>
  <c r="AJ647"/>
  <c r="AJ646"/>
  <c r="AJ645"/>
  <c r="AJ644"/>
  <c r="AJ643"/>
  <c r="AJ642"/>
  <c r="AJ641"/>
  <c r="AJ640"/>
  <c r="AJ639"/>
  <c r="AJ628"/>
  <c r="AJ627"/>
  <c r="AJ626"/>
  <c r="AJ625"/>
  <c r="AJ624"/>
  <c r="AJ623"/>
  <c r="AJ622"/>
  <c r="AJ620"/>
  <c r="AJ619"/>
  <c r="AJ616"/>
  <c r="AJ615"/>
  <c r="AJ614"/>
  <c r="AJ613"/>
  <c r="AJ612"/>
  <c r="AJ611"/>
  <c r="AJ610"/>
  <c r="AJ609"/>
  <c r="AJ608"/>
  <c r="AJ607"/>
  <c r="AJ596"/>
  <c r="AJ595"/>
  <c r="AJ594"/>
  <c r="AJ593"/>
  <c r="AJ592"/>
  <c r="AJ591"/>
  <c r="AJ590"/>
  <c r="AJ588"/>
  <c r="AJ587"/>
  <c r="AJ584"/>
  <c r="AJ583"/>
  <c r="AJ582"/>
  <c r="AJ581"/>
  <c r="AJ580"/>
  <c r="AJ579"/>
  <c r="AJ578"/>
  <c r="AJ577"/>
  <c r="AJ576"/>
  <c r="AJ575"/>
  <c r="AJ480"/>
  <c r="AJ481" s="1"/>
  <c r="AJ474"/>
  <c r="AJ475" s="1"/>
  <c r="AJ564"/>
  <c r="AJ62" s="1"/>
  <c r="AJ391"/>
  <c r="AJ322"/>
  <c r="AJ320"/>
  <c r="AJ318"/>
  <c r="AJ316"/>
  <c r="AJ314"/>
  <c r="AJ296"/>
  <c r="AJ294"/>
  <c r="AJ292"/>
  <c r="AJ290"/>
  <c r="AJ288"/>
  <c r="AJ378"/>
  <c r="AJ377"/>
  <c r="AJ376"/>
  <c r="AJ375"/>
  <c r="AJ374"/>
  <c r="AJ373"/>
  <c r="AJ321"/>
  <c r="AJ319"/>
  <c r="AJ317"/>
  <c r="AJ315"/>
  <c r="AJ313"/>
  <c r="AJ295"/>
  <c r="AJ293"/>
  <c r="AJ291"/>
  <c r="AJ289"/>
  <c r="AJ287"/>
  <c r="AJ270"/>
  <c r="AJ268"/>
  <c r="AJ266"/>
  <c r="AJ264"/>
  <c r="AJ262"/>
  <c r="AJ257"/>
  <c r="AJ269"/>
  <c r="AJ265"/>
  <c r="AJ244"/>
  <c r="AJ243"/>
  <c r="AJ242"/>
  <c r="AJ241"/>
  <c r="AJ240"/>
  <c r="AJ239"/>
  <c r="AJ271"/>
  <c r="AJ267"/>
  <c r="AJ263"/>
  <c r="AJ167"/>
  <c r="AJ131"/>
  <c r="AJ33"/>
  <c r="AJ35" s="1"/>
  <c r="AJ37" s="1"/>
  <c r="AJ39" s="1"/>
  <c r="AJ30"/>
  <c r="AJ26"/>
  <c r="AJ25"/>
  <c r="AJ23"/>
  <c r="AJ19"/>
  <c r="AJ5"/>
  <c r="AJ40"/>
  <c r="AK2"/>
  <c r="AI258"/>
  <c r="AI398"/>
  <c r="AI400"/>
  <c r="AI397"/>
  <c r="AI401"/>
  <c r="AI405"/>
  <c r="AI425"/>
  <c r="AI429"/>
  <c r="AI449"/>
  <c r="AI453"/>
  <c r="AI457"/>
  <c r="AI422"/>
  <c r="AI426"/>
  <c r="AI430"/>
  <c r="AI450"/>
  <c r="AI454"/>
  <c r="AI392"/>
  <c r="AI166"/>
  <c r="AI130"/>
  <c r="AI55"/>
  <c r="AI165"/>
  <c r="AI129"/>
  <c r="AI54"/>
  <c r="AI27"/>
  <c r="AI61"/>
  <c r="AI585"/>
  <c r="AI570" s="1"/>
  <c r="AI68" s="1"/>
  <c r="AI617"/>
  <c r="AI602" s="1"/>
  <c r="AI69" s="1"/>
  <c r="AG157"/>
  <c r="AG158" s="1"/>
  <c r="AH523"/>
  <c r="AH192"/>
  <c r="AH153"/>
  <c r="AH49"/>
  <c r="AH193"/>
  <c r="AH154"/>
  <c r="AH50"/>
  <c r="AI520"/>
  <c r="AI521" s="1"/>
  <c r="AI512"/>
  <c r="AI513" s="1"/>
  <c r="AI516"/>
  <c r="AI517" s="1"/>
  <c r="AI508"/>
  <c r="AI509" s="1"/>
  <c r="AI14" s="1"/>
  <c r="AI18" s="1"/>
  <c r="AI482"/>
  <c r="AI483" s="1"/>
  <c r="AI104" s="1"/>
  <c r="AI476"/>
  <c r="AI477" s="1"/>
  <c r="AI103" s="1"/>
  <c r="AI170" s="1"/>
  <c r="AI120"/>
  <c r="AI29"/>
  <c r="AI31" s="1"/>
  <c r="AI10"/>
  <c r="AI12" s="1"/>
  <c r="AI402"/>
  <c r="AI396"/>
  <c r="AI404"/>
  <c r="AI399"/>
  <c r="AI403"/>
  <c r="AI423"/>
  <c r="AI427"/>
  <c r="AI431"/>
  <c r="AI451"/>
  <c r="AI455"/>
  <c r="AI424"/>
  <c r="AI428"/>
  <c r="AI448"/>
  <c r="AI452"/>
  <c r="AI456"/>
  <c r="AI549"/>
  <c r="AI543"/>
  <c r="AJ556"/>
  <c r="AG164"/>
  <c r="AG128"/>
  <c r="AG132" s="1"/>
  <c r="AG160" s="1"/>
  <c r="AG161" s="1"/>
  <c r="AG47"/>
  <c r="AI649"/>
  <c r="AI634" s="1"/>
  <c r="AI70" s="1"/>
  <c r="AG53"/>
  <c r="AG196"/>
  <c r="AG197" s="1"/>
  <c r="D168" i="1"/>
  <c r="B92" i="10" s="1"/>
  <c r="B168" i="1"/>
  <c r="C168"/>
  <c r="E168"/>
  <c r="B77" i="7" s="1"/>
  <c r="C576" i="2"/>
  <c r="C263" s="1"/>
  <c r="A425"/>
  <c r="A434"/>
  <c r="A432"/>
  <c r="A429"/>
  <c r="A427"/>
  <c r="A438"/>
  <c r="A440"/>
  <c r="A435"/>
  <c r="A433"/>
  <c r="A431"/>
  <c r="A428"/>
  <c r="A426"/>
  <c r="A441"/>
  <c r="A439"/>
  <c r="C573"/>
  <c r="C221" s="1"/>
  <c r="B304"/>
  <c r="C575"/>
  <c r="B440"/>
  <c r="B306"/>
  <c r="C574"/>
  <c r="C222" s="1"/>
  <c r="B439"/>
  <c r="C248"/>
  <c r="C209"/>
  <c r="C250"/>
  <c r="C211"/>
  <c r="C249"/>
  <c r="C210"/>
  <c r="C251"/>
  <c r="C212"/>
  <c r="C565"/>
  <c r="AK530" i="7" l="1"/>
  <c r="AK531"/>
  <c r="AK519"/>
  <c r="AK515"/>
  <c r="AK511"/>
  <c r="AK507"/>
  <c r="AK559"/>
  <c r="AK558"/>
  <c r="AK557"/>
  <c r="AB157"/>
  <c r="AB158" s="1"/>
  <c r="AB53"/>
  <c r="AA157"/>
  <c r="AA158" s="1"/>
  <c r="T53"/>
  <c r="T157"/>
  <c r="T158" s="1"/>
  <c r="S196"/>
  <c r="S197" s="1"/>
  <c r="M196"/>
  <c r="M197" s="1"/>
  <c r="I157"/>
  <c r="I158" s="1"/>
  <c r="AJ532"/>
  <c r="AJ533" s="1"/>
  <c r="AG43" i="8"/>
  <c r="AG201" s="1"/>
  <c r="AG204" s="1"/>
  <c r="C16" i="10"/>
  <c r="AL182"/>
  <c r="AL199" s="1"/>
  <c r="AL282"/>
  <c r="AL298" s="1"/>
  <c r="F157" i="7"/>
  <c r="F158" s="1"/>
  <c r="D157"/>
  <c r="D158" s="1"/>
  <c r="AB196"/>
  <c r="AB197" s="1"/>
  <c r="W157"/>
  <c r="W158" s="1"/>
  <c r="M157"/>
  <c r="M158" s="1"/>
  <c r="M53"/>
  <c r="B140" i="10"/>
  <c r="B152" s="1"/>
  <c r="N53" i="7"/>
  <c r="T196"/>
  <c r="T197" s="1"/>
  <c r="S53"/>
  <c r="AK56" i="10"/>
  <c r="AK85"/>
  <c r="AK86" s="1"/>
  <c r="Z308"/>
  <c r="V308"/>
  <c r="F308"/>
  <c r="Z291"/>
  <c r="C633"/>
  <c r="C17"/>
  <c r="AL629"/>
  <c r="AL625"/>
  <c r="AL621"/>
  <c r="AL617"/>
  <c r="AJ578" i="8"/>
  <c r="AJ590"/>
  <c r="AJ586"/>
  <c r="AJ582"/>
  <c r="AA308" i="10"/>
  <c r="S308"/>
  <c r="AJ65"/>
  <c r="AJ68" s="1"/>
  <c r="AJ75" s="1"/>
  <c r="AI179"/>
  <c r="AI196" s="1"/>
  <c r="AK58"/>
  <c r="AK180"/>
  <c r="AK197" s="1"/>
  <c r="AK141"/>
  <c r="AK153" s="1"/>
  <c r="AK249"/>
  <c r="AK221"/>
  <c r="AJ162"/>
  <c r="AJ161"/>
  <c r="AJ253" s="1"/>
  <c r="AH48"/>
  <c r="AH50" s="1"/>
  <c r="AF118"/>
  <c r="S291"/>
  <c r="O291"/>
  <c r="K291"/>
  <c r="C291"/>
  <c r="R291"/>
  <c r="J291"/>
  <c r="AE291"/>
  <c r="AA291"/>
  <c r="W291"/>
  <c r="AD291"/>
  <c r="V291"/>
  <c r="F291"/>
  <c r="W18"/>
  <c r="W20" s="1"/>
  <c r="V18"/>
  <c r="V20" s="1"/>
  <c r="F18"/>
  <c r="F20" s="1"/>
  <c r="AJ287"/>
  <c r="AJ304"/>
  <c r="AJ288"/>
  <c r="AJ305"/>
  <c r="AE18"/>
  <c r="AE20" s="1"/>
  <c r="S18"/>
  <c r="S20" s="1"/>
  <c r="O18"/>
  <c r="O20" s="1"/>
  <c r="E18"/>
  <c r="E20" s="1"/>
  <c r="AJ289"/>
  <c r="AJ306"/>
  <c r="AJ290"/>
  <c r="AJ307"/>
  <c r="Y308"/>
  <c r="AK39"/>
  <c r="AI640"/>
  <c r="AJ637" s="1"/>
  <c r="AK59"/>
  <c r="AC308"/>
  <c r="AE308"/>
  <c r="AA18"/>
  <c r="AA20" s="1"/>
  <c r="O308"/>
  <c r="Z18"/>
  <c r="Z20" s="1"/>
  <c r="AJ283"/>
  <c r="AJ299" s="1"/>
  <c r="AK698"/>
  <c r="AK683" s="1"/>
  <c r="AK66" s="1"/>
  <c r="AJ42"/>
  <c r="AM11"/>
  <c r="AL645"/>
  <c r="AL181" s="1"/>
  <c r="AL198" s="1"/>
  <c r="AL41"/>
  <c r="AL183" s="1"/>
  <c r="AL200" s="1"/>
  <c r="Q291"/>
  <c r="Q18"/>
  <c r="Q20" s="1"/>
  <c r="M291"/>
  <c r="M18"/>
  <c r="M20" s="1"/>
  <c r="K308"/>
  <c r="E291"/>
  <c r="C308"/>
  <c r="AD308"/>
  <c r="R18"/>
  <c r="R20" s="1"/>
  <c r="J308"/>
  <c r="H308"/>
  <c r="D308"/>
  <c r="G291"/>
  <c r="G18"/>
  <c r="G20" s="1"/>
  <c r="AF308"/>
  <c r="U291"/>
  <c r="U18"/>
  <c r="U20" s="1"/>
  <c r="I308"/>
  <c r="AB308"/>
  <c r="X18"/>
  <c r="X20" s="1"/>
  <c r="X291"/>
  <c r="T308"/>
  <c r="P18"/>
  <c r="P20" s="1"/>
  <c r="P291"/>
  <c r="N291"/>
  <c r="N18"/>
  <c r="N20" s="1"/>
  <c r="L291"/>
  <c r="L18"/>
  <c r="L20" s="1"/>
  <c r="AC291"/>
  <c r="AC18"/>
  <c r="AC20" s="1"/>
  <c r="Y18"/>
  <c r="Y20" s="1"/>
  <c r="Y291"/>
  <c r="W308"/>
  <c r="Q308"/>
  <c r="M308"/>
  <c r="K18"/>
  <c r="K20" s="1"/>
  <c r="C18"/>
  <c r="C20" s="1"/>
  <c r="AF291"/>
  <c r="AF18"/>
  <c r="AF20" s="1"/>
  <c r="AD18"/>
  <c r="AD20" s="1"/>
  <c r="R308"/>
  <c r="J18"/>
  <c r="J20" s="1"/>
  <c r="H291"/>
  <c r="H18"/>
  <c r="H20" s="1"/>
  <c r="D291"/>
  <c r="D18"/>
  <c r="D20" s="1"/>
  <c r="U308"/>
  <c r="I18"/>
  <c r="I20" s="1"/>
  <c r="I291"/>
  <c r="G308"/>
  <c r="AB291"/>
  <c r="AB18"/>
  <c r="AB20" s="1"/>
  <c r="X308"/>
  <c r="T18"/>
  <c r="T20" s="1"/>
  <c r="T291"/>
  <c r="P308"/>
  <c r="N308"/>
  <c r="L308"/>
  <c r="AI41" i="7"/>
  <c r="AA267" i="8"/>
  <c r="AA268" s="1"/>
  <c r="U229"/>
  <c r="U230" s="1"/>
  <c r="R267"/>
  <c r="R268" s="1"/>
  <c r="AK27" i="10"/>
  <c r="AK666"/>
  <c r="AK651" s="1"/>
  <c r="AJ15"/>
  <c r="AJ118"/>
  <c r="AK626"/>
  <c r="AK627" s="1"/>
  <c r="AK618"/>
  <c r="AK619" s="1"/>
  <c r="AK592"/>
  <c r="AK593" s="1"/>
  <c r="AK586"/>
  <c r="AK587" s="1"/>
  <c r="AK630"/>
  <c r="AK631" s="1"/>
  <c r="AK622"/>
  <c r="AK623" s="1"/>
  <c r="AK130"/>
  <c r="AK29"/>
  <c r="AK31" s="1"/>
  <c r="AK10"/>
  <c r="AK12" s="1"/>
  <c r="AK280" s="1"/>
  <c r="AK296" s="1"/>
  <c r="AK509"/>
  <c r="AK513"/>
  <c r="AK533"/>
  <c r="AK537"/>
  <c r="AK541"/>
  <c r="AK561"/>
  <c r="AK565"/>
  <c r="AK506"/>
  <c r="AK510"/>
  <c r="AK514"/>
  <c r="AK534"/>
  <c r="AK538"/>
  <c r="AK558"/>
  <c r="AK562"/>
  <c r="AK566"/>
  <c r="AK49"/>
  <c r="AK281" s="1"/>
  <c r="AK297" s="1"/>
  <c r="AJ16"/>
  <c r="AJ565" i="7"/>
  <c r="AK562" s="1"/>
  <c r="AK730" i="10"/>
  <c r="AK715" s="1"/>
  <c r="AK67" s="1"/>
  <c r="AI291"/>
  <c r="AJ633"/>
  <c r="AJ14"/>
  <c r="AL741"/>
  <c r="AL740"/>
  <c r="AL739"/>
  <c r="AL738"/>
  <c r="AL737"/>
  <c r="AL736"/>
  <c r="AL735"/>
  <c r="AL734"/>
  <c r="AL732"/>
  <c r="AL746"/>
  <c r="AL729"/>
  <c r="AL728"/>
  <c r="AL727"/>
  <c r="AL726"/>
  <c r="AL725"/>
  <c r="AL724"/>
  <c r="AL723"/>
  <c r="AL722"/>
  <c r="AL721"/>
  <c r="AL720"/>
  <c r="AL709"/>
  <c r="AL708"/>
  <c r="AL707"/>
  <c r="AL706"/>
  <c r="AL705"/>
  <c r="AL704"/>
  <c r="AL703"/>
  <c r="AL701"/>
  <c r="AL700"/>
  <c r="AL697"/>
  <c r="AL696"/>
  <c r="AL695"/>
  <c r="AL694"/>
  <c r="AL693"/>
  <c r="AL692"/>
  <c r="AL691"/>
  <c r="AL690"/>
  <c r="AL689"/>
  <c r="AL688"/>
  <c r="AL677"/>
  <c r="AL676"/>
  <c r="AL675"/>
  <c r="AL674"/>
  <c r="AL673"/>
  <c r="AL672"/>
  <c r="AL671"/>
  <c r="AL669"/>
  <c r="AL668"/>
  <c r="AL665"/>
  <c r="AL664"/>
  <c r="AL663"/>
  <c r="AL662"/>
  <c r="AL661"/>
  <c r="AL660"/>
  <c r="AL659"/>
  <c r="AL658"/>
  <c r="AL657"/>
  <c r="AL656"/>
  <c r="AL639"/>
  <c r="AL590"/>
  <c r="AL591" s="1"/>
  <c r="AL584"/>
  <c r="AL585" s="1"/>
  <c r="AL501"/>
  <c r="AL432"/>
  <c r="AL430"/>
  <c r="AL428"/>
  <c r="AL426"/>
  <c r="AL424"/>
  <c r="AL406"/>
  <c r="AL404"/>
  <c r="AL402"/>
  <c r="AL400"/>
  <c r="AL398"/>
  <c r="AL381"/>
  <c r="AL379"/>
  <c r="AL377"/>
  <c r="AL375"/>
  <c r="AL373"/>
  <c r="AL354"/>
  <c r="AL353"/>
  <c r="AL352"/>
  <c r="AL351"/>
  <c r="AL350"/>
  <c r="AL349"/>
  <c r="AL488"/>
  <c r="AL487"/>
  <c r="AL486"/>
  <c r="AL485"/>
  <c r="AL484"/>
  <c r="AL483"/>
  <c r="AL431"/>
  <c r="AL429"/>
  <c r="AL427"/>
  <c r="AL425"/>
  <c r="AL423"/>
  <c r="AL405"/>
  <c r="AL403"/>
  <c r="AL401"/>
  <c r="AL399"/>
  <c r="AL397"/>
  <c r="AL380"/>
  <c r="AL378"/>
  <c r="AL376"/>
  <c r="AL374"/>
  <c r="AL372"/>
  <c r="AL367"/>
  <c r="AL250"/>
  <c r="AL222"/>
  <c r="AL40"/>
  <c r="AL33"/>
  <c r="AL35" s="1"/>
  <c r="AL37" s="1"/>
  <c r="AL30"/>
  <c r="AL26"/>
  <c r="AL25"/>
  <c r="AL23"/>
  <c r="AL19"/>
  <c r="AL5"/>
  <c r="AM2"/>
  <c r="AM750" s="1"/>
  <c r="AK368"/>
  <c r="AK507"/>
  <c r="AK511"/>
  <c r="AK515"/>
  <c r="AK535"/>
  <c r="AK539"/>
  <c r="AK559"/>
  <c r="AK563"/>
  <c r="AK567"/>
  <c r="AK508"/>
  <c r="AK512"/>
  <c r="AK532"/>
  <c r="AK536"/>
  <c r="AK540"/>
  <c r="AK560"/>
  <c r="AK564"/>
  <c r="AK502"/>
  <c r="AJ17"/>
  <c r="AJ129"/>
  <c r="AI18"/>
  <c r="AI20" s="1"/>
  <c r="AI44" s="1"/>
  <c r="AI308"/>
  <c r="AH18" i="8"/>
  <c r="AH20" s="1"/>
  <c r="AE229"/>
  <c r="AE230" s="1"/>
  <c r="B69"/>
  <c r="R196" i="7"/>
  <c r="R197" s="1"/>
  <c r="K157"/>
  <c r="K158" s="1"/>
  <c r="F196"/>
  <c r="F197" s="1"/>
  <c r="D53"/>
  <c r="AF196"/>
  <c r="AF197" s="1"/>
  <c r="AD53"/>
  <c r="AD157"/>
  <c r="AD158" s="1"/>
  <c r="AA196"/>
  <c r="AA197" s="1"/>
  <c r="X196"/>
  <c r="X197" s="1"/>
  <c r="W53"/>
  <c r="V196"/>
  <c r="V197" s="1"/>
  <c r="S157"/>
  <c r="S158" s="1"/>
  <c r="N157"/>
  <c r="N158" s="1"/>
  <c r="J196"/>
  <c r="J197" s="1"/>
  <c r="I53"/>
  <c r="P157"/>
  <c r="P158" s="1"/>
  <c r="L157"/>
  <c r="L158" s="1"/>
  <c r="H157"/>
  <c r="H158" s="1"/>
  <c r="AC229" i="8"/>
  <c r="AC230" s="1"/>
  <c r="AA229"/>
  <c r="AA230" s="1"/>
  <c r="W229"/>
  <c r="W230" s="1"/>
  <c r="U267"/>
  <c r="U268" s="1"/>
  <c r="AK11"/>
  <c r="J267"/>
  <c r="J268" s="1"/>
  <c r="AI598"/>
  <c r="AI601" s="1"/>
  <c r="AE267"/>
  <c r="AE268" s="1"/>
  <c r="AB267"/>
  <c r="AB268" s="1"/>
  <c r="Z267"/>
  <c r="Z268" s="1"/>
  <c r="R229"/>
  <c r="R230" s="1"/>
  <c r="M267"/>
  <c r="M268" s="1"/>
  <c r="L229"/>
  <c r="L230" s="1"/>
  <c r="H229"/>
  <c r="H230" s="1"/>
  <c r="AH41"/>
  <c r="K53" i="7"/>
  <c r="U196"/>
  <c r="U197" s="1"/>
  <c r="AD229" i="8"/>
  <c r="AD230" s="1"/>
  <c r="Y229"/>
  <c r="Y230" s="1"/>
  <c r="X229"/>
  <c r="X230" s="1"/>
  <c r="V267"/>
  <c r="V268" s="1"/>
  <c r="T229"/>
  <c r="T230" s="1"/>
  <c r="S229"/>
  <c r="S230" s="1"/>
  <c r="P267"/>
  <c r="P268" s="1"/>
  <c r="N267"/>
  <c r="N268" s="1"/>
  <c r="I229"/>
  <c r="I230" s="1"/>
  <c r="F267"/>
  <c r="F268" s="1"/>
  <c r="D229"/>
  <c r="D230" s="1"/>
  <c r="AE157" i="7"/>
  <c r="AE158" s="1"/>
  <c r="AE53"/>
  <c r="AC196"/>
  <c r="AC197" s="1"/>
  <c r="Z157"/>
  <c r="Z158" s="1"/>
  <c r="Z53"/>
  <c r="Y196"/>
  <c r="Y197" s="1"/>
  <c r="Q229" i="8"/>
  <c r="Q230" s="1"/>
  <c r="Q157" i="7"/>
  <c r="Q158" s="1"/>
  <c r="Q53"/>
  <c r="O229" i="8"/>
  <c r="O230" s="1"/>
  <c r="O53" i="7"/>
  <c r="O157"/>
  <c r="O158" s="1"/>
  <c r="K267" i="8"/>
  <c r="K268" s="1"/>
  <c r="G267"/>
  <c r="G268" s="1"/>
  <c r="G196" i="7"/>
  <c r="G197" s="1"/>
  <c r="E267" i="8"/>
  <c r="E268" s="1"/>
  <c r="E196" i="7"/>
  <c r="E197" s="1"/>
  <c r="C196"/>
  <c r="C267" i="8"/>
  <c r="AC267"/>
  <c r="AC268" s="1"/>
  <c r="AB229"/>
  <c r="AB230" s="1"/>
  <c r="Z229"/>
  <c r="Z230" s="1"/>
  <c r="W267"/>
  <c r="W268" s="1"/>
  <c r="R157" i="7"/>
  <c r="R158" s="1"/>
  <c r="R53"/>
  <c r="L267" i="8"/>
  <c r="L268" s="1"/>
  <c r="K196" i="7"/>
  <c r="K197" s="1"/>
  <c r="H267" i="8"/>
  <c r="H268" s="1"/>
  <c r="F53" i="7"/>
  <c r="D196"/>
  <c r="D197" s="1"/>
  <c r="AF157"/>
  <c r="AF158" s="1"/>
  <c r="AF53"/>
  <c r="AD196"/>
  <c r="AD197" s="1"/>
  <c r="AA53"/>
  <c r="X53"/>
  <c r="X157"/>
  <c r="X158" s="1"/>
  <c r="W196"/>
  <c r="W197" s="1"/>
  <c r="V53"/>
  <c r="V157"/>
  <c r="V158" s="1"/>
  <c r="U157"/>
  <c r="U158" s="1"/>
  <c r="U53"/>
  <c r="J53"/>
  <c r="J157"/>
  <c r="J158" s="1"/>
  <c r="I196"/>
  <c r="I197" s="1"/>
  <c r="AD267" i="8"/>
  <c r="AD268" s="1"/>
  <c r="Y267"/>
  <c r="Y268" s="1"/>
  <c r="X267"/>
  <c r="X268" s="1"/>
  <c r="V229"/>
  <c r="V230" s="1"/>
  <c r="T267"/>
  <c r="T268" s="1"/>
  <c r="S267"/>
  <c r="S268" s="1"/>
  <c r="P229"/>
  <c r="P230" s="1"/>
  <c r="N229"/>
  <c r="N230" s="1"/>
  <c r="I267"/>
  <c r="I268" s="1"/>
  <c r="F229"/>
  <c r="F230" s="1"/>
  <c r="D267"/>
  <c r="D268" s="1"/>
  <c r="AE196" i="7"/>
  <c r="AE197" s="1"/>
  <c r="AC157"/>
  <c r="AC158" s="1"/>
  <c r="AC53"/>
  <c r="Z196"/>
  <c r="Z197" s="1"/>
  <c r="Y157"/>
  <c r="Y158" s="1"/>
  <c r="Y53"/>
  <c r="Q267" i="8"/>
  <c r="Q268" s="1"/>
  <c r="Q196" i="7"/>
  <c r="Q197" s="1"/>
  <c r="O267" i="8"/>
  <c r="O268" s="1"/>
  <c r="O196" i="7"/>
  <c r="O197" s="1"/>
  <c r="K229" i="8"/>
  <c r="K230" s="1"/>
  <c r="G229"/>
  <c r="G230" s="1"/>
  <c r="G53" i="7"/>
  <c r="G157"/>
  <c r="G158" s="1"/>
  <c r="E229" i="8"/>
  <c r="E230" s="1"/>
  <c r="E53" i="7"/>
  <c r="E157"/>
  <c r="E158" s="1"/>
  <c r="C157"/>
  <c r="C53"/>
  <c r="C229" i="8"/>
  <c r="AI653"/>
  <c r="AI638" s="1"/>
  <c r="AI61" s="1"/>
  <c r="AI27"/>
  <c r="AH594"/>
  <c r="AH72"/>
  <c r="AH107"/>
  <c r="AJ696"/>
  <c r="AJ695"/>
  <c r="AJ694"/>
  <c r="AJ693"/>
  <c r="AJ692"/>
  <c r="AJ691"/>
  <c r="AJ690"/>
  <c r="AJ689"/>
  <c r="AJ701"/>
  <c r="AJ687"/>
  <c r="AJ684"/>
  <c r="AJ683"/>
  <c r="AJ682"/>
  <c r="AJ681"/>
  <c r="AJ680"/>
  <c r="AJ679"/>
  <c r="AJ678"/>
  <c r="AJ677"/>
  <c r="AJ676"/>
  <c r="AJ675"/>
  <c r="AJ664"/>
  <c r="AJ663"/>
  <c r="AJ662"/>
  <c r="AJ661"/>
  <c r="AJ660"/>
  <c r="AJ659"/>
  <c r="AJ658"/>
  <c r="AJ656"/>
  <c r="AJ655"/>
  <c r="AJ652"/>
  <c r="AJ651"/>
  <c r="AJ650"/>
  <c r="AJ649"/>
  <c r="AJ648"/>
  <c r="AJ647"/>
  <c r="AJ646"/>
  <c r="AJ645"/>
  <c r="AJ644"/>
  <c r="AJ643"/>
  <c r="AJ632"/>
  <c r="AJ631"/>
  <c r="AJ630"/>
  <c r="AJ629"/>
  <c r="AJ628"/>
  <c r="AJ627"/>
  <c r="AJ626"/>
  <c r="AJ624"/>
  <c r="AJ623"/>
  <c r="AJ620"/>
  <c r="AJ619"/>
  <c r="AJ618"/>
  <c r="AJ617"/>
  <c r="AJ616"/>
  <c r="AJ615"/>
  <c r="AJ614"/>
  <c r="AJ613"/>
  <c r="AJ612"/>
  <c r="AJ611"/>
  <c r="AJ551"/>
  <c r="AJ552" s="1"/>
  <c r="AJ545"/>
  <c r="AJ546" s="1"/>
  <c r="AJ600"/>
  <c r="AJ54" s="1"/>
  <c r="AJ462"/>
  <c r="AJ393"/>
  <c r="AJ391"/>
  <c r="AJ389"/>
  <c r="AJ387"/>
  <c r="AJ385"/>
  <c r="AJ367"/>
  <c r="AJ365"/>
  <c r="AJ363"/>
  <c r="AJ361"/>
  <c r="AJ359"/>
  <c r="AJ342"/>
  <c r="AJ340"/>
  <c r="AJ338"/>
  <c r="AJ449"/>
  <c r="AJ448"/>
  <c r="AJ447"/>
  <c r="AJ446"/>
  <c r="AJ445"/>
  <c r="AJ444"/>
  <c r="AJ392"/>
  <c r="AJ390"/>
  <c r="AJ388"/>
  <c r="AJ386"/>
  <c r="AJ384"/>
  <c r="AJ366"/>
  <c r="AJ364"/>
  <c r="AJ362"/>
  <c r="AJ360"/>
  <c r="AJ358"/>
  <c r="AJ341"/>
  <c r="AJ339"/>
  <c r="AJ337"/>
  <c r="AJ335"/>
  <c r="AJ333"/>
  <c r="AJ328"/>
  <c r="AJ336"/>
  <c r="AJ315"/>
  <c r="AJ314"/>
  <c r="AJ313"/>
  <c r="AJ312"/>
  <c r="AJ311"/>
  <c r="AJ310"/>
  <c r="AJ334"/>
  <c r="AJ238"/>
  <c r="AJ203"/>
  <c r="AJ40"/>
  <c r="AK2"/>
  <c r="AJ33"/>
  <c r="AJ35" s="1"/>
  <c r="AJ37" s="1"/>
  <c r="AJ39" s="1"/>
  <c r="AJ30"/>
  <c r="AJ26"/>
  <c r="AJ25"/>
  <c r="AJ23"/>
  <c r="AJ19"/>
  <c r="AJ5"/>
  <c r="AI329"/>
  <c r="AI469"/>
  <c r="AI467"/>
  <c r="AI470"/>
  <c r="AI474"/>
  <c r="AI494"/>
  <c r="AI498"/>
  <c r="AI502"/>
  <c r="AI522"/>
  <c r="AI526"/>
  <c r="AI473"/>
  <c r="AI493"/>
  <c r="AI497"/>
  <c r="AI501"/>
  <c r="AI521"/>
  <c r="AI525"/>
  <c r="AI463"/>
  <c r="AI237"/>
  <c r="AI202"/>
  <c r="AI48"/>
  <c r="AH63"/>
  <c r="AG229"/>
  <c r="AG230" s="1"/>
  <c r="AI621"/>
  <c r="AI606" s="1"/>
  <c r="AI60" s="1"/>
  <c r="AI685"/>
  <c r="AI670" s="1"/>
  <c r="AI62" s="1"/>
  <c r="AH96"/>
  <c r="AI591"/>
  <c r="AI592" s="1"/>
  <c r="AI17" s="1"/>
  <c r="AI583"/>
  <c r="AI584" s="1"/>
  <c r="AI15" s="1"/>
  <c r="AI587"/>
  <c r="AI588" s="1"/>
  <c r="AI16" s="1"/>
  <c r="AI579"/>
  <c r="AI580" s="1"/>
  <c r="AI14" s="1"/>
  <c r="AI553"/>
  <c r="AI554" s="1"/>
  <c r="AI95" s="1"/>
  <c r="AI547"/>
  <c r="AI548" s="1"/>
  <c r="AI94" s="1"/>
  <c r="AI241" s="1"/>
  <c r="AI108"/>
  <c r="AI29"/>
  <c r="AI31" s="1"/>
  <c r="AI10"/>
  <c r="AI12" s="1"/>
  <c r="AI468"/>
  <c r="AI472"/>
  <c r="AI476"/>
  <c r="AI496"/>
  <c r="AI500"/>
  <c r="AI520"/>
  <c r="AI524"/>
  <c r="AI528"/>
  <c r="AI471"/>
  <c r="AI475"/>
  <c r="AI495"/>
  <c r="AI499"/>
  <c r="AI519"/>
  <c r="AI523"/>
  <c r="AI527"/>
  <c r="AG267"/>
  <c r="AG268" s="1"/>
  <c r="AK550" i="7"/>
  <c r="AK548"/>
  <c r="AK544"/>
  <c r="AK535"/>
  <c r="AK534"/>
  <c r="AK545" s="1"/>
  <c r="AK528"/>
  <c r="AK527"/>
  <c r="AL11"/>
  <c r="AH157"/>
  <c r="AH158" s="1"/>
  <c r="AI195"/>
  <c r="AI156"/>
  <c r="AI52"/>
  <c r="AI105"/>
  <c r="AI523"/>
  <c r="AI192"/>
  <c r="AI153"/>
  <c r="AI49"/>
  <c r="AI193"/>
  <c r="AI154"/>
  <c r="AI50"/>
  <c r="AI194"/>
  <c r="AI155"/>
  <c r="AI51"/>
  <c r="AG168"/>
  <c r="AG107"/>
  <c r="AI540"/>
  <c r="AI80"/>
  <c r="AI81" s="1"/>
  <c r="AI119"/>
  <c r="AI20"/>
  <c r="AI43" s="1"/>
  <c r="AK665"/>
  <c r="AK660"/>
  <c r="AK659"/>
  <c r="AK658"/>
  <c r="AK657"/>
  <c r="AK656"/>
  <c r="AK655"/>
  <c r="AK654"/>
  <c r="AK653"/>
  <c r="AK648"/>
  <c r="AK647"/>
  <c r="AK646"/>
  <c r="AK645"/>
  <c r="AK644"/>
  <c r="AK643"/>
  <c r="AK642"/>
  <c r="AK641"/>
  <c r="AK651"/>
  <c r="AK640"/>
  <c r="AK616"/>
  <c r="AK615"/>
  <c r="AK614"/>
  <c r="AK613"/>
  <c r="AK612"/>
  <c r="AK611"/>
  <c r="AK610"/>
  <c r="AK639"/>
  <c r="AK628"/>
  <c r="AK627"/>
  <c r="AK626"/>
  <c r="AK625"/>
  <c r="AK624"/>
  <c r="AK623"/>
  <c r="AK622"/>
  <c r="AK620"/>
  <c r="AK619"/>
  <c r="AK609"/>
  <c r="AK584"/>
  <c r="AK583"/>
  <c r="AK582"/>
  <c r="AK581"/>
  <c r="AK580"/>
  <c r="AK579"/>
  <c r="AK608"/>
  <c r="AK607"/>
  <c r="AK596"/>
  <c r="AK595"/>
  <c r="AK594"/>
  <c r="AK593"/>
  <c r="AK592"/>
  <c r="AK591"/>
  <c r="AK590"/>
  <c r="AK588"/>
  <c r="AK587"/>
  <c r="AK578"/>
  <c r="AK564"/>
  <c r="AK62" s="1"/>
  <c r="AK577"/>
  <c r="AK576"/>
  <c r="AK575"/>
  <c r="AK480"/>
  <c r="AK481" s="1"/>
  <c r="AK474"/>
  <c r="AK475" s="1"/>
  <c r="AK378"/>
  <c r="AK377"/>
  <c r="AK376"/>
  <c r="AK375"/>
  <c r="AK374"/>
  <c r="AK373"/>
  <c r="AK321"/>
  <c r="AK319"/>
  <c r="AK317"/>
  <c r="AK315"/>
  <c r="AK313"/>
  <c r="AK295"/>
  <c r="AK293"/>
  <c r="AK291"/>
  <c r="AK289"/>
  <c r="AK287"/>
  <c r="AK391"/>
  <c r="AK322"/>
  <c r="AK320"/>
  <c r="AK318"/>
  <c r="AK316"/>
  <c r="AK314"/>
  <c r="AK296"/>
  <c r="AK294"/>
  <c r="AK292"/>
  <c r="AK290"/>
  <c r="AK288"/>
  <c r="AK271"/>
  <c r="AK269"/>
  <c r="AK267"/>
  <c r="AK265"/>
  <c r="AK263"/>
  <c r="AK268"/>
  <c r="AK264"/>
  <c r="AK167"/>
  <c r="AK131"/>
  <c r="AK270"/>
  <c r="AK266"/>
  <c r="AK262"/>
  <c r="AK257"/>
  <c r="AK244"/>
  <c r="AK243"/>
  <c r="AK242"/>
  <c r="AK241"/>
  <c r="AK240"/>
  <c r="AK239"/>
  <c r="AK40"/>
  <c r="AK33"/>
  <c r="AK35" s="1"/>
  <c r="AK37" s="1"/>
  <c r="AK39" s="1"/>
  <c r="AK30"/>
  <c r="AK26"/>
  <c r="AK25"/>
  <c r="AK23"/>
  <c r="AK19"/>
  <c r="AK5"/>
  <c r="AL2"/>
  <c r="AJ397"/>
  <c r="AJ405"/>
  <c r="AJ403"/>
  <c r="AJ396"/>
  <c r="AJ400"/>
  <c r="AJ404"/>
  <c r="AJ424"/>
  <c r="AJ428"/>
  <c r="AJ448"/>
  <c r="AJ452"/>
  <c r="AJ456"/>
  <c r="AJ425"/>
  <c r="AJ429"/>
  <c r="AJ449"/>
  <c r="AJ453"/>
  <c r="AJ457"/>
  <c r="AJ549"/>
  <c r="AJ543"/>
  <c r="AK556"/>
  <c r="AJ166"/>
  <c r="AJ130"/>
  <c r="AJ55"/>
  <c r="AJ165"/>
  <c r="AJ129"/>
  <c r="AJ54"/>
  <c r="AH53"/>
  <c r="AH196"/>
  <c r="AH197" s="1"/>
  <c r="AJ27"/>
  <c r="AJ61"/>
  <c r="AJ585"/>
  <c r="AJ570" s="1"/>
  <c r="AJ68" s="1"/>
  <c r="AJ617"/>
  <c r="AJ602" s="1"/>
  <c r="AJ69" s="1"/>
  <c r="AJ649"/>
  <c r="AJ634" s="1"/>
  <c r="AJ70" s="1"/>
  <c r="AJ516"/>
  <c r="AJ517" s="1"/>
  <c r="AJ508"/>
  <c r="AJ509" s="1"/>
  <c r="AJ14" s="1"/>
  <c r="AJ18" s="1"/>
  <c r="AJ482"/>
  <c r="AJ483" s="1"/>
  <c r="AJ104" s="1"/>
  <c r="AJ476"/>
  <c r="AJ477" s="1"/>
  <c r="AJ103" s="1"/>
  <c r="AJ170" s="1"/>
  <c r="AJ520"/>
  <c r="AJ521" s="1"/>
  <c r="AJ512"/>
  <c r="AJ513" s="1"/>
  <c r="AJ120"/>
  <c r="AJ29"/>
  <c r="AJ31" s="1"/>
  <c r="AJ41" s="1"/>
  <c r="AJ10"/>
  <c r="AJ12" s="1"/>
  <c r="AJ401"/>
  <c r="AJ258"/>
  <c r="AJ399"/>
  <c r="AJ398"/>
  <c r="AJ402"/>
  <c r="AJ422"/>
  <c r="AJ426"/>
  <c r="AJ430"/>
  <c r="AJ450"/>
  <c r="AJ454"/>
  <c r="AJ392"/>
  <c r="AJ423"/>
  <c r="AJ427"/>
  <c r="AJ431"/>
  <c r="AJ451"/>
  <c r="AJ455"/>
  <c r="AH164"/>
  <c r="AH128"/>
  <c r="AH132" s="1"/>
  <c r="AH47"/>
  <c r="AH56" s="1"/>
  <c r="AG56"/>
  <c r="AI71"/>
  <c r="B77" i="2"/>
  <c r="C223"/>
  <c r="C260"/>
  <c r="C224"/>
  <c r="C261"/>
  <c r="C262"/>
  <c r="C577"/>
  <c r="B442"/>
  <c r="E421" s="1"/>
  <c r="B308"/>
  <c r="E287" s="1"/>
  <c r="C252"/>
  <c r="C213"/>
  <c r="A15"/>
  <c r="A50" s="1"/>
  <c r="A16"/>
  <c r="A51" s="1"/>
  <c r="A17"/>
  <c r="A52" s="1"/>
  <c r="A14"/>
  <c r="A49" s="1"/>
  <c r="AG171" i="7" l="1"/>
  <c r="AG199" s="1"/>
  <c r="AG200" s="1"/>
  <c r="AG108" s="1"/>
  <c r="AG109" s="1"/>
  <c r="AH160"/>
  <c r="AH161" s="1"/>
  <c r="AH107" s="1"/>
  <c r="AG236" i="8"/>
  <c r="AG47"/>
  <c r="AG49" s="1"/>
  <c r="AK532" i="7"/>
  <c r="AK533" s="1"/>
  <c r="AL530"/>
  <c r="AL531"/>
  <c r="AL519"/>
  <c r="AL515"/>
  <c r="AL511"/>
  <c r="AL507"/>
  <c r="AL559"/>
  <c r="AL558"/>
  <c r="AL557"/>
  <c r="AM182" i="10"/>
  <c r="AM199" s="1"/>
  <c r="AM282"/>
  <c r="AM298" s="1"/>
  <c r="AL56"/>
  <c r="AL85"/>
  <c r="AL86" s="1"/>
  <c r="AM629"/>
  <c r="AM625"/>
  <c r="AM621"/>
  <c r="AM617"/>
  <c r="AK590" i="8"/>
  <c r="AK586"/>
  <c r="AK582"/>
  <c r="AK578"/>
  <c r="AH43"/>
  <c r="AH236" s="1"/>
  <c r="AK65" i="10"/>
  <c r="AK68" s="1"/>
  <c r="AK179" s="1"/>
  <c r="AK196" s="1"/>
  <c r="AJ179"/>
  <c r="AJ196" s="1"/>
  <c r="AL58"/>
  <c r="AL180"/>
  <c r="AL197" s="1"/>
  <c r="AL141"/>
  <c r="AL153" s="1"/>
  <c r="AL249"/>
  <c r="AL221"/>
  <c r="AK161"/>
  <c r="AK253" s="1"/>
  <c r="AK162"/>
  <c r="AH122"/>
  <c r="AK290"/>
  <c r="AK307"/>
  <c r="AK289"/>
  <c r="AK306"/>
  <c r="AK288"/>
  <c r="AK305"/>
  <c r="AK287"/>
  <c r="AK304"/>
  <c r="AK283"/>
  <c r="AK299" s="1"/>
  <c r="AL39"/>
  <c r="AJ640"/>
  <c r="AK637" s="1"/>
  <c r="AL59"/>
  <c r="AN11"/>
  <c r="AM41"/>
  <c r="AM183" s="1"/>
  <c r="AM200" s="1"/>
  <c r="AM645"/>
  <c r="AM181" s="1"/>
  <c r="AM198" s="1"/>
  <c r="AL666"/>
  <c r="AL651" s="1"/>
  <c r="AL730"/>
  <c r="AL715" s="1"/>
  <c r="AL67" s="1"/>
  <c r="AI18" i="8"/>
  <c r="AI20" s="1"/>
  <c r="AK42" i="10"/>
  <c r="AL698"/>
  <c r="AL683" s="1"/>
  <c r="AL66" s="1"/>
  <c r="AK118"/>
  <c r="AK15"/>
  <c r="AM746"/>
  <c r="AM741"/>
  <c r="AM740"/>
  <c r="AM739"/>
  <c r="AM738"/>
  <c r="AM737"/>
  <c r="AM736"/>
  <c r="AM735"/>
  <c r="AM734"/>
  <c r="AM732"/>
  <c r="AM729"/>
  <c r="AM728"/>
  <c r="AM727"/>
  <c r="AM726"/>
  <c r="AM725"/>
  <c r="AM724"/>
  <c r="AM723"/>
  <c r="AM722"/>
  <c r="AM721"/>
  <c r="AM697"/>
  <c r="AM696"/>
  <c r="AM695"/>
  <c r="AM694"/>
  <c r="AM693"/>
  <c r="AM692"/>
  <c r="AM691"/>
  <c r="AM690"/>
  <c r="AM720"/>
  <c r="AM709"/>
  <c r="AM708"/>
  <c r="AM707"/>
  <c r="AM706"/>
  <c r="AM705"/>
  <c r="AM704"/>
  <c r="AM703"/>
  <c r="AM701"/>
  <c r="AM700"/>
  <c r="AM665"/>
  <c r="AM664"/>
  <c r="AM663"/>
  <c r="AM662"/>
  <c r="AM661"/>
  <c r="AM660"/>
  <c r="AM659"/>
  <c r="AM689"/>
  <c r="AM688"/>
  <c r="AM677"/>
  <c r="AM676"/>
  <c r="AM675"/>
  <c r="AM674"/>
  <c r="AM673"/>
  <c r="AM672"/>
  <c r="AM670"/>
  <c r="AM669"/>
  <c r="AM668"/>
  <c r="AM657"/>
  <c r="AM590"/>
  <c r="AM591" s="1"/>
  <c r="AM584"/>
  <c r="AM585" s="1"/>
  <c r="AM658"/>
  <c r="AM656"/>
  <c r="AM639"/>
  <c r="AM488"/>
  <c r="AM487"/>
  <c r="AM486"/>
  <c r="AM485"/>
  <c r="AM484"/>
  <c r="AM483"/>
  <c r="AM431"/>
  <c r="AM429"/>
  <c r="AM427"/>
  <c r="AM425"/>
  <c r="AM423"/>
  <c r="AM405"/>
  <c r="AM403"/>
  <c r="AM401"/>
  <c r="AM399"/>
  <c r="AM397"/>
  <c r="AM380"/>
  <c r="AM378"/>
  <c r="AM376"/>
  <c r="AM374"/>
  <c r="AM372"/>
  <c r="AM367"/>
  <c r="AM501"/>
  <c r="AM432"/>
  <c r="AM430"/>
  <c r="AM428"/>
  <c r="AM426"/>
  <c r="AM424"/>
  <c r="AM406"/>
  <c r="AM404"/>
  <c r="AM402"/>
  <c r="AM400"/>
  <c r="AM398"/>
  <c r="AM381"/>
  <c r="AM379"/>
  <c r="AM377"/>
  <c r="AM375"/>
  <c r="AM373"/>
  <c r="AM354"/>
  <c r="AM353"/>
  <c r="AM352"/>
  <c r="AM351"/>
  <c r="AM350"/>
  <c r="AM349"/>
  <c r="AM250"/>
  <c r="AM222"/>
  <c r="AM33"/>
  <c r="AM35" s="1"/>
  <c r="AM37" s="1"/>
  <c r="AM30"/>
  <c r="AM26"/>
  <c r="AM25"/>
  <c r="AM23"/>
  <c r="AM19"/>
  <c r="AM40"/>
  <c r="AN2"/>
  <c r="AN750" s="1"/>
  <c r="AM5"/>
  <c r="AL508"/>
  <c r="AL512"/>
  <c r="AL532"/>
  <c r="AL536"/>
  <c r="AL540"/>
  <c r="AL560"/>
  <c r="AL564"/>
  <c r="AL502"/>
  <c r="AL368"/>
  <c r="AL507"/>
  <c r="AL511"/>
  <c r="AL515"/>
  <c r="AL535"/>
  <c r="AL539"/>
  <c r="AL559"/>
  <c r="AL563"/>
  <c r="AL567"/>
  <c r="AL27"/>
  <c r="AJ18"/>
  <c r="AJ20" s="1"/>
  <c r="AJ44" s="1"/>
  <c r="AJ308"/>
  <c r="AI48"/>
  <c r="AI50" s="1"/>
  <c r="AK633"/>
  <c r="AK14"/>
  <c r="AG122"/>
  <c r="AL630"/>
  <c r="AL631" s="1"/>
  <c r="AL622"/>
  <c r="AL623" s="1"/>
  <c r="AL626"/>
  <c r="AL627" s="1"/>
  <c r="AL618"/>
  <c r="AL619" s="1"/>
  <c r="AL592"/>
  <c r="AL593" s="1"/>
  <c r="AL586"/>
  <c r="AL587" s="1"/>
  <c r="AL130"/>
  <c r="AL29"/>
  <c r="AL31" s="1"/>
  <c r="AL10"/>
  <c r="AL12" s="1"/>
  <c r="AL280" s="1"/>
  <c r="AL296" s="1"/>
  <c r="AL506"/>
  <c r="AL510"/>
  <c r="AL514"/>
  <c r="AL534"/>
  <c r="AL538"/>
  <c r="AL558"/>
  <c r="AL562"/>
  <c r="AL566"/>
  <c r="AL509"/>
  <c r="AL513"/>
  <c r="AL533"/>
  <c r="AL537"/>
  <c r="AL541"/>
  <c r="AL561"/>
  <c r="AL565"/>
  <c r="AL49"/>
  <c r="AL281" s="1"/>
  <c r="AL297" s="1"/>
  <c r="AK16"/>
  <c r="AK17"/>
  <c r="AK129"/>
  <c r="AJ291"/>
  <c r="AL11" i="8"/>
  <c r="AJ598"/>
  <c r="AJ601" s="1"/>
  <c r="AI41"/>
  <c r="AK565" i="7"/>
  <c r="AL562" s="1"/>
  <c r="AJ653" i="8"/>
  <c r="AJ638" s="1"/>
  <c r="AJ61" s="1"/>
  <c r="AJ621"/>
  <c r="AJ606" s="1"/>
  <c r="AJ60" s="1"/>
  <c r="AJ685"/>
  <c r="AJ670" s="1"/>
  <c r="AJ62" s="1"/>
  <c r="AI96"/>
  <c r="AI72"/>
  <c r="AK701"/>
  <c r="AK696"/>
  <c r="AK695"/>
  <c r="AK694"/>
  <c r="AK693"/>
  <c r="AK692"/>
  <c r="AK691"/>
  <c r="AK690"/>
  <c r="AK689"/>
  <c r="AK687"/>
  <c r="AK684"/>
  <c r="AK683"/>
  <c r="AK682"/>
  <c r="AK681"/>
  <c r="AK680"/>
  <c r="AK679"/>
  <c r="AK678"/>
  <c r="AK677"/>
  <c r="AK676"/>
  <c r="AK675"/>
  <c r="AK664"/>
  <c r="AK662"/>
  <c r="AK660"/>
  <c r="AK658"/>
  <c r="AK652"/>
  <c r="AK651"/>
  <c r="AK650"/>
  <c r="AK649"/>
  <c r="AK648"/>
  <c r="AK647"/>
  <c r="AK646"/>
  <c r="AK645"/>
  <c r="AK644"/>
  <c r="AK643"/>
  <c r="AK663"/>
  <c r="AK661"/>
  <c r="AK659"/>
  <c r="AK656"/>
  <c r="AK655"/>
  <c r="AK620"/>
  <c r="AK619"/>
  <c r="AK618"/>
  <c r="AK617"/>
  <c r="AK616"/>
  <c r="AK615"/>
  <c r="AK614"/>
  <c r="AK613"/>
  <c r="AK612"/>
  <c r="AK611"/>
  <c r="AK632"/>
  <c r="AK631"/>
  <c r="AK630"/>
  <c r="AK629"/>
  <c r="AK628"/>
  <c r="AK627"/>
  <c r="AK626"/>
  <c r="AK624"/>
  <c r="AK623"/>
  <c r="AK600"/>
  <c r="AK54" s="1"/>
  <c r="AK551"/>
  <c r="AK552" s="1"/>
  <c r="AK545"/>
  <c r="AK546" s="1"/>
  <c r="AK449"/>
  <c r="AK448"/>
  <c r="AK447"/>
  <c r="AK446"/>
  <c r="AK445"/>
  <c r="AK444"/>
  <c r="AK392"/>
  <c r="AK390"/>
  <c r="AK388"/>
  <c r="AK386"/>
  <c r="AK384"/>
  <c r="AK366"/>
  <c r="AK364"/>
  <c r="AK362"/>
  <c r="AK360"/>
  <c r="AK358"/>
  <c r="AK341"/>
  <c r="AK339"/>
  <c r="AK337"/>
  <c r="AK462"/>
  <c r="AK393"/>
  <c r="AK391"/>
  <c r="AK389"/>
  <c r="AK387"/>
  <c r="AK385"/>
  <c r="AK367"/>
  <c r="AK365"/>
  <c r="AK363"/>
  <c r="AK361"/>
  <c r="AK359"/>
  <c r="AK342"/>
  <c r="AK340"/>
  <c r="AK338"/>
  <c r="AK336"/>
  <c r="AK334"/>
  <c r="AK335"/>
  <c r="AK238"/>
  <c r="AK203"/>
  <c r="AK333"/>
  <c r="AK328"/>
  <c r="AK315"/>
  <c r="AK314"/>
  <c r="AK313"/>
  <c r="AK312"/>
  <c r="AK311"/>
  <c r="AK310"/>
  <c r="AK33"/>
  <c r="AK35" s="1"/>
  <c r="AK37" s="1"/>
  <c r="AK39" s="1"/>
  <c r="AK30"/>
  <c r="AK26"/>
  <c r="AK25"/>
  <c r="AK23"/>
  <c r="AK19"/>
  <c r="AK5"/>
  <c r="AK40"/>
  <c r="AL2"/>
  <c r="AJ329"/>
  <c r="AJ470"/>
  <c r="AJ467"/>
  <c r="AJ471"/>
  <c r="AJ475"/>
  <c r="AJ495"/>
  <c r="AJ499"/>
  <c r="AJ519"/>
  <c r="AJ523"/>
  <c r="AJ527"/>
  <c r="AJ474"/>
  <c r="AJ494"/>
  <c r="AJ498"/>
  <c r="AJ502"/>
  <c r="AJ522"/>
  <c r="AJ526"/>
  <c r="AJ237"/>
  <c r="AJ202"/>
  <c r="AJ48"/>
  <c r="AJ27"/>
  <c r="AH267"/>
  <c r="AH268" s="1"/>
  <c r="AI107"/>
  <c r="AI594"/>
  <c r="AJ587"/>
  <c r="AJ588" s="1"/>
  <c r="AJ16" s="1"/>
  <c r="AJ579"/>
  <c r="AJ580" s="1"/>
  <c r="AJ14" s="1"/>
  <c r="AJ553"/>
  <c r="AJ554" s="1"/>
  <c r="AJ95" s="1"/>
  <c r="AJ547"/>
  <c r="AJ548" s="1"/>
  <c r="AJ94" s="1"/>
  <c r="AJ241" s="1"/>
  <c r="AJ591"/>
  <c r="AJ592" s="1"/>
  <c r="AJ17" s="1"/>
  <c r="AJ583"/>
  <c r="AJ584" s="1"/>
  <c r="AJ15" s="1"/>
  <c r="AJ108"/>
  <c r="AJ29"/>
  <c r="AJ31" s="1"/>
  <c r="AJ10"/>
  <c r="AJ12" s="1"/>
  <c r="AJ468"/>
  <c r="AJ469"/>
  <c r="AJ473"/>
  <c r="AJ493"/>
  <c r="AJ497"/>
  <c r="AJ501"/>
  <c r="AJ521"/>
  <c r="AJ525"/>
  <c r="AJ463"/>
  <c r="AJ472"/>
  <c r="AJ476"/>
  <c r="AJ496"/>
  <c r="AJ500"/>
  <c r="AJ520"/>
  <c r="AJ524"/>
  <c r="AJ528"/>
  <c r="AI63"/>
  <c r="AG232"/>
  <c r="AG233" s="1"/>
  <c r="AH229"/>
  <c r="AH230" s="1"/>
  <c r="AK649" i="7"/>
  <c r="AK634" s="1"/>
  <c r="AK70" s="1"/>
  <c r="AM11"/>
  <c r="AL550"/>
  <c r="AL548"/>
  <c r="AL544"/>
  <c r="AL535"/>
  <c r="AL534"/>
  <c r="AL545" s="1"/>
  <c r="AL528"/>
  <c r="AL527"/>
  <c r="AK27"/>
  <c r="AJ193"/>
  <c r="AJ154"/>
  <c r="AJ50"/>
  <c r="AJ523"/>
  <c r="AJ192"/>
  <c r="AJ153"/>
  <c r="AJ49"/>
  <c r="AH168"/>
  <c r="AJ119"/>
  <c r="AJ20"/>
  <c r="AJ43" s="1"/>
  <c r="AJ105"/>
  <c r="AK396"/>
  <c r="AK404"/>
  <c r="AK402"/>
  <c r="AK399"/>
  <c r="AK403"/>
  <c r="AK423"/>
  <c r="AK427"/>
  <c r="AK431"/>
  <c r="AK451"/>
  <c r="AK455"/>
  <c r="AK424"/>
  <c r="AK428"/>
  <c r="AK448"/>
  <c r="AK452"/>
  <c r="AK456"/>
  <c r="AK549"/>
  <c r="AK543"/>
  <c r="AL556"/>
  <c r="AI164"/>
  <c r="AI128"/>
  <c r="AI132" s="1"/>
  <c r="AI47"/>
  <c r="AI53"/>
  <c r="AI196"/>
  <c r="AI197" s="1"/>
  <c r="AJ194"/>
  <c r="AJ155"/>
  <c r="AJ51"/>
  <c r="AJ195"/>
  <c r="AJ156"/>
  <c r="AJ52"/>
  <c r="AJ540"/>
  <c r="AJ80"/>
  <c r="AJ81" s="1"/>
  <c r="AL660"/>
  <c r="AL659"/>
  <c r="AL658"/>
  <c r="AL657"/>
  <c r="AL656"/>
  <c r="AL655"/>
  <c r="AL654"/>
  <c r="AL653"/>
  <c r="AL651"/>
  <c r="AL665"/>
  <c r="AL648"/>
  <c r="AL647"/>
  <c r="AL646"/>
  <c r="AL645"/>
  <c r="AL644"/>
  <c r="AL643"/>
  <c r="AL642"/>
  <c r="AL641"/>
  <c r="AL640"/>
  <c r="AL639"/>
  <c r="AL628"/>
  <c r="AL627"/>
  <c r="AL626"/>
  <c r="AL625"/>
  <c r="AL624"/>
  <c r="AL623"/>
  <c r="AL622"/>
  <c r="AL620"/>
  <c r="AL619"/>
  <c r="AL616"/>
  <c r="AL615"/>
  <c r="AL614"/>
  <c r="AL613"/>
  <c r="AL612"/>
  <c r="AL611"/>
  <c r="AL610"/>
  <c r="AL609"/>
  <c r="AL608"/>
  <c r="AL607"/>
  <c r="AL596"/>
  <c r="AL595"/>
  <c r="AL594"/>
  <c r="AL593"/>
  <c r="AL592"/>
  <c r="AL591"/>
  <c r="AL590"/>
  <c r="AL588"/>
  <c r="AL587"/>
  <c r="AL584"/>
  <c r="AL583"/>
  <c r="AL582"/>
  <c r="AL581"/>
  <c r="AL580"/>
  <c r="AL579"/>
  <c r="AL578"/>
  <c r="AL577"/>
  <c r="AL576"/>
  <c r="AL575"/>
  <c r="AL480"/>
  <c r="AL481" s="1"/>
  <c r="AL474"/>
  <c r="AL475" s="1"/>
  <c r="AL564"/>
  <c r="AL62" s="1"/>
  <c r="AL391"/>
  <c r="AL322"/>
  <c r="AL320"/>
  <c r="AL318"/>
  <c r="AL316"/>
  <c r="AL314"/>
  <c r="AL296"/>
  <c r="AL294"/>
  <c r="AL292"/>
  <c r="AL290"/>
  <c r="AL288"/>
  <c r="AL378"/>
  <c r="AL377"/>
  <c r="AL376"/>
  <c r="AL375"/>
  <c r="AL374"/>
  <c r="AL373"/>
  <c r="AL321"/>
  <c r="AL319"/>
  <c r="AL317"/>
  <c r="AL315"/>
  <c r="AL313"/>
  <c r="AL295"/>
  <c r="AL293"/>
  <c r="AL291"/>
  <c r="AL289"/>
  <c r="AL287"/>
  <c r="AL270"/>
  <c r="AL268"/>
  <c r="AL266"/>
  <c r="AL264"/>
  <c r="AL262"/>
  <c r="AL257"/>
  <c r="AL271"/>
  <c r="AL267"/>
  <c r="AL263"/>
  <c r="AL244"/>
  <c r="AL243"/>
  <c r="AL242"/>
  <c r="AL241"/>
  <c r="AL240"/>
  <c r="AL239"/>
  <c r="AL269"/>
  <c r="AL265"/>
  <c r="AL167"/>
  <c r="AL131"/>
  <c r="AL33"/>
  <c r="AL35" s="1"/>
  <c r="AL37" s="1"/>
  <c r="AL39" s="1"/>
  <c r="AL30"/>
  <c r="AL26"/>
  <c r="AL25"/>
  <c r="AL23"/>
  <c r="AL19"/>
  <c r="AL40"/>
  <c r="AM2"/>
  <c r="AL5"/>
  <c r="AK520"/>
  <c r="AK521" s="1"/>
  <c r="AK512"/>
  <c r="AK513" s="1"/>
  <c r="AK516"/>
  <c r="AK517" s="1"/>
  <c r="AK508"/>
  <c r="AK509" s="1"/>
  <c r="AK14" s="1"/>
  <c r="AK18" s="1"/>
  <c r="AK482"/>
  <c r="AK483" s="1"/>
  <c r="AK104" s="1"/>
  <c r="AK476"/>
  <c r="AK477" s="1"/>
  <c r="AK103" s="1"/>
  <c r="AK170" s="1"/>
  <c r="AK120"/>
  <c r="AK29"/>
  <c r="AK31" s="1"/>
  <c r="AK10"/>
  <c r="AK12" s="1"/>
  <c r="AK258"/>
  <c r="AK400"/>
  <c r="AK398"/>
  <c r="AK397"/>
  <c r="AK401"/>
  <c r="AK405"/>
  <c r="AK425"/>
  <c r="AK429"/>
  <c r="AK449"/>
  <c r="AK453"/>
  <c r="AK457"/>
  <c r="AK422"/>
  <c r="AK426"/>
  <c r="AK430"/>
  <c r="AK450"/>
  <c r="AK454"/>
  <c r="AK392"/>
  <c r="AK166"/>
  <c r="AK130"/>
  <c r="AK55"/>
  <c r="AK165"/>
  <c r="AK129"/>
  <c r="AK54"/>
  <c r="AJ71"/>
  <c r="AK61"/>
  <c r="AK585"/>
  <c r="AK570" s="1"/>
  <c r="AK68" s="1"/>
  <c r="AK617"/>
  <c r="AK602" s="1"/>
  <c r="AK69" s="1"/>
  <c r="AI157"/>
  <c r="AI158" s="1"/>
  <c r="C225" i="2"/>
  <c r="C264"/>
  <c r="C2"/>
  <c r="AH171" i="7" l="1"/>
  <c r="AH199" s="1"/>
  <c r="AH200" s="1"/>
  <c r="AH108" s="1"/>
  <c r="AH109" s="1"/>
  <c r="AL532"/>
  <c r="AL533" s="1"/>
  <c r="AM530"/>
  <c r="AM531"/>
  <c r="AM519"/>
  <c r="AM515"/>
  <c r="AM511"/>
  <c r="AM507"/>
  <c r="AM559"/>
  <c r="AM558"/>
  <c r="AM557"/>
  <c r="C593" i="2"/>
  <c r="C589"/>
  <c r="C585"/>
  <c r="C581"/>
  <c r="AN182" i="10"/>
  <c r="AN199" s="1"/>
  <c r="AN282"/>
  <c r="AN298" s="1"/>
  <c r="AH201" i="8"/>
  <c r="AH204" s="1"/>
  <c r="AH232" s="1"/>
  <c r="AH233" s="1"/>
  <c r="AH98" s="1"/>
  <c r="AH47"/>
  <c r="AH49" s="1"/>
  <c r="AM85" i="10"/>
  <c r="AM86" s="1"/>
  <c r="AM56"/>
  <c r="AK75"/>
  <c r="AN629"/>
  <c r="AN625"/>
  <c r="AN621"/>
  <c r="AN617"/>
  <c r="AL578" i="8"/>
  <c r="AL590"/>
  <c r="AL586"/>
  <c r="AL582"/>
  <c r="AJ41"/>
  <c r="AL65" i="10"/>
  <c r="AL68" s="1"/>
  <c r="AL75" s="1"/>
  <c r="AM58"/>
  <c r="AM180"/>
  <c r="AM197" s="1"/>
  <c r="AM141"/>
  <c r="AM153" s="1"/>
  <c r="AM249"/>
  <c r="AM221"/>
  <c r="AK41" i="7"/>
  <c r="AI43" i="8"/>
  <c r="AI201" s="1"/>
  <c r="AI204" s="1"/>
  <c r="AL162" i="10"/>
  <c r="AL161"/>
  <c r="AL253" s="1"/>
  <c r="AL287"/>
  <c r="AL304"/>
  <c r="AL288"/>
  <c r="AL305"/>
  <c r="AL289"/>
  <c r="AL306"/>
  <c r="AL290"/>
  <c r="AL307"/>
  <c r="AL283"/>
  <c r="AL299" s="1"/>
  <c r="AK640"/>
  <c r="AL637" s="1"/>
  <c r="AM39"/>
  <c r="AM59"/>
  <c r="AM730"/>
  <c r="AM715" s="1"/>
  <c r="AM67" s="1"/>
  <c r="AM666"/>
  <c r="AM651" s="1"/>
  <c r="AO11"/>
  <c r="AN645"/>
  <c r="AN181" s="1"/>
  <c r="AN198" s="1"/>
  <c r="AN41"/>
  <c r="AN183" s="1"/>
  <c r="AN200" s="1"/>
  <c r="AL565" i="7"/>
  <c r="AM562" s="1"/>
  <c r="AL42" i="10"/>
  <c r="AL118"/>
  <c r="AL633"/>
  <c r="AL14"/>
  <c r="AL15"/>
  <c r="AL17"/>
  <c r="AL129"/>
  <c r="AM626"/>
  <c r="AM627" s="1"/>
  <c r="AM618"/>
  <c r="AM619" s="1"/>
  <c r="AM592"/>
  <c r="AM593" s="1"/>
  <c r="AM586"/>
  <c r="AM587" s="1"/>
  <c r="AM630"/>
  <c r="AM631" s="1"/>
  <c r="AM622"/>
  <c r="AM623" s="1"/>
  <c r="AM130"/>
  <c r="AM29"/>
  <c r="AM31" s="1"/>
  <c r="AM10"/>
  <c r="AM12" s="1"/>
  <c r="AM280" s="1"/>
  <c r="AM296" s="1"/>
  <c r="AM368"/>
  <c r="AM507"/>
  <c r="AM511"/>
  <c r="AM515"/>
  <c r="AM535"/>
  <c r="AM539"/>
  <c r="AM559"/>
  <c r="AM563"/>
  <c r="AM567"/>
  <c r="AM508"/>
  <c r="AM512"/>
  <c r="AM532"/>
  <c r="AM536"/>
  <c r="AM540"/>
  <c r="AM560"/>
  <c r="AM564"/>
  <c r="AM502"/>
  <c r="AK291"/>
  <c r="AM27"/>
  <c r="AM698"/>
  <c r="AM683" s="1"/>
  <c r="AM66" s="1"/>
  <c r="AL16"/>
  <c r="AJ48"/>
  <c r="AJ50" s="1"/>
  <c r="AN741"/>
  <c r="AN740"/>
  <c r="AN739"/>
  <c r="AN738"/>
  <c r="AN737"/>
  <c r="AN736"/>
  <c r="AN735"/>
  <c r="AN734"/>
  <c r="AN732"/>
  <c r="AN746"/>
  <c r="AN729"/>
  <c r="AN728"/>
  <c r="AN727"/>
  <c r="AN726"/>
  <c r="AN725"/>
  <c r="AN724"/>
  <c r="AN723"/>
  <c r="AN722"/>
  <c r="AN721"/>
  <c r="AN720"/>
  <c r="AN709"/>
  <c r="AN708"/>
  <c r="AN707"/>
  <c r="AN706"/>
  <c r="AN705"/>
  <c r="AN704"/>
  <c r="AN703"/>
  <c r="AN701"/>
  <c r="AN700"/>
  <c r="AN697"/>
  <c r="AN696"/>
  <c r="AN695"/>
  <c r="AN694"/>
  <c r="AN693"/>
  <c r="AN692"/>
  <c r="AN691"/>
  <c r="AN690"/>
  <c r="AN689"/>
  <c r="AN688"/>
  <c r="AN677"/>
  <c r="AN676"/>
  <c r="AN675"/>
  <c r="AN674"/>
  <c r="AN673"/>
  <c r="AN672"/>
  <c r="AN670"/>
  <c r="AN669"/>
  <c r="AN668"/>
  <c r="AN665"/>
  <c r="AN664"/>
  <c r="AN663"/>
  <c r="AN662"/>
  <c r="AN661"/>
  <c r="AN660"/>
  <c r="AN659"/>
  <c r="AN658"/>
  <c r="AN657"/>
  <c r="AN656"/>
  <c r="AN639"/>
  <c r="AN590"/>
  <c r="AN591" s="1"/>
  <c r="AN584"/>
  <c r="AN585" s="1"/>
  <c r="AN501"/>
  <c r="AN432"/>
  <c r="AN430"/>
  <c r="AN428"/>
  <c r="AN426"/>
  <c r="AN424"/>
  <c r="AN406"/>
  <c r="AN404"/>
  <c r="AN402"/>
  <c r="AN400"/>
  <c r="AN398"/>
  <c r="AN381"/>
  <c r="AN379"/>
  <c r="AN377"/>
  <c r="AN375"/>
  <c r="AN373"/>
  <c r="AN354"/>
  <c r="AN353"/>
  <c r="AN352"/>
  <c r="AN351"/>
  <c r="AN350"/>
  <c r="AN349"/>
  <c r="AN488"/>
  <c r="AN487"/>
  <c r="AN486"/>
  <c r="AN485"/>
  <c r="AN484"/>
  <c r="AN483"/>
  <c r="AN431"/>
  <c r="AN429"/>
  <c r="AN427"/>
  <c r="AN425"/>
  <c r="AN423"/>
  <c r="AN405"/>
  <c r="AN403"/>
  <c r="AN401"/>
  <c r="AN399"/>
  <c r="AN397"/>
  <c r="AN380"/>
  <c r="AN378"/>
  <c r="AN376"/>
  <c r="AN374"/>
  <c r="AN372"/>
  <c r="AN367"/>
  <c r="AN250"/>
  <c r="AN222"/>
  <c r="AN40"/>
  <c r="AO2"/>
  <c r="AO750" s="1"/>
  <c r="AN33"/>
  <c r="AN35" s="1"/>
  <c r="AN37" s="1"/>
  <c r="AN30"/>
  <c r="AN26"/>
  <c r="AN25"/>
  <c r="AN23"/>
  <c r="AN19"/>
  <c r="AN5"/>
  <c r="AM509"/>
  <c r="AM513"/>
  <c r="AM533"/>
  <c r="AM537"/>
  <c r="AM541"/>
  <c r="AM561"/>
  <c r="AM565"/>
  <c r="AM506"/>
  <c r="AM510"/>
  <c r="AM514"/>
  <c r="AM534"/>
  <c r="AM538"/>
  <c r="AM558"/>
  <c r="AM562"/>
  <c r="AM566"/>
  <c r="AM49"/>
  <c r="AM281" s="1"/>
  <c r="AM297" s="1"/>
  <c r="AK18"/>
  <c r="AK20" s="1"/>
  <c r="AK44" s="1"/>
  <c r="AK308"/>
  <c r="AJ18" i="8"/>
  <c r="AJ20" s="1"/>
  <c r="AM11"/>
  <c r="AK598"/>
  <c r="AK601" s="1"/>
  <c r="AL585" i="7"/>
  <c r="AL570" s="1"/>
  <c r="AL68" s="1"/>
  <c r="AL649"/>
  <c r="AL634" s="1"/>
  <c r="AL70" s="1"/>
  <c r="AK27" i="8"/>
  <c r="AK653"/>
  <c r="AK638" s="1"/>
  <c r="AK61" s="1"/>
  <c r="AJ63"/>
  <c r="AK685"/>
  <c r="AK670" s="1"/>
  <c r="AK62" s="1"/>
  <c r="AI267"/>
  <c r="AI268" s="1"/>
  <c r="AK621"/>
  <c r="AK606" s="1"/>
  <c r="AK60" s="1"/>
  <c r="AJ594"/>
  <c r="AJ72"/>
  <c r="AJ107"/>
  <c r="AK591"/>
  <c r="AK592" s="1"/>
  <c r="AK17" s="1"/>
  <c r="AK583"/>
  <c r="AK584" s="1"/>
  <c r="AK15" s="1"/>
  <c r="AK587"/>
  <c r="AK579"/>
  <c r="AK580" s="1"/>
  <c r="AK14" s="1"/>
  <c r="AK553"/>
  <c r="AK554" s="1"/>
  <c r="AK95" s="1"/>
  <c r="AK547"/>
  <c r="AK548" s="1"/>
  <c r="AK94" s="1"/>
  <c r="AK241" s="1"/>
  <c r="AK108"/>
  <c r="AK29"/>
  <c r="AK31" s="1"/>
  <c r="AK10"/>
  <c r="AK12" s="1"/>
  <c r="AK467"/>
  <c r="AK468"/>
  <c r="AK472"/>
  <c r="AK476"/>
  <c r="AK496"/>
  <c r="AK500"/>
  <c r="AK520"/>
  <c r="AK524"/>
  <c r="AK528"/>
  <c r="AK471"/>
  <c r="AK475"/>
  <c r="AK495"/>
  <c r="AK499"/>
  <c r="AK519"/>
  <c r="AK523"/>
  <c r="AK527"/>
  <c r="AI229"/>
  <c r="AI230" s="1"/>
  <c r="AK588"/>
  <c r="AK16" s="1"/>
  <c r="AG239"/>
  <c r="AG98"/>
  <c r="AJ96"/>
  <c r="AL696"/>
  <c r="AL695"/>
  <c r="AL694"/>
  <c r="AL693"/>
  <c r="AL692"/>
  <c r="AL691"/>
  <c r="AL690"/>
  <c r="AL689"/>
  <c r="AL687"/>
  <c r="AL701"/>
  <c r="AL684"/>
  <c r="AL683"/>
  <c r="AL682"/>
  <c r="AL681"/>
  <c r="AL680"/>
  <c r="AL679"/>
  <c r="AL678"/>
  <c r="AL677"/>
  <c r="AL676"/>
  <c r="AL675"/>
  <c r="AL664"/>
  <c r="AL663"/>
  <c r="AL662"/>
  <c r="AL661"/>
  <c r="AL660"/>
  <c r="AL659"/>
  <c r="AL658"/>
  <c r="AL656"/>
  <c r="AL655"/>
  <c r="AL652"/>
  <c r="AL651"/>
  <c r="AL650"/>
  <c r="AL649"/>
  <c r="AL648"/>
  <c r="AL647"/>
  <c r="AL646"/>
  <c r="AL645"/>
  <c r="AL644"/>
  <c r="AL643"/>
  <c r="AL632"/>
  <c r="AL631"/>
  <c r="AL630"/>
  <c r="AL629"/>
  <c r="AL628"/>
  <c r="AL627"/>
  <c r="AL626"/>
  <c r="AL624"/>
  <c r="AL623"/>
  <c r="AL620"/>
  <c r="AL619"/>
  <c r="AL618"/>
  <c r="AL617"/>
  <c r="AL616"/>
  <c r="AL615"/>
  <c r="AL614"/>
  <c r="AL613"/>
  <c r="AL612"/>
  <c r="AL611"/>
  <c r="AL551"/>
  <c r="AL552" s="1"/>
  <c r="AL545"/>
  <c r="AL546" s="1"/>
  <c r="AL600"/>
  <c r="AL54" s="1"/>
  <c r="AL462"/>
  <c r="AL393"/>
  <c r="AL391"/>
  <c r="AL389"/>
  <c r="AL387"/>
  <c r="AL385"/>
  <c r="AL367"/>
  <c r="AL365"/>
  <c r="AL363"/>
  <c r="AL361"/>
  <c r="AL359"/>
  <c r="AL342"/>
  <c r="AL340"/>
  <c r="AL338"/>
  <c r="AL336"/>
  <c r="AL449"/>
  <c r="AL448"/>
  <c r="AL447"/>
  <c r="AL446"/>
  <c r="AL445"/>
  <c r="AL444"/>
  <c r="AL392"/>
  <c r="AL390"/>
  <c r="AL388"/>
  <c r="AL386"/>
  <c r="AL384"/>
  <c r="AL366"/>
  <c r="AL364"/>
  <c r="AL362"/>
  <c r="AL360"/>
  <c r="AL358"/>
  <c r="AL341"/>
  <c r="AL339"/>
  <c r="AL337"/>
  <c r="AL335"/>
  <c r="AL333"/>
  <c r="AL328"/>
  <c r="AL334"/>
  <c r="AL315"/>
  <c r="AL314"/>
  <c r="AL313"/>
  <c r="AL312"/>
  <c r="AL311"/>
  <c r="AL310"/>
  <c r="AL238"/>
  <c r="AL203"/>
  <c r="AL40"/>
  <c r="AM2"/>
  <c r="AL33"/>
  <c r="AL35" s="1"/>
  <c r="AL37" s="1"/>
  <c r="AL39" s="1"/>
  <c r="AL30"/>
  <c r="AL26"/>
  <c r="AL25"/>
  <c r="AL23"/>
  <c r="AL19"/>
  <c r="AL5"/>
  <c r="AK329"/>
  <c r="AK469"/>
  <c r="AK470"/>
  <c r="AK474"/>
  <c r="AK494"/>
  <c r="AK498"/>
  <c r="AK502"/>
  <c r="AK522"/>
  <c r="AK526"/>
  <c r="AK473"/>
  <c r="AK493"/>
  <c r="AK497"/>
  <c r="AK501"/>
  <c r="AK521"/>
  <c r="AK525"/>
  <c r="AK463"/>
  <c r="AK237"/>
  <c r="AK202"/>
  <c r="AK48"/>
  <c r="AM550" i="7"/>
  <c r="AM548"/>
  <c r="AM544"/>
  <c r="AM535"/>
  <c r="AM534"/>
  <c r="AM545" s="1"/>
  <c r="AM528"/>
  <c r="AM527"/>
  <c r="AN11"/>
  <c r="AL27"/>
  <c r="AL617"/>
  <c r="AL602" s="1"/>
  <c r="AL69" s="1"/>
  <c r="AL61"/>
  <c r="AK193"/>
  <c r="AK154"/>
  <c r="AK50"/>
  <c r="AK194"/>
  <c r="AK155"/>
  <c r="AK51"/>
  <c r="AK105"/>
  <c r="AK523"/>
  <c r="AK192"/>
  <c r="AK153"/>
  <c r="AK49"/>
  <c r="AK119"/>
  <c r="AK20"/>
  <c r="AK43" s="1"/>
  <c r="AM665"/>
  <c r="AM660"/>
  <c r="AM659"/>
  <c r="AM658"/>
  <c r="AM657"/>
  <c r="AM656"/>
  <c r="AM655"/>
  <c r="AM654"/>
  <c r="AM653"/>
  <c r="AM651"/>
  <c r="AM648"/>
  <c r="AM647"/>
  <c r="AM646"/>
  <c r="AM645"/>
  <c r="AM644"/>
  <c r="AM643"/>
  <c r="AM642"/>
  <c r="AM641"/>
  <c r="AM639"/>
  <c r="AM616"/>
  <c r="AM615"/>
  <c r="AM614"/>
  <c r="AM613"/>
  <c r="AM612"/>
  <c r="AM611"/>
  <c r="AM610"/>
  <c r="AM640"/>
  <c r="AM628"/>
  <c r="AM627"/>
  <c r="AM626"/>
  <c r="AM625"/>
  <c r="AM624"/>
  <c r="AM623"/>
  <c r="AM622"/>
  <c r="AM620"/>
  <c r="AM619"/>
  <c r="AM584"/>
  <c r="AM583"/>
  <c r="AM582"/>
  <c r="AM581"/>
  <c r="AM580"/>
  <c r="AM579"/>
  <c r="AM609"/>
  <c r="AM608"/>
  <c r="AM607"/>
  <c r="AM596"/>
  <c r="AM595"/>
  <c r="AM594"/>
  <c r="AM593"/>
  <c r="AM592"/>
  <c r="AM591"/>
  <c r="AM589"/>
  <c r="AM588"/>
  <c r="AM587"/>
  <c r="AM577"/>
  <c r="AM564"/>
  <c r="AM62" s="1"/>
  <c r="AM578"/>
  <c r="AM576"/>
  <c r="AM575"/>
  <c r="AM480"/>
  <c r="AM481" s="1"/>
  <c r="AM474"/>
  <c r="AM475" s="1"/>
  <c r="AM378"/>
  <c r="AM377"/>
  <c r="AM376"/>
  <c r="AM375"/>
  <c r="AM374"/>
  <c r="AM373"/>
  <c r="AM321"/>
  <c r="AM319"/>
  <c r="AM317"/>
  <c r="AM315"/>
  <c r="AM313"/>
  <c r="AM295"/>
  <c r="AM293"/>
  <c r="AM291"/>
  <c r="AM289"/>
  <c r="AM287"/>
  <c r="AM391"/>
  <c r="AM322"/>
  <c r="AM320"/>
  <c r="AM318"/>
  <c r="AM316"/>
  <c r="AM314"/>
  <c r="AM296"/>
  <c r="AM294"/>
  <c r="AM292"/>
  <c r="AM290"/>
  <c r="AM288"/>
  <c r="AM271"/>
  <c r="AM269"/>
  <c r="AM267"/>
  <c r="AM265"/>
  <c r="AM263"/>
  <c r="AM270"/>
  <c r="AM266"/>
  <c r="AM262"/>
  <c r="AM257"/>
  <c r="AM167"/>
  <c r="AM131"/>
  <c r="AM268"/>
  <c r="AM264"/>
  <c r="AM244"/>
  <c r="AM243"/>
  <c r="AM242"/>
  <c r="AM241"/>
  <c r="AM240"/>
  <c r="AM239"/>
  <c r="AM40"/>
  <c r="AM33"/>
  <c r="AM35" s="1"/>
  <c r="AM37" s="1"/>
  <c r="AM39" s="1"/>
  <c r="AM30"/>
  <c r="AM26"/>
  <c r="AM25"/>
  <c r="AM23"/>
  <c r="AM19"/>
  <c r="AM5"/>
  <c r="AN2"/>
  <c r="AL403"/>
  <c r="AL401"/>
  <c r="AL398"/>
  <c r="AL402"/>
  <c r="AL422"/>
  <c r="AL426"/>
  <c r="AL430"/>
  <c r="AL450"/>
  <c r="AL454"/>
  <c r="AL392"/>
  <c r="AL423"/>
  <c r="AL427"/>
  <c r="AL431"/>
  <c r="AL451"/>
  <c r="AL455"/>
  <c r="AK540"/>
  <c r="AK80"/>
  <c r="AK81" s="1"/>
  <c r="AJ164"/>
  <c r="AJ128"/>
  <c r="AJ132" s="1"/>
  <c r="AJ47"/>
  <c r="AK71"/>
  <c r="AI160"/>
  <c r="AI161" s="1"/>
  <c r="AJ53"/>
  <c r="AJ196"/>
  <c r="AJ197" s="1"/>
  <c r="AK195"/>
  <c r="AK156"/>
  <c r="AK52"/>
  <c r="AL516"/>
  <c r="AL517" s="1"/>
  <c r="AL508"/>
  <c r="AL509" s="1"/>
  <c r="AL14" s="1"/>
  <c r="AL18" s="1"/>
  <c r="AL482"/>
  <c r="AL483" s="1"/>
  <c r="AL104" s="1"/>
  <c r="AL476"/>
  <c r="AL477" s="1"/>
  <c r="AL103" s="1"/>
  <c r="AL170" s="1"/>
  <c r="AL520"/>
  <c r="AL521" s="1"/>
  <c r="AL512"/>
  <c r="AL120"/>
  <c r="AL29"/>
  <c r="AL31" s="1"/>
  <c r="AL41" s="1"/>
  <c r="AL10"/>
  <c r="AL12" s="1"/>
  <c r="AL399"/>
  <c r="AL258"/>
  <c r="AL397"/>
  <c r="AL405"/>
  <c r="AL396"/>
  <c r="AL400"/>
  <c r="AL404"/>
  <c r="AL424"/>
  <c r="AL428"/>
  <c r="AL448"/>
  <c r="AL452"/>
  <c r="AL456"/>
  <c r="AL425"/>
  <c r="AL429"/>
  <c r="AL449"/>
  <c r="AL453"/>
  <c r="AL457"/>
  <c r="AL549"/>
  <c r="AL543"/>
  <c r="AM556"/>
  <c r="AL166"/>
  <c r="AL130"/>
  <c r="AL55"/>
  <c r="AL165"/>
  <c r="AL129"/>
  <c r="AL54"/>
  <c r="AL513"/>
  <c r="AI56"/>
  <c r="AJ157"/>
  <c r="AJ158" s="1"/>
  <c r="C5" i="2"/>
  <c r="C10" s="1"/>
  <c r="C12" s="1"/>
  <c r="C716"/>
  <c r="C390" s="1"/>
  <c r="C525" s="1"/>
  <c r="C718"/>
  <c r="C392" s="1"/>
  <c r="C527" s="1"/>
  <c r="C720"/>
  <c r="C394" s="1"/>
  <c r="C529" s="1"/>
  <c r="C722"/>
  <c r="C396" s="1"/>
  <c r="C531" s="1"/>
  <c r="C713"/>
  <c r="C387" s="1"/>
  <c r="C522" s="1"/>
  <c r="C715"/>
  <c r="C389" s="1"/>
  <c r="C524" s="1"/>
  <c r="C717"/>
  <c r="C391" s="1"/>
  <c r="C526" s="1"/>
  <c r="C719"/>
  <c r="C393" s="1"/>
  <c r="C528" s="1"/>
  <c r="C721"/>
  <c r="C395" s="1"/>
  <c r="C530" s="1"/>
  <c r="C714"/>
  <c r="C388" s="1"/>
  <c r="C523" s="1"/>
  <c r="C684"/>
  <c r="C686"/>
  <c r="C688"/>
  <c r="C690"/>
  <c r="C681"/>
  <c r="C652"/>
  <c r="C654"/>
  <c r="C656"/>
  <c r="C658"/>
  <c r="C649"/>
  <c r="C683"/>
  <c r="C687"/>
  <c r="C682"/>
  <c r="C685"/>
  <c r="C689"/>
  <c r="C653"/>
  <c r="C657"/>
  <c r="C651"/>
  <c r="C650"/>
  <c r="C728"/>
  <c r="C730"/>
  <c r="C732"/>
  <c r="C734"/>
  <c r="C700"/>
  <c r="C655"/>
  <c r="C727"/>
  <c r="C729"/>
  <c r="C731"/>
  <c r="C733"/>
  <c r="C726"/>
  <c r="C695"/>
  <c r="C697"/>
  <c r="C699"/>
  <c r="C701"/>
  <c r="C694"/>
  <c r="C696"/>
  <c r="C698"/>
  <c r="C702"/>
  <c r="C548"/>
  <c r="C549" s="1"/>
  <c r="C554"/>
  <c r="C555" s="1"/>
  <c r="C608"/>
  <c r="C601"/>
  <c r="C602" s="1"/>
  <c r="D11"/>
  <c r="C317"/>
  <c r="C315"/>
  <c r="C313"/>
  <c r="C451"/>
  <c r="C449"/>
  <c r="C447"/>
  <c r="C316"/>
  <c r="C448"/>
  <c r="C318"/>
  <c r="C314"/>
  <c r="C450"/>
  <c r="C452"/>
  <c r="C19"/>
  <c r="C663"/>
  <c r="C665"/>
  <c r="C667"/>
  <c r="C669"/>
  <c r="C662"/>
  <c r="C664"/>
  <c r="C666"/>
  <c r="C668"/>
  <c r="C670"/>
  <c r="C465"/>
  <c r="C331"/>
  <c r="C638"/>
  <c r="C62" s="1"/>
  <c r="C23"/>
  <c r="C26"/>
  <c r="C30"/>
  <c r="C632"/>
  <c r="C25"/>
  <c r="D2"/>
  <c r="AG242" i="8" l="1"/>
  <c r="AG270" s="1"/>
  <c r="AG271" s="1"/>
  <c r="AG99" s="1"/>
  <c r="AG100" s="1"/>
  <c r="AL71" i="7"/>
  <c r="AM532"/>
  <c r="AM533" s="1"/>
  <c r="AN530"/>
  <c r="AN531"/>
  <c r="AN519"/>
  <c r="AN515"/>
  <c r="AN511"/>
  <c r="AN507"/>
  <c r="AN559"/>
  <c r="AN558"/>
  <c r="AN557"/>
  <c r="D593" i="2"/>
  <c r="D589"/>
  <c r="D585"/>
  <c r="D581"/>
  <c r="AJ43" i="8"/>
  <c r="AJ236" s="1"/>
  <c r="AO182" i="10"/>
  <c r="AO199" s="1"/>
  <c r="AO282"/>
  <c r="AO298" s="1"/>
  <c r="AI236" i="8"/>
  <c r="AI47"/>
  <c r="AI49" s="1"/>
  <c r="AN56" i="10"/>
  <c r="AN85"/>
  <c r="AN86" s="1"/>
  <c r="AO629"/>
  <c r="AO625"/>
  <c r="AO621"/>
  <c r="AO617"/>
  <c r="AM42"/>
  <c r="AM590" i="8"/>
  <c r="AM586"/>
  <c r="AM582"/>
  <c r="AM578"/>
  <c r="AH239"/>
  <c r="AL179" i="10"/>
  <c r="AL196" s="1"/>
  <c r="AM65"/>
  <c r="AM68" s="1"/>
  <c r="AN58"/>
  <c r="AN180"/>
  <c r="AN197" s="1"/>
  <c r="AN141"/>
  <c r="AN153" s="1"/>
  <c r="AN249"/>
  <c r="AN221"/>
  <c r="AM565" i="7"/>
  <c r="AN562" s="1"/>
  <c r="AM161" i="10"/>
  <c r="AM253" s="1"/>
  <c r="AM162"/>
  <c r="AM287"/>
  <c r="AM304"/>
  <c r="AM290"/>
  <c r="AM307"/>
  <c r="AM288"/>
  <c r="AM305"/>
  <c r="AM289"/>
  <c r="AM306"/>
  <c r="AN59"/>
  <c r="AN39"/>
  <c r="AL640"/>
  <c r="AM637" s="1"/>
  <c r="AM283"/>
  <c r="AM299" s="1"/>
  <c r="AP11"/>
  <c r="AO41"/>
  <c r="AO183" s="1"/>
  <c r="AO200" s="1"/>
  <c r="AO645"/>
  <c r="AO181" s="1"/>
  <c r="AO198" s="1"/>
  <c r="AK63" i="8"/>
  <c r="AN666" i="10"/>
  <c r="AN651" s="1"/>
  <c r="AN730"/>
  <c r="AN715" s="1"/>
  <c r="AN67" s="1"/>
  <c r="AN27"/>
  <c r="AN698"/>
  <c r="AN683" s="1"/>
  <c r="AN66" s="1"/>
  <c r="AM633"/>
  <c r="AM14"/>
  <c r="AN630"/>
  <c r="AN631" s="1"/>
  <c r="AN622"/>
  <c r="AN623" s="1"/>
  <c r="AN626"/>
  <c r="AN618"/>
  <c r="AN619" s="1"/>
  <c r="AN592"/>
  <c r="AN593" s="1"/>
  <c r="AN586"/>
  <c r="AN587" s="1"/>
  <c r="AN130"/>
  <c r="AN29"/>
  <c r="AN31" s="1"/>
  <c r="AN10"/>
  <c r="AN12" s="1"/>
  <c r="AN280" s="1"/>
  <c r="AN296" s="1"/>
  <c r="AN508"/>
  <c r="AN512"/>
  <c r="AN532"/>
  <c r="AN536"/>
  <c r="AN540"/>
  <c r="AN560"/>
  <c r="AN564"/>
  <c r="AN502"/>
  <c r="AN368"/>
  <c r="AN507"/>
  <c r="AN511"/>
  <c r="AN515"/>
  <c r="AN535"/>
  <c r="AN539"/>
  <c r="AN559"/>
  <c r="AN563"/>
  <c r="AN567"/>
  <c r="AM15"/>
  <c r="AM129"/>
  <c r="AL291"/>
  <c r="AM118"/>
  <c r="AM17"/>
  <c r="AK48"/>
  <c r="AK50" s="1"/>
  <c r="AO746"/>
  <c r="AO741"/>
  <c r="AO740"/>
  <c r="AO739"/>
  <c r="AO738"/>
  <c r="AO737"/>
  <c r="AO736"/>
  <c r="AO735"/>
  <c r="AO734"/>
  <c r="AO729"/>
  <c r="AO728"/>
  <c r="AO727"/>
  <c r="AO726"/>
  <c r="AO725"/>
  <c r="AO724"/>
  <c r="AO723"/>
  <c r="AO722"/>
  <c r="AO721"/>
  <c r="AO732"/>
  <c r="AO720"/>
  <c r="AO697"/>
  <c r="AO696"/>
  <c r="AO695"/>
  <c r="AO694"/>
  <c r="AO693"/>
  <c r="AO692"/>
  <c r="AO691"/>
  <c r="AO690"/>
  <c r="AO709"/>
  <c r="AO708"/>
  <c r="AO707"/>
  <c r="AO706"/>
  <c r="AO705"/>
  <c r="AO704"/>
  <c r="AO703"/>
  <c r="AO701"/>
  <c r="AO700"/>
  <c r="AO689"/>
  <c r="AO665"/>
  <c r="AO664"/>
  <c r="AO663"/>
  <c r="AO662"/>
  <c r="AO661"/>
  <c r="AO660"/>
  <c r="AO659"/>
  <c r="AO688"/>
  <c r="AO677"/>
  <c r="AO676"/>
  <c r="AO675"/>
  <c r="AO674"/>
  <c r="AO673"/>
  <c r="AO672"/>
  <c r="AO670"/>
  <c r="AO669"/>
  <c r="AO668"/>
  <c r="AO658"/>
  <c r="AO656"/>
  <c r="AO590"/>
  <c r="AO591" s="1"/>
  <c r="AO584"/>
  <c r="AO585" s="1"/>
  <c r="AO657"/>
  <c r="AO639"/>
  <c r="AO488"/>
  <c r="AO487"/>
  <c r="AO486"/>
  <c r="AO485"/>
  <c r="AO484"/>
  <c r="AO483"/>
  <c r="AO431"/>
  <c r="AO429"/>
  <c r="AO427"/>
  <c r="AO425"/>
  <c r="AO423"/>
  <c r="AO405"/>
  <c r="AO403"/>
  <c r="AO401"/>
  <c r="AO399"/>
  <c r="AO397"/>
  <c r="AO380"/>
  <c r="AO378"/>
  <c r="AO376"/>
  <c r="AO374"/>
  <c r="AO372"/>
  <c r="AO367"/>
  <c r="AO501"/>
  <c r="AO432"/>
  <c r="AO430"/>
  <c r="AO428"/>
  <c r="AO426"/>
  <c r="AO424"/>
  <c r="AO406"/>
  <c r="AO404"/>
  <c r="AO402"/>
  <c r="AO400"/>
  <c r="AO398"/>
  <c r="AO381"/>
  <c r="AO379"/>
  <c r="AO377"/>
  <c r="AO375"/>
  <c r="AO373"/>
  <c r="AO354"/>
  <c r="AO353"/>
  <c r="AO352"/>
  <c r="AO351"/>
  <c r="AO350"/>
  <c r="AO349"/>
  <c r="AO250"/>
  <c r="AO222"/>
  <c r="AO33"/>
  <c r="AO35" s="1"/>
  <c r="AO37" s="1"/>
  <c r="AO30"/>
  <c r="AO26"/>
  <c r="AO25"/>
  <c r="AO23"/>
  <c r="AO19"/>
  <c r="AO5"/>
  <c r="AO40"/>
  <c r="AP2"/>
  <c r="AP750" s="1"/>
  <c r="AN506"/>
  <c r="AN510"/>
  <c r="AN514"/>
  <c r="AN534"/>
  <c r="AN538"/>
  <c r="AN558"/>
  <c r="AN562"/>
  <c r="AN566"/>
  <c r="AN509"/>
  <c r="AN513"/>
  <c r="AN533"/>
  <c r="AN537"/>
  <c r="AN541"/>
  <c r="AN561"/>
  <c r="AN565"/>
  <c r="AN49"/>
  <c r="AN281" s="1"/>
  <c r="AN297" s="1"/>
  <c r="AM16"/>
  <c r="AI122"/>
  <c r="AN627"/>
  <c r="AL18"/>
  <c r="AL20" s="1"/>
  <c r="AL44" s="1"/>
  <c r="AL308"/>
  <c r="AK18" i="8"/>
  <c r="AK20" s="1"/>
  <c r="AK41"/>
  <c r="AN11"/>
  <c r="AL598"/>
  <c r="AL601" s="1"/>
  <c r="AL27"/>
  <c r="AK594"/>
  <c r="AL587"/>
  <c r="AL588" s="1"/>
  <c r="AL16" s="1"/>
  <c r="AL579"/>
  <c r="AL580" s="1"/>
  <c r="AL14" s="1"/>
  <c r="AL553"/>
  <c r="AL554" s="1"/>
  <c r="AL95" s="1"/>
  <c r="AL547"/>
  <c r="AL548" s="1"/>
  <c r="AL94" s="1"/>
  <c r="AL241" s="1"/>
  <c r="AL591"/>
  <c r="AL592" s="1"/>
  <c r="AL17" s="1"/>
  <c r="AL583"/>
  <c r="AL584" s="1"/>
  <c r="AL15" s="1"/>
  <c r="AL108"/>
  <c r="AL29"/>
  <c r="AL31" s="1"/>
  <c r="AL10"/>
  <c r="AL12" s="1"/>
  <c r="AL329"/>
  <c r="AL468"/>
  <c r="AL467"/>
  <c r="AL471"/>
  <c r="AL475"/>
  <c r="AL495"/>
  <c r="AL499"/>
  <c r="AL519"/>
  <c r="AL523"/>
  <c r="AL527"/>
  <c r="AL472"/>
  <c r="AL476"/>
  <c r="AL496"/>
  <c r="AL500"/>
  <c r="AL520"/>
  <c r="AL524"/>
  <c r="AL528"/>
  <c r="AL237"/>
  <c r="AL202"/>
  <c r="AL48"/>
  <c r="AK107"/>
  <c r="AL621"/>
  <c r="AL606" s="1"/>
  <c r="AL60" s="1"/>
  <c r="AL653"/>
  <c r="AL638" s="1"/>
  <c r="AL61" s="1"/>
  <c r="AL685"/>
  <c r="AL670" s="1"/>
  <c r="AL62" s="1"/>
  <c r="AI232"/>
  <c r="AI233" s="1"/>
  <c r="AJ229"/>
  <c r="AJ230" s="1"/>
  <c r="AK96"/>
  <c r="AK72"/>
  <c r="AM701"/>
  <c r="AM696"/>
  <c r="AM695"/>
  <c r="AM694"/>
  <c r="AM693"/>
  <c r="AM692"/>
  <c r="AM691"/>
  <c r="AM690"/>
  <c r="AM689"/>
  <c r="AM687"/>
  <c r="AM684"/>
  <c r="AM683"/>
  <c r="AM682"/>
  <c r="AM681"/>
  <c r="AM680"/>
  <c r="AM679"/>
  <c r="AM678"/>
  <c r="AM677"/>
  <c r="AM676"/>
  <c r="AM675"/>
  <c r="AM663"/>
  <c r="AM661"/>
  <c r="AM659"/>
  <c r="AM652"/>
  <c r="AM651"/>
  <c r="AM650"/>
  <c r="AM649"/>
  <c r="AM648"/>
  <c r="AM647"/>
  <c r="AM646"/>
  <c r="AM645"/>
  <c r="AM644"/>
  <c r="AM643"/>
  <c r="AM664"/>
  <c r="AM662"/>
  <c r="AM660"/>
  <c r="AM658"/>
  <c r="AM656"/>
  <c r="AM655"/>
  <c r="AM620"/>
  <c r="AM619"/>
  <c r="AM618"/>
  <c r="AM617"/>
  <c r="AM616"/>
  <c r="AM615"/>
  <c r="AM614"/>
  <c r="AM613"/>
  <c r="AM612"/>
  <c r="AM611"/>
  <c r="AM632"/>
  <c r="AM631"/>
  <c r="AM630"/>
  <c r="AM629"/>
  <c r="AM628"/>
  <c r="AM627"/>
  <c r="AM625"/>
  <c r="AM624"/>
  <c r="AM623"/>
  <c r="AM600"/>
  <c r="AM54" s="1"/>
  <c r="AM551"/>
  <c r="AM552" s="1"/>
  <c r="AM545"/>
  <c r="AM546" s="1"/>
  <c r="AM449"/>
  <c r="AM448"/>
  <c r="AM447"/>
  <c r="AM446"/>
  <c r="AM445"/>
  <c r="AM444"/>
  <c r="AM392"/>
  <c r="AM390"/>
  <c r="AM388"/>
  <c r="AM386"/>
  <c r="AM384"/>
  <c r="AM366"/>
  <c r="AM364"/>
  <c r="AM362"/>
  <c r="AM360"/>
  <c r="AM358"/>
  <c r="AM341"/>
  <c r="AM339"/>
  <c r="AM337"/>
  <c r="AM462"/>
  <c r="AM393"/>
  <c r="AM391"/>
  <c r="AM389"/>
  <c r="AM387"/>
  <c r="AM385"/>
  <c r="AM367"/>
  <c r="AM365"/>
  <c r="AM363"/>
  <c r="AM361"/>
  <c r="AM359"/>
  <c r="AM342"/>
  <c r="AM340"/>
  <c r="AM338"/>
  <c r="AM336"/>
  <c r="AM334"/>
  <c r="AM333"/>
  <c r="AM328"/>
  <c r="AM238"/>
  <c r="AM203"/>
  <c r="AM335"/>
  <c r="AM315"/>
  <c r="AM314"/>
  <c r="AM313"/>
  <c r="AM312"/>
  <c r="AM311"/>
  <c r="AM310"/>
  <c r="AM33"/>
  <c r="AM35" s="1"/>
  <c r="AM37" s="1"/>
  <c r="AM39" s="1"/>
  <c r="AM30"/>
  <c r="AM26"/>
  <c r="AM25"/>
  <c r="AM23"/>
  <c r="AM19"/>
  <c r="AM5"/>
  <c r="AM40"/>
  <c r="AN2"/>
  <c r="AL469"/>
  <c r="AL473"/>
  <c r="AL493"/>
  <c r="AL497"/>
  <c r="AL501"/>
  <c r="AL521"/>
  <c r="AL525"/>
  <c r="AL463"/>
  <c r="AL470"/>
  <c r="AL474"/>
  <c r="AL494"/>
  <c r="AL498"/>
  <c r="AL502"/>
  <c r="AL522"/>
  <c r="AL526"/>
  <c r="AJ267"/>
  <c r="AJ268" s="1"/>
  <c r="AM27" i="7"/>
  <c r="AM585"/>
  <c r="AM570" s="1"/>
  <c r="AM68" s="1"/>
  <c r="AM617"/>
  <c r="AM602" s="1"/>
  <c r="AM69" s="1"/>
  <c r="AO11"/>
  <c r="AN550"/>
  <c r="AN548"/>
  <c r="AN544"/>
  <c r="AN535"/>
  <c r="AN534"/>
  <c r="AN545" s="1"/>
  <c r="AN528"/>
  <c r="AN527"/>
  <c r="AM61"/>
  <c r="AL195"/>
  <c r="AL156"/>
  <c r="AL52"/>
  <c r="AL194"/>
  <c r="AL155"/>
  <c r="AL51"/>
  <c r="AL523"/>
  <c r="AL192"/>
  <c r="AL153"/>
  <c r="AL49"/>
  <c r="AL193"/>
  <c r="AL154"/>
  <c r="AL50"/>
  <c r="AI168"/>
  <c r="AI107"/>
  <c r="AM520"/>
  <c r="AM521" s="1"/>
  <c r="AM512"/>
  <c r="AM513" s="1"/>
  <c r="AM516"/>
  <c r="AM517" s="1"/>
  <c r="AM508"/>
  <c r="AM509" s="1"/>
  <c r="AM14" s="1"/>
  <c r="AM18" s="1"/>
  <c r="AM482"/>
  <c r="AM483" s="1"/>
  <c r="AM104" s="1"/>
  <c r="AM476"/>
  <c r="AM477" s="1"/>
  <c r="AM103" s="1"/>
  <c r="AM170" s="1"/>
  <c r="AM120"/>
  <c r="AM29"/>
  <c r="AM31" s="1"/>
  <c r="AM10"/>
  <c r="AM12" s="1"/>
  <c r="AM402"/>
  <c r="AM396"/>
  <c r="AM404"/>
  <c r="AM399"/>
  <c r="AM403"/>
  <c r="AM423"/>
  <c r="AM427"/>
  <c r="AM431"/>
  <c r="AM451"/>
  <c r="AM455"/>
  <c r="AM424"/>
  <c r="AM428"/>
  <c r="AM448"/>
  <c r="AM452"/>
  <c r="AM456"/>
  <c r="AM549"/>
  <c r="AM543"/>
  <c r="AN556"/>
  <c r="AK164"/>
  <c r="AK128"/>
  <c r="AK132" s="1"/>
  <c r="AK47"/>
  <c r="AJ56"/>
  <c r="AM649"/>
  <c r="AM634" s="1"/>
  <c r="AM70" s="1"/>
  <c r="AK53"/>
  <c r="AK196"/>
  <c r="AK197" s="1"/>
  <c r="AL105"/>
  <c r="AL540"/>
  <c r="AL80"/>
  <c r="AL81" s="1"/>
  <c r="AL119"/>
  <c r="AL20"/>
  <c r="AL43" s="1"/>
  <c r="AN660"/>
  <c r="AN659"/>
  <c r="AN658"/>
  <c r="AN657"/>
  <c r="AN656"/>
  <c r="AN655"/>
  <c r="AN654"/>
  <c r="AN653"/>
  <c r="AN651"/>
  <c r="AN665"/>
  <c r="AN648"/>
  <c r="AN647"/>
  <c r="AN646"/>
  <c r="AN645"/>
  <c r="AN644"/>
  <c r="AN643"/>
  <c r="AN642"/>
  <c r="AN641"/>
  <c r="AN640"/>
  <c r="AN639"/>
  <c r="AN628"/>
  <c r="AN627"/>
  <c r="AN626"/>
  <c r="AN625"/>
  <c r="AN624"/>
  <c r="AN623"/>
  <c r="AN622"/>
  <c r="AN620"/>
  <c r="AN619"/>
  <c r="AN616"/>
  <c r="AN615"/>
  <c r="AN614"/>
  <c r="AN613"/>
  <c r="AN612"/>
  <c r="AN611"/>
  <c r="AN610"/>
  <c r="AN609"/>
  <c r="AN608"/>
  <c r="AN607"/>
  <c r="AN596"/>
  <c r="AN595"/>
  <c r="AN594"/>
  <c r="AN593"/>
  <c r="AN592"/>
  <c r="AN591"/>
  <c r="AN589"/>
  <c r="AN588"/>
  <c r="AN587"/>
  <c r="AN584"/>
  <c r="AN583"/>
  <c r="AN582"/>
  <c r="AN581"/>
  <c r="AN580"/>
  <c r="AN579"/>
  <c r="AN578"/>
  <c r="AN577"/>
  <c r="AN576"/>
  <c r="AN575"/>
  <c r="AN480"/>
  <c r="AN481" s="1"/>
  <c r="AN474"/>
  <c r="AN475" s="1"/>
  <c r="AN564"/>
  <c r="AN62" s="1"/>
  <c r="AN391"/>
  <c r="AN322"/>
  <c r="AN320"/>
  <c r="AN318"/>
  <c r="AN316"/>
  <c r="AN314"/>
  <c r="AN296"/>
  <c r="AN294"/>
  <c r="AN292"/>
  <c r="AN290"/>
  <c r="AN288"/>
  <c r="AN378"/>
  <c r="AN377"/>
  <c r="AN376"/>
  <c r="AN375"/>
  <c r="AN374"/>
  <c r="AN373"/>
  <c r="AN321"/>
  <c r="AN319"/>
  <c r="AN317"/>
  <c r="AN315"/>
  <c r="AN313"/>
  <c r="AN295"/>
  <c r="AN293"/>
  <c r="AN291"/>
  <c r="AN289"/>
  <c r="AN287"/>
  <c r="AN270"/>
  <c r="AN268"/>
  <c r="AN266"/>
  <c r="AN264"/>
  <c r="AN262"/>
  <c r="AN257"/>
  <c r="AN269"/>
  <c r="AN265"/>
  <c r="AN244"/>
  <c r="AN243"/>
  <c r="AN242"/>
  <c r="AN241"/>
  <c r="AN240"/>
  <c r="AN239"/>
  <c r="AN271"/>
  <c r="AN267"/>
  <c r="AN263"/>
  <c r="AN167"/>
  <c r="AN131"/>
  <c r="AN33"/>
  <c r="AN35" s="1"/>
  <c r="AN37" s="1"/>
  <c r="AN39" s="1"/>
  <c r="AN30"/>
  <c r="AN26"/>
  <c r="AN25"/>
  <c r="AN23"/>
  <c r="AN19"/>
  <c r="AN5"/>
  <c r="AN40"/>
  <c r="AO2"/>
  <c r="AM258"/>
  <c r="AM398"/>
  <c r="AM400"/>
  <c r="AM397"/>
  <c r="AM401"/>
  <c r="AM405"/>
  <c r="AM425"/>
  <c r="AM429"/>
  <c r="AM449"/>
  <c r="AM453"/>
  <c r="AM457"/>
  <c r="AM422"/>
  <c r="AM426"/>
  <c r="AM430"/>
  <c r="AM450"/>
  <c r="AM454"/>
  <c r="AM392"/>
  <c r="AM166"/>
  <c r="AM130"/>
  <c r="AM55"/>
  <c r="AM165"/>
  <c r="AM129"/>
  <c r="AM54"/>
  <c r="AJ160"/>
  <c r="AJ161" s="1"/>
  <c r="AK157"/>
  <c r="AK158" s="1"/>
  <c r="C466" i="2"/>
  <c r="C365"/>
  <c r="C500" s="1"/>
  <c r="C367"/>
  <c r="C502" s="1"/>
  <c r="C370"/>
  <c r="C505" s="1"/>
  <c r="C366"/>
  <c r="C501" s="1"/>
  <c r="C369"/>
  <c r="C504" s="1"/>
  <c r="C362"/>
  <c r="C497" s="1"/>
  <c r="C363"/>
  <c r="C498" s="1"/>
  <c r="C361"/>
  <c r="C496" s="1"/>
  <c r="C368"/>
  <c r="C503" s="1"/>
  <c r="C364"/>
  <c r="C499" s="1"/>
  <c r="C691"/>
  <c r="C676" s="1"/>
  <c r="C69" s="1"/>
  <c r="D5"/>
  <c r="D721"/>
  <c r="D395" s="1"/>
  <c r="D530" s="1"/>
  <c r="D719"/>
  <c r="D393" s="1"/>
  <c r="D528" s="1"/>
  <c r="D717"/>
  <c r="D391" s="1"/>
  <c r="D526" s="1"/>
  <c r="D715"/>
  <c r="D389" s="1"/>
  <c r="D524" s="1"/>
  <c r="D713"/>
  <c r="D387" s="1"/>
  <c r="D522" s="1"/>
  <c r="D689"/>
  <c r="D722"/>
  <c r="D396" s="1"/>
  <c r="D531" s="1"/>
  <c r="D720"/>
  <c r="D394" s="1"/>
  <c r="D529" s="1"/>
  <c r="D718"/>
  <c r="D392" s="1"/>
  <c r="D527" s="1"/>
  <c r="D716"/>
  <c r="D390" s="1"/>
  <c r="D525" s="1"/>
  <c r="D714"/>
  <c r="D388" s="1"/>
  <c r="D523" s="1"/>
  <c r="D690"/>
  <c r="D687"/>
  <c r="D685"/>
  <c r="D683"/>
  <c r="D363" s="1"/>
  <c r="D498" s="1"/>
  <c r="D681"/>
  <c r="D657"/>
  <c r="D655"/>
  <c r="D653"/>
  <c r="D651"/>
  <c r="D649"/>
  <c r="D728"/>
  <c r="D729"/>
  <c r="D731"/>
  <c r="D733"/>
  <c r="D686"/>
  <c r="D682"/>
  <c r="D658"/>
  <c r="D654"/>
  <c r="D688"/>
  <c r="D684"/>
  <c r="D656"/>
  <c r="D652"/>
  <c r="D727"/>
  <c r="D732"/>
  <c r="D650"/>
  <c r="D726"/>
  <c r="D734"/>
  <c r="D694"/>
  <c r="D696"/>
  <c r="D698"/>
  <c r="D700"/>
  <c r="D702"/>
  <c r="D730"/>
  <c r="D695"/>
  <c r="D697"/>
  <c r="D699"/>
  <c r="D701"/>
  <c r="C723"/>
  <c r="C708" s="1"/>
  <c r="C70" s="1"/>
  <c r="C34"/>
  <c r="D548"/>
  <c r="D549" s="1"/>
  <c r="D554"/>
  <c r="D555" s="1"/>
  <c r="D601"/>
  <c r="D602" s="1"/>
  <c r="D608"/>
  <c r="E11"/>
  <c r="D314"/>
  <c r="D316"/>
  <c r="D318"/>
  <c r="D447"/>
  <c r="D449"/>
  <c r="D451"/>
  <c r="D313"/>
  <c r="D317"/>
  <c r="D448"/>
  <c r="D452"/>
  <c r="D315"/>
  <c r="D450"/>
  <c r="C117"/>
  <c r="D19"/>
  <c r="D664"/>
  <c r="D665"/>
  <c r="D666"/>
  <c r="D667"/>
  <c r="D668"/>
  <c r="D669"/>
  <c r="D670"/>
  <c r="D662"/>
  <c r="D663"/>
  <c r="D465"/>
  <c r="C332"/>
  <c r="D331"/>
  <c r="C336"/>
  <c r="C470" s="1"/>
  <c r="C342"/>
  <c r="C476" s="1"/>
  <c r="C338"/>
  <c r="C472" s="1"/>
  <c r="C343"/>
  <c r="C477" s="1"/>
  <c r="C339"/>
  <c r="C473" s="1"/>
  <c r="C344"/>
  <c r="C478" s="1"/>
  <c r="C340"/>
  <c r="C474" s="1"/>
  <c r="C345"/>
  <c r="C479" s="1"/>
  <c r="C341"/>
  <c r="C475" s="1"/>
  <c r="C337"/>
  <c r="C471" s="1"/>
  <c r="C639"/>
  <c r="D636" s="1"/>
  <c r="D336"/>
  <c r="D470" s="1"/>
  <c r="D638"/>
  <c r="D62" s="1"/>
  <c r="C659"/>
  <c r="C644" s="1"/>
  <c r="C68" s="1"/>
  <c r="C556"/>
  <c r="C557" s="1"/>
  <c r="C104" s="1"/>
  <c r="C550"/>
  <c r="C551" s="1"/>
  <c r="C103" s="1"/>
  <c r="C244" s="1"/>
  <c r="D23"/>
  <c r="D26"/>
  <c r="D30"/>
  <c r="C594"/>
  <c r="C595" s="1"/>
  <c r="C586"/>
  <c r="C587" s="1"/>
  <c r="C582"/>
  <c r="C583" s="1"/>
  <c r="C590"/>
  <c r="C591" s="1"/>
  <c r="C51" s="1"/>
  <c r="D632"/>
  <c r="C29"/>
  <c r="C31" s="1"/>
  <c r="C27"/>
  <c r="D25"/>
  <c r="E2"/>
  <c r="AI171" i="7" l="1"/>
  <c r="AI199" s="1"/>
  <c r="AI200" s="1"/>
  <c r="AI108" s="1"/>
  <c r="AI109" s="1"/>
  <c r="AH242" i="8"/>
  <c r="AH270" s="1"/>
  <c r="AH271" s="1"/>
  <c r="AH99" s="1"/>
  <c r="AH100" s="1"/>
  <c r="AJ201"/>
  <c r="AJ204" s="1"/>
  <c r="AJ232" s="1"/>
  <c r="AJ233" s="1"/>
  <c r="AJ47"/>
  <c r="AJ49" s="1"/>
  <c r="AN532" i="7"/>
  <c r="AO530"/>
  <c r="AO531"/>
  <c r="AO519"/>
  <c r="AO515"/>
  <c r="AO511"/>
  <c r="AO507"/>
  <c r="AO559"/>
  <c r="AO558"/>
  <c r="AO557"/>
  <c r="D466" i="2"/>
  <c r="E593"/>
  <c r="E589"/>
  <c r="E585"/>
  <c r="E581"/>
  <c r="AP182" i="10"/>
  <c r="AP199" s="1"/>
  <c r="AP282"/>
  <c r="AP298" s="1"/>
  <c r="AO56"/>
  <c r="AO85"/>
  <c r="AO86" s="1"/>
  <c r="AP629"/>
  <c r="AP625"/>
  <c r="AP621"/>
  <c r="AP617"/>
  <c r="AN578" i="8"/>
  <c r="AN590"/>
  <c r="AN586"/>
  <c r="AN582"/>
  <c r="AM75" i="10"/>
  <c r="AM179"/>
  <c r="AM196" s="1"/>
  <c r="AN65"/>
  <c r="AO58"/>
  <c r="AO180"/>
  <c r="AO197" s="1"/>
  <c r="AO141"/>
  <c r="AO153" s="1"/>
  <c r="AO249"/>
  <c r="AO221"/>
  <c r="AN161"/>
  <c r="AN253" s="1"/>
  <c r="AN162"/>
  <c r="AN290"/>
  <c r="AN307"/>
  <c r="AN287"/>
  <c r="AN304"/>
  <c r="AN289"/>
  <c r="AN306"/>
  <c r="AN288"/>
  <c r="AN305"/>
  <c r="AN283"/>
  <c r="AN299" s="1"/>
  <c r="AO39"/>
  <c r="AM640"/>
  <c r="AN637" s="1"/>
  <c r="AO59"/>
  <c r="AP645"/>
  <c r="AP181" s="1"/>
  <c r="AP198" s="1"/>
  <c r="AP41"/>
  <c r="AP183" s="1"/>
  <c r="AP200" s="1"/>
  <c r="AN68"/>
  <c r="AN75" s="1"/>
  <c r="AM71" i="7"/>
  <c r="AN42" i="10"/>
  <c r="AM41" i="7"/>
  <c r="AO730" i="10"/>
  <c r="AO715" s="1"/>
  <c r="AO67" s="1"/>
  <c r="AL48"/>
  <c r="AL50" s="1"/>
  <c r="AN16"/>
  <c r="AO626"/>
  <c r="AO627" s="1"/>
  <c r="AO618"/>
  <c r="AO619" s="1"/>
  <c r="AO592"/>
  <c r="AO593" s="1"/>
  <c r="AO586"/>
  <c r="AO587" s="1"/>
  <c r="AO630"/>
  <c r="AO631" s="1"/>
  <c r="AO622"/>
  <c r="AO623" s="1"/>
  <c r="AO130"/>
  <c r="AO29"/>
  <c r="AO31" s="1"/>
  <c r="AO10"/>
  <c r="AO12" s="1"/>
  <c r="AO280" s="1"/>
  <c r="AO296" s="1"/>
  <c r="AO509"/>
  <c r="AO513"/>
  <c r="AO533"/>
  <c r="AO537"/>
  <c r="AO541"/>
  <c r="AO561"/>
  <c r="AO565"/>
  <c r="AO506"/>
  <c r="AO510"/>
  <c r="AO514"/>
  <c r="AO534"/>
  <c r="AO538"/>
  <c r="AO558"/>
  <c r="AO562"/>
  <c r="AO566"/>
  <c r="AO49"/>
  <c r="AO281" s="1"/>
  <c r="AO297" s="1"/>
  <c r="AN15"/>
  <c r="AN118"/>
  <c r="AN129"/>
  <c r="AM291"/>
  <c r="AN17"/>
  <c r="AJ122"/>
  <c r="AP741"/>
  <c r="AP740"/>
  <c r="AP739"/>
  <c r="AP738"/>
  <c r="AP737"/>
  <c r="AP736"/>
  <c r="AP735"/>
  <c r="AP734"/>
  <c r="AP732"/>
  <c r="AP746"/>
  <c r="AP729"/>
  <c r="B729" s="1"/>
  <c r="AP728"/>
  <c r="B728" s="1"/>
  <c r="AP727"/>
  <c r="B727" s="1"/>
  <c r="AP726"/>
  <c r="B726" s="1"/>
  <c r="AN576" s="1"/>
  <c r="AP725"/>
  <c r="B725" s="1"/>
  <c r="AP724"/>
  <c r="B724" s="1"/>
  <c r="AP723"/>
  <c r="B723" s="1"/>
  <c r="AP722"/>
  <c r="B722" s="1"/>
  <c r="AP721"/>
  <c r="B721" s="1"/>
  <c r="AP720"/>
  <c r="AP709"/>
  <c r="B709" s="1"/>
  <c r="AP708"/>
  <c r="B708" s="1"/>
  <c r="AP707"/>
  <c r="B707" s="1"/>
  <c r="AP706"/>
  <c r="B706" s="1"/>
  <c r="AP705"/>
  <c r="B705" s="1"/>
  <c r="AP704"/>
  <c r="B704" s="1"/>
  <c r="AP703"/>
  <c r="B703" s="1"/>
  <c r="AP701"/>
  <c r="AP700"/>
  <c r="AP697"/>
  <c r="B697" s="1"/>
  <c r="AN553" s="1"/>
  <c r="AP696"/>
  <c r="B696" s="1"/>
  <c r="AO417" s="1"/>
  <c r="AP695"/>
  <c r="B695" s="1"/>
  <c r="AO416" s="1"/>
  <c r="AP694"/>
  <c r="B694" s="1"/>
  <c r="AP693"/>
  <c r="B693" s="1"/>
  <c r="AP692"/>
  <c r="B692" s="1"/>
  <c r="AO413" s="1"/>
  <c r="AP691"/>
  <c r="B691" s="1"/>
  <c r="AO412" s="1"/>
  <c r="AP690"/>
  <c r="B690" s="1"/>
  <c r="AP689"/>
  <c r="B689" s="1"/>
  <c r="AN545" s="1"/>
  <c r="AP688"/>
  <c r="AP677"/>
  <c r="B677" s="1"/>
  <c r="AP676"/>
  <c r="B676" s="1"/>
  <c r="AP675"/>
  <c r="B675" s="1"/>
  <c r="AP674"/>
  <c r="B674" s="1"/>
  <c r="AP673"/>
  <c r="B673" s="1"/>
  <c r="AP672"/>
  <c r="B672" s="1"/>
  <c r="AP670"/>
  <c r="AP669"/>
  <c r="AP668"/>
  <c r="AP665"/>
  <c r="B665" s="1"/>
  <c r="AO392" s="1"/>
  <c r="AP664"/>
  <c r="B664" s="1"/>
  <c r="AP663"/>
  <c r="B663" s="1"/>
  <c r="AP662"/>
  <c r="B662" s="1"/>
  <c r="AO389" s="1"/>
  <c r="AP661"/>
  <c r="B661" s="1"/>
  <c r="AO388" s="1"/>
  <c r="AP660"/>
  <c r="B660" s="1"/>
  <c r="AP659"/>
  <c r="B659" s="1"/>
  <c r="AN521" s="1"/>
  <c r="AP658"/>
  <c r="B658" s="1"/>
  <c r="AO385" s="1"/>
  <c r="AP657"/>
  <c r="B657" s="1"/>
  <c r="AO384" s="1"/>
  <c r="AP656"/>
  <c r="AP639"/>
  <c r="AP590"/>
  <c r="AP591" s="1"/>
  <c r="AP584"/>
  <c r="AP585" s="1"/>
  <c r="AP501"/>
  <c r="AP432"/>
  <c r="AP430"/>
  <c r="AP428"/>
  <c r="AP426"/>
  <c r="AP424"/>
  <c r="AP406"/>
  <c r="AP404"/>
  <c r="AP402"/>
  <c r="AP400"/>
  <c r="AP398"/>
  <c r="AP381"/>
  <c r="AP379"/>
  <c r="AP377"/>
  <c r="AP375"/>
  <c r="AP373"/>
  <c r="AP354"/>
  <c r="AP353"/>
  <c r="AP352"/>
  <c r="AP351"/>
  <c r="AP350"/>
  <c r="AP349"/>
  <c r="AP488"/>
  <c r="AP487"/>
  <c r="AP486"/>
  <c r="AP485"/>
  <c r="AP484"/>
  <c r="AP483"/>
  <c r="AP431"/>
  <c r="AP429"/>
  <c r="AP427"/>
  <c r="AP425"/>
  <c r="AP423"/>
  <c r="AP405"/>
  <c r="AP403"/>
  <c r="AP401"/>
  <c r="AP399"/>
  <c r="AP397"/>
  <c r="AP380"/>
  <c r="AP378"/>
  <c r="AP376"/>
  <c r="AP374"/>
  <c r="AP372"/>
  <c r="AP367"/>
  <c r="AP250"/>
  <c r="AP222"/>
  <c r="AP40"/>
  <c r="AP33"/>
  <c r="AP35" s="1"/>
  <c r="AP37" s="1"/>
  <c r="AP30"/>
  <c r="AP26"/>
  <c r="AP25"/>
  <c r="AP23"/>
  <c r="AP19"/>
  <c r="AP5"/>
  <c r="AO368"/>
  <c r="AO507"/>
  <c r="AO519" s="1"/>
  <c r="AO511"/>
  <c r="AO515"/>
  <c r="AO527" s="1"/>
  <c r="AO535"/>
  <c r="AO547" s="1"/>
  <c r="AO539"/>
  <c r="AO559"/>
  <c r="AO436"/>
  <c r="AO563"/>
  <c r="AO440"/>
  <c r="AO567"/>
  <c r="AO444"/>
  <c r="AO508"/>
  <c r="AO512"/>
  <c r="AO532"/>
  <c r="AO536"/>
  <c r="AO540"/>
  <c r="AO560"/>
  <c r="AO437"/>
  <c r="AO564"/>
  <c r="AO502"/>
  <c r="AN633"/>
  <c r="AN14"/>
  <c r="AL41" i="8"/>
  <c r="AO27" i="10"/>
  <c r="AO666"/>
  <c r="AO651" s="1"/>
  <c r="AO698"/>
  <c r="AO683" s="1"/>
  <c r="AO66" s="1"/>
  <c r="AN551"/>
  <c r="AM18"/>
  <c r="AM20" s="1"/>
  <c r="AM44" s="1"/>
  <c r="AM308"/>
  <c r="AK43" i="8"/>
  <c r="AK236" s="1"/>
  <c r="AL18"/>
  <c r="AO11"/>
  <c r="AM598"/>
  <c r="AM653"/>
  <c r="AM638" s="1"/>
  <c r="AM61" s="1"/>
  <c r="AM685"/>
  <c r="AM670" s="1"/>
  <c r="AM62" s="1"/>
  <c r="AN696"/>
  <c r="AN695"/>
  <c r="AN694"/>
  <c r="AN693"/>
  <c r="AN692"/>
  <c r="AN691"/>
  <c r="AN690"/>
  <c r="AN689"/>
  <c r="AN687"/>
  <c r="AN701"/>
  <c r="AN684"/>
  <c r="AN683"/>
  <c r="AN682"/>
  <c r="AN681"/>
  <c r="AN680"/>
  <c r="AN679"/>
  <c r="AN678"/>
  <c r="AN677"/>
  <c r="AN676"/>
  <c r="AN675"/>
  <c r="AN664"/>
  <c r="AN663"/>
  <c r="AN662"/>
  <c r="AN661"/>
  <c r="AN660"/>
  <c r="AN659"/>
  <c r="AN658"/>
  <c r="AN656"/>
  <c r="AN655"/>
  <c r="AN652"/>
  <c r="AN651"/>
  <c r="AN650"/>
  <c r="AN649"/>
  <c r="AN648"/>
  <c r="AN647"/>
  <c r="AN646"/>
  <c r="AN645"/>
  <c r="AN644"/>
  <c r="AN643"/>
  <c r="AN632"/>
  <c r="AN631"/>
  <c r="AN630"/>
  <c r="AN629"/>
  <c r="AN628"/>
  <c r="AN627"/>
  <c r="AN625"/>
  <c r="AN624"/>
  <c r="AN623"/>
  <c r="AN620"/>
  <c r="AN619"/>
  <c r="AN618"/>
  <c r="AN617"/>
  <c r="AN616"/>
  <c r="AN615"/>
  <c r="AN614"/>
  <c r="AN613"/>
  <c r="AN612"/>
  <c r="AN611"/>
  <c r="AN551"/>
  <c r="AN552" s="1"/>
  <c r="AN545"/>
  <c r="AN546" s="1"/>
  <c r="AN600"/>
  <c r="AN54" s="1"/>
  <c r="AN462"/>
  <c r="AN393"/>
  <c r="AN391"/>
  <c r="AN389"/>
  <c r="AN387"/>
  <c r="AN385"/>
  <c r="AN367"/>
  <c r="AN365"/>
  <c r="AN363"/>
  <c r="AN361"/>
  <c r="AN359"/>
  <c r="AN342"/>
  <c r="AN340"/>
  <c r="AN338"/>
  <c r="AN336"/>
  <c r="AN449"/>
  <c r="AN448"/>
  <c r="AN447"/>
  <c r="AN446"/>
  <c r="AN445"/>
  <c r="AN444"/>
  <c r="AN392"/>
  <c r="AN390"/>
  <c r="AN388"/>
  <c r="AN386"/>
  <c r="AN384"/>
  <c r="AN366"/>
  <c r="AN364"/>
  <c r="AN362"/>
  <c r="AN360"/>
  <c r="AN358"/>
  <c r="AN341"/>
  <c r="AN339"/>
  <c r="AN337"/>
  <c r="AN335"/>
  <c r="AN333"/>
  <c r="AN328"/>
  <c r="AN315"/>
  <c r="AN314"/>
  <c r="AN313"/>
  <c r="AN312"/>
  <c r="AN311"/>
  <c r="AN310"/>
  <c r="AN334"/>
  <c r="AN238"/>
  <c r="AN203"/>
  <c r="AN40"/>
  <c r="AO2"/>
  <c r="AN33"/>
  <c r="AN35" s="1"/>
  <c r="AN37" s="1"/>
  <c r="AN39" s="1"/>
  <c r="AN30"/>
  <c r="AN26"/>
  <c r="AN25"/>
  <c r="AN23"/>
  <c r="AN19"/>
  <c r="AN5"/>
  <c r="AM329"/>
  <c r="AM469"/>
  <c r="AM467"/>
  <c r="AM470"/>
  <c r="AM474"/>
  <c r="AM494"/>
  <c r="AM498"/>
  <c r="AM502"/>
  <c r="AM522"/>
  <c r="AM526"/>
  <c r="AM473"/>
  <c r="AM493"/>
  <c r="AM497"/>
  <c r="AM501"/>
  <c r="AM521"/>
  <c r="AM525"/>
  <c r="AM463"/>
  <c r="AM237"/>
  <c r="AM202"/>
  <c r="AM48"/>
  <c r="AI239"/>
  <c r="AI98"/>
  <c r="AL594"/>
  <c r="AL72"/>
  <c r="AL107"/>
  <c r="AL20"/>
  <c r="AL43" s="1"/>
  <c r="AM27"/>
  <c r="AM621"/>
  <c r="AM606" s="1"/>
  <c r="AM60" s="1"/>
  <c r="AL63"/>
  <c r="AK229"/>
  <c r="AK230" s="1"/>
  <c r="AM591"/>
  <c r="AM592" s="1"/>
  <c r="AM17" s="1"/>
  <c r="AM583"/>
  <c r="AM584" s="1"/>
  <c r="AM15" s="1"/>
  <c r="AM587"/>
  <c r="AM588" s="1"/>
  <c r="AM16" s="1"/>
  <c r="AM579"/>
  <c r="AM580" s="1"/>
  <c r="AM14" s="1"/>
  <c r="AM553"/>
  <c r="AM554" s="1"/>
  <c r="AM95" s="1"/>
  <c r="AM547"/>
  <c r="AM548" s="1"/>
  <c r="AM94" s="1"/>
  <c r="AM241" s="1"/>
  <c r="AM108"/>
  <c r="AM29"/>
  <c r="AM31" s="1"/>
  <c r="AM10"/>
  <c r="AM12" s="1"/>
  <c r="AM468"/>
  <c r="AM472"/>
  <c r="AM476"/>
  <c r="AM496"/>
  <c r="AM500"/>
  <c r="AM520"/>
  <c r="AM524"/>
  <c r="AM528"/>
  <c r="AM471"/>
  <c r="AM475"/>
  <c r="AM495"/>
  <c r="AM499"/>
  <c r="AM519"/>
  <c r="AM523"/>
  <c r="AM527"/>
  <c r="AL96"/>
  <c r="AM601"/>
  <c r="AK267"/>
  <c r="AK268" s="1"/>
  <c r="AO550" i="7"/>
  <c r="AO548"/>
  <c r="AO544"/>
  <c r="AO535"/>
  <c r="AO534"/>
  <c r="AO545" s="1"/>
  <c r="AO528"/>
  <c r="AO527"/>
  <c r="AP11"/>
  <c r="AN533"/>
  <c r="AM523"/>
  <c r="AM192"/>
  <c r="AM153"/>
  <c r="AM49"/>
  <c r="AN516"/>
  <c r="AN517" s="1"/>
  <c r="AN508"/>
  <c r="AN509" s="1"/>
  <c r="AN14" s="1"/>
  <c r="AN18" s="1"/>
  <c r="AN482"/>
  <c r="AN483" s="1"/>
  <c r="AN104" s="1"/>
  <c r="AN476"/>
  <c r="AN477" s="1"/>
  <c r="AN103" s="1"/>
  <c r="AN170" s="1"/>
  <c r="AN520"/>
  <c r="AN521" s="1"/>
  <c r="AN512"/>
  <c r="AN513" s="1"/>
  <c r="AN120"/>
  <c r="AN29"/>
  <c r="AN31" s="1"/>
  <c r="AN10"/>
  <c r="AN12" s="1"/>
  <c r="AN401"/>
  <c r="AN258"/>
  <c r="AN399"/>
  <c r="AN398"/>
  <c r="AN402"/>
  <c r="AN422"/>
  <c r="AN426"/>
  <c r="AN430"/>
  <c r="AN450"/>
  <c r="AN454"/>
  <c r="AN392"/>
  <c r="AN423"/>
  <c r="AN427"/>
  <c r="AN431"/>
  <c r="AN451"/>
  <c r="AN455"/>
  <c r="AL164"/>
  <c r="AL128"/>
  <c r="AL132" s="1"/>
  <c r="AL47"/>
  <c r="AM194"/>
  <c r="AM155"/>
  <c r="AM51"/>
  <c r="AM540"/>
  <c r="AM80"/>
  <c r="AM81" s="1"/>
  <c r="AM119"/>
  <c r="AM20"/>
  <c r="AK160"/>
  <c r="AK161" s="1"/>
  <c r="AL53"/>
  <c r="AL196"/>
  <c r="AL197" s="1"/>
  <c r="AJ168"/>
  <c r="AJ107"/>
  <c r="AM195"/>
  <c r="AM156"/>
  <c r="AM52"/>
  <c r="AM105"/>
  <c r="AO665"/>
  <c r="AO660"/>
  <c r="AO659"/>
  <c r="AO658"/>
  <c r="AO657"/>
  <c r="AO656"/>
  <c r="AO655"/>
  <c r="AO654"/>
  <c r="AO653"/>
  <c r="AO648"/>
  <c r="AO647"/>
  <c r="AO646"/>
  <c r="AO645"/>
  <c r="AO644"/>
  <c r="AO643"/>
  <c r="AO642"/>
  <c r="AO641"/>
  <c r="AO651"/>
  <c r="AO640"/>
  <c r="AO616"/>
  <c r="AO615"/>
  <c r="AO614"/>
  <c r="AO613"/>
  <c r="AO612"/>
  <c r="AO611"/>
  <c r="AO610"/>
  <c r="AO639"/>
  <c r="AO628"/>
  <c r="AO627"/>
  <c r="AO626"/>
  <c r="AO625"/>
  <c r="AO624"/>
  <c r="AO623"/>
  <c r="AO622"/>
  <c r="AO620"/>
  <c r="AO619"/>
  <c r="AO609"/>
  <c r="AO584"/>
  <c r="AO583"/>
  <c r="AO582"/>
  <c r="AO581"/>
  <c r="AO580"/>
  <c r="AO579"/>
  <c r="AO608"/>
  <c r="AO607"/>
  <c r="AO596"/>
  <c r="AO595"/>
  <c r="AO594"/>
  <c r="AO593"/>
  <c r="AO592"/>
  <c r="AO591"/>
  <c r="AO589"/>
  <c r="AO588"/>
  <c r="AO587"/>
  <c r="AO578"/>
  <c r="AO564"/>
  <c r="AO62" s="1"/>
  <c r="AO577"/>
  <c r="AO576"/>
  <c r="AO575"/>
  <c r="AO480"/>
  <c r="AO481" s="1"/>
  <c r="AO474"/>
  <c r="AO475" s="1"/>
  <c r="AO378"/>
  <c r="AO377"/>
  <c r="AO376"/>
  <c r="AO375"/>
  <c r="AO374"/>
  <c r="AO373"/>
  <c r="AO321"/>
  <c r="AO319"/>
  <c r="AO317"/>
  <c r="AO315"/>
  <c r="AO313"/>
  <c r="AO295"/>
  <c r="AO293"/>
  <c r="AO291"/>
  <c r="AO289"/>
  <c r="AO287"/>
  <c r="AO391"/>
  <c r="AO322"/>
  <c r="AO320"/>
  <c r="AO318"/>
  <c r="AO316"/>
  <c r="AO314"/>
  <c r="AO296"/>
  <c r="AO294"/>
  <c r="AO292"/>
  <c r="AO290"/>
  <c r="AO288"/>
  <c r="AO271"/>
  <c r="AO269"/>
  <c r="AO267"/>
  <c r="AO265"/>
  <c r="AO263"/>
  <c r="AO268"/>
  <c r="AO264"/>
  <c r="AO167"/>
  <c r="AO131"/>
  <c r="AO270"/>
  <c r="AO266"/>
  <c r="AO262"/>
  <c r="AO257"/>
  <c r="AO244"/>
  <c r="AO243"/>
  <c r="AO242"/>
  <c r="AO241"/>
  <c r="AO240"/>
  <c r="AO239"/>
  <c r="AO40"/>
  <c r="AP2"/>
  <c r="AO33"/>
  <c r="AO35" s="1"/>
  <c r="AO37" s="1"/>
  <c r="AO39" s="1"/>
  <c r="AO30"/>
  <c r="AO26"/>
  <c r="AO25"/>
  <c r="AO23"/>
  <c r="AO19"/>
  <c r="AO5"/>
  <c r="AN397"/>
  <c r="AN405"/>
  <c r="AN403"/>
  <c r="AN396"/>
  <c r="AN400"/>
  <c r="AN404"/>
  <c r="AN424"/>
  <c r="AN428"/>
  <c r="AN448"/>
  <c r="AN452"/>
  <c r="AN456"/>
  <c r="AN425"/>
  <c r="AN429"/>
  <c r="AN449"/>
  <c r="AN453"/>
  <c r="AN457"/>
  <c r="AN549"/>
  <c r="AN543"/>
  <c r="AO556"/>
  <c r="AN166"/>
  <c r="AN130"/>
  <c r="AN55"/>
  <c r="AN165"/>
  <c r="AN129"/>
  <c r="AN54"/>
  <c r="AM193"/>
  <c r="AM154"/>
  <c r="AM50"/>
  <c r="AN27"/>
  <c r="AN61"/>
  <c r="AN585"/>
  <c r="AN570" s="1"/>
  <c r="AN68" s="1"/>
  <c r="AN617"/>
  <c r="AN602" s="1"/>
  <c r="AN69" s="1"/>
  <c r="AN649"/>
  <c r="AN634" s="1"/>
  <c r="AN70" s="1"/>
  <c r="AN565"/>
  <c r="AO562" s="1"/>
  <c r="AK56"/>
  <c r="AL157"/>
  <c r="AL158" s="1"/>
  <c r="C15" i="2"/>
  <c r="C50"/>
  <c r="C228"/>
  <c r="C267"/>
  <c r="C17"/>
  <c r="C52"/>
  <c r="C230"/>
  <c r="C269"/>
  <c r="C71"/>
  <c r="D364"/>
  <c r="D499" s="1"/>
  <c r="D368"/>
  <c r="D503" s="1"/>
  <c r="D361"/>
  <c r="D496" s="1"/>
  <c r="D362"/>
  <c r="D497" s="1"/>
  <c r="D369"/>
  <c r="D504" s="1"/>
  <c r="D366"/>
  <c r="D501" s="1"/>
  <c r="D370"/>
  <c r="D505" s="1"/>
  <c r="D367"/>
  <c r="D502" s="1"/>
  <c r="D365"/>
  <c r="D500" s="1"/>
  <c r="E5"/>
  <c r="E722"/>
  <c r="E396" s="1"/>
  <c r="E531" s="1"/>
  <c r="E720"/>
  <c r="E394" s="1"/>
  <c r="E529" s="1"/>
  <c r="E718"/>
  <c r="E392" s="1"/>
  <c r="E527" s="1"/>
  <c r="E716"/>
  <c r="E390" s="1"/>
  <c r="E525" s="1"/>
  <c r="E714"/>
  <c r="E388" s="1"/>
  <c r="E523" s="1"/>
  <c r="E690"/>
  <c r="E721"/>
  <c r="E395" s="1"/>
  <c r="E530" s="1"/>
  <c r="E719"/>
  <c r="E393" s="1"/>
  <c r="E528" s="1"/>
  <c r="E717"/>
  <c r="E391" s="1"/>
  <c r="E526" s="1"/>
  <c r="E715"/>
  <c r="E389" s="1"/>
  <c r="E524" s="1"/>
  <c r="E713"/>
  <c r="E387" s="1"/>
  <c r="E522" s="1"/>
  <c r="E689"/>
  <c r="E688"/>
  <c r="E686"/>
  <c r="E684"/>
  <c r="E364" s="1"/>
  <c r="E499" s="1"/>
  <c r="E682"/>
  <c r="E658"/>
  <c r="E656"/>
  <c r="E654"/>
  <c r="E652"/>
  <c r="E650"/>
  <c r="E726"/>
  <c r="E727"/>
  <c r="E730"/>
  <c r="E732"/>
  <c r="E734"/>
  <c r="E687"/>
  <c r="E683"/>
  <c r="E655"/>
  <c r="E685"/>
  <c r="E681"/>
  <c r="E361" s="1"/>
  <c r="E496" s="1"/>
  <c r="E657"/>
  <c r="E653"/>
  <c r="E649"/>
  <c r="E729"/>
  <c r="E733"/>
  <c r="E651"/>
  <c r="E728"/>
  <c r="E695"/>
  <c r="E697"/>
  <c r="E699"/>
  <c r="E701"/>
  <c r="E731"/>
  <c r="E694"/>
  <c r="E696"/>
  <c r="E698"/>
  <c r="E700"/>
  <c r="E702"/>
  <c r="D723"/>
  <c r="D708" s="1"/>
  <c r="D70" s="1"/>
  <c r="D691"/>
  <c r="D676" s="1"/>
  <c r="D69" s="1"/>
  <c r="E548"/>
  <c r="E549" s="1"/>
  <c r="E554"/>
  <c r="E555" s="1"/>
  <c r="E608"/>
  <c r="E601"/>
  <c r="E602" s="1"/>
  <c r="F11"/>
  <c r="E313"/>
  <c r="E315"/>
  <c r="E317"/>
  <c r="E448"/>
  <c r="E450"/>
  <c r="E452"/>
  <c r="E314"/>
  <c r="E318"/>
  <c r="E447"/>
  <c r="E451"/>
  <c r="E316"/>
  <c r="E449"/>
  <c r="E19"/>
  <c r="C116"/>
  <c r="E662"/>
  <c r="E663"/>
  <c r="E664"/>
  <c r="E665"/>
  <c r="E666"/>
  <c r="E667"/>
  <c r="E668"/>
  <c r="E669"/>
  <c r="E670"/>
  <c r="C105"/>
  <c r="C227"/>
  <c r="C49"/>
  <c r="C53" s="1"/>
  <c r="E465"/>
  <c r="D332"/>
  <c r="E331"/>
  <c r="D337"/>
  <c r="D471" s="1"/>
  <c r="D343"/>
  <c r="D477" s="1"/>
  <c r="D338"/>
  <c r="D472" s="1"/>
  <c r="D341"/>
  <c r="D475" s="1"/>
  <c r="D345"/>
  <c r="D479" s="1"/>
  <c r="D340"/>
  <c r="D474" s="1"/>
  <c r="D344"/>
  <c r="D478" s="1"/>
  <c r="D339"/>
  <c r="D473" s="1"/>
  <c r="D342"/>
  <c r="D476" s="1"/>
  <c r="D639"/>
  <c r="E636" s="1"/>
  <c r="E638"/>
  <c r="E62" s="1"/>
  <c r="D659"/>
  <c r="D644" s="1"/>
  <c r="D68" s="1"/>
  <c r="E23"/>
  <c r="E26"/>
  <c r="E30"/>
  <c r="C268"/>
  <c r="C229"/>
  <c r="C14"/>
  <c r="C18" s="1"/>
  <c r="C20" s="1"/>
  <c r="C266"/>
  <c r="C597"/>
  <c r="E632"/>
  <c r="D27"/>
  <c r="D10"/>
  <c r="D12" s="1"/>
  <c r="F2"/>
  <c r="E25"/>
  <c r="AO441" i="10" l="1"/>
  <c r="AJ171" i="7"/>
  <c r="AJ199" s="1"/>
  <c r="AJ200" s="1"/>
  <c r="AJ108" s="1"/>
  <c r="AJ109" s="1"/>
  <c r="AI242" i="8"/>
  <c r="AI270" s="1"/>
  <c r="AI271" s="1"/>
  <c r="AI99" s="1"/>
  <c r="AI100" s="1"/>
  <c r="AO532" i="7"/>
  <c r="AO533" s="1"/>
  <c r="AP530"/>
  <c r="AP531"/>
  <c r="AP519"/>
  <c r="AP515"/>
  <c r="AP511"/>
  <c r="AP507"/>
  <c r="AP559"/>
  <c r="AP558"/>
  <c r="AP557"/>
  <c r="F593" i="2"/>
  <c r="F589"/>
  <c r="F585"/>
  <c r="F581"/>
  <c r="AN524" i="10"/>
  <c r="AM43" i="7"/>
  <c r="AM164" s="1"/>
  <c r="AO551" i="10"/>
  <c r="AK201" i="8"/>
  <c r="AK204" s="1"/>
  <c r="AK232" s="1"/>
  <c r="AK233" s="1"/>
  <c r="AP56" i="10"/>
  <c r="AP85"/>
  <c r="AP86" s="1"/>
  <c r="AO524"/>
  <c r="AN572"/>
  <c r="I734"/>
  <c r="J734"/>
  <c r="K734"/>
  <c r="O736"/>
  <c r="P736"/>
  <c r="Q736"/>
  <c r="U738"/>
  <c r="V738"/>
  <c r="W738"/>
  <c r="AA740"/>
  <c r="AB740"/>
  <c r="AC740"/>
  <c r="AP733"/>
  <c r="AP742" s="1"/>
  <c r="AP714" s="1"/>
  <c r="F733"/>
  <c r="G733"/>
  <c r="H733"/>
  <c r="L735"/>
  <c r="M735"/>
  <c r="N735"/>
  <c r="AN575"/>
  <c r="R737"/>
  <c r="S737"/>
  <c r="T737"/>
  <c r="AN577"/>
  <c r="X739"/>
  <c r="Y739"/>
  <c r="Z739"/>
  <c r="AN579"/>
  <c r="AD741"/>
  <c r="AE741"/>
  <c r="AF741"/>
  <c r="AO590" i="8"/>
  <c r="AO586"/>
  <c r="AO582"/>
  <c r="AO578"/>
  <c r="AO65" i="10"/>
  <c r="AN520"/>
  <c r="AN547"/>
  <c r="AO576"/>
  <c r="AO572"/>
  <c r="AN179"/>
  <c r="AN196" s="1"/>
  <c r="AP58"/>
  <c r="AP180"/>
  <c r="AP197" s="1"/>
  <c r="AP141"/>
  <c r="AP153" s="1"/>
  <c r="AP249"/>
  <c r="AP221"/>
  <c r="AK47" i="8"/>
  <c r="AK49" s="1"/>
  <c r="AN527" i="10"/>
  <c r="AN552"/>
  <c r="AO552"/>
  <c r="AO161"/>
  <c r="AO253" s="1"/>
  <c r="AO162"/>
  <c r="AN548"/>
  <c r="AN523"/>
  <c r="AN571"/>
  <c r="AO579"/>
  <c r="AO575"/>
  <c r="AO571"/>
  <c r="AO288"/>
  <c r="AO305"/>
  <c r="AO287"/>
  <c r="AO304"/>
  <c r="AO290"/>
  <c r="AO307"/>
  <c r="AO289"/>
  <c r="AO306"/>
  <c r="AO523"/>
  <c r="AO42"/>
  <c r="AP59"/>
  <c r="AP39"/>
  <c r="AN640"/>
  <c r="AO637" s="1"/>
  <c r="AO283"/>
  <c r="AO299" s="1"/>
  <c r="AN18"/>
  <c r="AN20" s="1"/>
  <c r="AN44" s="1"/>
  <c r="AN308"/>
  <c r="AN291"/>
  <c r="AN519"/>
  <c r="AO548"/>
  <c r="AN41" i="7"/>
  <c r="AO520" i="10"/>
  <c r="AM18" i="8"/>
  <c r="AM20" s="1"/>
  <c r="AM48" i="10"/>
  <c r="AM50" s="1"/>
  <c r="AO633"/>
  <c r="AO14"/>
  <c r="AP506"/>
  <c r="AP510"/>
  <c r="AP522" s="1"/>
  <c r="AP387"/>
  <c r="AP514"/>
  <c r="AP526" s="1"/>
  <c r="AP391"/>
  <c r="AP534"/>
  <c r="AP546" s="1"/>
  <c r="AP411"/>
  <c r="AP538"/>
  <c r="AP550" s="1"/>
  <c r="AP415"/>
  <c r="AP558"/>
  <c r="AP562"/>
  <c r="AP574" s="1"/>
  <c r="AP439"/>
  <c r="AP566"/>
  <c r="AP578" s="1"/>
  <c r="AP443"/>
  <c r="B484"/>
  <c r="B486"/>
  <c r="B488"/>
  <c r="B350"/>
  <c r="B352"/>
  <c r="B354"/>
  <c r="AP509"/>
  <c r="AP521" s="1"/>
  <c r="AP386"/>
  <c r="AP513"/>
  <c r="AP525" s="1"/>
  <c r="AP390"/>
  <c r="AP533"/>
  <c r="AP545" s="1"/>
  <c r="AP410"/>
  <c r="AP537"/>
  <c r="AP549" s="1"/>
  <c r="AP414"/>
  <c r="AP541"/>
  <c r="AP553" s="1"/>
  <c r="AP418"/>
  <c r="AP561"/>
  <c r="AP573" s="1"/>
  <c r="AP438"/>
  <c r="AP565"/>
  <c r="AP577" s="1"/>
  <c r="AP442"/>
  <c r="AP666"/>
  <c r="AP651" s="1"/>
  <c r="B656"/>
  <c r="T520"/>
  <c r="D520"/>
  <c r="E520"/>
  <c r="G520"/>
  <c r="I520"/>
  <c r="J520"/>
  <c r="M520"/>
  <c r="N520"/>
  <c r="O520"/>
  <c r="P520"/>
  <c r="C385"/>
  <c r="D385"/>
  <c r="F385"/>
  <c r="G385"/>
  <c r="K385"/>
  <c r="L385"/>
  <c r="N385"/>
  <c r="Q385"/>
  <c r="R385"/>
  <c r="S385"/>
  <c r="T385"/>
  <c r="V385"/>
  <c r="C520"/>
  <c r="F520"/>
  <c r="H520"/>
  <c r="K520"/>
  <c r="L520"/>
  <c r="Q520"/>
  <c r="R520"/>
  <c r="S520"/>
  <c r="U520"/>
  <c r="E385"/>
  <c r="H385"/>
  <c r="I385"/>
  <c r="J385"/>
  <c r="M385"/>
  <c r="O385"/>
  <c r="P385"/>
  <c r="U385"/>
  <c r="W385"/>
  <c r="V520"/>
  <c r="X385"/>
  <c r="W520"/>
  <c r="X520"/>
  <c r="Y385"/>
  <c r="Y520"/>
  <c r="Z385"/>
  <c r="AA670"/>
  <c r="AA678" s="1"/>
  <c r="AA650" s="1"/>
  <c r="AA60" s="1"/>
  <c r="AA385"/>
  <c r="AB670"/>
  <c r="AB678" s="1"/>
  <c r="AB650" s="1"/>
  <c r="AB60" s="1"/>
  <c r="Z520"/>
  <c r="AC670"/>
  <c r="AC678" s="1"/>
  <c r="AC650" s="1"/>
  <c r="AC60" s="1"/>
  <c r="AB385"/>
  <c r="AA520"/>
  <c r="AC385"/>
  <c r="AD670"/>
  <c r="AD678" s="1"/>
  <c r="AD650" s="1"/>
  <c r="AD60" s="1"/>
  <c r="AB520"/>
  <c r="AC520"/>
  <c r="AE670"/>
  <c r="AE678" s="1"/>
  <c r="AE650" s="1"/>
  <c r="AE60" s="1"/>
  <c r="AD385"/>
  <c r="AF670"/>
  <c r="AF678" s="1"/>
  <c r="AF650" s="1"/>
  <c r="AF60" s="1"/>
  <c r="AE385"/>
  <c r="AD520"/>
  <c r="AG670"/>
  <c r="AG678" s="1"/>
  <c r="AG650" s="1"/>
  <c r="AG60" s="1"/>
  <c r="AF385"/>
  <c r="AE520"/>
  <c r="AF520"/>
  <c r="AG385"/>
  <c r="AH670"/>
  <c r="AH678" s="1"/>
  <c r="AH650" s="1"/>
  <c r="AH60" s="1"/>
  <c r="AH385"/>
  <c r="AI670"/>
  <c r="AI678" s="1"/>
  <c r="AI650" s="1"/>
  <c r="AI60" s="1"/>
  <c r="AG520"/>
  <c r="AI385"/>
  <c r="AH520"/>
  <c r="AJ670"/>
  <c r="AJ678" s="1"/>
  <c r="AJ650" s="1"/>
  <c r="AJ60" s="1"/>
  <c r="AI520"/>
  <c r="AK670"/>
  <c r="AK678" s="1"/>
  <c r="AK650" s="1"/>
  <c r="AK60" s="1"/>
  <c r="AJ385"/>
  <c r="AJ520"/>
  <c r="AL670"/>
  <c r="AL678" s="1"/>
  <c r="AL650" s="1"/>
  <c r="AL60" s="1"/>
  <c r="AK385"/>
  <c r="AL385"/>
  <c r="AK520"/>
  <c r="AM385"/>
  <c r="AL520"/>
  <c r="AN385"/>
  <c r="AM520"/>
  <c r="T522"/>
  <c r="C522"/>
  <c r="D522"/>
  <c r="G522"/>
  <c r="I522"/>
  <c r="J522"/>
  <c r="L522"/>
  <c r="M522"/>
  <c r="N522"/>
  <c r="P522"/>
  <c r="U387"/>
  <c r="E387"/>
  <c r="F387"/>
  <c r="L387"/>
  <c r="N387"/>
  <c r="O387"/>
  <c r="Q387"/>
  <c r="R387"/>
  <c r="T387"/>
  <c r="U522"/>
  <c r="V387"/>
  <c r="E522"/>
  <c r="F522"/>
  <c r="H522"/>
  <c r="K522"/>
  <c r="O522"/>
  <c r="Q522"/>
  <c r="R522"/>
  <c r="S522"/>
  <c r="C387"/>
  <c r="D387"/>
  <c r="G387"/>
  <c r="H387"/>
  <c r="I387"/>
  <c r="J387"/>
  <c r="K387"/>
  <c r="M387"/>
  <c r="P387"/>
  <c r="S387"/>
  <c r="V522"/>
  <c r="W387"/>
  <c r="X387"/>
  <c r="W522"/>
  <c r="Y387"/>
  <c r="X522"/>
  <c r="Y522"/>
  <c r="Z387"/>
  <c r="Z522"/>
  <c r="AA387"/>
  <c r="AB387"/>
  <c r="AA522"/>
  <c r="AB522"/>
  <c r="AC387"/>
  <c r="AD387"/>
  <c r="AC522"/>
  <c r="AE387"/>
  <c r="AD522"/>
  <c r="AF387"/>
  <c r="AE522"/>
  <c r="AF522"/>
  <c r="AG387"/>
  <c r="AG522"/>
  <c r="AH387"/>
  <c r="AI387"/>
  <c r="AH522"/>
  <c r="AJ387"/>
  <c r="AI522"/>
  <c r="AJ522"/>
  <c r="AK387"/>
  <c r="AL387"/>
  <c r="AK522"/>
  <c r="AL522"/>
  <c r="AM387"/>
  <c r="AN387"/>
  <c r="AM522"/>
  <c r="T524"/>
  <c r="C524"/>
  <c r="E524"/>
  <c r="F524"/>
  <c r="H524"/>
  <c r="K524"/>
  <c r="R524"/>
  <c r="U524"/>
  <c r="C389"/>
  <c r="E389"/>
  <c r="H389"/>
  <c r="I389"/>
  <c r="J389"/>
  <c r="M389"/>
  <c r="P389"/>
  <c r="V389"/>
  <c r="U389"/>
  <c r="D524"/>
  <c r="G524"/>
  <c r="I524"/>
  <c r="J524"/>
  <c r="L524"/>
  <c r="M524"/>
  <c r="N524"/>
  <c r="O524"/>
  <c r="P524"/>
  <c r="Q524"/>
  <c r="S524"/>
  <c r="D389"/>
  <c r="F389"/>
  <c r="G389"/>
  <c r="K389"/>
  <c r="L389"/>
  <c r="N389"/>
  <c r="O389"/>
  <c r="Q389"/>
  <c r="R389"/>
  <c r="S389"/>
  <c r="T389"/>
  <c r="W389"/>
  <c r="V524"/>
  <c r="X389"/>
  <c r="W524"/>
  <c r="X524"/>
  <c r="Y389"/>
  <c r="Z389"/>
  <c r="Y524"/>
  <c r="AA389"/>
  <c r="Z524"/>
  <c r="AB389"/>
  <c r="AA524"/>
  <c r="AC389"/>
  <c r="AB524"/>
  <c r="AC524"/>
  <c r="AD389"/>
  <c r="AE389"/>
  <c r="AD524"/>
  <c r="AF389"/>
  <c r="AE524"/>
  <c r="AG389"/>
  <c r="AF524"/>
  <c r="AG524"/>
  <c r="AH389"/>
  <c r="AI389"/>
  <c r="AH524"/>
  <c r="AJ389"/>
  <c r="AI524"/>
  <c r="AJ524"/>
  <c r="AK389"/>
  <c r="AK524"/>
  <c r="AL389"/>
  <c r="AM389"/>
  <c r="AL524"/>
  <c r="AM524"/>
  <c r="AN389"/>
  <c r="U391"/>
  <c r="T526"/>
  <c r="C526"/>
  <c r="D526"/>
  <c r="E526"/>
  <c r="F526"/>
  <c r="G526"/>
  <c r="H526"/>
  <c r="I526"/>
  <c r="K526"/>
  <c r="L526"/>
  <c r="M526"/>
  <c r="O526"/>
  <c r="Q526"/>
  <c r="R526"/>
  <c r="S526"/>
  <c r="C391"/>
  <c r="D391"/>
  <c r="G391"/>
  <c r="H391"/>
  <c r="J391"/>
  <c r="K391"/>
  <c r="P391"/>
  <c r="Q391"/>
  <c r="S391"/>
  <c r="V391"/>
  <c r="J526"/>
  <c r="N526"/>
  <c r="P526"/>
  <c r="U526"/>
  <c r="E391"/>
  <c r="F391"/>
  <c r="I391"/>
  <c r="L391"/>
  <c r="M391"/>
  <c r="N391"/>
  <c r="O391"/>
  <c r="R391"/>
  <c r="T391"/>
  <c r="W391"/>
  <c r="V526"/>
  <c r="X391"/>
  <c r="W526"/>
  <c r="X526"/>
  <c r="Y391"/>
  <c r="Y526"/>
  <c r="Z391"/>
  <c r="AA391"/>
  <c r="Z526"/>
  <c r="AB391"/>
  <c r="AA526"/>
  <c r="AC391"/>
  <c r="AB526"/>
  <c r="AD391"/>
  <c r="AC526"/>
  <c r="AD526"/>
  <c r="AE391"/>
  <c r="AF391"/>
  <c r="AE526"/>
  <c r="AG391"/>
  <c r="AF526"/>
  <c r="AH391"/>
  <c r="AG526"/>
  <c r="AI391"/>
  <c r="AH526"/>
  <c r="AJ391"/>
  <c r="AI526"/>
  <c r="AK391"/>
  <c r="AJ526"/>
  <c r="AK526"/>
  <c r="AL391"/>
  <c r="AM391"/>
  <c r="AL526"/>
  <c r="AN391"/>
  <c r="AM526"/>
  <c r="AP698"/>
  <c r="AP683" s="1"/>
  <c r="AP66" s="1"/>
  <c r="B688"/>
  <c r="AO544" s="1"/>
  <c r="U411"/>
  <c r="T546"/>
  <c r="F546"/>
  <c r="H546"/>
  <c r="K546"/>
  <c r="O546"/>
  <c r="Q546"/>
  <c r="R546"/>
  <c r="S546"/>
  <c r="U546"/>
  <c r="E411"/>
  <c r="F411"/>
  <c r="I411"/>
  <c r="L411"/>
  <c r="M411"/>
  <c r="N411"/>
  <c r="O411"/>
  <c r="R411"/>
  <c r="T411"/>
  <c r="V411"/>
  <c r="C546"/>
  <c r="D546"/>
  <c r="E546"/>
  <c r="G546"/>
  <c r="I546"/>
  <c r="J546"/>
  <c r="L546"/>
  <c r="M546"/>
  <c r="N546"/>
  <c r="P546"/>
  <c r="C411"/>
  <c r="D411"/>
  <c r="G411"/>
  <c r="H411"/>
  <c r="J411"/>
  <c r="K411"/>
  <c r="P411"/>
  <c r="Q411"/>
  <c r="S411"/>
  <c r="V546"/>
  <c r="W411"/>
  <c r="X411"/>
  <c r="W546"/>
  <c r="Y411"/>
  <c r="X546"/>
  <c r="Z411"/>
  <c r="Y546"/>
  <c r="Z546"/>
  <c r="AA411"/>
  <c r="AB411"/>
  <c r="AA546"/>
  <c r="AB546"/>
  <c r="AC411"/>
  <c r="AC546"/>
  <c r="AD411"/>
  <c r="AE411"/>
  <c r="AD546"/>
  <c r="AF411"/>
  <c r="AE546"/>
  <c r="AG702"/>
  <c r="AG710" s="1"/>
  <c r="AG682" s="1"/>
  <c r="AG61" s="1"/>
  <c r="AG411"/>
  <c r="AF546"/>
  <c r="AH702"/>
  <c r="AH710" s="1"/>
  <c r="AH682" s="1"/>
  <c r="AH61" s="1"/>
  <c r="AI702"/>
  <c r="AI710" s="1"/>
  <c r="AI682" s="1"/>
  <c r="AI61" s="1"/>
  <c r="AG546"/>
  <c r="AH411"/>
  <c r="AI411"/>
  <c r="AH546"/>
  <c r="AJ702"/>
  <c r="AJ710" s="1"/>
  <c r="AJ682" s="1"/>
  <c r="AJ61" s="1"/>
  <c r="AJ411"/>
  <c r="AI546"/>
  <c r="AK702"/>
  <c r="AK710" s="1"/>
  <c r="AK682" s="1"/>
  <c r="AK61" s="1"/>
  <c r="AK411"/>
  <c r="AJ546"/>
  <c r="AL702"/>
  <c r="AL710" s="1"/>
  <c r="AL682" s="1"/>
  <c r="AL61" s="1"/>
  <c r="AM702"/>
  <c r="AM710" s="1"/>
  <c r="AM682" s="1"/>
  <c r="AM61" s="1"/>
  <c r="AK546"/>
  <c r="AL411"/>
  <c r="AN702"/>
  <c r="AN710" s="1"/>
  <c r="AN682" s="1"/>
  <c r="AN61" s="1"/>
  <c r="AL546"/>
  <c r="AM411"/>
  <c r="AN411"/>
  <c r="AO702"/>
  <c r="AO710" s="1"/>
  <c r="AO682" s="1"/>
  <c r="AO61" s="1"/>
  <c r="AM546"/>
  <c r="T548"/>
  <c r="D548"/>
  <c r="G548"/>
  <c r="I548"/>
  <c r="J548"/>
  <c r="L548"/>
  <c r="M548"/>
  <c r="N548"/>
  <c r="O548"/>
  <c r="P548"/>
  <c r="Q548"/>
  <c r="S548"/>
  <c r="U548"/>
  <c r="C413"/>
  <c r="E413"/>
  <c r="H413"/>
  <c r="I413"/>
  <c r="J413"/>
  <c r="M413"/>
  <c r="P413"/>
  <c r="V413"/>
  <c r="U413"/>
  <c r="C548"/>
  <c r="E548"/>
  <c r="F548"/>
  <c r="H548"/>
  <c r="K548"/>
  <c r="R548"/>
  <c r="D413"/>
  <c r="F413"/>
  <c r="G413"/>
  <c r="K413"/>
  <c r="L413"/>
  <c r="N413"/>
  <c r="O413"/>
  <c r="Q413"/>
  <c r="R413"/>
  <c r="S413"/>
  <c r="T413"/>
  <c r="W413"/>
  <c r="V548"/>
  <c r="X413"/>
  <c r="W548"/>
  <c r="X548"/>
  <c r="Y413"/>
  <c r="Z413"/>
  <c r="Y548"/>
  <c r="AA413"/>
  <c r="Z548"/>
  <c r="AB413"/>
  <c r="AA548"/>
  <c r="AC413"/>
  <c r="AB548"/>
  <c r="AC548"/>
  <c r="AD413"/>
  <c r="AE413"/>
  <c r="AD548"/>
  <c r="AF413"/>
  <c r="AE548"/>
  <c r="AG413"/>
  <c r="AF548"/>
  <c r="AG548"/>
  <c r="AH413"/>
  <c r="AI413"/>
  <c r="AH548"/>
  <c r="AJ413"/>
  <c r="AI548"/>
  <c r="AJ548"/>
  <c r="AK413"/>
  <c r="AK548"/>
  <c r="AL413"/>
  <c r="AM413"/>
  <c r="AL548"/>
  <c r="AM548"/>
  <c r="AN413"/>
  <c r="U415"/>
  <c r="T550"/>
  <c r="J550"/>
  <c r="N550"/>
  <c r="P550"/>
  <c r="C415"/>
  <c r="D415"/>
  <c r="G415"/>
  <c r="H415"/>
  <c r="J415"/>
  <c r="K415"/>
  <c r="P415"/>
  <c r="Q415"/>
  <c r="S415"/>
  <c r="V415"/>
  <c r="C550"/>
  <c r="D550"/>
  <c r="E550"/>
  <c r="F550"/>
  <c r="G550"/>
  <c r="H550"/>
  <c r="I550"/>
  <c r="K550"/>
  <c r="L550"/>
  <c r="M550"/>
  <c r="O550"/>
  <c r="Q550"/>
  <c r="R550"/>
  <c r="S550"/>
  <c r="U550"/>
  <c r="E415"/>
  <c r="F415"/>
  <c r="I415"/>
  <c r="L415"/>
  <c r="M415"/>
  <c r="N415"/>
  <c r="O415"/>
  <c r="R415"/>
  <c r="T415"/>
  <c r="W415"/>
  <c r="V550"/>
  <c r="X415"/>
  <c r="W550"/>
  <c r="X550"/>
  <c r="Y415"/>
  <c r="Y550"/>
  <c r="Z415"/>
  <c r="AA415"/>
  <c r="Z550"/>
  <c r="AB415"/>
  <c r="AA550"/>
  <c r="AC415"/>
  <c r="AB550"/>
  <c r="AD415"/>
  <c r="AC550"/>
  <c r="AD550"/>
  <c r="AE415"/>
  <c r="AF415"/>
  <c r="AE550"/>
  <c r="AG415"/>
  <c r="AF550"/>
  <c r="AH415"/>
  <c r="AG550"/>
  <c r="AI415"/>
  <c r="AH550"/>
  <c r="AJ415"/>
  <c r="AI550"/>
  <c r="AK415"/>
  <c r="AJ550"/>
  <c r="AK550"/>
  <c r="AL415"/>
  <c r="AM415"/>
  <c r="AL550"/>
  <c r="AN415"/>
  <c r="AM550"/>
  <c r="T552"/>
  <c r="C552"/>
  <c r="D552"/>
  <c r="E552"/>
  <c r="G552"/>
  <c r="I552"/>
  <c r="J552"/>
  <c r="K552"/>
  <c r="M552"/>
  <c r="N552"/>
  <c r="O552"/>
  <c r="P552"/>
  <c r="D417"/>
  <c r="F417"/>
  <c r="G417"/>
  <c r="K417"/>
  <c r="L417"/>
  <c r="N417"/>
  <c r="O417"/>
  <c r="Q417"/>
  <c r="R417"/>
  <c r="S417"/>
  <c r="T417"/>
  <c r="V417"/>
  <c r="F552"/>
  <c r="H552"/>
  <c r="L552"/>
  <c r="Q552"/>
  <c r="R552"/>
  <c r="S552"/>
  <c r="U552"/>
  <c r="C417"/>
  <c r="E417"/>
  <c r="H417"/>
  <c r="I417"/>
  <c r="J417"/>
  <c r="M417"/>
  <c r="P417"/>
  <c r="U417"/>
  <c r="V552"/>
  <c r="W417"/>
  <c r="X417"/>
  <c r="W552"/>
  <c r="X552"/>
  <c r="Y417"/>
  <c r="Y552"/>
  <c r="Z417"/>
  <c r="Z552"/>
  <c r="AA417"/>
  <c r="AA552"/>
  <c r="AB417"/>
  <c r="AC417"/>
  <c r="AB552"/>
  <c r="AC552"/>
  <c r="AD417"/>
  <c r="AE417"/>
  <c r="AD552"/>
  <c r="AF417"/>
  <c r="AE552"/>
  <c r="AF552"/>
  <c r="AG417"/>
  <c r="AH417"/>
  <c r="AG552"/>
  <c r="AH552"/>
  <c r="AI417"/>
  <c r="AJ417"/>
  <c r="AI552"/>
  <c r="AJ552"/>
  <c r="AK417"/>
  <c r="AL417"/>
  <c r="AK552"/>
  <c r="AL552"/>
  <c r="AM417"/>
  <c r="AN417"/>
  <c r="AM552"/>
  <c r="AP730"/>
  <c r="AP715" s="1"/>
  <c r="AP67" s="1"/>
  <c r="B720"/>
  <c r="AP435" s="1"/>
  <c r="T572"/>
  <c r="C572"/>
  <c r="E572"/>
  <c r="F572"/>
  <c r="H572"/>
  <c r="K572"/>
  <c r="R572"/>
  <c r="U572"/>
  <c r="C437"/>
  <c r="E437"/>
  <c r="H437"/>
  <c r="I437"/>
  <c r="J437"/>
  <c r="M437"/>
  <c r="P437"/>
  <c r="V437"/>
  <c r="U437"/>
  <c r="D572"/>
  <c r="G572"/>
  <c r="I572"/>
  <c r="J572"/>
  <c r="L572"/>
  <c r="M572"/>
  <c r="N572"/>
  <c r="O572"/>
  <c r="P572"/>
  <c r="Q572"/>
  <c r="S572"/>
  <c r="D437"/>
  <c r="F437"/>
  <c r="G437"/>
  <c r="K437"/>
  <c r="L437"/>
  <c r="N437"/>
  <c r="O437"/>
  <c r="Q437"/>
  <c r="R437"/>
  <c r="S437"/>
  <c r="T437"/>
  <c r="W437"/>
  <c r="V572"/>
  <c r="X437"/>
  <c r="W572"/>
  <c r="X572"/>
  <c r="Y437"/>
  <c r="Z437"/>
  <c r="Y572"/>
  <c r="AA437"/>
  <c r="Z572"/>
  <c r="AB437"/>
  <c r="AA572"/>
  <c r="AC437"/>
  <c r="AB572"/>
  <c r="AC572"/>
  <c r="AD437"/>
  <c r="AE437"/>
  <c r="AD572"/>
  <c r="AF437"/>
  <c r="AE572"/>
  <c r="AG437"/>
  <c r="AF572"/>
  <c r="AG572"/>
  <c r="AH437"/>
  <c r="AI437"/>
  <c r="AH572"/>
  <c r="AJ437"/>
  <c r="AI572"/>
  <c r="AJ572"/>
  <c r="AK437"/>
  <c r="AK572"/>
  <c r="AL437"/>
  <c r="AM437"/>
  <c r="AL572"/>
  <c r="AM572"/>
  <c r="AN437"/>
  <c r="U439"/>
  <c r="T574"/>
  <c r="C574"/>
  <c r="D574"/>
  <c r="E574"/>
  <c r="F574"/>
  <c r="G574"/>
  <c r="H574"/>
  <c r="I574"/>
  <c r="K574"/>
  <c r="L574"/>
  <c r="M574"/>
  <c r="O574"/>
  <c r="Q574"/>
  <c r="R574"/>
  <c r="S574"/>
  <c r="C439"/>
  <c r="D439"/>
  <c r="G439"/>
  <c r="H439"/>
  <c r="J439"/>
  <c r="K439"/>
  <c r="P439"/>
  <c r="Q439"/>
  <c r="S439"/>
  <c r="V439"/>
  <c r="J574"/>
  <c r="N574"/>
  <c r="P574"/>
  <c r="U574"/>
  <c r="E439"/>
  <c r="F439"/>
  <c r="I439"/>
  <c r="L439"/>
  <c r="M439"/>
  <c r="N439"/>
  <c r="O439"/>
  <c r="R439"/>
  <c r="T439"/>
  <c r="W439"/>
  <c r="V574"/>
  <c r="X439"/>
  <c r="W574"/>
  <c r="X574"/>
  <c r="Y439"/>
  <c r="Y574"/>
  <c r="Z439"/>
  <c r="AA439"/>
  <c r="Z574"/>
  <c r="AB439"/>
  <c r="AA574"/>
  <c r="AC439"/>
  <c r="AB574"/>
  <c r="AD439"/>
  <c r="AC574"/>
  <c r="AD574"/>
  <c r="AE439"/>
  <c r="AF439"/>
  <c r="AE574"/>
  <c r="AG439"/>
  <c r="AF574"/>
  <c r="AH439"/>
  <c r="AG574"/>
  <c r="AI439"/>
  <c r="AH574"/>
  <c r="AJ439"/>
  <c r="AI574"/>
  <c r="AK439"/>
  <c r="AJ574"/>
  <c r="AK574"/>
  <c r="AL439"/>
  <c r="AM439"/>
  <c r="AL574"/>
  <c r="AN439"/>
  <c r="AM574"/>
  <c r="T576"/>
  <c r="F576"/>
  <c r="H576"/>
  <c r="L576"/>
  <c r="Q576"/>
  <c r="R576"/>
  <c r="S576"/>
  <c r="D441"/>
  <c r="F441"/>
  <c r="G441"/>
  <c r="K441"/>
  <c r="L441"/>
  <c r="N441"/>
  <c r="O441"/>
  <c r="Q441"/>
  <c r="R441"/>
  <c r="S441"/>
  <c r="T441"/>
  <c r="V441"/>
  <c r="C576"/>
  <c r="D576"/>
  <c r="E576"/>
  <c r="G576"/>
  <c r="I576"/>
  <c r="J576"/>
  <c r="K576"/>
  <c r="M576"/>
  <c r="N576"/>
  <c r="O576"/>
  <c r="P576"/>
  <c r="U576"/>
  <c r="C441"/>
  <c r="E441"/>
  <c r="H441"/>
  <c r="I441"/>
  <c r="J441"/>
  <c r="M441"/>
  <c r="P441"/>
  <c r="U441"/>
  <c r="V576"/>
  <c r="W441"/>
  <c r="X441"/>
  <c r="W576"/>
  <c r="X576"/>
  <c r="Y441"/>
  <c r="Y576"/>
  <c r="Z441"/>
  <c r="Z576"/>
  <c r="AA441"/>
  <c r="AA576"/>
  <c r="AB441"/>
  <c r="AC441"/>
  <c r="AB576"/>
  <c r="AC576"/>
  <c r="AD441"/>
  <c r="AE441"/>
  <c r="AD576"/>
  <c r="AF441"/>
  <c r="AE576"/>
  <c r="AF576"/>
  <c r="AG441"/>
  <c r="AH441"/>
  <c r="AG576"/>
  <c r="AH576"/>
  <c r="AI441"/>
  <c r="AJ441"/>
  <c r="AI576"/>
  <c r="AJ576"/>
  <c r="AK441"/>
  <c r="AL441"/>
  <c r="AK576"/>
  <c r="AL576"/>
  <c r="AM441"/>
  <c r="AN441"/>
  <c r="AM576"/>
  <c r="U443"/>
  <c r="T578"/>
  <c r="F578"/>
  <c r="H578"/>
  <c r="K578"/>
  <c r="O578"/>
  <c r="Q578"/>
  <c r="R578"/>
  <c r="S578"/>
  <c r="U578"/>
  <c r="E443"/>
  <c r="F443"/>
  <c r="I443"/>
  <c r="L443"/>
  <c r="M443"/>
  <c r="N443"/>
  <c r="O443"/>
  <c r="R443"/>
  <c r="T443"/>
  <c r="V443"/>
  <c r="C578"/>
  <c r="D578"/>
  <c r="E578"/>
  <c r="G578"/>
  <c r="I578"/>
  <c r="J578"/>
  <c r="L578"/>
  <c r="M578"/>
  <c r="N578"/>
  <c r="P578"/>
  <c r="C443"/>
  <c r="D443"/>
  <c r="G443"/>
  <c r="H443"/>
  <c r="J443"/>
  <c r="K443"/>
  <c r="P443"/>
  <c r="Q443"/>
  <c r="S443"/>
  <c r="V578"/>
  <c r="W443"/>
  <c r="X443"/>
  <c r="W578"/>
  <c r="Y443"/>
  <c r="X578"/>
  <c r="Z443"/>
  <c r="Y578"/>
  <c r="Z578"/>
  <c r="AA443"/>
  <c r="AB443"/>
  <c r="AA578"/>
  <c r="AB578"/>
  <c r="AC443"/>
  <c r="AC578"/>
  <c r="AD443"/>
  <c r="AE443"/>
  <c r="AD578"/>
  <c r="AF443"/>
  <c r="AE578"/>
  <c r="AG443"/>
  <c r="AF578"/>
  <c r="AG578"/>
  <c r="AH443"/>
  <c r="AI443"/>
  <c r="AH578"/>
  <c r="AJ443"/>
  <c r="AI578"/>
  <c r="AK443"/>
  <c r="AJ578"/>
  <c r="AK578"/>
  <c r="AL443"/>
  <c r="AL578"/>
  <c r="AM443"/>
  <c r="AN443"/>
  <c r="AM578"/>
  <c r="AP49"/>
  <c r="AP281" s="1"/>
  <c r="AP297" s="1"/>
  <c r="AO16"/>
  <c r="AO17"/>
  <c r="AK122"/>
  <c r="AO565" i="7"/>
  <c r="AP562" s="1"/>
  <c r="AP27" i="10"/>
  <c r="AP702"/>
  <c r="AN526"/>
  <c r="AN550"/>
  <c r="AN574"/>
  <c r="AO578"/>
  <c r="AO574"/>
  <c r="AO550"/>
  <c r="AO546"/>
  <c r="AO526"/>
  <c r="AO387"/>
  <c r="AO577"/>
  <c r="AO573"/>
  <c r="AO553"/>
  <c r="AO549"/>
  <c r="AO545"/>
  <c r="AO525"/>
  <c r="AO521"/>
  <c r="AO118"/>
  <c r="AO15"/>
  <c r="AP630"/>
  <c r="AP631" s="1"/>
  <c r="AP622"/>
  <c r="AP623" s="1"/>
  <c r="AP626"/>
  <c r="AP627" s="1"/>
  <c r="AP618"/>
  <c r="AP619" s="1"/>
  <c r="AP592"/>
  <c r="AP593" s="1"/>
  <c r="AP586"/>
  <c r="AP587" s="1"/>
  <c r="AP130"/>
  <c r="B133" s="1"/>
  <c r="AP29"/>
  <c r="AP31" s="1"/>
  <c r="AP10"/>
  <c r="AP12" s="1"/>
  <c r="AP280" s="1"/>
  <c r="AP296" s="1"/>
  <c r="AP508"/>
  <c r="AP520" s="1"/>
  <c r="AP385"/>
  <c r="AP512"/>
  <c r="AP524" s="1"/>
  <c r="AP389"/>
  <c r="AP532"/>
  <c r="AP536"/>
  <c r="AP548" s="1"/>
  <c r="AP413"/>
  <c r="AP540"/>
  <c r="AP552" s="1"/>
  <c r="AP417"/>
  <c r="AP560"/>
  <c r="AP572" s="1"/>
  <c r="AP437"/>
  <c r="AP564"/>
  <c r="AP576" s="1"/>
  <c r="AP441"/>
  <c r="AP502"/>
  <c r="B483"/>
  <c r="B485"/>
  <c r="B487"/>
  <c r="AP368"/>
  <c r="B349"/>
  <c r="B351"/>
  <c r="B353"/>
  <c r="AP507"/>
  <c r="AP519" s="1"/>
  <c r="AP384"/>
  <c r="AP511"/>
  <c r="AP523" s="1"/>
  <c r="AP388"/>
  <c r="AP515"/>
  <c r="AP527" s="1"/>
  <c r="AP392"/>
  <c r="AP535"/>
  <c r="AP547" s="1"/>
  <c r="AP412"/>
  <c r="AP539"/>
  <c r="AP551" s="1"/>
  <c r="AP416"/>
  <c r="AP559"/>
  <c r="AP571" s="1"/>
  <c r="AP436"/>
  <c r="AP563"/>
  <c r="AP575" s="1"/>
  <c r="AP440"/>
  <c r="AP567"/>
  <c r="AP579" s="1"/>
  <c r="AP444"/>
  <c r="O669"/>
  <c r="O678" s="1"/>
  <c r="O650" s="1"/>
  <c r="O60" s="1"/>
  <c r="P669"/>
  <c r="P678" s="1"/>
  <c r="P650" s="1"/>
  <c r="P60" s="1"/>
  <c r="Q669"/>
  <c r="Q678" s="1"/>
  <c r="Q650" s="1"/>
  <c r="Q60" s="1"/>
  <c r="R669"/>
  <c r="R678" s="1"/>
  <c r="R650" s="1"/>
  <c r="R60" s="1"/>
  <c r="S669"/>
  <c r="S678" s="1"/>
  <c r="S650" s="1"/>
  <c r="S60" s="1"/>
  <c r="T669"/>
  <c r="T678" s="1"/>
  <c r="T650" s="1"/>
  <c r="T60" s="1"/>
  <c r="U669"/>
  <c r="U678" s="1"/>
  <c r="U650" s="1"/>
  <c r="U60" s="1"/>
  <c r="V669"/>
  <c r="V678" s="1"/>
  <c r="V650" s="1"/>
  <c r="V60" s="1"/>
  <c r="T519"/>
  <c r="W669"/>
  <c r="W678" s="1"/>
  <c r="W650" s="1"/>
  <c r="W60" s="1"/>
  <c r="C519"/>
  <c r="D519"/>
  <c r="E519"/>
  <c r="I519"/>
  <c r="K519"/>
  <c r="L519"/>
  <c r="M519"/>
  <c r="N519"/>
  <c r="P519"/>
  <c r="C384"/>
  <c r="P384"/>
  <c r="Q384"/>
  <c r="V384"/>
  <c r="F519"/>
  <c r="G519"/>
  <c r="H519"/>
  <c r="J519"/>
  <c r="O519"/>
  <c r="Q519"/>
  <c r="R519"/>
  <c r="S519"/>
  <c r="U519"/>
  <c r="D384"/>
  <c r="E384"/>
  <c r="F384"/>
  <c r="G384"/>
  <c r="H384"/>
  <c r="I384"/>
  <c r="J384"/>
  <c r="K384"/>
  <c r="L384"/>
  <c r="M384"/>
  <c r="N384"/>
  <c r="O384"/>
  <c r="R384"/>
  <c r="S384"/>
  <c r="T384"/>
  <c r="U384"/>
  <c r="W384"/>
  <c r="V519"/>
  <c r="X669"/>
  <c r="X678" s="1"/>
  <c r="X650" s="1"/>
  <c r="X60" s="1"/>
  <c r="X384"/>
  <c r="W519"/>
  <c r="Y669"/>
  <c r="Y678" s="1"/>
  <c r="Y650" s="1"/>
  <c r="Y60" s="1"/>
  <c r="X519"/>
  <c r="Z669"/>
  <c r="Z678" s="1"/>
  <c r="Z650" s="1"/>
  <c r="Z60" s="1"/>
  <c r="Y384"/>
  <c r="Y519"/>
  <c r="Z384"/>
  <c r="AA384"/>
  <c r="Z519"/>
  <c r="AB384"/>
  <c r="AA519"/>
  <c r="AC384"/>
  <c r="AB519"/>
  <c r="AC519"/>
  <c r="AD384"/>
  <c r="AE384"/>
  <c r="AD519"/>
  <c r="AF384"/>
  <c r="AE519"/>
  <c r="AG384"/>
  <c r="AF519"/>
  <c r="AH384"/>
  <c r="AG519"/>
  <c r="AI384"/>
  <c r="AH519"/>
  <c r="AJ384"/>
  <c r="AI519"/>
  <c r="AJ519"/>
  <c r="AK384"/>
  <c r="AL384"/>
  <c r="AK519"/>
  <c r="AM384"/>
  <c r="AL519"/>
  <c r="AM519"/>
  <c r="AN384"/>
  <c r="U386"/>
  <c r="T521"/>
  <c r="V386"/>
  <c r="C521"/>
  <c r="D521"/>
  <c r="E521"/>
  <c r="G521"/>
  <c r="J521"/>
  <c r="N521"/>
  <c r="P521"/>
  <c r="Q521"/>
  <c r="E386"/>
  <c r="H386"/>
  <c r="I386"/>
  <c r="J386"/>
  <c r="M386"/>
  <c r="O386"/>
  <c r="P386"/>
  <c r="F521"/>
  <c r="H521"/>
  <c r="I521"/>
  <c r="K521"/>
  <c r="L521"/>
  <c r="M521"/>
  <c r="O521"/>
  <c r="R521"/>
  <c r="S521"/>
  <c r="U521"/>
  <c r="C386"/>
  <c r="D386"/>
  <c r="F386"/>
  <c r="G386"/>
  <c r="K386"/>
  <c r="L386"/>
  <c r="N386"/>
  <c r="Q386"/>
  <c r="R386"/>
  <c r="S386"/>
  <c r="T386"/>
  <c r="V521"/>
  <c r="W386"/>
  <c r="X386"/>
  <c r="W521"/>
  <c r="X521"/>
  <c r="Y386"/>
  <c r="Z386"/>
  <c r="Y521"/>
  <c r="AA386"/>
  <c r="Z521"/>
  <c r="AB386"/>
  <c r="AA521"/>
  <c r="AC386"/>
  <c r="AB521"/>
  <c r="AC521"/>
  <c r="AD386"/>
  <c r="AD521"/>
  <c r="AE386"/>
  <c r="AF386"/>
  <c r="AE521"/>
  <c r="AG386"/>
  <c r="AF521"/>
  <c r="AG521"/>
  <c r="AH386"/>
  <c r="AI386"/>
  <c r="AH521"/>
  <c r="AJ386"/>
  <c r="AI521"/>
  <c r="AK386"/>
  <c r="AJ521"/>
  <c r="AM671"/>
  <c r="AM678" s="1"/>
  <c r="AM650" s="1"/>
  <c r="AM60" s="1"/>
  <c r="AK521"/>
  <c r="AL386"/>
  <c r="AN671"/>
  <c r="AN678" s="1"/>
  <c r="AN650" s="1"/>
  <c r="AN60" s="1"/>
  <c r="AM386"/>
  <c r="AL521"/>
  <c r="AN386"/>
  <c r="AO671"/>
  <c r="AO678" s="1"/>
  <c r="AO650" s="1"/>
  <c r="AO60" s="1"/>
  <c r="AM521"/>
  <c r="T523"/>
  <c r="D523"/>
  <c r="E523"/>
  <c r="H523"/>
  <c r="J523"/>
  <c r="N523"/>
  <c r="P523"/>
  <c r="S523"/>
  <c r="U523"/>
  <c r="D388"/>
  <c r="E388"/>
  <c r="F388"/>
  <c r="G388"/>
  <c r="H388"/>
  <c r="I388"/>
  <c r="J388"/>
  <c r="K388"/>
  <c r="L388"/>
  <c r="M388"/>
  <c r="N388"/>
  <c r="O388"/>
  <c r="R388"/>
  <c r="S388"/>
  <c r="T388"/>
  <c r="V388"/>
  <c r="U388"/>
  <c r="C523"/>
  <c r="F523"/>
  <c r="G523"/>
  <c r="I523"/>
  <c r="K523"/>
  <c r="L523"/>
  <c r="M523"/>
  <c r="O523"/>
  <c r="Q523"/>
  <c r="R523"/>
  <c r="C388"/>
  <c r="P388"/>
  <c r="Q388"/>
  <c r="V523"/>
  <c r="W388"/>
  <c r="X388"/>
  <c r="W523"/>
  <c r="X523"/>
  <c r="Y388"/>
  <c r="Z388"/>
  <c r="Y523"/>
  <c r="Z523"/>
  <c r="AA388"/>
  <c r="AA523"/>
  <c r="AB388"/>
  <c r="AC388"/>
  <c r="AB523"/>
  <c r="AC523"/>
  <c r="AD388"/>
  <c r="AE388"/>
  <c r="AD523"/>
  <c r="AF388"/>
  <c r="AE523"/>
  <c r="AF523"/>
  <c r="AG388"/>
  <c r="AG523"/>
  <c r="AH388"/>
  <c r="AH523"/>
  <c r="AI388"/>
  <c r="AJ388"/>
  <c r="AI523"/>
  <c r="AJ523"/>
  <c r="AK388"/>
  <c r="AK523"/>
  <c r="AL388"/>
  <c r="AL523"/>
  <c r="AM388"/>
  <c r="AN388"/>
  <c r="AM523"/>
  <c r="U390"/>
  <c r="T525"/>
  <c r="V390"/>
  <c r="C525"/>
  <c r="D525"/>
  <c r="G525"/>
  <c r="J525"/>
  <c r="K525"/>
  <c r="L525"/>
  <c r="N525"/>
  <c r="O525"/>
  <c r="P525"/>
  <c r="S525"/>
  <c r="U525"/>
  <c r="C390"/>
  <c r="D390"/>
  <c r="F390"/>
  <c r="G390"/>
  <c r="K390"/>
  <c r="L390"/>
  <c r="N390"/>
  <c r="Q390"/>
  <c r="R390"/>
  <c r="S390"/>
  <c r="T390"/>
  <c r="E525"/>
  <c r="F525"/>
  <c r="H525"/>
  <c r="I525"/>
  <c r="M525"/>
  <c r="Q525"/>
  <c r="R525"/>
  <c r="E390"/>
  <c r="H390"/>
  <c r="I390"/>
  <c r="J390"/>
  <c r="M390"/>
  <c r="O390"/>
  <c r="P390"/>
  <c r="V525"/>
  <c r="W390"/>
  <c r="X390"/>
  <c r="W525"/>
  <c r="Y390"/>
  <c r="X525"/>
  <c r="Y525"/>
  <c r="Z390"/>
  <c r="Z525"/>
  <c r="AA390"/>
  <c r="AB390"/>
  <c r="AA525"/>
  <c r="AB525"/>
  <c r="AC390"/>
  <c r="AD390"/>
  <c r="AC525"/>
  <c r="AE390"/>
  <c r="AD525"/>
  <c r="AF390"/>
  <c r="AE525"/>
  <c r="AG390"/>
  <c r="AF525"/>
  <c r="AH390"/>
  <c r="AG525"/>
  <c r="AI390"/>
  <c r="AH525"/>
  <c r="AJ390"/>
  <c r="AI525"/>
  <c r="AK390"/>
  <c r="AJ525"/>
  <c r="AK525"/>
  <c r="AL390"/>
  <c r="AL525"/>
  <c r="AM390"/>
  <c r="AN390"/>
  <c r="AM525"/>
  <c r="T527"/>
  <c r="F527"/>
  <c r="G527"/>
  <c r="H527"/>
  <c r="J527"/>
  <c r="O527"/>
  <c r="Q527"/>
  <c r="R527"/>
  <c r="S527"/>
  <c r="C392"/>
  <c r="P392"/>
  <c r="Q392"/>
  <c r="V392"/>
  <c r="C527"/>
  <c r="D527"/>
  <c r="E527"/>
  <c r="I527"/>
  <c r="K527"/>
  <c r="L527"/>
  <c r="M527"/>
  <c r="N527"/>
  <c r="P527"/>
  <c r="U527"/>
  <c r="D392"/>
  <c r="E392"/>
  <c r="F392"/>
  <c r="G392"/>
  <c r="H392"/>
  <c r="I392"/>
  <c r="J392"/>
  <c r="K392"/>
  <c r="L392"/>
  <c r="M392"/>
  <c r="N392"/>
  <c r="O392"/>
  <c r="R392"/>
  <c r="S392"/>
  <c r="T392"/>
  <c r="U392"/>
  <c r="W392"/>
  <c r="V527"/>
  <c r="X392"/>
  <c r="W527"/>
  <c r="X527"/>
  <c r="Y392"/>
  <c r="Y527"/>
  <c r="Z392"/>
  <c r="AA392"/>
  <c r="Z527"/>
  <c r="AB392"/>
  <c r="AA527"/>
  <c r="AC392"/>
  <c r="AB527"/>
  <c r="AC527"/>
  <c r="AD392"/>
  <c r="AE392"/>
  <c r="AD527"/>
  <c r="AF392"/>
  <c r="AE527"/>
  <c r="AG392"/>
  <c r="AF527"/>
  <c r="AH392"/>
  <c r="AG527"/>
  <c r="AI392"/>
  <c r="AH527"/>
  <c r="AJ392"/>
  <c r="AI527"/>
  <c r="AJ527"/>
  <c r="AK392"/>
  <c r="AL392"/>
  <c r="AK527"/>
  <c r="AM392"/>
  <c r="AL527"/>
  <c r="AM527"/>
  <c r="AN392"/>
  <c r="R701"/>
  <c r="R710" s="1"/>
  <c r="R682" s="1"/>
  <c r="R61" s="1"/>
  <c r="S701"/>
  <c r="S710" s="1"/>
  <c r="S682" s="1"/>
  <c r="S61" s="1"/>
  <c r="T701"/>
  <c r="T710" s="1"/>
  <c r="T682" s="1"/>
  <c r="T61" s="1"/>
  <c r="U701"/>
  <c r="U710" s="1"/>
  <c r="U682" s="1"/>
  <c r="U61" s="1"/>
  <c r="V701"/>
  <c r="V710" s="1"/>
  <c r="V682" s="1"/>
  <c r="V61" s="1"/>
  <c r="U410"/>
  <c r="T545"/>
  <c r="D545"/>
  <c r="E545"/>
  <c r="F545"/>
  <c r="H545"/>
  <c r="I545"/>
  <c r="K545"/>
  <c r="L545"/>
  <c r="M545"/>
  <c r="O545"/>
  <c r="R545"/>
  <c r="S545"/>
  <c r="E410"/>
  <c r="H410"/>
  <c r="I410"/>
  <c r="J410"/>
  <c r="M410"/>
  <c r="O410"/>
  <c r="P410"/>
  <c r="V410"/>
  <c r="W701"/>
  <c r="W710" s="1"/>
  <c r="W682" s="1"/>
  <c r="W61" s="1"/>
  <c r="C545"/>
  <c r="G545"/>
  <c r="J545"/>
  <c r="N545"/>
  <c r="P545"/>
  <c r="Q545"/>
  <c r="U545"/>
  <c r="C410"/>
  <c r="D410"/>
  <c r="F410"/>
  <c r="G410"/>
  <c r="K410"/>
  <c r="L410"/>
  <c r="N410"/>
  <c r="Q410"/>
  <c r="R410"/>
  <c r="S410"/>
  <c r="T410"/>
  <c r="X701"/>
  <c r="X710" s="1"/>
  <c r="X682" s="1"/>
  <c r="X61" s="1"/>
  <c r="W410"/>
  <c r="V545"/>
  <c r="Y701"/>
  <c r="Y710" s="1"/>
  <c r="Y682" s="1"/>
  <c r="Y61" s="1"/>
  <c r="X410"/>
  <c r="W545"/>
  <c r="X545"/>
  <c r="Y410"/>
  <c r="Z701"/>
  <c r="Z710" s="1"/>
  <c r="Z682" s="1"/>
  <c r="Z61" s="1"/>
  <c r="AA701"/>
  <c r="AA710" s="1"/>
  <c r="AA682" s="1"/>
  <c r="AA61" s="1"/>
  <c r="Z410"/>
  <c r="Y545"/>
  <c r="AB701"/>
  <c r="AB710" s="1"/>
  <c r="AB682" s="1"/>
  <c r="AB61" s="1"/>
  <c r="AA410"/>
  <c r="Z545"/>
  <c r="AB410"/>
  <c r="AA545"/>
  <c r="AC701"/>
  <c r="AC710" s="1"/>
  <c r="AC682" s="1"/>
  <c r="AC61" s="1"/>
  <c r="AD701"/>
  <c r="AD710" s="1"/>
  <c r="AD682" s="1"/>
  <c r="AD61" s="1"/>
  <c r="AC410"/>
  <c r="AB545"/>
  <c r="AC545"/>
  <c r="AE701"/>
  <c r="AE710" s="1"/>
  <c r="AE682" s="1"/>
  <c r="AE61" s="1"/>
  <c r="AD410"/>
  <c r="AD545"/>
  <c r="AF701"/>
  <c r="AF710" s="1"/>
  <c r="AF682" s="1"/>
  <c r="AF61" s="1"/>
  <c r="AE410"/>
  <c r="AF410"/>
  <c r="AE545"/>
  <c r="AG410"/>
  <c r="AF545"/>
  <c r="AG545"/>
  <c r="AH410"/>
  <c r="AI410"/>
  <c r="AH545"/>
  <c r="AJ410"/>
  <c r="AI545"/>
  <c r="AK410"/>
  <c r="AJ545"/>
  <c r="AK545"/>
  <c r="AL410"/>
  <c r="AM410"/>
  <c r="AL545"/>
  <c r="AN410"/>
  <c r="AM545"/>
  <c r="T547"/>
  <c r="C547"/>
  <c r="F547"/>
  <c r="G547"/>
  <c r="I547"/>
  <c r="K547"/>
  <c r="L547"/>
  <c r="M547"/>
  <c r="O547"/>
  <c r="Q547"/>
  <c r="R547"/>
  <c r="U547"/>
  <c r="D412"/>
  <c r="E412"/>
  <c r="F412"/>
  <c r="G412"/>
  <c r="H412"/>
  <c r="I412"/>
  <c r="J412"/>
  <c r="K412"/>
  <c r="L412"/>
  <c r="M412"/>
  <c r="N412"/>
  <c r="O412"/>
  <c r="R412"/>
  <c r="S412"/>
  <c r="T412"/>
  <c r="V412"/>
  <c r="U412"/>
  <c r="D547"/>
  <c r="E547"/>
  <c r="H547"/>
  <c r="J547"/>
  <c r="N547"/>
  <c r="P547"/>
  <c r="S547"/>
  <c r="C412"/>
  <c r="P412"/>
  <c r="Q412"/>
  <c r="V547"/>
  <c r="W412"/>
  <c r="X412"/>
  <c r="W547"/>
  <c r="X547"/>
  <c r="Y412"/>
  <c r="Z412"/>
  <c r="Y547"/>
  <c r="Z547"/>
  <c r="AA412"/>
  <c r="AA547"/>
  <c r="AB412"/>
  <c r="AC412"/>
  <c r="AB547"/>
  <c r="AC547"/>
  <c r="AD412"/>
  <c r="AE412"/>
  <c r="AD547"/>
  <c r="AF412"/>
  <c r="AE547"/>
  <c r="AF547"/>
  <c r="AG412"/>
  <c r="AG547"/>
  <c r="AH412"/>
  <c r="AH547"/>
  <c r="AI412"/>
  <c r="AJ412"/>
  <c r="AI547"/>
  <c r="AJ547"/>
  <c r="AK412"/>
  <c r="AK547"/>
  <c r="AL412"/>
  <c r="AL547"/>
  <c r="AM412"/>
  <c r="AN412"/>
  <c r="AM547"/>
  <c r="U414"/>
  <c r="T549"/>
  <c r="D549"/>
  <c r="E549"/>
  <c r="F549"/>
  <c r="H549"/>
  <c r="I549"/>
  <c r="M549"/>
  <c r="Q549"/>
  <c r="R549"/>
  <c r="U549"/>
  <c r="C414"/>
  <c r="D414"/>
  <c r="F414"/>
  <c r="G414"/>
  <c r="K414"/>
  <c r="L414"/>
  <c r="N414"/>
  <c r="Q414"/>
  <c r="R414"/>
  <c r="S414"/>
  <c r="T414"/>
  <c r="V414"/>
  <c r="C549"/>
  <c r="G549"/>
  <c r="J549"/>
  <c r="K549"/>
  <c r="L549"/>
  <c r="N549"/>
  <c r="O549"/>
  <c r="P549"/>
  <c r="S549"/>
  <c r="E414"/>
  <c r="H414"/>
  <c r="I414"/>
  <c r="J414"/>
  <c r="M414"/>
  <c r="O414"/>
  <c r="P414"/>
  <c r="V549"/>
  <c r="W414"/>
  <c r="X414"/>
  <c r="W549"/>
  <c r="Y414"/>
  <c r="X549"/>
  <c r="Y549"/>
  <c r="Z414"/>
  <c r="Z549"/>
  <c r="AA414"/>
  <c r="AB414"/>
  <c r="AA549"/>
  <c r="AB549"/>
  <c r="AC414"/>
  <c r="AD414"/>
  <c r="AC549"/>
  <c r="AE414"/>
  <c r="AD549"/>
  <c r="AF414"/>
  <c r="AE549"/>
  <c r="AG414"/>
  <c r="AF549"/>
  <c r="AH414"/>
  <c r="AG549"/>
  <c r="AI414"/>
  <c r="AH549"/>
  <c r="AJ414"/>
  <c r="AI549"/>
  <c r="AK414"/>
  <c r="AJ549"/>
  <c r="AK549"/>
  <c r="AL414"/>
  <c r="AL549"/>
  <c r="AM414"/>
  <c r="AN414"/>
  <c r="AM549"/>
  <c r="T551"/>
  <c r="C551"/>
  <c r="D551"/>
  <c r="E551"/>
  <c r="I551"/>
  <c r="K551"/>
  <c r="L551"/>
  <c r="M551"/>
  <c r="N551"/>
  <c r="P551"/>
  <c r="C416"/>
  <c r="P416"/>
  <c r="Q416"/>
  <c r="V416"/>
  <c r="F551"/>
  <c r="G551"/>
  <c r="H551"/>
  <c r="J551"/>
  <c r="O551"/>
  <c r="Q551"/>
  <c r="R551"/>
  <c r="S551"/>
  <c r="U551"/>
  <c r="D416"/>
  <c r="E416"/>
  <c r="F416"/>
  <c r="G416"/>
  <c r="H416"/>
  <c r="I416"/>
  <c r="J416"/>
  <c r="K416"/>
  <c r="L416"/>
  <c r="M416"/>
  <c r="N416"/>
  <c r="O416"/>
  <c r="R416"/>
  <c r="S416"/>
  <c r="T416"/>
  <c r="U416"/>
  <c r="W416"/>
  <c r="V551"/>
  <c r="X416"/>
  <c r="W551"/>
  <c r="X551"/>
  <c r="Y416"/>
  <c r="Y551"/>
  <c r="Z416"/>
  <c r="AA416"/>
  <c r="Z551"/>
  <c r="AB416"/>
  <c r="AA551"/>
  <c r="AC416"/>
  <c r="AB551"/>
  <c r="AC551"/>
  <c r="AD416"/>
  <c r="AE416"/>
  <c r="AD551"/>
  <c r="AF416"/>
  <c r="AE551"/>
  <c r="AG416"/>
  <c r="AF551"/>
  <c r="AH416"/>
  <c r="AG551"/>
  <c r="AI416"/>
  <c r="AH551"/>
  <c r="AJ416"/>
  <c r="AI551"/>
  <c r="AJ551"/>
  <c r="AK416"/>
  <c r="AL416"/>
  <c r="AK551"/>
  <c r="AM416"/>
  <c r="AL551"/>
  <c r="AM551"/>
  <c r="AN416"/>
  <c r="U418"/>
  <c r="T553"/>
  <c r="C553"/>
  <c r="G553"/>
  <c r="J553"/>
  <c r="N553"/>
  <c r="P553"/>
  <c r="Q553"/>
  <c r="E418"/>
  <c r="H418"/>
  <c r="I418"/>
  <c r="J418"/>
  <c r="M418"/>
  <c r="O418"/>
  <c r="P418"/>
  <c r="V418"/>
  <c r="D553"/>
  <c r="E553"/>
  <c r="F553"/>
  <c r="H553"/>
  <c r="I553"/>
  <c r="K553"/>
  <c r="L553"/>
  <c r="M553"/>
  <c r="O553"/>
  <c r="R553"/>
  <c r="S553"/>
  <c r="U553"/>
  <c r="C418"/>
  <c r="D418"/>
  <c r="F418"/>
  <c r="G418"/>
  <c r="K418"/>
  <c r="L418"/>
  <c r="N418"/>
  <c r="Q418"/>
  <c r="R418"/>
  <c r="S418"/>
  <c r="T418"/>
  <c r="W418"/>
  <c r="V553"/>
  <c r="X418"/>
  <c r="W553"/>
  <c r="X553"/>
  <c r="Y418"/>
  <c r="Z418"/>
  <c r="Y553"/>
  <c r="AA418"/>
  <c r="Z553"/>
  <c r="AB418"/>
  <c r="AA553"/>
  <c r="AC418"/>
  <c r="AB553"/>
  <c r="AC553"/>
  <c r="AD418"/>
  <c r="AD553"/>
  <c r="AE418"/>
  <c r="AF418"/>
  <c r="AE553"/>
  <c r="AG418"/>
  <c r="AF553"/>
  <c r="AG553"/>
  <c r="AH418"/>
  <c r="AI418"/>
  <c r="AH553"/>
  <c r="AJ418"/>
  <c r="AI553"/>
  <c r="AK418"/>
  <c r="AJ553"/>
  <c r="AK553"/>
  <c r="AL418"/>
  <c r="AM418"/>
  <c r="AL553"/>
  <c r="AN418"/>
  <c r="AM553"/>
  <c r="T571"/>
  <c r="W733"/>
  <c r="D571"/>
  <c r="E571"/>
  <c r="H571"/>
  <c r="J571"/>
  <c r="N571"/>
  <c r="P571"/>
  <c r="S571"/>
  <c r="U571"/>
  <c r="D436"/>
  <c r="E436"/>
  <c r="F436"/>
  <c r="G436"/>
  <c r="H436"/>
  <c r="I436"/>
  <c r="J436"/>
  <c r="K436"/>
  <c r="L436"/>
  <c r="M436"/>
  <c r="N436"/>
  <c r="O436"/>
  <c r="R436"/>
  <c r="S436"/>
  <c r="T436"/>
  <c r="V436"/>
  <c r="U436"/>
  <c r="C571"/>
  <c r="F571"/>
  <c r="G571"/>
  <c r="I571"/>
  <c r="K571"/>
  <c r="L571"/>
  <c r="M571"/>
  <c r="O571"/>
  <c r="Q571"/>
  <c r="R571"/>
  <c r="C436"/>
  <c r="P436"/>
  <c r="Q436"/>
  <c r="V571"/>
  <c r="X733"/>
  <c r="X742" s="1"/>
  <c r="X714" s="1"/>
  <c r="X62" s="1"/>
  <c r="W436"/>
  <c r="Y733"/>
  <c r="Y742" s="1"/>
  <c r="Y714" s="1"/>
  <c r="Y62" s="1"/>
  <c r="X436"/>
  <c r="W571"/>
  <c r="X571"/>
  <c r="Z733"/>
  <c r="Z742" s="1"/>
  <c r="Z714" s="1"/>
  <c r="Z62" s="1"/>
  <c r="Y436"/>
  <c r="AA733"/>
  <c r="Z436"/>
  <c r="Y571"/>
  <c r="AB733"/>
  <c r="AB742" s="1"/>
  <c r="AB714" s="1"/>
  <c r="AB62" s="1"/>
  <c r="Z571"/>
  <c r="AA436"/>
  <c r="AA571"/>
  <c r="AC733"/>
  <c r="AC742" s="1"/>
  <c r="AC714" s="1"/>
  <c r="AC62" s="1"/>
  <c r="AB436"/>
  <c r="AC436"/>
  <c r="AD733"/>
  <c r="AB571"/>
  <c r="AE733"/>
  <c r="AC571"/>
  <c r="AD436"/>
  <c r="AE436"/>
  <c r="AF733"/>
  <c r="AD571"/>
  <c r="AG733"/>
  <c r="AG742" s="1"/>
  <c r="AG714" s="1"/>
  <c r="AG62" s="1"/>
  <c r="AF436"/>
  <c r="AE571"/>
  <c r="AF571"/>
  <c r="AG436"/>
  <c r="AH733"/>
  <c r="AH742" s="1"/>
  <c r="AH714" s="1"/>
  <c r="AH62" s="1"/>
  <c r="AG571"/>
  <c r="AH436"/>
  <c r="AI733"/>
  <c r="AI742" s="1"/>
  <c r="AI714" s="1"/>
  <c r="AI62" s="1"/>
  <c r="AH571"/>
  <c r="AI436"/>
  <c r="AJ733"/>
  <c r="AJ742" s="1"/>
  <c r="AJ714" s="1"/>
  <c r="AJ62" s="1"/>
  <c r="AK733"/>
  <c r="AK742" s="1"/>
  <c r="AK714" s="1"/>
  <c r="AK62" s="1"/>
  <c r="AJ436"/>
  <c r="AI571"/>
  <c r="AJ571"/>
  <c r="AL733"/>
  <c r="AL742" s="1"/>
  <c r="AL714" s="1"/>
  <c r="AL62" s="1"/>
  <c r="AK436"/>
  <c r="AK571"/>
  <c r="AM733"/>
  <c r="AM742" s="1"/>
  <c r="AM714" s="1"/>
  <c r="AM62" s="1"/>
  <c r="AL436"/>
  <c r="AN733"/>
  <c r="AN742" s="1"/>
  <c r="AN714" s="1"/>
  <c r="AN62" s="1"/>
  <c r="AL571"/>
  <c r="AM436"/>
  <c r="AO733"/>
  <c r="AO742" s="1"/>
  <c r="AO714" s="1"/>
  <c r="AO62" s="1"/>
  <c r="AN436"/>
  <c r="AM571"/>
  <c r="U438"/>
  <c r="T573"/>
  <c r="C573"/>
  <c r="G573"/>
  <c r="J573"/>
  <c r="K573"/>
  <c r="L573"/>
  <c r="N573"/>
  <c r="O573"/>
  <c r="P573"/>
  <c r="S573"/>
  <c r="U573"/>
  <c r="C438"/>
  <c r="F438"/>
  <c r="G438"/>
  <c r="K438"/>
  <c r="L438"/>
  <c r="N438"/>
  <c r="Q438"/>
  <c r="R438"/>
  <c r="S438"/>
  <c r="T438"/>
  <c r="V438"/>
  <c r="D573"/>
  <c r="E573"/>
  <c r="F573"/>
  <c r="H573"/>
  <c r="I573"/>
  <c r="M573"/>
  <c r="Q573"/>
  <c r="R573"/>
  <c r="D438"/>
  <c r="E438"/>
  <c r="H438"/>
  <c r="I438"/>
  <c r="J438"/>
  <c r="M438"/>
  <c r="O438"/>
  <c r="P438"/>
  <c r="W438"/>
  <c r="V573"/>
  <c r="X438"/>
  <c r="W573"/>
  <c r="Y438"/>
  <c r="X573"/>
  <c r="Y573"/>
  <c r="Z438"/>
  <c r="Z573"/>
  <c r="AA438"/>
  <c r="AB438"/>
  <c r="AA573"/>
  <c r="AB573"/>
  <c r="AC438"/>
  <c r="AD438"/>
  <c r="AC573"/>
  <c r="AE438"/>
  <c r="AD573"/>
  <c r="AF438"/>
  <c r="AE573"/>
  <c r="AG438"/>
  <c r="AF573"/>
  <c r="AH438"/>
  <c r="AG573"/>
  <c r="AI438"/>
  <c r="AH573"/>
  <c r="AJ438"/>
  <c r="AI573"/>
  <c r="AK438"/>
  <c r="AJ573"/>
  <c r="AK573"/>
  <c r="AL438"/>
  <c r="AL573"/>
  <c r="AM438"/>
  <c r="AN438"/>
  <c r="AM573"/>
  <c r="T575"/>
  <c r="F575"/>
  <c r="G575"/>
  <c r="H575"/>
  <c r="J575"/>
  <c r="O575"/>
  <c r="Q575"/>
  <c r="R575"/>
  <c r="S575"/>
  <c r="C440"/>
  <c r="P440"/>
  <c r="Q440"/>
  <c r="V440"/>
  <c r="C575"/>
  <c r="D575"/>
  <c r="E575"/>
  <c r="I575"/>
  <c r="K575"/>
  <c r="L575"/>
  <c r="M575"/>
  <c r="N575"/>
  <c r="P575"/>
  <c r="U575"/>
  <c r="D440"/>
  <c r="E440"/>
  <c r="F440"/>
  <c r="G440"/>
  <c r="H440"/>
  <c r="I440"/>
  <c r="J440"/>
  <c r="K440"/>
  <c r="L440"/>
  <c r="M440"/>
  <c r="N440"/>
  <c r="O440"/>
  <c r="R440"/>
  <c r="S440"/>
  <c r="T440"/>
  <c r="U440"/>
  <c r="W440"/>
  <c r="V575"/>
  <c r="X440"/>
  <c r="W575"/>
  <c r="X575"/>
  <c r="Y440"/>
  <c r="Y575"/>
  <c r="Z440"/>
  <c r="AA440"/>
  <c r="Z575"/>
  <c r="AB440"/>
  <c r="AA575"/>
  <c r="AC440"/>
  <c r="AB575"/>
  <c r="AC575"/>
  <c r="AD440"/>
  <c r="AE440"/>
  <c r="AD575"/>
  <c r="AF440"/>
  <c r="AE575"/>
  <c r="AG440"/>
  <c r="AF575"/>
  <c r="AH440"/>
  <c r="AG575"/>
  <c r="AI440"/>
  <c r="AH575"/>
  <c r="AJ440"/>
  <c r="AI575"/>
  <c r="AJ575"/>
  <c r="AK440"/>
  <c r="AL440"/>
  <c r="AK575"/>
  <c r="AM440"/>
  <c r="AL575"/>
  <c r="AM575"/>
  <c r="AN440"/>
  <c r="U442"/>
  <c r="T577"/>
  <c r="E577"/>
  <c r="F577"/>
  <c r="H577"/>
  <c r="I577"/>
  <c r="K577"/>
  <c r="L577"/>
  <c r="M577"/>
  <c r="O577"/>
  <c r="R577"/>
  <c r="S577"/>
  <c r="D442"/>
  <c r="E442"/>
  <c r="H442"/>
  <c r="I442"/>
  <c r="J442"/>
  <c r="M442"/>
  <c r="O442"/>
  <c r="P442"/>
  <c r="V442"/>
  <c r="C577"/>
  <c r="D577"/>
  <c r="G577"/>
  <c r="J577"/>
  <c r="N577"/>
  <c r="P577"/>
  <c r="Q577"/>
  <c r="U577"/>
  <c r="C442"/>
  <c r="F442"/>
  <c r="G442"/>
  <c r="K442"/>
  <c r="L442"/>
  <c r="N442"/>
  <c r="Q442"/>
  <c r="R442"/>
  <c r="S442"/>
  <c r="T442"/>
  <c r="V577"/>
  <c r="W442"/>
  <c r="X442"/>
  <c r="W577"/>
  <c r="X577"/>
  <c r="Y442"/>
  <c r="Z442"/>
  <c r="Y577"/>
  <c r="AA442"/>
  <c r="Z577"/>
  <c r="AB442"/>
  <c r="AA577"/>
  <c r="AC442"/>
  <c r="AB577"/>
  <c r="AC577"/>
  <c r="AD442"/>
  <c r="AD577"/>
  <c r="AE442"/>
  <c r="AF442"/>
  <c r="AE577"/>
  <c r="AG442"/>
  <c r="AF577"/>
  <c r="AG577"/>
  <c r="AH442"/>
  <c r="AI442"/>
  <c r="AH577"/>
  <c r="AJ442"/>
  <c r="AI577"/>
  <c r="AK442"/>
  <c r="AJ577"/>
  <c r="AK577"/>
  <c r="AL442"/>
  <c r="AM442"/>
  <c r="AL577"/>
  <c r="AN442"/>
  <c r="AM577"/>
  <c r="T579"/>
  <c r="C579"/>
  <c r="F579"/>
  <c r="G579"/>
  <c r="I579"/>
  <c r="K579"/>
  <c r="L579"/>
  <c r="M579"/>
  <c r="O579"/>
  <c r="Q579"/>
  <c r="R579"/>
  <c r="U579"/>
  <c r="D444"/>
  <c r="E444"/>
  <c r="F444"/>
  <c r="G444"/>
  <c r="H444"/>
  <c r="I444"/>
  <c r="J444"/>
  <c r="K444"/>
  <c r="L444"/>
  <c r="M444"/>
  <c r="N444"/>
  <c r="O444"/>
  <c r="R444"/>
  <c r="S444"/>
  <c r="T444"/>
  <c r="V444"/>
  <c r="U444"/>
  <c r="D579"/>
  <c r="E579"/>
  <c r="H579"/>
  <c r="J579"/>
  <c r="N579"/>
  <c r="P579"/>
  <c r="S579"/>
  <c r="C444"/>
  <c r="P444"/>
  <c r="Q444"/>
  <c r="V579"/>
  <c r="W444"/>
  <c r="X444"/>
  <c r="W579"/>
  <c r="X579"/>
  <c r="Y444"/>
  <c r="Z444"/>
  <c r="Y579"/>
  <c r="Z579"/>
  <c r="AA444"/>
  <c r="AA579"/>
  <c r="AB444"/>
  <c r="AC444"/>
  <c r="AB579"/>
  <c r="AC579"/>
  <c r="AD444"/>
  <c r="AE444"/>
  <c r="AD579"/>
  <c r="AF444"/>
  <c r="AE579"/>
  <c r="AF579"/>
  <c r="AG444"/>
  <c r="AG579"/>
  <c r="AH444"/>
  <c r="AH579"/>
  <c r="AI444"/>
  <c r="AJ444"/>
  <c r="AI579"/>
  <c r="AJ579"/>
  <c r="AK444"/>
  <c r="AK579"/>
  <c r="AL444"/>
  <c r="AL579"/>
  <c r="AM444"/>
  <c r="AN444"/>
  <c r="AM579"/>
  <c r="AO129"/>
  <c r="AO68"/>
  <c r="AO75" s="1"/>
  <c r="AP671"/>
  <c r="AN522"/>
  <c r="AN546"/>
  <c r="AN578"/>
  <c r="AN525"/>
  <c r="AN549"/>
  <c r="AN573"/>
  <c r="AO443"/>
  <c r="AO439"/>
  <c r="AO415"/>
  <c r="AO411"/>
  <c r="AO391"/>
  <c r="AO522"/>
  <c r="AO518"/>
  <c r="AO442"/>
  <c r="AO438"/>
  <c r="AO418"/>
  <c r="AO414"/>
  <c r="AO410"/>
  <c r="AO390"/>
  <c r="AO386"/>
  <c r="AP11" i="8"/>
  <c r="AN598"/>
  <c r="AN601" s="1"/>
  <c r="AM63"/>
  <c r="AN653"/>
  <c r="AN638" s="1"/>
  <c r="AN61" s="1"/>
  <c r="AM41"/>
  <c r="AN621"/>
  <c r="AN606" s="1"/>
  <c r="AN60" s="1"/>
  <c r="AN685"/>
  <c r="AN670" s="1"/>
  <c r="AN62" s="1"/>
  <c r="AM96"/>
  <c r="AM594"/>
  <c r="AJ239"/>
  <c r="AJ98"/>
  <c r="AL236"/>
  <c r="AL201"/>
  <c r="AL204" s="1"/>
  <c r="AL47"/>
  <c r="AL49" s="1"/>
  <c r="AM72"/>
  <c r="AM107"/>
  <c r="AN587"/>
  <c r="AN588" s="1"/>
  <c r="AN16" s="1"/>
  <c r="AN579"/>
  <c r="AN580" s="1"/>
  <c r="AN14" s="1"/>
  <c r="AN553"/>
  <c r="AN554" s="1"/>
  <c r="AN95" s="1"/>
  <c r="AN547"/>
  <c r="AN548" s="1"/>
  <c r="AN94" s="1"/>
  <c r="AN241" s="1"/>
  <c r="AN591"/>
  <c r="AN592" s="1"/>
  <c r="AN17" s="1"/>
  <c r="AN583"/>
  <c r="AN584" s="1"/>
  <c r="AN15" s="1"/>
  <c r="AN108"/>
  <c r="AN29"/>
  <c r="AN31" s="1"/>
  <c r="AN10"/>
  <c r="AN12" s="1"/>
  <c r="AN468"/>
  <c r="AN467"/>
  <c r="AN471"/>
  <c r="AN475"/>
  <c r="AN495"/>
  <c r="AN499"/>
  <c r="AN519"/>
  <c r="AN523"/>
  <c r="AN527"/>
  <c r="AN472"/>
  <c r="AN476"/>
  <c r="AN496"/>
  <c r="AN500"/>
  <c r="AN520"/>
  <c r="AN524"/>
  <c r="AN528"/>
  <c r="AN237"/>
  <c r="AN202"/>
  <c r="AN48"/>
  <c r="AL229"/>
  <c r="AL230" s="1"/>
  <c r="AL267"/>
  <c r="AL268" s="1"/>
  <c r="AO701"/>
  <c r="AO696"/>
  <c r="AO695"/>
  <c r="AO694"/>
  <c r="AO693"/>
  <c r="AO692"/>
  <c r="AO691"/>
  <c r="AO690"/>
  <c r="AO689"/>
  <c r="AO687"/>
  <c r="AO684"/>
  <c r="AO683"/>
  <c r="AO682"/>
  <c r="AO681"/>
  <c r="AO680"/>
  <c r="AO679"/>
  <c r="AO678"/>
  <c r="AO677"/>
  <c r="AO676"/>
  <c r="AO675"/>
  <c r="AO664"/>
  <c r="AO662"/>
  <c r="AO660"/>
  <c r="AO658"/>
  <c r="AO652"/>
  <c r="AO651"/>
  <c r="AO650"/>
  <c r="AO649"/>
  <c r="AO648"/>
  <c r="AO647"/>
  <c r="AO646"/>
  <c r="AO645"/>
  <c r="AO644"/>
  <c r="AO643"/>
  <c r="AO663"/>
  <c r="AO661"/>
  <c r="AO659"/>
  <c r="AO656"/>
  <c r="AO655"/>
  <c r="AO620"/>
  <c r="AO619"/>
  <c r="AO618"/>
  <c r="AO617"/>
  <c r="AO616"/>
  <c r="AO615"/>
  <c r="AO614"/>
  <c r="AO613"/>
  <c r="AO612"/>
  <c r="AO611"/>
  <c r="AO632"/>
  <c r="AO631"/>
  <c r="AO630"/>
  <c r="AO629"/>
  <c r="AO628"/>
  <c r="AO627"/>
  <c r="AO625"/>
  <c r="AO624"/>
  <c r="AO623"/>
  <c r="AO600"/>
  <c r="AO54" s="1"/>
  <c r="AO551"/>
  <c r="AO552" s="1"/>
  <c r="AO545"/>
  <c r="AO546" s="1"/>
  <c r="AO449"/>
  <c r="AO448"/>
  <c r="AO447"/>
  <c r="AO446"/>
  <c r="AO445"/>
  <c r="AO444"/>
  <c r="AO392"/>
  <c r="AO390"/>
  <c r="AO388"/>
  <c r="AO386"/>
  <c r="AO384"/>
  <c r="AO366"/>
  <c r="AO364"/>
  <c r="AO362"/>
  <c r="AO360"/>
  <c r="AO358"/>
  <c r="AO341"/>
  <c r="AO339"/>
  <c r="AO337"/>
  <c r="AO462"/>
  <c r="AO393"/>
  <c r="AO391"/>
  <c r="AO389"/>
  <c r="AO387"/>
  <c r="AO385"/>
  <c r="AO367"/>
  <c r="AO365"/>
  <c r="AO363"/>
  <c r="AO361"/>
  <c r="AO359"/>
  <c r="AO342"/>
  <c r="AO340"/>
  <c r="AO338"/>
  <c r="AO336"/>
  <c r="AO334"/>
  <c r="AO335"/>
  <c r="AO238"/>
  <c r="AO203"/>
  <c r="AO333"/>
  <c r="AO328"/>
  <c r="AO315"/>
  <c r="AO314"/>
  <c r="AO313"/>
  <c r="AO312"/>
  <c r="AO311"/>
  <c r="AO310"/>
  <c r="AO33"/>
  <c r="AO35" s="1"/>
  <c r="AO37" s="1"/>
  <c r="AO39" s="1"/>
  <c r="AO30"/>
  <c r="AO26"/>
  <c r="AO25"/>
  <c r="AO23"/>
  <c r="AO19"/>
  <c r="AO5"/>
  <c r="AO40"/>
  <c r="AP2"/>
  <c r="AN329"/>
  <c r="AN469"/>
  <c r="AN473"/>
  <c r="AN493"/>
  <c r="AN497"/>
  <c r="AN501"/>
  <c r="AN521"/>
  <c r="AN525"/>
  <c r="AN463"/>
  <c r="AN470"/>
  <c r="AN474"/>
  <c r="AN494"/>
  <c r="AN498"/>
  <c r="AN502"/>
  <c r="AN522"/>
  <c r="AN526"/>
  <c r="AN27"/>
  <c r="AP550" i="7"/>
  <c r="AP548"/>
  <c r="AP544"/>
  <c r="AP535"/>
  <c r="AP534"/>
  <c r="AP545" s="1"/>
  <c r="AP528"/>
  <c r="AP527"/>
  <c r="AO27"/>
  <c r="AO585"/>
  <c r="AO570" s="1"/>
  <c r="AO68" s="1"/>
  <c r="AO617"/>
  <c r="AO602" s="1"/>
  <c r="AO69" s="1"/>
  <c r="AO61"/>
  <c r="AN105"/>
  <c r="AO520"/>
  <c r="AO521" s="1"/>
  <c r="AO512"/>
  <c r="AO513" s="1"/>
  <c r="AO516"/>
  <c r="AO517" s="1"/>
  <c r="AO508"/>
  <c r="AO509" s="1"/>
  <c r="AO14" s="1"/>
  <c r="AO18" s="1"/>
  <c r="AO482"/>
  <c r="AO483" s="1"/>
  <c r="AO104" s="1"/>
  <c r="AO476"/>
  <c r="AO477" s="1"/>
  <c r="AO103" s="1"/>
  <c r="AO170" s="1"/>
  <c r="AO120"/>
  <c r="AO29"/>
  <c r="AO31" s="1"/>
  <c r="AO10"/>
  <c r="AO12" s="1"/>
  <c r="AO396"/>
  <c r="AO404"/>
  <c r="AO402"/>
  <c r="AO399"/>
  <c r="AO403"/>
  <c r="AO423"/>
  <c r="AO427"/>
  <c r="AO431"/>
  <c r="AO451"/>
  <c r="AO455"/>
  <c r="AO424"/>
  <c r="AO428"/>
  <c r="AO448"/>
  <c r="AO452"/>
  <c r="AO456"/>
  <c r="AO549"/>
  <c r="AO543"/>
  <c r="AP556"/>
  <c r="AN194"/>
  <c r="AN155"/>
  <c r="AN51"/>
  <c r="AN195"/>
  <c r="AN156"/>
  <c r="AN52"/>
  <c r="AN119"/>
  <c r="AN20"/>
  <c r="AN43" s="1"/>
  <c r="AO649"/>
  <c r="AO634" s="1"/>
  <c r="AO70" s="1"/>
  <c r="AL160"/>
  <c r="AL161" s="1"/>
  <c r="AM157"/>
  <c r="AM158" s="1"/>
  <c r="AN523"/>
  <c r="AN192"/>
  <c r="AN153"/>
  <c r="AN49"/>
  <c r="AN193"/>
  <c r="AN154"/>
  <c r="AN50"/>
  <c r="AN540"/>
  <c r="AN80"/>
  <c r="AN81" s="1"/>
  <c r="AP660"/>
  <c r="AP659"/>
  <c r="AP658"/>
  <c r="AP657"/>
  <c r="AP656"/>
  <c r="AP655"/>
  <c r="AP654"/>
  <c r="AP653"/>
  <c r="AP651"/>
  <c r="AP665"/>
  <c r="AP648"/>
  <c r="B648" s="1"/>
  <c r="AP647"/>
  <c r="B647" s="1"/>
  <c r="AP646"/>
  <c r="B646" s="1"/>
  <c r="AP645"/>
  <c r="B645" s="1"/>
  <c r="AP644"/>
  <c r="B644" s="1"/>
  <c r="AP643"/>
  <c r="B643" s="1"/>
  <c r="AP642"/>
  <c r="B642" s="1"/>
  <c r="AP641"/>
  <c r="B641" s="1"/>
  <c r="AP640"/>
  <c r="B640" s="1"/>
  <c r="AP639"/>
  <c r="AP628"/>
  <c r="B628" s="1"/>
  <c r="AP627"/>
  <c r="B627" s="1"/>
  <c r="AP626"/>
  <c r="B626" s="1"/>
  <c r="AP625"/>
  <c r="B625" s="1"/>
  <c r="AP624"/>
  <c r="B624" s="1"/>
  <c r="AP623"/>
  <c r="B623" s="1"/>
  <c r="AP622"/>
  <c r="B622" s="1"/>
  <c r="AP620"/>
  <c r="AP619"/>
  <c r="AP616"/>
  <c r="B616" s="1"/>
  <c r="AN443" s="1"/>
  <c r="AP615"/>
  <c r="B615" s="1"/>
  <c r="AO307" s="1"/>
  <c r="AP614"/>
  <c r="B614" s="1"/>
  <c r="AO306" s="1"/>
  <c r="AP613"/>
  <c r="B613" s="1"/>
  <c r="AO305" s="1"/>
  <c r="AP612"/>
  <c r="B612" s="1"/>
  <c r="AN439" s="1"/>
  <c r="AP611"/>
  <c r="B611" s="1"/>
  <c r="AN438" s="1"/>
  <c r="AP610"/>
  <c r="B610" s="1"/>
  <c r="AO302" s="1"/>
  <c r="AP609"/>
  <c r="B609" s="1"/>
  <c r="AO301" s="1"/>
  <c r="AP608"/>
  <c r="B608" s="1"/>
  <c r="AN435" s="1"/>
  <c r="AP607"/>
  <c r="AP596"/>
  <c r="B596" s="1"/>
  <c r="AP595"/>
  <c r="B595" s="1"/>
  <c r="AP594"/>
  <c r="B594" s="1"/>
  <c r="AP593"/>
  <c r="B593" s="1"/>
  <c r="AP592"/>
  <c r="B592" s="1"/>
  <c r="AP591"/>
  <c r="B591" s="1"/>
  <c r="AP589"/>
  <c r="AP588"/>
  <c r="AP587"/>
  <c r="AP584"/>
  <c r="B584" s="1"/>
  <c r="AO282" s="1"/>
  <c r="AP583"/>
  <c r="B583" s="1"/>
  <c r="AP582"/>
  <c r="B582" s="1"/>
  <c r="AP581"/>
  <c r="B581" s="1"/>
  <c r="AO279" s="1"/>
  <c r="AP580"/>
  <c r="B580" s="1"/>
  <c r="AO278" s="1"/>
  <c r="AP579"/>
  <c r="B579" s="1"/>
  <c r="AN412" s="1"/>
  <c r="AP578"/>
  <c r="B578" s="1"/>
  <c r="AN411" s="1"/>
  <c r="AP577"/>
  <c r="B577" s="1"/>
  <c r="AO275" s="1"/>
  <c r="AP576"/>
  <c r="B576" s="1"/>
  <c r="AO274" s="1"/>
  <c r="AP575"/>
  <c r="AP480"/>
  <c r="AP481" s="1"/>
  <c r="AP474"/>
  <c r="AP475" s="1"/>
  <c r="AP564"/>
  <c r="AP62" s="1"/>
  <c r="AP391"/>
  <c r="AP322"/>
  <c r="AP320"/>
  <c r="AP318"/>
  <c r="AP316"/>
  <c r="AP314"/>
  <c r="AP296"/>
  <c r="AP294"/>
  <c r="AP292"/>
  <c r="AP290"/>
  <c r="AP288"/>
  <c r="AP378"/>
  <c r="AP377"/>
  <c r="AP376"/>
  <c r="AP375"/>
  <c r="AP374"/>
  <c r="AP373"/>
  <c r="AP321"/>
  <c r="AP319"/>
  <c r="AP317"/>
  <c r="AP315"/>
  <c r="AP313"/>
  <c r="AP295"/>
  <c r="AP293"/>
  <c r="AP291"/>
  <c r="AP289"/>
  <c r="AP287"/>
  <c r="AP270"/>
  <c r="AP268"/>
  <c r="AP266"/>
  <c r="AP264"/>
  <c r="AP262"/>
  <c r="AP257"/>
  <c r="AP271"/>
  <c r="AP267"/>
  <c r="AP263"/>
  <c r="AP244"/>
  <c r="AP243"/>
  <c r="AP242"/>
  <c r="AP241"/>
  <c r="AP240"/>
  <c r="AP239"/>
  <c r="AP269"/>
  <c r="AP265"/>
  <c r="AP167"/>
  <c r="AP131"/>
  <c r="AP33"/>
  <c r="AP35" s="1"/>
  <c r="AP37" s="1"/>
  <c r="AP39" s="1"/>
  <c r="AP30"/>
  <c r="AP26"/>
  <c r="AP25"/>
  <c r="AP23"/>
  <c r="AP19"/>
  <c r="AP40"/>
  <c r="AP5"/>
  <c r="AO258"/>
  <c r="AO400"/>
  <c r="AO398"/>
  <c r="AO397"/>
  <c r="AO401"/>
  <c r="AO405"/>
  <c r="AO425"/>
  <c r="AO429"/>
  <c r="AO449"/>
  <c r="AO453"/>
  <c r="AO457"/>
  <c r="AO422"/>
  <c r="AO426"/>
  <c r="AO430"/>
  <c r="AO450"/>
  <c r="AO454"/>
  <c r="AO392"/>
  <c r="AO166"/>
  <c r="AO130"/>
  <c r="AO55"/>
  <c r="AO165"/>
  <c r="AO129"/>
  <c r="AO54"/>
  <c r="AK168"/>
  <c r="AK107"/>
  <c r="AN71"/>
  <c r="AL56"/>
  <c r="AM53"/>
  <c r="AM196"/>
  <c r="AM197" s="1"/>
  <c r="E466" i="2"/>
  <c r="D71"/>
  <c r="E362"/>
  <c r="E497" s="1"/>
  <c r="E363"/>
  <c r="E498" s="1"/>
  <c r="E365"/>
  <c r="E500" s="1"/>
  <c r="E367"/>
  <c r="E502" s="1"/>
  <c r="E369"/>
  <c r="E504" s="1"/>
  <c r="E370"/>
  <c r="E505" s="1"/>
  <c r="E366"/>
  <c r="E501" s="1"/>
  <c r="E368"/>
  <c r="E503" s="1"/>
  <c r="F5"/>
  <c r="F721"/>
  <c r="F395" s="1"/>
  <c r="F530" s="1"/>
  <c r="F719"/>
  <c r="F393" s="1"/>
  <c r="F528" s="1"/>
  <c r="F717"/>
  <c r="F391" s="1"/>
  <c r="F526" s="1"/>
  <c r="F715"/>
  <c r="F389" s="1"/>
  <c r="F524" s="1"/>
  <c r="F713"/>
  <c r="F387" s="1"/>
  <c r="F522" s="1"/>
  <c r="F689"/>
  <c r="F722"/>
  <c r="F396" s="1"/>
  <c r="F531" s="1"/>
  <c r="F720"/>
  <c r="F394" s="1"/>
  <c r="F529" s="1"/>
  <c r="F718"/>
  <c r="F392" s="1"/>
  <c r="F527" s="1"/>
  <c r="F716"/>
  <c r="F390" s="1"/>
  <c r="F525" s="1"/>
  <c r="F714"/>
  <c r="F388" s="1"/>
  <c r="F523" s="1"/>
  <c r="F690"/>
  <c r="F370" s="1"/>
  <c r="F505" s="1"/>
  <c r="F687"/>
  <c r="F685"/>
  <c r="F683"/>
  <c r="F681"/>
  <c r="F657"/>
  <c r="F655"/>
  <c r="F653"/>
  <c r="F340" s="1"/>
  <c r="F474" s="1"/>
  <c r="F651"/>
  <c r="F649"/>
  <c r="F728"/>
  <c r="F729"/>
  <c r="F731"/>
  <c r="F733"/>
  <c r="F688"/>
  <c r="F684"/>
  <c r="F656"/>
  <c r="F652"/>
  <c r="F339" s="1"/>
  <c r="F473" s="1"/>
  <c r="F686"/>
  <c r="F682"/>
  <c r="F658"/>
  <c r="F654"/>
  <c r="F341" s="1"/>
  <c r="F475" s="1"/>
  <c r="F650"/>
  <c r="F730"/>
  <c r="F734"/>
  <c r="F727"/>
  <c r="F694"/>
  <c r="F696"/>
  <c r="F698"/>
  <c r="F700"/>
  <c r="F702"/>
  <c r="F732"/>
  <c r="F695"/>
  <c r="F697"/>
  <c r="F699"/>
  <c r="F701"/>
  <c r="E691"/>
  <c r="E676" s="1"/>
  <c r="E69" s="1"/>
  <c r="E723"/>
  <c r="E708" s="1"/>
  <c r="E70" s="1"/>
  <c r="F548"/>
  <c r="F549" s="1"/>
  <c r="F554"/>
  <c r="F555" s="1"/>
  <c r="F601"/>
  <c r="F602" s="1"/>
  <c r="F608"/>
  <c r="G11"/>
  <c r="F314"/>
  <c r="F316"/>
  <c r="F318"/>
  <c r="F447"/>
  <c r="F449"/>
  <c r="F451"/>
  <c r="F466" s="1"/>
  <c r="F313"/>
  <c r="F315"/>
  <c r="F450"/>
  <c r="F317"/>
  <c r="F448"/>
  <c r="F452"/>
  <c r="D117"/>
  <c r="F19"/>
  <c r="C231"/>
  <c r="F664"/>
  <c r="F665"/>
  <c r="F666"/>
  <c r="F667"/>
  <c r="F668"/>
  <c r="F669"/>
  <c r="F670"/>
  <c r="F662"/>
  <c r="F663"/>
  <c r="E332"/>
  <c r="F465"/>
  <c r="F331"/>
  <c r="E639"/>
  <c r="F636" s="1"/>
  <c r="E336"/>
  <c r="E470" s="1"/>
  <c r="E343"/>
  <c r="E477" s="1"/>
  <c r="E339"/>
  <c r="E473" s="1"/>
  <c r="E342"/>
  <c r="E476" s="1"/>
  <c r="E338"/>
  <c r="E472" s="1"/>
  <c r="E344"/>
  <c r="E478" s="1"/>
  <c r="E340"/>
  <c r="E474" s="1"/>
  <c r="E345"/>
  <c r="E479" s="1"/>
  <c r="E341"/>
  <c r="E475" s="1"/>
  <c r="E337"/>
  <c r="E471" s="1"/>
  <c r="F638"/>
  <c r="F62" s="1"/>
  <c r="E659"/>
  <c r="E644" s="1"/>
  <c r="E68" s="1"/>
  <c r="D556"/>
  <c r="D557" s="1"/>
  <c r="D104" s="1"/>
  <c r="D550"/>
  <c r="D551" s="1"/>
  <c r="D103" s="1"/>
  <c r="D244" s="1"/>
  <c r="C270"/>
  <c r="F23"/>
  <c r="F26"/>
  <c r="F30"/>
  <c r="D590"/>
  <c r="D591" s="1"/>
  <c r="D51" s="1"/>
  <c r="D594"/>
  <c r="D595" s="1"/>
  <c r="D586"/>
  <c r="D587" s="1"/>
  <c r="D582"/>
  <c r="D583" s="1"/>
  <c r="F632"/>
  <c r="E27"/>
  <c r="G2"/>
  <c r="F25"/>
  <c r="D29"/>
  <c r="D31" s="1"/>
  <c r="E10"/>
  <c r="E12" s="1"/>
  <c r="AK171" i="7" l="1"/>
  <c r="AK199" s="1"/>
  <c r="AK200" s="1"/>
  <c r="AK108" s="1"/>
  <c r="AK109" s="1"/>
  <c r="AE742" i="10"/>
  <c r="AE714" s="1"/>
  <c r="AE62" s="1"/>
  <c r="AA742"/>
  <c r="AA714" s="1"/>
  <c r="AA62" s="1"/>
  <c r="AJ242" i="8"/>
  <c r="AJ270" s="1"/>
  <c r="AJ271" s="1"/>
  <c r="AJ99" s="1"/>
  <c r="AJ100" s="1"/>
  <c r="AP532" i="7"/>
  <c r="AP533" s="1"/>
  <c r="G593" i="2"/>
  <c r="G589"/>
  <c r="G585"/>
  <c r="G581"/>
  <c r="AM128" i="7"/>
  <c r="AM132" s="1"/>
  <c r="AM160" s="1"/>
  <c r="AM161" s="1"/>
  <c r="AM47"/>
  <c r="AM56" s="1"/>
  <c r="B670" i="10"/>
  <c r="AN41" i="8"/>
  <c r="AP62" i="10"/>
  <c r="AF742"/>
  <c r="AF714" s="1"/>
  <c r="AF62" s="1"/>
  <c r="AD742"/>
  <c r="AD714" s="1"/>
  <c r="AD62" s="1"/>
  <c r="AD63" s="1"/>
  <c r="AD69" s="1"/>
  <c r="W742"/>
  <c r="W714" s="1"/>
  <c r="W62" s="1"/>
  <c r="W63" s="1"/>
  <c r="W69" s="1"/>
  <c r="B735"/>
  <c r="B739"/>
  <c r="B740"/>
  <c r="B736"/>
  <c r="B741"/>
  <c r="B737"/>
  <c r="B738"/>
  <c r="B734"/>
  <c r="AP652" i="7"/>
  <c r="F652"/>
  <c r="G652"/>
  <c r="H652"/>
  <c r="AN463"/>
  <c r="L654"/>
  <c r="M654"/>
  <c r="N654"/>
  <c r="AO330"/>
  <c r="R656"/>
  <c r="S656"/>
  <c r="T656"/>
  <c r="AN467"/>
  <c r="X658"/>
  <c r="Y658"/>
  <c r="Z658"/>
  <c r="AO334"/>
  <c r="AD660"/>
  <c r="AE660"/>
  <c r="AF660"/>
  <c r="AO327"/>
  <c r="I653"/>
  <c r="J653"/>
  <c r="K653"/>
  <c r="AO329"/>
  <c r="O655"/>
  <c r="P655"/>
  <c r="Q655"/>
  <c r="AN466"/>
  <c r="U657"/>
  <c r="V657"/>
  <c r="W657"/>
  <c r="AO333"/>
  <c r="AA659"/>
  <c r="AB659"/>
  <c r="AC659"/>
  <c r="AO469"/>
  <c r="AO461"/>
  <c r="AP578" i="8"/>
  <c r="AP590"/>
  <c r="AP586"/>
  <c r="AP582"/>
  <c r="AN462" i="7"/>
  <c r="AP65" i="10"/>
  <c r="AP68" s="1"/>
  <c r="AP75" s="1"/>
  <c r="AO179"/>
  <c r="AO196" s="1"/>
  <c r="D49" i="2"/>
  <c r="D14"/>
  <c r="AP544" i="10"/>
  <c r="AP554" s="1"/>
  <c r="AP161"/>
  <c r="AP253" s="1"/>
  <c r="AP162"/>
  <c r="AP409"/>
  <c r="AP419" s="1"/>
  <c r="AP289"/>
  <c r="AP306"/>
  <c r="AP290"/>
  <c r="AP307"/>
  <c r="AP288"/>
  <c r="AP305"/>
  <c r="AP287"/>
  <c r="AP304"/>
  <c r="AN48"/>
  <c r="AN50" s="1"/>
  <c r="AO640"/>
  <c r="AP637" s="1"/>
  <c r="AP283"/>
  <c r="AP299" s="1"/>
  <c r="AP42"/>
  <c r="AO331" i="7"/>
  <c r="AO412"/>
  <c r="B671" i="10"/>
  <c r="AO570"/>
  <c r="AO580" s="1"/>
  <c r="AP445"/>
  <c r="B701"/>
  <c r="B669"/>
  <c r="B702"/>
  <c r="AP16"/>
  <c r="AP633"/>
  <c r="AP14"/>
  <c r="AP129"/>
  <c r="B132" s="1"/>
  <c r="B130"/>
  <c r="C700"/>
  <c r="D700"/>
  <c r="D710" s="1"/>
  <c r="D682" s="1"/>
  <c r="D61" s="1"/>
  <c r="E700"/>
  <c r="E710" s="1"/>
  <c r="E682" s="1"/>
  <c r="E61" s="1"/>
  <c r="F700"/>
  <c r="F710" s="1"/>
  <c r="F682" s="1"/>
  <c r="F61" s="1"/>
  <c r="G700"/>
  <c r="G710" s="1"/>
  <c r="G682" s="1"/>
  <c r="G61" s="1"/>
  <c r="H700"/>
  <c r="H710" s="1"/>
  <c r="H682" s="1"/>
  <c r="H61" s="1"/>
  <c r="I700"/>
  <c r="I710" s="1"/>
  <c r="I682" s="1"/>
  <c r="I61" s="1"/>
  <c r="J700"/>
  <c r="J710" s="1"/>
  <c r="J682" s="1"/>
  <c r="J61" s="1"/>
  <c r="K700"/>
  <c r="K710" s="1"/>
  <c r="K682" s="1"/>
  <c r="K61" s="1"/>
  <c r="L700"/>
  <c r="L710" s="1"/>
  <c r="L682" s="1"/>
  <c r="L61" s="1"/>
  <c r="M700"/>
  <c r="M710" s="1"/>
  <c r="M682" s="1"/>
  <c r="M61" s="1"/>
  <c r="N700"/>
  <c r="N710" s="1"/>
  <c r="N682" s="1"/>
  <c r="N61" s="1"/>
  <c r="O700"/>
  <c r="O710" s="1"/>
  <c r="O682" s="1"/>
  <c r="O61" s="1"/>
  <c r="P700"/>
  <c r="P710" s="1"/>
  <c r="P682" s="1"/>
  <c r="P61" s="1"/>
  <c r="Q700"/>
  <c r="Q710" s="1"/>
  <c r="Q682" s="1"/>
  <c r="Q61" s="1"/>
  <c r="T544"/>
  <c r="T554" s="1"/>
  <c r="F544"/>
  <c r="F554" s="1"/>
  <c r="H544"/>
  <c r="H554" s="1"/>
  <c r="L544"/>
  <c r="L554" s="1"/>
  <c r="Q544"/>
  <c r="Q554" s="1"/>
  <c r="R544"/>
  <c r="R554" s="1"/>
  <c r="S544"/>
  <c r="S554" s="1"/>
  <c r="D409"/>
  <c r="D419" s="1"/>
  <c r="F409"/>
  <c r="F419" s="1"/>
  <c r="G409"/>
  <c r="G419" s="1"/>
  <c r="K409"/>
  <c r="K419" s="1"/>
  <c r="L409"/>
  <c r="L419" s="1"/>
  <c r="N409"/>
  <c r="N419" s="1"/>
  <c r="O409"/>
  <c r="O419" s="1"/>
  <c r="Q409"/>
  <c r="Q419" s="1"/>
  <c r="R409"/>
  <c r="R419" s="1"/>
  <c r="S409"/>
  <c r="S419" s="1"/>
  <c r="T409"/>
  <c r="T419" s="1"/>
  <c r="V409"/>
  <c r="V419" s="1"/>
  <c r="C544"/>
  <c r="D544"/>
  <c r="D554" s="1"/>
  <c r="E544"/>
  <c r="E554" s="1"/>
  <c r="G544"/>
  <c r="G554" s="1"/>
  <c r="I544"/>
  <c r="I554" s="1"/>
  <c r="J544"/>
  <c r="J554" s="1"/>
  <c r="K544"/>
  <c r="K554" s="1"/>
  <c r="M544"/>
  <c r="M554" s="1"/>
  <c r="N544"/>
  <c r="N554" s="1"/>
  <c r="O544"/>
  <c r="O554" s="1"/>
  <c r="P544"/>
  <c r="P554" s="1"/>
  <c r="U544"/>
  <c r="U554" s="1"/>
  <c r="C409"/>
  <c r="E409"/>
  <c r="E419" s="1"/>
  <c r="H409"/>
  <c r="H419" s="1"/>
  <c r="I409"/>
  <c r="I419" s="1"/>
  <c r="J409"/>
  <c r="J419" s="1"/>
  <c r="M409"/>
  <c r="M419" s="1"/>
  <c r="P409"/>
  <c r="P419" s="1"/>
  <c r="U409"/>
  <c r="U419" s="1"/>
  <c r="V544"/>
  <c r="V554" s="1"/>
  <c r="W409"/>
  <c r="W419" s="1"/>
  <c r="W544"/>
  <c r="W554" s="1"/>
  <c r="X409"/>
  <c r="X419" s="1"/>
  <c r="Y409"/>
  <c r="Y419" s="1"/>
  <c r="Y544"/>
  <c r="Y554" s="1"/>
  <c r="Z409"/>
  <c r="Z419" s="1"/>
  <c r="X544"/>
  <c r="X554" s="1"/>
  <c r="Z544"/>
  <c r="Z554" s="1"/>
  <c r="AA409"/>
  <c r="AA419" s="1"/>
  <c r="AA544"/>
  <c r="AA554" s="1"/>
  <c r="AB409"/>
  <c r="AB419" s="1"/>
  <c r="AC409"/>
  <c r="AC419" s="1"/>
  <c r="AB544"/>
  <c r="AB554" s="1"/>
  <c r="AC544"/>
  <c r="AC554" s="1"/>
  <c r="AD409"/>
  <c r="AD419" s="1"/>
  <c r="AE409"/>
  <c r="AE419" s="1"/>
  <c r="AD544"/>
  <c r="AD554" s="1"/>
  <c r="AF409"/>
  <c r="AF419" s="1"/>
  <c r="AE544"/>
  <c r="AE554" s="1"/>
  <c r="AF544"/>
  <c r="AF554" s="1"/>
  <c r="AG409"/>
  <c r="AG419" s="1"/>
  <c r="AH409"/>
  <c r="AH419" s="1"/>
  <c r="AG544"/>
  <c r="AG554" s="1"/>
  <c r="AH544"/>
  <c r="AH554" s="1"/>
  <c r="AI409"/>
  <c r="AI419" s="1"/>
  <c r="AJ409"/>
  <c r="AJ419" s="1"/>
  <c r="AI544"/>
  <c r="AI554" s="1"/>
  <c r="AJ544"/>
  <c r="AJ554" s="1"/>
  <c r="AK409"/>
  <c r="AK419" s="1"/>
  <c r="AL409"/>
  <c r="AL419" s="1"/>
  <c r="AK544"/>
  <c r="AK554" s="1"/>
  <c r="AL544"/>
  <c r="AL554" s="1"/>
  <c r="AM409"/>
  <c r="AM419" s="1"/>
  <c r="AN409"/>
  <c r="AN419" s="1"/>
  <c r="AM544"/>
  <c r="AM554" s="1"/>
  <c r="AO409"/>
  <c r="AO419" s="1"/>
  <c r="AN544"/>
  <c r="AN554" s="1"/>
  <c r="C668"/>
  <c r="D668"/>
  <c r="D678" s="1"/>
  <c r="D650" s="1"/>
  <c r="D60" s="1"/>
  <c r="E668"/>
  <c r="E678" s="1"/>
  <c r="E650" s="1"/>
  <c r="E60" s="1"/>
  <c r="F668"/>
  <c r="F678" s="1"/>
  <c r="F650" s="1"/>
  <c r="F60" s="1"/>
  <c r="G668"/>
  <c r="G678" s="1"/>
  <c r="G650" s="1"/>
  <c r="G60" s="1"/>
  <c r="H668"/>
  <c r="H678" s="1"/>
  <c r="H650" s="1"/>
  <c r="H60" s="1"/>
  <c r="I668"/>
  <c r="I678" s="1"/>
  <c r="I650" s="1"/>
  <c r="I60" s="1"/>
  <c r="J668"/>
  <c r="J678" s="1"/>
  <c r="J650" s="1"/>
  <c r="J60" s="1"/>
  <c r="K668"/>
  <c r="K678" s="1"/>
  <c r="K650" s="1"/>
  <c r="K60" s="1"/>
  <c r="L668"/>
  <c r="L678" s="1"/>
  <c r="L650" s="1"/>
  <c r="L60" s="1"/>
  <c r="M668"/>
  <c r="M678" s="1"/>
  <c r="M650" s="1"/>
  <c r="M60" s="1"/>
  <c r="N668"/>
  <c r="N678" s="1"/>
  <c r="N650" s="1"/>
  <c r="N60" s="1"/>
  <c r="T518"/>
  <c r="T528" s="1"/>
  <c r="I518"/>
  <c r="I528" s="1"/>
  <c r="J518"/>
  <c r="J528" s="1"/>
  <c r="M518"/>
  <c r="M528" s="1"/>
  <c r="N518"/>
  <c r="N528" s="1"/>
  <c r="P518"/>
  <c r="P528" s="1"/>
  <c r="Q518"/>
  <c r="Q528" s="1"/>
  <c r="C383"/>
  <c r="D383"/>
  <c r="D393" s="1"/>
  <c r="G383"/>
  <c r="G393" s="1"/>
  <c r="H383"/>
  <c r="H393" s="1"/>
  <c r="I383"/>
  <c r="I393" s="1"/>
  <c r="J383"/>
  <c r="J393" s="1"/>
  <c r="K383"/>
  <c r="K393" s="1"/>
  <c r="M383"/>
  <c r="M393" s="1"/>
  <c r="P383"/>
  <c r="P393" s="1"/>
  <c r="S383"/>
  <c r="S393" s="1"/>
  <c r="U383"/>
  <c r="U393" s="1"/>
  <c r="C518"/>
  <c r="D518"/>
  <c r="D528" s="1"/>
  <c r="E518"/>
  <c r="E528" s="1"/>
  <c r="F518"/>
  <c r="F528" s="1"/>
  <c r="G518"/>
  <c r="G528" s="1"/>
  <c r="H518"/>
  <c r="H528" s="1"/>
  <c r="K518"/>
  <c r="K528" s="1"/>
  <c r="L518"/>
  <c r="L528" s="1"/>
  <c r="O518"/>
  <c r="O528" s="1"/>
  <c r="R518"/>
  <c r="R528" s="1"/>
  <c r="S518"/>
  <c r="S528" s="1"/>
  <c r="E383"/>
  <c r="E393" s="1"/>
  <c r="F383"/>
  <c r="F393" s="1"/>
  <c r="L383"/>
  <c r="L393" s="1"/>
  <c r="N383"/>
  <c r="N393" s="1"/>
  <c r="O383"/>
  <c r="O393" s="1"/>
  <c r="Q383"/>
  <c r="Q393" s="1"/>
  <c r="R383"/>
  <c r="R393" s="1"/>
  <c r="T383"/>
  <c r="T393" s="1"/>
  <c r="U518"/>
  <c r="U528" s="1"/>
  <c r="V383"/>
  <c r="V393" s="1"/>
  <c r="W383"/>
  <c r="W393" s="1"/>
  <c r="X383"/>
  <c r="X393" s="1"/>
  <c r="V518"/>
  <c r="V528" s="1"/>
  <c r="Y383"/>
  <c r="Y393" s="1"/>
  <c r="X518"/>
  <c r="X528" s="1"/>
  <c r="W518"/>
  <c r="W528" s="1"/>
  <c r="Y518"/>
  <c r="Y528" s="1"/>
  <c r="Z383"/>
  <c r="Z393" s="1"/>
  <c r="AA383"/>
  <c r="AA393" s="1"/>
  <c r="Z518"/>
  <c r="Z528" s="1"/>
  <c r="AB383"/>
  <c r="AB393" s="1"/>
  <c r="AA518"/>
  <c r="AA528" s="1"/>
  <c r="AB518"/>
  <c r="AB528" s="1"/>
  <c r="AC383"/>
  <c r="AC393" s="1"/>
  <c r="AC518"/>
  <c r="AC528" s="1"/>
  <c r="AD383"/>
  <c r="AD393" s="1"/>
  <c r="AD518"/>
  <c r="AD528" s="1"/>
  <c r="AE383"/>
  <c r="AE393" s="1"/>
  <c r="AF383"/>
  <c r="AF393" s="1"/>
  <c r="AE518"/>
  <c r="AE528" s="1"/>
  <c r="AG383"/>
  <c r="AG393" s="1"/>
  <c r="AF518"/>
  <c r="AF528" s="1"/>
  <c r="AH383"/>
  <c r="AH393" s="1"/>
  <c r="AG518"/>
  <c r="AG528" s="1"/>
  <c r="AI383"/>
  <c r="AI393" s="1"/>
  <c r="AH518"/>
  <c r="AH528" s="1"/>
  <c r="AJ383"/>
  <c r="AJ393" s="1"/>
  <c r="AI518"/>
  <c r="AI528" s="1"/>
  <c r="AK383"/>
  <c r="AK393" s="1"/>
  <c r="AJ518"/>
  <c r="AJ528" s="1"/>
  <c r="AK518"/>
  <c r="AK528" s="1"/>
  <c r="AL383"/>
  <c r="AL393" s="1"/>
  <c r="AM383"/>
  <c r="AM393" s="1"/>
  <c r="AL518"/>
  <c r="AL528" s="1"/>
  <c r="AN383"/>
  <c r="AN393" s="1"/>
  <c r="AM518"/>
  <c r="AM528" s="1"/>
  <c r="AO383"/>
  <c r="AO393" s="1"/>
  <c r="AN518"/>
  <c r="AN528" s="1"/>
  <c r="AN410" i="7"/>
  <c r="AO466"/>
  <c r="AO462"/>
  <c r="AO441"/>
  <c r="AO410"/>
  <c r="AO528" i="10"/>
  <c r="B444"/>
  <c r="B442"/>
  <c r="B577"/>
  <c r="B436"/>
  <c r="B571"/>
  <c r="B418"/>
  <c r="B553"/>
  <c r="B551"/>
  <c r="B547"/>
  <c r="B545"/>
  <c r="B525"/>
  <c r="B388"/>
  <c r="B523"/>
  <c r="AO63"/>
  <c r="AO69" s="1"/>
  <c r="AN63"/>
  <c r="AN69" s="1"/>
  <c r="B386"/>
  <c r="Z63"/>
  <c r="Z69" s="1"/>
  <c r="Y63"/>
  <c r="Y69" s="1"/>
  <c r="B384"/>
  <c r="AP710"/>
  <c r="AP682" s="1"/>
  <c r="AP61" s="1"/>
  <c r="AP678"/>
  <c r="AP650" s="1"/>
  <c r="AP60" s="1"/>
  <c r="B437"/>
  <c r="B417"/>
  <c r="B552"/>
  <c r="B413"/>
  <c r="B391"/>
  <c r="B526"/>
  <c r="B524"/>
  <c r="AL63"/>
  <c r="AL69" s="1"/>
  <c r="AG63"/>
  <c r="AG69" s="1"/>
  <c r="AC63"/>
  <c r="AC69" s="1"/>
  <c r="AB63"/>
  <c r="AB69" s="1"/>
  <c r="AA63"/>
  <c r="AA69" s="1"/>
  <c r="AP383"/>
  <c r="AP393" s="1"/>
  <c r="AO18"/>
  <c r="AO20" s="1"/>
  <c r="AO44" s="1"/>
  <c r="AO308"/>
  <c r="AP15"/>
  <c r="AP17"/>
  <c r="AL122"/>
  <c r="C732"/>
  <c r="D732"/>
  <c r="D742" s="1"/>
  <c r="D714" s="1"/>
  <c r="D62" s="1"/>
  <c r="E732"/>
  <c r="E742" s="1"/>
  <c r="E714" s="1"/>
  <c r="E62" s="1"/>
  <c r="F732"/>
  <c r="F742" s="1"/>
  <c r="F714" s="1"/>
  <c r="F62" s="1"/>
  <c r="G732"/>
  <c r="G742" s="1"/>
  <c r="G714" s="1"/>
  <c r="G62" s="1"/>
  <c r="H732"/>
  <c r="H742" s="1"/>
  <c r="H714" s="1"/>
  <c r="H62" s="1"/>
  <c r="I732"/>
  <c r="I742" s="1"/>
  <c r="I714" s="1"/>
  <c r="I62" s="1"/>
  <c r="J732"/>
  <c r="J742" s="1"/>
  <c r="J714" s="1"/>
  <c r="J62" s="1"/>
  <c r="K732"/>
  <c r="K742" s="1"/>
  <c r="K714" s="1"/>
  <c r="K62" s="1"/>
  <c r="L732"/>
  <c r="L742" s="1"/>
  <c r="L714" s="1"/>
  <c r="L62" s="1"/>
  <c r="M732"/>
  <c r="M742" s="1"/>
  <c r="M714" s="1"/>
  <c r="M62" s="1"/>
  <c r="N732"/>
  <c r="N742" s="1"/>
  <c r="N714" s="1"/>
  <c r="N62" s="1"/>
  <c r="O732"/>
  <c r="O742" s="1"/>
  <c r="O714" s="1"/>
  <c r="O62" s="1"/>
  <c r="P732"/>
  <c r="P742" s="1"/>
  <c r="P714" s="1"/>
  <c r="P62" s="1"/>
  <c r="P63" s="1"/>
  <c r="P69" s="1"/>
  <c r="Q732"/>
  <c r="Q742" s="1"/>
  <c r="Q714" s="1"/>
  <c r="Q62" s="1"/>
  <c r="R732"/>
  <c r="R742" s="1"/>
  <c r="R714" s="1"/>
  <c r="R62" s="1"/>
  <c r="R63" s="1"/>
  <c r="R69" s="1"/>
  <c r="S732"/>
  <c r="S742" s="1"/>
  <c r="S714" s="1"/>
  <c r="S62" s="1"/>
  <c r="S63" s="1"/>
  <c r="S69" s="1"/>
  <c r="T732"/>
  <c r="T742" s="1"/>
  <c r="T714" s="1"/>
  <c r="T62" s="1"/>
  <c r="T63" s="1"/>
  <c r="T69" s="1"/>
  <c r="U732"/>
  <c r="U742" s="1"/>
  <c r="U714" s="1"/>
  <c r="U62" s="1"/>
  <c r="U63" s="1"/>
  <c r="U69" s="1"/>
  <c r="U435"/>
  <c r="U445" s="1"/>
  <c r="T570"/>
  <c r="T580" s="1"/>
  <c r="V732"/>
  <c r="V742" s="1"/>
  <c r="V714" s="1"/>
  <c r="V62" s="1"/>
  <c r="V63" s="1"/>
  <c r="V69" s="1"/>
  <c r="C570"/>
  <c r="D570"/>
  <c r="D580" s="1"/>
  <c r="E570"/>
  <c r="E580" s="1"/>
  <c r="G570"/>
  <c r="G580" s="1"/>
  <c r="I570"/>
  <c r="I580" s="1"/>
  <c r="J570"/>
  <c r="J580" s="1"/>
  <c r="L570"/>
  <c r="L580" s="1"/>
  <c r="M570"/>
  <c r="M580" s="1"/>
  <c r="N570"/>
  <c r="N580" s="1"/>
  <c r="P570"/>
  <c r="P580" s="1"/>
  <c r="U570"/>
  <c r="U580" s="1"/>
  <c r="E435"/>
  <c r="E445" s="1"/>
  <c r="F435"/>
  <c r="F445" s="1"/>
  <c r="I435"/>
  <c r="I445" s="1"/>
  <c r="L435"/>
  <c r="L445" s="1"/>
  <c r="M435"/>
  <c r="M445" s="1"/>
  <c r="N435"/>
  <c r="N445" s="1"/>
  <c r="O435"/>
  <c r="O445" s="1"/>
  <c r="R435"/>
  <c r="R445" s="1"/>
  <c r="T435"/>
  <c r="T445" s="1"/>
  <c r="V435"/>
  <c r="V445" s="1"/>
  <c r="F570"/>
  <c r="F580" s="1"/>
  <c r="H570"/>
  <c r="H580" s="1"/>
  <c r="K570"/>
  <c r="K580" s="1"/>
  <c r="O570"/>
  <c r="O580" s="1"/>
  <c r="Q570"/>
  <c r="Q580" s="1"/>
  <c r="R570"/>
  <c r="R580" s="1"/>
  <c r="S570"/>
  <c r="S580" s="1"/>
  <c r="C435"/>
  <c r="D435"/>
  <c r="D445" s="1"/>
  <c r="G435"/>
  <c r="G445" s="1"/>
  <c r="H435"/>
  <c r="H445" s="1"/>
  <c r="J435"/>
  <c r="J445" s="1"/>
  <c r="K435"/>
  <c r="K445" s="1"/>
  <c r="P435"/>
  <c r="P445" s="1"/>
  <c r="Q435"/>
  <c r="Q445" s="1"/>
  <c r="S435"/>
  <c r="S445" s="1"/>
  <c r="V570"/>
  <c r="V580" s="1"/>
  <c r="W435"/>
  <c r="W445" s="1"/>
  <c r="X435"/>
  <c r="X445" s="1"/>
  <c r="W570"/>
  <c r="W580" s="1"/>
  <c r="Y435"/>
  <c r="Y445" s="1"/>
  <c r="X570"/>
  <c r="X580" s="1"/>
  <c r="Z435"/>
  <c r="Z445" s="1"/>
  <c r="Y570"/>
  <c r="Y580" s="1"/>
  <c r="Z570"/>
  <c r="Z580" s="1"/>
  <c r="AA435"/>
  <c r="AA445" s="1"/>
  <c r="AB435"/>
  <c r="AB445" s="1"/>
  <c r="AA570"/>
  <c r="AA580" s="1"/>
  <c r="AB570"/>
  <c r="AB580" s="1"/>
  <c r="AC435"/>
  <c r="AC445" s="1"/>
  <c r="AC570"/>
  <c r="AC580" s="1"/>
  <c r="AD435"/>
  <c r="AD445" s="1"/>
  <c r="AE435"/>
  <c r="AE445" s="1"/>
  <c r="AD570"/>
  <c r="AD580" s="1"/>
  <c r="AF435"/>
  <c r="AF445" s="1"/>
  <c r="AE570"/>
  <c r="AE580" s="1"/>
  <c r="AG435"/>
  <c r="AG445" s="1"/>
  <c r="AF570"/>
  <c r="AF580" s="1"/>
  <c r="AG570"/>
  <c r="AG580" s="1"/>
  <c r="AH435"/>
  <c r="AH445" s="1"/>
  <c r="AI435"/>
  <c r="AI445" s="1"/>
  <c r="AH570"/>
  <c r="AH580" s="1"/>
  <c r="AJ435"/>
  <c r="AJ445" s="1"/>
  <c r="AI570"/>
  <c r="AI580" s="1"/>
  <c r="AK435"/>
  <c r="AK445" s="1"/>
  <c r="AJ570"/>
  <c r="AJ580" s="1"/>
  <c r="AK570"/>
  <c r="AK580" s="1"/>
  <c r="AL435"/>
  <c r="AL445" s="1"/>
  <c r="AL570"/>
  <c r="AL580" s="1"/>
  <c r="AM435"/>
  <c r="AM445" s="1"/>
  <c r="AN435"/>
  <c r="AN445" s="1"/>
  <c r="AM570"/>
  <c r="AM580" s="1"/>
  <c r="AO435"/>
  <c r="AO445" s="1"/>
  <c r="AN570"/>
  <c r="AN580" s="1"/>
  <c r="B579"/>
  <c r="B575"/>
  <c r="B440"/>
  <c r="B438"/>
  <c r="B573"/>
  <c r="B416"/>
  <c r="B549"/>
  <c r="B414"/>
  <c r="B412"/>
  <c r="B410"/>
  <c r="B527"/>
  <c r="B392"/>
  <c r="B390"/>
  <c r="AM63"/>
  <c r="AM69" s="1"/>
  <c r="B521"/>
  <c r="X63"/>
  <c r="X69" s="1"/>
  <c r="B519"/>
  <c r="AO554"/>
  <c r="B443"/>
  <c r="B578"/>
  <c r="B441"/>
  <c r="B576"/>
  <c r="B439"/>
  <c r="B574"/>
  <c r="B572"/>
  <c r="B550"/>
  <c r="B415"/>
  <c r="B548"/>
  <c r="B411"/>
  <c r="B546"/>
  <c r="B389"/>
  <c r="B387"/>
  <c r="B522"/>
  <c r="AK63"/>
  <c r="AK69" s="1"/>
  <c r="AJ63"/>
  <c r="AJ69" s="1"/>
  <c r="AI63"/>
  <c r="AI69" s="1"/>
  <c r="AH63"/>
  <c r="AH69" s="1"/>
  <c r="AE63"/>
  <c r="AE69" s="1"/>
  <c r="B520"/>
  <c r="B385"/>
  <c r="AP570"/>
  <c r="AP580" s="1"/>
  <c r="AP518"/>
  <c r="AP528" s="1"/>
  <c r="AO291"/>
  <c r="B733"/>
  <c r="AN18" i="8"/>
  <c r="AN20" s="1"/>
  <c r="AN43" s="1"/>
  <c r="AN442" i="7"/>
  <c r="AO303"/>
  <c r="AO465"/>
  <c r="AO417"/>
  <c r="AO409"/>
  <c r="AO598" i="8"/>
  <c r="AO601" s="1"/>
  <c r="AM43"/>
  <c r="AM236" s="1"/>
  <c r="AO621"/>
  <c r="AO606" s="1"/>
  <c r="AO60" s="1"/>
  <c r="AO27"/>
  <c r="AO653"/>
  <c r="AO638" s="1"/>
  <c r="AO61" s="1"/>
  <c r="AO685"/>
  <c r="AO670" s="1"/>
  <c r="AO62" s="1"/>
  <c r="AN63"/>
  <c r="AO591"/>
  <c r="AO592" s="1"/>
  <c r="AO17" s="1"/>
  <c r="AO583"/>
  <c r="AO584" s="1"/>
  <c r="AO15" s="1"/>
  <c r="AO587"/>
  <c r="AO588" s="1"/>
  <c r="AO16" s="1"/>
  <c r="AO579"/>
  <c r="AO553"/>
  <c r="AO554" s="1"/>
  <c r="AO95" s="1"/>
  <c r="AO547"/>
  <c r="AO548" s="1"/>
  <c r="AO94" s="1"/>
  <c r="AO241" s="1"/>
  <c r="AO108"/>
  <c r="AO29"/>
  <c r="AO31" s="1"/>
  <c r="AO10"/>
  <c r="AO12" s="1"/>
  <c r="AO467"/>
  <c r="AO468"/>
  <c r="AO472"/>
  <c r="AO476"/>
  <c r="AO496"/>
  <c r="AO500"/>
  <c r="AO520"/>
  <c r="AO524"/>
  <c r="AO528"/>
  <c r="AO471"/>
  <c r="AO475"/>
  <c r="AO495"/>
  <c r="AO499"/>
  <c r="AO519"/>
  <c r="AO523"/>
  <c r="AO527"/>
  <c r="AN96"/>
  <c r="AK239"/>
  <c r="AK98"/>
  <c r="AN72"/>
  <c r="AN107"/>
  <c r="AN414" i="7"/>
  <c r="AO437"/>
  <c r="AO277"/>
  <c r="AM229" i="8"/>
  <c r="AM230" s="1"/>
  <c r="AP696"/>
  <c r="AP695"/>
  <c r="AP694"/>
  <c r="AP693"/>
  <c r="AP692"/>
  <c r="AP691"/>
  <c r="AP690"/>
  <c r="AP689"/>
  <c r="AP687"/>
  <c r="AP701"/>
  <c r="AP684"/>
  <c r="B684" s="1"/>
  <c r="AP683"/>
  <c r="B683" s="1"/>
  <c r="AP682"/>
  <c r="B682" s="1"/>
  <c r="AO403" s="1"/>
  <c r="AP681"/>
  <c r="B681" s="1"/>
  <c r="AP680"/>
  <c r="B680" s="1"/>
  <c r="AN536" s="1"/>
  <c r="AP679"/>
  <c r="B679" s="1"/>
  <c r="AP678"/>
  <c r="B678" s="1"/>
  <c r="AO399" s="1"/>
  <c r="AP677"/>
  <c r="B677" s="1"/>
  <c r="AP676"/>
  <c r="B676" s="1"/>
  <c r="AP675"/>
  <c r="AP664"/>
  <c r="B664" s="1"/>
  <c r="AP663"/>
  <c r="B663" s="1"/>
  <c r="AP662"/>
  <c r="B662" s="1"/>
  <c r="AP661"/>
  <c r="B661" s="1"/>
  <c r="AP660"/>
  <c r="B660" s="1"/>
  <c r="AP659"/>
  <c r="B659" s="1"/>
  <c r="AP658"/>
  <c r="B658" s="1"/>
  <c r="AP656"/>
  <c r="AP655"/>
  <c r="AP652"/>
  <c r="B652" s="1"/>
  <c r="AO379" s="1"/>
  <c r="AP651"/>
  <c r="B651" s="1"/>
  <c r="AO378" s="1"/>
  <c r="AP650"/>
  <c r="B650" s="1"/>
  <c r="AN512" s="1"/>
  <c r="AP649"/>
  <c r="B649" s="1"/>
  <c r="AN511" s="1"/>
  <c r="AP648"/>
  <c r="B648" s="1"/>
  <c r="AO375" s="1"/>
  <c r="AP647"/>
  <c r="B647" s="1"/>
  <c r="AN509" s="1"/>
  <c r="AP646"/>
  <c r="B646" s="1"/>
  <c r="AN508" s="1"/>
  <c r="AP645"/>
  <c r="B645" s="1"/>
  <c r="AN507" s="1"/>
  <c r="AP644"/>
  <c r="B644" s="1"/>
  <c r="AO371" s="1"/>
  <c r="AP643"/>
  <c r="AP632"/>
  <c r="B632" s="1"/>
  <c r="AP631"/>
  <c r="B631" s="1"/>
  <c r="AP630"/>
  <c r="B630" s="1"/>
  <c r="AP629"/>
  <c r="B629" s="1"/>
  <c r="AP628"/>
  <c r="B628" s="1"/>
  <c r="AP627"/>
  <c r="B627" s="1"/>
  <c r="AP625"/>
  <c r="AP624"/>
  <c r="AP623"/>
  <c r="AP620"/>
  <c r="B620" s="1"/>
  <c r="AN488" s="1"/>
  <c r="AP619"/>
  <c r="B619" s="1"/>
  <c r="AO352" s="1"/>
  <c r="AP618"/>
  <c r="B618" s="1"/>
  <c r="AP617"/>
  <c r="B617" s="1"/>
  <c r="AN485" s="1"/>
  <c r="AP616"/>
  <c r="B616" s="1"/>
  <c r="AN484" s="1"/>
  <c r="AP615"/>
  <c r="B615" s="1"/>
  <c r="AO348" s="1"/>
  <c r="AP614"/>
  <c r="B614" s="1"/>
  <c r="AP613"/>
  <c r="B613" s="1"/>
  <c r="AO346" s="1"/>
  <c r="AP612"/>
  <c r="B612" s="1"/>
  <c r="AN480" s="1"/>
  <c r="AP611"/>
  <c r="AP551"/>
  <c r="AP552" s="1"/>
  <c r="AP545"/>
  <c r="AP546" s="1"/>
  <c r="AP600"/>
  <c r="AP54" s="1"/>
  <c r="AP462"/>
  <c r="AP393"/>
  <c r="AP391"/>
  <c r="AP389"/>
  <c r="AP387"/>
  <c r="AP385"/>
  <c r="AP367"/>
  <c r="AP365"/>
  <c r="AP363"/>
  <c r="AP361"/>
  <c r="AP359"/>
  <c r="AP342"/>
  <c r="AP340"/>
  <c r="AP338"/>
  <c r="AP336"/>
  <c r="AP449"/>
  <c r="AP448"/>
  <c r="AP447"/>
  <c r="AP446"/>
  <c r="AP445"/>
  <c r="AP444"/>
  <c r="AP392"/>
  <c r="AP390"/>
  <c r="AP388"/>
  <c r="AP386"/>
  <c r="AP384"/>
  <c r="AP366"/>
  <c r="AP364"/>
  <c r="AP362"/>
  <c r="AP360"/>
  <c r="AP358"/>
  <c r="AP341"/>
  <c r="AP339"/>
  <c r="AP337"/>
  <c r="AP335"/>
  <c r="AP333"/>
  <c r="AP328"/>
  <c r="AP334"/>
  <c r="AP315"/>
  <c r="AP314"/>
  <c r="AP313"/>
  <c r="AP312"/>
  <c r="AP311"/>
  <c r="AP310"/>
  <c r="AP238"/>
  <c r="AP203"/>
  <c r="AP40"/>
  <c r="AP33"/>
  <c r="AP35" s="1"/>
  <c r="AP37" s="1"/>
  <c r="AP39" s="1"/>
  <c r="AP30"/>
  <c r="AP26"/>
  <c r="AP25"/>
  <c r="AP23"/>
  <c r="AP19"/>
  <c r="AP5"/>
  <c r="AO329"/>
  <c r="AO469"/>
  <c r="AO470"/>
  <c r="AO347"/>
  <c r="AO474"/>
  <c r="AO351"/>
  <c r="AO494"/>
  <c r="AO498"/>
  <c r="AO502"/>
  <c r="AO522"/>
  <c r="AO526"/>
  <c r="AO473"/>
  <c r="AO493"/>
  <c r="AO497"/>
  <c r="AO501"/>
  <c r="AO521"/>
  <c r="AO525"/>
  <c r="AO463"/>
  <c r="AO237"/>
  <c r="AO202"/>
  <c r="AO48"/>
  <c r="AN594"/>
  <c r="AO580"/>
  <c r="AO14" s="1"/>
  <c r="AL232"/>
  <c r="AL233" s="1"/>
  <c r="AM267"/>
  <c r="AM268" s="1"/>
  <c r="AP27" i="7"/>
  <c r="AO71"/>
  <c r="AO41"/>
  <c r="AO413"/>
  <c r="AN413"/>
  <c r="AP565"/>
  <c r="AO442"/>
  <c r="AO438"/>
  <c r="AO326"/>
  <c r="AN53"/>
  <c r="AN196"/>
  <c r="AN197" s="1"/>
  <c r="AP61"/>
  <c r="AO195"/>
  <c r="AO156"/>
  <c r="AO52"/>
  <c r="AO105"/>
  <c r="AP403"/>
  <c r="AP415" s="1"/>
  <c r="AP280"/>
  <c r="B240"/>
  <c r="B242"/>
  <c r="B244"/>
  <c r="AP401"/>
  <c r="AP413" s="1"/>
  <c r="AP278"/>
  <c r="AP398"/>
  <c r="AP410" s="1"/>
  <c r="AP275"/>
  <c r="AP402"/>
  <c r="AP414" s="1"/>
  <c r="AP279"/>
  <c r="AP422"/>
  <c r="AP426"/>
  <c r="AP438" s="1"/>
  <c r="AP303"/>
  <c r="AP430"/>
  <c r="AP442" s="1"/>
  <c r="AP307"/>
  <c r="AP450"/>
  <c r="AP462" s="1"/>
  <c r="AP327"/>
  <c r="AP454"/>
  <c r="AP466" s="1"/>
  <c r="AP331"/>
  <c r="AP392"/>
  <c r="B373"/>
  <c r="B375"/>
  <c r="B377"/>
  <c r="AP423"/>
  <c r="AP435" s="1"/>
  <c r="AP300"/>
  <c r="AP427"/>
  <c r="AP439" s="1"/>
  <c r="AP304"/>
  <c r="AP431"/>
  <c r="AP443" s="1"/>
  <c r="AP308"/>
  <c r="AP451"/>
  <c r="AP463" s="1"/>
  <c r="AP328"/>
  <c r="AP455"/>
  <c r="AP467" s="1"/>
  <c r="AP332"/>
  <c r="O588"/>
  <c r="O597" s="1"/>
  <c r="O569" s="1"/>
  <c r="O63" s="1"/>
  <c r="P588"/>
  <c r="P597" s="1"/>
  <c r="P569" s="1"/>
  <c r="P63" s="1"/>
  <c r="Q588"/>
  <c r="Q597" s="1"/>
  <c r="Q569" s="1"/>
  <c r="Q63" s="1"/>
  <c r="R588"/>
  <c r="R597" s="1"/>
  <c r="R569" s="1"/>
  <c r="R63" s="1"/>
  <c r="S588"/>
  <c r="S597" s="1"/>
  <c r="S569" s="1"/>
  <c r="S63" s="1"/>
  <c r="T588"/>
  <c r="T597" s="1"/>
  <c r="T569" s="1"/>
  <c r="T63" s="1"/>
  <c r="U588"/>
  <c r="U597" s="1"/>
  <c r="U569" s="1"/>
  <c r="U63" s="1"/>
  <c r="U274"/>
  <c r="T409"/>
  <c r="V588"/>
  <c r="V597" s="1"/>
  <c r="V569" s="1"/>
  <c r="V63" s="1"/>
  <c r="V274"/>
  <c r="C409"/>
  <c r="E409"/>
  <c r="F409"/>
  <c r="H409"/>
  <c r="M409"/>
  <c r="N409"/>
  <c r="Q409"/>
  <c r="R409"/>
  <c r="S409"/>
  <c r="U409"/>
  <c r="E274"/>
  <c r="I274"/>
  <c r="K274"/>
  <c r="N274"/>
  <c r="O274"/>
  <c r="P274"/>
  <c r="W588"/>
  <c r="W597" s="1"/>
  <c r="W569" s="1"/>
  <c r="W63" s="1"/>
  <c r="D409"/>
  <c r="G409"/>
  <c r="I409"/>
  <c r="J409"/>
  <c r="K409"/>
  <c r="L409"/>
  <c r="O409"/>
  <c r="P409"/>
  <c r="D274"/>
  <c r="C274"/>
  <c r="F274"/>
  <c r="G274"/>
  <c r="H274"/>
  <c r="J274"/>
  <c r="L274"/>
  <c r="M274"/>
  <c r="S274"/>
  <c r="T274"/>
  <c r="Q274"/>
  <c r="R274"/>
  <c r="X588"/>
  <c r="X597" s="1"/>
  <c r="X569" s="1"/>
  <c r="X63" s="1"/>
  <c r="V409"/>
  <c r="W274"/>
  <c r="Y588"/>
  <c r="Y597" s="1"/>
  <c r="Y569" s="1"/>
  <c r="Y63" s="1"/>
  <c r="W409"/>
  <c r="X274"/>
  <c r="Z588"/>
  <c r="Z597" s="1"/>
  <c r="Z569" s="1"/>
  <c r="Z63" s="1"/>
  <c r="Y274"/>
  <c r="X409"/>
  <c r="Y409"/>
  <c r="Z274"/>
  <c r="Z409"/>
  <c r="AA274"/>
  <c r="AA409"/>
  <c r="AB274"/>
  <c r="AC274"/>
  <c r="AB409"/>
  <c r="AD274"/>
  <c r="AC409"/>
  <c r="AD409"/>
  <c r="AE274"/>
  <c r="AF274"/>
  <c r="AE409"/>
  <c r="AG274"/>
  <c r="AF409"/>
  <c r="AG409"/>
  <c r="AH274"/>
  <c r="AI274"/>
  <c r="AH409"/>
  <c r="AJ274"/>
  <c r="AI409"/>
  <c r="AJ409"/>
  <c r="AK274"/>
  <c r="AL274"/>
  <c r="AK409"/>
  <c r="AL409"/>
  <c r="AM274"/>
  <c r="AN274"/>
  <c r="AM409"/>
  <c r="T411"/>
  <c r="U276"/>
  <c r="V276"/>
  <c r="C411"/>
  <c r="I411"/>
  <c r="J411"/>
  <c r="K411"/>
  <c r="L411"/>
  <c r="M411"/>
  <c r="P411"/>
  <c r="Q411"/>
  <c r="R411"/>
  <c r="S411"/>
  <c r="U411"/>
  <c r="F276"/>
  <c r="J276"/>
  <c r="M276"/>
  <c r="O276"/>
  <c r="S276"/>
  <c r="D411"/>
  <c r="E411"/>
  <c r="F411"/>
  <c r="G411"/>
  <c r="H411"/>
  <c r="N411"/>
  <c r="O411"/>
  <c r="C276"/>
  <c r="D276"/>
  <c r="E276"/>
  <c r="G276"/>
  <c r="H276"/>
  <c r="I276"/>
  <c r="K276"/>
  <c r="L276"/>
  <c r="N276"/>
  <c r="P276"/>
  <c r="Q276"/>
  <c r="R276"/>
  <c r="T276"/>
  <c r="V411"/>
  <c r="W276"/>
  <c r="X276"/>
  <c r="W411"/>
  <c r="X411"/>
  <c r="Y276"/>
  <c r="Z276"/>
  <c r="Y411"/>
  <c r="AA276"/>
  <c r="Z411"/>
  <c r="AB276"/>
  <c r="AA411"/>
  <c r="AC276"/>
  <c r="AB411"/>
  <c r="AD276"/>
  <c r="AC411"/>
  <c r="AE276"/>
  <c r="AD411"/>
  <c r="AE411"/>
  <c r="AF276"/>
  <c r="AG276"/>
  <c r="AF411"/>
  <c r="AH276"/>
  <c r="AG411"/>
  <c r="AH411"/>
  <c r="AI276"/>
  <c r="AI411"/>
  <c r="AJ276"/>
  <c r="AJ411"/>
  <c r="AK276"/>
  <c r="AL276"/>
  <c r="AK411"/>
  <c r="AM590"/>
  <c r="AM597" s="1"/>
  <c r="AM569" s="1"/>
  <c r="AM63" s="1"/>
  <c r="AM276"/>
  <c r="AL411"/>
  <c r="AN590"/>
  <c r="AN597" s="1"/>
  <c r="AN569" s="1"/>
  <c r="AN63" s="1"/>
  <c r="AM411"/>
  <c r="AN276"/>
  <c r="AO590"/>
  <c r="AO597" s="1"/>
  <c r="AO569" s="1"/>
  <c r="AO63" s="1"/>
  <c r="U278"/>
  <c r="T413"/>
  <c r="C413"/>
  <c r="E413"/>
  <c r="D413"/>
  <c r="F413"/>
  <c r="G413"/>
  <c r="I413"/>
  <c r="J413"/>
  <c r="K413"/>
  <c r="N413"/>
  <c r="O413"/>
  <c r="P413"/>
  <c r="Q413"/>
  <c r="C278"/>
  <c r="D278"/>
  <c r="F278"/>
  <c r="G278"/>
  <c r="H278"/>
  <c r="J278"/>
  <c r="L278"/>
  <c r="M278"/>
  <c r="N278"/>
  <c r="P278"/>
  <c r="S278"/>
  <c r="H413"/>
  <c r="L413"/>
  <c r="M413"/>
  <c r="R413"/>
  <c r="S413"/>
  <c r="U413"/>
  <c r="E278"/>
  <c r="I278"/>
  <c r="K278"/>
  <c r="O278"/>
  <c r="Q278"/>
  <c r="R278"/>
  <c r="T278"/>
  <c r="V278"/>
  <c r="V413"/>
  <c r="W278"/>
  <c r="X278"/>
  <c r="W413"/>
  <c r="Y278"/>
  <c r="X413"/>
  <c r="Z278"/>
  <c r="Y413"/>
  <c r="Z413"/>
  <c r="AA278"/>
  <c r="AA413"/>
  <c r="AB278"/>
  <c r="AC278"/>
  <c r="AB413"/>
  <c r="AC413"/>
  <c r="AD278"/>
  <c r="AE278"/>
  <c r="AD413"/>
  <c r="AF278"/>
  <c r="AE413"/>
  <c r="AG278"/>
  <c r="AF413"/>
  <c r="AH278"/>
  <c r="AG413"/>
  <c r="AI278"/>
  <c r="AH413"/>
  <c r="AJ278"/>
  <c r="AI413"/>
  <c r="AK278"/>
  <c r="AJ413"/>
  <c r="AL278"/>
  <c r="AK413"/>
  <c r="AM278"/>
  <c r="AL413"/>
  <c r="AM413"/>
  <c r="AN278"/>
  <c r="T415"/>
  <c r="U280"/>
  <c r="E415"/>
  <c r="F415"/>
  <c r="G415"/>
  <c r="I415"/>
  <c r="J415"/>
  <c r="K415"/>
  <c r="L415"/>
  <c r="M415"/>
  <c r="O415"/>
  <c r="P415"/>
  <c r="R415"/>
  <c r="C280"/>
  <c r="E280"/>
  <c r="G280"/>
  <c r="I280"/>
  <c r="K280"/>
  <c r="O280"/>
  <c r="P280"/>
  <c r="R280"/>
  <c r="V280"/>
  <c r="C415"/>
  <c r="D415"/>
  <c r="H415"/>
  <c r="N415"/>
  <c r="Q415"/>
  <c r="S415"/>
  <c r="U415"/>
  <c r="D280"/>
  <c r="F280"/>
  <c r="H280"/>
  <c r="J280"/>
  <c r="L280"/>
  <c r="M280"/>
  <c r="N280"/>
  <c r="Q280"/>
  <c r="S280"/>
  <c r="T280"/>
  <c r="V415"/>
  <c r="W280"/>
  <c r="X280"/>
  <c r="W415"/>
  <c r="Y280"/>
  <c r="X415"/>
  <c r="Z280"/>
  <c r="Y415"/>
  <c r="AA280"/>
  <c r="Z415"/>
  <c r="AA415"/>
  <c r="AB280"/>
  <c r="AB415"/>
  <c r="AC280"/>
  <c r="AD280"/>
  <c r="AC415"/>
  <c r="AE280"/>
  <c r="AD415"/>
  <c r="AE415"/>
  <c r="AF280"/>
  <c r="AG280"/>
  <c r="AF415"/>
  <c r="AG415"/>
  <c r="AH280"/>
  <c r="AI280"/>
  <c r="AH415"/>
  <c r="AJ280"/>
  <c r="AI415"/>
  <c r="AK280"/>
  <c r="AJ415"/>
  <c r="AL280"/>
  <c r="AK415"/>
  <c r="AL415"/>
  <c r="AM280"/>
  <c r="AN280"/>
  <c r="AM415"/>
  <c r="U282"/>
  <c r="T417"/>
  <c r="V282"/>
  <c r="D417"/>
  <c r="F417"/>
  <c r="G417"/>
  <c r="H417"/>
  <c r="I417"/>
  <c r="K417"/>
  <c r="N417"/>
  <c r="U417"/>
  <c r="D282"/>
  <c r="E282"/>
  <c r="F282"/>
  <c r="H282"/>
  <c r="I282"/>
  <c r="J282"/>
  <c r="K282"/>
  <c r="L282"/>
  <c r="C417"/>
  <c r="E417"/>
  <c r="J417"/>
  <c r="L417"/>
  <c r="M417"/>
  <c r="O417"/>
  <c r="P417"/>
  <c r="Q417"/>
  <c r="R417"/>
  <c r="S417"/>
  <c r="C282"/>
  <c r="G282"/>
  <c r="M282"/>
  <c r="N282"/>
  <c r="O282"/>
  <c r="P282"/>
  <c r="R282"/>
  <c r="S282"/>
  <c r="T282"/>
  <c r="Q282"/>
  <c r="V417"/>
  <c r="W282"/>
  <c r="W417"/>
  <c r="X282"/>
  <c r="Y282"/>
  <c r="X417"/>
  <c r="Y417"/>
  <c r="Z282"/>
  <c r="AA282"/>
  <c r="Z417"/>
  <c r="AA417"/>
  <c r="AB282"/>
  <c r="AC282"/>
  <c r="AB417"/>
  <c r="AD282"/>
  <c r="AC417"/>
  <c r="AD417"/>
  <c r="AE282"/>
  <c r="AF282"/>
  <c r="AE417"/>
  <c r="AG282"/>
  <c r="AF417"/>
  <c r="AG417"/>
  <c r="AH282"/>
  <c r="AH417"/>
  <c r="AI282"/>
  <c r="AJ282"/>
  <c r="AI417"/>
  <c r="AJ417"/>
  <c r="AK282"/>
  <c r="AL282"/>
  <c r="AK417"/>
  <c r="AM282"/>
  <c r="AL417"/>
  <c r="AN282"/>
  <c r="AM417"/>
  <c r="R620"/>
  <c r="R629" s="1"/>
  <c r="R601" s="1"/>
  <c r="R64" s="1"/>
  <c r="S620"/>
  <c r="S629" s="1"/>
  <c r="S601" s="1"/>
  <c r="S64" s="1"/>
  <c r="T620"/>
  <c r="T629" s="1"/>
  <c r="T601" s="1"/>
  <c r="T64" s="1"/>
  <c r="U620"/>
  <c r="U629" s="1"/>
  <c r="U601" s="1"/>
  <c r="U64" s="1"/>
  <c r="T435"/>
  <c r="V620"/>
  <c r="V629" s="1"/>
  <c r="V601" s="1"/>
  <c r="V64" s="1"/>
  <c r="U300"/>
  <c r="W620"/>
  <c r="W629" s="1"/>
  <c r="W601" s="1"/>
  <c r="W64" s="1"/>
  <c r="V300"/>
  <c r="C435"/>
  <c r="D435"/>
  <c r="E435"/>
  <c r="F435"/>
  <c r="G435"/>
  <c r="K435"/>
  <c r="L435"/>
  <c r="N435"/>
  <c r="O435"/>
  <c r="P435"/>
  <c r="U435"/>
  <c r="D300"/>
  <c r="F300"/>
  <c r="K300"/>
  <c r="M300"/>
  <c r="O300"/>
  <c r="H435"/>
  <c r="I435"/>
  <c r="J435"/>
  <c r="M435"/>
  <c r="Q435"/>
  <c r="R435"/>
  <c r="S435"/>
  <c r="C300"/>
  <c r="E300"/>
  <c r="G300"/>
  <c r="H300"/>
  <c r="I300"/>
  <c r="J300"/>
  <c r="L300"/>
  <c r="N300"/>
  <c r="P300"/>
  <c r="Q300"/>
  <c r="S300"/>
  <c r="T300"/>
  <c r="R300"/>
  <c r="V435"/>
  <c r="X620"/>
  <c r="X629" s="1"/>
  <c r="X601" s="1"/>
  <c r="X64" s="1"/>
  <c r="W300"/>
  <c r="Y620"/>
  <c r="Y629" s="1"/>
  <c r="Y601" s="1"/>
  <c r="Y64" s="1"/>
  <c r="X300"/>
  <c r="W435"/>
  <c r="Z620"/>
  <c r="Z629" s="1"/>
  <c r="Z601" s="1"/>
  <c r="Z64" s="1"/>
  <c r="X435"/>
  <c r="Y300"/>
  <c r="AA620"/>
  <c r="AA629" s="1"/>
  <c r="AA601" s="1"/>
  <c r="AA64" s="1"/>
  <c r="Y435"/>
  <c r="Z300"/>
  <c r="AA300"/>
  <c r="AB620"/>
  <c r="AB629" s="1"/>
  <c r="AB601" s="1"/>
  <c r="AB64" s="1"/>
  <c r="Z435"/>
  <c r="AC620"/>
  <c r="AC629" s="1"/>
  <c r="AC601" s="1"/>
  <c r="AC64" s="1"/>
  <c r="AB300"/>
  <c r="AA435"/>
  <c r="AD620"/>
  <c r="AD629" s="1"/>
  <c r="AD601" s="1"/>
  <c r="AD64" s="1"/>
  <c r="AC300"/>
  <c r="AB435"/>
  <c r="AE620"/>
  <c r="AE629" s="1"/>
  <c r="AE601" s="1"/>
  <c r="AE64" s="1"/>
  <c r="AD300"/>
  <c r="AC435"/>
  <c r="AE300"/>
  <c r="AD435"/>
  <c r="AF620"/>
  <c r="AF629" s="1"/>
  <c r="AF601" s="1"/>
  <c r="AF64" s="1"/>
  <c r="AE435"/>
  <c r="AF300"/>
  <c r="AG300"/>
  <c r="AF435"/>
  <c r="AH300"/>
  <c r="AG435"/>
  <c r="AI300"/>
  <c r="AH435"/>
  <c r="AI435"/>
  <c r="AJ300"/>
  <c r="AK300"/>
  <c r="AJ435"/>
  <c r="AL300"/>
  <c r="AK435"/>
  <c r="AM300"/>
  <c r="AL435"/>
  <c r="AM435"/>
  <c r="AN300"/>
  <c r="U302"/>
  <c r="T437"/>
  <c r="H437"/>
  <c r="I437"/>
  <c r="L437"/>
  <c r="N437"/>
  <c r="P437"/>
  <c r="Q437"/>
  <c r="C302"/>
  <c r="G302"/>
  <c r="L302"/>
  <c r="M302"/>
  <c r="O302"/>
  <c r="R302"/>
  <c r="T302"/>
  <c r="C437"/>
  <c r="D437"/>
  <c r="E437"/>
  <c r="F437"/>
  <c r="G437"/>
  <c r="J437"/>
  <c r="K437"/>
  <c r="M437"/>
  <c r="O437"/>
  <c r="R437"/>
  <c r="S437"/>
  <c r="U437"/>
  <c r="D302"/>
  <c r="E302"/>
  <c r="F302"/>
  <c r="H302"/>
  <c r="I302"/>
  <c r="J302"/>
  <c r="K302"/>
  <c r="N302"/>
  <c r="P302"/>
  <c r="Q302"/>
  <c r="S302"/>
  <c r="V302"/>
  <c r="V437"/>
  <c r="W302"/>
  <c r="X302"/>
  <c r="W437"/>
  <c r="Y302"/>
  <c r="X437"/>
  <c r="Z302"/>
  <c r="Y437"/>
  <c r="AA302"/>
  <c r="Z437"/>
  <c r="AA437"/>
  <c r="AB302"/>
  <c r="AC302"/>
  <c r="AB437"/>
  <c r="AD302"/>
  <c r="AC437"/>
  <c r="AD437"/>
  <c r="AE302"/>
  <c r="AE437"/>
  <c r="AF302"/>
  <c r="AG302"/>
  <c r="AF437"/>
  <c r="AG437"/>
  <c r="AH302"/>
  <c r="AI302"/>
  <c r="AH437"/>
  <c r="AJ302"/>
  <c r="AI437"/>
  <c r="AJ437"/>
  <c r="AK302"/>
  <c r="AK437"/>
  <c r="AL302"/>
  <c r="AL437"/>
  <c r="AM302"/>
  <c r="AM437"/>
  <c r="AN302"/>
  <c r="U304"/>
  <c r="T439"/>
  <c r="V304"/>
  <c r="E439"/>
  <c r="F439"/>
  <c r="G439"/>
  <c r="J439"/>
  <c r="L439"/>
  <c r="P439"/>
  <c r="Q439"/>
  <c r="S439"/>
  <c r="D304"/>
  <c r="C304"/>
  <c r="E304"/>
  <c r="G304"/>
  <c r="H304"/>
  <c r="I304"/>
  <c r="J304"/>
  <c r="L304"/>
  <c r="N304"/>
  <c r="P304"/>
  <c r="Q304"/>
  <c r="T304"/>
  <c r="C439"/>
  <c r="D439"/>
  <c r="H439"/>
  <c r="I439"/>
  <c r="K439"/>
  <c r="M439"/>
  <c r="N439"/>
  <c r="O439"/>
  <c r="R439"/>
  <c r="U439"/>
  <c r="F304"/>
  <c r="K304"/>
  <c r="M304"/>
  <c r="O304"/>
  <c r="R304"/>
  <c r="S304"/>
  <c r="W304"/>
  <c r="V439"/>
  <c r="W439"/>
  <c r="X304"/>
  <c r="Y304"/>
  <c r="X439"/>
  <c r="Z304"/>
  <c r="Y439"/>
  <c r="AA304"/>
  <c r="Z439"/>
  <c r="AA439"/>
  <c r="AB304"/>
  <c r="AC304"/>
  <c r="AB439"/>
  <c r="AD304"/>
  <c r="AC439"/>
  <c r="AE304"/>
  <c r="AD439"/>
  <c r="AF304"/>
  <c r="AE439"/>
  <c r="AF439"/>
  <c r="AG304"/>
  <c r="AG439"/>
  <c r="AH304"/>
  <c r="AH439"/>
  <c r="AI304"/>
  <c r="AJ304"/>
  <c r="AI439"/>
  <c r="AK304"/>
  <c r="AJ439"/>
  <c r="AL304"/>
  <c r="AK439"/>
  <c r="AL439"/>
  <c r="AM304"/>
  <c r="AN304"/>
  <c r="AM439"/>
  <c r="U306"/>
  <c r="T441"/>
  <c r="C441"/>
  <c r="E441"/>
  <c r="D441"/>
  <c r="H441"/>
  <c r="M441"/>
  <c r="O441"/>
  <c r="Q441"/>
  <c r="R441"/>
  <c r="S441"/>
  <c r="U441"/>
  <c r="D306"/>
  <c r="E306"/>
  <c r="F306"/>
  <c r="H306"/>
  <c r="I306"/>
  <c r="J306"/>
  <c r="K306"/>
  <c r="N306"/>
  <c r="O306"/>
  <c r="P306"/>
  <c r="Q306"/>
  <c r="V306"/>
  <c r="F441"/>
  <c r="G441"/>
  <c r="I441"/>
  <c r="J441"/>
  <c r="K441"/>
  <c r="L441"/>
  <c r="N441"/>
  <c r="P441"/>
  <c r="C306"/>
  <c r="G306"/>
  <c r="L306"/>
  <c r="M306"/>
  <c r="R306"/>
  <c r="S306"/>
  <c r="T306"/>
  <c r="V441"/>
  <c r="W306"/>
  <c r="X306"/>
  <c r="W441"/>
  <c r="Y306"/>
  <c r="X441"/>
  <c r="Z306"/>
  <c r="Y441"/>
  <c r="Z441"/>
  <c r="AA306"/>
  <c r="AA441"/>
  <c r="AB306"/>
  <c r="AC306"/>
  <c r="AB441"/>
  <c r="AD306"/>
  <c r="AC441"/>
  <c r="AD441"/>
  <c r="AE306"/>
  <c r="AF306"/>
  <c r="AE441"/>
  <c r="AG306"/>
  <c r="AF441"/>
  <c r="AG441"/>
  <c r="AH306"/>
  <c r="AH441"/>
  <c r="AI306"/>
  <c r="AJ306"/>
  <c r="AI441"/>
  <c r="AJ441"/>
  <c r="AK306"/>
  <c r="AL306"/>
  <c r="AK441"/>
  <c r="AM306"/>
  <c r="AL441"/>
  <c r="AN306"/>
  <c r="AM441"/>
  <c r="T443"/>
  <c r="U308"/>
  <c r="V308"/>
  <c r="C443"/>
  <c r="D443"/>
  <c r="H443"/>
  <c r="J443"/>
  <c r="M443"/>
  <c r="O443"/>
  <c r="Q443"/>
  <c r="R443"/>
  <c r="S443"/>
  <c r="U443"/>
  <c r="F308"/>
  <c r="K308"/>
  <c r="M308"/>
  <c r="R308"/>
  <c r="S308"/>
  <c r="E443"/>
  <c r="F443"/>
  <c r="G443"/>
  <c r="I443"/>
  <c r="K443"/>
  <c r="L443"/>
  <c r="N443"/>
  <c r="P443"/>
  <c r="D308"/>
  <c r="C308"/>
  <c r="E308"/>
  <c r="G308"/>
  <c r="H308"/>
  <c r="I308"/>
  <c r="J308"/>
  <c r="L308"/>
  <c r="N308"/>
  <c r="O308"/>
  <c r="P308"/>
  <c r="Q308"/>
  <c r="T308"/>
  <c r="V443"/>
  <c r="W308"/>
  <c r="X308"/>
  <c r="W443"/>
  <c r="Y308"/>
  <c r="X443"/>
  <c r="Z308"/>
  <c r="Y443"/>
  <c r="AA308"/>
  <c r="Z443"/>
  <c r="AB308"/>
  <c r="AA443"/>
  <c r="AC308"/>
  <c r="AB443"/>
  <c r="AC443"/>
  <c r="AD308"/>
  <c r="AE308"/>
  <c r="AD443"/>
  <c r="AE443"/>
  <c r="AF308"/>
  <c r="AG308"/>
  <c r="AF443"/>
  <c r="AH308"/>
  <c r="AG443"/>
  <c r="AI308"/>
  <c r="AH443"/>
  <c r="AI443"/>
  <c r="AJ308"/>
  <c r="AJ443"/>
  <c r="AK308"/>
  <c r="AL308"/>
  <c r="AK443"/>
  <c r="AM308"/>
  <c r="AL443"/>
  <c r="AM443"/>
  <c r="AN308"/>
  <c r="U326"/>
  <c r="T461"/>
  <c r="C461"/>
  <c r="E461"/>
  <c r="F461"/>
  <c r="G461"/>
  <c r="J461"/>
  <c r="K461"/>
  <c r="M461"/>
  <c r="R461"/>
  <c r="S461"/>
  <c r="C326"/>
  <c r="D326"/>
  <c r="G326"/>
  <c r="L326"/>
  <c r="M326"/>
  <c r="N326"/>
  <c r="R326"/>
  <c r="S326"/>
  <c r="W652"/>
  <c r="W661" s="1"/>
  <c r="W633" s="1"/>
  <c r="W65" s="1"/>
  <c r="D461"/>
  <c r="H461"/>
  <c r="I461"/>
  <c r="L461"/>
  <c r="N461"/>
  <c r="O461"/>
  <c r="P461"/>
  <c r="Q461"/>
  <c r="U461"/>
  <c r="E326"/>
  <c r="F326"/>
  <c r="H326"/>
  <c r="I326"/>
  <c r="J326"/>
  <c r="K326"/>
  <c r="O326"/>
  <c r="P326"/>
  <c r="Q326"/>
  <c r="T326"/>
  <c r="V326"/>
  <c r="V461"/>
  <c r="X652"/>
  <c r="X661" s="1"/>
  <c r="X633" s="1"/>
  <c r="X65" s="1"/>
  <c r="W326"/>
  <c r="X326"/>
  <c r="W461"/>
  <c r="Y652"/>
  <c r="Y661" s="1"/>
  <c r="Y633" s="1"/>
  <c r="Y65" s="1"/>
  <c r="Y326"/>
  <c r="Z652"/>
  <c r="Z661" s="1"/>
  <c r="Z633" s="1"/>
  <c r="Z65" s="1"/>
  <c r="X461"/>
  <c r="Z326"/>
  <c r="AA652"/>
  <c r="AA661" s="1"/>
  <c r="AA633" s="1"/>
  <c r="AA65" s="1"/>
  <c r="Y461"/>
  <c r="AB652"/>
  <c r="AB661" s="1"/>
  <c r="AB633" s="1"/>
  <c r="AB65" s="1"/>
  <c r="AA326"/>
  <c r="Z461"/>
  <c r="AC652"/>
  <c r="AC661" s="1"/>
  <c r="AC633" s="1"/>
  <c r="AC65" s="1"/>
  <c r="AA461"/>
  <c r="AB326"/>
  <c r="AC326"/>
  <c r="AB461"/>
  <c r="AD652"/>
  <c r="AD661" s="1"/>
  <c r="AD633" s="1"/>
  <c r="AD65" s="1"/>
  <c r="AE652"/>
  <c r="AE661" s="1"/>
  <c r="AE633" s="1"/>
  <c r="AE65" s="1"/>
  <c r="AD326"/>
  <c r="AC461"/>
  <c r="AD461"/>
  <c r="AF652"/>
  <c r="AF661" s="1"/>
  <c r="AF633" s="1"/>
  <c r="AF65" s="1"/>
  <c r="AE326"/>
  <c r="AG652"/>
  <c r="AG661" s="1"/>
  <c r="AG633" s="1"/>
  <c r="AG65" s="1"/>
  <c r="AF326"/>
  <c r="AE461"/>
  <c r="AH652"/>
  <c r="AH661" s="1"/>
  <c r="AH633" s="1"/>
  <c r="AH65" s="1"/>
  <c r="AG326"/>
  <c r="AF461"/>
  <c r="AI652"/>
  <c r="AI661" s="1"/>
  <c r="AI633" s="1"/>
  <c r="AI65" s="1"/>
  <c r="AG461"/>
  <c r="AH326"/>
  <c r="AJ652"/>
  <c r="AJ661" s="1"/>
  <c r="AJ633" s="1"/>
  <c r="AJ65" s="1"/>
  <c r="AI326"/>
  <c r="AH461"/>
  <c r="AJ326"/>
  <c r="AK652"/>
  <c r="AK661" s="1"/>
  <c r="AK633" s="1"/>
  <c r="AK65" s="1"/>
  <c r="AI461"/>
  <c r="AJ461"/>
  <c r="AL652"/>
  <c r="AL661" s="1"/>
  <c r="AL633" s="1"/>
  <c r="AL65" s="1"/>
  <c r="AK326"/>
  <c r="AM652"/>
  <c r="AM661" s="1"/>
  <c r="AM633" s="1"/>
  <c r="AM65" s="1"/>
  <c r="AL326"/>
  <c r="AK461"/>
  <c r="AL461"/>
  <c r="AN652"/>
  <c r="AN661" s="1"/>
  <c r="AN633" s="1"/>
  <c r="AN65" s="1"/>
  <c r="AM326"/>
  <c r="AN326"/>
  <c r="AM461"/>
  <c r="AO652"/>
  <c r="AO661" s="1"/>
  <c r="AO633" s="1"/>
  <c r="AO65" s="1"/>
  <c r="T463"/>
  <c r="U328"/>
  <c r="V328"/>
  <c r="H463"/>
  <c r="I463"/>
  <c r="K463"/>
  <c r="M463"/>
  <c r="N463"/>
  <c r="R463"/>
  <c r="D328"/>
  <c r="C328"/>
  <c r="E328"/>
  <c r="G328"/>
  <c r="H328"/>
  <c r="I328"/>
  <c r="J328"/>
  <c r="L328"/>
  <c r="N328"/>
  <c r="O328"/>
  <c r="Q328"/>
  <c r="D463"/>
  <c r="C463"/>
  <c r="E463"/>
  <c r="F463"/>
  <c r="G463"/>
  <c r="J463"/>
  <c r="L463"/>
  <c r="O463"/>
  <c r="P463"/>
  <c r="Q463"/>
  <c r="S463"/>
  <c r="U463"/>
  <c r="F328"/>
  <c r="K328"/>
  <c r="M328"/>
  <c r="P328"/>
  <c r="R328"/>
  <c r="S328"/>
  <c r="T328"/>
  <c r="W328"/>
  <c r="V463"/>
  <c r="X328"/>
  <c r="W463"/>
  <c r="X463"/>
  <c r="Y328"/>
  <c r="Z328"/>
  <c r="Y463"/>
  <c r="AA328"/>
  <c r="Z463"/>
  <c r="AA463"/>
  <c r="AB328"/>
  <c r="AB463"/>
  <c r="AC328"/>
  <c r="AD328"/>
  <c r="AC463"/>
  <c r="AE328"/>
  <c r="AD463"/>
  <c r="AF328"/>
  <c r="AE463"/>
  <c r="AG328"/>
  <c r="AF463"/>
  <c r="AG463"/>
  <c r="AH328"/>
  <c r="AH463"/>
  <c r="AI328"/>
  <c r="AJ328"/>
  <c r="AI463"/>
  <c r="AK328"/>
  <c r="AJ463"/>
  <c r="AL328"/>
  <c r="AK463"/>
  <c r="AL463"/>
  <c r="AM328"/>
  <c r="AN328"/>
  <c r="AM463"/>
  <c r="U330"/>
  <c r="T465"/>
  <c r="F465"/>
  <c r="G465"/>
  <c r="J465"/>
  <c r="K465"/>
  <c r="L465"/>
  <c r="O465"/>
  <c r="P465"/>
  <c r="Q465"/>
  <c r="U465"/>
  <c r="D330"/>
  <c r="E330"/>
  <c r="F330"/>
  <c r="H330"/>
  <c r="I330"/>
  <c r="J330"/>
  <c r="K330"/>
  <c r="M330"/>
  <c r="O330"/>
  <c r="P330"/>
  <c r="V330"/>
  <c r="C465"/>
  <c r="D465"/>
  <c r="E465"/>
  <c r="H465"/>
  <c r="I465"/>
  <c r="M465"/>
  <c r="N465"/>
  <c r="R465"/>
  <c r="S465"/>
  <c r="C330"/>
  <c r="G330"/>
  <c r="L330"/>
  <c r="N330"/>
  <c r="R330"/>
  <c r="S330"/>
  <c r="T330"/>
  <c r="Q330"/>
  <c r="V465"/>
  <c r="W330"/>
  <c r="X330"/>
  <c r="W465"/>
  <c r="Y330"/>
  <c r="X465"/>
  <c r="Z330"/>
  <c r="Y465"/>
  <c r="Z465"/>
  <c r="AA330"/>
  <c r="AA465"/>
  <c r="AB330"/>
  <c r="AC330"/>
  <c r="AB465"/>
  <c r="AD330"/>
  <c r="AC465"/>
  <c r="AD465"/>
  <c r="AE330"/>
  <c r="AF330"/>
  <c r="AE465"/>
  <c r="AG330"/>
  <c r="AF465"/>
  <c r="AG465"/>
  <c r="AH330"/>
  <c r="AH465"/>
  <c r="AI330"/>
  <c r="AJ330"/>
  <c r="AI465"/>
  <c r="AJ465"/>
  <c r="AK330"/>
  <c r="AL330"/>
  <c r="AK465"/>
  <c r="AM330"/>
  <c r="AL465"/>
  <c r="AM465"/>
  <c r="AN330"/>
  <c r="T467"/>
  <c r="U332"/>
  <c r="V332"/>
  <c r="E467"/>
  <c r="G467"/>
  <c r="I467"/>
  <c r="K467"/>
  <c r="L467"/>
  <c r="N467"/>
  <c r="P467"/>
  <c r="U467"/>
  <c r="F332"/>
  <c r="J332"/>
  <c r="K332"/>
  <c r="M332"/>
  <c r="P332"/>
  <c r="C467"/>
  <c r="D467"/>
  <c r="F467"/>
  <c r="H467"/>
  <c r="J467"/>
  <c r="M467"/>
  <c r="O467"/>
  <c r="Q467"/>
  <c r="R467"/>
  <c r="S467"/>
  <c r="D332"/>
  <c r="C332"/>
  <c r="E332"/>
  <c r="G332"/>
  <c r="H332"/>
  <c r="I332"/>
  <c r="L332"/>
  <c r="N332"/>
  <c r="O332"/>
  <c r="Q332"/>
  <c r="R332"/>
  <c r="S332"/>
  <c r="T332"/>
  <c r="V467"/>
  <c r="W332"/>
  <c r="X332"/>
  <c r="W467"/>
  <c r="Y332"/>
  <c r="X467"/>
  <c r="Y467"/>
  <c r="Z332"/>
  <c r="AA332"/>
  <c r="Z467"/>
  <c r="AB332"/>
  <c r="AA467"/>
  <c r="AC332"/>
  <c r="AB467"/>
  <c r="AD332"/>
  <c r="AC467"/>
  <c r="AE332"/>
  <c r="AD467"/>
  <c r="AE467"/>
  <c r="AF332"/>
  <c r="AG332"/>
  <c r="AF467"/>
  <c r="AH332"/>
  <c r="AG467"/>
  <c r="AI332"/>
  <c r="AH467"/>
  <c r="AI467"/>
  <c r="AJ332"/>
  <c r="AK332"/>
  <c r="AJ467"/>
  <c r="AL332"/>
  <c r="AK467"/>
  <c r="AM332"/>
  <c r="AL467"/>
  <c r="AM467"/>
  <c r="AN332"/>
  <c r="U334"/>
  <c r="T469"/>
  <c r="D469"/>
  <c r="H469"/>
  <c r="L469"/>
  <c r="N469"/>
  <c r="P469"/>
  <c r="C334"/>
  <c r="G334"/>
  <c r="H334"/>
  <c r="L334"/>
  <c r="N334"/>
  <c r="T334"/>
  <c r="C469"/>
  <c r="E469"/>
  <c r="F469"/>
  <c r="G469"/>
  <c r="I469"/>
  <c r="J469"/>
  <c r="K469"/>
  <c r="M469"/>
  <c r="O469"/>
  <c r="Q469"/>
  <c r="R469"/>
  <c r="S469"/>
  <c r="U469"/>
  <c r="D334"/>
  <c r="E334"/>
  <c r="F334"/>
  <c r="I334"/>
  <c r="J334"/>
  <c r="K334"/>
  <c r="M334"/>
  <c r="O334"/>
  <c r="P334"/>
  <c r="Q334"/>
  <c r="R334"/>
  <c r="S334"/>
  <c r="V334"/>
  <c r="V469"/>
  <c r="W334"/>
  <c r="X334"/>
  <c r="W469"/>
  <c r="Y334"/>
  <c r="X469"/>
  <c r="Z334"/>
  <c r="Y469"/>
  <c r="Z469"/>
  <c r="AA334"/>
  <c r="AA469"/>
  <c r="AB334"/>
  <c r="AC334"/>
  <c r="AB469"/>
  <c r="AD334"/>
  <c r="AC469"/>
  <c r="AD469"/>
  <c r="AE334"/>
  <c r="AE469"/>
  <c r="AF334"/>
  <c r="AG334"/>
  <c r="AF469"/>
  <c r="AG469"/>
  <c r="AH334"/>
  <c r="AI334"/>
  <c r="AH469"/>
  <c r="AJ334"/>
  <c r="AI469"/>
  <c r="AJ469"/>
  <c r="AK334"/>
  <c r="AK469"/>
  <c r="AL334"/>
  <c r="AL469"/>
  <c r="AM334"/>
  <c r="AN334"/>
  <c r="AM469"/>
  <c r="AL168"/>
  <c r="AL107"/>
  <c r="AO193"/>
  <c r="AO154"/>
  <c r="AO50"/>
  <c r="AO540"/>
  <c r="AO80"/>
  <c r="AO81" s="1"/>
  <c r="AO119"/>
  <c r="AO20"/>
  <c r="AO43" s="1"/>
  <c r="AP590"/>
  <c r="AP597" s="1"/>
  <c r="AP569" s="1"/>
  <c r="AP661"/>
  <c r="AP633" s="1"/>
  <c r="AN157"/>
  <c r="AN158" s="1"/>
  <c r="AN409"/>
  <c r="AN415"/>
  <c r="AN436"/>
  <c r="AN468"/>
  <c r="AN441"/>
  <c r="AN465"/>
  <c r="AO332"/>
  <c r="AO328"/>
  <c r="AO308"/>
  <c r="AO304"/>
  <c r="AO300"/>
  <c r="AO280"/>
  <c r="AO276"/>
  <c r="AO416"/>
  <c r="AO523"/>
  <c r="AO192"/>
  <c r="AO153"/>
  <c r="AO49"/>
  <c r="AP516"/>
  <c r="AP517" s="1"/>
  <c r="AP508"/>
  <c r="AP509" s="1"/>
  <c r="AP14" s="1"/>
  <c r="AP18" s="1"/>
  <c r="AP482"/>
  <c r="AP483" s="1"/>
  <c r="AP104" s="1"/>
  <c r="AP476"/>
  <c r="AP477" s="1"/>
  <c r="AP103" s="1"/>
  <c r="AP170" s="1"/>
  <c r="AP520"/>
  <c r="AP521" s="1"/>
  <c r="AP512"/>
  <c r="AP120"/>
  <c r="B123" s="1"/>
  <c r="AP29"/>
  <c r="AP31" s="1"/>
  <c r="AP10"/>
  <c r="AP12" s="1"/>
  <c r="AP399"/>
  <c r="AP411" s="1"/>
  <c r="AP276"/>
  <c r="AP258"/>
  <c r="B239"/>
  <c r="B241"/>
  <c r="B243"/>
  <c r="AP397"/>
  <c r="AP409" s="1"/>
  <c r="AP274"/>
  <c r="AP405"/>
  <c r="AP417" s="1"/>
  <c r="AP282"/>
  <c r="AP396"/>
  <c r="AP400"/>
  <c r="AP412" s="1"/>
  <c r="AP277"/>
  <c r="AP404"/>
  <c r="AP416" s="1"/>
  <c r="AP281"/>
  <c r="AP424"/>
  <c r="AP436" s="1"/>
  <c r="AP301"/>
  <c r="AP428"/>
  <c r="AP440" s="1"/>
  <c r="AP305"/>
  <c r="AP448"/>
  <c r="AP452"/>
  <c r="AP464" s="1"/>
  <c r="AP329"/>
  <c r="AP456"/>
  <c r="AP468" s="1"/>
  <c r="AP333"/>
  <c r="B374"/>
  <c r="B376"/>
  <c r="B378"/>
  <c r="AP425"/>
  <c r="AP437" s="1"/>
  <c r="AP302"/>
  <c r="AP429"/>
  <c r="AP441" s="1"/>
  <c r="AP306"/>
  <c r="AP449"/>
  <c r="AP461" s="1"/>
  <c r="AP326"/>
  <c r="AP453"/>
  <c r="AP465" s="1"/>
  <c r="AP330"/>
  <c r="AP457"/>
  <c r="AP469" s="1"/>
  <c r="AP334"/>
  <c r="AP549"/>
  <c r="AP543"/>
  <c r="AP166"/>
  <c r="AP130"/>
  <c r="AP55"/>
  <c r="AP585"/>
  <c r="AP570" s="1"/>
  <c r="AP68" s="1"/>
  <c r="B575"/>
  <c r="AP273" s="1"/>
  <c r="U275"/>
  <c r="T410"/>
  <c r="V275"/>
  <c r="G410"/>
  <c r="I410"/>
  <c r="J410"/>
  <c r="L410"/>
  <c r="M410"/>
  <c r="N410"/>
  <c r="O410"/>
  <c r="P410"/>
  <c r="C275"/>
  <c r="H275"/>
  <c r="L275"/>
  <c r="N275"/>
  <c r="R275"/>
  <c r="T275"/>
  <c r="C410"/>
  <c r="E410"/>
  <c r="D410"/>
  <c r="F410"/>
  <c r="H410"/>
  <c r="K410"/>
  <c r="Q410"/>
  <c r="R410"/>
  <c r="S410"/>
  <c r="U410"/>
  <c r="D275"/>
  <c r="E275"/>
  <c r="F275"/>
  <c r="G275"/>
  <c r="I275"/>
  <c r="J275"/>
  <c r="K275"/>
  <c r="M275"/>
  <c r="O275"/>
  <c r="P275"/>
  <c r="Q275"/>
  <c r="S275"/>
  <c r="V410"/>
  <c r="W275"/>
  <c r="W410"/>
  <c r="X275"/>
  <c r="Y275"/>
  <c r="X410"/>
  <c r="AA589"/>
  <c r="AA597" s="1"/>
  <c r="AA569" s="1"/>
  <c r="AA63" s="1"/>
  <c r="Y410"/>
  <c r="Z275"/>
  <c r="AB589"/>
  <c r="AB597" s="1"/>
  <c r="AB569" s="1"/>
  <c r="AB63" s="1"/>
  <c r="AA275"/>
  <c r="Z410"/>
  <c r="AC589"/>
  <c r="AC597" s="1"/>
  <c r="AC569" s="1"/>
  <c r="AC63" s="1"/>
  <c r="AB275"/>
  <c r="AA410"/>
  <c r="AC275"/>
  <c r="AB410"/>
  <c r="AD589"/>
  <c r="AD597" s="1"/>
  <c r="AD569" s="1"/>
  <c r="AD63" s="1"/>
  <c r="AE589"/>
  <c r="AE597" s="1"/>
  <c r="AE569" s="1"/>
  <c r="AE63" s="1"/>
  <c r="AC410"/>
  <c r="AD275"/>
  <c r="AF589"/>
  <c r="AF597" s="1"/>
  <c r="AF569" s="1"/>
  <c r="AF63" s="1"/>
  <c r="AD410"/>
  <c r="AE275"/>
  <c r="AG589"/>
  <c r="AG597" s="1"/>
  <c r="AG569" s="1"/>
  <c r="AG63" s="1"/>
  <c r="AF275"/>
  <c r="AE410"/>
  <c r="AH589"/>
  <c r="AH597" s="1"/>
  <c r="AH569" s="1"/>
  <c r="AH63" s="1"/>
  <c r="AG275"/>
  <c r="AF410"/>
  <c r="AI589"/>
  <c r="AI597" s="1"/>
  <c r="AI569" s="1"/>
  <c r="AI63" s="1"/>
  <c r="AH275"/>
  <c r="AG410"/>
  <c r="AH410"/>
  <c r="AJ589"/>
  <c r="AJ597" s="1"/>
  <c r="AJ569" s="1"/>
  <c r="AJ63" s="1"/>
  <c r="AI275"/>
  <c r="AK589"/>
  <c r="AK597" s="1"/>
  <c r="AK569" s="1"/>
  <c r="AK63" s="1"/>
  <c r="AI410"/>
  <c r="AJ275"/>
  <c r="AL589"/>
  <c r="AL597" s="1"/>
  <c r="AL569" s="1"/>
  <c r="AL63" s="1"/>
  <c r="AK275"/>
  <c r="AJ410"/>
  <c r="AL275"/>
  <c r="AK410"/>
  <c r="AL410"/>
  <c r="AM275"/>
  <c r="AN275"/>
  <c r="AM410"/>
  <c r="T412"/>
  <c r="U277"/>
  <c r="C412"/>
  <c r="E412"/>
  <c r="H412"/>
  <c r="I412"/>
  <c r="N412"/>
  <c r="O412"/>
  <c r="S412"/>
  <c r="U412"/>
  <c r="D277"/>
  <c r="F277"/>
  <c r="G277"/>
  <c r="H277"/>
  <c r="J277"/>
  <c r="M277"/>
  <c r="N277"/>
  <c r="O277"/>
  <c r="P277"/>
  <c r="D412"/>
  <c r="F412"/>
  <c r="G412"/>
  <c r="J412"/>
  <c r="K412"/>
  <c r="L412"/>
  <c r="M412"/>
  <c r="P412"/>
  <c r="Q412"/>
  <c r="R412"/>
  <c r="C277"/>
  <c r="E277"/>
  <c r="I277"/>
  <c r="K277"/>
  <c r="L277"/>
  <c r="Q277"/>
  <c r="R277"/>
  <c r="T277"/>
  <c r="S277"/>
  <c r="V277"/>
  <c r="V412"/>
  <c r="W277"/>
  <c r="X277"/>
  <c r="W412"/>
  <c r="X412"/>
  <c r="Y277"/>
  <c r="Z277"/>
  <c r="Y412"/>
  <c r="Z412"/>
  <c r="AA277"/>
  <c r="AA412"/>
  <c r="AB277"/>
  <c r="AC277"/>
  <c r="AB412"/>
  <c r="AD277"/>
  <c r="AC412"/>
  <c r="AD412"/>
  <c r="AE277"/>
  <c r="AE412"/>
  <c r="AF277"/>
  <c r="AG277"/>
  <c r="AF412"/>
  <c r="AG412"/>
  <c r="AH277"/>
  <c r="AH412"/>
  <c r="AI277"/>
  <c r="AJ277"/>
  <c r="AI412"/>
  <c r="AJ412"/>
  <c r="AK277"/>
  <c r="AL277"/>
  <c r="AK412"/>
  <c r="AM277"/>
  <c r="AL412"/>
  <c r="AM412"/>
  <c r="AN277"/>
  <c r="T414"/>
  <c r="U279"/>
  <c r="V279"/>
  <c r="C414"/>
  <c r="D414"/>
  <c r="G414"/>
  <c r="H414"/>
  <c r="J414"/>
  <c r="M414"/>
  <c r="Q414"/>
  <c r="R414"/>
  <c r="C279"/>
  <c r="E279"/>
  <c r="F279"/>
  <c r="G279"/>
  <c r="I279"/>
  <c r="J279"/>
  <c r="K279"/>
  <c r="O279"/>
  <c r="P279"/>
  <c r="Q279"/>
  <c r="S279"/>
  <c r="E414"/>
  <c r="F414"/>
  <c r="I414"/>
  <c r="K414"/>
  <c r="L414"/>
  <c r="N414"/>
  <c r="O414"/>
  <c r="P414"/>
  <c r="S414"/>
  <c r="U414"/>
  <c r="D279"/>
  <c r="H279"/>
  <c r="L279"/>
  <c r="M279"/>
  <c r="N279"/>
  <c r="R279"/>
  <c r="T279"/>
  <c r="V414"/>
  <c r="W279"/>
  <c r="W414"/>
  <c r="X279"/>
  <c r="Y279"/>
  <c r="X414"/>
  <c r="Z279"/>
  <c r="Y414"/>
  <c r="AA279"/>
  <c r="Z414"/>
  <c r="AA414"/>
  <c r="AB279"/>
  <c r="AC279"/>
  <c r="AB414"/>
  <c r="AD279"/>
  <c r="AC414"/>
  <c r="AE279"/>
  <c r="AD414"/>
  <c r="AE414"/>
  <c r="AF279"/>
  <c r="AG279"/>
  <c r="AF414"/>
  <c r="AG414"/>
  <c r="AH279"/>
  <c r="AI279"/>
  <c r="AH414"/>
  <c r="AI414"/>
  <c r="AJ279"/>
  <c r="AK279"/>
  <c r="AJ414"/>
  <c r="AL279"/>
  <c r="AK414"/>
  <c r="AM279"/>
  <c r="AL414"/>
  <c r="AM414"/>
  <c r="AN279"/>
  <c r="U281"/>
  <c r="T416"/>
  <c r="F416"/>
  <c r="I416"/>
  <c r="J416"/>
  <c r="K416"/>
  <c r="M416"/>
  <c r="N416"/>
  <c r="R416"/>
  <c r="S416"/>
  <c r="U416"/>
  <c r="C281"/>
  <c r="D281"/>
  <c r="E281"/>
  <c r="G281"/>
  <c r="I281"/>
  <c r="L281"/>
  <c r="N281"/>
  <c r="Q281"/>
  <c r="R281"/>
  <c r="V281"/>
  <c r="C416"/>
  <c r="E416"/>
  <c r="D416"/>
  <c r="G416"/>
  <c r="H416"/>
  <c r="L416"/>
  <c r="O416"/>
  <c r="P416"/>
  <c r="Q416"/>
  <c r="F281"/>
  <c r="H281"/>
  <c r="J281"/>
  <c r="K281"/>
  <c r="M281"/>
  <c r="O281"/>
  <c r="P281"/>
  <c r="S281"/>
  <c r="T281"/>
  <c r="V416"/>
  <c r="W281"/>
  <c r="X281"/>
  <c r="W416"/>
  <c r="Y281"/>
  <c r="X416"/>
  <c r="Z281"/>
  <c r="Y416"/>
  <c r="AA281"/>
  <c r="Z416"/>
  <c r="AA416"/>
  <c r="AB281"/>
  <c r="AB416"/>
  <c r="AC281"/>
  <c r="AD281"/>
  <c r="AC416"/>
  <c r="AD416"/>
  <c r="AE281"/>
  <c r="AE416"/>
  <c r="AF281"/>
  <c r="AG281"/>
  <c r="AF416"/>
  <c r="AG416"/>
  <c r="AH281"/>
  <c r="AI281"/>
  <c r="AH416"/>
  <c r="AJ281"/>
  <c r="AI416"/>
  <c r="AK281"/>
  <c r="AJ416"/>
  <c r="AK416"/>
  <c r="AL281"/>
  <c r="AM281"/>
  <c r="AL416"/>
  <c r="AN281"/>
  <c r="AM416"/>
  <c r="AP617"/>
  <c r="AP602" s="1"/>
  <c r="AP69" s="1"/>
  <c r="B607"/>
  <c r="AP299" s="1"/>
  <c r="T436"/>
  <c r="U301"/>
  <c r="C436"/>
  <c r="D436"/>
  <c r="F436"/>
  <c r="G436"/>
  <c r="J436"/>
  <c r="K436"/>
  <c r="L436"/>
  <c r="P436"/>
  <c r="Q436"/>
  <c r="R436"/>
  <c r="S436"/>
  <c r="C301"/>
  <c r="E301"/>
  <c r="F301"/>
  <c r="G301"/>
  <c r="H301"/>
  <c r="I301"/>
  <c r="J301"/>
  <c r="P301"/>
  <c r="E436"/>
  <c r="H436"/>
  <c r="I436"/>
  <c r="M436"/>
  <c r="N436"/>
  <c r="O436"/>
  <c r="U436"/>
  <c r="D301"/>
  <c r="K301"/>
  <c r="L301"/>
  <c r="M301"/>
  <c r="N301"/>
  <c r="O301"/>
  <c r="R301"/>
  <c r="T301"/>
  <c r="Q301"/>
  <c r="S301"/>
  <c r="V301"/>
  <c r="W301"/>
  <c r="V436"/>
  <c r="X301"/>
  <c r="W436"/>
  <c r="X436"/>
  <c r="Y301"/>
  <c r="Z301"/>
  <c r="Y436"/>
  <c r="AA301"/>
  <c r="Z436"/>
  <c r="AA436"/>
  <c r="AB301"/>
  <c r="AC301"/>
  <c r="AB436"/>
  <c r="AD301"/>
  <c r="AC436"/>
  <c r="AE301"/>
  <c r="AD436"/>
  <c r="AG621"/>
  <c r="AG629" s="1"/>
  <c r="AG601" s="1"/>
  <c r="AG64" s="1"/>
  <c r="AE436"/>
  <c r="AF301"/>
  <c r="AH621"/>
  <c r="AH629" s="1"/>
  <c r="AH601" s="1"/>
  <c r="AH64" s="1"/>
  <c r="AG301"/>
  <c r="AF436"/>
  <c r="AI621"/>
  <c r="AI629" s="1"/>
  <c r="AI601" s="1"/>
  <c r="AI64" s="1"/>
  <c r="AG436"/>
  <c r="AH301"/>
  <c r="AH436"/>
  <c r="AJ621"/>
  <c r="AJ629" s="1"/>
  <c r="AJ601" s="1"/>
  <c r="AJ64" s="1"/>
  <c r="AI301"/>
  <c r="AJ301"/>
  <c r="AK621"/>
  <c r="AK629" s="1"/>
  <c r="AK601" s="1"/>
  <c r="AK64" s="1"/>
  <c r="AI436"/>
  <c r="AL621"/>
  <c r="AL629" s="1"/>
  <c r="AL601" s="1"/>
  <c r="AL64" s="1"/>
  <c r="AK301"/>
  <c r="AJ436"/>
  <c r="AL301"/>
  <c r="AM621"/>
  <c r="AM629" s="1"/>
  <c r="AM601" s="1"/>
  <c r="AM64" s="1"/>
  <c r="AK436"/>
  <c r="AN621"/>
  <c r="AN629" s="1"/>
  <c r="AN601" s="1"/>
  <c r="AN64" s="1"/>
  <c r="AM301"/>
  <c r="AL436"/>
  <c r="AN301"/>
  <c r="AO621"/>
  <c r="AO629" s="1"/>
  <c r="AO601" s="1"/>
  <c r="AO64" s="1"/>
  <c r="AM436"/>
  <c r="U303"/>
  <c r="T438"/>
  <c r="V303"/>
  <c r="C438"/>
  <c r="E438"/>
  <c r="F438"/>
  <c r="G438"/>
  <c r="I438"/>
  <c r="K438"/>
  <c r="L438"/>
  <c r="N438"/>
  <c r="P438"/>
  <c r="S438"/>
  <c r="C303"/>
  <c r="D303"/>
  <c r="F303"/>
  <c r="G303"/>
  <c r="M303"/>
  <c r="O303"/>
  <c r="S303"/>
  <c r="D438"/>
  <c r="H438"/>
  <c r="J438"/>
  <c r="M438"/>
  <c r="O438"/>
  <c r="Q438"/>
  <c r="R438"/>
  <c r="U438"/>
  <c r="E303"/>
  <c r="H303"/>
  <c r="I303"/>
  <c r="J303"/>
  <c r="K303"/>
  <c r="L303"/>
  <c r="N303"/>
  <c r="P303"/>
  <c r="Q303"/>
  <c r="R303"/>
  <c r="T303"/>
  <c r="V438"/>
  <c r="W303"/>
  <c r="W438"/>
  <c r="X303"/>
  <c r="Y303"/>
  <c r="X438"/>
  <c r="Y438"/>
  <c r="Z303"/>
  <c r="Z438"/>
  <c r="AA303"/>
  <c r="AA438"/>
  <c r="AB303"/>
  <c r="AC303"/>
  <c r="AB438"/>
  <c r="AC438"/>
  <c r="AD303"/>
  <c r="AE303"/>
  <c r="AD438"/>
  <c r="AF303"/>
  <c r="AE438"/>
  <c r="AG303"/>
  <c r="AF438"/>
  <c r="AH303"/>
  <c r="AG438"/>
  <c r="AI303"/>
  <c r="AH438"/>
  <c r="AJ303"/>
  <c r="AI438"/>
  <c r="AK303"/>
  <c r="AJ438"/>
  <c r="AL303"/>
  <c r="AK438"/>
  <c r="AM303"/>
  <c r="AL438"/>
  <c r="AN303"/>
  <c r="AM438"/>
  <c r="U305"/>
  <c r="T440"/>
  <c r="D440"/>
  <c r="H440"/>
  <c r="K440"/>
  <c r="L440"/>
  <c r="M440"/>
  <c r="O440"/>
  <c r="P440"/>
  <c r="Q440"/>
  <c r="R440"/>
  <c r="S440"/>
  <c r="U440"/>
  <c r="H305"/>
  <c r="K305"/>
  <c r="L305"/>
  <c r="M305"/>
  <c r="N305"/>
  <c r="T305"/>
  <c r="V305"/>
  <c r="C440"/>
  <c r="E440"/>
  <c r="F440"/>
  <c r="G440"/>
  <c r="I440"/>
  <c r="J440"/>
  <c r="N440"/>
  <c r="C305"/>
  <c r="D305"/>
  <c r="E305"/>
  <c r="F305"/>
  <c r="G305"/>
  <c r="I305"/>
  <c r="J305"/>
  <c r="O305"/>
  <c r="P305"/>
  <c r="Q305"/>
  <c r="S305"/>
  <c r="R305"/>
  <c r="V440"/>
  <c r="W305"/>
  <c r="X305"/>
  <c r="W440"/>
  <c r="X440"/>
  <c r="Y305"/>
  <c r="Z305"/>
  <c r="Y440"/>
  <c r="AA305"/>
  <c r="Z440"/>
  <c r="AA440"/>
  <c r="AB305"/>
  <c r="AB440"/>
  <c r="AC305"/>
  <c r="AD305"/>
  <c r="AC440"/>
  <c r="AE305"/>
  <c r="AD440"/>
  <c r="AE440"/>
  <c r="AF305"/>
  <c r="AG305"/>
  <c r="AF440"/>
  <c r="AH305"/>
  <c r="AG440"/>
  <c r="AI305"/>
  <c r="AH440"/>
  <c r="AJ305"/>
  <c r="AI440"/>
  <c r="AJ440"/>
  <c r="AK305"/>
  <c r="AL305"/>
  <c r="AK440"/>
  <c r="AL440"/>
  <c r="AM305"/>
  <c r="AN305"/>
  <c r="AM440"/>
  <c r="U307"/>
  <c r="T442"/>
  <c r="V307"/>
  <c r="G442"/>
  <c r="I442"/>
  <c r="J442"/>
  <c r="K442"/>
  <c r="L442"/>
  <c r="N442"/>
  <c r="O442"/>
  <c r="P442"/>
  <c r="Q442"/>
  <c r="U442"/>
  <c r="D307"/>
  <c r="E307"/>
  <c r="H307"/>
  <c r="I307"/>
  <c r="J307"/>
  <c r="K307"/>
  <c r="L307"/>
  <c r="N307"/>
  <c r="Q307"/>
  <c r="C442"/>
  <c r="D442"/>
  <c r="E442"/>
  <c r="F442"/>
  <c r="H442"/>
  <c r="M442"/>
  <c r="R442"/>
  <c r="S442"/>
  <c r="C307"/>
  <c r="F307"/>
  <c r="G307"/>
  <c r="M307"/>
  <c r="O307"/>
  <c r="P307"/>
  <c r="R307"/>
  <c r="S307"/>
  <c r="T307"/>
  <c r="V442"/>
  <c r="W307"/>
  <c r="X307"/>
  <c r="W442"/>
  <c r="Y307"/>
  <c r="X442"/>
  <c r="Y442"/>
  <c r="Z307"/>
  <c r="AA307"/>
  <c r="Z442"/>
  <c r="AB307"/>
  <c r="AA442"/>
  <c r="AC307"/>
  <c r="AB442"/>
  <c r="AC442"/>
  <c r="AD307"/>
  <c r="AD442"/>
  <c r="AE307"/>
  <c r="AF307"/>
  <c r="AE442"/>
  <c r="AG307"/>
  <c r="AF442"/>
  <c r="AG442"/>
  <c r="AH307"/>
  <c r="AH442"/>
  <c r="AI307"/>
  <c r="AI442"/>
  <c r="AJ307"/>
  <c r="AK307"/>
  <c r="AJ442"/>
  <c r="AL307"/>
  <c r="AK442"/>
  <c r="AL442"/>
  <c r="AM307"/>
  <c r="AN307"/>
  <c r="AM442"/>
  <c r="AP649"/>
  <c r="AP634" s="1"/>
  <c r="AP70" s="1"/>
  <c r="B639"/>
  <c r="AO460" s="1"/>
  <c r="U327"/>
  <c r="T462"/>
  <c r="V327"/>
  <c r="D462"/>
  <c r="H462"/>
  <c r="J462"/>
  <c r="Q462"/>
  <c r="R462"/>
  <c r="S462"/>
  <c r="C327"/>
  <c r="F327"/>
  <c r="J327"/>
  <c r="P327"/>
  <c r="R327"/>
  <c r="T327"/>
  <c r="C462"/>
  <c r="E462"/>
  <c r="F462"/>
  <c r="G462"/>
  <c r="I462"/>
  <c r="K462"/>
  <c r="L462"/>
  <c r="M462"/>
  <c r="N462"/>
  <c r="O462"/>
  <c r="P462"/>
  <c r="U462"/>
  <c r="D327"/>
  <c r="E327"/>
  <c r="G327"/>
  <c r="H327"/>
  <c r="I327"/>
  <c r="K327"/>
  <c r="L327"/>
  <c r="M327"/>
  <c r="N327"/>
  <c r="O327"/>
  <c r="Q327"/>
  <c r="S327"/>
  <c r="V462"/>
  <c r="W327"/>
  <c r="W462"/>
  <c r="X327"/>
  <c r="Y327"/>
  <c r="X462"/>
  <c r="Y462"/>
  <c r="Z327"/>
  <c r="Z462"/>
  <c r="AA327"/>
  <c r="AA462"/>
  <c r="AB327"/>
  <c r="AC327"/>
  <c r="AB462"/>
  <c r="AC462"/>
  <c r="AD327"/>
  <c r="AD462"/>
  <c r="AE327"/>
  <c r="AE462"/>
  <c r="AF327"/>
  <c r="AG327"/>
  <c r="AF462"/>
  <c r="AH327"/>
  <c r="AG462"/>
  <c r="AI327"/>
  <c r="AH462"/>
  <c r="AJ327"/>
  <c r="AI462"/>
  <c r="AJ462"/>
  <c r="AK327"/>
  <c r="AL327"/>
  <c r="AK462"/>
  <c r="AM327"/>
  <c r="AL462"/>
  <c r="AM462"/>
  <c r="AN327"/>
  <c r="U329"/>
  <c r="T464"/>
  <c r="C464"/>
  <c r="E464"/>
  <c r="F464"/>
  <c r="G464"/>
  <c r="I464"/>
  <c r="J464"/>
  <c r="N464"/>
  <c r="O464"/>
  <c r="U464"/>
  <c r="H329"/>
  <c r="L329"/>
  <c r="M329"/>
  <c r="D464"/>
  <c r="H464"/>
  <c r="K464"/>
  <c r="L464"/>
  <c r="M464"/>
  <c r="P464"/>
  <c r="Q464"/>
  <c r="R464"/>
  <c r="S464"/>
  <c r="C329"/>
  <c r="D329"/>
  <c r="E329"/>
  <c r="F329"/>
  <c r="G329"/>
  <c r="I329"/>
  <c r="J329"/>
  <c r="K329"/>
  <c r="N329"/>
  <c r="O329"/>
  <c r="P329"/>
  <c r="Q329"/>
  <c r="R329"/>
  <c r="S329"/>
  <c r="T329"/>
  <c r="V329"/>
  <c r="V464"/>
  <c r="W329"/>
  <c r="X329"/>
  <c r="W464"/>
  <c r="X464"/>
  <c r="Y329"/>
  <c r="Z329"/>
  <c r="Y464"/>
  <c r="AA329"/>
  <c r="Z464"/>
  <c r="AA464"/>
  <c r="AB329"/>
  <c r="AB464"/>
  <c r="AC329"/>
  <c r="AD329"/>
  <c r="AC464"/>
  <c r="AE329"/>
  <c r="AD464"/>
  <c r="AE464"/>
  <c r="AF329"/>
  <c r="AF464"/>
  <c r="AG329"/>
  <c r="AH329"/>
  <c r="AG464"/>
  <c r="AI329"/>
  <c r="AH464"/>
  <c r="AJ329"/>
  <c r="AI464"/>
  <c r="AJ464"/>
  <c r="AK329"/>
  <c r="AL329"/>
  <c r="AK464"/>
  <c r="AL464"/>
  <c r="AM329"/>
  <c r="AN329"/>
  <c r="AM464"/>
  <c r="U331"/>
  <c r="T466"/>
  <c r="V331"/>
  <c r="C466"/>
  <c r="D466"/>
  <c r="E466"/>
  <c r="F466"/>
  <c r="H466"/>
  <c r="M466"/>
  <c r="O466"/>
  <c r="Q466"/>
  <c r="R466"/>
  <c r="S466"/>
  <c r="U466"/>
  <c r="E331"/>
  <c r="G331"/>
  <c r="H331"/>
  <c r="I331"/>
  <c r="K331"/>
  <c r="L331"/>
  <c r="M331"/>
  <c r="N331"/>
  <c r="O331"/>
  <c r="P331"/>
  <c r="G466"/>
  <c r="I466"/>
  <c r="J466"/>
  <c r="K466"/>
  <c r="L466"/>
  <c r="N466"/>
  <c r="P466"/>
  <c r="C331"/>
  <c r="D331"/>
  <c r="F331"/>
  <c r="J331"/>
  <c r="R331"/>
  <c r="S331"/>
  <c r="Q331"/>
  <c r="T331"/>
  <c r="V466"/>
  <c r="W331"/>
  <c r="X331"/>
  <c r="W466"/>
  <c r="Y331"/>
  <c r="X466"/>
  <c r="Y466"/>
  <c r="Z331"/>
  <c r="Z466"/>
  <c r="AA331"/>
  <c r="AB331"/>
  <c r="AA466"/>
  <c r="AC331"/>
  <c r="AB466"/>
  <c r="AC466"/>
  <c r="AD331"/>
  <c r="AE331"/>
  <c r="AD466"/>
  <c r="AF331"/>
  <c r="AE466"/>
  <c r="AG331"/>
  <c r="AF466"/>
  <c r="AG466"/>
  <c r="AH331"/>
  <c r="AH466"/>
  <c r="AI331"/>
  <c r="AI466"/>
  <c r="AJ331"/>
  <c r="AK331"/>
  <c r="AJ466"/>
  <c r="AL331"/>
  <c r="AK466"/>
  <c r="AL466"/>
  <c r="AM331"/>
  <c r="AM466"/>
  <c r="AN331"/>
  <c r="T468"/>
  <c r="U333"/>
  <c r="C468"/>
  <c r="F468"/>
  <c r="J468"/>
  <c r="L468"/>
  <c r="N468"/>
  <c r="P468"/>
  <c r="Q468"/>
  <c r="S468"/>
  <c r="C333"/>
  <c r="D333"/>
  <c r="E333"/>
  <c r="F333"/>
  <c r="G333"/>
  <c r="I333"/>
  <c r="J333"/>
  <c r="K333"/>
  <c r="N333"/>
  <c r="O333"/>
  <c r="P333"/>
  <c r="S333"/>
  <c r="V333"/>
  <c r="D468"/>
  <c r="E468"/>
  <c r="G468"/>
  <c r="H468"/>
  <c r="I468"/>
  <c r="K468"/>
  <c r="M468"/>
  <c r="O468"/>
  <c r="R468"/>
  <c r="U468"/>
  <c r="H333"/>
  <c r="L333"/>
  <c r="M333"/>
  <c r="R333"/>
  <c r="T333"/>
  <c r="Q333"/>
  <c r="W333"/>
  <c r="V468"/>
  <c r="X333"/>
  <c r="W468"/>
  <c r="X468"/>
  <c r="Y333"/>
  <c r="Z333"/>
  <c r="Y468"/>
  <c r="AA333"/>
  <c r="Z468"/>
  <c r="AA468"/>
  <c r="AB333"/>
  <c r="AB468"/>
  <c r="AC333"/>
  <c r="AD333"/>
  <c r="AC468"/>
  <c r="AE333"/>
  <c r="AD468"/>
  <c r="AE468"/>
  <c r="AF333"/>
  <c r="AF468"/>
  <c r="AG333"/>
  <c r="AG468"/>
  <c r="AH333"/>
  <c r="AH468"/>
  <c r="AI333"/>
  <c r="AJ333"/>
  <c r="AI468"/>
  <c r="AK333"/>
  <c r="AJ468"/>
  <c r="AL333"/>
  <c r="AK468"/>
  <c r="AM333"/>
  <c r="AL468"/>
  <c r="AN333"/>
  <c r="AM468"/>
  <c r="AP165"/>
  <c r="AP129"/>
  <c r="AP54"/>
  <c r="AO194"/>
  <c r="AO155"/>
  <c r="AO51"/>
  <c r="AN164"/>
  <c r="AN128"/>
  <c r="AN132" s="1"/>
  <c r="AN47"/>
  <c r="AP513"/>
  <c r="AP621"/>
  <c r="AN417"/>
  <c r="AN416"/>
  <c r="AN440"/>
  <c r="AN464"/>
  <c r="AN437"/>
  <c r="AN461"/>
  <c r="AN469"/>
  <c r="AO468"/>
  <c r="AO464"/>
  <c r="AO440"/>
  <c r="AO436"/>
  <c r="AO467"/>
  <c r="AO463"/>
  <c r="AO443"/>
  <c r="AO439"/>
  <c r="AO435"/>
  <c r="AO415"/>
  <c r="AO411"/>
  <c r="AO414"/>
  <c r="AO281"/>
  <c r="D17" i="2"/>
  <c r="D52"/>
  <c r="D230"/>
  <c r="D269"/>
  <c r="D15"/>
  <c r="D50"/>
  <c r="D53" s="1"/>
  <c r="D228"/>
  <c r="D267"/>
  <c r="F368"/>
  <c r="F503" s="1"/>
  <c r="F364"/>
  <c r="F499" s="1"/>
  <c r="F367"/>
  <c r="F502" s="1"/>
  <c r="F361"/>
  <c r="F496" s="1"/>
  <c r="F369"/>
  <c r="F504" s="1"/>
  <c r="E71"/>
  <c r="F363"/>
  <c r="F498" s="1"/>
  <c r="F366"/>
  <c r="F501" s="1"/>
  <c r="F365"/>
  <c r="F500" s="1"/>
  <c r="F362"/>
  <c r="F497" s="1"/>
  <c r="F723"/>
  <c r="F708" s="1"/>
  <c r="F70" s="1"/>
  <c r="G5"/>
  <c r="G722"/>
  <c r="G396" s="1"/>
  <c r="G531" s="1"/>
  <c r="G720"/>
  <c r="G394" s="1"/>
  <c r="G529" s="1"/>
  <c r="G718"/>
  <c r="G392" s="1"/>
  <c r="G527" s="1"/>
  <c r="G716"/>
  <c r="G390" s="1"/>
  <c r="G525" s="1"/>
  <c r="G714"/>
  <c r="G388" s="1"/>
  <c r="G523" s="1"/>
  <c r="G690"/>
  <c r="G721"/>
  <c r="G395" s="1"/>
  <c r="G530" s="1"/>
  <c r="G719"/>
  <c r="G393" s="1"/>
  <c r="G528" s="1"/>
  <c r="G717"/>
  <c r="G391" s="1"/>
  <c r="G526" s="1"/>
  <c r="G715"/>
  <c r="G389" s="1"/>
  <c r="G524" s="1"/>
  <c r="G713"/>
  <c r="G387" s="1"/>
  <c r="G522" s="1"/>
  <c r="G689"/>
  <c r="G688"/>
  <c r="G368" s="1"/>
  <c r="G503" s="1"/>
  <c r="G686"/>
  <c r="G684"/>
  <c r="G682"/>
  <c r="G658"/>
  <c r="G656"/>
  <c r="G654"/>
  <c r="G652"/>
  <c r="G650"/>
  <c r="G727"/>
  <c r="G730"/>
  <c r="G732"/>
  <c r="G734"/>
  <c r="G685"/>
  <c r="G681"/>
  <c r="G657"/>
  <c r="G653"/>
  <c r="G687"/>
  <c r="G683"/>
  <c r="G655"/>
  <c r="G651"/>
  <c r="G728"/>
  <c r="G731"/>
  <c r="G729"/>
  <c r="G695"/>
  <c r="G697"/>
  <c r="G699"/>
  <c r="G701"/>
  <c r="G649"/>
  <c r="G733"/>
  <c r="G694"/>
  <c r="G696"/>
  <c r="G698"/>
  <c r="G700"/>
  <c r="G702"/>
  <c r="F691"/>
  <c r="F676" s="1"/>
  <c r="F69" s="1"/>
  <c r="G548"/>
  <c r="G549" s="1"/>
  <c r="G554"/>
  <c r="G555" s="1"/>
  <c r="G608"/>
  <c r="G601"/>
  <c r="G602" s="1"/>
  <c r="H11"/>
  <c r="G313"/>
  <c r="G315"/>
  <c r="G317"/>
  <c r="G448"/>
  <c r="G450"/>
  <c r="G452"/>
  <c r="G316"/>
  <c r="G449"/>
  <c r="G314"/>
  <c r="G318"/>
  <c r="G447"/>
  <c r="G451"/>
  <c r="G19"/>
  <c r="E117"/>
  <c r="D116"/>
  <c r="G662"/>
  <c r="G663"/>
  <c r="G664"/>
  <c r="G665"/>
  <c r="G666"/>
  <c r="G667"/>
  <c r="G668"/>
  <c r="G669"/>
  <c r="G670"/>
  <c r="F639"/>
  <c r="G636" s="1"/>
  <c r="D105"/>
  <c r="G465"/>
  <c r="F332"/>
  <c r="G331"/>
  <c r="F345"/>
  <c r="F479" s="1"/>
  <c r="F343"/>
  <c r="F477" s="1"/>
  <c r="F336"/>
  <c r="F470" s="1"/>
  <c r="F344"/>
  <c r="F478" s="1"/>
  <c r="F342"/>
  <c r="F476" s="1"/>
  <c r="F337"/>
  <c r="F471" s="1"/>
  <c r="F338"/>
  <c r="F472" s="1"/>
  <c r="F659"/>
  <c r="F644" s="1"/>
  <c r="F68" s="1"/>
  <c r="G638"/>
  <c r="G62" s="1"/>
  <c r="E550"/>
  <c r="E551" s="1"/>
  <c r="E103" s="1"/>
  <c r="E244" s="1"/>
  <c r="E556"/>
  <c r="E557" s="1"/>
  <c r="E104" s="1"/>
  <c r="G23"/>
  <c r="G26"/>
  <c r="G30"/>
  <c r="D268"/>
  <c r="D229"/>
  <c r="D266"/>
  <c r="D227"/>
  <c r="D18"/>
  <c r="D20" s="1"/>
  <c r="D597"/>
  <c r="E594"/>
  <c r="E595" s="1"/>
  <c r="E586"/>
  <c r="E587" s="1"/>
  <c r="E582"/>
  <c r="E583" s="1"/>
  <c r="E590"/>
  <c r="E591" s="1"/>
  <c r="E51" s="1"/>
  <c r="G632"/>
  <c r="F27"/>
  <c r="E29"/>
  <c r="E31" s="1"/>
  <c r="H2"/>
  <c r="G25"/>
  <c r="F10"/>
  <c r="F12" s="1"/>
  <c r="AO509" i="8" l="1"/>
  <c r="AM201"/>
  <c r="AM204" s="1"/>
  <c r="AM232" s="1"/>
  <c r="AM233" s="1"/>
  <c r="AM239" s="1"/>
  <c r="AL171" i="7"/>
  <c r="AL199" s="1"/>
  <c r="AL200" s="1"/>
  <c r="AL108" s="1"/>
  <c r="AL109" s="1"/>
  <c r="AK242" i="8"/>
  <c r="AK270" s="1"/>
  <c r="AK271" s="1"/>
  <c r="AK99" s="1"/>
  <c r="AK100" s="1"/>
  <c r="O63" i="10"/>
  <c r="O69" s="1"/>
  <c r="AN160" i="7"/>
  <c r="AN161" s="1"/>
  <c r="AN168" s="1"/>
  <c r="B656"/>
  <c r="H593" i="2"/>
  <c r="H589"/>
  <c r="H585"/>
  <c r="H581"/>
  <c r="B588" i="7"/>
  <c r="B655"/>
  <c r="B660"/>
  <c r="B659"/>
  <c r="B653"/>
  <c r="B658"/>
  <c r="B654"/>
  <c r="B657"/>
  <c r="AH74" i="10"/>
  <c r="AH76" s="1"/>
  <c r="AH80" s="1"/>
  <c r="AH81" s="1"/>
  <c r="AH95" s="1"/>
  <c r="AJ74"/>
  <c r="AJ76" s="1"/>
  <c r="AJ80" s="1"/>
  <c r="AJ81" s="1"/>
  <c r="AJ95" s="1"/>
  <c r="AM74"/>
  <c r="AM76" s="1"/>
  <c r="AM80" s="1"/>
  <c r="AM81" s="1"/>
  <c r="AM95" s="1"/>
  <c r="AL74"/>
  <c r="AL76" s="1"/>
  <c r="AL80" s="1"/>
  <c r="AL81" s="1"/>
  <c r="AL95" s="1"/>
  <c r="AI74"/>
  <c r="AI76" s="1"/>
  <c r="AI80" s="1"/>
  <c r="AI81" s="1"/>
  <c r="AI95" s="1"/>
  <c r="AK74"/>
  <c r="AK76" s="1"/>
  <c r="AK80" s="1"/>
  <c r="AK81" s="1"/>
  <c r="AK95" s="1"/>
  <c r="AN74"/>
  <c r="AN76" s="1"/>
  <c r="AN533" i="8"/>
  <c r="I689"/>
  <c r="J689"/>
  <c r="K689"/>
  <c r="AN535"/>
  <c r="O691"/>
  <c r="P691"/>
  <c r="Q691"/>
  <c r="AO402"/>
  <c r="U693"/>
  <c r="V693"/>
  <c r="W693"/>
  <c r="AN539"/>
  <c r="AA695"/>
  <c r="AB695"/>
  <c r="AC695"/>
  <c r="AN532"/>
  <c r="F688"/>
  <c r="G688"/>
  <c r="H688"/>
  <c r="L690"/>
  <c r="M690"/>
  <c r="N690"/>
  <c r="R692"/>
  <c r="S692"/>
  <c r="T692"/>
  <c r="X694"/>
  <c r="Y694"/>
  <c r="Z694"/>
  <c r="AN540"/>
  <c r="AD696"/>
  <c r="AE696"/>
  <c r="AF696"/>
  <c r="AO513"/>
  <c r="AP179" i="10"/>
  <c r="AP196" s="1"/>
  <c r="AG74"/>
  <c r="AG76" s="1"/>
  <c r="E49" i="2"/>
  <c r="E14"/>
  <c r="AN56" i="7"/>
  <c r="AP118" i="10"/>
  <c r="AP640"/>
  <c r="AI101"/>
  <c r="AK101"/>
  <c r="AM109"/>
  <c r="AH109"/>
  <c r="AJ109"/>
  <c r="AL101"/>
  <c r="AN109"/>
  <c r="AG101"/>
  <c r="AO408" i="7"/>
  <c r="B652"/>
  <c r="B589"/>
  <c r="AB66"/>
  <c r="AB72" s="1"/>
  <c r="AP41"/>
  <c r="AO533" i="8"/>
  <c r="AO41"/>
  <c r="Q63" i="10"/>
  <c r="Q69" s="1"/>
  <c r="AN122"/>
  <c r="C393"/>
  <c r="B383"/>
  <c r="AO485" i="8"/>
  <c r="AP63" i="10"/>
  <c r="AP69" s="1"/>
  <c r="N63"/>
  <c r="N69" s="1"/>
  <c r="L63"/>
  <c r="L69" s="1"/>
  <c r="J63"/>
  <c r="J69" s="1"/>
  <c r="H63"/>
  <c r="H69" s="1"/>
  <c r="F63"/>
  <c r="F69" s="1"/>
  <c r="D63"/>
  <c r="D69" s="1"/>
  <c r="AP18"/>
  <c r="AP20" s="1"/>
  <c r="AP44" s="1"/>
  <c r="AP308"/>
  <c r="AK109"/>
  <c r="AM122"/>
  <c r="C445"/>
  <c r="B435"/>
  <c r="C580"/>
  <c r="B570"/>
  <c r="C742"/>
  <c r="C714" s="1"/>
  <c r="B732"/>
  <c r="AN101"/>
  <c r="AO48"/>
  <c r="AO50" s="1"/>
  <c r="AO74" s="1"/>
  <c r="AO76" s="1"/>
  <c r="AO80" s="1"/>
  <c r="AO81" s="1"/>
  <c r="AO95" s="1"/>
  <c r="AG109"/>
  <c r="C528"/>
  <c r="B518"/>
  <c r="B668"/>
  <c r="C678"/>
  <c r="C650" s="1"/>
  <c r="C419"/>
  <c r="B409"/>
  <c r="C554"/>
  <c r="B544"/>
  <c r="B700"/>
  <c r="C710"/>
  <c r="C682" s="1"/>
  <c r="B134"/>
  <c r="D83" i="1" s="1"/>
  <c r="B129" i="10"/>
  <c r="M63"/>
  <c r="M69" s="1"/>
  <c r="K63"/>
  <c r="K69" s="1"/>
  <c r="I63"/>
  <c r="I69" s="1"/>
  <c r="G63"/>
  <c r="G69" s="1"/>
  <c r="E63"/>
  <c r="E69" s="1"/>
  <c r="AP291"/>
  <c r="AN483" i="8"/>
  <c r="AO18"/>
  <c r="AO537"/>
  <c r="AO481"/>
  <c r="AF66" i="7"/>
  <c r="AF72" s="1"/>
  <c r="AD66"/>
  <c r="AD72" s="1"/>
  <c r="B620"/>
  <c r="AP598" i="8"/>
  <c r="AP601" s="1"/>
  <c r="AN487"/>
  <c r="AM47"/>
  <c r="AM49" s="1"/>
  <c r="AO398"/>
  <c r="AO350"/>
  <c r="AO514"/>
  <c r="AO510"/>
  <c r="AO506"/>
  <c r="AP27"/>
  <c r="AO63"/>
  <c r="AN229"/>
  <c r="AN230" s="1"/>
  <c r="AO374"/>
  <c r="AO538"/>
  <c r="AO534"/>
  <c r="AO486"/>
  <c r="AO482"/>
  <c r="AL239"/>
  <c r="AL98"/>
  <c r="AO96"/>
  <c r="AO72"/>
  <c r="B311"/>
  <c r="B313"/>
  <c r="B315"/>
  <c r="AP469"/>
  <c r="AP481" s="1"/>
  <c r="AP346"/>
  <c r="AP473"/>
  <c r="AP485" s="1"/>
  <c r="AP350"/>
  <c r="AP493"/>
  <c r="AP497"/>
  <c r="AP509" s="1"/>
  <c r="AP374"/>
  <c r="AP501"/>
  <c r="AP513" s="1"/>
  <c r="AP378"/>
  <c r="AP521"/>
  <c r="AP533" s="1"/>
  <c r="AP398"/>
  <c r="AP525"/>
  <c r="AP537" s="1"/>
  <c r="AP402"/>
  <c r="AP463"/>
  <c r="B444"/>
  <c r="B446"/>
  <c r="B448"/>
  <c r="AP470"/>
  <c r="AP482" s="1"/>
  <c r="AP347"/>
  <c r="AP474"/>
  <c r="AP486" s="1"/>
  <c r="AP351"/>
  <c r="AP494"/>
  <c r="AP506" s="1"/>
  <c r="AP371"/>
  <c r="AP498"/>
  <c r="AP510" s="1"/>
  <c r="AP375"/>
  <c r="AP502"/>
  <c r="AP514" s="1"/>
  <c r="AP379"/>
  <c r="AP522"/>
  <c r="AP534" s="1"/>
  <c r="AP399"/>
  <c r="AP526"/>
  <c r="AP538" s="1"/>
  <c r="AP403"/>
  <c r="O624"/>
  <c r="O633" s="1"/>
  <c r="O605" s="1"/>
  <c r="O55" s="1"/>
  <c r="P624"/>
  <c r="P633" s="1"/>
  <c r="P605" s="1"/>
  <c r="P55" s="1"/>
  <c r="Q624"/>
  <c r="Q633" s="1"/>
  <c r="Q605" s="1"/>
  <c r="Q55" s="1"/>
  <c r="R624"/>
  <c r="R633" s="1"/>
  <c r="R605" s="1"/>
  <c r="R55" s="1"/>
  <c r="S624"/>
  <c r="S633" s="1"/>
  <c r="S605" s="1"/>
  <c r="S55" s="1"/>
  <c r="T624"/>
  <c r="T633" s="1"/>
  <c r="T605" s="1"/>
  <c r="T55" s="1"/>
  <c r="U624"/>
  <c r="U633" s="1"/>
  <c r="U605" s="1"/>
  <c r="U55" s="1"/>
  <c r="V624"/>
  <c r="V633" s="1"/>
  <c r="V605" s="1"/>
  <c r="V55" s="1"/>
  <c r="T480"/>
  <c r="C345"/>
  <c r="G345"/>
  <c r="I345"/>
  <c r="K345"/>
  <c r="M345"/>
  <c r="N345"/>
  <c r="Q345"/>
  <c r="S345"/>
  <c r="T345"/>
  <c r="V345"/>
  <c r="C480"/>
  <c r="D480"/>
  <c r="F480"/>
  <c r="G480"/>
  <c r="J480"/>
  <c r="K480"/>
  <c r="N480"/>
  <c r="O480"/>
  <c r="P480"/>
  <c r="R480"/>
  <c r="S480"/>
  <c r="U480"/>
  <c r="D345"/>
  <c r="E345"/>
  <c r="F345"/>
  <c r="H345"/>
  <c r="J345"/>
  <c r="L345"/>
  <c r="O345"/>
  <c r="P345"/>
  <c r="R345"/>
  <c r="U345"/>
  <c r="W624"/>
  <c r="W633" s="1"/>
  <c r="W605" s="1"/>
  <c r="W55" s="1"/>
  <c r="E480"/>
  <c r="H480"/>
  <c r="I480"/>
  <c r="L480"/>
  <c r="M480"/>
  <c r="Q480"/>
  <c r="W345"/>
  <c r="V480"/>
  <c r="X624"/>
  <c r="X633" s="1"/>
  <c r="X605" s="1"/>
  <c r="X55" s="1"/>
  <c r="Y624"/>
  <c r="Y633" s="1"/>
  <c r="Y605" s="1"/>
  <c r="Y55" s="1"/>
  <c r="X345"/>
  <c r="W480"/>
  <c r="Z624"/>
  <c r="Z633" s="1"/>
  <c r="Z605" s="1"/>
  <c r="Z55" s="1"/>
  <c r="X480"/>
  <c r="Y345"/>
  <c r="Z345"/>
  <c r="Y480"/>
  <c r="AA345"/>
  <c r="Z480"/>
  <c r="AB345"/>
  <c r="AA480"/>
  <c r="AC345"/>
  <c r="AB480"/>
  <c r="AD345"/>
  <c r="AC480"/>
  <c r="AE345"/>
  <c r="AD480"/>
  <c r="AF345"/>
  <c r="AE480"/>
  <c r="AF480"/>
  <c r="AG345"/>
  <c r="AG480"/>
  <c r="AH345"/>
  <c r="AI345"/>
  <c r="AH480"/>
  <c r="AI480"/>
  <c r="AJ345"/>
  <c r="AJ480"/>
  <c r="AK345"/>
  <c r="AK480"/>
  <c r="AL345"/>
  <c r="AM345"/>
  <c r="AL480"/>
  <c r="AN345"/>
  <c r="AM480"/>
  <c r="U347"/>
  <c r="V347"/>
  <c r="D347"/>
  <c r="E347"/>
  <c r="F347"/>
  <c r="G347"/>
  <c r="H347"/>
  <c r="K347"/>
  <c r="L347"/>
  <c r="P347"/>
  <c r="R347"/>
  <c r="T482"/>
  <c r="D482"/>
  <c r="E482"/>
  <c r="F482"/>
  <c r="I482"/>
  <c r="J482"/>
  <c r="K482"/>
  <c r="N482"/>
  <c r="O482"/>
  <c r="P482"/>
  <c r="Q482"/>
  <c r="R482"/>
  <c r="U482"/>
  <c r="C347"/>
  <c r="I347"/>
  <c r="J347"/>
  <c r="M347"/>
  <c r="N347"/>
  <c r="O347"/>
  <c r="Q347"/>
  <c r="S347"/>
  <c r="T347"/>
  <c r="C482"/>
  <c r="G482"/>
  <c r="H482"/>
  <c r="L482"/>
  <c r="M482"/>
  <c r="S482"/>
  <c r="V482"/>
  <c r="W347"/>
  <c r="W482"/>
  <c r="X347"/>
  <c r="Y347"/>
  <c r="X482"/>
  <c r="Y482"/>
  <c r="Z347"/>
  <c r="Z482"/>
  <c r="AA347"/>
  <c r="AB347"/>
  <c r="AA482"/>
  <c r="AC347"/>
  <c r="AB482"/>
  <c r="AD347"/>
  <c r="AC482"/>
  <c r="AD482"/>
  <c r="AE347"/>
  <c r="AF347"/>
  <c r="AE482"/>
  <c r="AG347"/>
  <c r="AF482"/>
  <c r="AG482"/>
  <c r="AH347"/>
  <c r="AI347"/>
  <c r="AH482"/>
  <c r="AJ347"/>
  <c r="AI482"/>
  <c r="AJ482"/>
  <c r="AK347"/>
  <c r="AM626"/>
  <c r="AM633" s="1"/>
  <c r="AM605" s="1"/>
  <c r="AM55" s="1"/>
  <c r="AK482"/>
  <c r="AL347"/>
  <c r="AN626"/>
  <c r="AN633" s="1"/>
  <c r="AN605" s="1"/>
  <c r="AN55" s="1"/>
  <c r="AM347"/>
  <c r="AL482"/>
  <c r="AN347"/>
  <c r="AO626"/>
  <c r="AO633" s="1"/>
  <c r="AO605" s="1"/>
  <c r="AO55" s="1"/>
  <c r="AM482"/>
  <c r="T484"/>
  <c r="E349"/>
  <c r="F349"/>
  <c r="H349"/>
  <c r="J349"/>
  <c r="O349"/>
  <c r="R349"/>
  <c r="T349"/>
  <c r="V349"/>
  <c r="U349"/>
  <c r="D484"/>
  <c r="E484"/>
  <c r="F484"/>
  <c r="G484"/>
  <c r="H484"/>
  <c r="J484"/>
  <c r="K484"/>
  <c r="N484"/>
  <c r="O484"/>
  <c r="P484"/>
  <c r="Q484"/>
  <c r="R484"/>
  <c r="S484"/>
  <c r="C349"/>
  <c r="D349"/>
  <c r="G349"/>
  <c r="I349"/>
  <c r="K349"/>
  <c r="L349"/>
  <c r="M349"/>
  <c r="N349"/>
  <c r="P349"/>
  <c r="Q349"/>
  <c r="S349"/>
  <c r="C484"/>
  <c r="I484"/>
  <c r="L484"/>
  <c r="M484"/>
  <c r="U484"/>
  <c r="V484"/>
  <c r="W349"/>
  <c r="X349"/>
  <c r="W484"/>
  <c r="X484"/>
  <c r="Y349"/>
  <c r="Y484"/>
  <c r="Z349"/>
  <c r="AA349"/>
  <c r="Z484"/>
  <c r="AB349"/>
  <c r="AA484"/>
  <c r="AC349"/>
  <c r="AB484"/>
  <c r="AD349"/>
  <c r="AC484"/>
  <c r="AE349"/>
  <c r="AD484"/>
  <c r="AE484"/>
  <c r="AF349"/>
  <c r="AF484"/>
  <c r="AG349"/>
  <c r="AH349"/>
  <c r="AG484"/>
  <c r="AI349"/>
  <c r="AH484"/>
  <c r="AI484"/>
  <c r="AJ349"/>
  <c r="AJ484"/>
  <c r="AK349"/>
  <c r="AL349"/>
  <c r="AK484"/>
  <c r="AM349"/>
  <c r="AL484"/>
  <c r="AM484"/>
  <c r="AN349"/>
  <c r="U351"/>
  <c r="C351"/>
  <c r="F351"/>
  <c r="H351"/>
  <c r="I351"/>
  <c r="J351"/>
  <c r="M351"/>
  <c r="O351"/>
  <c r="Q351"/>
  <c r="R351"/>
  <c r="S351"/>
  <c r="T351"/>
  <c r="V351"/>
  <c r="D486"/>
  <c r="E486"/>
  <c r="F486"/>
  <c r="G486"/>
  <c r="J486"/>
  <c r="K486"/>
  <c r="M486"/>
  <c r="N486"/>
  <c r="O486"/>
  <c r="Q486"/>
  <c r="R486"/>
  <c r="S486"/>
  <c r="D351"/>
  <c r="E351"/>
  <c r="G351"/>
  <c r="K351"/>
  <c r="L351"/>
  <c r="N351"/>
  <c r="P351"/>
  <c r="C486"/>
  <c r="H486"/>
  <c r="I486"/>
  <c r="L486"/>
  <c r="P486"/>
  <c r="U486"/>
  <c r="T486"/>
  <c r="V486"/>
  <c r="W351"/>
  <c r="X351"/>
  <c r="W486"/>
  <c r="X486"/>
  <c r="Y351"/>
  <c r="Z351"/>
  <c r="Y486"/>
  <c r="Z486"/>
  <c r="AA351"/>
  <c r="AB351"/>
  <c r="AA486"/>
  <c r="AB486"/>
  <c r="AC351"/>
  <c r="AD351"/>
  <c r="AC486"/>
  <c r="AD486"/>
  <c r="AE351"/>
  <c r="AF351"/>
  <c r="AE486"/>
  <c r="AF486"/>
  <c r="AG351"/>
  <c r="AG486"/>
  <c r="AH351"/>
  <c r="AI351"/>
  <c r="AH486"/>
  <c r="AJ351"/>
  <c r="AI486"/>
  <c r="AJ486"/>
  <c r="AK351"/>
  <c r="AL351"/>
  <c r="AK486"/>
  <c r="AM351"/>
  <c r="AL486"/>
  <c r="AN351"/>
  <c r="AM486"/>
  <c r="T488"/>
  <c r="C353"/>
  <c r="D353"/>
  <c r="G353"/>
  <c r="I353"/>
  <c r="K353"/>
  <c r="L353"/>
  <c r="M353"/>
  <c r="N353"/>
  <c r="P353"/>
  <c r="Q353"/>
  <c r="S353"/>
  <c r="V353"/>
  <c r="E488"/>
  <c r="H488"/>
  <c r="I488"/>
  <c r="L488"/>
  <c r="M488"/>
  <c r="P488"/>
  <c r="Q488"/>
  <c r="U488"/>
  <c r="E353"/>
  <c r="F353"/>
  <c r="H353"/>
  <c r="J353"/>
  <c r="O353"/>
  <c r="R353"/>
  <c r="T353"/>
  <c r="U353"/>
  <c r="C488"/>
  <c r="D488"/>
  <c r="F488"/>
  <c r="G488"/>
  <c r="J488"/>
  <c r="K488"/>
  <c r="N488"/>
  <c r="O488"/>
  <c r="R488"/>
  <c r="S488"/>
  <c r="W353"/>
  <c r="V488"/>
  <c r="X353"/>
  <c r="W488"/>
  <c r="X488"/>
  <c r="Y353"/>
  <c r="Z353"/>
  <c r="Y488"/>
  <c r="AA353"/>
  <c r="Z488"/>
  <c r="AB353"/>
  <c r="AA488"/>
  <c r="AB488"/>
  <c r="AC353"/>
  <c r="AD353"/>
  <c r="AC488"/>
  <c r="AE353"/>
  <c r="AD488"/>
  <c r="AF353"/>
  <c r="AE488"/>
  <c r="AG353"/>
  <c r="AF488"/>
  <c r="AG488"/>
  <c r="AH353"/>
  <c r="AI353"/>
  <c r="AH488"/>
  <c r="AI488"/>
  <c r="AJ353"/>
  <c r="AK353"/>
  <c r="AJ488"/>
  <c r="AK488"/>
  <c r="AL353"/>
  <c r="AM353"/>
  <c r="AL488"/>
  <c r="AN353"/>
  <c r="AM488"/>
  <c r="R656"/>
  <c r="R665" s="1"/>
  <c r="R637" s="1"/>
  <c r="R56" s="1"/>
  <c r="S656"/>
  <c r="S665" s="1"/>
  <c r="S637" s="1"/>
  <c r="S56" s="1"/>
  <c r="T656"/>
  <c r="T665" s="1"/>
  <c r="T637" s="1"/>
  <c r="T56" s="1"/>
  <c r="U656"/>
  <c r="U665" s="1"/>
  <c r="U637" s="1"/>
  <c r="U56" s="1"/>
  <c r="V656"/>
  <c r="V665" s="1"/>
  <c r="V637" s="1"/>
  <c r="V56" s="1"/>
  <c r="U371"/>
  <c r="C371"/>
  <c r="D371"/>
  <c r="E371"/>
  <c r="G371"/>
  <c r="K371"/>
  <c r="L371"/>
  <c r="N371"/>
  <c r="P371"/>
  <c r="V371"/>
  <c r="C506"/>
  <c r="L506"/>
  <c r="M506"/>
  <c r="S506"/>
  <c r="U506"/>
  <c r="F371"/>
  <c r="H371"/>
  <c r="I371"/>
  <c r="J371"/>
  <c r="M371"/>
  <c r="O371"/>
  <c r="Q371"/>
  <c r="R371"/>
  <c r="S371"/>
  <c r="T371"/>
  <c r="T506"/>
  <c r="W656"/>
  <c r="W665" s="1"/>
  <c r="W637" s="1"/>
  <c r="W56" s="1"/>
  <c r="D506"/>
  <c r="E506"/>
  <c r="F506"/>
  <c r="G506"/>
  <c r="H506"/>
  <c r="I506"/>
  <c r="J506"/>
  <c r="K506"/>
  <c r="N506"/>
  <c r="O506"/>
  <c r="P506"/>
  <c r="Q506"/>
  <c r="R506"/>
  <c r="W371"/>
  <c r="V506"/>
  <c r="X656"/>
  <c r="X665" s="1"/>
  <c r="X637" s="1"/>
  <c r="X56" s="1"/>
  <c r="Y656"/>
  <c r="Y665" s="1"/>
  <c r="Y637" s="1"/>
  <c r="Y56" s="1"/>
  <c r="W506"/>
  <c r="X371"/>
  <c r="Z656"/>
  <c r="Z665" s="1"/>
  <c r="Z637" s="1"/>
  <c r="Z56" s="1"/>
  <c r="Y371"/>
  <c r="X506"/>
  <c r="Z371"/>
  <c r="Y506"/>
  <c r="AA656"/>
  <c r="AA665" s="1"/>
  <c r="AA637" s="1"/>
  <c r="AA56" s="1"/>
  <c r="AB656"/>
  <c r="AB665" s="1"/>
  <c r="AB637" s="1"/>
  <c r="AB56" s="1"/>
  <c r="Z506"/>
  <c r="AA371"/>
  <c r="AB371"/>
  <c r="AC656"/>
  <c r="AC665" s="1"/>
  <c r="AC637" s="1"/>
  <c r="AC56" s="1"/>
  <c r="AA506"/>
  <c r="AC371"/>
  <c r="AB506"/>
  <c r="AD656"/>
  <c r="AD665" s="1"/>
  <c r="AD637" s="1"/>
  <c r="AD56" s="1"/>
  <c r="AD371"/>
  <c r="AE656"/>
  <c r="AE665" s="1"/>
  <c r="AE637" s="1"/>
  <c r="AE56" s="1"/>
  <c r="AC506"/>
  <c r="AF656"/>
  <c r="AF665" s="1"/>
  <c r="AF637" s="1"/>
  <c r="AF56" s="1"/>
  <c r="AD506"/>
  <c r="AE371"/>
  <c r="AF371"/>
  <c r="AE506"/>
  <c r="AG371"/>
  <c r="AF506"/>
  <c r="AH371"/>
  <c r="AG506"/>
  <c r="AI371"/>
  <c r="AH506"/>
  <c r="AJ371"/>
  <c r="AI506"/>
  <c r="AJ506"/>
  <c r="AK371"/>
  <c r="AK506"/>
  <c r="AL371"/>
  <c r="AM371"/>
  <c r="AL506"/>
  <c r="AN371"/>
  <c r="AM506"/>
  <c r="T508"/>
  <c r="E373"/>
  <c r="F373"/>
  <c r="H373"/>
  <c r="J373"/>
  <c r="O373"/>
  <c r="R373"/>
  <c r="T373"/>
  <c r="V373"/>
  <c r="U373"/>
  <c r="C508"/>
  <c r="F508"/>
  <c r="I508"/>
  <c r="L508"/>
  <c r="M508"/>
  <c r="C373"/>
  <c r="D373"/>
  <c r="G373"/>
  <c r="I373"/>
  <c r="K373"/>
  <c r="L373"/>
  <c r="M373"/>
  <c r="N373"/>
  <c r="P373"/>
  <c r="Q373"/>
  <c r="S373"/>
  <c r="D508"/>
  <c r="E508"/>
  <c r="G508"/>
  <c r="H508"/>
  <c r="J508"/>
  <c r="K508"/>
  <c r="N508"/>
  <c r="O508"/>
  <c r="P508"/>
  <c r="Q508"/>
  <c r="R508"/>
  <c r="S508"/>
  <c r="U508"/>
  <c r="V508"/>
  <c r="W373"/>
  <c r="X373"/>
  <c r="W508"/>
  <c r="X508"/>
  <c r="Y373"/>
  <c r="Y508"/>
  <c r="Z373"/>
  <c r="AA373"/>
  <c r="Z508"/>
  <c r="AB373"/>
  <c r="AA508"/>
  <c r="AC373"/>
  <c r="AB508"/>
  <c r="AD373"/>
  <c r="AC508"/>
  <c r="AE373"/>
  <c r="AD508"/>
  <c r="AE508"/>
  <c r="AF373"/>
  <c r="AF508"/>
  <c r="AG373"/>
  <c r="AH373"/>
  <c r="AG508"/>
  <c r="AI373"/>
  <c r="AH508"/>
  <c r="AI508"/>
  <c r="AJ373"/>
  <c r="AJ508"/>
  <c r="AK373"/>
  <c r="AL373"/>
  <c r="AK508"/>
  <c r="AM373"/>
  <c r="AL508"/>
  <c r="AM508"/>
  <c r="AN373"/>
  <c r="U375"/>
  <c r="F375"/>
  <c r="H375"/>
  <c r="I375"/>
  <c r="J375"/>
  <c r="M375"/>
  <c r="O375"/>
  <c r="Q375"/>
  <c r="R375"/>
  <c r="S375"/>
  <c r="T375"/>
  <c r="V375"/>
  <c r="F510"/>
  <c r="G510"/>
  <c r="H510"/>
  <c r="I510"/>
  <c r="L510"/>
  <c r="P510"/>
  <c r="T510"/>
  <c r="C375"/>
  <c r="D375"/>
  <c r="E375"/>
  <c r="G375"/>
  <c r="K375"/>
  <c r="L375"/>
  <c r="N375"/>
  <c r="P375"/>
  <c r="C510"/>
  <c r="D510"/>
  <c r="E510"/>
  <c r="J510"/>
  <c r="K510"/>
  <c r="M510"/>
  <c r="N510"/>
  <c r="O510"/>
  <c r="Q510"/>
  <c r="R510"/>
  <c r="S510"/>
  <c r="U510"/>
  <c r="V510"/>
  <c r="W375"/>
  <c r="X375"/>
  <c r="W510"/>
  <c r="X510"/>
  <c r="Y375"/>
  <c r="Z375"/>
  <c r="Y510"/>
  <c r="Z510"/>
  <c r="AA375"/>
  <c r="AB375"/>
  <c r="AA510"/>
  <c r="AB510"/>
  <c r="AC375"/>
  <c r="AD375"/>
  <c r="AC510"/>
  <c r="AD510"/>
  <c r="AE375"/>
  <c r="AF375"/>
  <c r="AE510"/>
  <c r="AF510"/>
  <c r="AG375"/>
  <c r="AG510"/>
  <c r="AH375"/>
  <c r="AI375"/>
  <c r="AH510"/>
  <c r="AJ375"/>
  <c r="AI510"/>
  <c r="AJ510"/>
  <c r="AK375"/>
  <c r="AL375"/>
  <c r="AK510"/>
  <c r="AM375"/>
  <c r="AL510"/>
  <c r="AN375"/>
  <c r="AM510"/>
  <c r="T512"/>
  <c r="C377"/>
  <c r="D377"/>
  <c r="G377"/>
  <c r="I377"/>
  <c r="K377"/>
  <c r="L377"/>
  <c r="M377"/>
  <c r="N377"/>
  <c r="P377"/>
  <c r="Q377"/>
  <c r="S377"/>
  <c r="V377"/>
  <c r="C512"/>
  <c r="D512"/>
  <c r="F512"/>
  <c r="G512"/>
  <c r="J512"/>
  <c r="K512"/>
  <c r="N512"/>
  <c r="O512"/>
  <c r="R512"/>
  <c r="S512"/>
  <c r="U512"/>
  <c r="E377"/>
  <c r="F377"/>
  <c r="H377"/>
  <c r="J377"/>
  <c r="O377"/>
  <c r="R377"/>
  <c r="T377"/>
  <c r="U377"/>
  <c r="E512"/>
  <c r="H512"/>
  <c r="I512"/>
  <c r="L512"/>
  <c r="M512"/>
  <c r="P512"/>
  <c r="Q512"/>
  <c r="W377"/>
  <c r="V512"/>
  <c r="X377"/>
  <c r="W512"/>
  <c r="X512"/>
  <c r="Y377"/>
  <c r="Z377"/>
  <c r="Y512"/>
  <c r="AA377"/>
  <c r="Z512"/>
  <c r="AB377"/>
  <c r="AA512"/>
  <c r="AB512"/>
  <c r="AC377"/>
  <c r="AD377"/>
  <c r="AC512"/>
  <c r="AE377"/>
  <c r="AD512"/>
  <c r="AF377"/>
  <c r="AE512"/>
  <c r="AG377"/>
  <c r="AF512"/>
  <c r="AG512"/>
  <c r="AH377"/>
  <c r="AI377"/>
  <c r="AH512"/>
  <c r="AI512"/>
  <c r="AJ377"/>
  <c r="AK377"/>
  <c r="AJ512"/>
  <c r="AK512"/>
  <c r="AL377"/>
  <c r="AM377"/>
  <c r="AL512"/>
  <c r="AN377"/>
  <c r="AM512"/>
  <c r="U379"/>
  <c r="C379"/>
  <c r="D379"/>
  <c r="E379"/>
  <c r="G379"/>
  <c r="K379"/>
  <c r="L379"/>
  <c r="N379"/>
  <c r="P379"/>
  <c r="T514"/>
  <c r="V379"/>
  <c r="D514"/>
  <c r="E514"/>
  <c r="F514"/>
  <c r="G514"/>
  <c r="H514"/>
  <c r="I514"/>
  <c r="J514"/>
  <c r="K514"/>
  <c r="N514"/>
  <c r="O514"/>
  <c r="P514"/>
  <c r="Q514"/>
  <c r="R514"/>
  <c r="U514"/>
  <c r="F379"/>
  <c r="H379"/>
  <c r="I379"/>
  <c r="J379"/>
  <c r="M379"/>
  <c r="O379"/>
  <c r="Q379"/>
  <c r="R379"/>
  <c r="S379"/>
  <c r="T379"/>
  <c r="C514"/>
  <c r="L514"/>
  <c r="M514"/>
  <c r="S514"/>
  <c r="W379"/>
  <c r="V514"/>
  <c r="W514"/>
  <c r="X379"/>
  <c r="Y379"/>
  <c r="X514"/>
  <c r="Z379"/>
  <c r="Y514"/>
  <c r="Z514"/>
  <c r="AA379"/>
  <c r="AB379"/>
  <c r="AA514"/>
  <c r="AC379"/>
  <c r="AB514"/>
  <c r="AD379"/>
  <c r="AC514"/>
  <c r="AD514"/>
  <c r="AE379"/>
  <c r="AF379"/>
  <c r="AE514"/>
  <c r="AG379"/>
  <c r="AF514"/>
  <c r="AH379"/>
  <c r="AG514"/>
  <c r="AI379"/>
  <c r="AH514"/>
  <c r="AJ379"/>
  <c r="AI514"/>
  <c r="AJ514"/>
  <c r="AK379"/>
  <c r="AK514"/>
  <c r="AL379"/>
  <c r="AM379"/>
  <c r="AL514"/>
  <c r="AN379"/>
  <c r="AM514"/>
  <c r="T532"/>
  <c r="E397"/>
  <c r="F397"/>
  <c r="H397"/>
  <c r="J397"/>
  <c r="O397"/>
  <c r="R397"/>
  <c r="T397"/>
  <c r="V397"/>
  <c r="U397"/>
  <c r="D532"/>
  <c r="E532"/>
  <c r="G532"/>
  <c r="H532"/>
  <c r="J532"/>
  <c r="K532"/>
  <c r="N532"/>
  <c r="O532"/>
  <c r="P532"/>
  <c r="Q532"/>
  <c r="R532"/>
  <c r="S532"/>
  <c r="C397"/>
  <c r="D397"/>
  <c r="G397"/>
  <c r="I397"/>
  <c r="K397"/>
  <c r="L397"/>
  <c r="M397"/>
  <c r="N397"/>
  <c r="P397"/>
  <c r="Q397"/>
  <c r="S397"/>
  <c r="W688"/>
  <c r="W697" s="1"/>
  <c r="W669" s="1"/>
  <c r="W57" s="1"/>
  <c r="C532"/>
  <c r="F532"/>
  <c r="I532"/>
  <c r="L532"/>
  <c r="M532"/>
  <c r="U532"/>
  <c r="V532"/>
  <c r="X688"/>
  <c r="X697" s="1"/>
  <c r="X669" s="1"/>
  <c r="X57" s="1"/>
  <c r="W397"/>
  <c r="Y688"/>
  <c r="X397"/>
  <c r="W532"/>
  <c r="Z688"/>
  <c r="X532"/>
  <c r="Y397"/>
  <c r="Y532"/>
  <c r="Z397"/>
  <c r="AA688"/>
  <c r="AA697" s="1"/>
  <c r="AA669" s="1"/>
  <c r="AA57" s="1"/>
  <c r="AA397"/>
  <c r="Z532"/>
  <c r="AB688"/>
  <c r="AB397"/>
  <c r="AA532"/>
  <c r="AC688"/>
  <c r="AC697" s="1"/>
  <c r="AC669" s="1"/>
  <c r="AC57" s="1"/>
  <c r="AD688"/>
  <c r="AC397"/>
  <c r="AB532"/>
  <c r="AD397"/>
  <c r="AE688"/>
  <c r="AE697" s="1"/>
  <c r="AE669" s="1"/>
  <c r="AE57" s="1"/>
  <c r="AC532"/>
  <c r="AE397"/>
  <c r="AD532"/>
  <c r="AF688"/>
  <c r="AE532"/>
  <c r="AF397"/>
  <c r="AG688"/>
  <c r="AG697" s="1"/>
  <c r="AG669" s="1"/>
  <c r="AG57" s="1"/>
  <c r="AH688"/>
  <c r="AH697" s="1"/>
  <c r="AH669" s="1"/>
  <c r="AH57" s="1"/>
  <c r="AF532"/>
  <c r="AG397"/>
  <c r="AI688"/>
  <c r="AI697" s="1"/>
  <c r="AI669" s="1"/>
  <c r="AI57" s="1"/>
  <c r="AH397"/>
  <c r="AG532"/>
  <c r="AJ688"/>
  <c r="AJ697" s="1"/>
  <c r="AJ669" s="1"/>
  <c r="AJ57" s="1"/>
  <c r="AI397"/>
  <c r="AH532"/>
  <c r="AI532"/>
  <c r="AK688"/>
  <c r="AK697" s="1"/>
  <c r="AK669" s="1"/>
  <c r="AK57" s="1"/>
  <c r="AJ397"/>
  <c r="AJ532"/>
  <c r="AK397"/>
  <c r="AL688"/>
  <c r="AL697" s="1"/>
  <c r="AL669" s="1"/>
  <c r="AL57" s="1"/>
  <c r="AM688"/>
  <c r="AM697" s="1"/>
  <c r="AM669" s="1"/>
  <c r="AM57" s="1"/>
  <c r="AL397"/>
  <c r="AK532"/>
  <c r="AN688"/>
  <c r="AN697" s="1"/>
  <c r="AN669" s="1"/>
  <c r="AN57" s="1"/>
  <c r="AM397"/>
  <c r="AL532"/>
  <c r="AM532"/>
  <c r="AN397"/>
  <c r="AO688"/>
  <c r="AO697" s="1"/>
  <c r="AO669" s="1"/>
  <c r="AO57" s="1"/>
  <c r="U399"/>
  <c r="F399"/>
  <c r="H399"/>
  <c r="I399"/>
  <c r="J399"/>
  <c r="M399"/>
  <c r="O399"/>
  <c r="Q399"/>
  <c r="R399"/>
  <c r="S399"/>
  <c r="T399"/>
  <c r="V399"/>
  <c r="C534"/>
  <c r="D534"/>
  <c r="E534"/>
  <c r="J534"/>
  <c r="K534"/>
  <c r="M534"/>
  <c r="N534"/>
  <c r="O534"/>
  <c r="Q534"/>
  <c r="R534"/>
  <c r="S534"/>
  <c r="C399"/>
  <c r="D399"/>
  <c r="E399"/>
  <c r="G399"/>
  <c r="K399"/>
  <c r="L399"/>
  <c r="N399"/>
  <c r="P399"/>
  <c r="F534"/>
  <c r="G534"/>
  <c r="H534"/>
  <c r="I534"/>
  <c r="L534"/>
  <c r="P534"/>
  <c r="U534"/>
  <c r="T534"/>
  <c r="V534"/>
  <c r="W399"/>
  <c r="X399"/>
  <c r="W534"/>
  <c r="X534"/>
  <c r="Y399"/>
  <c r="Z399"/>
  <c r="Y534"/>
  <c r="Z534"/>
  <c r="AA399"/>
  <c r="AB399"/>
  <c r="AA534"/>
  <c r="AB534"/>
  <c r="AC399"/>
  <c r="AD399"/>
  <c r="AC534"/>
  <c r="AD534"/>
  <c r="AE399"/>
  <c r="AF399"/>
  <c r="AE534"/>
  <c r="AF534"/>
  <c r="AG399"/>
  <c r="AG534"/>
  <c r="AH399"/>
  <c r="AI399"/>
  <c r="AH534"/>
  <c r="AJ399"/>
  <c r="AI534"/>
  <c r="AJ534"/>
  <c r="AK399"/>
  <c r="AL399"/>
  <c r="AK534"/>
  <c r="AM399"/>
  <c r="AL534"/>
  <c r="AN399"/>
  <c r="AM534"/>
  <c r="T536"/>
  <c r="C401"/>
  <c r="D401"/>
  <c r="G401"/>
  <c r="I401"/>
  <c r="K401"/>
  <c r="L401"/>
  <c r="M401"/>
  <c r="N401"/>
  <c r="P401"/>
  <c r="Q401"/>
  <c r="S401"/>
  <c r="V401"/>
  <c r="E536"/>
  <c r="H536"/>
  <c r="I536"/>
  <c r="L536"/>
  <c r="M536"/>
  <c r="P536"/>
  <c r="Q536"/>
  <c r="U536"/>
  <c r="E401"/>
  <c r="F401"/>
  <c r="H401"/>
  <c r="J401"/>
  <c r="O401"/>
  <c r="R401"/>
  <c r="T401"/>
  <c r="U401"/>
  <c r="C536"/>
  <c r="D536"/>
  <c r="F536"/>
  <c r="G536"/>
  <c r="J536"/>
  <c r="K536"/>
  <c r="N536"/>
  <c r="O536"/>
  <c r="R536"/>
  <c r="S536"/>
  <c r="W401"/>
  <c r="V536"/>
  <c r="X401"/>
  <c r="W536"/>
  <c r="X536"/>
  <c r="Y401"/>
  <c r="Z401"/>
  <c r="Y536"/>
  <c r="AA401"/>
  <c r="Z536"/>
  <c r="AB401"/>
  <c r="AA536"/>
  <c r="AB536"/>
  <c r="AC401"/>
  <c r="AD401"/>
  <c r="AC536"/>
  <c r="AE401"/>
  <c r="AD536"/>
  <c r="AF401"/>
  <c r="AE536"/>
  <c r="AG401"/>
  <c r="AF536"/>
  <c r="AG536"/>
  <c r="AH401"/>
  <c r="AI401"/>
  <c r="AH536"/>
  <c r="AI536"/>
  <c r="AJ401"/>
  <c r="AK401"/>
  <c r="AJ536"/>
  <c r="AK536"/>
  <c r="AL401"/>
  <c r="AM401"/>
  <c r="AL536"/>
  <c r="AN401"/>
  <c r="AM536"/>
  <c r="U403"/>
  <c r="C403"/>
  <c r="D403"/>
  <c r="E403"/>
  <c r="G403"/>
  <c r="K403"/>
  <c r="L403"/>
  <c r="N403"/>
  <c r="P403"/>
  <c r="V403"/>
  <c r="C538"/>
  <c r="L538"/>
  <c r="M538"/>
  <c r="S538"/>
  <c r="U538"/>
  <c r="T538"/>
  <c r="F403"/>
  <c r="H403"/>
  <c r="I403"/>
  <c r="J403"/>
  <c r="M403"/>
  <c r="O403"/>
  <c r="Q403"/>
  <c r="R403"/>
  <c r="S403"/>
  <c r="T403"/>
  <c r="D538"/>
  <c r="E538"/>
  <c r="F538"/>
  <c r="G538"/>
  <c r="H538"/>
  <c r="I538"/>
  <c r="J538"/>
  <c r="K538"/>
  <c r="N538"/>
  <c r="O538"/>
  <c r="P538"/>
  <c r="Q538"/>
  <c r="R538"/>
  <c r="W403"/>
  <c r="V538"/>
  <c r="W538"/>
  <c r="X403"/>
  <c r="Y403"/>
  <c r="X538"/>
  <c r="Z403"/>
  <c r="Y538"/>
  <c r="Z538"/>
  <c r="AA403"/>
  <c r="AB403"/>
  <c r="AA538"/>
  <c r="AC403"/>
  <c r="AB538"/>
  <c r="AD403"/>
  <c r="AC538"/>
  <c r="AD538"/>
  <c r="AE403"/>
  <c r="AF403"/>
  <c r="AE538"/>
  <c r="AG403"/>
  <c r="AF538"/>
  <c r="AH403"/>
  <c r="AG538"/>
  <c r="AI403"/>
  <c r="AH538"/>
  <c r="AJ403"/>
  <c r="AI538"/>
  <c r="AJ538"/>
  <c r="AK403"/>
  <c r="AK538"/>
  <c r="AL403"/>
  <c r="AM403"/>
  <c r="AL538"/>
  <c r="AN403"/>
  <c r="AM538"/>
  <c r="T540"/>
  <c r="E405"/>
  <c r="F405"/>
  <c r="H405"/>
  <c r="J405"/>
  <c r="O405"/>
  <c r="R405"/>
  <c r="T405"/>
  <c r="V405"/>
  <c r="U405"/>
  <c r="C540"/>
  <c r="I540"/>
  <c r="L540"/>
  <c r="M540"/>
  <c r="C405"/>
  <c r="D405"/>
  <c r="G405"/>
  <c r="I405"/>
  <c r="K405"/>
  <c r="L405"/>
  <c r="M405"/>
  <c r="N405"/>
  <c r="P405"/>
  <c r="Q405"/>
  <c r="S405"/>
  <c r="D540"/>
  <c r="E540"/>
  <c r="F540"/>
  <c r="G540"/>
  <c r="H540"/>
  <c r="J540"/>
  <c r="K540"/>
  <c r="N540"/>
  <c r="O540"/>
  <c r="P540"/>
  <c r="Q540"/>
  <c r="R540"/>
  <c r="S540"/>
  <c r="U540"/>
  <c r="V540"/>
  <c r="W405"/>
  <c r="X405"/>
  <c r="W540"/>
  <c r="X540"/>
  <c r="Y405"/>
  <c r="Y540"/>
  <c r="Z405"/>
  <c r="AA405"/>
  <c r="Z540"/>
  <c r="AB405"/>
  <c r="AA540"/>
  <c r="AC405"/>
  <c r="AB540"/>
  <c r="AD405"/>
  <c r="AC540"/>
  <c r="AE405"/>
  <c r="AD540"/>
  <c r="AE540"/>
  <c r="AF405"/>
  <c r="AF540"/>
  <c r="AG405"/>
  <c r="AH405"/>
  <c r="AG540"/>
  <c r="AI405"/>
  <c r="AH540"/>
  <c r="AI540"/>
  <c r="AJ405"/>
  <c r="AJ540"/>
  <c r="AK405"/>
  <c r="AL405"/>
  <c r="AK540"/>
  <c r="AM405"/>
  <c r="AL540"/>
  <c r="AM540"/>
  <c r="AN405"/>
  <c r="AP626"/>
  <c r="AN482"/>
  <c r="AN506"/>
  <c r="AN514"/>
  <c r="AN538"/>
  <c r="AO539"/>
  <c r="AO535"/>
  <c r="AO511"/>
  <c r="AO507"/>
  <c r="AO540"/>
  <c r="AO536"/>
  <c r="AO532"/>
  <c r="AO512"/>
  <c r="AO508"/>
  <c r="AO488"/>
  <c r="AO484"/>
  <c r="AO480"/>
  <c r="AO594"/>
  <c r="AP587"/>
  <c r="AP588" s="1"/>
  <c r="AP16" s="1"/>
  <c r="AP579"/>
  <c r="AP580" s="1"/>
  <c r="AP14" s="1"/>
  <c r="AP553"/>
  <c r="AP554" s="1"/>
  <c r="AP95" s="1"/>
  <c r="AP547"/>
  <c r="AP548" s="1"/>
  <c r="AP94" s="1"/>
  <c r="AP241" s="1"/>
  <c r="AP591"/>
  <c r="AP592" s="1"/>
  <c r="AP17" s="1"/>
  <c r="AP583"/>
  <c r="AP584" s="1"/>
  <c r="AP15" s="1"/>
  <c r="AP108"/>
  <c r="B111" s="1"/>
  <c r="AP29"/>
  <c r="AP31" s="1"/>
  <c r="AP10"/>
  <c r="AP12" s="1"/>
  <c r="AP329"/>
  <c r="B310"/>
  <c r="B312"/>
  <c r="B314"/>
  <c r="AP468"/>
  <c r="AP480" s="1"/>
  <c r="AP345"/>
  <c r="AP467"/>
  <c r="AP471"/>
  <c r="AP483" s="1"/>
  <c r="AP348"/>
  <c r="AP475"/>
  <c r="AP487" s="1"/>
  <c r="AP352"/>
  <c r="AP495"/>
  <c r="AP507" s="1"/>
  <c r="AP372"/>
  <c r="AP499"/>
  <c r="AP511" s="1"/>
  <c r="AP376"/>
  <c r="AP519"/>
  <c r="AP523"/>
  <c r="AP535" s="1"/>
  <c r="AP400"/>
  <c r="AP527"/>
  <c r="AP539" s="1"/>
  <c r="AP404"/>
  <c r="B445"/>
  <c r="B447"/>
  <c r="B449"/>
  <c r="AP472"/>
  <c r="AP484" s="1"/>
  <c r="AP349"/>
  <c r="AP476"/>
  <c r="AP488" s="1"/>
  <c r="AP353"/>
  <c r="AP496"/>
  <c r="AP508" s="1"/>
  <c r="AP373"/>
  <c r="AP500"/>
  <c r="AP512" s="1"/>
  <c r="AP377"/>
  <c r="AP520"/>
  <c r="AP532" s="1"/>
  <c r="AP397"/>
  <c r="AP524"/>
  <c r="AP536" s="1"/>
  <c r="AP401"/>
  <c r="AP528"/>
  <c r="AP540" s="1"/>
  <c r="AP405"/>
  <c r="AP621"/>
  <c r="AP606" s="1"/>
  <c r="AP60" s="1"/>
  <c r="B611"/>
  <c r="AP344" s="1"/>
  <c r="U346"/>
  <c r="T481"/>
  <c r="D346"/>
  <c r="H346"/>
  <c r="I346"/>
  <c r="J346"/>
  <c r="L346"/>
  <c r="M346"/>
  <c r="N346"/>
  <c r="O346"/>
  <c r="P346"/>
  <c r="Q346"/>
  <c r="V346"/>
  <c r="C481"/>
  <c r="F481"/>
  <c r="I481"/>
  <c r="J481"/>
  <c r="L481"/>
  <c r="M481"/>
  <c r="P481"/>
  <c r="S481"/>
  <c r="C346"/>
  <c r="E346"/>
  <c r="F346"/>
  <c r="G346"/>
  <c r="K346"/>
  <c r="R346"/>
  <c r="S346"/>
  <c r="T346"/>
  <c r="U481"/>
  <c r="D481"/>
  <c r="E481"/>
  <c r="G481"/>
  <c r="H481"/>
  <c r="K481"/>
  <c r="N481"/>
  <c r="O481"/>
  <c r="Q481"/>
  <c r="R481"/>
  <c r="V481"/>
  <c r="W346"/>
  <c r="X346"/>
  <c r="W481"/>
  <c r="Y346"/>
  <c r="X481"/>
  <c r="AA625"/>
  <c r="AA633" s="1"/>
  <c r="AA605" s="1"/>
  <c r="AA55" s="1"/>
  <c r="Z346"/>
  <c r="Y481"/>
  <c r="AA346"/>
  <c r="AB625"/>
  <c r="AB633" s="1"/>
  <c r="AB605" s="1"/>
  <c r="AB55" s="1"/>
  <c r="Z481"/>
  <c r="AB346"/>
  <c r="AC625"/>
  <c r="AC633" s="1"/>
  <c r="AC605" s="1"/>
  <c r="AC55" s="1"/>
  <c r="AA481"/>
  <c r="AB481"/>
  <c r="AD625"/>
  <c r="AD633" s="1"/>
  <c r="AD605" s="1"/>
  <c r="AD55" s="1"/>
  <c r="AC346"/>
  <c r="AE625"/>
  <c r="AE633" s="1"/>
  <c r="AE605" s="1"/>
  <c r="AE55" s="1"/>
  <c r="AD346"/>
  <c r="AC481"/>
  <c r="AD481"/>
  <c r="AE346"/>
  <c r="AF625"/>
  <c r="AF633" s="1"/>
  <c r="AF605" s="1"/>
  <c r="AF55" s="1"/>
  <c r="AE481"/>
  <c r="AG625"/>
  <c r="AG633" s="1"/>
  <c r="AG605" s="1"/>
  <c r="AG55" s="1"/>
  <c r="AF346"/>
  <c r="AH625"/>
  <c r="AH633" s="1"/>
  <c r="AH605" s="1"/>
  <c r="AH55" s="1"/>
  <c r="AG346"/>
  <c r="AF481"/>
  <c r="AG481"/>
  <c r="AI625"/>
  <c r="AI633" s="1"/>
  <c r="AI605" s="1"/>
  <c r="AI55" s="1"/>
  <c r="AH346"/>
  <c r="AJ625"/>
  <c r="AJ633" s="1"/>
  <c r="AJ605" s="1"/>
  <c r="AJ55" s="1"/>
  <c r="AI346"/>
  <c r="AH481"/>
  <c r="AK625"/>
  <c r="AK633" s="1"/>
  <c r="AK605" s="1"/>
  <c r="AK55" s="1"/>
  <c r="AI481"/>
  <c r="AJ346"/>
  <c r="AK346"/>
  <c r="AL625"/>
  <c r="AL633" s="1"/>
  <c r="AL605" s="1"/>
  <c r="AL55" s="1"/>
  <c r="AJ481"/>
  <c r="AK481"/>
  <c r="AL346"/>
  <c r="AM346"/>
  <c r="AL481"/>
  <c r="AM481"/>
  <c r="AN346"/>
  <c r="D348"/>
  <c r="G348"/>
  <c r="I348"/>
  <c r="K348"/>
  <c r="L348"/>
  <c r="M348"/>
  <c r="N348"/>
  <c r="P348"/>
  <c r="Q348"/>
  <c r="V348"/>
  <c r="E483"/>
  <c r="G483"/>
  <c r="L483"/>
  <c r="Q483"/>
  <c r="U348"/>
  <c r="C348"/>
  <c r="E348"/>
  <c r="F348"/>
  <c r="H348"/>
  <c r="J348"/>
  <c r="O348"/>
  <c r="R348"/>
  <c r="S348"/>
  <c r="T348"/>
  <c r="T483"/>
  <c r="U483"/>
  <c r="C483"/>
  <c r="D483"/>
  <c r="F483"/>
  <c r="H483"/>
  <c r="I483"/>
  <c r="J483"/>
  <c r="K483"/>
  <c r="M483"/>
  <c r="N483"/>
  <c r="O483"/>
  <c r="P483"/>
  <c r="R483"/>
  <c r="S483"/>
  <c r="W348"/>
  <c r="V483"/>
  <c r="W483"/>
  <c r="X348"/>
  <c r="Y348"/>
  <c r="X483"/>
  <c r="Z348"/>
  <c r="Y483"/>
  <c r="AA348"/>
  <c r="Z483"/>
  <c r="AB348"/>
  <c r="AA483"/>
  <c r="AC348"/>
  <c r="AB483"/>
  <c r="AD348"/>
  <c r="AC483"/>
  <c r="AE348"/>
  <c r="AD483"/>
  <c r="AF348"/>
  <c r="AE483"/>
  <c r="AG348"/>
  <c r="AF483"/>
  <c r="AG483"/>
  <c r="AH348"/>
  <c r="AH483"/>
  <c r="AI348"/>
  <c r="AJ348"/>
  <c r="AI483"/>
  <c r="AK348"/>
  <c r="AJ483"/>
  <c r="AL348"/>
  <c r="AK483"/>
  <c r="AM348"/>
  <c r="AL483"/>
  <c r="AN348"/>
  <c r="AM483"/>
  <c r="U350"/>
  <c r="T485"/>
  <c r="E350"/>
  <c r="F350"/>
  <c r="O350"/>
  <c r="R350"/>
  <c r="T350"/>
  <c r="V350"/>
  <c r="U485"/>
  <c r="E485"/>
  <c r="G485"/>
  <c r="H485"/>
  <c r="I485"/>
  <c r="K485"/>
  <c r="L485"/>
  <c r="M485"/>
  <c r="O485"/>
  <c r="Q485"/>
  <c r="C350"/>
  <c r="D350"/>
  <c r="G350"/>
  <c r="H350"/>
  <c r="I350"/>
  <c r="J350"/>
  <c r="K350"/>
  <c r="L350"/>
  <c r="M350"/>
  <c r="N350"/>
  <c r="P350"/>
  <c r="Q350"/>
  <c r="S350"/>
  <c r="C485"/>
  <c r="D485"/>
  <c r="F485"/>
  <c r="J485"/>
  <c r="N485"/>
  <c r="P485"/>
  <c r="R485"/>
  <c r="S485"/>
  <c r="V485"/>
  <c r="W350"/>
  <c r="X350"/>
  <c r="W485"/>
  <c r="Y350"/>
  <c r="X485"/>
  <c r="Y485"/>
  <c r="Z350"/>
  <c r="AA350"/>
  <c r="Z485"/>
  <c r="AB350"/>
  <c r="AA485"/>
  <c r="AB485"/>
  <c r="AC350"/>
  <c r="AD350"/>
  <c r="AC485"/>
  <c r="AE350"/>
  <c r="AD485"/>
  <c r="AE485"/>
  <c r="AF350"/>
  <c r="AF485"/>
  <c r="AG350"/>
  <c r="AH350"/>
  <c r="AG485"/>
  <c r="AH485"/>
  <c r="AI350"/>
  <c r="AI485"/>
  <c r="AJ350"/>
  <c r="AK350"/>
  <c r="AJ485"/>
  <c r="AK485"/>
  <c r="AL350"/>
  <c r="AM350"/>
  <c r="AL485"/>
  <c r="AM485"/>
  <c r="AN350"/>
  <c r="C352"/>
  <c r="E352"/>
  <c r="F352"/>
  <c r="H352"/>
  <c r="J352"/>
  <c r="O352"/>
  <c r="R352"/>
  <c r="S352"/>
  <c r="T352"/>
  <c r="U487"/>
  <c r="V352"/>
  <c r="L487"/>
  <c r="P487"/>
  <c r="S487"/>
  <c r="T487"/>
  <c r="D352"/>
  <c r="G352"/>
  <c r="I352"/>
  <c r="K352"/>
  <c r="L352"/>
  <c r="M352"/>
  <c r="N352"/>
  <c r="P352"/>
  <c r="Q352"/>
  <c r="C487"/>
  <c r="D487"/>
  <c r="E487"/>
  <c r="F487"/>
  <c r="G487"/>
  <c r="H487"/>
  <c r="I487"/>
  <c r="J487"/>
  <c r="K487"/>
  <c r="M487"/>
  <c r="N487"/>
  <c r="O487"/>
  <c r="Q487"/>
  <c r="R487"/>
  <c r="U352"/>
  <c r="W352"/>
  <c r="V487"/>
  <c r="X352"/>
  <c r="W487"/>
  <c r="Y352"/>
  <c r="X487"/>
  <c r="Y487"/>
  <c r="Z352"/>
  <c r="Z487"/>
  <c r="AA352"/>
  <c r="AB352"/>
  <c r="AA487"/>
  <c r="AC352"/>
  <c r="AB487"/>
  <c r="AD352"/>
  <c r="AC487"/>
  <c r="AD487"/>
  <c r="AE352"/>
  <c r="AF352"/>
  <c r="AE487"/>
  <c r="AG352"/>
  <c r="AF487"/>
  <c r="AH352"/>
  <c r="AG487"/>
  <c r="AI352"/>
  <c r="AH487"/>
  <c r="AJ352"/>
  <c r="AI487"/>
  <c r="AK352"/>
  <c r="AJ487"/>
  <c r="AK487"/>
  <c r="AL352"/>
  <c r="AL487"/>
  <c r="AM352"/>
  <c r="AM487"/>
  <c r="AN352"/>
  <c r="AP653"/>
  <c r="AP638" s="1"/>
  <c r="AP61" s="1"/>
  <c r="B643"/>
  <c r="AO505" s="1"/>
  <c r="C372"/>
  <c r="D372"/>
  <c r="G372"/>
  <c r="I372"/>
  <c r="K372"/>
  <c r="L372"/>
  <c r="M372"/>
  <c r="N372"/>
  <c r="P372"/>
  <c r="Q372"/>
  <c r="S372"/>
  <c r="T507"/>
  <c r="V372"/>
  <c r="C507"/>
  <c r="D507"/>
  <c r="F507"/>
  <c r="G507"/>
  <c r="H507"/>
  <c r="J507"/>
  <c r="K507"/>
  <c r="N507"/>
  <c r="O507"/>
  <c r="P507"/>
  <c r="R507"/>
  <c r="S507"/>
  <c r="U507"/>
  <c r="E372"/>
  <c r="F372"/>
  <c r="H372"/>
  <c r="J372"/>
  <c r="O372"/>
  <c r="R372"/>
  <c r="T372"/>
  <c r="U372"/>
  <c r="E507"/>
  <c r="I507"/>
  <c r="L507"/>
  <c r="M507"/>
  <c r="Q507"/>
  <c r="W372"/>
  <c r="V507"/>
  <c r="W507"/>
  <c r="X372"/>
  <c r="Y372"/>
  <c r="X507"/>
  <c r="Z372"/>
  <c r="Y507"/>
  <c r="AA372"/>
  <c r="Z507"/>
  <c r="AB372"/>
  <c r="AA507"/>
  <c r="AC372"/>
  <c r="AB507"/>
  <c r="AD372"/>
  <c r="AC507"/>
  <c r="AE372"/>
  <c r="AD507"/>
  <c r="AG657"/>
  <c r="AG665" s="1"/>
  <c r="AG637" s="1"/>
  <c r="AG56" s="1"/>
  <c r="AF372"/>
  <c r="AE507"/>
  <c r="AH657"/>
  <c r="AH665" s="1"/>
  <c r="AH637" s="1"/>
  <c r="AH56" s="1"/>
  <c r="AG372"/>
  <c r="AF507"/>
  <c r="AG507"/>
  <c r="AI657"/>
  <c r="AI665" s="1"/>
  <c r="AI637" s="1"/>
  <c r="AI56" s="1"/>
  <c r="AH372"/>
  <c r="AJ657"/>
  <c r="AJ665" s="1"/>
  <c r="AJ637" s="1"/>
  <c r="AJ56" s="1"/>
  <c r="AI372"/>
  <c r="AH507"/>
  <c r="AK657"/>
  <c r="AK665" s="1"/>
  <c r="AK637" s="1"/>
  <c r="AK56" s="1"/>
  <c r="AJ372"/>
  <c r="AI507"/>
  <c r="AJ507"/>
  <c r="AK372"/>
  <c r="AL657"/>
  <c r="AL665" s="1"/>
  <c r="AL637" s="1"/>
  <c r="AL56" s="1"/>
  <c r="AK507"/>
  <c r="AL372"/>
  <c r="AM657"/>
  <c r="AM665" s="1"/>
  <c r="AM637" s="1"/>
  <c r="AM56" s="1"/>
  <c r="AN657"/>
  <c r="AN665" s="1"/>
  <c r="AN637" s="1"/>
  <c r="AN56" s="1"/>
  <c r="AM372"/>
  <c r="AL507"/>
  <c r="AO657"/>
  <c r="AO665" s="1"/>
  <c r="AO637" s="1"/>
  <c r="AO56" s="1"/>
  <c r="AN372"/>
  <c r="AM507"/>
  <c r="T509"/>
  <c r="U374"/>
  <c r="C374"/>
  <c r="E374"/>
  <c r="F374"/>
  <c r="K374"/>
  <c r="R374"/>
  <c r="T374"/>
  <c r="V374"/>
  <c r="D509"/>
  <c r="E509"/>
  <c r="F509"/>
  <c r="I509"/>
  <c r="J509"/>
  <c r="K509"/>
  <c r="N509"/>
  <c r="O509"/>
  <c r="P509"/>
  <c r="Q509"/>
  <c r="R509"/>
  <c r="U509"/>
  <c r="D374"/>
  <c r="G374"/>
  <c r="H374"/>
  <c r="I374"/>
  <c r="J374"/>
  <c r="L374"/>
  <c r="M374"/>
  <c r="N374"/>
  <c r="O374"/>
  <c r="P374"/>
  <c r="Q374"/>
  <c r="S374"/>
  <c r="C509"/>
  <c r="G509"/>
  <c r="H509"/>
  <c r="L509"/>
  <c r="M509"/>
  <c r="S509"/>
  <c r="V509"/>
  <c r="W374"/>
  <c r="W509"/>
  <c r="X374"/>
  <c r="Y374"/>
  <c r="X509"/>
  <c r="Y509"/>
  <c r="Z374"/>
  <c r="Z509"/>
  <c r="AA374"/>
  <c r="AB374"/>
  <c r="AA509"/>
  <c r="AC374"/>
  <c r="AB509"/>
  <c r="AD374"/>
  <c r="AC509"/>
  <c r="AD509"/>
  <c r="AE374"/>
  <c r="AE509"/>
  <c r="AF374"/>
  <c r="AG374"/>
  <c r="AF509"/>
  <c r="AG509"/>
  <c r="AH374"/>
  <c r="AI374"/>
  <c r="AH509"/>
  <c r="AI509"/>
  <c r="AJ374"/>
  <c r="AJ509"/>
  <c r="AK374"/>
  <c r="AK509"/>
  <c r="AL374"/>
  <c r="AM374"/>
  <c r="AL509"/>
  <c r="AM509"/>
  <c r="AN374"/>
  <c r="E376"/>
  <c r="F376"/>
  <c r="H376"/>
  <c r="J376"/>
  <c r="O376"/>
  <c r="R376"/>
  <c r="T376"/>
  <c r="U376"/>
  <c r="V376"/>
  <c r="D511"/>
  <c r="E511"/>
  <c r="F511"/>
  <c r="G511"/>
  <c r="H511"/>
  <c r="J511"/>
  <c r="K511"/>
  <c r="N511"/>
  <c r="O511"/>
  <c r="Q511"/>
  <c r="R511"/>
  <c r="S511"/>
  <c r="C376"/>
  <c r="D376"/>
  <c r="G376"/>
  <c r="I376"/>
  <c r="K376"/>
  <c r="L376"/>
  <c r="M376"/>
  <c r="N376"/>
  <c r="P376"/>
  <c r="Q376"/>
  <c r="S376"/>
  <c r="C511"/>
  <c r="I511"/>
  <c r="L511"/>
  <c r="M511"/>
  <c r="P511"/>
  <c r="T511"/>
  <c r="U511"/>
  <c r="V511"/>
  <c r="W376"/>
  <c r="X376"/>
  <c r="W511"/>
  <c r="X511"/>
  <c r="Y376"/>
  <c r="Z376"/>
  <c r="Y511"/>
  <c r="AA376"/>
  <c r="Z511"/>
  <c r="AA511"/>
  <c r="AB376"/>
  <c r="AB511"/>
  <c r="AC376"/>
  <c r="AD376"/>
  <c r="AC511"/>
  <c r="AE376"/>
  <c r="AD511"/>
  <c r="AE511"/>
  <c r="AF376"/>
  <c r="AF511"/>
  <c r="AG376"/>
  <c r="AH376"/>
  <c r="AG511"/>
  <c r="AI376"/>
  <c r="AH511"/>
  <c r="AJ376"/>
  <c r="AI511"/>
  <c r="AK376"/>
  <c r="AJ511"/>
  <c r="AL376"/>
  <c r="AK511"/>
  <c r="AM376"/>
  <c r="AL511"/>
  <c r="AM511"/>
  <c r="AN376"/>
  <c r="U378"/>
  <c r="T513"/>
  <c r="D378"/>
  <c r="H378"/>
  <c r="I378"/>
  <c r="J378"/>
  <c r="L378"/>
  <c r="M378"/>
  <c r="N378"/>
  <c r="O378"/>
  <c r="P378"/>
  <c r="Q378"/>
  <c r="S378"/>
  <c r="V378"/>
  <c r="C513"/>
  <c r="E513"/>
  <c r="F513"/>
  <c r="J513"/>
  <c r="K513"/>
  <c r="L513"/>
  <c r="M513"/>
  <c r="O513"/>
  <c r="P513"/>
  <c r="Q513"/>
  <c r="S513"/>
  <c r="C378"/>
  <c r="E378"/>
  <c r="F378"/>
  <c r="G378"/>
  <c r="K378"/>
  <c r="R378"/>
  <c r="T378"/>
  <c r="D513"/>
  <c r="G513"/>
  <c r="H513"/>
  <c r="I513"/>
  <c r="N513"/>
  <c r="R513"/>
  <c r="U513"/>
  <c r="W378"/>
  <c r="V513"/>
  <c r="X378"/>
  <c r="W513"/>
  <c r="X513"/>
  <c r="Y378"/>
  <c r="Z378"/>
  <c r="Y513"/>
  <c r="AA378"/>
  <c r="Z513"/>
  <c r="AB378"/>
  <c r="AA513"/>
  <c r="AB513"/>
  <c r="AC378"/>
  <c r="AC513"/>
  <c r="AD378"/>
  <c r="AD513"/>
  <c r="AE378"/>
  <c r="AF378"/>
  <c r="AE513"/>
  <c r="AG378"/>
  <c r="AF513"/>
  <c r="AG513"/>
  <c r="AH378"/>
  <c r="AI378"/>
  <c r="AH513"/>
  <c r="AI513"/>
  <c r="AJ378"/>
  <c r="AK378"/>
  <c r="AJ513"/>
  <c r="AL378"/>
  <c r="AK513"/>
  <c r="AM378"/>
  <c r="AL513"/>
  <c r="AN378"/>
  <c r="AM513"/>
  <c r="AP685"/>
  <c r="AP670" s="1"/>
  <c r="AP62" s="1"/>
  <c r="B675"/>
  <c r="T533"/>
  <c r="U398"/>
  <c r="E398"/>
  <c r="F398"/>
  <c r="G398"/>
  <c r="K398"/>
  <c r="R398"/>
  <c r="T398"/>
  <c r="V398"/>
  <c r="C533"/>
  <c r="G533"/>
  <c r="H533"/>
  <c r="L533"/>
  <c r="M533"/>
  <c r="S533"/>
  <c r="U533"/>
  <c r="C398"/>
  <c r="D398"/>
  <c r="H398"/>
  <c r="I398"/>
  <c r="J398"/>
  <c r="L398"/>
  <c r="M398"/>
  <c r="N398"/>
  <c r="O398"/>
  <c r="P398"/>
  <c r="Q398"/>
  <c r="S398"/>
  <c r="D533"/>
  <c r="E533"/>
  <c r="F533"/>
  <c r="I533"/>
  <c r="J533"/>
  <c r="K533"/>
  <c r="N533"/>
  <c r="O533"/>
  <c r="P533"/>
  <c r="Q533"/>
  <c r="R533"/>
  <c r="V533"/>
  <c r="W398"/>
  <c r="W533"/>
  <c r="X398"/>
  <c r="Y398"/>
  <c r="X533"/>
  <c r="Y533"/>
  <c r="Z398"/>
  <c r="Z533"/>
  <c r="AA398"/>
  <c r="AB398"/>
  <c r="AA533"/>
  <c r="AC398"/>
  <c r="AB533"/>
  <c r="AD398"/>
  <c r="AC533"/>
  <c r="AD533"/>
  <c r="AE398"/>
  <c r="AE533"/>
  <c r="AF398"/>
  <c r="AG398"/>
  <c r="AF533"/>
  <c r="AG533"/>
  <c r="AH398"/>
  <c r="AI398"/>
  <c r="AH533"/>
  <c r="AI533"/>
  <c r="AJ398"/>
  <c r="AJ533"/>
  <c r="AK398"/>
  <c r="AK533"/>
  <c r="AL398"/>
  <c r="AM398"/>
  <c r="AL533"/>
  <c r="AM533"/>
  <c r="AN398"/>
  <c r="E400"/>
  <c r="F400"/>
  <c r="H400"/>
  <c r="J400"/>
  <c r="O400"/>
  <c r="R400"/>
  <c r="T400"/>
  <c r="U400"/>
  <c r="V400"/>
  <c r="C535"/>
  <c r="H535"/>
  <c r="I535"/>
  <c r="L535"/>
  <c r="M535"/>
  <c r="P535"/>
  <c r="T535"/>
  <c r="C400"/>
  <c r="D400"/>
  <c r="G400"/>
  <c r="I400"/>
  <c r="K400"/>
  <c r="L400"/>
  <c r="M400"/>
  <c r="N400"/>
  <c r="P400"/>
  <c r="Q400"/>
  <c r="S400"/>
  <c r="D535"/>
  <c r="E535"/>
  <c r="F535"/>
  <c r="G535"/>
  <c r="J535"/>
  <c r="K535"/>
  <c r="N535"/>
  <c r="O535"/>
  <c r="Q535"/>
  <c r="R535"/>
  <c r="S535"/>
  <c r="U535"/>
  <c r="V535"/>
  <c r="W400"/>
  <c r="X400"/>
  <c r="W535"/>
  <c r="X535"/>
  <c r="Y400"/>
  <c r="Z400"/>
  <c r="Y535"/>
  <c r="AA400"/>
  <c r="Z535"/>
  <c r="AA535"/>
  <c r="AB400"/>
  <c r="AB535"/>
  <c r="AC400"/>
  <c r="AD400"/>
  <c r="AC535"/>
  <c r="AE400"/>
  <c r="AD535"/>
  <c r="AE535"/>
  <c r="AF400"/>
  <c r="AF535"/>
  <c r="AG400"/>
  <c r="AH400"/>
  <c r="AG535"/>
  <c r="AI400"/>
  <c r="AH535"/>
  <c r="AJ400"/>
  <c r="AI535"/>
  <c r="AK400"/>
  <c r="AJ535"/>
  <c r="AL400"/>
  <c r="AK535"/>
  <c r="AM400"/>
  <c r="AL535"/>
  <c r="AM535"/>
  <c r="AN400"/>
  <c r="U402"/>
  <c r="T537"/>
  <c r="C402"/>
  <c r="D402"/>
  <c r="H402"/>
  <c r="I402"/>
  <c r="J402"/>
  <c r="L402"/>
  <c r="M402"/>
  <c r="N402"/>
  <c r="O402"/>
  <c r="P402"/>
  <c r="Q402"/>
  <c r="S402"/>
  <c r="V402"/>
  <c r="C537"/>
  <c r="D537"/>
  <c r="H537"/>
  <c r="I537"/>
  <c r="N537"/>
  <c r="R537"/>
  <c r="E402"/>
  <c r="F402"/>
  <c r="G402"/>
  <c r="K402"/>
  <c r="R402"/>
  <c r="T402"/>
  <c r="E537"/>
  <c r="F537"/>
  <c r="G537"/>
  <c r="J537"/>
  <c r="K537"/>
  <c r="L537"/>
  <c r="M537"/>
  <c r="O537"/>
  <c r="P537"/>
  <c r="Q537"/>
  <c r="S537"/>
  <c r="U537"/>
  <c r="W402"/>
  <c r="V537"/>
  <c r="X402"/>
  <c r="W537"/>
  <c r="X537"/>
  <c r="Y402"/>
  <c r="Z402"/>
  <c r="Y537"/>
  <c r="AA402"/>
  <c r="Z537"/>
  <c r="AB402"/>
  <c r="AA537"/>
  <c r="AB537"/>
  <c r="AC402"/>
  <c r="AC537"/>
  <c r="AD402"/>
  <c r="AD537"/>
  <c r="AE402"/>
  <c r="AF402"/>
  <c r="AE537"/>
  <c r="AG402"/>
  <c r="AF537"/>
  <c r="AG537"/>
  <c r="AH402"/>
  <c r="AI402"/>
  <c r="AH537"/>
  <c r="AI537"/>
  <c r="AJ402"/>
  <c r="AK402"/>
  <c r="AJ537"/>
  <c r="AL402"/>
  <c r="AK537"/>
  <c r="AM402"/>
  <c r="AL537"/>
  <c r="AN402"/>
  <c r="AM537"/>
  <c r="C404"/>
  <c r="D404"/>
  <c r="G404"/>
  <c r="I404"/>
  <c r="K404"/>
  <c r="L404"/>
  <c r="M404"/>
  <c r="N404"/>
  <c r="P404"/>
  <c r="Q404"/>
  <c r="S404"/>
  <c r="T539"/>
  <c r="V404"/>
  <c r="C539"/>
  <c r="D539"/>
  <c r="F539"/>
  <c r="G539"/>
  <c r="H539"/>
  <c r="J539"/>
  <c r="K539"/>
  <c r="N539"/>
  <c r="O539"/>
  <c r="P539"/>
  <c r="R539"/>
  <c r="S539"/>
  <c r="U539"/>
  <c r="E404"/>
  <c r="F404"/>
  <c r="H404"/>
  <c r="J404"/>
  <c r="O404"/>
  <c r="R404"/>
  <c r="T404"/>
  <c r="U404"/>
  <c r="E539"/>
  <c r="I539"/>
  <c r="L539"/>
  <c r="M539"/>
  <c r="Q539"/>
  <c r="W404"/>
  <c r="V539"/>
  <c r="W539"/>
  <c r="X404"/>
  <c r="Y404"/>
  <c r="X539"/>
  <c r="Z404"/>
  <c r="Y539"/>
  <c r="AA404"/>
  <c r="Z539"/>
  <c r="AB404"/>
  <c r="AA539"/>
  <c r="AC404"/>
  <c r="AB539"/>
  <c r="AD404"/>
  <c r="AC539"/>
  <c r="AE404"/>
  <c r="AD539"/>
  <c r="AF404"/>
  <c r="AE539"/>
  <c r="AG404"/>
  <c r="AF539"/>
  <c r="AG539"/>
  <c r="AH404"/>
  <c r="AI404"/>
  <c r="AH539"/>
  <c r="AJ404"/>
  <c r="AI539"/>
  <c r="AJ539"/>
  <c r="AK404"/>
  <c r="AK539"/>
  <c r="AL404"/>
  <c r="AM404"/>
  <c r="AL539"/>
  <c r="AN404"/>
  <c r="AM539"/>
  <c r="AP237"/>
  <c r="AP202"/>
  <c r="AP48"/>
  <c r="AN236"/>
  <c r="AN201"/>
  <c r="AN204" s="1"/>
  <c r="AN47"/>
  <c r="AN49" s="1"/>
  <c r="AO107"/>
  <c r="AO20"/>
  <c r="AN267"/>
  <c r="AN268" s="1"/>
  <c r="AP41"/>
  <c r="AP657"/>
  <c r="AP688"/>
  <c r="AN481"/>
  <c r="AN513"/>
  <c r="AN537"/>
  <c r="AN486"/>
  <c r="AN510"/>
  <c r="AN534"/>
  <c r="AO404"/>
  <c r="AO400"/>
  <c r="AO376"/>
  <c r="AO372"/>
  <c r="AO487"/>
  <c r="AO483"/>
  <c r="AO405"/>
  <c r="AO401"/>
  <c r="AO397"/>
  <c r="AO377"/>
  <c r="AO373"/>
  <c r="AO353"/>
  <c r="AO349"/>
  <c r="AO345"/>
  <c r="B621" i="7"/>
  <c r="AP63"/>
  <c r="AP309"/>
  <c r="AE66"/>
  <c r="AE72" s="1"/>
  <c r="AC66"/>
  <c r="AC72" s="1"/>
  <c r="AA66"/>
  <c r="AA72" s="1"/>
  <c r="B590"/>
  <c r="AP283"/>
  <c r="AP195"/>
  <c r="AP156"/>
  <c r="AP52"/>
  <c r="AP194"/>
  <c r="AP155"/>
  <c r="AP51"/>
  <c r="AP523"/>
  <c r="AP192"/>
  <c r="AP153"/>
  <c r="AP49"/>
  <c r="D651"/>
  <c r="D661" s="1"/>
  <c r="D633" s="1"/>
  <c r="D65" s="1"/>
  <c r="C651"/>
  <c r="E651"/>
  <c r="E661" s="1"/>
  <c r="E633" s="1"/>
  <c r="E65" s="1"/>
  <c r="F651"/>
  <c r="F661" s="1"/>
  <c r="F633" s="1"/>
  <c r="F65" s="1"/>
  <c r="G651"/>
  <c r="G661" s="1"/>
  <c r="G633" s="1"/>
  <c r="G65" s="1"/>
  <c r="H651"/>
  <c r="H661" s="1"/>
  <c r="H633" s="1"/>
  <c r="H65" s="1"/>
  <c r="I651"/>
  <c r="I661" s="1"/>
  <c r="I633" s="1"/>
  <c r="I65" s="1"/>
  <c r="J651"/>
  <c r="J661" s="1"/>
  <c r="J633" s="1"/>
  <c r="J65" s="1"/>
  <c r="K651"/>
  <c r="K661" s="1"/>
  <c r="K633" s="1"/>
  <c r="K65" s="1"/>
  <c r="L651"/>
  <c r="L661" s="1"/>
  <c r="L633" s="1"/>
  <c r="L65" s="1"/>
  <c r="M651"/>
  <c r="M661" s="1"/>
  <c r="M633" s="1"/>
  <c r="M65" s="1"/>
  <c r="N651"/>
  <c r="N661" s="1"/>
  <c r="N633" s="1"/>
  <c r="N65" s="1"/>
  <c r="O651"/>
  <c r="O661" s="1"/>
  <c r="O633" s="1"/>
  <c r="O65" s="1"/>
  <c r="P651"/>
  <c r="P661" s="1"/>
  <c r="P633" s="1"/>
  <c r="P65" s="1"/>
  <c r="Q651"/>
  <c r="Q661" s="1"/>
  <c r="Q633" s="1"/>
  <c r="Q65" s="1"/>
  <c r="R651"/>
  <c r="R661" s="1"/>
  <c r="R633" s="1"/>
  <c r="R65" s="1"/>
  <c r="S651"/>
  <c r="S661" s="1"/>
  <c r="S633" s="1"/>
  <c r="S65" s="1"/>
  <c r="T651"/>
  <c r="T661" s="1"/>
  <c r="T633" s="1"/>
  <c r="T65" s="1"/>
  <c r="U651"/>
  <c r="U661" s="1"/>
  <c r="U633" s="1"/>
  <c r="U65" s="1"/>
  <c r="V651"/>
  <c r="V661" s="1"/>
  <c r="V633" s="1"/>
  <c r="V65" s="1"/>
  <c r="T460"/>
  <c r="T470" s="1"/>
  <c r="U325"/>
  <c r="U335" s="1"/>
  <c r="C460"/>
  <c r="D460"/>
  <c r="D470" s="1"/>
  <c r="E460"/>
  <c r="E470" s="1"/>
  <c r="H460"/>
  <c r="H470" s="1"/>
  <c r="I460"/>
  <c r="I470" s="1"/>
  <c r="M460"/>
  <c r="M470" s="1"/>
  <c r="O460"/>
  <c r="O470" s="1"/>
  <c r="R460"/>
  <c r="R470" s="1"/>
  <c r="C325"/>
  <c r="D325"/>
  <c r="D335" s="1"/>
  <c r="E325"/>
  <c r="E335" s="1"/>
  <c r="F325"/>
  <c r="F335" s="1"/>
  <c r="G325"/>
  <c r="G335" s="1"/>
  <c r="I325"/>
  <c r="I335" s="1"/>
  <c r="J325"/>
  <c r="J335" s="1"/>
  <c r="O325"/>
  <c r="O335" s="1"/>
  <c r="P325"/>
  <c r="P335" s="1"/>
  <c r="Q325"/>
  <c r="Q335" s="1"/>
  <c r="F460"/>
  <c r="F470" s="1"/>
  <c r="G460"/>
  <c r="G470" s="1"/>
  <c r="J460"/>
  <c r="J470" s="1"/>
  <c r="K460"/>
  <c r="K470" s="1"/>
  <c r="L460"/>
  <c r="L470" s="1"/>
  <c r="N460"/>
  <c r="N470" s="1"/>
  <c r="P460"/>
  <c r="P470" s="1"/>
  <c r="Q460"/>
  <c r="Q470" s="1"/>
  <c r="S460"/>
  <c r="S470" s="1"/>
  <c r="U460"/>
  <c r="U470" s="1"/>
  <c r="H325"/>
  <c r="H335" s="1"/>
  <c r="K325"/>
  <c r="K335" s="1"/>
  <c r="L325"/>
  <c r="L335" s="1"/>
  <c r="M325"/>
  <c r="M335" s="1"/>
  <c r="N325"/>
  <c r="N335" s="1"/>
  <c r="R325"/>
  <c r="R335" s="1"/>
  <c r="S325"/>
  <c r="S335" s="1"/>
  <c r="T325"/>
  <c r="T335" s="1"/>
  <c r="V325"/>
  <c r="V335" s="1"/>
  <c r="W325"/>
  <c r="W335" s="1"/>
  <c r="V460"/>
  <c r="V470" s="1"/>
  <c r="X325"/>
  <c r="X335" s="1"/>
  <c r="W460"/>
  <c r="W470" s="1"/>
  <c r="X460"/>
  <c r="X470" s="1"/>
  <c r="Y325"/>
  <c r="Y335" s="1"/>
  <c r="Z325"/>
  <c r="Z335" s="1"/>
  <c r="Y460"/>
  <c r="Y470" s="1"/>
  <c r="AA325"/>
  <c r="AA335" s="1"/>
  <c r="Z460"/>
  <c r="Z470" s="1"/>
  <c r="AA460"/>
  <c r="AA470" s="1"/>
  <c r="AB325"/>
  <c r="AB335" s="1"/>
  <c r="AB460"/>
  <c r="AB470" s="1"/>
  <c r="AC325"/>
  <c r="AC335" s="1"/>
  <c r="AD325"/>
  <c r="AD335" s="1"/>
  <c r="AC460"/>
  <c r="AC470" s="1"/>
  <c r="AE325"/>
  <c r="AE335" s="1"/>
  <c r="AD460"/>
  <c r="AD470" s="1"/>
  <c r="AE460"/>
  <c r="AE470" s="1"/>
  <c r="AF325"/>
  <c r="AF335" s="1"/>
  <c r="AG325"/>
  <c r="AG335" s="1"/>
  <c r="AF460"/>
  <c r="AF470" s="1"/>
  <c r="AG460"/>
  <c r="AG470" s="1"/>
  <c r="AH325"/>
  <c r="AH335" s="1"/>
  <c r="AH460"/>
  <c r="AH470" s="1"/>
  <c r="AI325"/>
  <c r="AI335" s="1"/>
  <c r="AJ325"/>
  <c r="AJ335" s="1"/>
  <c r="AI460"/>
  <c r="AI470" s="1"/>
  <c r="AK325"/>
  <c r="AK335" s="1"/>
  <c r="AJ460"/>
  <c r="AJ470" s="1"/>
  <c r="AL325"/>
  <c r="AL335" s="1"/>
  <c r="AK460"/>
  <c r="AK470" s="1"/>
  <c r="AM325"/>
  <c r="AM335" s="1"/>
  <c r="AL460"/>
  <c r="AL470" s="1"/>
  <c r="AN325"/>
  <c r="AN335" s="1"/>
  <c r="AM460"/>
  <c r="AM470" s="1"/>
  <c r="AO325"/>
  <c r="AO335" s="1"/>
  <c r="AN460"/>
  <c r="AN470" s="1"/>
  <c r="AP540"/>
  <c r="AP80"/>
  <c r="AP81" s="1"/>
  <c r="AM168"/>
  <c r="AM107"/>
  <c r="AO164"/>
  <c r="AO128"/>
  <c r="AO132" s="1"/>
  <c r="AO47"/>
  <c r="AO418"/>
  <c r="AO470"/>
  <c r="AP629"/>
  <c r="AP601" s="1"/>
  <c r="AP64" s="1"/>
  <c r="B333"/>
  <c r="B468"/>
  <c r="B331"/>
  <c r="B466"/>
  <c r="B464"/>
  <c r="B462"/>
  <c r="B327"/>
  <c r="B307"/>
  <c r="B442"/>
  <c r="B305"/>
  <c r="B436"/>
  <c r="B416"/>
  <c r="B281"/>
  <c r="B277"/>
  <c r="AL66"/>
  <c r="AL72" s="1"/>
  <c r="AL82" s="1"/>
  <c r="AL87" s="1"/>
  <c r="AH66"/>
  <c r="AH72" s="1"/>
  <c r="AH82" s="1"/>
  <c r="AH87" s="1"/>
  <c r="AP71"/>
  <c r="AP325"/>
  <c r="AP335" s="1"/>
  <c r="AO53"/>
  <c r="AO196"/>
  <c r="AO197" s="1"/>
  <c r="AO434"/>
  <c r="AO444" s="1"/>
  <c r="B469"/>
  <c r="B334"/>
  <c r="B467"/>
  <c r="B330"/>
  <c r="B328"/>
  <c r="B461"/>
  <c r="B308"/>
  <c r="B443"/>
  <c r="B306"/>
  <c r="B441"/>
  <c r="B439"/>
  <c r="B302"/>
  <c r="B300"/>
  <c r="B282"/>
  <c r="B417"/>
  <c r="B415"/>
  <c r="AO66"/>
  <c r="AO72" s="1"/>
  <c r="AM66"/>
  <c r="AM72" s="1"/>
  <c r="AM82" s="1"/>
  <c r="AM87" s="1"/>
  <c r="B411"/>
  <c r="Z66"/>
  <c r="Z72" s="1"/>
  <c r="X66"/>
  <c r="X72" s="1"/>
  <c r="AP105"/>
  <c r="AP193"/>
  <c r="AP154"/>
  <c r="AP50"/>
  <c r="D619"/>
  <c r="D629" s="1"/>
  <c r="D601" s="1"/>
  <c r="D64" s="1"/>
  <c r="C619"/>
  <c r="E619"/>
  <c r="E629" s="1"/>
  <c r="E601" s="1"/>
  <c r="E64" s="1"/>
  <c r="F619"/>
  <c r="F629" s="1"/>
  <c r="F601" s="1"/>
  <c r="F64" s="1"/>
  <c r="G619"/>
  <c r="G629" s="1"/>
  <c r="G601" s="1"/>
  <c r="G64" s="1"/>
  <c r="H619"/>
  <c r="H629" s="1"/>
  <c r="H601" s="1"/>
  <c r="H64" s="1"/>
  <c r="I619"/>
  <c r="I629" s="1"/>
  <c r="I601" s="1"/>
  <c r="I64" s="1"/>
  <c r="J619"/>
  <c r="J629" s="1"/>
  <c r="J601" s="1"/>
  <c r="J64" s="1"/>
  <c r="K619"/>
  <c r="K629" s="1"/>
  <c r="K601" s="1"/>
  <c r="K64" s="1"/>
  <c r="L619"/>
  <c r="L629" s="1"/>
  <c r="L601" s="1"/>
  <c r="L64" s="1"/>
  <c r="M619"/>
  <c r="M629" s="1"/>
  <c r="M601" s="1"/>
  <c r="N619"/>
  <c r="N629" s="1"/>
  <c r="N601" s="1"/>
  <c r="O619"/>
  <c r="O629" s="1"/>
  <c r="O601" s="1"/>
  <c r="P619"/>
  <c r="P629" s="1"/>
  <c r="P601" s="1"/>
  <c r="Q619"/>
  <c r="Q629" s="1"/>
  <c r="Q601" s="1"/>
  <c r="U299"/>
  <c r="U309" s="1"/>
  <c r="T434"/>
  <c r="T444" s="1"/>
  <c r="V299"/>
  <c r="V309" s="1"/>
  <c r="D434"/>
  <c r="D444" s="1"/>
  <c r="C434"/>
  <c r="E434"/>
  <c r="E444" s="1"/>
  <c r="F434"/>
  <c r="F444" s="1"/>
  <c r="H434"/>
  <c r="H444" s="1"/>
  <c r="I434"/>
  <c r="I444" s="1"/>
  <c r="M434"/>
  <c r="M444" s="1"/>
  <c r="O434"/>
  <c r="O444" s="1"/>
  <c r="R434"/>
  <c r="R444" s="1"/>
  <c r="S434"/>
  <c r="S444" s="1"/>
  <c r="U434"/>
  <c r="U444" s="1"/>
  <c r="D299"/>
  <c r="D309" s="1"/>
  <c r="E299"/>
  <c r="E309" s="1"/>
  <c r="H299"/>
  <c r="H309" s="1"/>
  <c r="I299"/>
  <c r="I309" s="1"/>
  <c r="K299"/>
  <c r="K309" s="1"/>
  <c r="L299"/>
  <c r="L309" s="1"/>
  <c r="M299"/>
  <c r="M309" s="1"/>
  <c r="N299"/>
  <c r="N309" s="1"/>
  <c r="P299"/>
  <c r="P309" s="1"/>
  <c r="Q299"/>
  <c r="Q309" s="1"/>
  <c r="G434"/>
  <c r="G444" s="1"/>
  <c r="J434"/>
  <c r="J444" s="1"/>
  <c r="K434"/>
  <c r="K444" s="1"/>
  <c r="L434"/>
  <c r="L444" s="1"/>
  <c r="N434"/>
  <c r="N444" s="1"/>
  <c r="P434"/>
  <c r="P444" s="1"/>
  <c r="Q434"/>
  <c r="Q444" s="1"/>
  <c r="C299"/>
  <c r="F299"/>
  <c r="F309" s="1"/>
  <c r="G299"/>
  <c r="G309" s="1"/>
  <c r="J299"/>
  <c r="J309" s="1"/>
  <c r="O299"/>
  <c r="O309" s="1"/>
  <c r="S299"/>
  <c r="S309" s="1"/>
  <c r="R299"/>
  <c r="R309" s="1"/>
  <c r="T299"/>
  <c r="T309" s="1"/>
  <c r="V434"/>
  <c r="V444" s="1"/>
  <c r="W299"/>
  <c r="W309" s="1"/>
  <c r="X299"/>
  <c r="X309" s="1"/>
  <c r="W434"/>
  <c r="W444" s="1"/>
  <c r="Y299"/>
  <c r="Y309" s="1"/>
  <c r="X434"/>
  <c r="X444" s="1"/>
  <c r="Y434"/>
  <c r="Y444" s="1"/>
  <c r="Z299"/>
  <c r="Z309" s="1"/>
  <c r="AA299"/>
  <c r="AA309" s="1"/>
  <c r="Z434"/>
  <c r="Z444" s="1"/>
  <c r="AB299"/>
  <c r="AB309" s="1"/>
  <c r="AA434"/>
  <c r="AA444" s="1"/>
  <c r="AC299"/>
  <c r="AC309" s="1"/>
  <c r="AB434"/>
  <c r="AB444" s="1"/>
  <c r="AC434"/>
  <c r="AC444" s="1"/>
  <c r="AD299"/>
  <c r="AD309" s="1"/>
  <c r="AE299"/>
  <c r="AE309" s="1"/>
  <c r="AD434"/>
  <c r="AD444" s="1"/>
  <c r="AF299"/>
  <c r="AF309" s="1"/>
  <c r="AE434"/>
  <c r="AE444" s="1"/>
  <c r="AG299"/>
  <c r="AG309" s="1"/>
  <c r="AF434"/>
  <c r="AF444" s="1"/>
  <c r="AG434"/>
  <c r="AG444" s="1"/>
  <c r="AH299"/>
  <c r="AH309" s="1"/>
  <c r="AI299"/>
  <c r="AI309" s="1"/>
  <c r="AH434"/>
  <c r="AH444" s="1"/>
  <c r="AI434"/>
  <c r="AI444" s="1"/>
  <c r="AJ299"/>
  <c r="AJ309" s="1"/>
  <c r="AK299"/>
  <c r="AK309" s="1"/>
  <c r="AJ434"/>
  <c r="AJ444" s="1"/>
  <c r="AL299"/>
  <c r="AL309" s="1"/>
  <c r="AK434"/>
  <c r="AK444" s="1"/>
  <c r="AL434"/>
  <c r="AL444" s="1"/>
  <c r="AM299"/>
  <c r="AM309" s="1"/>
  <c r="AM434"/>
  <c r="AM444" s="1"/>
  <c r="AN299"/>
  <c r="AN309" s="1"/>
  <c r="AO299"/>
  <c r="AO309" s="1"/>
  <c r="AN434"/>
  <c r="AN444" s="1"/>
  <c r="D587"/>
  <c r="D597" s="1"/>
  <c r="D569" s="1"/>
  <c r="C587"/>
  <c r="E587"/>
  <c r="E597" s="1"/>
  <c r="E569" s="1"/>
  <c r="F587"/>
  <c r="F597" s="1"/>
  <c r="F569" s="1"/>
  <c r="G587"/>
  <c r="G597" s="1"/>
  <c r="G569" s="1"/>
  <c r="H587"/>
  <c r="H597" s="1"/>
  <c r="H569" s="1"/>
  <c r="I587"/>
  <c r="I597" s="1"/>
  <c r="I569" s="1"/>
  <c r="J587"/>
  <c r="J597" s="1"/>
  <c r="J569" s="1"/>
  <c r="K587"/>
  <c r="K597" s="1"/>
  <c r="K569" s="1"/>
  <c r="L587"/>
  <c r="L597" s="1"/>
  <c r="L569" s="1"/>
  <c r="M587"/>
  <c r="M597" s="1"/>
  <c r="M569" s="1"/>
  <c r="M63" s="1"/>
  <c r="N587"/>
  <c r="N597" s="1"/>
  <c r="N569" s="1"/>
  <c r="N63" s="1"/>
  <c r="U273"/>
  <c r="U283" s="1"/>
  <c r="T408"/>
  <c r="T418" s="1"/>
  <c r="C408"/>
  <c r="E408"/>
  <c r="E418" s="1"/>
  <c r="G408"/>
  <c r="G418" s="1"/>
  <c r="H408"/>
  <c r="H418" s="1"/>
  <c r="L408"/>
  <c r="L418" s="1"/>
  <c r="K408"/>
  <c r="K418" s="1"/>
  <c r="M408"/>
  <c r="M418" s="1"/>
  <c r="P408"/>
  <c r="P418" s="1"/>
  <c r="K273"/>
  <c r="K283" s="1"/>
  <c r="L273"/>
  <c r="L283" s="1"/>
  <c r="M273"/>
  <c r="M283" s="1"/>
  <c r="P273"/>
  <c r="P283" s="1"/>
  <c r="T273"/>
  <c r="T283" s="1"/>
  <c r="V273"/>
  <c r="V283" s="1"/>
  <c r="D408"/>
  <c r="D418" s="1"/>
  <c r="F408"/>
  <c r="F418" s="1"/>
  <c r="I408"/>
  <c r="I418" s="1"/>
  <c r="J408"/>
  <c r="J418" s="1"/>
  <c r="N408"/>
  <c r="N418" s="1"/>
  <c r="O408"/>
  <c r="O418" s="1"/>
  <c r="Q408"/>
  <c r="Q418" s="1"/>
  <c r="R408"/>
  <c r="R418" s="1"/>
  <c r="S408"/>
  <c r="S418" s="1"/>
  <c r="U408"/>
  <c r="U418" s="1"/>
  <c r="C273"/>
  <c r="D273"/>
  <c r="D283" s="1"/>
  <c r="E273"/>
  <c r="E283" s="1"/>
  <c r="F273"/>
  <c r="F283" s="1"/>
  <c r="G273"/>
  <c r="G283" s="1"/>
  <c r="H273"/>
  <c r="H283" s="1"/>
  <c r="I273"/>
  <c r="I283" s="1"/>
  <c r="J273"/>
  <c r="J283" s="1"/>
  <c r="N273"/>
  <c r="N283" s="1"/>
  <c r="O273"/>
  <c r="O283" s="1"/>
  <c r="Q273"/>
  <c r="Q283" s="1"/>
  <c r="S273"/>
  <c r="S283" s="1"/>
  <c r="R273"/>
  <c r="R283" s="1"/>
  <c r="V408"/>
  <c r="V418" s="1"/>
  <c r="W273"/>
  <c r="W283" s="1"/>
  <c r="X273"/>
  <c r="X283" s="1"/>
  <c r="W408"/>
  <c r="W418" s="1"/>
  <c r="Y273"/>
  <c r="Y283" s="1"/>
  <c r="X408"/>
  <c r="X418" s="1"/>
  <c r="Z273"/>
  <c r="Z283" s="1"/>
  <c r="Y408"/>
  <c r="Y418" s="1"/>
  <c r="AA273"/>
  <c r="AA283" s="1"/>
  <c r="Z408"/>
  <c r="Z418" s="1"/>
  <c r="AA408"/>
  <c r="AA418" s="1"/>
  <c r="AB273"/>
  <c r="AB283" s="1"/>
  <c r="AB408"/>
  <c r="AB418" s="1"/>
  <c r="AC273"/>
  <c r="AC283" s="1"/>
  <c r="AD273"/>
  <c r="AD283" s="1"/>
  <c r="AC408"/>
  <c r="AC418" s="1"/>
  <c r="AE273"/>
  <c r="AE283" s="1"/>
  <c r="AD408"/>
  <c r="AD418" s="1"/>
  <c r="AE408"/>
  <c r="AE418" s="1"/>
  <c r="AF273"/>
  <c r="AF283" s="1"/>
  <c r="AG273"/>
  <c r="AG283" s="1"/>
  <c r="AF408"/>
  <c r="AF418" s="1"/>
  <c r="AH273"/>
  <c r="AH283" s="1"/>
  <c r="AG408"/>
  <c r="AG418" s="1"/>
  <c r="AI273"/>
  <c r="AI283" s="1"/>
  <c r="AH408"/>
  <c r="AH418" s="1"/>
  <c r="AJ273"/>
  <c r="AJ283" s="1"/>
  <c r="AI408"/>
  <c r="AI418" s="1"/>
  <c r="AJ408"/>
  <c r="AJ418" s="1"/>
  <c r="AK273"/>
  <c r="AK283" s="1"/>
  <c r="AL273"/>
  <c r="AL283" s="1"/>
  <c r="AK408"/>
  <c r="AK418" s="1"/>
  <c r="AL408"/>
  <c r="AL418" s="1"/>
  <c r="AM273"/>
  <c r="AM283" s="1"/>
  <c r="AN273"/>
  <c r="AN283" s="1"/>
  <c r="AM408"/>
  <c r="AM418" s="1"/>
  <c r="AN408"/>
  <c r="AN418" s="1"/>
  <c r="AO273"/>
  <c r="AO283" s="1"/>
  <c r="AP119"/>
  <c r="B122" s="1"/>
  <c r="AP20"/>
  <c r="AP43" s="1"/>
  <c r="B120"/>
  <c r="B329"/>
  <c r="B440"/>
  <c r="B303"/>
  <c r="B438"/>
  <c r="B301"/>
  <c r="B279"/>
  <c r="B414"/>
  <c r="B412"/>
  <c r="AK66"/>
  <c r="AK72" s="1"/>
  <c r="AK82" s="1"/>
  <c r="AK87" s="1"/>
  <c r="AJ66"/>
  <c r="AJ72" s="1"/>
  <c r="AJ82" s="1"/>
  <c r="AJ87" s="1"/>
  <c r="AI66"/>
  <c r="AI72" s="1"/>
  <c r="AI82" s="1"/>
  <c r="AI87" s="1"/>
  <c r="AG66"/>
  <c r="AG72" s="1"/>
  <c r="AG82" s="1"/>
  <c r="AG87" s="1"/>
  <c r="B410"/>
  <c r="B275"/>
  <c r="AP460"/>
  <c r="AP470" s="1"/>
  <c r="AP408"/>
  <c r="AP418" s="1"/>
  <c r="AO157"/>
  <c r="AO158" s="1"/>
  <c r="AP65"/>
  <c r="B332"/>
  <c r="B465"/>
  <c r="B463"/>
  <c r="B326"/>
  <c r="B304"/>
  <c r="B437"/>
  <c r="B435"/>
  <c r="B280"/>
  <c r="B278"/>
  <c r="B413"/>
  <c r="AN66"/>
  <c r="AN72" s="1"/>
  <c r="B276"/>
  <c r="Y66"/>
  <c r="Y72" s="1"/>
  <c r="B274"/>
  <c r="W66"/>
  <c r="W72" s="1"/>
  <c r="B409"/>
  <c r="AP434"/>
  <c r="AP444" s="1"/>
  <c r="G466" i="2"/>
  <c r="D270"/>
  <c r="D271" s="1"/>
  <c r="E15"/>
  <c r="E50"/>
  <c r="E228"/>
  <c r="E267"/>
  <c r="E17"/>
  <c r="E52"/>
  <c r="E230"/>
  <c r="E269"/>
  <c r="F71"/>
  <c r="G364"/>
  <c r="G499" s="1"/>
  <c r="G723"/>
  <c r="G708" s="1"/>
  <c r="G70" s="1"/>
  <c r="G362"/>
  <c r="G497" s="1"/>
  <c r="G367"/>
  <c r="G502" s="1"/>
  <c r="G365"/>
  <c r="G500" s="1"/>
  <c r="G366"/>
  <c r="G501" s="1"/>
  <c r="G361"/>
  <c r="G496" s="1"/>
  <c r="G363"/>
  <c r="G498" s="1"/>
  <c r="G369"/>
  <c r="G504" s="1"/>
  <c r="G370"/>
  <c r="G505" s="1"/>
  <c r="H5"/>
  <c r="H721"/>
  <c r="H395" s="1"/>
  <c r="H530" s="1"/>
  <c r="H719"/>
  <c r="H393" s="1"/>
  <c r="H528" s="1"/>
  <c r="H717"/>
  <c r="H391" s="1"/>
  <c r="H526" s="1"/>
  <c r="H715"/>
  <c r="H389" s="1"/>
  <c r="H524" s="1"/>
  <c r="H713"/>
  <c r="H387" s="1"/>
  <c r="H522" s="1"/>
  <c r="H689"/>
  <c r="H369" s="1"/>
  <c r="H504" s="1"/>
  <c r="H722"/>
  <c r="H396" s="1"/>
  <c r="H531" s="1"/>
  <c r="H720"/>
  <c r="H394" s="1"/>
  <c r="H529" s="1"/>
  <c r="H718"/>
  <c r="H392" s="1"/>
  <c r="H527" s="1"/>
  <c r="H716"/>
  <c r="H390" s="1"/>
  <c r="H525" s="1"/>
  <c r="H714"/>
  <c r="H388" s="1"/>
  <c r="H523" s="1"/>
  <c r="H690"/>
  <c r="H370" s="1"/>
  <c r="H505" s="1"/>
  <c r="H687"/>
  <c r="H685"/>
  <c r="H365" s="1"/>
  <c r="H500" s="1"/>
  <c r="H683"/>
  <c r="H363" s="1"/>
  <c r="H498" s="1"/>
  <c r="H681"/>
  <c r="H657"/>
  <c r="H344" s="1"/>
  <c r="H478" s="1"/>
  <c r="H655"/>
  <c r="H342" s="1"/>
  <c r="H476" s="1"/>
  <c r="H653"/>
  <c r="H340" s="1"/>
  <c r="H474" s="1"/>
  <c r="H651"/>
  <c r="H338" s="1"/>
  <c r="H472" s="1"/>
  <c r="H649"/>
  <c r="H336" s="1"/>
  <c r="H470" s="1"/>
  <c r="H728"/>
  <c r="H729"/>
  <c r="H731"/>
  <c r="H733"/>
  <c r="H688"/>
  <c r="H686"/>
  <c r="H366" s="1"/>
  <c r="H501" s="1"/>
  <c r="H682"/>
  <c r="H658"/>
  <c r="H345" s="1"/>
  <c r="H479" s="1"/>
  <c r="H654"/>
  <c r="H341" s="1"/>
  <c r="H475" s="1"/>
  <c r="H684"/>
  <c r="H656"/>
  <c r="H343" s="1"/>
  <c r="H477" s="1"/>
  <c r="H652"/>
  <c r="H339" s="1"/>
  <c r="H473" s="1"/>
  <c r="H727"/>
  <c r="H732"/>
  <c r="H730"/>
  <c r="H694"/>
  <c r="H696"/>
  <c r="H698"/>
  <c r="H700"/>
  <c r="H702"/>
  <c r="H650"/>
  <c r="H734"/>
  <c r="H695"/>
  <c r="H697"/>
  <c r="H699"/>
  <c r="H701"/>
  <c r="G691"/>
  <c r="G676" s="1"/>
  <c r="G69" s="1"/>
  <c r="D231"/>
  <c r="D232" s="1"/>
  <c r="H548"/>
  <c r="H549" s="1"/>
  <c r="H554"/>
  <c r="H555" s="1"/>
  <c r="H601"/>
  <c r="H602" s="1"/>
  <c r="H608"/>
  <c r="I11"/>
  <c r="H314"/>
  <c r="H316"/>
  <c r="H318"/>
  <c r="H447"/>
  <c r="H449"/>
  <c r="H451"/>
  <c r="H313"/>
  <c r="H317"/>
  <c r="H448"/>
  <c r="H452"/>
  <c r="H315"/>
  <c r="H450"/>
  <c r="F117"/>
  <c r="H19"/>
  <c r="E116"/>
  <c r="G639"/>
  <c r="H636" s="1"/>
  <c r="H664"/>
  <c r="H665"/>
  <c r="H666"/>
  <c r="H667"/>
  <c r="H668"/>
  <c r="H669"/>
  <c r="H670"/>
  <c r="H662"/>
  <c r="H663"/>
  <c r="E105"/>
  <c r="H465"/>
  <c r="G332"/>
  <c r="H331"/>
  <c r="G342"/>
  <c r="G476" s="1"/>
  <c r="G341"/>
  <c r="G475" s="1"/>
  <c r="G336"/>
  <c r="G470" s="1"/>
  <c r="G343"/>
  <c r="G477" s="1"/>
  <c r="G345"/>
  <c r="G479" s="1"/>
  <c r="G338"/>
  <c r="G472" s="1"/>
  <c r="G340"/>
  <c r="G474" s="1"/>
  <c r="G339"/>
  <c r="G473" s="1"/>
  <c r="G344"/>
  <c r="G478" s="1"/>
  <c r="G337"/>
  <c r="G471" s="1"/>
  <c r="G659"/>
  <c r="G644" s="1"/>
  <c r="G68" s="1"/>
  <c r="H638"/>
  <c r="F550"/>
  <c r="F551" s="1"/>
  <c r="F103" s="1"/>
  <c r="F244" s="1"/>
  <c r="F556"/>
  <c r="F557" s="1"/>
  <c r="F104" s="1"/>
  <c r="H23"/>
  <c r="H26"/>
  <c r="H30"/>
  <c r="E268"/>
  <c r="E229"/>
  <c r="E266"/>
  <c r="E227"/>
  <c r="E597"/>
  <c r="F590"/>
  <c r="F591" s="1"/>
  <c r="F51" s="1"/>
  <c r="F594"/>
  <c r="F595" s="1"/>
  <c r="F586"/>
  <c r="F587" s="1"/>
  <c r="F582"/>
  <c r="F583" s="1"/>
  <c r="H632"/>
  <c r="G27"/>
  <c r="G10"/>
  <c r="G12" s="1"/>
  <c r="I2"/>
  <c r="H25"/>
  <c r="F29"/>
  <c r="F31" s="1"/>
  <c r="B689" i="8" l="1"/>
  <c r="AN171" i="7"/>
  <c r="AN199" s="1"/>
  <c r="AN200" s="1"/>
  <c r="AN108" s="1"/>
  <c r="AM171"/>
  <c r="AM199" s="1"/>
  <c r="AM200" s="1"/>
  <c r="AM108" s="1"/>
  <c r="AM109" s="1"/>
  <c r="AM242" i="8"/>
  <c r="AM270" s="1"/>
  <c r="AM271" s="1"/>
  <c r="AM99" s="1"/>
  <c r="AL242"/>
  <c r="AL270" s="1"/>
  <c r="AL271" s="1"/>
  <c r="AL99" s="1"/>
  <c r="AL100" s="1"/>
  <c r="P64" i="7"/>
  <c r="P531"/>
  <c r="N64"/>
  <c r="N531"/>
  <c r="Q64"/>
  <c r="Q531"/>
  <c r="O64"/>
  <c r="O531"/>
  <c r="M64"/>
  <c r="M531"/>
  <c r="AN107"/>
  <c r="B695" i="8"/>
  <c r="AN82" i="7"/>
  <c r="AN87" s="1"/>
  <c r="AN96" s="1"/>
  <c r="B693" i="8"/>
  <c r="H466" i="2"/>
  <c r="I593"/>
  <c r="I589"/>
  <c r="I585"/>
  <c r="I581"/>
  <c r="AO43" i="8"/>
  <c r="AO236" s="1"/>
  <c r="Y697"/>
  <c r="Y669" s="1"/>
  <c r="Y57" s="1"/>
  <c r="B692"/>
  <c r="B688"/>
  <c r="AC58"/>
  <c r="AC64" s="1"/>
  <c r="B626"/>
  <c r="AF697"/>
  <c r="AF669" s="1"/>
  <c r="AF57" s="1"/>
  <c r="AD697"/>
  <c r="AD669" s="1"/>
  <c r="AD57" s="1"/>
  <c r="AB697"/>
  <c r="AB669" s="1"/>
  <c r="AB57" s="1"/>
  <c r="Z697"/>
  <c r="Z669" s="1"/>
  <c r="Z57" s="1"/>
  <c r="B691"/>
  <c r="K63" i="7"/>
  <c r="K531"/>
  <c r="I63"/>
  <c r="I531"/>
  <c r="G63"/>
  <c r="G531"/>
  <c r="E63"/>
  <c r="E531"/>
  <c r="D63"/>
  <c r="D531"/>
  <c r="B694" i="8"/>
  <c r="B690"/>
  <c r="L63" i="7"/>
  <c r="L531"/>
  <c r="J63"/>
  <c r="J531"/>
  <c r="H63"/>
  <c r="H531"/>
  <c r="F63"/>
  <c r="F531"/>
  <c r="B696" i="8"/>
  <c r="AG142" i="10"/>
  <c r="AG154" s="1"/>
  <c r="AG80"/>
  <c r="AG81" s="1"/>
  <c r="AG95" s="1"/>
  <c r="AN284"/>
  <c r="AN300" s="1"/>
  <c r="AN80"/>
  <c r="AN81" s="1"/>
  <c r="AN95" s="1"/>
  <c r="AI142"/>
  <c r="AI154" s="1"/>
  <c r="AI284"/>
  <c r="AI300" s="1"/>
  <c r="AI220"/>
  <c r="AM142"/>
  <c r="AM154" s="1"/>
  <c r="AM284"/>
  <c r="AM300" s="1"/>
  <c r="AM220"/>
  <c r="AM248" s="1"/>
  <c r="AH142"/>
  <c r="AH154" s="1"/>
  <c r="AH284"/>
  <c r="AH300" s="1"/>
  <c r="AH220"/>
  <c r="AH248" s="1"/>
  <c r="AK142"/>
  <c r="AK154" s="1"/>
  <c r="AK284"/>
  <c r="AK300" s="1"/>
  <c r="AK220"/>
  <c r="AK248" s="1"/>
  <c r="AL142"/>
  <c r="AL154" s="1"/>
  <c r="AL284"/>
  <c r="AL300" s="1"/>
  <c r="AL220"/>
  <c r="AL248" s="1"/>
  <c r="AJ142"/>
  <c r="AJ154" s="1"/>
  <c r="AJ284"/>
  <c r="AJ300" s="1"/>
  <c r="AJ220"/>
  <c r="AJ248" s="1"/>
  <c r="AH223"/>
  <c r="AH244" s="1"/>
  <c r="AH245" s="1"/>
  <c r="AH251" s="1"/>
  <c r="AG284"/>
  <c r="AG300" s="1"/>
  <c r="AG220"/>
  <c r="AG248" s="1"/>
  <c r="F49" i="2"/>
  <c r="F14"/>
  <c r="AO220" i="10"/>
  <c r="AO248" s="1"/>
  <c r="AO142"/>
  <c r="AO154" s="1"/>
  <c r="AN220"/>
  <c r="AN142"/>
  <c r="AN154" s="1"/>
  <c r="AI109"/>
  <c r="AI110" s="1"/>
  <c r="AI123" s="1"/>
  <c r="AH101"/>
  <c r="AG110"/>
  <c r="AG123" s="1"/>
  <c r="AK110"/>
  <c r="AK123" s="1"/>
  <c r="AL109"/>
  <c r="AJ101"/>
  <c r="AM101"/>
  <c r="AN110"/>
  <c r="AJ110"/>
  <c r="AJ123" s="1"/>
  <c r="AH110"/>
  <c r="AH123" s="1"/>
  <c r="AM110"/>
  <c r="AN123"/>
  <c r="AO109"/>
  <c r="AO284"/>
  <c r="AO300" s="1"/>
  <c r="AM123"/>
  <c r="C61"/>
  <c r="C684"/>
  <c r="D681" s="1"/>
  <c r="D684" s="1"/>
  <c r="E681" s="1"/>
  <c r="E684" s="1"/>
  <c r="F681" s="1"/>
  <c r="F684" s="1"/>
  <c r="G681" s="1"/>
  <c r="G684" s="1"/>
  <c r="H681" s="1"/>
  <c r="H684" s="1"/>
  <c r="I681" s="1"/>
  <c r="I684" s="1"/>
  <c r="J681" s="1"/>
  <c r="J684" s="1"/>
  <c r="K681" s="1"/>
  <c r="K684" s="1"/>
  <c r="L681" s="1"/>
  <c r="L684" s="1"/>
  <c r="M681" s="1"/>
  <c r="M684" s="1"/>
  <c r="N681" s="1"/>
  <c r="N684" s="1"/>
  <c r="O681" s="1"/>
  <c r="O684" s="1"/>
  <c r="P681" s="1"/>
  <c r="P684" s="1"/>
  <c r="Q681" s="1"/>
  <c r="Q684" s="1"/>
  <c r="R681" s="1"/>
  <c r="R684" s="1"/>
  <c r="S681" s="1"/>
  <c r="S684" s="1"/>
  <c r="T681" s="1"/>
  <c r="T684" s="1"/>
  <c r="U681" s="1"/>
  <c r="U684" s="1"/>
  <c r="V681" s="1"/>
  <c r="V684" s="1"/>
  <c r="W681" s="1"/>
  <c r="W684" s="1"/>
  <c r="X681" s="1"/>
  <c r="X684" s="1"/>
  <c r="Y681" s="1"/>
  <c r="Y684" s="1"/>
  <c r="Z681" s="1"/>
  <c r="Z684" s="1"/>
  <c r="AA681" s="1"/>
  <c r="AA684" s="1"/>
  <c r="AB681" s="1"/>
  <c r="AB684" s="1"/>
  <c r="AC681" s="1"/>
  <c r="AC684" s="1"/>
  <c r="AD681" s="1"/>
  <c r="AD684" s="1"/>
  <c r="AE681" s="1"/>
  <c r="AE684" s="1"/>
  <c r="AF681" s="1"/>
  <c r="AF684" s="1"/>
  <c r="AG681" s="1"/>
  <c r="AG684" s="1"/>
  <c r="AH681" s="1"/>
  <c r="AH684" s="1"/>
  <c r="AI681" s="1"/>
  <c r="AI684" s="1"/>
  <c r="AJ681" s="1"/>
  <c r="AJ684" s="1"/>
  <c r="AK681" s="1"/>
  <c r="AK684" s="1"/>
  <c r="AL681" s="1"/>
  <c r="AL684" s="1"/>
  <c r="AM681" s="1"/>
  <c r="AM684" s="1"/>
  <c r="AN681" s="1"/>
  <c r="AN684" s="1"/>
  <c r="AO681" s="1"/>
  <c r="AO684" s="1"/>
  <c r="AP681" s="1"/>
  <c r="AP684" s="1"/>
  <c r="C60"/>
  <c r="C652"/>
  <c r="C62"/>
  <c r="C716"/>
  <c r="D713" s="1"/>
  <c r="D716" s="1"/>
  <c r="E713" s="1"/>
  <c r="E716" s="1"/>
  <c r="F713" s="1"/>
  <c r="F716" s="1"/>
  <c r="G713" s="1"/>
  <c r="G716" s="1"/>
  <c r="H713" s="1"/>
  <c r="H716" s="1"/>
  <c r="I713" s="1"/>
  <c r="I716" s="1"/>
  <c r="J713" s="1"/>
  <c r="J716" s="1"/>
  <c r="K713" s="1"/>
  <c r="K716" s="1"/>
  <c r="L713" s="1"/>
  <c r="L716" s="1"/>
  <c r="M713" s="1"/>
  <c r="M716" s="1"/>
  <c r="N713" s="1"/>
  <c r="N716" s="1"/>
  <c r="O713" s="1"/>
  <c r="O716" s="1"/>
  <c r="P713" s="1"/>
  <c r="P716" s="1"/>
  <c r="Q713" s="1"/>
  <c r="Q716" s="1"/>
  <c r="R713" s="1"/>
  <c r="R716" s="1"/>
  <c r="S713" s="1"/>
  <c r="S716" s="1"/>
  <c r="T713" s="1"/>
  <c r="T716" s="1"/>
  <c r="U713" s="1"/>
  <c r="U716" s="1"/>
  <c r="V713" s="1"/>
  <c r="V716" s="1"/>
  <c r="W713" s="1"/>
  <c r="W716" s="1"/>
  <c r="X713" s="1"/>
  <c r="X716" s="1"/>
  <c r="Y713" s="1"/>
  <c r="Y716" s="1"/>
  <c r="Z713" s="1"/>
  <c r="Z716" s="1"/>
  <c r="AA713" s="1"/>
  <c r="AA716" s="1"/>
  <c r="AB713" s="1"/>
  <c r="AB716" s="1"/>
  <c r="AC713" s="1"/>
  <c r="AC716" s="1"/>
  <c r="AD713" s="1"/>
  <c r="AD716" s="1"/>
  <c r="AE713" s="1"/>
  <c r="AE716" s="1"/>
  <c r="AF713" s="1"/>
  <c r="AF716" s="1"/>
  <c r="AG713" s="1"/>
  <c r="AG716" s="1"/>
  <c r="AH713" s="1"/>
  <c r="AH716" s="1"/>
  <c r="AI713" s="1"/>
  <c r="AI716" s="1"/>
  <c r="AJ713" s="1"/>
  <c r="AJ716" s="1"/>
  <c r="AK713" s="1"/>
  <c r="AK716" s="1"/>
  <c r="AL713" s="1"/>
  <c r="AL716" s="1"/>
  <c r="AM713" s="1"/>
  <c r="AM716" s="1"/>
  <c r="AN713" s="1"/>
  <c r="AN716" s="1"/>
  <c r="AO713" s="1"/>
  <c r="AO716" s="1"/>
  <c r="AP713" s="1"/>
  <c r="AP716" s="1"/>
  <c r="AP48"/>
  <c r="AP50" s="1"/>
  <c r="AP74" s="1"/>
  <c r="AP76" s="1"/>
  <c r="AP80" s="1"/>
  <c r="AP81" s="1"/>
  <c r="AP95" s="1"/>
  <c r="AP18" i="8"/>
  <c r="AP20" s="1"/>
  <c r="AP43" s="1"/>
  <c r="B625"/>
  <c r="AO515"/>
  <c r="AE58"/>
  <c r="AE64" s="1"/>
  <c r="AD58"/>
  <c r="AD64" s="1"/>
  <c r="AB58"/>
  <c r="AB64" s="1"/>
  <c r="AA58"/>
  <c r="AA64" s="1"/>
  <c r="AM98"/>
  <c r="AP354"/>
  <c r="AO479"/>
  <c r="AO489" s="1"/>
  <c r="B657"/>
  <c r="AP633"/>
  <c r="AP605" s="1"/>
  <c r="AP55" s="1"/>
  <c r="AN232"/>
  <c r="AN233" s="1"/>
  <c r="AN98" s="1"/>
  <c r="AF58"/>
  <c r="AF64" s="1"/>
  <c r="B656"/>
  <c r="B624"/>
  <c r="AP96"/>
  <c r="C687"/>
  <c r="D687"/>
  <c r="D697" s="1"/>
  <c r="D669" s="1"/>
  <c r="D57" s="1"/>
  <c r="E687"/>
  <c r="E697" s="1"/>
  <c r="E669" s="1"/>
  <c r="E57" s="1"/>
  <c r="F687"/>
  <c r="F697" s="1"/>
  <c r="F669" s="1"/>
  <c r="F57" s="1"/>
  <c r="G687"/>
  <c r="G697" s="1"/>
  <c r="G669" s="1"/>
  <c r="G57" s="1"/>
  <c r="H687"/>
  <c r="H697" s="1"/>
  <c r="H669" s="1"/>
  <c r="H57" s="1"/>
  <c r="I687"/>
  <c r="I697" s="1"/>
  <c r="I669" s="1"/>
  <c r="I57" s="1"/>
  <c r="J687"/>
  <c r="J697" s="1"/>
  <c r="J669" s="1"/>
  <c r="J57" s="1"/>
  <c r="K687"/>
  <c r="K697" s="1"/>
  <c r="K669" s="1"/>
  <c r="K57" s="1"/>
  <c r="L687"/>
  <c r="L697" s="1"/>
  <c r="L669" s="1"/>
  <c r="L57" s="1"/>
  <c r="M687"/>
  <c r="M697" s="1"/>
  <c r="M669" s="1"/>
  <c r="M57" s="1"/>
  <c r="N687"/>
  <c r="N697" s="1"/>
  <c r="N669" s="1"/>
  <c r="N57" s="1"/>
  <c r="O687"/>
  <c r="O697" s="1"/>
  <c r="O669" s="1"/>
  <c r="O57" s="1"/>
  <c r="P687"/>
  <c r="P697" s="1"/>
  <c r="P669" s="1"/>
  <c r="P57" s="1"/>
  <c r="Q687"/>
  <c r="Q697" s="1"/>
  <c r="Q669" s="1"/>
  <c r="Q57" s="1"/>
  <c r="R687"/>
  <c r="R697" s="1"/>
  <c r="R669" s="1"/>
  <c r="R57" s="1"/>
  <c r="R58" s="1"/>
  <c r="R64" s="1"/>
  <c r="S687"/>
  <c r="S697" s="1"/>
  <c r="S669" s="1"/>
  <c r="S57" s="1"/>
  <c r="S58" s="1"/>
  <c r="S64" s="1"/>
  <c r="T687"/>
  <c r="T697" s="1"/>
  <c r="T669" s="1"/>
  <c r="T57" s="1"/>
  <c r="T58" s="1"/>
  <c r="T64" s="1"/>
  <c r="U687"/>
  <c r="U697" s="1"/>
  <c r="U669" s="1"/>
  <c r="U57" s="1"/>
  <c r="U58" s="1"/>
  <c r="U64" s="1"/>
  <c r="V687"/>
  <c r="V697" s="1"/>
  <c r="V669" s="1"/>
  <c r="V57" s="1"/>
  <c r="V58" s="1"/>
  <c r="V64" s="1"/>
  <c r="C396"/>
  <c r="D396"/>
  <c r="D406" s="1"/>
  <c r="G396"/>
  <c r="G406" s="1"/>
  <c r="I396"/>
  <c r="I406" s="1"/>
  <c r="K396"/>
  <c r="K406" s="1"/>
  <c r="L396"/>
  <c r="L406" s="1"/>
  <c r="M396"/>
  <c r="M406" s="1"/>
  <c r="N396"/>
  <c r="N406" s="1"/>
  <c r="P396"/>
  <c r="P406" s="1"/>
  <c r="Q396"/>
  <c r="Q406" s="1"/>
  <c r="S396"/>
  <c r="S406" s="1"/>
  <c r="V396"/>
  <c r="V406" s="1"/>
  <c r="E531"/>
  <c r="E541" s="1"/>
  <c r="I531"/>
  <c r="I541" s="1"/>
  <c r="L531"/>
  <c r="L541" s="1"/>
  <c r="M531"/>
  <c r="M541" s="1"/>
  <c r="Q531"/>
  <c r="Q541" s="1"/>
  <c r="U531"/>
  <c r="U541" s="1"/>
  <c r="E396"/>
  <c r="E406" s="1"/>
  <c r="F396"/>
  <c r="F406" s="1"/>
  <c r="H396"/>
  <c r="H406" s="1"/>
  <c r="J396"/>
  <c r="J406" s="1"/>
  <c r="O396"/>
  <c r="O406" s="1"/>
  <c r="R396"/>
  <c r="R406" s="1"/>
  <c r="T396"/>
  <c r="T406" s="1"/>
  <c r="T531"/>
  <c r="T541" s="1"/>
  <c r="U396"/>
  <c r="U406" s="1"/>
  <c r="C531"/>
  <c r="D531"/>
  <c r="D541" s="1"/>
  <c r="F531"/>
  <c r="F541" s="1"/>
  <c r="G531"/>
  <c r="G541" s="1"/>
  <c r="H531"/>
  <c r="H541" s="1"/>
  <c r="J531"/>
  <c r="J541" s="1"/>
  <c r="K531"/>
  <c r="K541" s="1"/>
  <c r="N531"/>
  <c r="N541" s="1"/>
  <c r="O531"/>
  <c r="O541" s="1"/>
  <c r="P531"/>
  <c r="P541" s="1"/>
  <c r="R531"/>
  <c r="R541" s="1"/>
  <c r="S531"/>
  <c r="S541" s="1"/>
  <c r="W396"/>
  <c r="W406" s="1"/>
  <c r="V531"/>
  <c r="V541" s="1"/>
  <c r="W531"/>
  <c r="W541" s="1"/>
  <c r="X396"/>
  <c r="X406" s="1"/>
  <c r="Y396"/>
  <c r="Y406" s="1"/>
  <c r="X531"/>
  <c r="X541" s="1"/>
  <c r="Z396"/>
  <c r="Z406" s="1"/>
  <c r="Y531"/>
  <c r="Y541" s="1"/>
  <c r="AA396"/>
  <c r="AA406" s="1"/>
  <c r="Z531"/>
  <c r="Z541" s="1"/>
  <c r="AB396"/>
  <c r="AB406" s="1"/>
  <c r="AA531"/>
  <c r="AA541" s="1"/>
  <c r="AC396"/>
  <c r="AC406" s="1"/>
  <c r="AB531"/>
  <c r="AB541" s="1"/>
  <c r="AD396"/>
  <c r="AD406" s="1"/>
  <c r="AC531"/>
  <c r="AC541" s="1"/>
  <c r="AE396"/>
  <c r="AE406" s="1"/>
  <c r="AD531"/>
  <c r="AD541" s="1"/>
  <c r="AF396"/>
  <c r="AF406" s="1"/>
  <c r="AE531"/>
  <c r="AE541" s="1"/>
  <c r="AG396"/>
  <c r="AG406" s="1"/>
  <c r="AF531"/>
  <c r="AF541" s="1"/>
  <c r="AG531"/>
  <c r="AG541" s="1"/>
  <c r="AH396"/>
  <c r="AH406" s="1"/>
  <c r="AI396"/>
  <c r="AI406" s="1"/>
  <c r="AH531"/>
  <c r="AH541" s="1"/>
  <c r="AJ396"/>
  <c r="AJ406" s="1"/>
  <c r="AI531"/>
  <c r="AI541" s="1"/>
  <c r="AJ531"/>
  <c r="AJ541" s="1"/>
  <c r="AK396"/>
  <c r="AK406" s="1"/>
  <c r="AK531"/>
  <c r="AK541" s="1"/>
  <c r="AL396"/>
  <c r="AL406" s="1"/>
  <c r="AM396"/>
  <c r="AM406" s="1"/>
  <c r="AL531"/>
  <c r="AL541" s="1"/>
  <c r="AN396"/>
  <c r="AN406" s="1"/>
  <c r="AM531"/>
  <c r="AM541" s="1"/>
  <c r="AO396"/>
  <c r="AO406" s="1"/>
  <c r="AN531"/>
  <c r="AN541" s="1"/>
  <c r="AP72"/>
  <c r="B404"/>
  <c r="B537"/>
  <c r="B400"/>
  <c r="B533"/>
  <c r="B513"/>
  <c r="B376"/>
  <c r="B374"/>
  <c r="B372"/>
  <c r="B350"/>
  <c r="B348"/>
  <c r="AJ58"/>
  <c r="AJ64" s="1"/>
  <c r="AJ73" s="1"/>
  <c r="AJ78" s="1"/>
  <c r="AI58"/>
  <c r="AI64" s="1"/>
  <c r="AI73" s="1"/>
  <c r="AI78" s="1"/>
  <c r="AH58"/>
  <c r="AH64" s="1"/>
  <c r="AH73" s="1"/>
  <c r="AH78" s="1"/>
  <c r="AG58"/>
  <c r="AG64" s="1"/>
  <c r="AG73" s="1"/>
  <c r="AG78" s="1"/>
  <c r="AP63"/>
  <c r="AP396"/>
  <c r="AP406" s="1"/>
  <c r="AO267"/>
  <c r="AO268" s="1"/>
  <c r="B405"/>
  <c r="B540"/>
  <c r="B403"/>
  <c r="B399"/>
  <c r="B512"/>
  <c r="B377"/>
  <c r="B373"/>
  <c r="B506"/>
  <c r="B351"/>
  <c r="B484"/>
  <c r="AO58"/>
  <c r="AO64" s="1"/>
  <c r="AN58"/>
  <c r="AN64" s="1"/>
  <c r="B347"/>
  <c r="Y58"/>
  <c r="Y64" s="1"/>
  <c r="W58"/>
  <c r="W64" s="1"/>
  <c r="B480"/>
  <c r="B345"/>
  <c r="AP505"/>
  <c r="AP515" s="1"/>
  <c r="AP594"/>
  <c r="AP267"/>
  <c r="AP268" s="1"/>
  <c r="C655"/>
  <c r="D655"/>
  <c r="D665" s="1"/>
  <c r="D637" s="1"/>
  <c r="D56" s="1"/>
  <c r="E655"/>
  <c r="E665" s="1"/>
  <c r="E637" s="1"/>
  <c r="E56" s="1"/>
  <c r="F655"/>
  <c r="F665" s="1"/>
  <c r="F637" s="1"/>
  <c r="F56" s="1"/>
  <c r="G655"/>
  <c r="G665" s="1"/>
  <c r="G637" s="1"/>
  <c r="G56" s="1"/>
  <c r="H655"/>
  <c r="H665" s="1"/>
  <c r="H637" s="1"/>
  <c r="H56" s="1"/>
  <c r="I655"/>
  <c r="I665" s="1"/>
  <c r="I637" s="1"/>
  <c r="I56" s="1"/>
  <c r="J655"/>
  <c r="J665" s="1"/>
  <c r="J637" s="1"/>
  <c r="J56" s="1"/>
  <c r="K655"/>
  <c r="K665" s="1"/>
  <c r="K637" s="1"/>
  <c r="K56" s="1"/>
  <c r="L655"/>
  <c r="L665" s="1"/>
  <c r="L637" s="1"/>
  <c r="L56" s="1"/>
  <c r="M655"/>
  <c r="M665" s="1"/>
  <c r="M637" s="1"/>
  <c r="M56" s="1"/>
  <c r="N655"/>
  <c r="N665" s="1"/>
  <c r="N637" s="1"/>
  <c r="N56" s="1"/>
  <c r="O655"/>
  <c r="O665" s="1"/>
  <c r="O637" s="1"/>
  <c r="O56" s="1"/>
  <c r="P655"/>
  <c r="P665" s="1"/>
  <c r="P637" s="1"/>
  <c r="P56" s="1"/>
  <c r="Q655"/>
  <c r="Q665" s="1"/>
  <c r="Q637" s="1"/>
  <c r="Q56" s="1"/>
  <c r="U370"/>
  <c r="U380" s="1"/>
  <c r="T505"/>
  <c r="T515" s="1"/>
  <c r="D370"/>
  <c r="D380" s="1"/>
  <c r="H370"/>
  <c r="H380" s="1"/>
  <c r="I370"/>
  <c r="I380" s="1"/>
  <c r="J370"/>
  <c r="J380" s="1"/>
  <c r="L370"/>
  <c r="L380" s="1"/>
  <c r="M370"/>
  <c r="M380" s="1"/>
  <c r="N370"/>
  <c r="N380" s="1"/>
  <c r="O370"/>
  <c r="O380" s="1"/>
  <c r="P370"/>
  <c r="P380" s="1"/>
  <c r="Q370"/>
  <c r="Q380" s="1"/>
  <c r="S370"/>
  <c r="S380" s="1"/>
  <c r="V370"/>
  <c r="V380" s="1"/>
  <c r="D505"/>
  <c r="D515" s="1"/>
  <c r="H505"/>
  <c r="H515" s="1"/>
  <c r="G505"/>
  <c r="G515" s="1"/>
  <c r="I505"/>
  <c r="I515" s="1"/>
  <c r="N505"/>
  <c r="N515" s="1"/>
  <c r="R505"/>
  <c r="R515" s="1"/>
  <c r="C370"/>
  <c r="E370"/>
  <c r="E380" s="1"/>
  <c r="F370"/>
  <c r="F380" s="1"/>
  <c r="G370"/>
  <c r="G380" s="1"/>
  <c r="K370"/>
  <c r="K380" s="1"/>
  <c r="R370"/>
  <c r="R380" s="1"/>
  <c r="T370"/>
  <c r="T380" s="1"/>
  <c r="C505"/>
  <c r="E505"/>
  <c r="E515" s="1"/>
  <c r="F505"/>
  <c r="F515" s="1"/>
  <c r="J505"/>
  <c r="J515" s="1"/>
  <c r="K505"/>
  <c r="K515" s="1"/>
  <c r="L505"/>
  <c r="L515" s="1"/>
  <c r="M505"/>
  <c r="M515" s="1"/>
  <c r="O505"/>
  <c r="O515" s="1"/>
  <c r="P505"/>
  <c r="P515" s="1"/>
  <c r="Q505"/>
  <c r="Q515" s="1"/>
  <c r="S505"/>
  <c r="S515" s="1"/>
  <c r="U505"/>
  <c r="U515" s="1"/>
  <c r="W370"/>
  <c r="W380" s="1"/>
  <c r="V505"/>
  <c r="V515" s="1"/>
  <c r="X370"/>
  <c r="X380" s="1"/>
  <c r="W505"/>
  <c r="W515" s="1"/>
  <c r="X505"/>
  <c r="X515" s="1"/>
  <c r="Y370"/>
  <c r="Y380" s="1"/>
  <c r="Z370"/>
  <c r="Z380" s="1"/>
  <c r="Y505"/>
  <c r="Y515" s="1"/>
  <c r="AA370"/>
  <c r="AA380" s="1"/>
  <c r="Z505"/>
  <c r="Z515" s="1"/>
  <c r="AB370"/>
  <c r="AB380" s="1"/>
  <c r="AA505"/>
  <c r="AA515" s="1"/>
  <c r="AB505"/>
  <c r="AB515" s="1"/>
  <c r="AC370"/>
  <c r="AC380" s="1"/>
  <c r="AC505"/>
  <c r="AC515" s="1"/>
  <c r="AD370"/>
  <c r="AD380" s="1"/>
  <c r="AD505"/>
  <c r="AD515" s="1"/>
  <c r="AE370"/>
  <c r="AE380" s="1"/>
  <c r="AF370"/>
  <c r="AF380" s="1"/>
  <c r="AE505"/>
  <c r="AE515" s="1"/>
  <c r="AG370"/>
  <c r="AG380" s="1"/>
  <c r="AF505"/>
  <c r="AF515" s="1"/>
  <c r="AG505"/>
  <c r="AG515" s="1"/>
  <c r="AH370"/>
  <c r="AH380" s="1"/>
  <c r="AI370"/>
  <c r="AI380" s="1"/>
  <c r="AH505"/>
  <c r="AH515" s="1"/>
  <c r="AI505"/>
  <c r="AI515" s="1"/>
  <c r="AJ370"/>
  <c r="AJ380" s="1"/>
  <c r="AK370"/>
  <c r="AK380" s="1"/>
  <c r="AJ505"/>
  <c r="AJ515" s="1"/>
  <c r="AL370"/>
  <c r="AL380" s="1"/>
  <c r="AK505"/>
  <c r="AK515" s="1"/>
  <c r="AM370"/>
  <c r="AM380" s="1"/>
  <c r="AL505"/>
  <c r="AL515" s="1"/>
  <c r="AN370"/>
  <c r="AN380" s="1"/>
  <c r="AM505"/>
  <c r="AM515" s="1"/>
  <c r="AN505"/>
  <c r="AN515" s="1"/>
  <c r="AO370"/>
  <c r="AO380" s="1"/>
  <c r="C623"/>
  <c r="D623"/>
  <c r="D633" s="1"/>
  <c r="D605" s="1"/>
  <c r="D55" s="1"/>
  <c r="E623"/>
  <c r="E633" s="1"/>
  <c r="E605" s="1"/>
  <c r="E55" s="1"/>
  <c r="F623"/>
  <c r="F633" s="1"/>
  <c r="F605" s="1"/>
  <c r="F55" s="1"/>
  <c r="G623"/>
  <c r="G633" s="1"/>
  <c r="G605" s="1"/>
  <c r="G55" s="1"/>
  <c r="H623"/>
  <c r="H633" s="1"/>
  <c r="H605" s="1"/>
  <c r="H55" s="1"/>
  <c r="I623"/>
  <c r="I633" s="1"/>
  <c r="I605" s="1"/>
  <c r="I55" s="1"/>
  <c r="J623"/>
  <c r="J633" s="1"/>
  <c r="J605" s="1"/>
  <c r="J55" s="1"/>
  <c r="K623"/>
  <c r="K633" s="1"/>
  <c r="K605" s="1"/>
  <c r="K55" s="1"/>
  <c r="L623"/>
  <c r="L633" s="1"/>
  <c r="L605" s="1"/>
  <c r="L55" s="1"/>
  <c r="M623"/>
  <c r="M633" s="1"/>
  <c r="M605" s="1"/>
  <c r="M55" s="1"/>
  <c r="N623"/>
  <c r="N633" s="1"/>
  <c r="N605" s="1"/>
  <c r="N55" s="1"/>
  <c r="C344"/>
  <c r="E344"/>
  <c r="E354" s="1"/>
  <c r="F344"/>
  <c r="F354" s="1"/>
  <c r="G344"/>
  <c r="G354" s="1"/>
  <c r="H344"/>
  <c r="H354" s="1"/>
  <c r="J344"/>
  <c r="J354" s="1"/>
  <c r="K344"/>
  <c r="K354" s="1"/>
  <c r="R344"/>
  <c r="R354" s="1"/>
  <c r="S344"/>
  <c r="S354" s="1"/>
  <c r="T344"/>
  <c r="T354" s="1"/>
  <c r="U479"/>
  <c r="U489" s="1"/>
  <c r="V344"/>
  <c r="V354" s="1"/>
  <c r="C479"/>
  <c r="D479"/>
  <c r="D489" s="1"/>
  <c r="E479"/>
  <c r="E489" s="1"/>
  <c r="F479"/>
  <c r="F489" s="1"/>
  <c r="G479"/>
  <c r="G489" s="1"/>
  <c r="H479"/>
  <c r="H489" s="1"/>
  <c r="I479"/>
  <c r="I489" s="1"/>
  <c r="J479"/>
  <c r="J489" s="1"/>
  <c r="K479"/>
  <c r="K489" s="1"/>
  <c r="M479"/>
  <c r="M489" s="1"/>
  <c r="N479"/>
  <c r="N489" s="1"/>
  <c r="O479"/>
  <c r="O489" s="1"/>
  <c r="Q479"/>
  <c r="Q489" s="1"/>
  <c r="R479"/>
  <c r="R489" s="1"/>
  <c r="D344"/>
  <c r="D354" s="1"/>
  <c r="I344"/>
  <c r="I354" s="1"/>
  <c r="L344"/>
  <c r="L354" s="1"/>
  <c r="M344"/>
  <c r="M354" s="1"/>
  <c r="N344"/>
  <c r="N354" s="1"/>
  <c r="O344"/>
  <c r="O354" s="1"/>
  <c r="P344"/>
  <c r="P354" s="1"/>
  <c r="Q344"/>
  <c r="Q354" s="1"/>
  <c r="L479"/>
  <c r="L489" s="1"/>
  <c r="P479"/>
  <c r="P489" s="1"/>
  <c r="S479"/>
  <c r="S489" s="1"/>
  <c r="T479"/>
  <c r="T489" s="1"/>
  <c r="U344"/>
  <c r="U354" s="1"/>
  <c r="V479"/>
  <c r="V489" s="1"/>
  <c r="W344"/>
  <c r="W354" s="1"/>
  <c r="X344"/>
  <c r="X354" s="1"/>
  <c r="W479"/>
  <c r="W489" s="1"/>
  <c r="Y344"/>
  <c r="Y354" s="1"/>
  <c r="X479"/>
  <c r="X489" s="1"/>
  <c r="Y479"/>
  <c r="Y489" s="1"/>
  <c r="Z344"/>
  <c r="Z354" s="1"/>
  <c r="Z479"/>
  <c r="Z489" s="1"/>
  <c r="AA344"/>
  <c r="AA354" s="1"/>
  <c r="AA479"/>
  <c r="AA489" s="1"/>
  <c r="AB344"/>
  <c r="AB354" s="1"/>
  <c r="AC344"/>
  <c r="AC354" s="1"/>
  <c r="AB479"/>
  <c r="AB489" s="1"/>
  <c r="AD344"/>
  <c r="AD354" s="1"/>
  <c r="AC479"/>
  <c r="AC489" s="1"/>
  <c r="AD479"/>
  <c r="AD489" s="1"/>
  <c r="AE344"/>
  <c r="AE354" s="1"/>
  <c r="AF344"/>
  <c r="AF354" s="1"/>
  <c r="AE479"/>
  <c r="AE489" s="1"/>
  <c r="AG344"/>
  <c r="AG354" s="1"/>
  <c r="AF479"/>
  <c r="AF489" s="1"/>
  <c r="AH344"/>
  <c r="AH354" s="1"/>
  <c r="AG479"/>
  <c r="AG489" s="1"/>
  <c r="AI344"/>
  <c r="AI354" s="1"/>
  <c r="AH479"/>
  <c r="AH489" s="1"/>
  <c r="AJ344"/>
  <c r="AJ354" s="1"/>
  <c r="AI479"/>
  <c r="AI489" s="1"/>
  <c r="AK344"/>
  <c r="AK354" s="1"/>
  <c r="AJ479"/>
  <c r="AJ489" s="1"/>
  <c r="AK479"/>
  <c r="AK489" s="1"/>
  <c r="AL344"/>
  <c r="AL354" s="1"/>
  <c r="AM344"/>
  <c r="AM354" s="1"/>
  <c r="AL479"/>
  <c r="AL489" s="1"/>
  <c r="AN344"/>
  <c r="AN354" s="1"/>
  <c r="AM479"/>
  <c r="AM489" s="1"/>
  <c r="AO344"/>
  <c r="AO354" s="1"/>
  <c r="AN479"/>
  <c r="AN489" s="1"/>
  <c r="AP107"/>
  <c r="B110" s="1"/>
  <c r="B108"/>
  <c r="AP665"/>
  <c r="AP637" s="1"/>
  <c r="AP56" s="1"/>
  <c r="B539"/>
  <c r="B402"/>
  <c r="B535"/>
  <c r="B398"/>
  <c r="B378"/>
  <c r="B511"/>
  <c r="B509"/>
  <c r="B507"/>
  <c r="B487"/>
  <c r="B352"/>
  <c r="B485"/>
  <c r="B483"/>
  <c r="AL58"/>
  <c r="AL64" s="1"/>
  <c r="AL73" s="1"/>
  <c r="AL78" s="1"/>
  <c r="AK58"/>
  <c r="AK64" s="1"/>
  <c r="AK73" s="1"/>
  <c r="AK78" s="1"/>
  <c r="B346"/>
  <c r="B481"/>
  <c r="AP531"/>
  <c r="AP541" s="1"/>
  <c r="AP479"/>
  <c r="AP489" s="1"/>
  <c r="AO229"/>
  <c r="AO230" s="1"/>
  <c r="AO531"/>
  <c r="AO541" s="1"/>
  <c r="AP697"/>
  <c r="AP669" s="1"/>
  <c r="AP57" s="1"/>
  <c r="B538"/>
  <c r="B536"/>
  <c r="B401"/>
  <c r="B534"/>
  <c r="B532"/>
  <c r="B397"/>
  <c r="B514"/>
  <c r="B379"/>
  <c r="B510"/>
  <c r="B375"/>
  <c r="B508"/>
  <c r="B371"/>
  <c r="B488"/>
  <c r="B353"/>
  <c r="B486"/>
  <c r="B349"/>
  <c r="AM58"/>
  <c r="AM64" s="1"/>
  <c r="AM73" s="1"/>
  <c r="AM78" s="1"/>
  <c r="B482"/>
  <c r="Z58"/>
  <c r="Z64" s="1"/>
  <c r="X58"/>
  <c r="X64" s="1"/>
  <c r="AP370"/>
  <c r="AP380" s="1"/>
  <c r="G71" i="2"/>
  <c r="AM96" i="7"/>
  <c r="AM88"/>
  <c r="AI96"/>
  <c r="AI88"/>
  <c r="AK96"/>
  <c r="AK88"/>
  <c r="B119"/>
  <c r="B124"/>
  <c r="E83" i="1" s="1"/>
  <c r="B587" i="7"/>
  <c r="C597"/>
  <c r="C569" s="1"/>
  <c r="B434"/>
  <c r="C444"/>
  <c r="B619"/>
  <c r="C629"/>
  <c r="C601" s="1"/>
  <c r="AH96"/>
  <c r="AH88"/>
  <c r="C661"/>
  <c r="C633" s="1"/>
  <c r="B651"/>
  <c r="AP66"/>
  <c r="AP72" s="1"/>
  <c r="AO56"/>
  <c r="AO82" s="1"/>
  <c r="AO87" s="1"/>
  <c r="AP53"/>
  <c r="AP196"/>
  <c r="AP197" s="1"/>
  <c r="AG96"/>
  <c r="AG88"/>
  <c r="AJ96"/>
  <c r="AJ88"/>
  <c r="AP164"/>
  <c r="AP128"/>
  <c r="AP132" s="1"/>
  <c r="AP47"/>
  <c r="AP56" s="1"/>
  <c r="C283"/>
  <c r="B273"/>
  <c r="C418"/>
  <c r="B408"/>
  <c r="C309"/>
  <c r="B299"/>
  <c r="AL96"/>
  <c r="AL88"/>
  <c r="C335"/>
  <c r="B325"/>
  <c r="B460"/>
  <c r="C470"/>
  <c r="AO160"/>
  <c r="AO161" s="1"/>
  <c r="AP157"/>
  <c r="AP158" s="1"/>
  <c r="E53" i="2"/>
  <c r="E18"/>
  <c r="E20" s="1"/>
  <c r="F17"/>
  <c r="F52"/>
  <c r="F230"/>
  <c r="F269"/>
  <c r="F15"/>
  <c r="F50"/>
  <c r="F228"/>
  <c r="F267"/>
  <c r="H364"/>
  <c r="H499" s="1"/>
  <c r="H368"/>
  <c r="H503" s="1"/>
  <c r="H361"/>
  <c r="H496" s="1"/>
  <c r="H367"/>
  <c r="H502" s="1"/>
  <c r="H362"/>
  <c r="H497" s="1"/>
  <c r="H691"/>
  <c r="H676" s="1"/>
  <c r="H69" s="1"/>
  <c r="I5"/>
  <c r="I722"/>
  <c r="I396" s="1"/>
  <c r="I531" s="1"/>
  <c r="I720"/>
  <c r="I394" s="1"/>
  <c r="I529" s="1"/>
  <c r="I718"/>
  <c r="I392" s="1"/>
  <c r="I527" s="1"/>
  <c r="I716"/>
  <c r="I390" s="1"/>
  <c r="I525" s="1"/>
  <c r="I714"/>
  <c r="I388" s="1"/>
  <c r="I523" s="1"/>
  <c r="I690"/>
  <c r="I370" s="1"/>
  <c r="I505" s="1"/>
  <c r="I688"/>
  <c r="I368" s="1"/>
  <c r="I503" s="1"/>
  <c r="I721"/>
  <c r="I395" s="1"/>
  <c r="I530" s="1"/>
  <c r="I719"/>
  <c r="I393" s="1"/>
  <c r="I528" s="1"/>
  <c r="I717"/>
  <c r="I391" s="1"/>
  <c r="I526" s="1"/>
  <c r="I715"/>
  <c r="I389" s="1"/>
  <c r="I524" s="1"/>
  <c r="I713"/>
  <c r="I387" s="1"/>
  <c r="I522" s="1"/>
  <c r="I689"/>
  <c r="I369" s="1"/>
  <c r="I504" s="1"/>
  <c r="I686"/>
  <c r="I366" s="1"/>
  <c r="I501" s="1"/>
  <c r="I684"/>
  <c r="I364" s="1"/>
  <c r="I499" s="1"/>
  <c r="I682"/>
  <c r="I362" s="1"/>
  <c r="I497" s="1"/>
  <c r="I658"/>
  <c r="I345" s="1"/>
  <c r="I479" s="1"/>
  <c r="I656"/>
  <c r="I343" s="1"/>
  <c r="I477" s="1"/>
  <c r="I654"/>
  <c r="I341" s="1"/>
  <c r="I475" s="1"/>
  <c r="I652"/>
  <c r="I650"/>
  <c r="I337" s="1"/>
  <c r="I471" s="1"/>
  <c r="I726"/>
  <c r="I730"/>
  <c r="I732"/>
  <c r="I734"/>
  <c r="I687"/>
  <c r="I367" s="1"/>
  <c r="I502" s="1"/>
  <c r="I683"/>
  <c r="I363" s="1"/>
  <c r="I498" s="1"/>
  <c r="I655"/>
  <c r="I342" s="1"/>
  <c r="I476" s="1"/>
  <c r="I685"/>
  <c r="I365" s="1"/>
  <c r="I500" s="1"/>
  <c r="I681"/>
  <c r="I361" s="1"/>
  <c r="I496" s="1"/>
  <c r="I657"/>
  <c r="I344" s="1"/>
  <c r="I478" s="1"/>
  <c r="I653"/>
  <c r="I340" s="1"/>
  <c r="I474" s="1"/>
  <c r="I649"/>
  <c r="I336" s="1"/>
  <c r="I470" s="1"/>
  <c r="I729"/>
  <c r="I733"/>
  <c r="I731"/>
  <c r="I695"/>
  <c r="I697"/>
  <c r="I699"/>
  <c r="I701"/>
  <c r="I651"/>
  <c r="I338" s="1"/>
  <c r="I472" s="1"/>
  <c r="I728"/>
  <c r="I694"/>
  <c r="I696"/>
  <c r="I698"/>
  <c r="I700"/>
  <c r="I702"/>
  <c r="H723"/>
  <c r="H708" s="1"/>
  <c r="H70" s="1"/>
  <c r="I548"/>
  <c r="I549" s="1"/>
  <c r="I554"/>
  <c r="I555" s="1"/>
  <c r="I608"/>
  <c r="I601"/>
  <c r="I602" s="1"/>
  <c r="J11"/>
  <c r="I313"/>
  <c r="I315"/>
  <c r="I317"/>
  <c r="I314"/>
  <c r="I318"/>
  <c r="I447"/>
  <c r="I449"/>
  <c r="I451"/>
  <c r="I466" s="1"/>
  <c r="I316"/>
  <c r="I448"/>
  <c r="I450"/>
  <c r="I452"/>
  <c r="G117"/>
  <c r="I19"/>
  <c r="F116"/>
  <c r="E231"/>
  <c r="E232" s="1"/>
  <c r="I662"/>
  <c r="I663"/>
  <c r="I664"/>
  <c r="I665"/>
  <c r="I666"/>
  <c r="I667"/>
  <c r="I668"/>
  <c r="I669"/>
  <c r="I670"/>
  <c r="F105"/>
  <c r="I465"/>
  <c r="H332"/>
  <c r="I331"/>
  <c r="E270"/>
  <c r="E271" s="1"/>
  <c r="H337"/>
  <c r="H471" s="1"/>
  <c r="H639"/>
  <c r="I636" s="1"/>
  <c r="H62"/>
  <c r="H659"/>
  <c r="H644" s="1"/>
  <c r="H68" s="1"/>
  <c r="I339"/>
  <c r="I473" s="1"/>
  <c r="I638"/>
  <c r="G550"/>
  <c r="G551" s="1"/>
  <c r="G103" s="1"/>
  <c r="G244" s="1"/>
  <c r="G556"/>
  <c r="G557" s="1"/>
  <c r="G104" s="1"/>
  <c r="I23"/>
  <c r="I26"/>
  <c r="I30"/>
  <c r="F268"/>
  <c r="F229"/>
  <c r="F266"/>
  <c r="F227"/>
  <c r="F597"/>
  <c r="G594"/>
  <c r="G595" s="1"/>
  <c r="G586"/>
  <c r="G587" s="1"/>
  <c r="G582"/>
  <c r="G583" s="1"/>
  <c r="G590"/>
  <c r="G591" s="1"/>
  <c r="G51" s="1"/>
  <c r="I632"/>
  <c r="H27"/>
  <c r="G29"/>
  <c r="G31" s="1"/>
  <c r="J2"/>
  <c r="I25"/>
  <c r="H10"/>
  <c r="H12" s="1"/>
  <c r="AK223" i="10" l="1"/>
  <c r="AK244" s="1"/>
  <c r="AK245" s="1"/>
  <c r="AK165" s="1"/>
  <c r="AL223"/>
  <c r="AL244" s="1"/>
  <c r="AL245" s="1"/>
  <c r="AL165" s="1"/>
  <c r="AN88" i="7"/>
  <c r="AN109"/>
  <c r="AH254" i="10"/>
  <c r="AH275" s="1"/>
  <c r="AH276" s="1"/>
  <c r="AH166" s="1"/>
  <c r="AM100" i="8"/>
  <c r="AP82" i="7"/>
  <c r="AP87" s="1"/>
  <c r="AP96" s="1"/>
  <c r="M58" i="8"/>
  <c r="M64" s="1"/>
  <c r="Q58"/>
  <c r="Q64" s="1"/>
  <c r="O58"/>
  <c r="O64" s="1"/>
  <c r="AO201"/>
  <c r="AO204" s="1"/>
  <c r="AO232" s="1"/>
  <c r="AO233" s="1"/>
  <c r="AO47"/>
  <c r="AO49" s="1"/>
  <c r="AO73" s="1"/>
  <c r="AO78" s="1"/>
  <c r="J593" i="2"/>
  <c r="J589"/>
  <c r="J585"/>
  <c r="J581"/>
  <c r="C531" i="7"/>
  <c r="B531" s="1"/>
  <c r="AK285" i="10"/>
  <c r="AK292" s="1"/>
  <c r="AK293" s="1"/>
  <c r="AI285"/>
  <c r="AI292" s="1"/>
  <c r="AI293" s="1"/>
  <c r="AI203" s="1"/>
  <c r="AJ285"/>
  <c r="AJ292" s="1"/>
  <c r="AJ293" s="1"/>
  <c r="AJ203" s="1"/>
  <c r="F53" i="2"/>
  <c r="AM285" i="10"/>
  <c r="AM292" s="1"/>
  <c r="AM293" s="1"/>
  <c r="AN285"/>
  <c r="AN292" s="1"/>
  <c r="AN293" s="1"/>
  <c r="AN203" s="1"/>
  <c r="AG285"/>
  <c r="AG292" s="1"/>
  <c r="AG293" s="1"/>
  <c r="AH285"/>
  <c r="AH292" s="1"/>
  <c r="AH293" s="1"/>
  <c r="AH203" s="1"/>
  <c r="AL285"/>
  <c r="AL292" s="1"/>
  <c r="AL293" s="1"/>
  <c r="AL203" s="1"/>
  <c r="AH165"/>
  <c r="AJ223"/>
  <c r="AJ244" s="1"/>
  <c r="AJ245" s="1"/>
  <c r="AJ251" s="1"/>
  <c r="AM223"/>
  <c r="AM244" s="1"/>
  <c r="AM245" s="1"/>
  <c r="AM251" s="1"/>
  <c r="AI248"/>
  <c r="AI223"/>
  <c r="AI244" s="1"/>
  <c r="AI245" s="1"/>
  <c r="AI251" s="1"/>
  <c r="AK251"/>
  <c r="F18" i="2"/>
  <c r="F20" s="1"/>
  <c r="AN239" i="8"/>
  <c r="AO223" i="10"/>
  <c r="AO244" s="1"/>
  <c r="AO245" s="1"/>
  <c r="AG223"/>
  <c r="AG244" s="1"/>
  <c r="AG245" s="1"/>
  <c r="AG165" s="1"/>
  <c r="G49" i="2"/>
  <c r="G14"/>
  <c r="AP220" i="10"/>
  <c r="AP248" s="1"/>
  <c r="AP142"/>
  <c r="AP154" s="1"/>
  <c r="AN248"/>
  <c r="AN223"/>
  <c r="AN244" s="1"/>
  <c r="AN245" s="1"/>
  <c r="AO101"/>
  <c r="AO285"/>
  <c r="AO292" s="1"/>
  <c r="AO293" s="1"/>
  <c r="AO203" s="1"/>
  <c r="AL110"/>
  <c r="AL123" s="1"/>
  <c r="AO110"/>
  <c r="AP101"/>
  <c r="AP284"/>
  <c r="AP300" s="1"/>
  <c r="D649"/>
  <c r="D652" s="1"/>
  <c r="C745"/>
  <c r="D746" s="1"/>
  <c r="AP109"/>
  <c r="AO122"/>
  <c r="N58" i="8"/>
  <c r="N64" s="1"/>
  <c r="P58"/>
  <c r="P64" s="1"/>
  <c r="AP229"/>
  <c r="AP230" s="1"/>
  <c r="AP58"/>
  <c r="AP64" s="1"/>
  <c r="AN73"/>
  <c r="AN78" s="1"/>
  <c r="AN79" s="1"/>
  <c r="AM87"/>
  <c r="AM79"/>
  <c r="AL87"/>
  <c r="AL79"/>
  <c r="B112"/>
  <c r="B83" i="1" s="1"/>
  <c r="B107" i="8"/>
  <c r="C380"/>
  <c r="B370"/>
  <c r="AG87"/>
  <c r="AG79"/>
  <c r="AI87"/>
  <c r="AI79"/>
  <c r="C406"/>
  <c r="B396"/>
  <c r="C697"/>
  <c r="C669" s="1"/>
  <c r="B687"/>
  <c r="AK87"/>
  <c r="AK79"/>
  <c r="AP236"/>
  <c r="AP201"/>
  <c r="AP204" s="1"/>
  <c r="AP47"/>
  <c r="AP49" s="1"/>
  <c r="C489"/>
  <c r="B479"/>
  <c r="C354"/>
  <c r="B344"/>
  <c r="C633"/>
  <c r="C605" s="1"/>
  <c r="B623"/>
  <c r="B505"/>
  <c r="C515"/>
  <c r="B655"/>
  <c r="C665"/>
  <c r="C637" s="1"/>
  <c r="AH87"/>
  <c r="AH79"/>
  <c r="AJ87"/>
  <c r="AJ79"/>
  <c r="C541"/>
  <c r="B531"/>
  <c r="AO168" i="7"/>
  <c r="AO107"/>
  <c r="AJ97"/>
  <c r="AJ110" s="1"/>
  <c r="AG97"/>
  <c r="AG110" s="1"/>
  <c r="C65"/>
  <c r="C635"/>
  <c r="D632" s="1"/>
  <c r="D635" s="1"/>
  <c r="E632" s="1"/>
  <c r="E635" s="1"/>
  <c r="F632" s="1"/>
  <c r="F635" s="1"/>
  <c r="G632" s="1"/>
  <c r="G635" s="1"/>
  <c r="H632" s="1"/>
  <c r="H635" s="1"/>
  <c r="I632" s="1"/>
  <c r="I635" s="1"/>
  <c r="J632" s="1"/>
  <c r="J635" s="1"/>
  <c r="K632" s="1"/>
  <c r="K635" s="1"/>
  <c r="L632" s="1"/>
  <c r="L635" s="1"/>
  <c r="M632" s="1"/>
  <c r="M635" s="1"/>
  <c r="N632" s="1"/>
  <c r="N635" s="1"/>
  <c r="O632" s="1"/>
  <c r="O635" s="1"/>
  <c r="P632" s="1"/>
  <c r="P635" s="1"/>
  <c r="Q632" s="1"/>
  <c r="Q635" s="1"/>
  <c r="R632" s="1"/>
  <c r="R635" s="1"/>
  <c r="S632" s="1"/>
  <c r="S635" s="1"/>
  <c r="T632" s="1"/>
  <c r="T635" s="1"/>
  <c r="U632" s="1"/>
  <c r="U635" s="1"/>
  <c r="V632" s="1"/>
  <c r="V635" s="1"/>
  <c r="W632" s="1"/>
  <c r="W635" s="1"/>
  <c r="X632" s="1"/>
  <c r="X635" s="1"/>
  <c r="Y632" s="1"/>
  <c r="Y635" s="1"/>
  <c r="Z632" s="1"/>
  <c r="Z635" s="1"/>
  <c r="AA632" s="1"/>
  <c r="AA635" s="1"/>
  <c r="AB632" s="1"/>
  <c r="AB635" s="1"/>
  <c r="AC632" s="1"/>
  <c r="AC635" s="1"/>
  <c r="AD632" s="1"/>
  <c r="AD635" s="1"/>
  <c r="AE632" s="1"/>
  <c r="AE635" s="1"/>
  <c r="AF632" s="1"/>
  <c r="AF635" s="1"/>
  <c r="AG632" s="1"/>
  <c r="AG635" s="1"/>
  <c r="AH632" s="1"/>
  <c r="AH635" s="1"/>
  <c r="AI632" s="1"/>
  <c r="AI635" s="1"/>
  <c r="AJ632" s="1"/>
  <c r="AJ635" s="1"/>
  <c r="AK632" s="1"/>
  <c r="AK635" s="1"/>
  <c r="AL632" s="1"/>
  <c r="AL635" s="1"/>
  <c r="AM632" s="1"/>
  <c r="AM635" s="1"/>
  <c r="AN632" s="1"/>
  <c r="AN635" s="1"/>
  <c r="AO632" s="1"/>
  <c r="AO635" s="1"/>
  <c r="AP632" s="1"/>
  <c r="AP635" s="1"/>
  <c r="AH97"/>
  <c r="AH110" s="1"/>
  <c r="AK97"/>
  <c r="AK110" s="1"/>
  <c r="AI97"/>
  <c r="AI110" s="1"/>
  <c r="AM97"/>
  <c r="AM110" s="1"/>
  <c r="AN97"/>
  <c r="AL97"/>
  <c r="AL110" s="1"/>
  <c r="AO96"/>
  <c r="AO88"/>
  <c r="C64"/>
  <c r="C603"/>
  <c r="D600" s="1"/>
  <c r="D603" s="1"/>
  <c r="E600" s="1"/>
  <c r="E603" s="1"/>
  <c r="F600" s="1"/>
  <c r="F603" s="1"/>
  <c r="G600" s="1"/>
  <c r="G603" s="1"/>
  <c r="H600" s="1"/>
  <c r="H603" s="1"/>
  <c r="I600" s="1"/>
  <c r="I603" s="1"/>
  <c r="J600" s="1"/>
  <c r="J603" s="1"/>
  <c r="K600" s="1"/>
  <c r="K603" s="1"/>
  <c r="L600" s="1"/>
  <c r="L603" s="1"/>
  <c r="M600" s="1"/>
  <c r="M603" s="1"/>
  <c r="N600" s="1"/>
  <c r="N603" s="1"/>
  <c r="O600" s="1"/>
  <c r="O603" s="1"/>
  <c r="P600" s="1"/>
  <c r="P603" s="1"/>
  <c r="Q600" s="1"/>
  <c r="Q603" s="1"/>
  <c r="R600" s="1"/>
  <c r="R603" s="1"/>
  <c r="S600" s="1"/>
  <c r="S603" s="1"/>
  <c r="T600" s="1"/>
  <c r="T603" s="1"/>
  <c r="U600" s="1"/>
  <c r="U603" s="1"/>
  <c r="V600" s="1"/>
  <c r="V603" s="1"/>
  <c r="W600" s="1"/>
  <c r="W603" s="1"/>
  <c r="X600" s="1"/>
  <c r="X603" s="1"/>
  <c r="Y600" s="1"/>
  <c r="Y603" s="1"/>
  <c r="Z600" s="1"/>
  <c r="Z603" s="1"/>
  <c r="AA600" s="1"/>
  <c r="AA603" s="1"/>
  <c r="AB600" s="1"/>
  <c r="AB603" s="1"/>
  <c r="AC600" s="1"/>
  <c r="AC603" s="1"/>
  <c r="AD600" s="1"/>
  <c r="AD603" s="1"/>
  <c r="AE600" s="1"/>
  <c r="AE603" s="1"/>
  <c r="AF600" s="1"/>
  <c r="AF603" s="1"/>
  <c r="AG600" s="1"/>
  <c r="AG603" s="1"/>
  <c r="AH600" s="1"/>
  <c r="AH603" s="1"/>
  <c r="AI600" s="1"/>
  <c r="AI603" s="1"/>
  <c r="AJ600" s="1"/>
  <c r="AJ603" s="1"/>
  <c r="AK600" s="1"/>
  <c r="AK603" s="1"/>
  <c r="AL600" s="1"/>
  <c r="AL603" s="1"/>
  <c r="AM600" s="1"/>
  <c r="AM603" s="1"/>
  <c r="AN600" s="1"/>
  <c r="AN603" s="1"/>
  <c r="AO600" s="1"/>
  <c r="AO603" s="1"/>
  <c r="AP600" s="1"/>
  <c r="AP603" s="1"/>
  <c r="C63"/>
  <c r="C571"/>
  <c r="D568" s="1"/>
  <c r="D571" s="1"/>
  <c r="E568" s="1"/>
  <c r="E571" s="1"/>
  <c r="F568" s="1"/>
  <c r="F571" s="1"/>
  <c r="G568" s="1"/>
  <c r="G571" s="1"/>
  <c r="H568" s="1"/>
  <c r="H571" s="1"/>
  <c r="I568" s="1"/>
  <c r="I571" s="1"/>
  <c r="J568" s="1"/>
  <c r="J571" s="1"/>
  <c r="K568" s="1"/>
  <c r="K571" s="1"/>
  <c r="L568" s="1"/>
  <c r="L571" s="1"/>
  <c r="AP160"/>
  <c r="AP161" s="1"/>
  <c r="G17" i="2"/>
  <c r="G52"/>
  <c r="G230"/>
  <c r="G269"/>
  <c r="G15"/>
  <c r="G50"/>
  <c r="G228"/>
  <c r="G267"/>
  <c r="H71"/>
  <c r="I723"/>
  <c r="I708" s="1"/>
  <c r="I70" s="1"/>
  <c r="J5"/>
  <c r="J721"/>
  <c r="J395" s="1"/>
  <c r="J530" s="1"/>
  <c r="J719"/>
  <c r="J393" s="1"/>
  <c r="J528" s="1"/>
  <c r="J717"/>
  <c r="J391" s="1"/>
  <c r="J526" s="1"/>
  <c r="J715"/>
  <c r="J389" s="1"/>
  <c r="J524" s="1"/>
  <c r="J713"/>
  <c r="J387" s="1"/>
  <c r="J522" s="1"/>
  <c r="J689"/>
  <c r="J369" s="1"/>
  <c r="J504" s="1"/>
  <c r="J722"/>
  <c r="J396" s="1"/>
  <c r="J531" s="1"/>
  <c r="J720"/>
  <c r="J394" s="1"/>
  <c r="J529" s="1"/>
  <c r="J718"/>
  <c r="J392" s="1"/>
  <c r="J527" s="1"/>
  <c r="J716"/>
  <c r="J390" s="1"/>
  <c r="J525" s="1"/>
  <c r="J714"/>
  <c r="J388" s="1"/>
  <c r="J523" s="1"/>
  <c r="J690"/>
  <c r="J370" s="1"/>
  <c r="J505" s="1"/>
  <c r="J688"/>
  <c r="J368" s="1"/>
  <c r="J503" s="1"/>
  <c r="J687"/>
  <c r="J367" s="1"/>
  <c r="J502" s="1"/>
  <c r="J685"/>
  <c r="J365" s="1"/>
  <c r="J500" s="1"/>
  <c r="J683"/>
  <c r="J363" s="1"/>
  <c r="J498" s="1"/>
  <c r="J681"/>
  <c r="J361" s="1"/>
  <c r="J496" s="1"/>
  <c r="J657"/>
  <c r="J344" s="1"/>
  <c r="J478" s="1"/>
  <c r="J655"/>
  <c r="J342" s="1"/>
  <c r="J476" s="1"/>
  <c r="J653"/>
  <c r="J340" s="1"/>
  <c r="J474" s="1"/>
  <c r="J651"/>
  <c r="J338" s="1"/>
  <c r="J472" s="1"/>
  <c r="J649"/>
  <c r="J336" s="1"/>
  <c r="J470" s="1"/>
  <c r="J728"/>
  <c r="J729"/>
  <c r="J731"/>
  <c r="J733"/>
  <c r="J684"/>
  <c r="J364" s="1"/>
  <c r="J499" s="1"/>
  <c r="J656"/>
  <c r="J343" s="1"/>
  <c r="J477" s="1"/>
  <c r="J652"/>
  <c r="J339" s="1"/>
  <c r="J473" s="1"/>
  <c r="J686"/>
  <c r="J366" s="1"/>
  <c r="J501" s="1"/>
  <c r="J682"/>
  <c r="J362" s="1"/>
  <c r="J497" s="1"/>
  <c r="J658"/>
  <c r="J345" s="1"/>
  <c r="J479" s="1"/>
  <c r="J654"/>
  <c r="J341" s="1"/>
  <c r="J475" s="1"/>
  <c r="J650"/>
  <c r="J337" s="1"/>
  <c r="J471" s="1"/>
  <c r="J726"/>
  <c r="J730"/>
  <c r="J734"/>
  <c r="J732"/>
  <c r="J694"/>
  <c r="J696"/>
  <c r="J698"/>
  <c r="J700"/>
  <c r="J702"/>
  <c r="J695"/>
  <c r="J697"/>
  <c r="J699"/>
  <c r="J701"/>
  <c r="I691"/>
  <c r="I676" s="1"/>
  <c r="I69" s="1"/>
  <c r="J548"/>
  <c r="J549" s="1"/>
  <c r="J554"/>
  <c r="J555" s="1"/>
  <c r="J601"/>
  <c r="J602" s="1"/>
  <c r="J608"/>
  <c r="K11"/>
  <c r="J314"/>
  <c r="J316"/>
  <c r="J318"/>
  <c r="J447"/>
  <c r="J448"/>
  <c r="J449"/>
  <c r="J450"/>
  <c r="J451"/>
  <c r="J466" s="1"/>
  <c r="J452"/>
  <c r="J315"/>
  <c r="J313"/>
  <c r="J317"/>
  <c r="H117"/>
  <c r="J19"/>
  <c r="G116"/>
  <c r="J664"/>
  <c r="J665"/>
  <c r="J666"/>
  <c r="J667"/>
  <c r="J668"/>
  <c r="J669"/>
  <c r="J670"/>
  <c r="J663"/>
  <c r="G105"/>
  <c r="I332"/>
  <c r="J465"/>
  <c r="J331"/>
  <c r="I639"/>
  <c r="J636" s="1"/>
  <c r="I62"/>
  <c r="I659"/>
  <c r="I644" s="1"/>
  <c r="I68" s="1"/>
  <c r="J638"/>
  <c r="H550"/>
  <c r="H551" s="1"/>
  <c r="H103" s="1"/>
  <c r="H244" s="1"/>
  <c r="H556"/>
  <c r="H557" s="1"/>
  <c r="H104" s="1"/>
  <c r="F270"/>
  <c r="F271" s="1"/>
  <c r="J23"/>
  <c r="J26"/>
  <c r="J30"/>
  <c r="F231"/>
  <c r="F232" s="1"/>
  <c r="G268"/>
  <c r="G229"/>
  <c r="G266"/>
  <c r="G227"/>
  <c r="G597"/>
  <c r="H590"/>
  <c r="H591" s="1"/>
  <c r="H51" s="1"/>
  <c r="H594"/>
  <c r="H595" s="1"/>
  <c r="H586"/>
  <c r="H587" s="1"/>
  <c r="H582"/>
  <c r="H583" s="1"/>
  <c r="J632"/>
  <c r="I27"/>
  <c r="H29"/>
  <c r="H31" s="1"/>
  <c r="K2"/>
  <c r="J25"/>
  <c r="I10"/>
  <c r="I12" s="1"/>
  <c r="AL251" i="10" l="1"/>
  <c r="AN110" i="7"/>
  <c r="AI254" i="10"/>
  <c r="AI275" s="1"/>
  <c r="AI276" s="1"/>
  <c r="AI166" s="1"/>
  <c r="AO171" i="7"/>
  <c r="AO199" s="1"/>
  <c r="AO200" s="1"/>
  <c r="AO108" s="1"/>
  <c r="AO109" s="1"/>
  <c r="AL254" i="10"/>
  <c r="AL275" s="1"/>
  <c r="AL276" s="1"/>
  <c r="AL166" s="1"/>
  <c r="AJ254"/>
  <c r="AJ275" s="1"/>
  <c r="AJ276" s="1"/>
  <c r="AJ166" s="1"/>
  <c r="AK254"/>
  <c r="AK275" s="1"/>
  <c r="AK276" s="1"/>
  <c r="AK166" s="1"/>
  <c r="AM254"/>
  <c r="AM275" s="1"/>
  <c r="AM276" s="1"/>
  <c r="AM166" s="1"/>
  <c r="AN242" i="8"/>
  <c r="AN270" s="1"/>
  <c r="AN271" s="1"/>
  <c r="AN99" s="1"/>
  <c r="AN100" s="1"/>
  <c r="AG301" i="10"/>
  <c r="AG302" s="1"/>
  <c r="AG309" s="1"/>
  <c r="AG310" s="1"/>
  <c r="AG204" s="1"/>
  <c r="AG203"/>
  <c r="AM301"/>
  <c r="AM302" s="1"/>
  <c r="AM309" s="1"/>
  <c r="AM310" s="1"/>
  <c r="AM204" s="1"/>
  <c r="AM203"/>
  <c r="AK301"/>
  <c r="AK302" s="1"/>
  <c r="AK309" s="1"/>
  <c r="AK310" s="1"/>
  <c r="AK204" s="1"/>
  <c r="AK203"/>
  <c r="AP88" i="7"/>
  <c r="AI301" i="10"/>
  <c r="AI302" s="1"/>
  <c r="AI309" s="1"/>
  <c r="AI310" s="1"/>
  <c r="AI204" s="1"/>
  <c r="AJ165"/>
  <c r="AH301"/>
  <c r="AH302" s="1"/>
  <c r="AH309" s="1"/>
  <c r="AH310" s="1"/>
  <c r="AH204" s="1"/>
  <c r="K593" i="2"/>
  <c r="K589"/>
  <c r="K585"/>
  <c r="K581"/>
  <c r="AN301" i="10"/>
  <c r="AN302" s="1"/>
  <c r="AN309" s="1"/>
  <c r="AN310" s="1"/>
  <c r="AN204" s="1"/>
  <c r="G53" i="2"/>
  <c r="AL301" i="10"/>
  <c r="AL302" s="1"/>
  <c r="AL309" s="1"/>
  <c r="AL310" s="1"/>
  <c r="AL204" s="1"/>
  <c r="AJ301"/>
  <c r="AJ302" s="1"/>
  <c r="AJ309" s="1"/>
  <c r="AJ310" s="1"/>
  <c r="AJ204" s="1"/>
  <c r="AI165"/>
  <c r="AM165"/>
  <c r="AG251"/>
  <c r="AO165"/>
  <c r="AO251"/>
  <c r="AO254" s="1"/>
  <c r="G18" i="2"/>
  <c r="G20" s="1"/>
  <c r="H49"/>
  <c r="H14"/>
  <c r="AO301" i="10"/>
  <c r="AO302" s="1"/>
  <c r="AO309" s="1"/>
  <c r="AO310" s="1"/>
  <c r="AO204" s="1"/>
  <c r="AP223"/>
  <c r="AP244" s="1"/>
  <c r="AP245" s="1"/>
  <c r="AN251"/>
  <c r="AN254" s="1"/>
  <c r="AN275" s="1"/>
  <c r="AN276" s="1"/>
  <c r="AN166" s="1"/>
  <c r="AN165"/>
  <c r="AO123"/>
  <c r="AP285"/>
  <c r="AP292" s="1"/>
  <c r="AP293" s="1"/>
  <c r="AP203" s="1"/>
  <c r="AP110"/>
  <c r="E649"/>
  <c r="E652" s="1"/>
  <c r="D745"/>
  <c r="E746" s="1"/>
  <c r="AP122"/>
  <c r="D49"/>
  <c r="D281" s="1"/>
  <c r="D297" s="1"/>
  <c r="AP232" i="8"/>
  <c r="AP233" s="1"/>
  <c r="AP239" s="1"/>
  <c r="AN87"/>
  <c r="AN88" s="1"/>
  <c r="AO87"/>
  <c r="AO88" s="1"/>
  <c r="AO79"/>
  <c r="AP73"/>
  <c r="AP78" s="1"/>
  <c r="AJ88"/>
  <c r="AJ101" s="1"/>
  <c r="AH88"/>
  <c r="AH101" s="1"/>
  <c r="C55"/>
  <c r="C607"/>
  <c r="C57"/>
  <c r="C671"/>
  <c r="D668" s="1"/>
  <c r="D671" s="1"/>
  <c r="E668" s="1"/>
  <c r="E671" s="1"/>
  <c r="F668" s="1"/>
  <c r="F671" s="1"/>
  <c r="G668" s="1"/>
  <c r="G671" s="1"/>
  <c r="H668" s="1"/>
  <c r="H671" s="1"/>
  <c r="I668" s="1"/>
  <c r="I671" s="1"/>
  <c r="J668" s="1"/>
  <c r="J671" s="1"/>
  <c r="K668" s="1"/>
  <c r="K671" s="1"/>
  <c r="L668" s="1"/>
  <c r="L671" s="1"/>
  <c r="M668" s="1"/>
  <c r="M671" s="1"/>
  <c r="N668" s="1"/>
  <c r="N671" s="1"/>
  <c r="O668" s="1"/>
  <c r="O671" s="1"/>
  <c r="P668" s="1"/>
  <c r="P671" s="1"/>
  <c r="Q668" s="1"/>
  <c r="Q671" s="1"/>
  <c r="R668" s="1"/>
  <c r="R671" s="1"/>
  <c r="S668" s="1"/>
  <c r="S671" s="1"/>
  <c r="T668" s="1"/>
  <c r="T671" s="1"/>
  <c r="U668" s="1"/>
  <c r="U671" s="1"/>
  <c r="V668" s="1"/>
  <c r="V671" s="1"/>
  <c r="W668" s="1"/>
  <c r="W671" s="1"/>
  <c r="X668" s="1"/>
  <c r="X671" s="1"/>
  <c r="Y668" s="1"/>
  <c r="Y671" s="1"/>
  <c r="Z668" s="1"/>
  <c r="Z671" s="1"/>
  <c r="AA668" s="1"/>
  <c r="AA671" s="1"/>
  <c r="AB668" s="1"/>
  <c r="AB671" s="1"/>
  <c r="AC668" s="1"/>
  <c r="AC671" s="1"/>
  <c r="AD668" s="1"/>
  <c r="AD671" s="1"/>
  <c r="AE668" s="1"/>
  <c r="AE671" s="1"/>
  <c r="AF668" s="1"/>
  <c r="AF671" s="1"/>
  <c r="AG668" s="1"/>
  <c r="AG671" s="1"/>
  <c r="AH668" s="1"/>
  <c r="AH671" s="1"/>
  <c r="AI668" s="1"/>
  <c r="AI671" s="1"/>
  <c r="AJ668" s="1"/>
  <c r="AJ671" s="1"/>
  <c r="AK668" s="1"/>
  <c r="AK671" s="1"/>
  <c r="AL668" s="1"/>
  <c r="AL671" s="1"/>
  <c r="AM668" s="1"/>
  <c r="AM671" s="1"/>
  <c r="AN668" s="1"/>
  <c r="AN671" s="1"/>
  <c r="AO668" s="1"/>
  <c r="AO671" s="1"/>
  <c r="AP668" s="1"/>
  <c r="AP671" s="1"/>
  <c r="AI88"/>
  <c r="AI101" s="1"/>
  <c r="AG88"/>
  <c r="AG101" s="1"/>
  <c r="AL88"/>
  <c r="AL101" s="1"/>
  <c r="AM88"/>
  <c r="AM101" s="1"/>
  <c r="AO239"/>
  <c r="AO98"/>
  <c r="C56"/>
  <c r="C639"/>
  <c r="D636" s="1"/>
  <c r="D639" s="1"/>
  <c r="E636" s="1"/>
  <c r="E639" s="1"/>
  <c r="F636" s="1"/>
  <c r="F639" s="1"/>
  <c r="G636" s="1"/>
  <c r="G639" s="1"/>
  <c r="H636" s="1"/>
  <c r="H639" s="1"/>
  <c r="I636" s="1"/>
  <c r="I639" s="1"/>
  <c r="J636" s="1"/>
  <c r="J639" s="1"/>
  <c r="K636" s="1"/>
  <c r="K639" s="1"/>
  <c r="L636" s="1"/>
  <c r="L639" s="1"/>
  <c r="M636" s="1"/>
  <c r="M639" s="1"/>
  <c r="N636" s="1"/>
  <c r="N639" s="1"/>
  <c r="O636" s="1"/>
  <c r="O639" s="1"/>
  <c r="P636" s="1"/>
  <c r="P639" s="1"/>
  <c r="Q636" s="1"/>
  <c r="Q639" s="1"/>
  <c r="R636" s="1"/>
  <c r="R639" s="1"/>
  <c r="S636" s="1"/>
  <c r="S639" s="1"/>
  <c r="T636" s="1"/>
  <c r="T639" s="1"/>
  <c r="U636" s="1"/>
  <c r="U639" s="1"/>
  <c r="V636" s="1"/>
  <c r="V639" s="1"/>
  <c r="W636" s="1"/>
  <c r="W639" s="1"/>
  <c r="X636" s="1"/>
  <c r="X639" s="1"/>
  <c r="Y636" s="1"/>
  <c r="Y639" s="1"/>
  <c r="Z636" s="1"/>
  <c r="Z639" s="1"/>
  <c r="AA636" s="1"/>
  <c r="AA639" s="1"/>
  <c r="AB636" s="1"/>
  <c r="AB639" s="1"/>
  <c r="AC636" s="1"/>
  <c r="AC639" s="1"/>
  <c r="AD636" s="1"/>
  <c r="AD639" s="1"/>
  <c r="AE636" s="1"/>
  <c r="AE639" s="1"/>
  <c r="AF636" s="1"/>
  <c r="AF639" s="1"/>
  <c r="AG636" s="1"/>
  <c r="AG639" s="1"/>
  <c r="AH636" s="1"/>
  <c r="AH639" s="1"/>
  <c r="AI636" s="1"/>
  <c r="AI639" s="1"/>
  <c r="AJ636" s="1"/>
  <c r="AJ639" s="1"/>
  <c r="AK636" s="1"/>
  <c r="AK639" s="1"/>
  <c r="AL636" s="1"/>
  <c r="AL639" s="1"/>
  <c r="AM636" s="1"/>
  <c r="AM639" s="1"/>
  <c r="AN636" s="1"/>
  <c r="AN639" s="1"/>
  <c r="AO636" s="1"/>
  <c r="AO639" s="1"/>
  <c r="AP636" s="1"/>
  <c r="AP639" s="1"/>
  <c r="AK88"/>
  <c r="AK101" s="1"/>
  <c r="M568" i="7"/>
  <c r="M571" s="1"/>
  <c r="AP97"/>
  <c r="AP168"/>
  <c r="AP107"/>
  <c r="AO97"/>
  <c r="H15" i="2"/>
  <c r="H50"/>
  <c r="H228"/>
  <c r="H267"/>
  <c r="H17"/>
  <c r="H52"/>
  <c r="H230"/>
  <c r="H269"/>
  <c r="I71"/>
  <c r="K5"/>
  <c r="K722"/>
  <c r="K396" s="1"/>
  <c r="K531" s="1"/>
  <c r="K720"/>
  <c r="K394" s="1"/>
  <c r="K529" s="1"/>
  <c r="K718"/>
  <c r="K392" s="1"/>
  <c r="K527" s="1"/>
  <c r="K716"/>
  <c r="K390" s="1"/>
  <c r="K525" s="1"/>
  <c r="K714"/>
  <c r="K388" s="1"/>
  <c r="K523" s="1"/>
  <c r="K690"/>
  <c r="K370" s="1"/>
  <c r="K505" s="1"/>
  <c r="K688"/>
  <c r="K368" s="1"/>
  <c r="K503" s="1"/>
  <c r="K721"/>
  <c r="K395" s="1"/>
  <c r="K530" s="1"/>
  <c r="K719"/>
  <c r="K393" s="1"/>
  <c r="K528" s="1"/>
  <c r="K717"/>
  <c r="K391" s="1"/>
  <c r="K526" s="1"/>
  <c r="K715"/>
  <c r="K389" s="1"/>
  <c r="K524" s="1"/>
  <c r="K713"/>
  <c r="K387" s="1"/>
  <c r="K522" s="1"/>
  <c r="K689"/>
  <c r="K369" s="1"/>
  <c r="K504" s="1"/>
  <c r="K686"/>
  <c r="K366" s="1"/>
  <c r="K501" s="1"/>
  <c r="K684"/>
  <c r="K364" s="1"/>
  <c r="K499" s="1"/>
  <c r="K682"/>
  <c r="K362" s="1"/>
  <c r="K497" s="1"/>
  <c r="K658"/>
  <c r="K656"/>
  <c r="K654"/>
  <c r="K652"/>
  <c r="K650"/>
  <c r="K726"/>
  <c r="K730"/>
  <c r="K732"/>
  <c r="K734"/>
  <c r="K685"/>
  <c r="K365" s="1"/>
  <c r="K500" s="1"/>
  <c r="K681"/>
  <c r="K361" s="1"/>
  <c r="K496" s="1"/>
  <c r="K657"/>
  <c r="K344" s="1"/>
  <c r="K478" s="1"/>
  <c r="K653"/>
  <c r="K340" s="1"/>
  <c r="K474" s="1"/>
  <c r="K687"/>
  <c r="K367" s="1"/>
  <c r="K502" s="1"/>
  <c r="K683"/>
  <c r="K363" s="1"/>
  <c r="K498" s="1"/>
  <c r="K655"/>
  <c r="K651"/>
  <c r="K338" s="1"/>
  <c r="K472" s="1"/>
  <c r="K728"/>
  <c r="K731"/>
  <c r="K649"/>
  <c r="K336" s="1"/>
  <c r="K470" s="1"/>
  <c r="K733"/>
  <c r="K695"/>
  <c r="K697"/>
  <c r="K699"/>
  <c r="K701"/>
  <c r="K729"/>
  <c r="K694"/>
  <c r="K696"/>
  <c r="K698"/>
  <c r="K700"/>
  <c r="K702"/>
  <c r="J691"/>
  <c r="J676" s="1"/>
  <c r="J69" s="1"/>
  <c r="J723"/>
  <c r="J708" s="1"/>
  <c r="J70" s="1"/>
  <c r="G270"/>
  <c r="G271" s="1"/>
  <c r="K548"/>
  <c r="K549" s="1"/>
  <c r="K554"/>
  <c r="K555" s="1"/>
  <c r="K608"/>
  <c r="K601"/>
  <c r="K602" s="1"/>
  <c r="L11"/>
  <c r="K313"/>
  <c r="K315"/>
  <c r="K317"/>
  <c r="K316"/>
  <c r="K448"/>
  <c r="K450"/>
  <c r="K452"/>
  <c r="K314"/>
  <c r="K318"/>
  <c r="K447"/>
  <c r="K449"/>
  <c r="K451"/>
  <c r="K466" s="1"/>
  <c r="K19"/>
  <c r="I117"/>
  <c r="H116"/>
  <c r="K663"/>
  <c r="K664"/>
  <c r="K665"/>
  <c r="K666"/>
  <c r="K667"/>
  <c r="K668"/>
  <c r="K669"/>
  <c r="K670"/>
  <c r="H105"/>
  <c r="J332"/>
  <c r="K465"/>
  <c r="K331"/>
  <c r="J639"/>
  <c r="K636" s="1"/>
  <c r="J62"/>
  <c r="K337"/>
  <c r="K471" s="1"/>
  <c r="K339"/>
  <c r="K473" s="1"/>
  <c r="K341"/>
  <c r="K475" s="1"/>
  <c r="K343"/>
  <c r="K477" s="1"/>
  <c r="K345"/>
  <c r="K479" s="1"/>
  <c r="K638"/>
  <c r="K62" s="1"/>
  <c r="K342"/>
  <c r="K476" s="1"/>
  <c r="J659"/>
  <c r="J644" s="1"/>
  <c r="J68" s="1"/>
  <c r="G231"/>
  <c r="G232" s="1"/>
  <c r="I550"/>
  <c r="I551" s="1"/>
  <c r="I103" s="1"/>
  <c r="I244" s="1"/>
  <c r="I556"/>
  <c r="I557" s="1"/>
  <c r="I104" s="1"/>
  <c r="K23"/>
  <c r="K26"/>
  <c r="K30"/>
  <c r="H18"/>
  <c r="H20" s="1"/>
  <c r="H266"/>
  <c r="H227"/>
  <c r="H268"/>
  <c r="H229"/>
  <c r="H597"/>
  <c r="I594"/>
  <c r="I595" s="1"/>
  <c r="I586"/>
  <c r="I587" s="1"/>
  <c r="I582"/>
  <c r="I583" s="1"/>
  <c r="I590"/>
  <c r="I591" s="1"/>
  <c r="I51" s="1"/>
  <c r="K632"/>
  <c r="J27"/>
  <c r="I29"/>
  <c r="I31" s="1"/>
  <c r="L2"/>
  <c r="K25"/>
  <c r="J10"/>
  <c r="J12" s="1"/>
  <c r="F9" i="1"/>
  <c r="AP171" i="7" l="1"/>
  <c r="AP199" s="1"/>
  <c r="AP200" s="1"/>
  <c r="AP108" s="1"/>
  <c r="AP109" s="1"/>
  <c r="AP110" s="1"/>
  <c r="AG254" i="10"/>
  <c r="AG275" s="1"/>
  <c r="AG276" s="1"/>
  <c r="AG166" s="1"/>
  <c r="AO242" i="8"/>
  <c r="AO270" s="1"/>
  <c r="AO271" s="1"/>
  <c r="AO99" s="1"/>
  <c r="AO100" s="1"/>
  <c r="AO101" s="1"/>
  <c r="AN101"/>
  <c r="AP242"/>
  <c r="AP270" s="1"/>
  <c r="AP271" s="1"/>
  <c r="AP99" s="1"/>
  <c r="L593" i="2"/>
  <c r="L589"/>
  <c r="L585"/>
  <c r="L581"/>
  <c r="AP165" i="10"/>
  <c r="AP251"/>
  <c r="AP254" s="1"/>
  <c r="I49" i="2"/>
  <c r="I14"/>
  <c r="AP301" i="10"/>
  <c r="AP302" s="1"/>
  <c r="AP309" s="1"/>
  <c r="AP310" s="1"/>
  <c r="AP204" s="1"/>
  <c r="AP98" i="8"/>
  <c r="AP123" i="10"/>
  <c r="AO275"/>
  <c r="AO276" s="1"/>
  <c r="AO166" s="1"/>
  <c r="F649"/>
  <c r="F652" s="1"/>
  <c r="E745"/>
  <c r="F746" s="1"/>
  <c r="E49"/>
  <c r="E281" s="1"/>
  <c r="E297" s="1"/>
  <c r="D604" i="8"/>
  <c r="D607" s="1"/>
  <c r="C700"/>
  <c r="AP87"/>
  <c r="AP88" s="1"/>
  <c r="AP79"/>
  <c r="N568" i="7"/>
  <c r="N571" s="1"/>
  <c r="AO110"/>
  <c r="H53" i="2"/>
  <c r="I17"/>
  <c r="I52"/>
  <c r="I230"/>
  <c r="I269"/>
  <c r="I15"/>
  <c r="I50"/>
  <c r="I53" s="1"/>
  <c r="I228"/>
  <c r="I267"/>
  <c r="J71"/>
  <c r="K723"/>
  <c r="K708" s="1"/>
  <c r="K70" s="1"/>
  <c r="L5"/>
  <c r="L721"/>
  <c r="L395" s="1"/>
  <c r="L530" s="1"/>
  <c r="L719"/>
  <c r="L393" s="1"/>
  <c r="L528" s="1"/>
  <c r="L717"/>
  <c r="L391" s="1"/>
  <c r="L526" s="1"/>
  <c r="L715"/>
  <c r="L389" s="1"/>
  <c r="L524" s="1"/>
  <c r="L713"/>
  <c r="L387" s="1"/>
  <c r="L522" s="1"/>
  <c r="L689"/>
  <c r="L369" s="1"/>
  <c r="L504" s="1"/>
  <c r="L722"/>
  <c r="L396" s="1"/>
  <c r="L531" s="1"/>
  <c r="L720"/>
  <c r="L394" s="1"/>
  <c r="L529" s="1"/>
  <c r="L718"/>
  <c r="L392" s="1"/>
  <c r="L527" s="1"/>
  <c r="L716"/>
  <c r="L390" s="1"/>
  <c r="L525" s="1"/>
  <c r="L714"/>
  <c r="L388" s="1"/>
  <c r="L523" s="1"/>
  <c r="L690"/>
  <c r="L370" s="1"/>
  <c r="L505" s="1"/>
  <c r="L687"/>
  <c r="L367" s="1"/>
  <c r="L502" s="1"/>
  <c r="L685"/>
  <c r="L365" s="1"/>
  <c r="L500" s="1"/>
  <c r="L683"/>
  <c r="L363" s="1"/>
  <c r="L498" s="1"/>
  <c r="L681"/>
  <c r="L361" s="1"/>
  <c r="L496" s="1"/>
  <c r="L657"/>
  <c r="L344" s="1"/>
  <c r="L478" s="1"/>
  <c r="L655"/>
  <c r="L342" s="1"/>
  <c r="L476" s="1"/>
  <c r="L653"/>
  <c r="L340" s="1"/>
  <c r="L474" s="1"/>
  <c r="L651"/>
  <c r="L338" s="1"/>
  <c r="L472" s="1"/>
  <c r="L649"/>
  <c r="L336" s="1"/>
  <c r="L470" s="1"/>
  <c r="L729"/>
  <c r="L731"/>
  <c r="L733"/>
  <c r="L688"/>
  <c r="L368" s="1"/>
  <c r="L503" s="1"/>
  <c r="L686"/>
  <c r="L366" s="1"/>
  <c r="L501" s="1"/>
  <c r="L682"/>
  <c r="L362" s="1"/>
  <c r="L497" s="1"/>
  <c r="L658"/>
  <c r="L345" s="1"/>
  <c r="L479" s="1"/>
  <c r="L654"/>
  <c r="L341" s="1"/>
  <c r="L475" s="1"/>
  <c r="L684"/>
  <c r="L364" s="1"/>
  <c r="L499" s="1"/>
  <c r="L656"/>
  <c r="L343" s="1"/>
  <c r="L477" s="1"/>
  <c r="L652"/>
  <c r="L339" s="1"/>
  <c r="L473" s="1"/>
  <c r="L727"/>
  <c r="L732"/>
  <c r="L650"/>
  <c r="L726"/>
  <c r="L734"/>
  <c r="L694"/>
  <c r="L696"/>
  <c r="L698"/>
  <c r="L700"/>
  <c r="L702"/>
  <c r="L730"/>
  <c r="L695"/>
  <c r="L697"/>
  <c r="L699"/>
  <c r="L701"/>
  <c r="K691"/>
  <c r="K676" s="1"/>
  <c r="K69" s="1"/>
  <c r="L548"/>
  <c r="L549" s="1"/>
  <c r="L554"/>
  <c r="L555" s="1"/>
  <c r="L601"/>
  <c r="L602" s="1"/>
  <c r="L608"/>
  <c r="M11"/>
  <c r="L314"/>
  <c r="L316"/>
  <c r="L318"/>
  <c r="L447"/>
  <c r="L448"/>
  <c r="L449"/>
  <c r="L450"/>
  <c r="L451"/>
  <c r="L466" s="1"/>
  <c r="L452"/>
  <c r="L313"/>
  <c r="L317"/>
  <c r="L315"/>
  <c r="L19"/>
  <c r="J117"/>
  <c r="I116"/>
  <c r="L664"/>
  <c r="L665"/>
  <c r="L666"/>
  <c r="L667"/>
  <c r="L668"/>
  <c r="L669"/>
  <c r="L670"/>
  <c r="L663"/>
  <c r="I105"/>
  <c r="K332"/>
  <c r="L465"/>
  <c r="L331"/>
  <c r="K639"/>
  <c r="L636" s="1"/>
  <c r="L337"/>
  <c r="L471" s="1"/>
  <c r="L638"/>
  <c r="L62" s="1"/>
  <c r="K659"/>
  <c r="K644" s="1"/>
  <c r="K68" s="1"/>
  <c r="J550"/>
  <c r="J551" s="1"/>
  <c r="J103" s="1"/>
  <c r="J244" s="1"/>
  <c r="J556"/>
  <c r="J557" s="1"/>
  <c r="J104" s="1"/>
  <c r="L23"/>
  <c r="L26"/>
  <c r="L30"/>
  <c r="I268"/>
  <c r="I229"/>
  <c r="H270"/>
  <c r="H271" s="1"/>
  <c r="I266"/>
  <c r="I227"/>
  <c r="H231"/>
  <c r="H232" s="1"/>
  <c r="I597"/>
  <c r="J590"/>
  <c r="J591" s="1"/>
  <c r="J51" s="1"/>
  <c r="J594"/>
  <c r="J595" s="1"/>
  <c r="J586"/>
  <c r="J587" s="1"/>
  <c r="J582"/>
  <c r="J583" s="1"/>
  <c r="J29"/>
  <c r="J31" s="1"/>
  <c r="M2"/>
  <c r="L25"/>
  <c r="K10"/>
  <c r="K12" s="1"/>
  <c r="K27"/>
  <c r="AP100" i="8" l="1"/>
  <c r="I18" i="2"/>
  <c r="I20" s="1"/>
  <c r="M593"/>
  <c r="M589"/>
  <c r="M585"/>
  <c r="M581"/>
  <c r="J49"/>
  <c r="J14"/>
  <c r="AP275" i="10"/>
  <c r="AP276" s="1"/>
  <c r="AP166" s="1"/>
  <c r="G649"/>
  <c r="G652" s="1"/>
  <c r="F745"/>
  <c r="G746" s="1"/>
  <c r="F49"/>
  <c r="F281" s="1"/>
  <c r="F297" s="1"/>
  <c r="E604" i="8"/>
  <c r="E607" s="1"/>
  <c r="D700"/>
  <c r="AP101"/>
  <c r="O568" i="7"/>
  <c r="O571" s="1"/>
  <c r="J17" i="2"/>
  <c r="J52"/>
  <c r="J230"/>
  <c r="J269"/>
  <c r="J15"/>
  <c r="J50"/>
  <c r="J228"/>
  <c r="J267"/>
  <c r="K71"/>
  <c r="M5"/>
  <c r="M722"/>
  <c r="M396" s="1"/>
  <c r="M531" s="1"/>
  <c r="M720"/>
  <c r="M394" s="1"/>
  <c r="M529" s="1"/>
  <c r="M718"/>
  <c r="M392" s="1"/>
  <c r="M527" s="1"/>
  <c r="M716"/>
  <c r="M390" s="1"/>
  <c r="M525" s="1"/>
  <c r="M714"/>
  <c r="M388" s="1"/>
  <c r="M523" s="1"/>
  <c r="M690"/>
  <c r="M370" s="1"/>
  <c r="M505" s="1"/>
  <c r="M688"/>
  <c r="M368" s="1"/>
  <c r="M503" s="1"/>
  <c r="M721"/>
  <c r="M395" s="1"/>
  <c r="M530" s="1"/>
  <c r="M719"/>
  <c r="M393" s="1"/>
  <c r="M528" s="1"/>
  <c r="M717"/>
  <c r="M391" s="1"/>
  <c r="M526" s="1"/>
  <c r="M715"/>
  <c r="M389" s="1"/>
  <c r="M524" s="1"/>
  <c r="M713"/>
  <c r="M387" s="1"/>
  <c r="M522" s="1"/>
  <c r="M689"/>
  <c r="M369" s="1"/>
  <c r="M504" s="1"/>
  <c r="M686"/>
  <c r="M366" s="1"/>
  <c r="M501" s="1"/>
  <c r="M684"/>
  <c r="M364" s="1"/>
  <c r="M499" s="1"/>
  <c r="M682"/>
  <c r="M362" s="1"/>
  <c r="M497" s="1"/>
  <c r="M658"/>
  <c r="M345" s="1"/>
  <c r="M479" s="1"/>
  <c r="M656"/>
  <c r="M343" s="1"/>
  <c r="M477" s="1"/>
  <c r="M654"/>
  <c r="M652"/>
  <c r="M339" s="1"/>
  <c r="M473" s="1"/>
  <c r="M650"/>
  <c r="M337" s="1"/>
  <c r="M471" s="1"/>
  <c r="M726"/>
  <c r="M727"/>
  <c r="M730"/>
  <c r="M732"/>
  <c r="M734"/>
  <c r="M687"/>
  <c r="M367" s="1"/>
  <c r="M502" s="1"/>
  <c r="M683"/>
  <c r="M363" s="1"/>
  <c r="M498" s="1"/>
  <c r="M655"/>
  <c r="M342" s="1"/>
  <c r="M476" s="1"/>
  <c r="M651"/>
  <c r="M338" s="1"/>
  <c r="M472" s="1"/>
  <c r="M685"/>
  <c r="M365" s="1"/>
  <c r="M500" s="1"/>
  <c r="M681"/>
  <c r="M361" s="1"/>
  <c r="M496" s="1"/>
  <c r="M657"/>
  <c r="M344" s="1"/>
  <c r="M478" s="1"/>
  <c r="M653"/>
  <c r="M340" s="1"/>
  <c r="M474" s="1"/>
  <c r="M649"/>
  <c r="M336" s="1"/>
  <c r="M470" s="1"/>
  <c r="M729"/>
  <c r="M733"/>
  <c r="M695"/>
  <c r="M697"/>
  <c r="M699"/>
  <c r="M701"/>
  <c r="M731"/>
  <c r="M696"/>
  <c r="M698"/>
  <c r="M700"/>
  <c r="M702"/>
  <c r="L691"/>
  <c r="L676" s="1"/>
  <c r="L69" s="1"/>
  <c r="L723"/>
  <c r="L708" s="1"/>
  <c r="L70" s="1"/>
  <c r="M548"/>
  <c r="M549" s="1"/>
  <c r="M554"/>
  <c r="M555" s="1"/>
  <c r="M608"/>
  <c r="M601"/>
  <c r="M602" s="1"/>
  <c r="N11"/>
  <c r="M313"/>
  <c r="M315"/>
  <c r="M317"/>
  <c r="M314"/>
  <c r="M318"/>
  <c r="M447"/>
  <c r="M449"/>
  <c r="M451"/>
  <c r="M466" s="1"/>
  <c r="M316"/>
  <c r="M448"/>
  <c r="M450"/>
  <c r="M452"/>
  <c r="K117"/>
  <c r="M19"/>
  <c r="J116"/>
  <c r="M663"/>
  <c r="M664"/>
  <c r="M665"/>
  <c r="M666"/>
  <c r="M667"/>
  <c r="M668"/>
  <c r="M669"/>
  <c r="M670"/>
  <c r="J105"/>
  <c r="L332"/>
  <c r="M465"/>
  <c r="L639"/>
  <c r="M636" s="1"/>
  <c r="M331"/>
  <c r="M341"/>
  <c r="M475" s="1"/>
  <c r="M638"/>
  <c r="M62" s="1"/>
  <c r="L659"/>
  <c r="L644" s="1"/>
  <c r="L68" s="1"/>
  <c r="K550"/>
  <c r="K551" s="1"/>
  <c r="K103" s="1"/>
  <c r="K244" s="1"/>
  <c r="K556"/>
  <c r="K557" s="1"/>
  <c r="K104" s="1"/>
  <c r="I270"/>
  <c r="I271" s="1"/>
  <c r="M23"/>
  <c r="M26"/>
  <c r="M30"/>
  <c r="I231"/>
  <c r="I232" s="1"/>
  <c r="J268"/>
  <c r="J229"/>
  <c r="J266"/>
  <c r="J227"/>
  <c r="J597"/>
  <c r="K594"/>
  <c r="K595" s="1"/>
  <c r="K586"/>
  <c r="K587" s="1"/>
  <c r="K582"/>
  <c r="K583" s="1"/>
  <c r="K590"/>
  <c r="K591" s="1"/>
  <c r="K51" s="1"/>
  <c r="L27"/>
  <c r="N2"/>
  <c r="M25"/>
  <c r="L10"/>
  <c r="L12" s="1"/>
  <c r="K29"/>
  <c r="K31" s="1"/>
  <c r="J18" l="1"/>
  <c r="J20" s="1"/>
  <c r="N593"/>
  <c r="N589"/>
  <c r="N585"/>
  <c r="N581"/>
  <c r="J53"/>
  <c r="K49"/>
  <c r="K14"/>
  <c r="H649" i="10"/>
  <c r="H652" s="1"/>
  <c r="G745"/>
  <c r="H746" s="1"/>
  <c r="G49"/>
  <c r="G281" s="1"/>
  <c r="G297" s="1"/>
  <c r="F604" i="8"/>
  <c r="F607" s="1"/>
  <c r="E700"/>
  <c r="P568" i="7"/>
  <c r="P571" s="1"/>
  <c r="K17" i="2"/>
  <c r="K52"/>
  <c r="K230"/>
  <c r="K269"/>
  <c r="K15"/>
  <c r="K50"/>
  <c r="K228"/>
  <c r="K267"/>
  <c r="L71"/>
  <c r="N5"/>
  <c r="N721"/>
  <c r="N395" s="1"/>
  <c r="N530" s="1"/>
  <c r="N719"/>
  <c r="N393" s="1"/>
  <c r="N528" s="1"/>
  <c r="N717"/>
  <c r="N391" s="1"/>
  <c r="N526" s="1"/>
  <c r="N715"/>
  <c r="N389" s="1"/>
  <c r="N524" s="1"/>
  <c r="N713"/>
  <c r="N387" s="1"/>
  <c r="N522" s="1"/>
  <c r="N689"/>
  <c r="N369" s="1"/>
  <c r="N504" s="1"/>
  <c r="N722"/>
  <c r="N396" s="1"/>
  <c r="N531" s="1"/>
  <c r="N720"/>
  <c r="N394" s="1"/>
  <c r="N529" s="1"/>
  <c r="N718"/>
  <c r="N392" s="1"/>
  <c r="N527" s="1"/>
  <c r="N716"/>
  <c r="N390" s="1"/>
  <c r="N525" s="1"/>
  <c r="N714"/>
  <c r="N388" s="1"/>
  <c r="N523" s="1"/>
  <c r="N690"/>
  <c r="N370" s="1"/>
  <c r="N505" s="1"/>
  <c r="N688"/>
  <c r="N368" s="1"/>
  <c r="N503" s="1"/>
  <c r="N687"/>
  <c r="N367" s="1"/>
  <c r="N502" s="1"/>
  <c r="N685"/>
  <c r="N365" s="1"/>
  <c r="N500" s="1"/>
  <c r="N683"/>
  <c r="N363" s="1"/>
  <c r="N498" s="1"/>
  <c r="N681"/>
  <c r="N361" s="1"/>
  <c r="N496" s="1"/>
  <c r="N657"/>
  <c r="N344" s="1"/>
  <c r="N478" s="1"/>
  <c r="N655"/>
  <c r="N342" s="1"/>
  <c r="N476" s="1"/>
  <c r="N653"/>
  <c r="N340" s="1"/>
  <c r="N474" s="1"/>
  <c r="N651"/>
  <c r="N338" s="1"/>
  <c r="N472" s="1"/>
  <c r="N649"/>
  <c r="N336" s="1"/>
  <c r="N470" s="1"/>
  <c r="N729"/>
  <c r="N731"/>
  <c r="N733"/>
  <c r="N684"/>
  <c r="N364" s="1"/>
  <c r="N499" s="1"/>
  <c r="N656"/>
  <c r="N343" s="1"/>
  <c r="N477" s="1"/>
  <c r="N652"/>
  <c r="N339" s="1"/>
  <c r="N473" s="1"/>
  <c r="N686"/>
  <c r="N366" s="1"/>
  <c r="N501" s="1"/>
  <c r="N682"/>
  <c r="N362" s="1"/>
  <c r="N497" s="1"/>
  <c r="N658"/>
  <c r="N345" s="1"/>
  <c r="N479" s="1"/>
  <c r="N654"/>
  <c r="N341" s="1"/>
  <c r="N475" s="1"/>
  <c r="N650"/>
  <c r="N337" s="1"/>
  <c r="N471" s="1"/>
  <c r="N726"/>
  <c r="N730"/>
  <c r="N734"/>
  <c r="N727"/>
  <c r="N696"/>
  <c r="N698"/>
  <c r="N700"/>
  <c r="N702"/>
  <c r="N732"/>
  <c r="N695"/>
  <c r="N697"/>
  <c r="N699"/>
  <c r="N701"/>
  <c r="M691"/>
  <c r="M676" s="1"/>
  <c r="M69" s="1"/>
  <c r="M723"/>
  <c r="M708" s="1"/>
  <c r="M70" s="1"/>
  <c r="N548"/>
  <c r="N549" s="1"/>
  <c r="N554"/>
  <c r="N555" s="1"/>
  <c r="N601"/>
  <c r="N602" s="1"/>
  <c r="N608"/>
  <c r="O11"/>
  <c r="N314"/>
  <c r="N316"/>
  <c r="N318"/>
  <c r="N447"/>
  <c r="N448"/>
  <c r="N449"/>
  <c r="N450"/>
  <c r="N451"/>
  <c r="N466" s="1"/>
  <c r="N452"/>
  <c r="N315"/>
  <c r="N313"/>
  <c r="N317"/>
  <c r="L117"/>
  <c r="N19"/>
  <c r="K116"/>
  <c r="J231"/>
  <c r="J232" s="1"/>
  <c r="N664"/>
  <c r="N665"/>
  <c r="N666"/>
  <c r="N667"/>
  <c r="N668"/>
  <c r="N669"/>
  <c r="N670"/>
  <c r="N663"/>
  <c r="K105"/>
  <c r="N465"/>
  <c r="M332"/>
  <c r="N331"/>
  <c r="J270"/>
  <c r="J271" s="1"/>
  <c r="M639"/>
  <c r="N636" s="1"/>
  <c r="N638"/>
  <c r="N62" s="1"/>
  <c r="M659"/>
  <c r="M644" s="1"/>
  <c r="M68" s="1"/>
  <c r="L550"/>
  <c r="L551" s="1"/>
  <c r="L103" s="1"/>
  <c r="L244" s="1"/>
  <c r="L556"/>
  <c r="L557" s="1"/>
  <c r="L104" s="1"/>
  <c r="N23"/>
  <c r="N26"/>
  <c r="N30"/>
  <c r="K266"/>
  <c r="K227"/>
  <c r="K268"/>
  <c r="K229"/>
  <c r="M27"/>
  <c r="K597"/>
  <c r="L590"/>
  <c r="L591" s="1"/>
  <c r="L51" s="1"/>
  <c r="L594"/>
  <c r="L595" s="1"/>
  <c r="L586"/>
  <c r="L587" s="1"/>
  <c r="L582"/>
  <c r="L583" s="1"/>
  <c r="E158" i="1"/>
  <c r="D158"/>
  <c r="C158"/>
  <c r="B158"/>
  <c r="M10" i="2"/>
  <c r="M12" s="1"/>
  <c r="O2"/>
  <c r="N25"/>
  <c r="L29"/>
  <c r="L31" s="1"/>
  <c r="K18" l="1"/>
  <c r="K20" s="1"/>
  <c r="O593"/>
  <c r="O589"/>
  <c r="O585"/>
  <c r="O581"/>
  <c r="K53"/>
  <c r="L49"/>
  <c r="L14"/>
  <c r="I649" i="10"/>
  <c r="I652" s="1"/>
  <c r="H745"/>
  <c r="I746" s="1"/>
  <c r="H49"/>
  <c r="H281" s="1"/>
  <c r="H297" s="1"/>
  <c r="G604" i="8"/>
  <c r="G607" s="1"/>
  <c r="F700"/>
  <c r="Q568" i="7"/>
  <c r="Q571" s="1"/>
  <c r="L17" i="2"/>
  <c r="L52"/>
  <c r="L230"/>
  <c r="L269"/>
  <c r="L15"/>
  <c r="L50"/>
  <c r="L228"/>
  <c r="L267"/>
  <c r="M71"/>
  <c r="O5"/>
  <c r="O722"/>
  <c r="O396" s="1"/>
  <c r="O531" s="1"/>
  <c r="O720"/>
  <c r="O394" s="1"/>
  <c r="O529" s="1"/>
  <c r="O718"/>
  <c r="O392" s="1"/>
  <c r="O527" s="1"/>
  <c r="O716"/>
  <c r="O390" s="1"/>
  <c r="O525" s="1"/>
  <c r="O714"/>
  <c r="O388" s="1"/>
  <c r="O523" s="1"/>
  <c r="O690"/>
  <c r="O370" s="1"/>
  <c r="O505" s="1"/>
  <c r="O688"/>
  <c r="O368" s="1"/>
  <c r="O503" s="1"/>
  <c r="O721"/>
  <c r="O395" s="1"/>
  <c r="O530" s="1"/>
  <c r="O719"/>
  <c r="O393" s="1"/>
  <c r="O528" s="1"/>
  <c r="O717"/>
  <c r="O391" s="1"/>
  <c r="O526" s="1"/>
  <c r="O715"/>
  <c r="O389" s="1"/>
  <c r="O524" s="1"/>
  <c r="O713"/>
  <c r="O387" s="1"/>
  <c r="O522" s="1"/>
  <c r="O689"/>
  <c r="O369" s="1"/>
  <c r="O504" s="1"/>
  <c r="O686"/>
  <c r="O366" s="1"/>
  <c r="O501" s="1"/>
  <c r="O684"/>
  <c r="O364" s="1"/>
  <c r="O499" s="1"/>
  <c r="O682"/>
  <c r="O362" s="1"/>
  <c r="O497" s="1"/>
  <c r="O658"/>
  <c r="O345" s="1"/>
  <c r="O479" s="1"/>
  <c r="O656"/>
  <c r="O343" s="1"/>
  <c r="O477" s="1"/>
  <c r="O654"/>
  <c r="O341" s="1"/>
  <c r="O475" s="1"/>
  <c r="O652"/>
  <c r="O339" s="1"/>
  <c r="O473" s="1"/>
  <c r="O650"/>
  <c r="O337" s="1"/>
  <c r="O471" s="1"/>
  <c r="O726"/>
  <c r="O727"/>
  <c r="O730"/>
  <c r="O732"/>
  <c r="O734"/>
  <c r="O685"/>
  <c r="O365" s="1"/>
  <c r="O500" s="1"/>
  <c r="O681"/>
  <c r="O361" s="1"/>
  <c r="O496" s="1"/>
  <c r="O657"/>
  <c r="O344" s="1"/>
  <c r="O478" s="1"/>
  <c r="O653"/>
  <c r="O340" s="1"/>
  <c r="O474" s="1"/>
  <c r="O687"/>
  <c r="O367" s="1"/>
  <c r="O502" s="1"/>
  <c r="O683"/>
  <c r="O363" s="1"/>
  <c r="O498" s="1"/>
  <c r="O655"/>
  <c r="O342" s="1"/>
  <c r="O476" s="1"/>
  <c r="O651"/>
  <c r="O338" s="1"/>
  <c r="O472" s="1"/>
  <c r="O728"/>
  <c r="O731"/>
  <c r="O695"/>
  <c r="O697"/>
  <c r="O699"/>
  <c r="O701"/>
  <c r="O649"/>
  <c r="O336" s="1"/>
  <c r="O470" s="1"/>
  <c r="O733"/>
  <c r="O696"/>
  <c r="O698"/>
  <c r="O700"/>
  <c r="O702"/>
  <c r="N691"/>
  <c r="N676" s="1"/>
  <c r="N69" s="1"/>
  <c r="N723"/>
  <c r="N708" s="1"/>
  <c r="N70" s="1"/>
  <c r="O661"/>
  <c r="O548"/>
  <c r="O554"/>
  <c r="O555" s="1"/>
  <c r="O608"/>
  <c r="O601"/>
  <c r="O602" s="1"/>
  <c r="J33" i="1"/>
  <c r="J6"/>
  <c r="P11" i="2"/>
  <c r="O313"/>
  <c r="O315"/>
  <c r="O317"/>
  <c r="O316"/>
  <c r="O448"/>
  <c r="O450"/>
  <c r="O452"/>
  <c r="O314"/>
  <c r="O318"/>
  <c r="O447"/>
  <c r="O449"/>
  <c r="O451"/>
  <c r="O466" s="1"/>
  <c r="M117"/>
  <c r="O19"/>
  <c r="L116"/>
  <c r="B22" i="1"/>
  <c r="O663" i="2"/>
  <c r="O664"/>
  <c r="O665"/>
  <c r="O666"/>
  <c r="O667"/>
  <c r="O668"/>
  <c r="O669"/>
  <c r="O670"/>
  <c r="L105"/>
  <c r="O465"/>
  <c r="N332"/>
  <c r="O331"/>
  <c r="N639"/>
  <c r="O636" s="1"/>
  <c r="O638"/>
  <c r="O62" s="1"/>
  <c r="N659"/>
  <c r="N644" s="1"/>
  <c r="N68" s="1"/>
  <c r="O549"/>
  <c r="M550"/>
  <c r="M551" s="1"/>
  <c r="M103" s="1"/>
  <c r="M244" s="1"/>
  <c r="M556"/>
  <c r="M557" s="1"/>
  <c r="M104" s="1"/>
  <c r="O23"/>
  <c r="O26"/>
  <c r="O30"/>
  <c r="E40"/>
  <c r="G40"/>
  <c r="I40"/>
  <c r="K40"/>
  <c r="M40"/>
  <c r="O40"/>
  <c r="C40"/>
  <c r="D40"/>
  <c r="F40"/>
  <c r="H40"/>
  <c r="J40"/>
  <c r="L40"/>
  <c r="N40"/>
  <c r="L266"/>
  <c r="L227"/>
  <c r="K270"/>
  <c r="K271" s="1"/>
  <c r="L268"/>
  <c r="L229"/>
  <c r="L18"/>
  <c r="L20" s="1"/>
  <c r="K231"/>
  <c r="K232" s="1"/>
  <c r="B58" i="1"/>
  <c r="C606" i="10" s="1"/>
  <c r="B56" i="1"/>
  <c r="C604" i="10" s="1"/>
  <c r="B57" i="1"/>
  <c r="C605" i="10" s="1"/>
  <c r="B55" i="1"/>
  <c r="C603" i="10" s="1"/>
  <c r="L597" i="2"/>
  <c r="M594"/>
  <c r="M595" s="1"/>
  <c r="M586"/>
  <c r="M587" s="1"/>
  <c r="M582"/>
  <c r="M583" s="1"/>
  <c r="M590"/>
  <c r="M591" s="1"/>
  <c r="M51" s="1"/>
  <c r="B131" i="1"/>
  <c r="B133"/>
  <c r="M29" i="2"/>
  <c r="M31" s="1"/>
  <c r="N27"/>
  <c r="P2"/>
  <c r="O25"/>
  <c r="N10"/>
  <c r="N12" s="1"/>
  <c r="P593" l="1"/>
  <c r="P589"/>
  <c r="P585"/>
  <c r="P581"/>
  <c r="L53"/>
  <c r="M49"/>
  <c r="M14"/>
  <c r="C607" i="10"/>
  <c r="C263"/>
  <c r="C232"/>
  <c r="C265"/>
  <c r="C234"/>
  <c r="C266"/>
  <c r="C235"/>
  <c r="C33"/>
  <c r="C35" s="1"/>
  <c r="C37" s="1"/>
  <c r="D33"/>
  <c r="D35" s="1"/>
  <c r="D37" s="1"/>
  <c r="E33"/>
  <c r="E35" s="1"/>
  <c r="E37" s="1"/>
  <c r="F33"/>
  <c r="F35" s="1"/>
  <c r="F37" s="1"/>
  <c r="G33"/>
  <c r="G35" s="1"/>
  <c r="G37" s="1"/>
  <c r="H33"/>
  <c r="H35" s="1"/>
  <c r="H37" s="1"/>
  <c r="I33"/>
  <c r="I35" s="1"/>
  <c r="I37" s="1"/>
  <c r="J33"/>
  <c r="J35" s="1"/>
  <c r="J37" s="1"/>
  <c r="K33"/>
  <c r="K35" s="1"/>
  <c r="K37" s="1"/>
  <c r="L33"/>
  <c r="L35" s="1"/>
  <c r="L37" s="1"/>
  <c r="M33"/>
  <c r="M35" s="1"/>
  <c r="M37" s="1"/>
  <c r="N33"/>
  <c r="N35" s="1"/>
  <c r="N37" s="1"/>
  <c r="O33"/>
  <c r="O35" s="1"/>
  <c r="O37" s="1"/>
  <c r="P33"/>
  <c r="P35" s="1"/>
  <c r="P37" s="1"/>
  <c r="Q33"/>
  <c r="Q35" s="1"/>
  <c r="Q37" s="1"/>
  <c r="R33"/>
  <c r="R35" s="1"/>
  <c r="R37" s="1"/>
  <c r="S33"/>
  <c r="S35" s="1"/>
  <c r="S37" s="1"/>
  <c r="T33"/>
  <c r="T35" s="1"/>
  <c r="T37" s="1"/>
  <c r="U33"/>
  <c r="U35" s="1"/>
  <c r="U37" s="1"/>
  <c r="V33"/>
  <c r="V35" s="1"/>
  <c r="V37" s="1"/>
  <c r="W33"/>
  <c r="W35" s="1"/>
  <c r="W37" s="1"/>
  <c r="X33"/>
  <c r="X35" s="1"/>
  <c r="X37" s="1"/>
  <c r="Y33"/>
  <c r="Y35" s="1"/>
  <c r="Y37" s="1"/>
  <c r="Z33"/>
  <c r="Z35" s="1"/>
  <c r="Z37" s="1"/>
  <c r="AA33"/>
  <c r="AA35" s="1"/>
  <c r="AA37" s="1"/>
  <c r="AB33"/>
  <c r="AB35" s="1"/>
  <c r="AB37" s="1"/>
  <c r="AC33"/>
  <c r="AC35" s="1"/>
  <c r="AC37" s="1"/>
  <c r="AD33"/>
  <c r="AD35" s="1"/>
  <c r="AD37" s="1"/>
  <c r="AE33"/>
  <c r="AE35" s="1"/>
  <c r="AE37" s="1"/>
  <c r="AF33"/>
  <c r="AF35" s="1"/>
  <c r="AF37" s="1"/>
  <c r="J649"/>
  <c r="J652" s="1"/>
  <c r="I745"/>
  <c r="J746" s="1"/>
  <c r="C264"/>
  <c r="C233"/>
  <c r="I49"/>
  <c r="I281" s="1"/>
  <c r="I297" s="1"/>
  <c r="C566" i="8"/>
  <c r="C215" s="1"/>
  <c r="C567"/>
  <c r="C216" s="1"/>
  <c r="C565"/>
  <c r="C252" s="1"/>
  <c r="H604"/>
  <c r="H607" s="1"/>
  <c r="G700"/>
  <c r="C33"/>
  <c r="C35" s="1"/>
  <c r="C37" s="1"/>
  <c r="C39" s="1"/>
  <c r="C41" s="1"/>
  <c r="C43" s="1"/>
  <c r="D33"/>
  <c r="D35" s="1"/>
  <c r="D37" s="1"/>
  <c r="D39" s="1"/>
  <c r="D41" s="1"/>
  <c r="D43"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M43" s="1"/>
  <c r="N33"/>
  <c r="N35" s="1"/>
  <c r="N37" s="1"/>
  <c r="N39" s="1"/>
  <c r="N41" s="1"/>
  <c r="N43" s="1"/>
  <c r="O33"/>
  <c r="O35" s="1"/>
  <c r="O37" s="1"/>
  <c r="O39" s="1"/>
  <c r="O41" s="1"/>
  <c r="O43" s="1"/>
  <c r="P33"/>
  <c r="P35" s="1"/>
  <c r="P37" s="1"/>
  <c r="P39" s="1"/>
  <c r="P41" s="1"/>
  <c r="P43" s="1"/>
  <c r="Q33"/>
  <c r="Q35" s="1"/>
  <c r="Q37" s="1"/>
  <c r="Q39" s="1"/>
  <c r="Q41" s="1"/>
  <c r="Q43"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C493" i="7"/>
  <c r="C180" s="1"/>
  <c r="C564" i="8"/>
  <c r="C141" i="7"/>
  <c r="C494"/>
  <c r="R568"/>
  <c r="R571" s="1"/>
  <c r="C569" i="2"/>
  <c r="C217" s="1"/>
  <c r="C495" i="7"/>
  <c r="C496"/>
  <c r="O33" i="2"/>
  <c r="O35" s="1"/>
  <c r="O37" s="1"/>
  <c r="O39" s="1"/>
  <c r="C33" i="7"/>
  <c r="C35" s="1"/>
  <c r="C37" s="1"/>
  <c r="C39" s="1"/>
  <c r="C41" s="1"/>
  <c r="C43" s="1"/>
  <c r="C530" s="1"/>
  <c r="D33"/>
  <c r="D35" s="1"/>
  <c r="D37" s="1"/>
  <c r="D39" s="1"/>
  <c r="D41" s="1"/>
  <c r="D43" s="1"/>
  <c r="D530" s="1"/>
  <c r="D532" s="1"/>
  <c r="E33"/>
  <c r="E35" s="1"/>
  <c r="E37" s="1"/>
  <c r="E39" s="1"/>
  <c r="E41" s="1"/>
  <c r="E43" s="1"/>
  <c r="E530" s="1"/>
  <c r="E532" s="1"/>
  <c r="F33"/>
  <c r="F35" s="1"/>
  <c r="F37" s="1"/>
  <c r="F39" s="1"/>
  <c r="F41" s="1"/>
  <c r="F43" s="1"/>
  <c r="F530" s="1"/>
  <c r="F532" s="1"/>
  <c r="G33"/>
  <c r="G35" s="1"/>
  <c r="G37" s="1"/>
  <c r="G39" s="1"/>
  <c r="G41" s="1"/>
  <c r="G43" s="1"/>
  <c r="G530" s="1"/>
  <c r="G532" s="1"/>
  <c r="H33"/>
  <c r="H35" s="1"/>
  <c r="H37" s="1"/>
  <c r="H39" s="1"/>
  <c r="H41" s="1"/>
  <c r="H43" s="1"/>
  <c r="H530" s="1"/>
  <c r="H532" s="1"/>
  <c r="I33"/>
  <c r="I35" s="1"/>
  <c r="I37" s="1"/>
  <c r="I39" s="1"/>
  <c r="I41" s="1"/>
  <c r="I43" s="1"/>
  <c r="I530" s="1"/>
  <c r="I532" s="1"/>
  <c r="J33"/>
  <c r="J35" s="1"/>
  <c r="J37" s="1"/>
  <c r="J39" s="1"/>
  <c r="J41" s="1"/>
  <c r="J43" s="1"/>
  <c r="J530" s="1"/>
  <c r="J532" s="1"/>
  <c r="K33"/>
  <c r="K35" s="1"/>
  <c r="K37" s="1"/>
  <c r="K39" s="1"/>
  <c r="K41" s="1"/>
  <c r="K43" s="1"/>
  <c r="K530" s="1"/>
  <c r="K532" s="1"/>
  <c r="L33"/>
  <c r="L35" s="1"/>
  <c r="L37" s="1"/>
  <c r="L39" s="1"/>
  <c r="L41" s="1"/>
  <c r="L43" s="1"/>
  <c r="L530" s="1"/>
  <c r="L532" s="1"/>
  <c r="M33"/>
  <c r="M35" s="1"/>
  <c r="M37" s="1"/>
  <c r="M39" s="1"/>
  <c r="M41" s="1"/>
  <c r="M43" s="1"/>
  <c r="M530" s="1"/>
  <c r="M532" s="1"/>
  <c r="N33"/>
  <c r="N35" s="1"/>
  <c r="N37" s="1"/>
  <c r="N39" s="1"/>
  <c r="N41" s="1"/>
  <c r="N43" s="1"/>
  <c r="N530" s="1"/>
  <c r="N532" s="1"/>
  <c r="O33"/>
  <c r="O35" s="1"/>
  <c r="O37" s="1"/>
  <c r="O39" s="1"/>
  <c r="O41" s="1"/>
  <c r="O43" s="1"/>
  <c r="O530" s="1"/>
  <c r="O532" s="1"/>
  <c r="P33"/>
  <c r="P35" s="1"/>
  <c r="P37" s="1"/>
  <c r="P39" s="1"/>
  <c r="P41" s="1"/>
  <c r="P43" s="1"/>
  <c r="P530" s="1"/>
  <c r="P532" s="1"/>
  <c r="Q33"/>
  <c r="Q35" s="1"/>
  <c r="Q37" s="1"/>
  <c r="Q39" s="1"/>
  <c r="Q41" s="1"/>
  <c r="Q43" s="1"/>
  <c r="Q530" s="1"/>
  <c r="Q532"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M17" i="2"/>
  <c r="M52"/>
  <c r="M230"/>
  <c r="M269"/>
  <c r="M15"/>
  <c r="M50"/>
  <c r="M228"/>
  <c r="M267"/>
  <c r="N71"/>
  <c r="P5"/>
  <c r="P721"/>
  <c r="P395" s="1"/>
  <c r="P530" s="1"/>
  <c r="P719"/>
  <c r="P393" s="1"/>
  <c r="P528" s="1"/>
  <c r="P717"/>
  <c r="P391" s="1"/>
  <c r="P526" s="1"/>
  <c r="P715"/>
  <c r="P389" s="1"/>
  <c r="P524" s="1"/>
  <c r="P713"/>
  <c r="P387" s="1"/>
  <c r="P522" s="1"/>
  <c r="P689"/>
  <c r="P369" s="1"/>
  <c r="P504" s="1"/>
  <c r="P722"/>
  <c r="P396" s="1"/>
  <c r="P531" s="1"/>
  <c r="P720"/>
  <c r="P394" s="1"/>
  <c r="P529" s="1"/>
  <c r="P718"/>
  <c r="P392" s="1"/>
  <c r="P527" s="1"/>
  <c r="P716"/>
  <c r="P390" s="1"/>
  <c r="P525" s="1"/>
  <c r="P714"/>
  <c r="P388" s="1"/>
  <c r="P523" s="1"/>
  <c r="P690"/>
  <c r="P370" s="1"/>
  <c r="P505" s="1"/>
  <c r="P687"/>
  <c r="P367" s="1"/>
  <c r="P502" s="1"/>
  <c r="P685"/>
  <c r="P365" s="1"/>
  <c r="P500" s="1"/>
  <c r="P683"/>
  <c r="P363" s="1"/>
  <c r="P498" s="1"/>
  <c r="P681"/>
  <c r="P361" s="1"/>
  <c r="P496" s="1"/>
  <c r="P657"/>
  <c r="P344" s="1"/>
  <c r="P478" s="1"/>
  <c r="P655"/>
  <c r="P342" s="1"/>
  <c r="P476" s="1"/>
  <c r="P653"/>
  <c r="P340" s="1"/>
  <c r="P474" s="1"/>
  <c r="P651"/>
  <c r="P338" s="1"/>
  <c r="P472" s="1"/>
  <c r="P649"/>
  <c r="P336" s="1"/>
  <c r="P470" s="1"/>
  <c r="P728"/>
  <c r="P731"/>
  <c r="P733"/>
  <c r="P688"/>
  <c r="P368" s="1"/>
  <c r="P503" s="1"/>
  <c r="P686"/>
  <c r="P366" s="1"/>
  <c r="P501" s="1"/>
  <c r="P682"/>
  <c r="P362" s="1"/>
  <c r="P497" s="1"/>
  <c r="P658"/>
  <c r="P345" s="1"/>
  <c r="P479" s="1"/>
  <c r="P654"/>
  <c r="P341" s="1"/>
  <c r="P475" s="1"/>
  <c r="P684"/>
  <c r="P364" s="1"/>
  <c r="P499" s="1"/>
  <c r="P656"/>
  <c r="P652"/>
  <c r="P339" s="1"/>
  <c r="P473" s="1"/>
  <c r="P727"/>
  <c r="P732"/>
  <c r="P730"/>
  <c r="P696"/>
  <c r="P698"/>
  <c r="P700"/>
  <c r="P702"/>
  <c r="P650"/>
  <c r="P337" s="1"/>
  <c r="P471" s="1"/>
  <c r="P734"/>
  <c r="P695"/>
  <c r="P697"/>
  <c r="P699"/>
  <c r="P701"/>
  <c r="P726"/>
  <c r="O691"/>
  <c r="O676" s="1"/>
  <c r="O69" s="1"/>
  <c r="O723"/>
  <c r="O708" s="1"/>
  <c r="O70" s="1"/>
  <c r="J8" i="1"/>
  <c r="C33" i="2"/>
  <c r="C35" s="1"/>
  <c r="C37" s="1"/>
  <c r="C39" s="1"/>
  <c r="C41" s="1"/>
  <c r="C43" s="1"/>
  <c r="D33"/>
  <c r="D35" s="1"/>
  <c r="D37" s="1"/>
  <c r="D39" s="1"/>
  <c r="D41" s="1"/>
  <c r="D43" s="1"/>
  <c r="D604"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N33"/>
  <c r="N35" s="1"/>
  <c r="N37" s="1"/>
  <c r="N39" s="1"/>
  <c r="P661"/>
  <c r="P33"/>
  <c r="P35" s="1"/>
  <c r="P37" s="1"/>
  <c r="P39" s="1"/>
  <c r="P548"/>
  <c r="P549" s="1"/>
  <c r="P554"/>
  <c r="P555" s="1"/>
  <c r="P601"/>
  <c r="P602" s="1"/>
  <c r="P608"/>
  <c r="Q11"/>
  <c r="P314"/>
  <c r="P316"/>
  <c r="P318"/>
  <c r="P447"/>
  <c r="P466" s="1"/>
  <c r="P448"/>
  <c r="P449"/>
  <c r="P450"/>
  <c r="P451"/>
  <c r="P452"/>
  <c r="P313"/>
  <c r="P317"/>
  <c r="P315"/>
  <c r="N117"/>
  <c r="P19"/>
  <c r="M116"/>
  <c r="P664"/>
  <c r="P665"/>
  <c r="P666"/>
  <c r="P667"/>
  <c r="P668"/>
  <c r="P669"/>
  <c r="P670"/>
  <c r="P663"/>
  <c r="M105"/>
  <c r="O332"/>
  <c r="P465"/>
  <c r="P331"/>
  <c r="O639"/>
  <c r="P636" s="1"/>
  <c r="P343"/>
  <c r="P477" s="1"/>
  <c r="P638"/>
  <c r="O659"/>
  <c r="O644" s="1"/>
  <c r="O68" s="1"/>
  <c r="D167" i="1"/>
  <c r="B91" i="10" s="1"/>
  <c r="B167" i="1"/>
  <c r="C167"/>
  <c r="E167"/>
  <c r="B76" i="7" s="1"/>
  <c r="N550" i="2"/>
  <c r="N551" s="1"/>
  <c r="N103" s="1"/>
  <c r="N244" s="1"/>
  <c r="N556"/>
  <c r="N557" s="1"/>
  <c r="N104" s="1"/>
  <c r="P40"/>
  <c r="P23"/>
  <c r="P26"/>
  <c r="P30"/>
  <c r="C567"/>
  <c r="C215" s="1"/>
  <c r="B432"/>
  <c r="B298"/>
  <c r="B148" s="1"/>
  <c r="C568"/>
  <c r="C255" s="1"/>
  <c r="B433"/>
  <c r="C570"/>
  <c r="C257" s="1"/>
  <c r="B301"/>
  <c r="L270"/>
  <c r="L271" s="1"/>
  <c r="M266"/>
  <c r="M227"/>
  <c r="M268"/>
  <c r="M229"/>
  <c r="L231"/>
  <c r="L232" s="1"/>
  <c r="C256"/>
  <c r="M597"/>
  <c r="N590"/>
  <c r="N591" s="1"/>
  <c r="N51" s="1"/>
  <c r="N594"/>
  <c r="N595" s="1"/>
  <c r="N586"/>
  <c r="N587" s="1"/>
  <c r="N582"/>
  <c r="N583" s="1"/>
  <c r="P632"/>
  <c r="B134" i="1"/>
  <c r="O27" i="2"/>
  <c r="O10"/>
  <c r="O12" s="1"/>
  <c r="Q2"/>
  <c r="P25"/>
  <c r="N29"/>
  <c r="N31" s="1"/>
  <c r="Q593" l="1"/>
  <c r="Q589"/>
  <c r="Q585"/>
  <c r="Q581"/>
  <c r="K604"/>
  <c r="I604"/>
  <c r="G604"/>
  <c r="E604"/>
  <c r="C604"/>
  <c r="L604"/>
  <c r="J604"/>
  <c r="H604"/>
  <c r="F604"/>
  <c r="B530" i="7"/>
  <c r="C532"/>
  <c r="B532" s="1"/>
  <c r="C253" i="8"/>
  <c r="B93" i="10"/>
  <c r="B139"/>
  <c r="B151" s="1"/>
  <c r="C214" i="8"/>
  <c r="M18" i="2"/>
  <c r="M20" s="1"/>
  <c r="M43" s="1"/>
  <c r="M604" s="1"/>
  <c r="M53"/>
  <c r="N49"/>
  <c r="N14"/>
  <c r="AF39" i="10"/>
  <c r="AF283" s="1"/>
  <c r="AF299" s="1"/>
  <c r="AD39"/>
  <c r="AD283" s="1"/>
  <c r="AD299" s="1"/>
  <c r="AB39"/>
  <c r="AB283" s="1"/>
  <c r="AB299" s="1"/>
  <c r="Z39"/>
  <c r="Z283" s="1"/>
  <c r="Z299" s="1"/>
  <c r="X39"/>
  <c r="X283" s="1"/>
  <c r="X299" s="1"/>
  <c r="V39"/>
  <c r="V283" s="1"/>
  <c r="V299" s="1"/>
  <c r="T39"/>
  <c r="T283" s="1"/>
  <c r="T299" s="1"/>
  <c r="R39"/>
  <c r="R283" s="1"/>
  <c r="R299" s="1"/>
  <c r="P39"/>
  <c r="P283" s="1"/>
  <c r="P299" s="1"/>
  <c r="N39"/>
  <c r="N283" s="1"/>
  <c r="N299" s="1"/>
  <c r="L39"/>
  <c r="L283" s="1"/>
  <c r="L299" s="1"/>
  <c r="J39"/>
  <c r="J283" s="1"/>
  <c r="J299" s="1"/>
  <c r="H39"/>
  <c r="H283" s="1"/>
  <c r="H299" s="1"/>
  <c r="F39"/>
  <c r="F283" s="1"/>
  <c r="F299" s="1"/>
  <c r="D39"/>
  <c r="D283" s="1"/>
  <c r="D299" s="1"/>
  <c r="AE39"/>
  <c r="AE283" s="1"/>
  <c r="AE299" s="1"/>
  <c r="AC39"/>
  <c r="AC283" s="1"/>
  <c r="AC299" s="1"/>
  <c r="AA39"/>
  <c r="AA283" s="1"/>
  <c r="AA299" s="1"/>
  <c r="Y39"/>
  <c r="Y283" s="1"/>
  <c r="Y299" s="1"/>
  <c r="W39"/>
  <c r="W283" s="1"/>
  <c r="W299" s="1"/>
  <c r="U39"/>
  <c r="U283" s="1"/>
  <c r="U299" s="1"/>
  <c r="S39"/>
  <c r="S283" s="1"/>
  <c r="S299" s="1"/>
  <c r="Q39"/>
  <c r="Q283" s="1"/>
  <c r="Q299" s="1"/>
  <c r="O39"/>
  <c r="O283" s="1"/>
  <c r="O299" s="1"/>
  <c r="M39"/>
  <c r="M283" s="1"/>
  <c r="M299" s="1"/>
  <c r="K39"/>
  <c r="K283" s="1"/>
  <c r="K299" s="1"/>
  <c r="I39"/>
  <c r="I283" s="1"/>
  <c r="I299" s="1"/>
  <c r="G39"/>
  <c r="G283" s="1"/>
  <c r="G299" s="1"/>
  <c r="E39"/>
  <c r="E283" s="1"/>
  <c r="E299" s="1"/>
  <c r="C39"/>
  <c r="C283" s="1"/>
  <c r="C299" s="1"/>
  <c r="C254" i="8"/>
  <c r="J49" i="10"/>
  <c r="J281" s="1"/>
  <c r="J297" s="1"/>
  <c r="C236"/>
  <c r="K649"/>
  <c r="K652" s="1"/>
  <c r="J745"/>
  <c r="K746" s="1"/>
  <c r="C267"/>
  <c r="B68" i="8"/>
  <c r="I604"/>
  <c r="I607" s="1"/>
  <c r="H700"/>
  <c r="B78" i="7"/>
  <c r="B70" i="8"/>
  <c r="AE236"/>
  <c r="AE201"/>
  <c r="AE47"/>
  <c r="AC236"/>
  <c r="AC201"/>
  <c r="AC47"/>
  <c r="AA236"/>
  <c r="AA201"/>
  <c r="AA47"/>
  <c r="Y236"/>
  <c r="Y201"/>
  <c r="Y47"/>
  <c r="W236"/>
  <c r="W201"/>
  <c r="W47"/>
  <c r="U236"/>
  <c r="U201"/>
  <c r="U47"/>
  <c r="S236"/>
  <c r="S201"/>
  <c r="S47"/>
  <c r="Q236"/>
  <c r="Q201"/>
  <c r="Q47"/>
  <c r="O236"/>
  <c r="O201"/>
  <c r="O47"/>
  <c r="M236"/>
  <c r="M201"/>
  <c r="M47"/>
  <c r="K236"/>
  <c r="K201"/>
  <c r="K47"/>
  <c r="I236"/>
  <c r="I201"/>
  <c r="I47"/>
  <c r="G236"/>
  <c r="G201"/>
  <c r="G47"/>
  <c r="E236"/>
  <c r="E201"/>
  <c r="E47"/>
  <c r="C236"/>
  <c r="C201"/>
  <c r="C47"/>
  <c r="C568"/>
  <c r="C251"/>
  <c r="C213"/>
  <c r="C217" s="1"/>
  <c r="C230" s="1"/>
  <c r="AF236"/>
  <c r="AF201"/>
  <c r="AF47"/>
  <c r="AD236"/>
  <c r="AD201"/>
  <c r="AD47"/>
  <c r="AB236"/>
  <c r="AB201"/>
  <c r="AB47"/>
  <c r="Z236"/>
  <c r="Z201"/>
  <c r="Z47"/>
  <c r="X236"/>
  <c r="X201"/>
  <c r="X47"/>
  <c r="V236"/>
  <c r="V201"/>
  <c r="V47"/>
  <c r="T236"/>
  <c r="T201"/>
  <c r="T47"/>
  <c r="R236"/>
  <c r="R201"/>
  <c r="R47"/>
  <c r="P236"/>
  <c r="P201"/>
  <c r="P47"/>
  <c r="N236"/>
  <c r="N201"/>
  <c r="N47"/>
  <c r="L236"/>
  <c r="L201"/>
  <c r="L47"/>
  <c r="J236"/>
  <c r="J201"/>
  <c r="J47"/>
  <c r="H236"/>
  <c r="H201"/>
  <c r="H47"/>
  <c r="F236"/>
  <c r="F201"/>
  <c r="F47"/>
  <c r="D236"/>
  <c r="D201"/>
  <c r="D47"/>
  <c r="V548" i="7"/>
  <c r="T548"/>
  <c r="R548"/>
  <c r="P548"/>
  <c r="U548"/>
  <c r="S548"/>
  <c r="Q548"/>
  <c r="O548"/>
  <c r="N548"/>
  <c r="L548"/>
  <c r="J548"/>
  <c r="H548"/>
  <c r="F548"/>
  <c r="D548"/>
  <c r="M548"/>
  <c r="K548"/>
  <c r="I548"/>
  <c r="G548"/>
  <c r="E548"/>
  <c r="C548"/>
  <c r="AE164"/>
  <c r="AE128"/>
  <c r="AE47"/>
  <c r="AC164"/>
  <c r="AC128"/>
  <c r="AC47"/>
  <c r="AA164"/>
  <c r="AA128"/>
  <c r="AA47"/>
  <c r="Y164"/>
  <c r="Y128"/>
  <c r="Y47"/>
  <c r="W164"/>
  <c r="W128"/>
  <c r="W47"/>
  <c r="U164"/>
  <c r="U128"/>
  <c r="U47"/>
  <c r="S164"/>
  <c r="S128"/>
  <c r="S47"/>
  <c r="Q164"/>
  <c r="Q128"/>
  <c r="Q47"/>
  <c r="O164"/>
  <c r="O128"/>
  <c r="O47"/>
  <c r="M164"/>
  <c r="M128"/>
  <c r="M47"/>
  <c r="K164"/>
  <c r="K128"/>
  <c r="K47"/>
  <c r="I164"/>
  <c r="I128"/>
  <c r="I47"/>
  <c r="G164"/>
  <c r="G128"/>
  <c r="G47"/>
  <c r="E164"/>
  <c r="E128"/>
  <c r="E47"/>
  <c r="C164"/>
  <c r="C128"/>
  <c r="C47"/>
  <c r="C183"/>
  <c r="C144"/>
  <c r="C182"/>
  <c r="C143"/>
  <c r="C181"/>
  <c r="C142"/>
  <c r="C497"/>
  <c r="AF164"/>
  <c r="AF128"/>
  <c r="AF47"/>
  <c r="AD164"/>
  <c r="AD128"/>
  <c r="AD47"/>
  <c r="AB164"/>
  <c r="AB128"/>
  <c r="AB47"/>
  <c r="Z164"/>
  <c r="Z128"/>
  <c r="Z47"/>
  <c r="X164"/>
  <c r="X128"/>
  <c r="X47"/>
  <c r="V164"/>
  <c r="V128"/>
  <c r="V47"/>
  <c r="T164"/>
  <c r="T128"/>
  <c r="T47"/>
  <c r="R164"/>
  <c r="R128"/>
  <c r="R47"/>
  <c r="P164"/>
  <c r="P128"/>
  <c r="P47"/>
  <c r="N164"/>
  <c r="N128"/>
  <c r="N47"/>
  <c r="L164"/>
  <c r="L128"/>
  <c r="L47"/>
  <c r="J164"/>
  <c r="J128"/>
  <c r="J47"/>
  <c r="H164"/>
  <c r="H128"/>
  <c r="H47"/>
  <c r="F164"/>
  <c r="F128"/>
  <c r="F47"/>
  <c r="D164"/>
  <c r="D128"/>
  <c r="D47"/>
  <c r="S568"/>
  <c r="S571" s="1"/>
  <c r="N15" i="2"/>
  <c r="N50"/>
  <c r="N228"/>
  <c r="N267"/>
  <c r="N17"/>
  <c r="N52"/>
  <c r="N230"/>
  <c r="N269"/>
  <c r="O71"/>
  <c r="Q5"/>
  <c r="Q722"/>
  <c r="Q396" s="1"/>
  <c r="Q531" s="1"/>
  <c r="Q720"/>
  <c r="Q394" s="1"/>
  <c r="Q529" s="1"/>
  <c r="Q718"/>
  <c r="Q392" s="1"/>
  <c r="Q527" s="1"/>
  <c r="Q716"/>
  <c r="Q390" s="1"/>
  <c r="Q525" s="1"/>
  <c r="Q714"/>
  <c r="Q388" s="1"/>
  <c r="Q523" s="1"/>
  <c r="Q690"/>
  <c r="Q370" s="1"/>
  <c r="Q505" s="1"/>
  <c r="Q688"/>
  <c r="Q368" s="1"/>
  <c r="Q503" s="1"/>
  <c r="Q721"/>
  <c r="Q395" s="1"/>
  <c r="Q530" s="1"/>
  <c r="Q719"/>
  <c r="Q393" s="1"/>
  <c r="Q528" s="1"/>
  <c r="Q717"/>
  <c r="Q391" s="1"/>
  <c r="Q526" s="1"/>
  <c r="Q715"/>
  <c r="Q389" s="1"/>
  <c r="Q524" s="1"/>
  <c r="Q713"/>
  <c r="Q387" s="1"/>
  <c r="Q522" s="1"/>
  <c r="Q689"/>
  <c r="Q369" s="1"/>
  <c r="Q504" s="1"/>
  <c r="Q686"/>
  <c r="Q366" s="1"/>
  <c r="Q501" s="1"/>
  <c r="Q684"/>
  <c r="Q364" s="1"/>
  <c r="Q499" s="1"/>
  <c r="Q682"/>
  <c r="Q362" s="1"/>
  <c r="Q497" s="1"/>
  <c r="Q658"/>
  <c r="Q345" s="1"/>
  <c r="Q479" s="1"/>
  <c r="Q656"/>
  <c r="Q343" s="1"/>
  <c r="Q477" s="1"/>
  <c r="Q654"/>
  <c r="Q341" s="1"/>
  <c r="Q475" s="1"/>
  <c r="Q652"/>
  <c r="Q339" s="1"/>
  <c r="Q473" s="1"/>
  <c r="Q650"/>
  <c r="Q337" s="1"/>
  <c r="Q471" s="1"/>
  <c r="Q727"/>
  <c r="Q730"/>
  <c r="Q732"/>
  <c r="Q734"/>
  <c r="Q687"/>
  <c r="Q367" s="1"/>
  <c r="Q502" s="1"/>
  <c r="Q683"/>
  <c r="Q363" s="1"/>
  <c r="Q498" s="1"/>
  <c r="Q655"/>
  <c r="Q342" s="1"/>
  <c r="Q476" s="1"/>
  <c r="Q651"/>
  <c r="Q338" s="1"/>
  <c r="Q472" s="1"/>
  <c r="Q685"/>
  <c r="Q365" s="1"/>
  <c r="Q500" s="1"/>
  <c r="Q681"/>
  <c r="Q361" s="1"/>
  <c r="Q496" s="1"/>
  <c r="Q657"/>
  <c r="Q344" s="1"/>
  <c r="Q478" s="1"/>
  <c r="Q653"/>
  <c r="Q340" s="1"/>
  <c r="Q474" s="1"/>
  <c r="Q649"/>
  <c r="Q336" s="1"/>
  <c r="Q470" s="1"/>
  <c r="Q733"/>
  <c r="Q731"/>
  <c r="Q695"/>
  <c r="Q697"/>
  <c r="Q699"/>
  <c r="Q701"/>
  <c r="Q728"/>
  <c r="Q696"/>
  <c r="Q698"/>
  <c r="Q700"/>
  <c r="Q702"/>
  <c r="Q726"/>
  <c r="P691"/>
  <c r="P676" s="1"/>
  <c r="P69" s="1"/>
  <c r="P723"/>
  <c r="P708" s="1"/>
  <c r="P70" s="1"/>
  <c r="C151" i="1"/>
  <c r="D151"/>
  <c r="E151"/>
  <c r="B151"/>
  <c r="N41" i="2"/>
  <c r="C254"/>
  <c r="C258" s="1"/>
  <c r="C271" s="1"/>
  <c r="D47"/>
  <c r="D202"/>
  <c r="D238"/>
  <c r="D622"/>
  <c r="Q33"/>
  <c r="Q35" s="1"/>
  <c r="Q37" s="1"/>
  <c r="Q39" s="1"/>
  <c r="Q661"/>
  <c r="Q548"/>
  <c r="Q549" s="1"/>
  <c r="Q554"/>
  <c r="Q555" s="1"/>
  <c r="Q608"/>
  <c r="Q631"/>
  <c r="Q601"/>
  <c r="Q602" s="1"/>
  <c r="E47"/>
  <c r="H47"/>
  <c r="G47"/>
  <c r="F47"/>
  <c r="I47"/>
  <c r="C47"/>
  <c r="L47"/>
  <c r="K47"/>
  <c r="J47"/>
  <c r="R11"/>
  <c r="Q313"/>
  <c r="Q315"/>
  <c r="Q317"/>
  <c r="Q314"/>
  <c r="Q318"/>
  <c r="Q447"/>
  <c r="Q449"/>
  <c r="Q451"/>
  <c r="Q466" s="1"/>
  <c r="Q316"/>
  <c r="Q448"/>
  <c r="Q450"/>
  <c r="Q452"/>
  <c r="O117"/>
  <c r="Q19"/>
  <c r="B76"/>
  <c r="B78" s="1"/>
  <c r="N116"/>
  <c r="Q664"/>
  <c r="Q665"/>
  <c r="Q666"/>
  <c r="Q667"/>
  <c r="Q668"/>
  <c r="Q669"/>
  <c r="Q670"/>
  <c r="N105"/>
  <c r="P332"/>
  <c r="Q465"/>
  <c r="Q331"/>
  <c r="P639"/>
  <c r="Q636" s="1"/>
  <c r="P62"/>
  <c r="P659"/>
  <c r="P644" s="1"/>
  <c r="P68" s="1"/>
  <c r="Q638"/>
  <c r="O550"/>
  <c r="O551" s="1"/>
  <c r="O103" s="1"/>
  <c r="O244" s="1"/>
  <c r="O556"/>
  <c r="O557" s="1"/>
  <c r="O104" s="1"/>
  <c r="C216"/>
  <c r="C218"/>
  <c r="Q23"/>
  <c r="Q26"/>
  <c r="Q30"/>
  <c r="Q40"/>
  <c r="C571"/>
  <c r="B302"/>
  <c r="B436"/>
  <c r="L238"/>
  <c r="L202"/>
  <c r="L622"/>
  <c r="E238"/>
  <c r="E202"/>
  <c r="E622"/>
  <c r="H202"/>
  <c r="H238"/>
  <c r="H622"/>
  <c r="K202"/>
  <c r="K622"/>
  <c r="K238"/>
  <c r="F202"/>
  <c r="F238"/>
  <c r="F622"/>
  <c r="I238"/>
  <c r="I202"/>
  <c r="I622"/>
  <c r="C202"/>
  <c r="C238"/>
  <c r="C622"/>
  <c r="G238"/>
  <c r="G202"/>
  <c r="G622"/>
  <c r="J202"/>
  <c r="J238"/>
  <c r="J622"/>
  <c r="N268"/>
  <c r="N229"/>
  <c r="M270"/>
  <c r="M271" s="1"/>
  <c r="N266"/>
  <c r="N227"/>
  <c r="M231"/>
  <c r="M232" s="1"/>
  <c r="N597"/>
  <c r="O594"/>
  <c r="O595" s="1"/>
  <c r="O586"/>
  <c r="O587" s="1"/>
  <c r="O582"/>
  <c r="O583" s="1"/>
  <c r="O590"/>
  <c r="O591" s="1"/>
  <c r="O51" s="1"/>
  <c r="P27"/>
  <c r="O29"/>
  <c r="O31" s="1"/>
  <c r="O41" s="1"/>
  <c r="R2"/>
  <c r="Q25"/>
  <c r="P10"/>
  <c r="P12" s="1"/>
  <c r="R604" l="1"/>
  <c r="R605"/>
  <c r="R593"/>
  <c r="R589"/>
  <c r="R585"/>
  <c r="R581"/>
  <c r="N53"/>
  <c r="B54" i="10"/>
  <c r="D182" i="1"/>
  <c r="C255" i="8"/>
  <c r="C268" s="1"/>
  <c r="D42" i="10"/>
  <c r="D44" s="1"/>
  <c r="D48" s="1"/>
  <c r="D50" s="1"/>
  <c r="Q42"/>
  <c r="Q44" s="1"/>
  <c r="Q48" s="1"/>
  <c r="T42"/>
  <c r="T44" s="1"/>
  <c r="T48" s="1"/>
  <c r="I42"/>
  <c r="I44" s="1"/>
  <c r="I48" s="1"/>
  <c r="I50" s="1"/>
  <c r="Y42"/>
  <c r="Y44" s="1"/>
  <c r="Y48" s="1"/>
  <c r="L42"/>
  <c r="L44" s="1"/>
  <c r="L48" s="1"/>
  <c r="AB42"/>
  <c r="AB44" s="1"/>
  <c r="O49" i="2"/>
  <c r="O14"/>
  <c r="E42" i="10"/>
  <c r="E44" s="1"/>
  <c r="M42"/>
  <c r="M44" s="1"/>
  <c r="U42"/>
  <c r="U44" s="1"/>
  <c r="AC42"/>
  <c r="AC44" s="1"/>
  <c r="AC48" s="1"/>
  <c r="H42"/>
  <c r="H44" s="1"/>
  <c r="H48" s="1"/>
  <c r="H50" s="1"/>
  <c r="P42"/>
  <c r="P44" s="1"/>
  <c r="P48" s="1"/>
  <c r="X42"/>
  <c r="X44" s="1"/>
  <c r="X48" s="1"/>
  <c r="AF42"/>
  <c r="AF44" s="1"/>
  <c r="AF48" s="1"/>
  <c r="C274"/>
  <c r="C42"/>
  <c r="C44" s="1"/>
  <c r="C48" s="1"/>
  <c r="G42"/>
  <c r="G44" s="1"/>
  <c r="G48" s="1"/>
  <c r="G50" s="1"/>
  <c r="K42"/>
  <c r="K44" s="1"/>
  <c r="K48" s="1"/>
  <c r="O42"/>
  <c r="O44" s="1"/>
  <c r="O48" s="1"/>
  <c r="S42"/>
  <c r="S44" s="1"/>
  <c r="S48" s="1"/>
  <c r="W42"/>
  <c r="W44" s="1"/>
  <c r="W48" s="1"/>
  <c r="AA42"/>
  <c r="AA44" s="1"/>
  <c r="AA48" s="1"/>
  <c r="AE42"/>
  <c r="AE44" s="1"/>
  <c r="AE48" s="1"/>
  <c r="F42"/>
  <c r="F44" s="1"/>
  <c r="F48" s="1"/>
  <c r="F50" s="1"/>
  <c r="J42"/>
  <c r="J44" s="1"/>
  <c r="N42"/>
  <c r="N44" s="1"/>
  <c r="N48" s="1"/>
  <c r="R42"/>
  <c r="R44" s="1"/>
  <c r="V42"/>
  <c r="V44" s="1"/>
  <c r="V48" s="1"/>
  <c r="Z42"/>
  <c r="Z44" s="1"/>
  <c r="AD42"/>
  <c r="AD44" s="1"/>
  <c r="AD48" s="1"/>
  <c r="C243"/>
  <c r="AB48"/>
  <c r="L649"/>
  <c r="L652" s="1"/>
  <c r="K745"/>
  <c r="L746" s="1"/>
  <c r="K49"/>
  <c r="J604" i="8"/>
  <c r="J607" s="1"/>
  <c r="I700"/>
  <c r="C184" i="7"/>
  <c r="C197" s="1"/>
  <c r="O545"/>
  <c r="O533"/>
  <c r="O535" s="1"/>
  <c r="Q545"/>
  <c r="Q533"/>
  <c r="Q535" s="1"/>
  <c r="S545"/>
  <c r="S533"/>
  <c r="S535" s="1"/>
  <c r="U545"/>
  <c r="U533"/>
  <c r="U535" s="1"/>
  <c r="P533"/>
  <c r="P535" s="1"/>
  <c r="P545"/>
  <c r="R545"/>
  <c r="R533"/>
  <c r="R535" s="1"/>
  <c r="T533"/>
  <c r="T535" s="1"/>
  <c r="T545"/>
  <c r="V545"/>
  <c r="V533"/>
  <c r="V535" s="1"/>
  <c r="C145"/>
  <c r="C158" s="1"/>
  <c r="M545"/>
  <c r="L559" s="1"/>
  <c r="M533"/>
  <c r="M535" s="1"/>
  <c r="N545"/>
  <c r="N533"/>
  <c r="N535" s="1"/>
  <c r="T568"/>
  <c r="T571" s="1"/>
  <c r="D533"/>
  <c r="D535" s="1"/>
  <c r="D545"/>
  <c r="C559" s="1"/>
  <c r="F533"/>
  <c r="F535" s="1"/>
  <c r="F545"/>
  <c r="E559" s="1"/>
  <c r="H533"/>
  <c r="H535" s="1"/>
  <c r="H545"/>
  <c r="G559" s="1"/>
  <c r="J545"/>
  <c r="I559" s="1"/>
  <c r="J533"/>
  <c r="J535" s="1"/>
  <c r="L533"/>
  <c r="L535" s="1"/>
  <c r="L545"/>
  <c r="K559" s="1"/>
  <c r="C545"/>
  <c r="B559" s="1"/>
  <c r="B557" s="1"/>
  <c r="C533"/>
  <c r="C535" s="1"/>
  <c r="E533"/>
  <c r="E535" s="1"/>
  <c r="E545"/>
  <c r="D559" s="1"/>
  <c r="I545"/>
  <c r="H559" s="1"/>
  <c r="I533"/>
  <c r="I535" s="1"/>
  <c r="K545"/>
  <c r="J559" s="1"/>
  <c r="K533"/>
  <c r="K535" s="1"/>
  <c r="B548"/>
  <c r="G533"/>
  <c r="G535" s="1"/>
  <c r="G545"/>
  <c r="F559" s="1"/>
  <c r="B154" i="1"/>
  <c r="B159" s="1"/>
  <c r="B160" s="1"/>
  <c r="B52" i="8" s="1"/>
  <c r="N18" i="2"/>
  <c r="N20" s="1"/>
  <c r="N43" s="1"/>
  <c r="N604" s="1"/>
  <c r="O15"/>
  <c r="O50"/>
  <c r="O228"/>
  <c r="O267"/>
  <c r="O17"/>
  <c r="O52"/>
  <c r="O230"/>
  <c r="O269"/>
  <c r="P71"/>
  <c r="Q723"/>
  <c r="Q708" s="1"/>
  <c r="Q70" s="1"/>
  <c r="R5"/>
  <c r="R721"/>
  <c r="R395" s="1"/>
  <c r="R530" s="1"/>
  <c r="R719"/>
  <c r="R393" s="1"/>
  <c r="R528" s="1"/>
  <c r="R717"/>
  <c r="R391" s="1"/>
  <c r="R526" s="1"/>
  <c r="R715"/>
  <c r="R389" s="1"/>
  <c r="R524" s="1"/>
  <c r="R713"/>
  <c r="R387" s="1"/>
  <c r="R522" s="1"/>
  <c r="R689"/>
  <c r="R369" s="1"/>
  <c r="R504" s="1"/>
  <c r="R722"/>
  <c r="R396" s="1"/>
  <c r="R531" s="1"/>
  <c r="R720"/>
  <c r="R394" s="1"/>
  <c r="R529" s="1"/>
  <c r="R718"/>
  <c r="R392" s="1"/>
  <c r="R527" s="1"/>
  <c r="R716"/>
  <c r="R390" s="1"/>
  <c r="R525" s="1"/>
  <c r="R714"/>
  <c r="R388" s="1"/>
  <c r="R523" s="1"/>
  <c r="R690"/>
  <c r="R370" s="1"/>
  <c r="R505" s="1"/>
  <c r="R688"/>
  <c r="R368" s="1"/>
  <c r="R503" s="1"/>
  <c r="R687"/>
  <c r="R367" s="1"/>
  <c r="R502" s="1"/>
  <c r="R685"/>
  <c r="R365" s="1"/>
  <c r="R500" s="1"/>
  <c r="R683"/>
  <c r="R363" s="1"/>
  <c r="R498" s="1"/>
  <c r="R681"/>
  <c r="R361" s="1"/>
  <c r="R496" s="1"/>
  <c r="R657"/>
  <c r="R344" s="1"/>
  <c r="R478" s="1"/>
  <c r="R655"/>
  <c r="R342" s="1"/>
  <c r="R476" s="1"/>
  <c r="R653"/>
  <c r="R340" s="1"/>
  <c r="R474" s="1"/>
  <c r="R651"/>
  <c r="R338" s="1"/>
  <c r="R472" s="1"/>
  <c r="R649"/>
  <c r="R336" s="1"/>
  <c r="R470" s="1"/>
  <c r="R728"/>
  <c r="R729"/>
  <c r="R731"/>
  <c r="R733"/>
  <c r="R684"/>
  <c r="R364" s="1"/>
  <c r="R499" s="1"/>
  <c r="R656"/>
  <c r="R343" s="1"/>
  <c r="R477" s="1"/>
  <c r="R652"/>
  <c r="R339" s="1"/>
  <c r="R473" s="1"/>
  <c r="R686"/>
  <c r="R366" s="1"/>
  <c r="R501" s="1"/>
  <c r="R682"/>
  <c r="R362" s="1"/>
  <c r="R497" s="1"/>
  <c r="R658"/>
  <c r="R345" s="1"/>
  <c r="R479" s="1"/>
  <c r="R654"/>
  <c r="R341" s="1"/>
  <c r="R475" s="1"/>
  <c r="R650"/>
  <c r="R337" s="1"/>
  <c r="R471" s="1"/>
  <c r="R734"/>
  <c r="R732"/>
  <c r="R696"/>
  <c r="R698"/>
  <c r="R700"/>
  <c r="R702"/>
  <c r="R727"/>
  <c r="R693"/>
  <c r="R695"/>
  <c r="R697"/>
  <c r="R699"/>
  <c r="R701"/>
  <c r="Q691"/>
  <c r="Q676" s="1"/>
  <c r="Q69" s="1"/>
  <c r="R661"/>
  <c r="R33"/>
  <c r="R35" s="1"/>
  <c r="R37" s="1"/>
  <c r="R39" s="1"/>
  <c r="R548"/>
  <c r="R549" s="1"/>
  <c r="R554"/>
  <c r="R555" s="1"/>
  <c r="R631"/>
  <c r="R633"/>
  <c r="R602"/>
  <c r="R609"/>
  <c r="R601"/>
  <c r="R618"/>
  <c r="R55" s="1"/>
  <c r="R608"/>
  <c r="R619" s="1"/>
  <c r="M238"/>
  <c r="S11"/>
  <c r="R314"/>
  <c r="R316"/>
  <c r="R318"/>
  <c r="R447"/>
  <c r="R466" s="1"/>
  <c r="R448"/>
  <c r="R449"/>
  <c r="R450"/>
  <c r="R451"/>
  <c r="R452"/>
  <c r="R624"/>
  <c r="R315"/>
  <c r="R313"/>
  <c r="R317"/>
  <c r="C219"/>
  <c r="C232" s="1"/>
  <c r="P117"/>
  <c r="R19"/>
  <c r="O116"/>
  <c r="R664"/>
  <c r="R665"/>
  <c r="R666"/>
  <c r="R667"/>
  <c r="R668"/>
  <c r="R669"/>
  <c r="R670"/>
  <c r="O105"/>
  <c r="Q332"/>
  <c r="R465"/>
  <c r="R331"/>
  <c r="Q639"/>
  <c r="R636" s="1"/>
  <c r="Q62"/>
  <c r="M202"/>
  <c r="M47"/>
  <c r="R638"/>
  <c r="Q659"/>
  <c r="Q644" s="1"/>
  <c r="Q68" s="1"/>
  <c r="M622"/>
  <c r="P550"/>
  <c r="P551" s="1"/>
  <c r="P103" s="1"/>
  <c r="P244" s="1"/>
  <c r="P556"/>
  <c r="P557" s="1"/>
  <c r="P104" s="1"/>
  <c r="R23"/>
  <c r="R26"/>
  <c r="R30"/>
  <c r="R40"/>
  <c r="D287"/>
  <c r="B309"/>
  <c r="D421"/>
  <c r="B443"/>
  <c r="N270"/>
  <c r="N271" s="1"/>
  <c r="N231"/>
  <c r="N232" s="1"/>
  <c r="O266"/>
  <c r="O227"/>
  <c r="O268"/>
  <c r="O229"/>
  <c r="O597"/>
  <c r="P590"/>
  <c r="P591" s="1"/>
  <c r="P51" s="1"/>
  <c r="P594"/>
  <c r="P595" s="1"/>
  <c r="P586"/>
  <c r="P587" s="1"/>
  <c r="P582"/>
  <c r="P583" s="1"/>
  <c r="R632"/>
  <c r="R622"/>
  <c r="S2"/>
  <c r="R25"/>
  <c r="P29"/>
  <c r="P31" s="1"/>
  <c r="P41" s="1"/>
  <c r="Q10"/>
  <c r="Q12" s="1"/>
  <c r="Q27"/>
  <c r="R623" l="1"/>
  <c r="Q633"/>
  <c r="R606"/>
  <c r="R607" s="1"/>
  <c r="S604"/>
  <c r="S605"/>
  <c r="S593"/>
  <c r="S589"/>
  <c r="S585"/>
  <c r="S581"/>
  <c r="B89" i="10"/>
  <c r="D227" i="1"/>
  <c r="D229"/>
  <c r="D231"/>
  <c r="D226"/>
  <c r="B84" i="10"/>
  <c r="D230" i="1"/>
  <c r="D232"/>
  <c r="B138" i="10"/>
  <c r="D228" i="1"/>
  <c r="B53" i="10"/>
  <c r="I74"/>
  <c r="I76" s="1"/>
  <c r="F74"/>
  <c r="F76" s="1"/>
  <c r="H74"/>
  <c r="H76" s="1"/>
  <c r="D74"/>
  <c r="D76" s="1"/>
  <c r="D284" s="1"/>
  <c r="D300" s="1"/>
  <c r="G74"/>
  <c r="G76" s="1"/>
  <c r="G284" s="1"/>
  <c r="G300" s="1"/>
  <c r="U48"/>
  <c r="E48"/>
  <c r="E50" s="1"/>
  <c r="P49" i="2"/>
  <c r="P14"/>
  <c r="R48" i="10"/>
  <c r="M48"/>
  <c r="Z48"/>
  <c r="J48"/>
  <c r="J50" s="1"/>
  <c r="J74" s="1"/>
  <c r="J76" s="1"/>
  <c r="J80" s="1"/>
  <c r="J81" s="1"/>
  <c r="J95" s="1"/>
  <c r="K50"/>
  <c r="K281"/>
  <c r="K297" s="1"/>
  <c r="K101"/>
  <c r="K109"/>
  <c r="M649"/>
  <c r="M652" s="1"/>
  <c r="L745"/>
  <c r="M746" s="1"/>
  <c r="L49"/>
  <c r="K604" i="8"/>
  <c r="K607" s="1"/>
  <c r="J700"/>
  <c r="O18" i="2"/>
  <c r="U559" i="7"/>
  <c r="V549"/>
  <c r="V550" s="1"/>
  <c r="Q559"/>
  <c r="R549"/>
  <c r="R550" s="1"/>
  <c r="T559"/>
  <c r="T664" s="1"/>
  <c r="U665" s="1"/>
  <c r="U549"/>
  <c r="U550" s="1"/>
  <c r="R559"/>
  <c r="S549"/>
  <c r="S550" s="1"/>
  <c r="P559"/>
  <c r="Q549"/>
  <c r="Q550" s="1"/>
  <c r="N559"/>
  <c r="O549"/>
  <c r="O550" s="1"/>
  <c r="S559"/>
  <c r="T549"/>
  <c r="T550" s="1"/>
  <c r="O559"/>
  <c r="P549"/>
  <c r="P550" s="1"/>
  <c r="N549"/>
  <c r="N550" s="1"/>
  <c r="M559"/>
  <c r="M549"/>
  <c r="M550" s="1"/>
  <c r="G549"/>
  <c r="G550" s="1"/>
  <c r="E549"/>
  <c r="E550" s="1"/>
  <c r="B533"/>
  <c r="B535"/>
  <c r="B539" s="1"/>
  <c r="J549"/>
  <c r="J550" s="1"/>
  <c r="U568"/>
  <c r="U571" s="1"/>
  <c r="K549"/>
  <c r="K550" s="1"/>
  <c r="I549"/>
  <c r="I550" s="1"/>
  <c r="C549"/>
  <c r="C550" s="1"/>
  <c r="B545"/>
  <c r="L549"/>
  <c r="L550" s="1"/>
  <c r="H549"/>
  <c r="H550" s="1"/>
  <c r="F549"/>
  <c r="F550" s="1"/>
  <c r="D549"/>
  <c r="D550" s="1"/>
  <c r="B164" i="1"/>
  <c r="B231"/>
  <c r="B232"/>
  <c r="B229"/>
  <c r="B230"/>
  <c r="B227"/>
  <c r="B228"/>
  <c r="B161"/>
  <c r="B226"/>
  <c r="O53" i="2"/>
  <c r="P17"/>
  <c r="P52"/>
  <c r="P230"/>
  <c r="P269"/>
  <c r="P15"/>
  <c r="P50"/>
  <c r="P228"/>
  <c r="P267"/>
  <c r="Q71"/>
  <c r="R691"/>
  <c r="R676" s="1"/>
  <c r="R69" s="1"/>
  <c r="R723"/>
  <c r="R708" s="1"/>
  <c r="R70" s="1"/>
  <c r="S5"/>
  <c r="S722"/>
  <c r="S396" s="1"/>
  <c r="S531" s="1"/>
  <c r="S720"/>
  <c r="S394" s="1"/>
  <c r="S529" s="1"/>
  <c r="S718"/>
  <c r="S392" s="1"/>
  <c r="S527" s="1"/>
  <c r="S716"/>
  <c r="S390" s="1"/>
  <c r="S525" s="1"/>
  <c r="S714"/>
  <c r="S388" s="1"/>
  <c r="S523" s="1"/>
  <c r="S690"/>
  <c r="S370" s="1"/>
  <c r="S505" s="1"/>
  <c r="S688"/>
  <c r="S368" s="1"/>
  <c r="S503" s="1"/>
  <c r="S721"/>
  <c r="S395" s="1"/>
  <c r="S530" s="1"/>
  <c r="S719"/>
  <c r="S393" s="1"/>
  <c r="S528" s="1"/>
  <c r="S717"/>
  <c r="S391" s="1"/>
  <c r="S526" s="1"/>
  <c r="S715"/>
  <c r="S389" s="1"/>
  <c r="S524" s="1"/>
  <c r="S713"/>
  <c r="S387" s="1"/>
  <c r="S522" s="1"/>
  <c r="S689"/>
  <c r="S369" s="1"/>
  <c r="S504" s="1"/>
  <c r="S686"/>
  <c r="S366" s="1"/>
  <c r="S501" s="1"/>
  <c r="S684"/>
  <c r="S364" s="1"/>
  <c r="S499" s="1"/>
  <c r="S682"/>
  <c r="S362" s="1"/>
  <c r="S497" s="1"/>
  <c r="S658"/>
  <c r="S345" s="1"/>
  <c r="S479" s="1"/>
  <c r="S656"/>
  <c r="S343" s="1"/>
  <c r="S477" s="1"/>
  <c r="S654"/>
  <c r="S341" s="1"/>
  <c r="S475" s="1"/>
  <c r="S652"/>
  <c r="S339" s="1"/>
  <c r="S473" s="1"/>
  <c r="S650"/>
  <c r="S337" s="1"/>
  <c r="S471" s="1"/>
  <c r="S727"/>
  <c r="S732"/>
  <c r="S734"/>
  <c r="S685"/>
  <c r="S365" s="1"/>
  <c r="S500" s="1"/>
  <c r="S681"/>
  <c r="S361" s="1"/>
  <c r="S496" s="1"/>
  <c r="S657"/>
  <c r="S344" s="1"/>
  <c r="S478" s="1"/>
  <c r="S653"/>
  <c r="S340" s="1"/>
  <c r="S474" s="1"/>
  <c r="S687"/>
  <c r="S367" s="1"/>
  <c r="S502" s="1"/>
  <c r="S683"/>
  <c r="S363" s="1"/>
  <c r="S498" s="1"/>
  <c r="S655"/>
  <c r="S342" s="1"/>
  <c r="S476" s="1"/>
  <c r="S651"/>
  <c r="S338" s="1"/>
  <c r="S472" s="1"/>
  <c r="S728"/>
  <c r="S731"/>
  <c r="S649"/>
  <c r="S336" s="1"/>
  <c r="S470" s="1"/>
  <c r="S733"/>
  <c r="S693"/>
  <c r="S695"/>
  <c r="S697"/>
  <c r="S699"/>
  <c r="S701"/>
  <c r="S729"/>
  <c r="S696"/>
  <c r="S698"/>
  <c r="S700"/>
  <c r="S702"/>
  <c r="R61"/>
  <c r="S661"/>
  <c r="S33"/>
  <c r="S35" s="1"/>
  <c r="S37" s="1"/>
  <c r="S39" s="1"/>
  <c r="S548"/>
  <c r="S549" s="1"/>
  <c r="S554"/>
  <c r="S555" s="1"/>
  <c r="S618"/>
  <c r="S55" s="1"/>
  <c r="S608"/>
  <c r="S619" s="1"/>
  <c r="S623" s="1"/>
  <c r="S631"/>
  <c r="S633"/>
  <c r="S602"/>
  <c r="S609"/>
  <c r="S601"/>
  <c r="N622"/>
  <c r="T11"/>
  <c r="S313"/>
  <c r="S315"/>
  <c r="S317"/>
  <c r="S316"/>
  <c r="S448"/>
  <c r="S450"/>
  <c r="S452"/>
  <c r="S624"/>
  <c r="S314"/>
  <c r="S318"/>
  <c r="S447"/>
  <c r="S449"/>
  <c r="S451"/>
  <c r="S466" s="1"/>
  <c r="Q117"/>
  <c r="S19"/>
  <c r="O20"/>
  <c r="O43" s="1"/>
  <c r="O604" s="1"/>
  <c r="N47"/>
  <c r="N238"/>
  <c r="N202"/>
  <c r="P116"/>
  <c r="R27"/>
  <c r="S664"/>
  <c r="S665"/>
  <c r="S666"/>
  <c r="S667"/>
  <c r="S668"/>
  <c r="S669"/>
  <c r="S670"/>
  <c r="P105"/>
  <c r="R332"/>
  <c r="S465"/>
  <c r="S331"/>
  <c r="R639"/>
  <c r="S636" s="1"/>
  <c r="R62"/>
  <c r="S638"/>
  <c r="R659"/>
  <c r="R644" s="1"/>
  <c r="R68" s="1"/>
  <c r="Q550"/>
  <c r="Q551" s="1"/>
  <c r="Q103" s="1"/>
  <c r="Q244" s="1"/>
  <c r="Q556"/>
  <c r="Q557" s="1"/>
  <c r="Q104" s="1"/>
  <c r="S23"/>
  <c r="S26"/>
  <c r="S30"/>
  <c r="S40"/>
  <c r="R240"/>
  <c r="R204"/>
  <c r="O270"/>
  <c r="O271" s="1"/>
  <c r="P266"/>
  <c r="P227"/>
  <c r="P268"/>
  <c r="P229"/>
  <c r="O231"/>
  <c r="O232" s="1"/>
  <c r="P597"/>
  <c r="Q594"/>
  <c r="Q595" s="1"/>
  <c r="Q586"/>
  <c r="Q587" s="1"/>
  <c r="Q582"/>
  <c r="Q583" s="1"/>
  <c r="Q590"/>
  <c r="Q591" s="1"/>
  <c r="Q51" s="1"/>
  <c r="S622"/>
  <c r="S632"/>
  <c r="T2"/>
  <c r="S25"/>
  <c r="Q29"/>
  <c r="Q31" s="1"/>
  <c r="Q41" s="1"/>
  <c r="R10"/>
  <c r="R12" s="1"/>
  <c r="T604" l="1"/>
  <c r="T605"/>
  <c r="T593"/>
  <c r="T589"/>
  <c r="T585"/>
  <c r="T581"/>
  <c r="S606"/>
  <c r="S607" s="1"/>
  <c r="G142" i="10"/>
  <c r="G154" s="1"/>
  <c r="G80"/>
  <c r="G81" s="1"/>
  <c r="G95" s="1"/>
  <c r="H142"/>
  <c r="H154" s="1"/>
  <c r="H80"/>
  <c r="H81" s="1"/>
  <c r="H95" s="1"/>
  <c r="I142"/>
  <c r="I154" s="1"/>
  <c r="I80"/>
  <c r="I81" s="1"/>
  <c r="I95" s="1"/>
  <c r="D142"/>
  <c r="D154" s="1"/>
  <c r="D80"/>
  <c r="D81" s="1"/>
  <c r="D95" s="1"/>
  <c r="F142"/>
  <c r="F154" s="1"/>
  <c r="F80"/>
  <c r="F81" s="1"/>
  <c r="F95" s="1"/>
  <c r="P53" i="2"/>
  <c r="I284" i="10"/>
  <c r="I300" s="1"/>
  <c r="F284"/>
  <c r="F300" s="1"/>
  <c r="F220"/>
  <c r="F248" s="1"/>
  <c r="D220"/>
  <c r="D248" s="1"/>
  <c r="H284"/>
  <c r="H300" s="1"/>
  <c r="I220"/>
  <c r="I248" s="1"/>
  <c r="H220"/>
  <c r="H248" s="1"/>
  <c r="G220"/>
  <c r="G248" s="1"/>
  <c r="K74"/>
  <c r="K76" s="1"/>
  <c r="E74"/>
  <c r="E76" s="1"/>
  <c r="P18" i="2"/>
  <c r="P20" s="1"/>
  <c r="P43" s="1"/>
  <c r="Q49"/>
  <c r="Q14"/>
  <c r="J284" i="10"/>
  <c r="J300" s="1"/>
  <c r="J142"/>
  <c r="J154" s="1"/>
  <c r="J220"/>
  <c r="J248" s="1"/>
  <c r="K110"/>
  <c r="L50"/>
  <c r="L281"/>
  <c r="L297" s="1"/>
  <c r="I101"/>
  <c r="I109"/>
  <c r="H109"/>
  <c r="H101"/>
  <c r="G109"/>
  <c r="G101"/>
  <c r="F109"/>
  <c r="F101"/>
  <c r="E101"/>
  <c r="E109"/>
  <c r="D109"/>
  <c r="D101"/>
  <c r="J101"/>
  <c r="J109"/>
  <c r="M49"/>
  <c r="N649"/>
  <c r="N652" s="1"/>
  <c r="M745"/>
  <c r="N746" s="1"/>
  <c r="B71" i="8"/>
  <c r="C411"/>
  <c r="C277"/>
  <c r="C413"/>
  <c r="C279"/>
  <c r="C415"/>
  <c r="C281"/>
  <c r="C412"/>
  <c r="C278"/>
  <c r="C414"/>
  <c r="C280"/>
  <c r="C416"/>
  <c r="C282"/>
  <c r="L604"/>
  <c r="L607" s="1"/>
  <c r="K700"/>
  <c r="L701" s="1"/>
  <c r="H701"/>
  <c r="C701"/>
  <c r="B58"/>
  <c r="B64" s="1"/>
  <c r="C58"/>
  <c r="C64" s="1"/>
  <c r="F701"/>
  <c r="F58"/>
  <c r="F64" s="1"/>
  <c r="I701"/>
  <c r="H58"/>
  <c r="H64" s="1"/>
  <c r="E701"/>
  <c r="E58"/>
  <c r="E64" s="1"/>
  <c r="L58"/>
  <c r="L64" s="1"/>
  <c r="G701"/>
  <c r="G58"/>
  <c r="G64" s="1"/>
  <c r="K701"/>
  <c r="K58"/>
  <c r="K64" s="1"/>
  <c r="D701"/>
  <c r="D58"/>
  <c r="D64" s="1"/>
  <c r="J701"/>
  <c r="J58"/>
  <c r="J64" s="1"/>
  <c r="I58"/>
  <c r="I64" s="1"/>
  <c r="B233" i="1"/>
  <c r="P556" i="7"/>
  <c r="P557" s="1"/>
  <c r="P61" s="1"/>
  <c r="P66" s="1"/>
  <c r="P72" s="1"/>
  <c r="O664"/>
  <c r="P665" s="1"/>
  <c r="T556"/>
  <c r="T557" s="1"/>
  <c r="T61" s="1"/>
  <c r="T66" s="1"/>
  <c r="T72" s="1"/>
  <c r="S664"/>
  <c r="T665" s="1"/>
  <c r="O556"/>
  <c r="O557" s="1"/>
  <c r="O61" s="1"/>
  <c r="O66" s="1"/>
  <c r="O72" s="1"/>
  <c r="N664"/>
  <c r="O665" s="1"/>
  <c r="Q556"/>
  <c r="P664"/>
  <c r="Q665" s="1"/>
  <c r="S556"/>
  <c r="S557" s="1"/>
  <c r="S61" s="1"/>
  <c r="S66" s="1"/>
  <c r="S72" s="1"/>
  <c r="R664"/>
  <c r="S665" s="1"/>
  <c r="U556"/>
  <c r="U557" s="1"/>
  <c r="U61" s="1"/>
  <c r="U66" s="1"/>
  <c r="U72" s="1"/>
  <c r="R556"/>
  <c r="R557" s="1"/>
  <c r="R61" s="1"/>
  <c r="R66" s="1"/>
  <c r="R72" s="1"/>
  <c r="Q664"/>
  <c r="R665" s="1"/>
  <c r="V556"/>
  <c r="V558" s="1"/>
  <c r="V61" s="1"/>
  <c r="V66" s="1"/>
  <c r="V72" s="1"/>
  <c r="N556"/>
  <c r="M664"/>
  <c r="N665" s="1"/>
  <c r="M556"/>
  <c r="M557" s="1"/>
  <c r="M61" s="1"/>
  <c r="M66" s="1"/>
  <c r="M72" s="1"/>
  <c r="L664"/>
  <c r="M665" s="1"/>
  <c r="B541"/>
  <c r="E136" i="1"/>
  <c r="E664" i="7"/>
  <c r="F665" s="1"/>
  <c r="F556"/>
  <c r="K664"/>
  <c r="L665" s="1"/>
  <c r="L556"/>
  <c r="L558" s="1"/>
  <c r="B664"/>
  <c r="C665" s="1"/>
  <c r="C556"/>
  <c r="B549"/>
  <c r="B551" s="1"/>
  <c r="B552"/>
  <c r="J664"/>
  <c r="K665" s="1"/>
  <c r="K556"/>
  <c r="V568"/>
  <c r="V571" s="1"/>
  <c r="U664"/>
  <c r="V665" s="1"/>
  <c r="D664"/>
  <c r="E665" s="1"/>
  <c r="E556"/>
  <c r="C664"/>
  <c r="D665" s="1"/>
  <c r="D556"/>
  <c r="G664"/>
  <c r="H665" s="1"/>
  <c r="H556"/>
  <c r="H664"/>
  <c r="I665" s="1"/>
  <c r="I556"/>
  <c r="U165"/>
  <c r="U129"/>
  <c r="U54"/>
  <c r="I664"/>
  <c r="J665" s="1"/>
  <c r="J556"/>
  <c r="F664"/>
  <c r="G665" s="1"/>
  <c r="G556"/>
  <c r="B182" i="1"/>
  <c r="B169"/>
  <c r="B185"/>
  <c r="Q15" i="2"/>
  <c r="Q50"/>
  <c r="Q228"/>
  <c r="Q267"/>
  <c r="Q17"/>
  <c r="Q52"/>
  <c r="Q230"/>
  <c r="Q269"/>
  <c r="R71"/>
  <c r="S723"/>
  <c r="S708" s="1"/>
  <c r="S70" s="1"/>
  <c r="S691"/>
  <c r="S676" s="1"/>
  <c r="S69" s="1"/>
  <c r="T5"/>
  <c r="T721"/>
  <c r="T395" s="1"/>
  <c r="T530" s="1"/>
  <c r="T719"/>
  <c r="T393" s="1"/>
  <c r="T528" s="1"/>
  <c r="T717"/>
  <c r="T391" s="1"/>
  <c r="T526" s="1"/>
  <c r="T715"/>
  <c r="T389" s="1"/>
  <c r="T524" s="1"/>
  <c r="T713"/>
  <c r="T387" s="1"/>
  <c r="T522" s="1"/>
  <c r="T689"/>
  <c r="T369" s="1"/>
  <c r="T504" s="1"/>
  <c r="T722"/>
  <c r="T396" s="1"/>
  <c r="T531" s="1"/>
  <c r="T720"/>
  <c r="T394" s="1"/>
  <c r="T529" s="1"/>
  <c r="T718"/>
  <c r="T392" s="1"/>
  <c r="T527" s="1"/>
  <c r="T716"/>
  <c r="T390" s="1"/>
  <c r="T525" s="1"/>
  <c r="T714"/>
  <c r="T388" s="1"/>
  <c r="T523" s="1"/>
  <c r="T690"/>
  <c r="T370" s="1"/>
  <c r="T505" s="1"/>
  <c r="T688"/>
  <c r="T368" s="1"/>
  <c r="T503" s="1"/>
  <c r="T687"/>
  <c r="T367" s="1"/>
  <c r="T502" s="1"/>
  <c r="T685"/>
  <c r="T365" s="1"/>
  <c r="T500" s="1"/>
  <c r="T683"/>
  <c r="T363" s="1"/>
  <c r="T498" s="1"/>
  <c r="T681"/>
  <c r="T361" s="1"/>
  <c r="T496" s="1"/>
  <c r="T657"/>
  <c r="T344" s="1"/>
  <c r="T478" s="1"/>
  <c r="T655"/>
  <c r="T342" s="1"/>
  <c r="T476" s="1"/>
  <c r="T653"/>
  <c r="T340" s="1"/>
  <c r="T474" s="1"/>
  <c r="T651"/>
  <c r="T649"/>
  <c r="T336" s="1"/>
  <c r="T470" s="1"/>
  <c r="T728"/>
  <c r="T729"/>
  <c r="T731"/>
  <c r="T733"/>
  <c r="T686"/>
  <c r="T366" s="1"/>
  <c r="T501" s="1"/>
  <c r="T682"/>
  <c r="T362" s="1"/>
  <c r="T497" s="1"/>
  <c r="T658"/>
  <c r="T345" s="1"/>
  <c r="T479" s="1"/>
  <c r="T654"/>
  <c r="T341" s="1"/>
  <c r="T475" s="1"/>
  <c r="T684"/>
  <c r="T364" s="1"/>
  <c r="T499" s="1"/>
  <c r="T656"/>
  <c r="T343" s="1"/>
  <c r="T477" s="1"/>
  <c r="T652"/>
  <c r="T339" s="1"/>
  <c r="T473" s="1"/>
  <c r="T727"/>
  <c r="T732"/>
  <c r="T650"/>
  <c r="T337" s="1"/>
  <c r="T471" s="1"/>
  <c r="T734"/>
  <c r="T696"/>
  <c r="T698"/>
  <c r="T700"/>
  <c r="T702"/>
  <c r="T693"/>
  <c r="T695"/>
  <c r="T697"/>
  <c r="T699"/>
  <c r="T701"/>
  <c r="S61"/>
  <c r="T661"/>
  <c r="T33"/>
  <c r="T35" s="1"/>
  <c r="T37" s="1"/>
  <c r="T39" s="1"/>
  <c r="T548"/>
  <c r="T549" s="1"/>
  <c r="T554"/>
  <c r="T555" s="1"/>
  <c r="T631"/>
  <c r="T602"/>
  <c r="T609"/>
  <c r="T601"/>
  <c r="T633"/>
  <c r="T618"/>
  <c r="T55" s="1"/>
  <c r="T608"/>
  <c r="T619" s="1"/>
  <c r="T623" s="1"/>
  <c r="O622"/>
  <c r="U11"/>
  <c r="T314"/>
  <c r="T316"/>
  <c r="T318"/>
  <c r="T447"/>
  <c r="T448"/>
  <c r="T449"/>
  <c r="T450"/>
  <c r="T451"/>
  <c r="T466" s="1"/>
  <c r="T452"/>
  <c r="T624"/>
  <c r="T313"/>
  <c r="T317"/>
  <c r="T315"/>
  <c r="R117"/>
  <c r="T19"/>
  <c r="O47"/>
  <c r="O238"/>
  <c r="O202"/>
  <c r="Q116"/>
  <c r="T664"/>
  <c r="T665"/>
  <c r="T666"/>
  <c r="T667"/>
  <c r="T668"/>
  <c r="T669"/>
  <c r="T670"/>
  <c r="Q105"/>
  <c r="T465"/>
  <c r="S332"/>
  <c r="T331"/>
  <c r="S639"/>
  <c r="T636" s="1"/>
  <c r="S62"/>
  <c r="T338"/>
  <c r="T472" s="1"/>
  <c r="T638"/>
  <c r="S659"/>
  <c r="S644" s="1"/>
  <c r="S68" s="1"/>
  <c r="S27"/>
  <c r="R550"/>
  <c r="R551" s="1"/>
  <c r="R103" s="1"/>
  <c r="R244" s="1"/>
  <c r="R556"/>
  <c r="R557" s="1"/>
  <c r="R104" s="1"/>
  <c r="T23"/>
  <c r="T26"/>
  <c r="T30"/>
  <c r="T40"/>
  <c r="S240"/>
  <c r="S204"/>
  <c r="Q268"/>
  <c r="Q229"/>
  <c r="P270"/>
  <c r="P271" s="1"/>
  <c r="Q266"/>
  <c r="Q227"/>
  <c r="P231"/>
  <c r="P232" s="1"/>
  <c r="Q597"/>
  <c r="R590"/>
  <c r="R591" s="1"/>
  <c r="R51" s="1"/>
  <c r="R594"/>
  <c r="R595" s="1"/>
  <c r="R586"/>
  <c r="R587" s="1"/>
  <c r="R582"/>
  <c r="R583" s="1"/>
  <c r="T632"/>
  <c r="T622"/>
  <c r="U2"/>
  <c r="T25"/>
  <c r="R29"/>
  <c r="R31" s="1"/>
  <c r="R41" s="1"/>
  <c r="S10"/>
  <c r="S12" s="1"/>
  <c r="P604" l="1"/>
  <c r="P622"/>
  <c r="Q557" i="7"/>
  <c r="Q558"/>
  <c r="U604" i="2"/>
  <c r="U605"/>
  <c r="U593"/>
  <c r="U589"/>
  <c r="U585"/>
  <c r="U581"/>
  <c r="T606"/>
  <c r="T607" s="1"/>
  <c r="Q18"/>
  <c r="Q20" s="1"/>
  <c r="Q43" s="1"/>
  <c r="E142" i="10"/>
  <c r="E154" s="1"/>
  <c r="E80"/>
  <c r="E81" s="1"/>
  <c r="E95" s="1"/>
  <c r="K142"/>
  <c r="K154" s="1"/>
  <c r="K80"/>
  <c r="K81" s="1"/>
  <c r="K95" s="1"/>
  <c r="K284"/>
  <c r="K220"/>
  <c r="K248" s="1"/>
  <c r="L74"/>
  <c r="L76" s="1"/>
  <c r="E284"/>
  <c r="E220"/>
  <c r="E248" s="1"/>
  <c r="R49" i="2"/>
  <c r="R14"/>
  <c r="J110" i="10"/>
  <c r="E110"/>
  <c r="I110"/>
  <c r="D110"/>
  <c r="F110"/>
  <c r="G110"/>
  <c r="H110"/>
  <c r="M50"/>
  <c r="M281"/>
  <c r="M297" s="1"/>
  <c r="M101"/>
  <c r="N49"/>
  <c r="O649"/>
  <c r="O652" s="1"/>
  <c r="N745"/>
  <c r="O746" s="1"/>
  <c r="B125" i="8"/>
  <c r="L700"/>
  <c r="M701" s="1"/>
  <c r="M604"/>
  <c r="M607" s="1"/>
  <c r="D237"/>
  <c r="D202"/>
  <c r="D48"/>
  <c r="D49" s="1"/>
  <c r="K237"/>
  <c r="K202"/>
  <c r="K48"/>
  <c r="K49" s="1"/>
  <c r="G237"/>
  <c r="G202"/>
  <c r="G48"/>
  <c r="G49" s="1"/>
  <c r="E237"/>
  <c r="E202"/>
  <c r="E48"/>
  <c r="E49" s="1"/>
  <c r="F237"/>
  <c r="F202"/>
  <c r="F48"/>
  <c r="F49" s="1"/>
  <c r="H237"/>
  <c r="H202"/>
  <c r="H48"/>
  <c r="H49" s="1"/>
  <c r="J237"/>
  <c r="J202"/>
  <c r="J48"/>
  <c r="J49" s="1"/>
  <c r="L237"/>
  <c r="L202"/>
  <c r="L48"/>
  <c r="L49" s="1"/>
  <c r="I237"/>
  <c r="I202"/>
  <c r="I48"/>
  <c r="I49" s="1"/>
  <c r="C237"/>
  <c r="C202"/>
  <c r="C48"/>
  <c r="C49" s="1"/>
  <c r="R165" i="7"/>
  <c r="R54"/>
  <c r="R129"/>
  <c r="Q165"/>
  <c r="Q54"/>
  <c r="Q129"/>
  <c r="P129"/>
  <c r="P165"/>
  <c r="P54"/>
  <c r="S129"/>
  <c r="S165"/>
  <c r="S54"/>
  <c r="O129"/>
  <c r="O165"/>
  <c r="O54"/>
  <c r="T129"/>
  <c r="T165"/>
  <c r="T54"/>
  <c r="N558"/>
  <c r="N557"/>
  <c r="N129"/>
  <c r="N165"/>
  <c r="N54"/>
  <c r="G557"/>
  <c r="G61" s="1"/>
  <c r="G66" s="1"/>
  <c r="G72" s="1"/>
  <c r="J557"/>
  <c r="J61" s="1"/>
  <c r="J66" s="1"/>
  <c r="J72" s="1"/>
  <c r="I557"/>
  <c r="I61" s="1"/>
  <c r="I66" s="1"/>
  <c r="I72" s="1"/>
  <c r="H557"/>
  <c r="H61" s="1"/>
  <c r="H66" s="1"/>
  <c r="H72" s="1"/>
  <c r="D557"/>
  <c r="D61" s="1"/>
  <c r="D66" s="1"/>
  <c r="D72" s="1"/>
  <c r="E557"/>
  <c r="E61" s="1"/>
  <c r="E66" s="1"/>
  <c r="E72" s="1"/>
  <c r="K557"/>
  <c r="K61" s="1"/>
  <c r="K66" s="1"/>
  <c r="K72" s="1"/>
  <c r="L557"/>
  <c r="L61" s="1"/>
  <c r="L66" s="1"/>
  <c r="L72" s="1"/>
  <c r="F557"/>
  <c r="F61" s="1"/>
  <c r="F66" s="1"/>
  <c r="F72" s="1"/>
  <c r="C557"/>
  <c r="C61" s="1"/>
  <c r="C66" s="1"/>
  <c r="C72" s="1"/>
  <c r="B61"/>
  <c r="B66" s="1"/>
  <c r="E149" i="1"/>
  <c r="E154" s="1"/>
  <c r="E159" s="1"/>
  <c r="E160" s="1"/>
  <c r="E137" s="1"/>
  <c r="M129" i="7"/>
  <c r="M165"/>
  <c r="M54"/>
  <c r="C538"/>
  <c r="C544"/>
  <c r="C166" s="1"/>
  <c r="E165" i="1"/>
  <c r="B80" i="7" s="1"/>
  <c r="G165"/>
  <c r="G129"/>
  <c r="G54"/>
  <c r="I165"/>
  <c r="I129"/>
  <c r="I54"/>
  <c r="D165"/>
  <c r="D129"/>
  <c r="D54"/>
  <c r="E165"/>
  <c r="E129"/>
  <c r="E54"/>
  <c r="W568"/>
  <c r="W571" s="1"/>
  <c r="V664"/>
  <c r="W665" s="1"/>
  <c r="C165"/>
  <c r="C129"/>
  <c r="C54"/>
  <c r="F165"/>
  <c r="F129"/>
  <c r="F54"/>
  <c r="J165"/>
  <c r="J129"/>
  <c r="J54"/>
  <c r="H165"/>
  <c r="H129"/>
  <c r="H54"/>
  <c r="V165"/>
  <c r="V129"/>
  <c r="V54"/>
  <c r="K165"/>
  <c r="K129"/>
  <c r="K54"/>
  <c r="L165"/>
  <c r="L129"/>
  <c r="L54"/>
  <c r="B175" i="1"/>
  <c r="B173"/>
  <c r="B174"/>
  <c r="B171"/>
  <c r="Q53" i="2"/>
  <c r="R15"/>
  <c r="R50"/>
  <c r="R228"/>
  <c r="R267"/>
  <c r="R17"/>
  <c r="R52"/>
  <c r="R230"/>
  <c r="R269"/>
  <c r="S71"/>
  <c r="U5"/>
  <c r="U722"/>
  <c r="U396" s="1"/>
  <c r="U531" s="1"/>
  <c r="U720"/>
  <c r="U394" s="1"/>
  <c r="U529" s="1"/>
  <c r="U718"/>
  <c r="U392" s="1"/>
  <c r="U527" s="1"/>
  <c r="U716"/>
  <c r="U390" s="1"/>
  <c r="U525" s="1"/>
  <c r="U714"/>
  <c r="U388" s="1"/>
  <c r="U523" s="1"/>
  <c r="U690"/>
  <c r="U370" s="1"/>
  <c r="U505" s="1"/>
  <c r="U688"/>
  <c r="U368" s="1"/>
  <c r="U503" s="1"/>
  <c r="U721"/>
  <c r="U395" s="1"/>
  <c r="U530" s="1"/>
  <c r="U719"/>
  <c r="U393" s="1"/>
  <c r="U528" s="1"/>
  <c r="U717"/>
  <c r="U391" s="1"/>
  <c r="U526" s="1"/>
  <c r="U715"/>
  <c r="U389" s="1"/>
  <c r="U524" s="1"/>
  <c r="U713"/>
  <c r="U387" s="1"/>
  <c r="U522" s="1"/>
  <c r="U689"/>
  <c r="U369" s="1"/>
  <c r="U504" s="1"/>
  <c r="U686"/>
  <c r="U366" s="1"/>
  <c r="U501" s="1"/>
  <c r="U684"/>
  <c r="U364" s="1"/>
  <c r="U499" s="1"/>
  <c r="U682"/>
  <c r="U362" s="1"/>
  <c r="U497" s="1"/>
  <c r="U658"/>
  <c r="U345" s="1"/>
  <c r="U479" s="1"/>
  <c r="U656"/>
  <c r="U343" s="1"/>
  <c r="U477" s="1"/>
  <c r="U654"/>
  <c r="U341" s="1"/>
  <c r="U475" s="1"/>
  <c r="U652"/>
  <c r="U339" s="1"/>
  <c r="U473" s="1"/>
  <c r="U650"/>
  <c r="U337" s="1"/>
  <c r="U471" s="1"/>
  <c r="U727"/>
  <c r="U730"/>
  <c r="U732"/>
  <c r="U734"/>
  <c r="U687"/>
  <c r="U367" s="1"/>
  <c r="U502" s="1"/>
  <c r="U683"/>
  <c r="U363" s="1"/>
  <c r="U498" s="1"/>
  <c r="U655"/>
  <c r="U342" s="1"/>
  <c r="U476" s="1"/>
  <c r="U651"/>
  <c r="U685"/>
  <c r="U365" s="1"/>
  <c r="U500" s="1"/>
  <c r="U681"/>
  <c r="U361" s="1"/>
  <c r="U496" s="1"/>
  <c r="U657"/>
  <c r="U344" s="1"/>
  <c r="U478" s="1"/>
  <c r="U653"/>
  <c r="U340" s="1"/>
  <c r="U474" s="1"/>
  <c r="U649"/>
  <c r="U336" s="1"/>
  <c r="U470" s="1"/>
  <c r="U729"/>
  <c r="U733"/>
  <c r="U728"/>
  <c r="U693"/>
  <c r="U695"/>
  <c r="U697"/>
  <c r="U699"/>
  <c r="U701"/>
  <c r="U696"/>
  <c r="U698"/>
  <c r="U700"/>
  <c r="U702"/>
  <c r="T691"/>
  <c r="T676" s="1"/>
  <c r="T69" s="1"/>
  <c r="T723"/>
  <c r="T708" s="1"/>
  <c r="T70" s="1"/>
  <c r="T61"/>
  <c r="U661"/>
  <c r="U33"/>
  <c r="U35" s="1"/>
  <c r="U37" s="1"/>
  <c r="U39" s="1"/>
  <c r="U548"/>
  <c r="U549" s="1"/>
  <c r="U554"/>
  <c r="U555" s="1"/>
  <c r="U633"/>
  <c r="U618"/>
  <c r="U55" s="1"/>
  <c r="U608"/>
  <c r="U619" s="1"/>
  <c r="U623" s="1"/>
  <c r="U631"/>
  <c r="U602"/>
  <c r="U609"/>
  <c r="U601"/>
  <c r="V11"/>
  <c r="U313"/>
  <c r="U315"/>
  <c r="U317"/>
  <c r="U314"/>
  <c r="U318"/>
  <c r="U447"/>
  <c r="U466" s="1"/>
  <c r="U449"/>
  <c r="U451"/>
  <c r="U316"/>
  <c r="U448"/>
  <c r="U450"/>
  <c r="U452"/>
  <c r="U624"/>
  <c r="S117"/>
  <c r="U19"/>
  <c r="P47"/>
  <c r="P202"/>
  <c r="P238"/>
  <c r="R116"/>
  <c r="U664"/>
  <c r="U665"/>
  <c r="U666"/>
  <c r="U667"/>
  <c r="U668"/>
  <c r="U669"/>
  <c r="U670"/>
  <c r="R105"/>
  <c r="U465"/>
  <c r="T332"/>
  <c r="U331"/>
  <c r="T639"/>
  <c r="U636" s="1"/>
  <c r="T62"/>
  <c r="U338"/>
  <c r="U472" s="1"/>
  <c r="U638"/>
  <c r="T659"/>
  <c r="T644" s="1"/>
  <c r="T68" s="1"/>
  <c r="S550"/>
  <c r="S551" s="1"/>
  <c r="S103" s="1"/>
  <c r="S244" s="1"/>
  <c r="S556"/>
  <c r="S557" s="1"/>
  <c r="S104" s="1"/>
  <c r="Q270"/>
  <c r="Q271" s="1"/>
  <c r="U23"/>
  <c r="U26"/>
  <c r="U30"/>
  <c r="U40"/>
  <c r="T240"/>
  <c r="T204"/>
  <c r="Q231"/>
  <c r="Q232" s="1"/>
  <c r="R268"/>
  <c r="R229"/>
  <c r="R266"/>
  <c r="R227"/>
  <c r="R597"/>
  <c r="S594"/>
  <c r="S595" s="1"/>
  <c r="S586"/>
  <c r="S587" s="1"/>
  <c r="S582"/>
  <c r="S583" s="1"/>
  <c r="S590"/>
  <c r="S591" s="1"/>
  <c r="S51" s="1"/>
  <c r="U622"/>
  <c r="U632"/>
  <c r="V2"/>
  <c r="U25"/>
  <c r="S29"/>
  <c r="S31" s="1"/>
  <c r="S41" s="1"/>
  <c r="T27"/>
  <c r="T10"/>
  <c r="T12" s="1"/>
  <c r="Q47" l="1"/>
  <c r="Q604"/>
  <c r="Q622"/>
  <c r="Q61" i="7"/>
  <c r="Q66" s="1"/>
  <c r="Q72" s="1"/>
  <c r="U606" i="2"/>
  <c r="U607" s="1"/>
  <c r="V604"/>
  <c r="V605"/>
  <c r="V593"/>
  <c r="V589"/>
  <c r="V585"/>
  <c r="V581"/>
  <c r="R18"/>
  <c r="R20" s="1"/>
  <c r="R43" s="1"/>
  <c r="R53"/>
  <c r="L142" i="10"/>
  <c r="L154" s="1"/>
  <c r="L80"/>
  <c r="L81" s="1"/>
  <c r="L95" s="1"/>
  <c r="L220"/>
  <c r="L248" s="1"/>
  <c r="K300"/>
  <c r="L284"/>
  <c r="L300" s="1"/>
  <c r="M74"/>
  <c r="M76" s="1"/>
  <c r="E300"/>
  <c r="S49" i="2"/>
  <c r="S14"/>
  <c r="M109" i="10"/>
  <c r="M110" s="1"/>
  <c r="L109"/>
  <c r="L101"/>
  <c r="N50"/>
  <c r="N281"/>
  <c r="N297" s="1"/>
  <c r="N109"/>
  <c r="P649"/>
  <c r="P652" s="1"/>
  <c r="O745"/>
  <c r="P746" s="1"/>
  <c r="O49"/>
  <c r="M202" i="8"/>
  <c r="M237"/>
  <c r="M48"/>
  <c r="M700"/>
  <c r="N701" s="1"/>
  <c r="N604"/>
  <c r="N607" s="1"/>
  <c r="C418"/>
  <c r="B411" s="1"/>
  <c r="C72"/>
  <c r="C73" s="1"/>
  <c r="C78" s="1"/>
  <c r="C284"/>
  <c r="B280" s="1"/>
  <c r="N61" i="7"/>
  <c r="N66" s="1"/>
  <c r="N72" s="1"/>
  <c r="C543"/>
  <c r="C80" s="1"/>
  <c r="C81" s="1"/>
  <c r="C130"/>
  <c r="C55"/>
  <c r="C56" s="1"/>
  <c r="B59"/>
  <c r="B72" s="1"/>
  <c r="E232" i="1"/>
  <c r="E228"/>
  <c r="E230"/>
  <c r="E233"/>
  <c r="E161"/>
  <c r="E231"/>
  <c r="E229"/>
  <c r="E227"/>
  <c r="E226"/>
  <c r="E164"/>
  <c r="C540" i="7"/>
  <c r="C541" s="1"/>
  <c r="D544" s="1"/>
  <c r="W165"/>
  <c r="W129"/>
  <c r="W54"/>
  <c r="W56" s="1"/>
  <c r="W82" s="1"/>
  <c r="W87" s="1"/>
  <c r="X568"/>
  <c r="X571" s="1"/>
  <c r="W664"/>
  <c r="X665" s="1"/>
  <c r="B176" i="1"/>
  <c r="S17" i="2"/>
  <c r="S52"/>
  <c r="S230"/>
  <c r="S269"/>
  <c r="S15"/>
  <c r="S50"/>
  <c r="S228"/>
  <c r="S267"/>
  <c r="T71"/>
  <c r="U723"/>
  <c r="U708" s="1"/>
  <c r="U70" s="1"/>
  <c r="V721"/>
  <c r="V395" s="1"/>
  <c r="V530" s="1"/>
  <c r="V719"/>
  <c r="V393" s="1"/>
  <c r="V528" s="1"/>
  <c r="V717"/>
  <c r="V391" s="1"/>
  <c r="V526" s="1"/>
  <c r="V715"/>
  <c r="V389" s="1"/>
  <c r="V524" s="1"/>
  <c r="V713"/>
  <c r="V387" s="1"/>
  <c r="V522" s="1"/>
  <c r="V689"/>
  <c r="V369" s="1"/>
  <c r="V504" s="1"/>
  <c r="V722"/>
  <c r="V396" s="1"/>
  <c r="V531" s="1"/>
  <c r="V720"/>
  <c r="V394" s="1"/>
  <c r="V529" s="1"/>
  <c r="V718"/>
  <c r="V392" s="1"/>
  <c r="V527" s="1"/>
  <c r="V716"/>
  <c r="V390" s="1"/>
  <c r="V525" s="1"/>
  <c r="V714"/>
  <c r="V388" s="1"/>
  <c r="V523" s="1"/>
  <c r="V690"/>
  <c r="V370" s="1"/>
  <c r="V505" s="1"/>
  <c r="V688"/>
  <c r="V368" s="1"/>
  <c r="V503" s="1"/>
  <c r="V687"/>
  <c r="V367" s="1"/>
  <c r="V502" s="1"/>
  <c r="V685"/>
  <c r="V365" s="1"/>
  <c r="V500" s="1"/>
  <c r="V683"/>
  <c r="V363" s="1"/>
  <c r="V498" s="1"/>
  <c r="V681"/>
  <c r="V361" s="1"/>
  <c r="V496" s="1"/>
  <c r="V657"/>
  <c r="V344" s="1"/>
  <c r="V478" s="1"/>
  <c r="V655"/>
  <c r="V342" s="1"/>
  <c r="V476" s="1"/>
  <c r="V653"/>
  <c r="V340" s="1"/>
  <c r="V474" s="1"/>
  <c r="V651"/>
  <c r="V338" s="1"/>
  <c r="V472" s="1"/>
  <c r="V649"/>
  <c r="V336" s="1"/>
  <c r="V470" s="1"/>
  <c r="V728"/>
  <c r="V729"/>
  <c r="V733"/>
  <c r="V684"/>
  <c r="V364" s="1"/>
  <c r="V499" s="1"/>
  <c r="V656"/>
  <c r="V343" s="1"/>
  <c r="V477" s="1"/>
  <c r="V652"/>
  <c r="V339" s="1"/>
  <c r="V473" s="1"/>
  <c r="V686"/>
  <c r="V366" s="1"/>
  <c r="V501" s="1"/>
  <c r="V682"/>
  <c r="V362" s="1"/>
  <c r="V497" s="1"/>
  <c r="V658"/>
  <c r="V345" s="1"/>
  <c r="V479" s="1"/>
  <c r="V654"/>
  <c r="V341" s="1"/>
  <c r="V475" s="1"/>
  <c r="V650"/>
  <c r="V337" s="1"/>
  <c r="V471" s="1"/>
  <c r="V730"/>
  <c r="V734"/>
  <c r="V727"/>
  <c r="V696"/>
  <c r="V698"/>
  <c r="V700"/>
  <c r="V732"/>
  <c r="V693"/>
  <c r="V695"/>
  <c r="V697"/>
  <c r="V699"/>
  <c r="V701"/>
  <c r="V702"/>
  <c r="U691"/>
  <c r="U676" s="1"/>
  <c r="U69" s="1"/>
  <c r="V5"/>
  <c r="U61"/>
  <c r="V661"/>
  <c r="V33"/>
  <c r="V35" s="1"/>
  <c r="V37" s="1"/>
  <c r="V39" s="1"/>
  <c r="V548"/>
  <c r="V549" s="1"/>
  <c r="V554"/>
  <c r="V555" s="1"/>
  <c r="V631"/>
  <c r="V602"/>
  <c r="V609"/>
  <c r="V601"/>
  <c r="V633"/>
  <c r="V618"/>
  <c r="V55" s="1"/>
  <c r="V608"/>
  <c r="V619" s="1"/>
  <c r="V623" s="1"/>
  <c r="M632"/>
  <c r="W11"/>
  <c r="V314"/>
  <c r="V316"/>
  <c r="V318"/>
  <c r="V447"/>
  <c r="V448"/>
  <c r="V449"/>
  <c r="V450"/>
  <c r="V451"/>
  <c r="V466" s="1"/>
  <c r="V452"/>
  <c r="V624"/>
  <c r="V315"/>
  <c r="V313"/>
  <c r="V317"/>
  <c r="Q238"/>
  <c r="T117"/>
  <c r="V19"/>
  <c r="S116"/>
  <c r="Q202"/>
  <c r="R270"/>
  <c r="R271" s="1"/>
  <c r="V666"/>
  <c r="V668"/>
  <c r="V670"/>
  <c r="V664"/>
  <c r="V665"/>
  <c r="V667"/>
  <c r="V669"/>
  <c r="R231"/>
  <c r="R232" s="1"/>
  <c r="S105"/>
  <c r="V465"/>
  <c r="U332"/>
  <c r="V331"/>
  <c r="U639"/>
  <c r="V636" s="1"/>
  <c r="U62"/>
  <c r="V638"/>
  <c r="U659"/>
  <c r="U644" s="1"/>
  <c r="U68" s="1"/>
  <c r="S630"/>
  <c r="T550"/>
  <c r="T551" s="1"/>
  <c r="T103" s="1"/>
  <c r="T244" s="1"/>
  <c r="T556"/>
  <c r="T557" s="1"/>
  <c r="T104" s="1"/>
  <c r="U27"/>
  <c r="V23"/>
  <c r="V26"/>
  <c r="V30"/>
  <c r="V40"/>
  <c r="U240"/>
  <c r="U204"/>
  <c r="S266"/>
  <c r="S227"/>
  <c r="S268"/>
  <c r="S229"/>
  <c r="S597"/>
  <c r="T590"/>
  <c r="T591" s="1"/>
  <c r="T51" s="1"/>
  <c r="T594"/>
  <c r="T595" s="1"/>
  <c r="T586"/>
  <c r="T587" s="1"/>
  <c r="T582"/>
  <c r="T583" s="1"/>
  <c r="V632"/>
  <c r="V622"/>
  <c r="T29"/>
  <c r="T31" s="1"/>
  <c r="T41" s="1"/>
  <c r="W2"/>
  <c r="V25"/>
  <c r="U10"/>
  <c r="U12" s="1"/>
  <c r="S53" l="1"/>
  <c r="W604"/>
  <c r="W605"/>
  <c r="W593"/>
  <c r="W589"/>
  <c r="W585"/>
  <c r="W581"/>
  <c r="V606"/>
  <c r="V607" s="1"/>
  <c r="E280" i="8"/>
  <c r="D280"/>
  <c r="D411"/>
  <c r="E411"/>
  <c r="B414"/>
  <c r="S18" i="2"/>
  <c r="S20" s="1"/>
  <c r="S43" s="1"/>
  <c r="S47" s="1"/>
  <c r="M142" i="10"/>
  <c r="M154" s="1"/>
  <c r="M80"/>
  <c r="M81" s="1"/>
  <c r="M95" s="1"/>
  <c r="M284"/>
  <c r="M300" s="1"/>
  <c r="M220"/>
  <c r="M248" s="1"/>
  <c r="N74"/>
  <c r="N76" s="1"/>
  <c r="T49" i="2"/>
  <c r="T14"/>
  <c r="N101" i="10"/>
  <c r="N110"/>
  <c r="L110"/>
  <c r="O50"/>
  <c r="O74" s="1"/>
  <c r="O76" s="1"/>
  <c r="O80" s="1"/>
  <c r="O81" s="1"/>
  <c r="O95" s="1"/>
  <c r="O281"/>
  <c r="O297" s="1"/>
  <c r="Q649"/>
  <c r="Q652" s="1"/>
  <c r="P745"/>
  <c r="Q746" s="1"/>
  <c r="M49" i="8"/>
  <c r="M73" s="1"/>
  <c r="M78" s="1"/>
  <c r="P49" i="10"/>
  <c r="B416" i="8"/>
  <c r="B413"/>
  <c r="B412"/>
  <c r="B415"/>
  <c r="N700"/>
  <c r="O701" s="1"/>
  <c r="O604"/>
  <c r="O607" s="1"/>
  <c r="N202"/>
  <c r="N237"/>
  <c r="N48"/>
  <c r="B281"/>
  <c r="B277"/>
  <c r="C87"/>
  <c r="C79"/>
  <c r="B282"/>
  <c r="B279"/>
  <c r="B278"/>
  <c r="C341" i="7"/>
  <c r="C207"/>
  <c r="C345"/>
  <c r="C211"/>
  <c r="C342"/>
  <c r="C208"/>
  <c r="C340"/>
  <c r="C206"/>
  <c r="C343"/>
  <c r="C209"/>
  <c r="C344"/>
  <c r="C210"/>
  <c r="C82"/>
  <c r="C87" s="1"/>
  <c r="C96" s="1"/>
  <c r="E169" i="1"/>
  <c r="E171" s="1"/>
  <c r="E185"/>
  <c r="B79" i="7"/>
  <c r="X165"/>
  <c r="X129"/>
  <c r="X54"/>
  <c r="X56" s="1"/>
  <c r="X82" s="1"/>
  <c r="X87" s="1"/>
  <c r="W96"/>
  <c r="W88"/>
  <c r="D538"/>
  <c r="Y568"/>
  <c r="Y571" s="1"/>
  <c r="X664"/>
  <c r="Y665" s="1"/>
  <c r="T17" i="2"/>
  <c r="T52"/>
  <c r="T230"/>
  <c r="T269"/>
  <c r="T15"/>
  <c r="T18" s="1"/>
  <c r="T20" s="1"/>
  <c r="T50"/>
  <c r="T228"/>
  <c r="T267"/>
  <c r="U71"/>
  <c r="W5"/>
  <c r="W722"/>
  <c r="W396" s="1"/>
  <c r="W531" s="1"/>
  <c r="W720"/>
  <c r="W394" s="1"/>
  <c r="W529" s="1"/>
  <c r="W718"/>
  <c r="W392" s="1"/>
  <c r="W527" s="1"/>
  <c r="W716"/>
  <c r="W390" s="1"/>
  <c r="W525" s="1"/>
  <c r="W714"/>
  <c r="W388" s="1"/>
  <c r="W523" s="1"/>
  <c r="W690"/>
  <c r="W370" s="1"/>
  <c r="W505" s="1"/>
  <c r="W688"/>
  <c r="W368" s="1"/>
  <c r="W503" s="1"/>
  <c r="W721"/>
  <c r="W395" s="1"/>
  <c r="W530" s="1"/>
  <c r="W719"/>
  <c r="W393" s="1"/>
  <c r="W528" s="1"/>
  <c r="W717"/>
  <c r="W391" s="1"/>
  <c r="W526" s="1"/>
  <c r="W715"/>
  <c r="W389" s="1"/>
  <c r="W524" s="1"/>
  <c r="W713"/>
  <c r="W387" s="1"/>
  <c r="W522" s="1"/>
  <c r="W689"/>
  <c r="W369" s="1"/>
  <c r="W504" s="1"/>
  <c r="W686"/>
  <c r="W366" s="1"/>
  <c r="W501" s="1"/>
  <c r="W684"/>
  <c r="W364" s="1"/>
  <c r="W499" s="1"/>
  <c r="W682"/>
  <c r="W362" s="1"/>
  <c r="W497" s="1"/>
  <c r="W658"/>
  <c r="W345" s="1"/>
  <c r="W479" s="1"/>
  <c r="W656"/>
  <c r="W343" s="1"/>
  <c r="W477" s="1"/>
  <c r="W654"/>
  <c r="W341" s="1"/>
  <c r="W475" s="1"/>
  <c r="W652"/>
  <c r="W339" s="1"/>
  <c r="W473" s="1"/>
  <c r="W650"/>
  <c r="W337" s="1"/>
  <c r="W471" s="1"/>
  <c r="W727"/>
  <c r="W730"/>
  <c r="W732"/>
  <c r="W734"/>
  <c r="W685"/>
  <c r="W365" s="1"/>
  <c r="W500" s="1"/>
  <c r="W681"/>
  <c r="W361" s="1"/>
  <c r="W496" s="1"/>
  <c r="W657"/>
  <c r="W344" s="1"/>
  <c r="W478" s="1"/>
  <c r="W653"/>
  <c r="W340" s="1"/>
  <c r="W474" s="1"/>
  <c r="W687"/>
  <c r="W367" s="1"/>
  <c r="W502" s="1"/>
  <c r="W683"/>
  <c r="W363" s="1"/>
  <c r="W498" s="1"/>
  <c r="W655"/>
  <c r="W342" s="1"/>
  <c r="W476" s="1"/>
  <c r="W651"/>
  <c r="W338" s="1"/>
  <c r="W472" s="1"/>
  <c r="W728"/>
  <c r="W729"/>
  <c r="W693"/>
  <c r="W697"/>
  <c r="W699"/>
  <c r="W701"/>
  <c r="W649"/>
  <c r="W336" s="1"/>
  <c r="W470" s="1"/>
  <c r="W725"/>
  <c r="W733"/>
  <c r="W696"/>
  <c r="W698"/>
  <c r="W700"/>
  <c r="W702"/>
  <c r="V691"/>
  <c r="V676" s="1"/>
  <c r="V69" s="1"/>
  <c r="V723"/>
  <c r="V708" s="1"/>
  <c r="V70" s="1"/>
  <c r="V61"/>
  <c r="W661"/>
  <c r="W33"/>
  <c r="W35" s="1"/>
  <c r="W37" s="1"/>
  <c r="W39" s="1"/>
  <c r="W548"/>
  <c r="W549" s="1"/>
  <c r="W554"/>
  <c r="W555" s="1"/>
  <c r="W633"/>
  <c r="W618"/>
  <c r="W55" s="1"/>
  <c r="W608"/>
  <c r="W619" s="1"/>
  <c r="W623" s="1"/>
  <c r="W631"/>
  <c r="W602"/>
  <c r="W609"/>
  <c r="W601"/>
  <c r="X11"/>
  <c r="W313"/>
  <c r="W315"/>
  <c r="W317"/>
  <c r="W316"/>
  <c r="W448"/>
  <c r="W450"/>
  <c r="W452"/>
  <c r="W624"/>
  <c r="W314"/>
  <c r="W318"/>
  <c r="W447"/>
  <c r="W449"/>
  <c r="W451"/>
  <c r="W466" s="1"/>
  <c r="U117"/>
  <c r="W19"/>
  <c r="R47"/>
  <c r="R238"/>
  <c r="R202"/>
  <c r="T116"/>
  <c r="W664"/>
  <c r="W665"/>
  <c r="W667"/>
  <c r="W669"/>
  <c r="W666"/>
  <c r="W668"/>
  <c r="W670"/>
  <c r="T105"/>
  <c r="V332"/>
  <c r="W465"/>
  <c r="W331"/>
  <c r="V639"/>
  <c r="W636" s="1"/>
  <c r="V62"/>
  <c r="W638"/>
  <c r="W62" s="1"/>
  <c r="V659"/>
  <c r="V644" s="1"/>
  <c r="V68" s="1"/>
  <c r="T630"/>
  <c r="U550"/>
  <c r="U551" s="1"/>
  <c r="U103" s="1"/>
  <c r="U244" s="1"/>
  <c r="U556"/>
  <c r="U557" s="1"/>
  <c r="U104" s="1"/>
  <c r="V27"/>
  <c r="W23"/>
  <c r="W26"/>
  <c r="W30"/>
  <c r="W40"/>
  <c r="V240"/>
  <c r="V204"/>
  <c r="T268"/>
  <c r="T229"/>
  <c r="S270"/>
  <c r="S271" s="1"/>
  <c r="T266"/>
  <c r="T227"/>
  <c r="S231"/>
  <c r="S232" s="1"/>
  <c r="T597"/>
  <c r="U594"/>
  <c r="U595" s="1"/>
  <c r="U586"/>
  <c r="U587" s="1"/>
  <c r="U582"/>
  <c r="U583" s="1"/>
  <c r="U590"/>
  <c r="U591" s="1"/>
  <c r="U51" s="1"/>
  <c r="W622"/>
  <c r="W632"/>
  <c r="X2"/>
  <c r="W25"/>
  <c r="U29"/>
  <c r="U31" s="1"/>
  <c r="U41" s="1"/>
  <c r="V10"/>
  <c r="V12" s="1"/>
  <c r="X604" l="1"/>
  <c r="X605"/>
  <c r="X593"/>
  <c r="X589"/>
  <c r="X585"/>
  <c r="X581"/>
  <c r="W606"/>
  <c r="W607" s="1"/>
  <c r="E279" i="8"/>
  <c r="D279"/>
  <c r="E281"/>
  <c r="D281"/>
  <c r="D278"/>
  <c r="E278"/>
  <c r="E282"/>
  <c r="D282"/>
  <c r="E277"/>
  <c r="D277"/>
  <c r="E412"/>
  <c r="D412"/>
  <c r="E416"/>
  <c r="D416"/>
  <c r="E414"/>
  <c r="D414"/>
  <c r="E415"/>
  <c r="D415"/>
  <c r="E413"/>
  <c r="D413"/>
  <c r="T53" i="2"/>
  <c r="N142" i="10"/>
  <c r="N154" s="1"/>
  <c r="N80"/>
  <c r="N81" s="1"/>
  <c r="N95" s="1"/>
  <c r="N284"/>
  <c r="N300" s="1"/>
  <c r="N220"/>
  <c r="N248" s="1"/>
  <c r="U49" i="2"/>
  <c r="U14"/>
  <c r="O109" i="10"/>
  <c r="O110" s="1"/>
  <c r="O142"/>
  <c r="O154" s="1"/>
  <c r="O101"/>
  <c r="O284"/>
  <c r="O220"/>
  <c r="O248" s="1"/>
  <c r="P50"/>
  <c r="P281"/>
  <c r="P297" s="1"/>
  <c r="P101"/>
  <c r="M87" i="8"/>
  <c r="M88" s="1"/>
  <c r="M79"/>
  <c r="P109" i="10"/>
  <c r="Q49"/>
  <c r="N49" i="8"/>
  <c r="N73" s="1"/>
  <c r="N78" s="1"/>
  <c r="R649" i="10"/>
  <c r="R652" s="1"/>
  <c r="Q745"/>
  <c r="R746" s="1"/>
  <c r="B418" i="8"/>
  <c r="O202"/>
  <c r="O237"/>
  <c r="O48"/>
  <c r="O700"/>
  <c r="P701" s="1"/>
  <c r="P604"/>
  <c r="P607" s="1"/>
  <c r="C88"/>
  <c r="F411"/>
  <c r="G411" s="1"/>
  <c r="G418" s="1"/>
  <c r="B284"/>
  <c r="F280"/>
  <c r="C88" i="7"/>
  <c r="C347"/>
  <c r="B344" s="1"/>
  <c r="C213"/>
  <c r="E173" i="1"/>
  <c r="E174"/>
  <c r="E175"/>
  <c r="E172"/>
  <c r="Y165" i="7"/>
  <c r="Y129"/>
  <c r="Y54"/>
  <c r="Y56" s="1"/>
  <c r="Y82" s="1"/>
  <c r="Y87" s="1"/>
  <c r="W97"/>
  <c r="X96"/>
  <c r="X88"/>
  <c r="C97"/>
  <c r="Z568"/>
  <c r="Z571" s="1"/>
  <c r="Y664"/>
  <c r="Z665" s="1"/>
  <c r="D166"/>
  <c r="D130"/>
  <c r="D55"/>
  <c r="D56" s="1"/>
  <c r="D543"/>
  <c r="U15" i="2"/>
  <c r="U50"/>
  <c r="U228"/>
  <c r="U267"/>
  <c r="U17"/>
  <c r="U52"/>
  <c r="U230"/>
  <c r="U269"/>
  <c r="V71"/>
  <c r="W723"/>
  <c r="W708" s="1"/>
  <c r="W70" s="1"/>
  <c r="X5"/>
  <c r="X721"/>
  <c r="X395" s="1"/>
  <c r="X530" s="1"/>
  <c r="X719"/>
  <c r="X393" s="1"/>
  <c r="X528" s="1"/>
  <c r="X717"/>
  <c r="X391" s="1"/>
  <c r="X526" s="1"/>
  <c r="X715"/>
  <c r="X389" s="1"/>
  <c r="X524" s="1"/>
  <c r="X713"/>
  <c r="X387" s="1"/>
  <c r="X522" s="1"/>
  <c r="X689"/>
  <c r="X369" s="1"/>
  <c r="X504" s="1"/>
  <c r="X722"/>
  <c r="X396" s="1"/>
  <c r="X531" s="1"/>
  <c r="X720"/>
  <c r="X394" s="1"/>
  <c r="X529" s="1"/>
  <c r="X718"/>
  <c r="X392" s="1"/>
  <c r="X527" s="1"/>
  <c r="X716"/>
  <c r="X390" s="1"/>
  <c r="X525" s="1"/>
  <c r="X714"/>
  <c r="X388" s="1"/>
  <c r="X523" s="1"/>
  <c r="X690"/>
  <c r="X370" s="1"/>
  <c r="X505" s="1"/>
  <c r="X688"/>
  <c r="X368" s="1"/>
  <c r="X503" s="1"/>
  <c r="X687"/>
  <c r="X367" s="1"/>
  <c r="X502" s="1"/>
  <c r="X685"/>
  <c r="X365" s="1"/>
  <c r="X500" s="1"/>
  <c r="X683"/>
  <c r="X363" s="1"/>
  <c r="X498" s="1"/>
  <c r="X681"/>
  <c r="X361" s="1"/>
  <c r="X496" s="1"/>
  <c r="X657"/>
  <c r="X344" s="1"/>
  <c r="X478" s="1"/>
  <c r="X655"/>
  <c r="X342" s="1"/>
  <c r="X476" s="1"/>
  <c r="X653"/>
  <c r="X340" s="1"/>
  <c r="X474" s="1"/>
  <c r="X651"/>
  <c r="X338" s="1"/>
  <c r="X472" s="1"/>
  <c r="X649"/>
  <c r="X336" s="1"/>
  <c r="X470" s="1"/>
  <c r="X725"/>
  <c r="X728"/>
  <c r="X729"/>
  <c r="X731"/>
  <c r="X733"/>
  <c r="X686"/>
  <c r="X366" s="1"/>
  <c r="X501" s="1"/>
  <c r="X682"/>
  <c r="X362" s="1"/>
  <c r="X497" s="1"/>
  <c r="X658"/>
  <c r="X345" s="1"/>
  <c r="X479" s="1"/>
  <c r="X654"/>
  <c r="X341" s="1"/>
  <c r="X475" s="1"/>
  <c r="X684"/>
  <c r="X364" s="1"/>
  <c r="X499" s="1"/>
  <c r="X656"/>
  <c r="X652"/>
  <c r="X339" s="1"/>
  <c r="X473" s="1"/>
  <c r="X727"/>
  <c r="X730"/>
  <c r="X696"/>
  <c r="X698"/>
  <c r="X700"/>
  <c r="X702"/>
  <c r="X650"/>
  <c r="X337" s="1"/>
  <c r="X471" s="1"/>
  <c r="X734"/>
  <c r="X693"/>
  <c r="X697"/>
  <c r="X699"/>
  <c r="X701"/>
  <c r="W691"/>
  <c r="W676" s="1"/>
  <c r="W69" s="1"/>
  <c r="W61"/>
  <c r="X661"/>
  <c r="X33"/>
  <c r="X35" s="1"/>
  <c r="X37" s="1"/>
  <c r="X39" s="1"/>
  <c r="X548"/>
  <c r="X549" s="1"/>
  <c r="X554"/>
  <c r="X555" s="1"/>
  <c r="X631"/>
  <c r="X602"/>
  <c r="X609"/>
  <c r="X601"/>
  <c r="X633"/>
  <c r="X618"/>
  <c r="X55" s="1"/>
  <c r="X608"/>
  <c r="X619" s="1"/>
  <c r="X623" s="1"/>
  <c r="O632"/>
  <c r="Y11"/>
  <c r="X314"/>
  <c r="X316"/>
  <c r="X318"/>
  <c r="X447"/>
  <c r="X448"/>
  <c r="X449"/>
  <c r="X450"/>
  <c r="X451"/>
  <c r="X466" s="1"/>
  <c r="X452"/>
  <c r="X624"/>
  <c r="X313"/>
  <c r="X317"/>
  <c r="X315"/>
  <c r="V117"/>
  <c r="X19"/>
  <c r="S238"/>
  <c r="U116"/>
  <c r="S202"/>
  <c r="T43"/>
  <c r="X666"/>
  <c r="X668"/>
  <c r="X670"/>
  <c r="X665"/>
  <c r="X667"/>
  <c r="X669"/>
  <c r="W639"/>
  <c r="X636" s="1"/>
  <c r="U105"/>
  <c r="X465"/>
  <c r="W332"/>
  <c r="X331"/>
  <c r="X343"/>
  <c r="X477" s="1"/>
  <c r="X638"/>
  <c r="X62" s="1"/>
  <c r="W659"/>
  <c r="W644" s="1"/>
  <c r="W68" s="1"/>
  <c r="U630"/>
  <c r="V550"/>
  <c r="V551" s="1"/>
  <c r="V103" s="1"/>
  <c r="V244" s="1"/>
  <c r="V556"/>
  <c r="V557" s="1"/>
  <c r="V104" s="1"/>
  <c r="W27"/>
  <c r="X23"/>
  <c r="X26"/>
  <c r="X30"/>
  <c r="X40"/>
  <c r="T270"/>
  <c r="T271" s="1"/>
  <c r="W240"/>
  <c r="W204"/>
  <c r="T231"/>
  <c r="T232" s="1"/>
  <c r="U266"/>
  <c r="U227"/>
  <c r="U268"/>
  <c r="U229"/>
  <c r="U597"/>
  <c r="V590"/>
  <c r="V591" s="1"/>
  <c r="V51" s="1"/>
  <c r="V594"/>
  <c r="V595" s="1"/>
  <c r="V586"/>
  <c r="V587" s="1"/>
  <c r="V582"/>
  <c r="V583" s="1"/>
  <c r="X632"/>
  <c r="X622"/>
  <c r="Y2"/>
  <c r="X25"/>
  <c r="V29"/>
  <c r="V31" s="1"/>
  <c r="V41" s="1"/>
  <c r="W10"/>
  <c r="W12" s="1"/>
  <c r="H413" i="8" l="1"/>
  <c r="H415"/>
  <c r="K415" s="1"/>
  <c r="L415" s="1"/>
  <c r="H411"/>
  <c r="H412"/>
  <c r="K412" s="1"/>
  <c r="L412" s="1"/>
  <c r="H414"/>
  <c r="H416"/>
  <c r="K416" s="1"/>
  <c r="L416" s="1"/>
  <c r="F281"/>
  <c r="F414"/>
  <c r="F412"/>
  <c r="Y604" i="2"/>
  <c r="Y605"/>
  <c r="Y593"/>
  <c r="Y589"/>
  <c r="Y585"/>
  <c r="Y581"/>
  <c r="X606"/>
  <c r="X607" s="1"/>
  <c r="F277" i="8"/>
  <c r="G277" s="1"/>
  <c r="G284" s="1"/>
  <c r="F413"/>
  <c r="F415"/>
  <c r="F416"/>
  <c r="I418"/>
  <c r="K413"/>
  <c r="L413" s="1"/>
  <c r="K414"/>
  <c r="L414" s="1"/>
  <c r="P74" i="10"/>
  <c r="P76" s="1"/>
  <c r="V49" i="2"/>
  <c r="V14"/>
  <c r="O300" i="10"/>
  <c r="P110"/>
  <c r="Q50"/>
  <c r="Q74" s="1"/>
  <c r="Q76" s="1"/>
  <c r="Q80" s="1"/>
  <c r="Q81" s="1"/>
  <c r="Q95" s="1"/>
  <c r="Q281"/>
  <c r="Q297" s="1"/>
  <c r="N87" i="8"/>
  <c r="N88" s="1"/>
  <c r="N79"/>
  <c r="S649" i="10"/>
  <c r="S652" s="1"/>
  <c r="R745"/>
  <c r="S746" s="1"/>
  <c r="C163"/>
  <c r="O49" i="8"/>
  <c r="O73" s="1"/>
  <c r="O78" s="1"/>
  <c r="R49" i="10"/>
  <c r="P700" i="8"/>
  <c r="Q701" s="1"/>
  <c r="Q604"/>
  <c r="Q607" s="1"/>
  <c r="P202"/>
  <c r="P237"/>
  <c r="P48"/>
  <c r="F279"/>
  <c r="D72"/>
  <c r="D73" s="1"/>
  <c r="D78" s="1"/>
  <c r="F282"/>
  <c r="F278"/>
  <c r="B208" i="7"/>
  <c r="B211"/>
  <c r="B209"/>
  <c r="B206"/>
  <c r="B207"/>
  <c r="B210"/>
  <c r="B341"/>
  <c r="B343"/>
  <c r="B345"/>
  <c r="B340"/>
  <c r="B342"/>
  <c r="E176" i="1"/>
  <c r="AA568" i="7"/>
  <c r="AA571" s="1"/>
  <c r="Z664"/>
  <c r="AA665" s="1"/>
  <c r="X97"/>
  <c r="Y96"/>
  <c r="Y88"/>
  <c r="D540"/>
  <c r="D541" s="1"/>
  <c r="E544" s="1"/>
  <c r="D80"/>
  <c r="D81" s="1"/>
  <c r="D82" s="1"/>
  <c r="D87" s="1"/>
  <c r="Z165"/>
  <c r="Z129"/>
  <c r="Z54"/>
  <c r="Z56" s="1"/>
  <c r="Z82" s="1"/>
  <c r="Z87" s="1"/>
  <c r="U53" i="2"/>
  <c r="U18"/>
  <c r="U20" s="1"/>
  <c r="U43" s="1"/>
  <c r="U47" s="1"/>
  <c r="W71"/>
  <c r="V15"/>
  <c r="V50"/>
  <c r="V228"/>
  <c r="V267"/>
  <c r="V17"/>
  <c r="V52"/>
  <c r="V230"/>
  <c r="V269"/>
  <c r="X691"/>
  <c r="X676" s="1"/>
  <c r="X69" s="1"/>
  <c r="X723"/>
  <c r="X708" s="1"/>
  <c r="X70" s="1"/>
  <c r="Y5"/>
  <c r="Y722"/>
  <c r="Y396" s="1"/>
  <c r="Y531" s="1"/>
  <c r="Y720"/>
  <c r="Y394" s="1"/>
  <c r="Y529" s="1"/>
  <c r="Y718"/>
  <c r="Y392" s="1"/>
  <c r="Y527" s="1"/>
  <c r="Y716"/>
  <c r="Y390" s="1"/>
  <c r="Y525" s="1"/>
  <c r="Y714"/>
  <c r="Y388" s="1"/>
  <c r="Y523" s="1"/>
  <c r="Y690"/>
  <c r="Y370" s="1"/>
  <c r="Y505" s="1"/>
  <c r="Y688"/>
  <c r="Y368" s="1"/>
  <c r="Y503" s="1"/>
  <c r="Y721"/>
  <c r="Y395" s="1"/>
  <c r="Y530" s="1"/>
  <c r="Y719"/>
  <c r="Y393" s="1"/>
  <c r="Y528" s="1"/>
  <c r="Y717"/>
  <c r="Y391" s="1"/>
  <c r="Y526" s="1"/>
  <c r="Y715"/>
  <c r="Y389" s="1"/>
  <c r="Y524" s="1"/>
  <c r="Y713"/>
  <c r="Y387" s="1"/>
  <c r="Y522" s="1"/>
  <c r="Y689"/>
  <c r="Y369" s="1"/>
  <c r="Y504" s="1"/>
  <c r="Y686"/>
  <c r="Y366" s="1"/>
  <c r="Y501" s="1"/>
  <c r="Y684"/>
  <c r="Y364" s="1"/>
  <c r="Y499" s="1"/>
  <c r="Y682"/>
  <c r="Y362" s="1"/>
  <c r="Y497" s="1"/>
  <c r="Y658"/>
  <c r="Y345" s="1"/>
  <c r="Y479" s="1"/>
  <c r="Y656"/>
  <c r="Y343" s="1"/>
  <c r="Y477" s="1"/>
  <c r="Y654"/>
  <c r="Y341" s="1"/>
  <c r="Y475" s="1"/>
  <c r="Y652"/>
  <c r="Y339" s="1"/>
  <c r="Y473" s="1"/>
  <c r="Y650"/>
  <c r="Y337" s="1"/>
  <c r="Y471" s="1"/>
  <c r="Y727"/>
  <c r="Y730"/>
  <c r="Y734"/>
  <c r="Y687"/>
  <c r="Y367" s="1"/>
  <c r="Y502" s="1"/>
  <c r="Y683"/>
  <c r="Y363" s="1"/>
  <c r="Y498" s="1"/>
  <c r="Y655"/>
  <c r="Y342" s="1"/>
  <c r="Y476" s="1"/>
  <c r="Y651"/>
  <c r="Y338" s="1"/>
  <c r="Y472" s="1"/>
  <c r="Y685"/>
  <c r="Y365" s="1"/>
  <c r="Y500" s="1"/>
  <c r="Y681"/>
  <c r="Y361" s="1"/>
  <c r="Y496" s="1"/>
  <c r="Y657"/>
  <c r="Y344" s="1"/>
  <c r="Y478" s="1"/>
  <c r="Y653"/>
  <c r="Y340" s="1"/>
  <c r="Y474" s="1"/>
  <c r="Y649"/>
  <c r="Y336" s="1"/>
  <c r="Y470" s="1"/>
  <c r="Y725"/>
  <c r="Y729"/>
  <c r="Y733"/>
  <c r="Y731"/>
  <c r="Y693"/>
  <c r="Y697"/>
  <c r="Y699"/>
  <c r="Y701"/>
  <c r="Y728"/>
  <c r="Y696"/>
  <c r="Y698"/>
  <c r="Y700"/>
  <c r="Y702"/>
  <c r="X61"/>
  <c r="Y661"/>
  <c r="Y33"/>
  <c r="Y35" s="1"/>
  <c r="Y37" s="1"/>
  <c r="Y39" s="1"/>
  <c r="Y548"/>
  <c r="Y549" s="1"/>
  <c r="Y554"/>
  <c r="Y555" s="1"/>
  <c r="Y633"/>
  <c r="Y618"/>
  <c r="Y55" s="1"/>
  <c r="Y608"/>
  <c r="Y619" s="1"/>
  <c r="Y623" s="1"/>
  <c r="Y631"/>
  <c r="Y602"/>
  <c r="Y609"/>
  <c r="Y601"/>
  <c r="Z11"/>
  <c r="Y313"/>
  <c r="Y315"/>
  <c r="Y317"/>
  <c r="Y314"/>
  <c r="Y318"/>
  <c r="Y447"/>
  <c r="Y449"/>
  <c r="Y451"/>
  <c r="Y466" s="1"/>
  <c r="Y316"/>
  <c r="Y448"/>
  <c r="Y450"/>
  <c r="Y452"/>
  <c r="Y624"/>
  <c r="Y19"/>
  <c r="W117"/>
  <c r="T47"/>
  <c r="T202"/>
  <c r="T238"/>
  <c r="V116"/>
  <c r="X639"/>
  <c r="Y636" s="1"/>
  <c r="Y665"/>
  <c r="Y667"/>
  <c r="Y669"/>
  <c r="Y666"/>
  <c r="Y668"/>
  <c r="Y670"/>
  <c r="V105"/>
  <c r="X332"/>
  <c r="Y465"/>
  <c r="Y331"/>
  <c r="Y638"/>
  <c r="Y62" s="1"/>
  <c r="X659"/>
  <c r="X644" s="1"/>
  <c r="X68" s="1"/>
  <c r="V630"/>
  <c r="W550"/>
  <c r="W551" s="1"/>
  <c r="W103" s="1"/>
  <c r="W244" s="1"/>
  <c r="W556"/>
  <c r="W557" s="1"/>
  <c r="W104" s="1"/>
  <c r="Y23"/>
  <c r="Y26"/>
  <c r="Y30"/>
  <c r="Y40"/>
  <c r="U270"/>
  <c r="U271" s="1"/>
  <c r="X240"/>
  <c r="X204"/>
  <c r="V266"/>
  <c r="V227"/>
  <c r="V268"/>
  <c r="V229"/>
  <c r="U231"/>
  <c r="U232" s="1"/>
  <c r="V597"/>
  <c r="W594"/>
  <c r="W595" s="1"/>
  <c r="W586"/>
  <c r="W587" s="1"/>
  <c r="W582"/>
  <c r="W583" s="1"/>
  <c r="W590"/>
  <c r="W591" s="1"/>
  <c r="W51" s="1"/>
  <c r="Y622"/>
  <c r="Y632"/>
  <c r="Z2"/>
  <c r="Y25"/>
  <c r="W29"/>
  <c r="W31" s="1"/>
  <c r="W41" s="1"/>
  <c r="X27"/>
  <c r="X10"/>
  <c r="X12" s="1"/>
  <c r="H279" i="8" l="1"/>
  <c r="H281"/>
  <c r="K281" s="1"/>
  <c r="L281" s="1"/>
  <c r="H277"/>
  <c r="K277" s="1"/>
  <c r="L277" s="1"/>
  <c r="H278"/>
  <c r="K278" s="1"/>
  <c r="L278" s="1"/>
  <c r="H280"/>
  <c r="K280" s="1"/>
  <c r="L280" s="1"/>
  <c r="H282"/>
  <c r="K282" s="1"/>
  <c r="L282" s="1"/>
  <c r="R630" i="2"/>
  <c r="K279" i="8"/>
  <c r="L279" s="1"/>
  <c r="I284"/>
  <c r="D210" i="7"/>
  <c r="E210"/>
  <c r="D206"/>
  <c r="E206"/>
  <c r="D211"/>
  <c r="E211"/>
  <c r="D207"/>
  <c r="E207"/>
  <c r="D209"/>
  <c r="E209"/>
  <c r="D208"/>
  <c r="E208"/>
  <c r="H418" i="8"/>
  <c r="F418"/>
  <c r="V18" i="2"/>
  <c r="V20" s="1"/>
  <c r="V43" s="1"/>
  <c r="Z604"/>
  <c r="Z605"/>
  <c r="Z593"/>
  <c r="Z589"/>
  <c r="Z585"/>
  <c r="Z581"/>
  <c r="Y606"/>
  <c r="Y607" s="1"/>
  <c r="K411" i="8"/>
  <c r="L411" s="1"/>
  <c r="L418" s="1"/>
  <c r="V53" i="2"/>
  <c r="P142" i="10"/>
  <c r="P154" s="1"/>
  <c r="P80"/>
  <c r="P81" s="1"/>
  <c r="P95" s="1"/>
  <c r="P220"/>
  <c r="P248" s="1"/>
  <c r="P284"/>
  <c r="P300" s="1"/>
  <c r="W49" i="2"/>
  <c r="W14"/>
  <c r="Q109" i="10"/>
  <c r="Q110" s="1"/>
  <c r="Q142"/>
  <c r="Q154" s="1"/>
  <c r="Q101"/>
  <c r="Q284"/>
  <c r="Q220"/>
  <c r="Q248" s="1"/>
  <c r="R50"/>
  <c r="R74" s="1"/>
  <c r="R76" s="1"/>
  <c r="R80" s="1"/>
  <c r="R81" s="1"/>
  <c r="R95" s="1"/>
  <c r="R281"/>
  <c r="R297" s="1"/>
  <c r="O79" i="8"/>
  <c r="O87"/>
  <c r="O88" s="1"/>
  <c r="T649" i="10"/>
  <c r="T652" s="1"/>
  <c r="S745"/>
  <c r="T746" s="1"/>
  <c r="P49" i="8"/>
  <c r="P73" s="1"/>
  <c r="P78" s="1"/>
  <c r="S49" i="10"/>
  <c r="Q202" i="8"/>
  <c r="Q237"/>
  <c r="Q48"/>
  <c r="Q700"/>
  <c r="R701" s="1"/>
  <c r="R604"/>
  <c r="R607" s="1"/>
  <c r="D87"/>
  <c r="D79"/>
  <c r="F284"/>
  <c r="F344" i="7"/>
  <c r="B347"/>
  <c r="B213"/>
  <c r="D96"/>
  <c r="D88"/>
  <c r="Z96"/>
  <c r="Z88"/>
  <c r="AB568"/>
  <c r="AB571" s="1"/>
  <c r="AA664"/>
  <c r="AB665" s="1"/>
  <c r="E538"/>
  <c r="Y97"/>
  <c r="AA165"/>
  <c r="AA129"/>
  <c r="AA54"/>
  <c r="AA56" s="1"/>
  <c r="AA82" s="1"/>
  <c r="AA87" s="1"/>
  <c r="W15" i="2"/>
  <c r="W50"/>
  <c r="W228"/>
  <c r="W267"/>
  <c r="W17"/>
  <c r="W52"/>
  <c r="W230"/>
  <c r="W269"/>
  <c r="X71"/>
  <c r="Y691"/>
  <c r="Y676" s="1"/>
  <c r="Y69" s="1"/>
  <c r="Y723"/>
  <c r="Y708" s="1"/>
  <c r="Y70" s="1"/>
  <c r="Z5"/>
  <c r="Z721"/>
  <c r="Z395" s="1"/>
  <c r="Z530" s="1"/>
  <c r="Z719"/>
  <c r="Z393" s="1"/>
  <c r="Z528" s="1"/>
  <c r="Z717"/>
  <c r="Z391" s="1"/>
  <c r="Z526" s="1"/>
  <c r="Z715"/>
  <c r="Z389" s="1"/>
  <c r="Z524" s="1"/>
  <c r="Z713"/>
  <c r="Z387" s="1"/>
  <c r="Z522" s="1"/>
  <c r="Z689"/>
  <c r="Z369" s="1"/>
  <c r="Z504" s="1"/>
  <c r="Z722"/>
  <c r="Z396" s="1"/>
  <c r="Z531" s="1"/>
  <c r="Z720"/>
  <c r="Z394" s="1"/>
  <c r="Z529" s="1"/>
  <c r="Z718"/>
  <c r="Z392" s="1"/>
  <c r="Z527" s="1"/>
  <c r="Z716"/>
  <c r="Z390" s="1"/>
  <c r="Z525" s="1"/>
  <c r="Z714"/>
  <c r="Z388" s="1"/>
  <c r="Z523" s="1"/>
  <c r="Z690"/>
  <c r="Z370" s="1"/>
  <c r="Z505" s="1"/>
  <c r="Z688"/>
  <c r="Z368" s="1"/>
  <c r="Z503" s="1"/>
  <c r="Z687"/>
  <c r="Z367" s="1"/>
  <c r="Z502" s="1"/>
  <c r="Z685"/>
  <c r="Z365" s="1"/>
  <c r="Z500" s="1"/>
  <c r="Z683"/>
  <c r="Z363" s="1"/>
  <c r="Z498" s="1"/>
  <c r="Z681"/>
  <c r="Z361" s="1"/>
  <c r="Z496" s="1"/>
  <c r="Z657"/>
  <c r="Z344" s="1"/>
  <c r="Z478" s="1"/>
  <c r="Z655"/>
  <c r="Z342" s="1"/>
  <c r="Z476" s="1"/>
  <c r="Z653"/>
  <c r="Z340" s="1"/>
  <c r="Z474" s="1"/>
  <c r="Z651"/>
  <c r="Z649"/>
  <c r="Z336" s="1"/>
  <c r="Z470" s="1"/>
  <c r="Z725"/>
  <c r="Z728"/>
  <c r="Z729"/>
  <c r="Z731"/>
  <c r="Z733"/>
  <c r="Z684"/>
  <c r="Z364" s="1"/>
  <c r="Z499" s="1"/>
  <c r="Z656"/>
  <c r="Z343" s="1"/>
  <c r="Z477" s="1"/>
  <c r="Z652"/>
  <c r="Z339" s="1"/>
  <c r="Z473" s="1"/>
  <c r="Z686"/>
  <c r="Z366" s="1"/>
  <c r="Z501" s="1"/>
  <c r="Z682"/>
  <c r="Z362" s="1"/>
  <c r="Z497" s="1"/>
  <c r="Z658"/>
  <c r="Z654"/>
  <c r="Z341" s="1"/>
  <c r="Z475" s="1"/>
  <c r="Z650"/>
  <c r="Z337" s="1"/>
  <c r="Z471" s="1"/>
  <c r="Z730"/>
  <c r="Z734"/>
  <c r="Z696"/>
  <c r="Z698"/>
  <c r="Z700"/>
  <c r="Z727"/>
  <c r="Z693"/>
  <c r="Z697"/>
  <c r="Z699"/>
  <c r="Z701"/>
  <c r="Z702"/>
  <c r="Y61"/>
  <c r="Y639"/>
  <c r="Z636" s="1"/>
  <c r="Z661"/>
  <c r="Z33"/>
  <c r="Z35" s="1"/>
  <c r="Z37" s="1"/>
  <c r="Z39" s="1"/>
  <c r="Z548"/>
  <c r="Z549" s="1"/>
  <c r="Z554"/>
  <c r="Z555" s="1"/>
  <c r="Z631"/>
  <c r="Z602"/>
  <c r="Z609"/>
  <c r="Z601"/>
  <c r="Z633"/>
  <c r="Z618"/>
  <c r="Z55" s="1"/>
  <c r="Z608"/>
  <c r="Z619" s="1"/>
  <c r="Z623" s="1"/>
  <c r="AA11"/>
  <c r="Z314"/>
  <c r="Z316"/>
  <c r="Z318"/>
  <c r="Z447"/>
  <c r="Z448"/>
  <c r="Z449"/>
  <c r="Z450"/>
  <c r="Z451"/>
  <c r="Z466" s="1"/>
  <c r="Z452"/>
  <c r="Z624"/>
  <c r="Z315"/>
  <c r="Z313"/>
  <c r="Z317"/>
  <c r="X117"/>
  <c r="Z19"/>
  <c r="U202"/>
  <c r="W116"/>
  <c r="U238"/>
  <c r="Z666"/>
  <c r="Z668"/>
  <c r="Z670"/>
  <c r="Z665"/>
  <c r="Z667"/>
  <c r="Z669"/>
  <c r="Y332"/>
  <c r="W53"/>
  <c r="W105"/>
  <c r="Z465"/>
  <c r="Z331"/>
  <c r="Z338"/>
  <c r="Z472" s="1"/>
  <c r="Z345"/>
  <c r="Z479" s="1"/>
  <c r="Z638"/>
  <c r="Y659"/>
  <c r="Y644" s="1"/>
  <c r="Y68" s="1"/>
  <c r="W630"/>
  <c r="Y27"/>
  <c r="X550"/>
  <c r="X551" s="1"/>
  <c r="X103" s="1"/>
  <c r="X244" s="1"/>
  <c r="X556"/>
  <c r="X557" s="1"/>
  <c r="X104" s="1"/>
  <c r="Z23"/>
  <c r="Z26"/>
  <c r="Z30"/>
  <c r="Z40"/>
  <c r="Y240"/>
  <c r="Y204"/>
  <c r="W268"/>
  <c r="W229"/>
  <c r="V270"/>
  <c r="V271" s="1"/>
  <c r="W266"/>
  <c r="W227"/>
  <c r="V231"/>
  <c r="V232" s="1"/>
  <c r="W18"/>
  <c r="W20" s="1"/>
  <c r="W597"/>
  <c r="X590"/>
  <c r="X591" s="1"/>
  <c r="X51" s="1"/>
  <c r="X594"/>
  <c r="X595" s="1"/>
  <c r="X586"/>
  <c r="X587" s="1"/>
  <c r="X582"/>
  <c r="X583" s="1"/>
  <c r="Z632"/>
  <c r="Z622"/>
  <c r="X29"/>
  <c r="X31" s="1"/>
  <c r="X41" s="1"/>
  <c r="AA2"/>
  <c r="Z25"/>
  <c r="Y10"/>
  <c r="Y12" s="1"/>
  <c r="L284" i="8" l="1"/>
  <c r="AA604" i="2"/>
  <c r="AA605"/>
  <c r="AA593"/>
  <c r="AA589"/>
  <c r="AA585"/>
  <c r="AA581"/>
  <c r="Z606"/>
  <c r="Z607" s="1"/>
  <c r="H284" i="8"/>
  <c r="X49" i="2"/>
  <c r="X14"/>
  <c r="P87" i="8"/>
  <c r="P88" s="1"/>
  <c r="P79"/>
  <c r="R101" i="10"/>
  <c r="R142"/>
  <c r="R154" s="1"/>
  <c r="R109"/>
  <c r="R110" s="1"/>
  <c r="Q300"/>
  <c r="R284"/>
  <c r="R220"/>
  <c r="R248" s="1"/>
  <c r="S50"/>
  <c r="S74" s="1"/>
  <c r="S76" s="1"/>
  <c r="S80" s="1"/>
  <c r="S81" s="1"/>
  <c r="S95" s="1"/>
  <c r="S281"/>
  <c r="S297" s="1"/>
  <c r="Q49" i="8"/>
  <c r="Q73" s="1"/>
  <c r="Q78" s="1"/>
  <c r="T49" i="10"/>
  <c r="U649"/>
  <c r="U652" s="1"/>
  <c r="T745"/>
  <c r="U746" s="1"/>
  <c r="R700" i="8"/>
  <c r="S701" s="1"/>
  <c r="S604"/>
  <c r="S607" s="1"/>
  <c r="R237"/>
  <c r="R48"/>
  <c r="R202"/>
  <c r="I416"/>
  <c r="J416" s="1"/>
  <c r="I282"/>
  <c r="J282" s="1"/>
  <c r="D88"/>
  <c r="F343" i="7"/>
  <c r="F340"/>
  <c r="G340" s="1"/>
  <c r="F208"/>
  <c r="F207"/>
  <c r="F345"/>
  <c r="F211"/>
  <c r="F206"/>
  <c r="G206" s="1"/>
  <c r="G213" s="1"/>
  <c r="F210"/>
  <c r="F209"/>
  <c r="F341"/>
  <c r="F342"/>
  <c r="AA96"/>
  <c r="AA88"/>
  <c r="E166"/>
  <c r="E130"/>
  <c r="E55"/>
  <c r="E56" s="1"/>
  <c r="E543"/>
  <c r="AC568"/>
  <c r="AC571" s="1"/>
  <c r="AB664"/>
  <c r="AC665" s="1"/>
  <c r="Z97"/>
  <c r="D97"/>
  <c r="AB165"/>
  <c r="AB129"/>
  <c r="AB54"/>
  <c r="AB56" s="1"/>
  <c r="AB82" s="1"/>
  <c r="AB87" s="1"/>
  <c r="Y71" i="2"/>
  <c r="X17"/>
  <c r="X52"/>
  <c r="X230"/>
  <c r="X269"/>
  <c r="X15"/>
  <c r="X50"/>
  <c r="X53" s="1"/>
  <c r="X228"/>
  <c r="X267"/>
  <c r="AA5"/>
  <c r="AA722"/>
  <c r="AA396" s="1"/>
  <c r="AA531" s="1"/>
  <c r="AA720"/>
  <c r="AA394" s="1"/>
  <c r="AA529" s="1"/>
  <c r="AA718"/>
  <c r="AA392" s="1"/>
  <c r="AA527" s="1"/>
  <c r="AA716"/>
  <c r="AA390" s="1"/>
  <c r="AA525" s="1"/>
  <c r="AA714"/>
  <c r="AA388" s="1"/>
  <c r="AA523" s="1"/>
  <c r="AA690"/>
  <c r="AA370" s="1"/>
  <c r="AA505" s="1"/>
  <c r="AA688"/>
  <c r="AA368" s="1"/>
  <c r="AA503" s="1"/>
  <c r="AA721"/>
  <c r="AA395" s="1"/>
  <c r="AA530" s="1"/>
  <c r="AA719"/>
  <c r="AA393" s="1"/>
  <c r="AA528" s="1"/>
  <c r="AA717"/>
  <c r="AA391" s="1"/>
  <c r="AA526" s="1"/>
  <c r="AA715"/>
  <c r="AA389" s="1"/>
  <c r="AA524" s="1"/>
  <c r="AA713"/>
  <c r="AA387" s="1"/>
  <c r="AA522" s="1"/>
  <c r="AA689"/>
  <c r="AA369" s="1"/>
  <c r="AA504" s="1"/>
  <c r="AA686"/>
  <c r="AA366" s="1"/>
  <c r="AA501" s="1"/>
  <c r="AA684"/>
  <c r="AA364" s="1"/>
  <c r="AA499" s="1"/>
  <c r="AA682"/>
  <c r="AA362" s="1"/>
  <c r="AA497" s="1"/>
  <c r="AA658"/>
  <c r="AA345" s="1"/>
  <c r="AA479" s="1"/>
  <c r="AA656"/>
  <c r="AA343" s="1"/>
  <c r="AA477" s="1"/>
  <c r="AA654"/>
  <c r="AA341" s="1"/>
  <c r="AA475" s="1"/>
  <c r="AA652"/>
  <c r="AA339" s="1"/>
  <c r="AA473" s="1"/>
  <c r="AA650"/>
  <c r="AA337" s="1"/>
  <c r="AA471" s="1"/>
  <c r="AA727"/>
  <c r="AA730"/>
  <c r="AA732"/>
  <c r="AA734"/>
  <c r="AA685"/>
  <c r="AA365" s="1"/>
  <c r="AA500" s="1"/>
  <c r="AA681"/>
  <c r="AA361" s="1"/>
  <c r="AA496" s="1"/>
  <c r="AA657"/>
  <c r="AA344" s="1"/>
  <c r="AA478" s="1"/>
  <c r="AA653"/>
  <c r="AA340" s="1"/>
  <c r="AA474" s="1"/>
  <c r="AA687"/>
  <c r="AA367" s="1"/>
  <c r="AA502" s="1"/>
  <c r="AA683"/>
  <c r="AA363" s="1"/>
  <c r="AA498" s="1"/>
  <c r="AA655"/>
  <c r="AA342" s="1"/>
  <c r="AA476" s="1"/>
  <c r="AA651"/>
  <c r="AA338" s="1"/>
  <c r="AA472" s="1"/>
  <c r="AA728"/>
  <c r="AA731"/>
  <c r="AA649"/>
  <c r="AA336" s="1"/>
  <c r="AA470" s="1"/>
  <c r="AA725"/>
  <c r="AA693"/>
  <c r="AA697"/>
  <c r="AA699"/>
  <c r="AA701"/>
  <c r="AA729"/>
  <c r="AA696"/>
  <c r="AA698"/>
  <c r="AA700"/>
  <c r="AA702"/>
  <c r="Z61"/>
  <c r="Z691"/>
  <c r="Z676" s="1"/>
  <c r="Z69" s="1"/>
  <c r="Z723"/>
  <c r="Z708" s="1"/>
  <c r="Z70" s="1"/>
  <c r="AA661"/>
  <c r="AA33"/>
  <c r="AA35" s="1"/>
  <c r="AA37" s="1"/>
  <c r="AA39" s="1"/>
  <c r="AA548"/>
  <c r="AA549" s="1"/>
  <c r="AA554"/>
  <c r="AA555" s="1"/>
  <c r="AA633"/>
  <c r="AA618"/>
  <c r="AA55" s="1"/>
  <c r="AA608"/>
  <c r="AA619" s="1"/>
  <c r="AA623" s="1"/>
  <c r="AA631"/>
  <c r="AA602"/>
  <c r="AA609"/>
  <c r="AA601"/>
  <c r="AB11"/>
  <c r="AA313"/>
  <c r="AA315"/>
  <c r="AA317"/>
  <c r="AA316"/>
  <c r="AA448"/>
  <c r="AA450"/>
  <c r="AA452"/>
  <c r="AA624"/>
  <c r="AA314"/>
  <c r="AA318"/>
  <c r="AA447"/>
  <c r="AA449"/>
  <c r="AA451"/>
  <c r="AA466" s="1"/>
  <c r="AA19"/>
  <c r="Y117"/>
  <c r="V47"/>
  <c r="V202"/>
  <c r="V238"/>
  <c r="X116"/>
  <c r="W43"/>
  <c r="W47" s="1"/>
  <c r="AA662"/>
  <c r="AA665"/>
  <c r="AA667"/>
  <c r="AA669"/>
  <c r="AA666"/>
  <c r="AA668"/>
  <c r="AA670"/>
  <c r="X105"/>
  <c r="Z332"/>
  <c r="AA465"/>
  <c r="AA331"/>
  <c r="Z639"/>
  <c r="AA636" s="1"/>
  <c r="Z62"/>
  <c r="Z659"/>
  <c r="Z644" s="1"/>
  <c r="Z68" s="1"/>
  <c r="AA638"/>
  <c r="X630"/>
  <c r="Z27"/>
  <c r="Y550"/>
  <c r="Y551" s="1"/>
  <c r="Y103" s="1"/>
  <c r="Y244" s="1"/>
  <c r="Y556"/>
  <c r="Y557" s="1"/>
  <c r="Y104" s="1"/>
  <c r="AA23"/>
  <c r="AA26"/>
  <c r="AA30"/>
  <c r="AA40"/>
  <c r="Z240"/>
  <c r="Z204"/>
  <c r="W270"/>
  <c r="W271" s="1"/>
  <c r="W231"/>
  <c r="W232" s="1"/>
  <c r="X268"/>
  <c r="X229"/>
  <c r="X266"/>
  <c r="X227"/>
  <c r="X597"/>
  <c r="Y594"/>
  <c r="Y595" s="1"/>
  <c r="Y586"/>
  <c r="Y587" s="1"/>
  <c r="Y582"/>
  <c r="Y583" s="1"/>
  <c r="Y590"/>
  <c r="Y591" s="1"/>
  <c r="Y51" s="1"/>
  <c r="AA622"/>
  <c r="AA632"/>
  <c r="AB2"/>
  <c r="AA25"/>
  <c r="Y29"/>
  <c r="Y31" s="1"/>
  <c r="Y41" s="1"/>
  <c r="Z10"/>
  <c r="Z12" s="1"/>
  <c r="I213" i="7" l="1"/>
  <c r="H208"/>
  <c r="H210"/>
  <c r="H206"/>
  <c r="H207"/>
  <c r="H209"/>
  <c r="H211"/>
  <c r="G347"/>
  <c r="AB604" i="2"/>
  <c r="AB605"/>
  <c r="AB593"/>
  <c r="AB589"/>
  <c r="AB585"/>
  <c r="AB581"/>
  <c r="AA606"/>
  <c r="AA607" s="1"/>
  <c r="M282" i="8"/>
  <c r="M416"/>
  <c r="N416"/>
  <c r="N282"/>
  <c r="X18" i="2"/>
  <c r="X20" s="1"/>
  <c r="X43" s="1"/>
  <c r="Y49"/>
  <c r="Y14"/>
  <c r="I415" i="8"/>
  <c r="J415" s="1"/>
  <c r="S101" i="10"/>
  <c r="S142"/>
  <c r="S154" s="1"/>
  <c r="C114"/>
  <c r="S109"/>
  <c r="S110" s="1"/>
  <c r="R300"/>
  <c r="S284"/>
  <c r="S220"/>
  <c r="S248" s="1"/>
  <c r="T50"/>
  <c r="T281"/>
  <c r="T297" s="1"/>
  <c r="Q87" i="8"/>
  <c r="Q88" s="1"/>
  <c r="Q79"/>
  <c r="V649" i="10"/>
  <c r="V652" s="1"/>
  <c r="U745"/>
  <c r="V746" s="1"/>
  <c r="R49" i="8"/>
  <c r="R73" s="1"/>
  <c r="R78" s="1"/>
  <c r="U49" i="10"/>
  <c r="S202" i="8"/>
  <c r="S237"/>
  <c r="S48"/>
  <c r="S700"/>
  <c r="T701" s="1"/>
  <c r="T604"/>
  <c r="T607" s="1"/>
  <c r="I281"/>
  <c r="J281" s="1"/>
  <c r="I411"/>
  <c r="J411" s="1"/>
  <c r="I414"/>
  <c r="J414" s="1"/>
  <c r="C91"/>
  <c r="I413"/>
  <c r="J413" s="1"/>
  <c r="I412"/>
  <c r="J412" s="1"/>
  <c r="I277"/>
  <c r="J277" s="1"/>
  <c r="I280"/>
  <c r="J280" s="1"/>
  <c r="C90"/>
  <c r="C240" s="1"/>
  <c r="I279"/>
  <c r="J279" s="1"/>
  <c r="I278"/>
  <c r="J278" s="1"/>
  <c r="E72"/>
  <c r="E73" s="1"/>
  <c r="E78" s="1"/>
  <c r="F347" i="7"/>
  <c r="F213"/>
  <c r="AC165"/>
  <c r="AC129"/>
  <c r="AC54"/>
  <c r="AC56" s="1"/>
  <c r="AC82" s="1"/>
  <c r="AC87" s="1"/>
  <c r="AA97"/>
  <c r="AB96"/>
  <c r="AB88"/>
  <c r="AD568"/>
  <c r="AD571" s="1"/>
  <c r="AC664"/>
  <c r="AD665" s="1"/>
  <c r="E540"/>
  <c r="E541" s="1"/>
  <c r="F544" s="1"/>
  <c r="E80"/>
  <c r="E81" s="1"/>
  <c r="E82" s="1"/>
  <c r="E87" s="1"/>
  <c r="Y15" i="2"/>
  <c r="Y50"/>
  <c r="Y228"/>
  <c r="Y267"/>
  <c r="Y17"/>
  <c r="Y52"/>
  <c r="Y230"/>
  <c r="Y269"/>
  <c r="Z71"/>
  <c r="AA723"/>
  <c r="AA708" s="1"/>
  <c r="AA70" s="1"/>
  <c r="AB5"/>
  <c r="AB721"/>
  <c r="AB395" s="1"/>
  <c r="AB530" s="1"/>
  <c r="AB719"/>
  <c r="AB393" s="1"/>
  <c r="AB528" s="1"/>
  <c r="AB717"/>
  <c r="AB391" s="1"/>
  <c r="AB526" s="1"/>
  <c r="AB715"/>
  <c r="AB389" s="1"/>
  <c r="AB524" s="1"/>
  <c r="AB713"/>
  <c r="AB387" s="1"/>
  <c r="AB522" s="1"/>
  <c r="AB689"/>
  <c r="AB369" s="1"/>
  <c r="AB504" s="1"/>
  <c r="AB722"/>
  <c r="AB396" s="1"/>
  <c r="AB531" s="1"/>
  <c r="AB720"/>
  <c r="AB394" s="1"/>
  <c r="AB529" s="1"/>
  <c r="AB718"/>
  <c r="AB392" s="1"/>
  <c r="AB527" s="1"/>
  <c r="AB716"/>
  <c r="AB390" s="1"/>
  <c r="AB525" s="1"/>
  <c r="AB714"/>
  <c r="AB388" s="1"/>
  <c r="AB523" s="1"/>
  <c r="AB690"/>
  <c r="AB370" s="1"/>
  <c r="AB505" s="1"/>
  <c r="AB688"/>
  <c r="AB368" s="1"/>
  <c r="AB503" s="1"/>
  <c r="AB687"/>
  <c r="AB367" s="1"/>
  <c r="AB502" s="1"/>
  <c r="AB685"/>
  <c r="AB365" s="1"/>
  <c r="AB500" s="1"/>
  <c r="AB683"/>
  <c r="AB363" s="1"/>
  <c r="AB498" s="1"/>
  <c r="AB681"/>
  <c r="AB361" s="1"/>
  <c r="AB496" s="1"/>
  <c r="AB657"/>
  <c r="AB344" s="1"/>
  <c r="AB478" s="1"/>
  <c r="AB655"/>
  <c r="AB342" s="1"/>
  <c r="AB476" s="1"/>
  <c r="AB653"/>
  <c r="AB340" s="1"/>
  <c r="AB474" s="1"/>
  <c r="AB651"/>
  <c r="AB649"/>
  <c r="AB336" s="1"/>
  <c r="AB470" s="1"/>
  <c r="AB725"/>
  <c r="AB728"/>
  <c r="AB729"/>
  <c r="AB731"/>
  <c r="AB686"/>
  <c r="AB366" s="1"/>
  <c r="AB501" s="1"/>
  <c r="AB682"/>
  <c r="AB362" s="1"/>
  <c r="AB497" s="1"/>
  <c r="AB658"/>
  <c r="AB345" s="1"/>
  <c r="AB479" s="1"/>
  <c r="AB654"/>
  <c r="AB341" s="1"/>
  <c r="AB475" s="1"/>
  <c r="AB684"/>
  <c r="AB364" s="1"/>
  <c r="AB499" s="1"/>
  <c r="AB656"/>
  <c r="AB343" s="1"/>
  <c r="AB477" s="1"/>
  <c r="AB652"/>
  <c r="AB339" s="1"/>
  <c r="AB473" s="1"/>
  <c r="AB727"/>
  <c r="AB732"/>
  <c r="AB650"/>
  <c r="AB337" s="1"/>
  <c r="AB471" s="1"/>
  <c r="AB734"/>
  <c r="AB696"/>
  <c r="AB698"/>
  <c r="AB700"/>
  <c r="AB702"/>
  <c r="AB730"/>
  <c r="AB693"/>
  <c r="AB697"/>
  <c r="AB699"/>
  <c r="AB701"/>
  <c r="AA691"/>
  <c r="AA676" s="1"/>
  <c r="AA69" s="1"/>
  <c r="AA61"/>
  <c r="AB661"/>
  <c r="AB33"/>
  <c r="AB35" s="1"/>
  <c r="AB37" s="1"/>
  <c r="AB39" s="1"/>
  <c r="AB548"/>
  <c r="AB549" s="1"/>
  <c r="AB554"/>
  <c r="AB555" s="1"/>
  <c r="AB631"/>
  <c r="AB602"/>
  <c r="AB609"/>
  <c r="AB601"/>
  <c r="AB633"/>
  <c r="AB618"/>
  <c r="AB55" s="1"/>
  <c r="AB608"/>
  <c r="AB619" s="1"/>
  <c r="AB623" s="1"/>
  <c r="AC11"/>
  <c r="AB314"/>
  <c r="AB316"/>
  <c r="AB318"/>
  <c r="AB447"/>
  <c r="AB448"/>
  <c r="AB449"/>
  <c r="AB450"/>
  <c r="AB451"/>
  <c r="AB452"/>
  <c r="AB624"/>
  <c r="AB313"/>
  <c r="AB317"/>
  <c r="AB315"/>
  <c r="AB19"/>
  <c r="Z117"/>
  <c r="W202"/>
  <c r="Y116"/>
  <c r="W238"/>
  <c r="AB666"/>
  <c r="AB668"/>
  <c r="AB670"/>
  <c r="AB662"/>
  <c r="AB665"/>
  <c r="AB667"/>
  <c r="AB669"/>
  <c r="Y105"/>
  <c r="AA332"/>
  <c r="AB465"/>
  <c r="AB331"/>
  <c r="AA639"/>
  <c r="AB636" s="1"/>
  <c r="AA62"/>
  <c r="AA659"/>
  <c r="AA644" s="1"/>
  <c r="AA68" s="1"/>
  <c r="AB338"/>
  <c r="AB472" s="1"/>
  <c r="AB638"/>
  <c r="Y630"/>
  <c r="Z550"/>
  <c r="Z551" s="1"/>
  <c r="Z103" s="1"/>
  <c r="Z244" s="1"/>
  <c r="Z556"/>
  <c r="Z557" s="1"/>
  <c r="Z104" s="1"/>
  <c r="AB23"/>
  <c r="AB26"/>
  <c r="AB30"/>
  <c r="AB40"/>
  <c r="AA27"/>
  <c r="AA240"/>
  <c r="AA204"/>
  <c r="X231"/>
  <c r="X232" s="1"/>
  <c r="X270"/>
  <c r="X271" s="1"/>
  <c r="Y268"/>
  <c r="Y229"/>
  <c r="Y266"/>
  <c r="Y227"/>
  <c r="Y597"/>
  <c r="Z590"/>
  <c r="Z591" s="1"/>
  <c r="Z51" s="1"/>
  <c r="Z594"/>
  <c r="Z595" s="1"/>
  <c r="Z586"/>
  <c r="Z587" s="1"/>
  <c r="Z582"/>
  <c r="Z583" s="1"/>
  <c r="AB632"/>
  <c r="AB622"/>
  <c r="AC2"/>
  <c r="AB25"/>
  <c r="Z29"/>
  <c r="Z31" s="1"/>
  <c r="Z41" s="1"/>
  <c r="AA10"/>
  <c r="AA12" s="1"/>
  <c r="I347" i="7" l="1"/>
  <c r="H342"/>
  <c r="H344"/>
  <c r="H340"/>
  <c r="H341"/>
  <c r="H343"/>
  <c r="H345"/>
  <c r="O282" i="8"/>
  <c r="Q282" s="1"/>
  <c r="C322" s="1"/>
  <c r="K211" i="7"/>
  <c r="L211" s="1"/>
  <c r="K207"/>
  <c r="L207" s="1"/>
  <c r="K206"/>
  <c r="L206" s="1"/>
  <c r="H213"/>
  <c r="K209"/>
  <c r="L209" s="1"/>
  <c r="K208"/>
  <c r="L208" s="1"/>
  <c r="K210"/>
  <c r="L210" s="1"/>
  <c r="Y18" i="2"/>
  <c r="Y20" s="1"/>
  <c r="Y43" s="1"/>
  <c r="AC604"/>
  <c r="AC605"/>
  <c r="AC593"/>
  <c r="AC589"/>
  <c r="AC585"/>
  <c r="AC581"/>
  <c r="AB606"/>
  <c r="AB607" s="1"/>
  <c r="M279" i="8"/>
  <c r="M413"/>
  <c r="M280"/>
  <c r="M414"/>
  <c r="M278"/>
  <c r="M412"/>
  <c r="M277"/>
  <c r="M411"/>
  <c r="M281"/>
  <c r="M415"/>
  <c r="O416"/>
  <c r="Q416" s="1"/>
  <c r="AI456" s="1"/>
  <c r="AO322"/>
  <c r="N412"/>
  <c r="N278"/>
  <c r="N411"/>
  <c r="N277"/>
  <c r="N415"/>
  <c r="N281"/>
  <c r="N413"/>
  <c r="N279"/>
  <c r="N414"/>
  <c r="N280"/>
  <c r="Y53" i="2"/>
  <c r="T74" i="10"/>
  <c r="T76" s="1"/>
  <c r="T284" s="1"/>
  <c r="T300" s="1"/>
  <c r="Z49" i="2"/>
  <c r="Z14"/>
  <c r="S300" i="10"/>
  <c r="U50"/>
  <c r="U281"/>
  <c r="U297" s="1"/>
  <c r="U109"/>
  <c r="R79" i="8"/>
  <c r="R87"/>
  <c r="R88" s="1"/>
  <c r="U101" i="10"/>
  <c r="V49"/>
  <c r="S49" i="8"/>
  <c r="S73" s="1"/>
  <c r="S78" s="1"/>
  <c r="W649" i="10"/>
  <c r="W652" s="1"/>
  <c r="V745"/>
  <c r="W746" s="1"/>
  <c r="AA71" i="2"/>
  <c r="J284" i="8"/>
  <c r="T700"/>
  <c r="U701" s="1"/>
  <c r="U604"/>
  <c r="U607" s="1"/>
  <c r="C92"/>
  <c r="J418"/>
  <c r="T237"/>
  <c r="T48"/>
  <c r="T202"/>
  <c r="E87"/>
  <c r="E79"/>
  <c r="E96" i="7"/>
  <c r="E88"/>
  <c r="F538"/>
  <c r="AE568"/>
  <c r="AE571" s="1"/>
  <c r="AD664"/>
  <c r="AE665" s="1"/>
  <c r="AB97"/>
  <c r="AC96"/>
  <c r="AC88"/>
  <c r="AD165"/>
  <c r="AD129"/>
  <c r="AD54"/>
  <c r="AD56" s="1"/>
  <c r="AD82" s="1"/>
  <c r="AD87" s="1"/>
  <c r="Z17" i="2"/>
  <c r="Z52"/>
  <c r="Z230"/>
  <c r="Z269"/>
  <c r="Z15"/>
  <c r="Z50"/>
  <c r="Z228"/>
  <c r="Z267"/>
  <c r="AC5"/>
  <c r="AC722"/>
  <c r="AC396" s="1"/>
  <c r="AC531" s="1"/>
  <c r="AC720"/>
  <c r="AC394" s="1"/>
  <c r="AC529" s="1"/>
  <c r="AC718"/>
  <c r="AC392" s="1"/>
  <c r="AC527" s="1"/>
  <c r="AC716"/>
  <c r="AC390" s="1"/>
  <c r="AC525" s="1"/>
  <c r="AC714"/>
  <c r="AC388" s="1"/>
  <c r="AC523" s="1"/>
  <c r="AC690"/>
  <c r="AC370" s="1"/>
  <c r="AC505" s="1"/>
  <c r="AC688"/>
  <c r="AC368" s="1"/>
  <c r="AC503" s="1"/>
  <c r="AC721"/>
  <c r="AC395" s="1"/>
  <c r="AC530" s="1"/>
  <c r="AC719"/>
  <c r="AC393" s="1"/>
  <c r="AC528" s="1"/>
  <c r="AC717"/>
  <c r="AC391" s="1"/>
  <c r="AC526" s="1"/>
  <c r="AC715"/>
  <c r="AC389" s="1"/>
  <c r="AC524" s="1"/>
  <c r="AC713"/>
  <c r="AC387" s="1"/>
  <c r="AC522" s="1"/>
  <c r="AC689"/>
  <c r="AC369" s="1"/>
  <c r="AC504" s="1"/>
  <c r="AC686"/>
  <c r="AC366" s="1"/>
  <c r="AC501" s="1"/>
  <c r="AC684"/>
  <c r="AC364" s="1"/>
  <c r="AC499" s="1"/>
  <c r="AC682"/>
  <c r="AC362" s="1"/>
  <c r="AC497" s="1"/>
  <c r="AC658"/>
  <c r="AC345" s="1"/>
  <c r="AC479" s="1"/>
  <c r="AC656"/>
  <c r="AC343" s="1"/>
  <c r="AC477" s="1"/>
  <c r="AC654"/>
  <c r="AC341" s="1"/>
  <c r="AC475" s="1"/>
  <c r="AC652"/>
  <c r="AC339" s="1"/>
  <c r="AC473" s="1"/>
  <c r="AC650"/>
  <c r="AC337" s="1"/>
  <c r="AC471" s="1"/>
  <c r="AC730"/>
  <c r="AC732"/>
  <c r="AC734"/>
  <c r="AC687"/>
  <c r="AC367" s="1"/>
  <c r="AC502" s="1"/>
  <c r="AC683"/>
  <c r="AC363" s="1"/>
  <c r="AC498" s="1"/>
  <c r="AC655"/>
  <c r="AC342" s="1"/>
  <c r="AC476" s="1"/>
  <c r="AC651"/>
  <c r="AC338" s="1"/>
  <c r="AC472" s="1"/>
  <c r="AC685"/>
  <c r="AC365" s="1"/>
  <c r="AC500" s="1"/>
  <c r="AC681"/>
  <c r="AC361" s="1"/>
  <c r="AC496" s="1"/>
  <c r="AC657"/>
  <c r="AC344" s="1"/>
  <c r="AC478" s="1"/>
  <c r="AC653"/>
  <c r="AC340" s="1"/>
  <c r="AC474" s="1"/>
  <c r="AC649"/>
  <c r="AC336" s="1"/>
  <c r="AC470" s="1"/>
  <c r="AC725"/>
  <c r="AC729"/>
  <c r="AC728"/>
  <c r="AC693"/>
  <c r="AC697"/>
  <c r="AC699"/>
  <c r="AC701"/>
  <c r="AC731"/>
  <c r="AC696"/>
  <c r="AC698"/>
  <c r="AC700"/>
  <c r="AC702"/>
  <c r="AC727"/>
  <c r="AB691"/>
  <c r="AB676" s="1"/>
  <c r="AB69" s="1"/>
  <c r="AB723"/>
  <c r="AB708" s="1"/>
  <c r="AB70" s="1"/>
  <c r="AB61"/>
  <c r="AC661"/>
  <c r="AC33"/>
  <c r="AC35" s="1"/>
  <c r="AC37" s="1"/>
  <c r="AC39" s="1"/>
  <c r="AC548"/>
  <c r="AC549" s="1"/>
  <c r="AC554"/>
  <c r="AC555" s="1"/>
  <c r="AC633"/>
  <c r="AC618"/>
  <c r="AC55" s="1"/>
  <c r="AC608"/>
  <c r="AC619" s="1"/>
  <c r="AC623" s="1"/>
  <c r="AC631"/>
  <c r="AC602"/>
  <c r="AC609"/>
  <c r="AC601"/>
  <c r="AD11"/>
  <c r="AC313"/>
  <c r="AC315"/>
  <c r="AC317"/>
  <c r="AC314"/>
  <c r="AC318"/>
  <c r="AC447"/>
  <c r="AC449"/>
  <c r="AC451"/>
  <c r="AC316"/>
  <c r="AC448"/>
  <c r="AC450"/>
  <c r="AC452"/>
  <c r="AC624"/>
  <c r="AC19"/>
  <c r="AA117"/>
  <c r="X47"/>
  <c r="X202"/>
  <c r="X238"/>
  <c r="Z116"/>
  <c r="Y231"/>
  <c r="Y232" s="1"/>
  <c r="AC662"/>
  <c r="AC665"/>
  <c r="AC667"/>
  <c r="AC669"/>
  <c r="AC666"/>
  <c r="AC668"/>
  <c r="AC670"/>
  <c r="Y270"/>
  <c r="Y271" s="1"/>
  <c r="Z105"/>
  <c r="AB332"/>
  <c r="AB466"/>
  <c r="AC465"/>
  <c r="AC331"/>
  <c r="AB639"/>
  <c r="AC636" s="1"/>
  <c r="AB62"/>
  <c r="AB659"/>
  <c r="AB644" s="1"/>
  <c r="AB68" s="1"/>
  <c r="AC638"/>
  <c r="Z630"/>
  <c r="AA550"/>
  <c r="AA551" s="1"/>
  <c r="AA103" s="1"/>
  <c r="AA244" s="1"/>
  <c r="AA556"/>
  <c r="AA557" s="1"/>
  <c r="AA104" s="1"/>
  <c r="AC23"/>
  <c r="AC26"/>
  <c r="AC30"/>
  <c r="AC40"/>
  <c r="AB240"/>
  <c r="AB204"/>
  <c r="Z266"/>
  <c r="Z227"/>
  <c r="Z268"/>
  <c r="Z229"/>
  <c r="Z597"/>
  <c r="AA594"/>
  <c r="AA595" s="1"/>
  <c r="AA586"/>
  <c r="AA587" s="1"/>
  <c r="AA582"/>
  <c r="AA583" s="1"/>
  <c r="AA590"/>
  <c r="AA591" s="1"/>
  <c r="AA51" s="1"/>
  <c r="AC622"/>
  <c r="AC632"/>
  <c r="R617"/>
  <c r="AD2"/>
  <c r="AC25"/>
  <c r="AA29"/>
  <c r="AA31" s="1"/>
  <c r="AA41" s="1"/>
  <c r="AB27"/>
  <c r="AB10"/>
  <c r="AB12" s="1"/>
  <c r="O413" i="8" l="1"/>
  <c r="Q413" s="1"/>
  <c r="AL453" s="1"/>
  <c r="O411"/>
  <c r="O415"/>
  <c r="Q415" s="1"/>
  <c r="G455" s="1"/>
  <c r="O412"/>
  <c r="O280"/>
  <c r="Q280" s="1"/>
  <c r="AO320" s="1"/>
  <c r="O279"/>
  <c r="Q279" s="1"/>
  <c r="D319" s="1"/>
  <c r="AG322"/>
  <c r="O278"/>
  <c r="O414"/>
  <c r="Q414" s="1"/>
  <c r="AO454" s="1"/>
  <c r="O277"/>
  <c r="P277" s="1"/>
  <c r="AH322"/>
  <c r="Z322"/>
  <c r="R322"/>
  <c r="AP322"/>
  <c r="J322"/>
  <c r="O281"/>
  <c r="Q281" s="1"/>
  <c r="AP321" s="1"/>
  <c r="M284"/>
  <c r="Y322"/>
  <c r="Q322"/>
  <c r="I322"/>
  <c r="P412"/>
  <c r="P278"/>
  <c r="AL322"/>
  <c r="AD322"/>
  <c r="V322"/>
  <c r="N322"/>
  <c r="F322"/>
  <c r="AK322"/>
  <c r="AC322"/>
  <c r="U322"/>
  <c r="M322"/>
  <c r="E322"/>
  <c r="AN322"/>
  <c r="AJ322"/>
  <c r="AF322"/>
  <c r="AB322"/>
  <c r="X322"/>
  <c r="T322"/>
  <c r="P322"/>
  <c r="L322"/>
  <c r="H322"/>
  <c r="D322"/>
  <c r="AM322"/>
  <c r="AI322"/>
  <c r="AE322"/>
  <c r="AA322"/>
  <c r="W322"/>
  <c r="S322"/>
  <c r="O322"/>
  <c r="K322"/>
  <c r="G322"/>
  <c r="N456"/>
  <c r="AL456"/>
  <c r="F456"/>
  <c r="V456"/>
  <c r="Y456"/>
  <c r="J456"/>
  <c r="R456"/>
  <c r="AD456"/>
  <c r="I456"/>
  <c r="O456"/>
  <c r="Z18" i="2"/>
  <c r="Z20" s="1"/>
  <c r="Z43" s="1"/>
  <c r="Z47" s="1"/>
  <c r="Z53"/>
  <c r="K344" i="7"/>
  <c r="L344" s="1"/>
  <c r="K341"/>
  <c r="L341" s="1"/>
  <c r="K340"/>
  <c r="L340" s="1"/>
  <c r="H347"/>
  <c r="K342"/>
  <c r="L342" s="1"/>
  <c r="K345"/>
  <c r="L345" s="1"/>
  <c r="K343"/>
  <c r="L343" s="1"/>
  <c r="Z456" i="8"/>
  <c r="AH456"/>
  <c r="AP456"/>
  <c r="Q456"/>
  <c r="AG456"/>
  <c r="K456"/>
  <c r="L213" i="7"/>
  <c r="AO456" i="8"/>
  <c r="AE456"/>
  <c r="S456"/>
  <c r="H456"/>
  <c r="L456"/>
  <c r="P456"/>
  <c r="T456"/>
  <c r="X456"/>
  <c r="AB456"/>
  <c r="AF456"/>
  <c r="AJ456"/>
  <c r="AN456"/>
  <c r="E456"/>
  <c r="M456"/>
  <c r="U456"/>
  <c r="AC456"/>
  <c r="AK456"/>
  <c r="G456"/>
  <c r="W456"/>
  <c r="AM456"/>
  <c r="AA456"/>
  <c r="AD604" i="2"/>
  <c r="AD605"/>
  <c r="AD593"/>
  <c r="AD589"/>
  <c r="AD585"/>
  <c r="AD581"/>
  <c r="AC606"/>
  <c r="AC607" s="1"/>
  <c r="D456" i="8"/>
  <c r="C456"/>
  <c r="M418"/>
  <c r="N418"/>
  <c r="M453"/>
  <c r="AK453"/>
  <c r="E453"/>
  <c r="U453"/>
  <c r="D453"/>
  <c r="AC453"/>
  <c r="T453"/>
  <c r="I453"/>
  <c r="Q453"/>
  <c r="Y453"/>
  <c r="AG453"/>
  <c r="AO453"/>
  <c r="L453"/>
  <c r="AJ453"/>
  <c r="AB453"/>
  <c r="G453"/>
  <c r="K453"/>
  <c r="O453"/>
  <c r="S453"/>
  <c r="W453"/>
  <c r="AA453"/>
  <c r="AE453"/>
  <c r="AI453"/>
  <c r="AM453"/>
  <c r="F454"/>
  <c r="H453"/>
  <c r="P453"/>
  <c r="X453"/>
  <c r="AF453"/>
  <c r="AN453"/>
  <c r="N453"/>
  <c r="AD453"/>
  <c r="F453"/>
  <c r="V453"/>
  <c r="K321"/>
  <c r="I320"/>
  <c r="AI320"/>
  <c r="C320"/>
  <c r="AB320"/>
  <c r="L320"/>
  <c r="AC320"/>
  <c r="W320"/>
  <c r="AL320"/>
  <c r="V320"/>
  <c r="F320"/>
  <c r="Y319"/>
  <c r="C453"/>
  <c r="R453"/>
  <c r="AH453"/>
  <c r="J453"/>
  <c r="Z453"/>
  <c r="AP453"/>
  <c r="C455"/>
  <c r="E455"/>
  <c r="K455"/>
  <c r="Q455"/>
  <c r="S455"/>
  <c r="U455"/>
  <c r="AA455"/>
  <c r="AC455"/>
  <c r="AG455"/>
  <c r="AK455"/>
  <c r="AO455"/>
  <c r="D455"/>
  <c r="J455"/>
  <c r="L455"/>
  <c r="N455"/>
  <c r="T455"/>
  <c r="V455"/>
  <c r="Z455"/>
  <c r="AD455"/>
  <c r="AH455"/>
  <c r="AJ455"/>
  <c r="AP455"/>
  <c r="Z321"/>
  <c r="F321"/>
  <c r="N284"/>
  <c r="T142" i="10"/>
  <c r="T154" s="1"/>
  <c r="T80"/>
  <c r="T81" s="1"/>
  <c r="T95" s="1"/>
  <c r="T220"/>
  <c r="T248" s="1"/>
  <c r="U74"/>
  <c r="U76" s="1"/>
  <c r="U284" s="1"/>
  <c r="AA49" i="2"/>
  <c r="AA14"/>
  <c r="U110" i="10"/>
  <c r="T101"/>
  <c r="T109"/>
  <c r="V50"/>
  <c r="V281"/>
  <c r="V297" s="1"/>
  <c r="V101"/>
  <c r="S87" i="8"/>
  <c r="S88" s="1"/>
  <c r="S79"/>
  <c r="T49"/>
  <c r="T73" s="1"/>
  <c r="T78" s="1"/>
  <c r="W49" i="10"/>
  <c r="X649"/>
  <c r="X652" s="1"/>
  <c r="W745"/>
  <c r="X746" s="1"/>
  <c r="V109"/>
  <c r="U202" i="8"/>
  <c r="U237"/>
  <c r="U48"/>
  <c r="U700"/>
  <c r="V701" s="1"/>
  <c r="V604"/>
  <c r="V607" s="1"/>
  <c r="E88"/>
  <c r="P411"/>
  <c r="AD96" i="7"/>
  <c r="AD88"/>
  <c r="AF568"/>
  <c r="AF571" s="1"/>
  <c r="AE664"/>
  <c r="AF665" s="1"/>
  <c r="E97"/>
  <c r="AC97"/>
  <c r="AE165"/>
  <c r="AE129"/>
  <c r="AE54"/>
  <c r="AE56" s="1"/>
  <c r="AE82" s="1"/>
  <c r="AE87" s="1"/>
  <c r="F166"/>
  <c r="F130"/>
  <c r="F55"/>
  <c r="F56" s="1"/>
  <c r="F543"/>
  <c r="AA17" i="2"/>
  <c r="AA52"/>
  <c r="AA230"/>
  <c r="AA269"/>
  <c r="AA15"/>
  <c r="AA50"/>
  <c r="AA228"/>
  <c r="AA267"/>
  <c r="AB71"/>
  <c r="AD5"/>
  <c r="AD721"/>
  <c r="AD395" s="1"/>
  <c r="AD530" s="1"/>
  <c r="AD719"/>
  <c r="AD393" s="1"/>
  <c r="AD528" s="1"/>
  <c r="AD717"/>
  <c r="AD391" s="1"/>
  <c r="AD526" s="1"/>
  <c r="AD715"/>
  <c r="AD389" s="1"/>
  <c r="AD524" s="1"/>
  <c r="AD713"/>
  <c r="AD387" s="1"/>
  <c r="AD522" s="1"/>
  <c r="AD689"/>
  <c r="AD369" s="1"/>
  <c r="AD504" s="1"/>
  <c r="AD722"/>
  <c r="AD396" s="1"/>
  <c r="AD531" s="1"/>
  <c r="AD720"/>
  <c r="AD394" s="1"/>
  <c r="AD529" s="1"/>
  <c r="AD718"/>
  <c r="AD392" s="1"/>
  <c r="AD527" s="1"/>
  <c r="AD716"/>
  <c r="AD390" s="1"/>
  <c r="AD525" s="1"/>
  <c r="AD714"/>
  <c r="AD388" s="1"/>
  <c r="AD523" s="1"/>
  <c r="AD690"/>
  <c r="AD370" s="1"/>
  <c r="AD505" s="1"/>
  <c r="AD688"/>
  <c r="AD368" s="1"/>
  <c r="AD503" s="1"/>
  <c r="AD687"/>
  <c r="AD367" s="1"/>
  <c r="AD502" s="1"/>
  <c r="AD685"/>
  <c r="AD365" s="1"/>
  <c r="AD500" s="1"/>
  <c r="AD683"/>
  <c r="AD363" s="1"/>
  <c r="AD498" s="1"/>
  <c r="AD681"/>
  <c r="AD361" s="1"/>
  <c r="AD496" s="1"/>
  <c r="AD657"/>
  <c r="AD344" s="1"/>
  <c r="AD478" s="1"/>
  <c r="AD655"/>
  <c r="AD342" s="1"/>
  <c r="AD476" s="1"/>
  <c r="AD653"/>
  <c r="AD340" s="1"/>
  <c r="AD474" s="1"/>
  <c r="AD651"/>
  <c r="AD338" s="1"/>
  <c r="AD472" s="1"/>
  <c r="AD649"/>
  <c r="AD336" s="1"/>
  <c r="AD470" s="1"/>
  <c r="AD725"/>
  <c r="AD728"/>
  <c r="AD729"/>
  <c r="AD731"/>
  <c r="AD733"/>
  <c r="AD684"/>
  <c r="AD364" s="1"/>
  <c r="AD499" s="1"/>
  <c r="AD656"/>
  <c r="AD343" s="1"/>
  <c r="AD477" s="1"/>
  <c r="AD652"/>
  <c r="AD339" s="1"/>
  <c r="AD473" s="1"/>
  <c r="AD686"/>
  <c r="AD366" s="1"/>
  <c r="AD501" s="1"/>
  <c r="AD682"/>
  <c r="AD362" s="1"/>
  <c r="AD497" s="1"/>
  <c r="AD658"/>
  <c r="AD345" s="1"/>
  <c r="AD479" s="1"/>
  <c r="AD654"/>
  <c r="AD341" s="1"/>
  <c r="AD475" s="1"/>
  <c r="AD650"/>
  <c r="AD337" s="1"/>
  <c r="AD471" s="1"/>
  <c r="AD730"/>
  <c r="AD696"/>
  <c r="AD698"/>
  <c r="AD700"/>
  <c r="AD732"/>
  <c r="AD693"/>
  <c r="AD697"/>
  <c r="AD699"/>
  <c r="AD701"/>
  <c r="AD702"/>
  <c r="AD727"/>
  <c r="AC691"/>
  <c r="AC676" s="1"/>
  <c r="AC69" s="1"/>
  <c r="AC723"/>
  <c r="AC708" s="1"/>
  <c r="AC70" s="1"/>
  <c r="AC61"/>
  <c r="AD661"/>
  <c r="AD33"/>
  <c r="AD35" s="1"/>
  <c r="AD37" s="1"/>
  <c r="AD39" s="1"/>
  <c r="AD548"/>
  <c r="AD549" s="1"/>
  <c r="AD554"/>
  <c r="AD555" s="1"/>
  <c r="AD631"/>
  <c r="AD602"/>
  <c r="AD609"/>
  <c r="AD601"/>
  <c r="AD633"/>
  <c r="AD618"/>
  <c r="AD55" s="1"/>
  <c r="AD608"/>
  <c r="AD619" s="1"/>
  <c r="AD623" s="1"/>
  <c r="AE11"/>
  <c r="AD314"/>
  <c r="AD316"/>
  <c r="AD318"/>
  <c r="AD447"/>
  <c r="AD448"/>
  <c r="AD449"/>
  <c r="AD450"/>
  <c r="AD451"/>
  <c r="AD452"/>
  <c r="AD624"/>
  <c r="AD315"/>
  <c r="AD313"/>
  <c r="AD317"/>
  <c r="AB117"/>
  <c r="AD19"/>
  <c r="Y47"/>
  <c r="Y202"/>
  <c r="Y238"/>
  <c r="AA116"/>
  <c r="R614"/>
  <c r="R80"/>
  <c r="R81" s="1"/>
  <c r="AA105"/>
  <c r="AD666"/>
  <c r="AD668"/>
  <c r="AD670"/>
  <c r="AD662"/>
  <c r="AD665"/>
  <c r="AD667"/>
  <c r="AD669"/>
  <c r="Z270"/>
  <c r="Z271" s="1"/>
  <c r="AC466"/>
  <c r="AD465"/>
  <c r="AD331"/>
  <c r="AC27"/>
  <c r="AC332"/>
  <c r="AC639"/>
  <c r="AD636" s="1"/>
  <c r="AC62"/>
  <c r="AD638"/>
  <c r="AC659"/>
  <c r="AC644" s="1"/>
  <c r="AC68" s="1"/>
  <c r="AA630"/>
  <c r="AB550"/>
  <c r="AB551" s="1"/>
  <c r="AB103" s="1"/>
  <c r="AB244" s="1"/>
  <c r="AB556"/>
  <c r="AB557" s="1"/>
  <c r="AB104" s="1"/>
  <c r="AD23"/>
  <c r="AD26"/>
  <c r="AD30"/>
  <c r="AD40"/>
  <c r="AC240"/>
  <c r="AC204"/>
  <c r="AA268"/>
  <c r="AA229"/>
  <c r="AA18"/>
  <c r="AA20" s="1"/>
  <c r="AA266"/>
  <c r="AA227"/>
  <c r="Z231"/>
  <c r="Z232" s="1"/>
  <c r="AA597"/>
  <c r="AB590"/>
  <c r="AB591" s="1"/>
  <c r="AB51" s="1"/>
  <c r="AB594"/>
  <c r="AB595" s="1"/>
  <c r="AB586"/>
  <c r="AB587" s="1"/>
  <c r="AB582"/>
  <c r="AB583" s="1"/>
  <c r="AD632"/>
  <c r="AD622"/>
  <c r="S617"/>
  <c r="AB29"/>
  <c r="AB31" s="1"/>
  <c r="AB41" s="1"/>
  <c r="AE2"/>
  <c r="AD25"/>
  <c r="AC10"/>
  <c r="AC12" s="1"/>
  <c r="AD321" i="8" l="1"/>
  <c r="AL455"/>
  <c r="AB455"/>
  <c r="R455"/>
  <c r="F455"/>
  <c r="AI455"/>
  <c r="Y455"/>
  <c r="M455"/>
  <c r="Q412"/>
  <c r="I455"/>
  <c r="AN455"/>
  <c r="AF455"/>
  <c r="X455"/>
  <c r="P455"/>
  <c r="H455"/>
  <c r="AM455"/>
  <c r="AE455"/>
  <c r="W455"/>
  <c r="O455"/>
  <c r="I319"/>
  <c r="O319"/>
  <c r="R321"/>
  <c r="AE319"/>
  <c r="AO319"/>
  <c r="C319"/>
  <c r="X319"/>
  <c r="AN319"/>
  <c r="AA454"/>
  <c r="R320"/>
  <c r="AH320"/>
  <c r="O320"/>
  <c r="M320"/>
  <c r="H320"/>
  <c r="X320"/>
  <c r="AN320"/>
  <c r="AA320"/>
  <c r="AK320"/>
  <c r="D320"/>
  <c r="N454"/>
  <c r="AI454"/>
  <c r="N320"/>
  <c r="AD320"/>
  <c r="G320"/>
  <c r="AM320"/>
  <c r="AG320"/>
  <c r="T320"/>
  <c r="AJ320"/>
  <c r="S320"/>
  <c r="U320"/>
  <c r="Q320"/>
  <c r="I454"/>
  <c r="L454"/>
  <c r="O418"/>
  <c r="AE454"/>
  <c r="J320"/>
  <c r="Z320"/>
  <c r="AP320"/>
  <c r="AE320"/>
  <c r="Y320"/>
  <c r="P320"/>
  <c r="AF320"/>
  <c r="K320"/>
  <c r="E320"/>
  <c r="H454"/>
  <c r="AH319"/>
  <c r="N319"/>
  <c r="AJ321"/>
  <c r="Q319"/>
  <c r="R319"/>
  <c r="AD319"/>
  <c r="M319"/>
  <c r="AC319"/>
  <c r="J319"/>
  <c r="AP319"/>
  <c r="AF319"/>
  <c r="S319"/>
  <c r="AI319"/>
  <c r="V319"/>
  <c r="T319"/>
  <c r="P319"/>
  <c r="S321"/>
  <c r="E319"/>
  <c r="U319"/>
  <c r="AK319"/>
  <c r="Z319"/>
  <c r="AB319"/>
  <c r="K319"/>
  <c r="AA319"/>
  <c r="F319"/>
  <c r="AL319"/>
  <c r="H319"/>
  <c r="AG319"/>
  <c r="L319"/>
  <c r="G319"/>
  <c r="W319"/>
  <c r="AM319"/>
  <c r="AJ319"/>
  <c r="AL321"/>
  <c r="J321"/>
  <c r="W454"/>
  <c r="S454"/>
  <c r="T321"/>
  <c r="U321"/>
  <c r="X454"/>
  <c r="AJ454"/>
  <c r="V321"/>
  <c r="O454"/>
  <c r="D454"/>
  <c r="AE321"/>
  <c r="V454"/>
  <c r="AG321"/>
  <c r="T454"/>
  <c r="AB454"/>
  <c r="P454"/>
  <c r="H321"/>
  <c r="Q278"/>
  <c r="AJ318" s="1"/>
  <c r="C454"/>
  <c r="AP454"/>
  <c r="Y454"/>
  <c r="AL454"/>
  <c r="U454"/>
  <c r="Z454"/>
  <c r="P418"/>
  <c r="C457" s="1"/>
  <c r="B457" s="1"/>
  <c r="AM454"/>
  <c r="G454"/>
  <c r="K454"/>
  <c r="AG454"/>
  <c r="M454"/>
  <c r="AD454"/>
  <c r="J454"/>
  <c r="AK454"/>
  <c r="AN454"/>
  <c r="P284"/>
  <c r="C323" s="1"/>
  <c r="B323" s="1"/>
  <c r="AC454"/>
  <c r="E454"/>
  <c r="AH454"/>
  <c r="R454"/>
  <c r="Q454"/>
  <c r="AF454"/>
  <c r="AI321"/>
  <c r="D321"/>
  <c r="O321"/>
  <c r="AF321"/>
  <c r="AC321"/>
  <c r="Q321"/>
  <c r="O284"/>
  <c r="N321"/>
  <c r="C321"/>
  <c r="AH321"/>
  <c r="L321"/>
  <c r="AA321"/>
  <c r="M321"/>
  <c r="AO321"/>
  <c r="I321"/>
  <c r="AB321"/>
  <c r="AM321"/>
  <c r="W321"/>
  <c r="G321"/>
  <c r="P321"/>
  <c r="AK321"/>
  <c r="E321"/>
  <c r="X321"/>
  <c r="Y321"/>
  <c r="AN321"/>
  <c r="M452"/>
  <c r="V452"/>
  <c r="AL452"/>
  <c r="N452"/>
  <c r="AA452"/>
  <c r="U452"/>
  <c r="R452"/>
  <c r="AH452"/>
  <c r="C452"/>
  <c r="AI452"/>
  <c r="L452"/>
  <c r="T452"/>
  <c r="AB452"/>
  <c r="AJ452"/>
  <c r="G452"/>
  <c r="W452"/>
  <c r="AM452"/>
  <c r="Y452"/>
  <c r="E452"/>
  <c r="D452"/>
  <c r="F452"/>
  <c r="K452"/>
  <c r="AD452"/>
  <c r="AG452"/>
  <c r="J452"/>
  <c r="Z452"/>
  <c r="AP452"/>
  <c r="S452"/>
  <c r="Q452"/>
  <c r="H452"/>
  <c r="P452"/>
  <c r="X452"/>
  <c r="AF452"/>
  <c r="AN452"/>
  <c r="O452"/>
  <c r="AE452"/>
  <c r="I452"/>
  <c r="AO452"/>
  <c r="AK452"/>
  <c r="AC452"/>
  <c r="B456"/>
  <c r="B322"/>
  <c r="L347" i="7"/>
  <c r="I208"/>
  <c r="J208" s="1"/>
  <c r="I210"/>
  <c r="J210" s="1"/>
  <c r="AE604" i="2"/>
  <c r="AE605"/>
  <c r="AE593"/>
  <c r="AE589"/>
  <c r="AE585"/>
  <c r="AE581"/>
  <c r="AD606"/>
  <c r="AD607" s="1"/>
  <c r="B455" i="8"/>
  <c r="B453"/>
  <c r="AA53" i="2"/>
  <c r="U142" i="10"/>
  <c r="U154" s="1"/>
  <c r="U80"/>
  <c r="U81" s="1"/>
  <c r="U95" s="1"/>
  <c r="U220"/>
  <c r="U248" s="1"/>
  <c r="V74"/>
  <c r="V76" s="1"/>
  <c r="AB49" i="2"/>
  <c r="AB14"/>
  <c r="U300" i="10"/>
  <c r="V110"/>
  <c r="T110"/>
  <c r="W50"/>
  <c r="W281"/>
  <c r="W297" s="1"/>
  <c r="T87" i="8"/>
  <c r="T88" s="1"/>
  <c r="T79"/>
  <c r="U49"/>
  <c r="U73" s="1"/>
  <c r="U78" s="1"/>
  <c r="X49" i="10"/>
  <c r="Y649"/>
  <c r="Y652" s="1"/>
  <c r="X745"/>
  <c r="Y746" s="1"/>
  <c r="V700" i="8"/>
  <c r="W701" s="1"/>
  <c r="W604"/>
  <c r="W607" s="1"/>
  <c r="V202"/>
  <c r="V237"/>
  <c r="V48"/>
  <c r="Q411"/>
  <c r="F72"/>
  <c r="F73" s="1"/>
  <c r="F78" s="1"/>
  <c r="Q277"/>
  <c r="AG568" i="7"/>
  <c r="AG571" s="1"/>
  <c r="AF664"/>
  <c r="AD97"/>
  <c r="F540"/>
  <c r="F541" s="1"/>
  <c r="G544" s="1"/>
  <c r="F80"/>
  <c r="F81" s="1"/>
  <c r="F82" s="1"/>
  <c r="F87" s="1"/>
  <c r="AE96"/>
  <c r="AE88"/>
  <c r="AF165"/>
  <c r="AF129"/>
  <c r="AF54"/>
  <c r="AF56" s="1"/>
  <c r="AF82" s="1"/>
  <c r="AF87" s="1"/>
  <c r="AB17" i="2"/>
  <c r="AB52"/>
  <c r="AB230"/>
  <c r="AB269"/>
  <c r="AB15"/>
  <c r="AB18" s="1"/>
  <c r="AB20" s="1"/>
  <c r="AB50"/>
  <c r="AB228"/>
  <c r="AB267"/>
  <c r="AC71"/>
  <c r="AE5"/>
  <c r="AE722"/>
  <c r="AE396" s="1"/>
  <c r="AE531" s="1"/>
  <c r="AE720"/>
  <c r="AE394" s="1"/>
  <c r="AE529" s="1"/>
  <c r="AE718"/>
  <c r="AE392" s="1"/>
  <c r="AE527" s="1"/>
  <c r="AE716"/>
  <c r="AE390" s="1"/>
  <c r="AE525" s="1"/>
  <c r="AE714"/>
  <c r="AE388" s="1"/>
  <c r="AE523" s="1"/>
  <c r="AE690"/>
  <c r="AE370" s="1"/>
  <c r="AE505" s="1"/>
  <c r="AE688"/>
  <c r="AE368" s="1"/>
  <c r="AE503" s="1"/>
  <c r="AE721"/>
  <c r="AE395" s="1"/>
  <c r="AE530" s="1"/>
  <c r="AE719"/>
  <c r="AE393" s="1"/>
  <c r="AE528" s="1"/>
  <c r="AE717"/>
  <c r="AE391" s="1"/>
  <c r="AE526" s="1"/>
  <c r="AE715"/>
  <c r="AE389" s="1"/>
  <c r="AE524" s="1"/>
  <c r="AE713"/>
  <c r="AE387" s="1"/>
  <c r="AE522" s="1"/>
  <c r="AE689"/>
  <c r="AE369" s="1"/>
  <c r="AE504" s="1"/>
  <c r="AE686"/>
  <c r="AE366" s="1"/>
  <c r="AE501" s="1"/>
  <c r="AE684"/>
  <c r="AE364" s="1"/>
  <c r="AE499" s="1"/>
  <c r="AE682"/>
  <c r="AE362" s="1"/>
  <c r="AE497" s="1"/>
  <c r="AE658"/>
  <c r="AE345" s="1"/>
  <c r="AE479" s="1"/>
  <c r="AE656"/>
  <c r="AE343" s="1"/>
  <c r="AE477" s="1"/>
  <c r="AE654"/>
  <c r="AE341" s="1"/>
  <c r="AE475" s="1"/>
  <c r="AE652"/>
  <c r="AE339" s="1"/>
  <c r="AE473" s="1"/>
  <c r="AE650"/>
  <c r="AE337" s="1"/>
  <c r="AE471" s="1"/>
  <c r="AE730"/>
  <c r="AE732"/>
  <c r="AE685"/>
  <c r="AE365" s="1"/>
  <c r="AE500" s="1"/>
  <c r="AE681"/>
  <c r="AE361" s="1"/>
  <c r="AE496" s="1"/>
  <c r="AE657"/>
  <c r="AE344" s="1"/>
  <c r="AE478" s="1"/>
  <c r="AE653"/>
  <c r="AE340" s="1"/>
  <c r="AE474" s="1"/>
  <c r="AE687"/>
  <c r="AE367" s="1"/>
  <c r="AE502" s="1"/>
  <c r="AE683"/>
  <c r="AE363" s="1"/>
  <c r="AE498" s="1"/>
  <c r="AE655"/>
  <c r="AE342" s="1"/>
  <c r="AE476" s="1"/>
  <c r="AE651"/>
  <c r="AE338" s="1"/>
  <c r="AE472" s="1"/>
  <c r="AE728"/>
  <c r="AE731"/>
  <c r="AE729"/>
  <c r="AE693"/>
  <c r="AE697"/>
  <c r="AE699"/>
  <c r="AE701"/>
  <c r="AE649"/>
  <c r="AE336" s="1"/>
  <c r="AE470" s="1"/>
  <c r="AE725"/>
  <c r="AE733"/>
  <c r="AE696"/>
  <c r="AE698"/>
  <c r="AE700"/>
  <c r="AE702"/>
  <c r="AE727"/>
  <c r="AD691"/>
  <c r="AD676" s="1"/>
  <c r="AD69" s="1"/>
  <c r="AD723"/>
  <c r="AD708" s="1"/>
  <c r="AD70" s="1"/>
  <c r="AD61"/>
  <c r="AE661"/>
  <c r="AE33"/>
  <c r="AE35" s="1"/>
  <c r="AE37" s="1"/>
  <c r="AE39" s="1"/>
  <c r="AE548"/>
  <c r="AE549" s="1"/>
  <c r="AE554"/>
  <c r="AE555" s="1"/>
  <c r="AE633"/>
  <c r="AE618"/>
  <c r="AE55" s="1"/>
  <c r="AE608"/>
  <c r="AE619" s="1"/>
  <c r="AE623" s="1"/>
  <c r="AE631"/>
  <c r="AE602"/>
  <c r="AE609"/>
  <c r="AE601"/>
  <c r="AF11"/>
  <c r="AE313"/>
  <c r="AE315"/>
  <c r="AE317"/>
  <c r="AE316"/>
  <c r="AE448"/>
  <c r="AE450"/>
  <c r="AE452"/>
  <c r="AE624"/>
  <c r="AE314"/>
  <c r="AE318"/>
  <c r="AE447"/>
  <c r="AE449"/>
  <c r="AE451"/>
  <c r="AC117"/>
  <c r="AE19"/>
  <c r="Z238"/>
  <c r="Z202"/>
  <c r="AB116"/>
  <c r="AA43"/>
  <c r="AA47" s="1"/>
  <c r="S614"/>
  <c r="S80"/>
  <c r="S81" s="1"/>
  <c r="AE662"/>
  <c r="AE667"/>
  <c r="AE668"/>
  <c r="AE669"/>
  <c r="AE670"/>
  <c r="AE666"/>
  <c r="AB105"/>
  <c r="AE465"/>
  <c r="AD466"/>
  <c r="AE331"/>
  <c r="AD332"/>
  <c r="AD639"/>
  <c r="AE636" s="1"/>
  <c r="AD62"/>
  <c r="AE638"/>
  <c r="AD659"/>
  <c r="AD644" s="1"/>
  <c r="AD68" s="1"/>
  <c r="AB630"/>
  <c r="AD27"/>
  <c r="AC550"/>
  <c r="AC551" s="1"/>
  <c r="AC103" s="1"/>
  <c r="AC244" s="1"/>
  <c r="AC556"/>
  <c r="AC557" s="1"/>
  <c r="AC104" s="1"/>
  <c r="AE23"/>
  <c r="AE26"/>
  <c r="AE30"/>
  <c r="AE40"/>
  <c r="AD240"/>
  <c r="AD204"/>
  <c r="AA270"/>
  <c r="AA271" s="1"/>
  <c r="AA231"/>
  <c r="AA232" s="1"/>
  <c r="AB266"/>
  <c r="AB227"/>
  <c r="AB268"/>
  <c r="AB229"/>
  <c r="AB597"/>
  <c r="AC594"/>
  <c r="AC595" s="1"/>
  <c r="AC586"/>
  <c r="AC587" s="1"/>
  <c r="AC582"/>
  <c r="AC583" s="1"/>
  <c r="AC590"/>
  <c r="AC591" s="1"/>
  <c r="AC51" s="1"/>
  <c r="AE622"/>
  <c r="AE632"/>
  <c r="T617"/>
  <c r="AE25"/>
  <c r="AF2"/>
  <c r="AC29"/>
  <c r="AC31" s="1"/>
  <c r="AC41" s="1"/>
  <c r="AD10"/>
  <c r="AD12" s="1"/>
  <c r="N318" i="8" l="1"/>
  <c r="AL318"/>
  <c r="B319"/>
  <c r="O318"/>
  <c r="AH318"/>
  <c r="I318"/>
  <c r="B320"/>
  <c r="H318"/>
  <c r="X318"/>
  <c r="AK318"/>
  <c r="E318"/>
  <c r="AP318"/>
  <c r="T318"/>
  <c r="AM318"/>
  <c r="AC318"/>
  <c r="C318"/>
  <c r="AN318"/>
  <c r="AO318"/>
  <c r="K318"/>
  <c r="M318"/>
  <c r="R318"/>
  <c r="AI318"/>
  <c r="AG318"/>
  <c r="F318"/>
  <c r="AE318"/>
  <c r="D318"/>
  <c r="L318"/>
  <c r="AF318"/>
  <c r="P318"/>
  <c r="Q318"/>
  <c r="Z318"/>
  <c r="G318"/>
  <c r="W318"/>
  <c r="J318"/>
  <c r="U318"/>
  <c r="AB318"/>
  <c r="S318"/>
  <c r="AA318"/>
  <c r="V318"/>
  <c r="Y318"/>
  <c r="AD318"/>
  <c r="B454"/>
  <c r="B321"/>
  <c r="B452"/>
  <c r="I342" i="7"/>
  <c r="J342" s="1"/>
  <c r="I344"/>
  <c r="J344" s="1"/>
  <c r="I343"/>
  <c r="J343" s="1"/>
  <c r="I345"/>
  <c r="J345" s="1"/>
  <c r="I209"/>
  <c r="J209" s="1"/>
  <c r="M343" s="1"/>
  <c r="I211"/>
  <c r="J211" s="1"/>
  <c r="M211" s="1"/>
  <c r="C99"/>
  <c r="C169" s="1"/>
  <c r="I206"/>
  <c r="J206" s="1"/>
  <c r="M206" s="1"/>
  <c r="I207"/>
  <c r="J207" s="1"/>
  <c r="M207" s="1"/>
  <c r="M340"/>
  <c r="M342"/>
  <c r="M208"/>
  <c r="M210"/>
  <c r="M344"/>
  <c r="M345"/>
  <c r="AF604" i="2"/>
  <c r="AF605"/>
  <c r="AF593"/>
  <c r="AF589"/>
  <c r="AF585"/>
  <c r="AF581"/>
  <c r="AE606"/>
  <c r="AB53"/>
  <c r="V142" i="10"/>
  <c r="V154" s="1"/>
  <c r="V80"/>
  <c r="V81" s="1"/>
  <c r="V95" s="1"/>
  <c r="V220"/>
  <c r="V248" s="1"/>
  <c r="V284"/>
  <c r="V300" s="1"/>
  <c r="W74"/>
  <c r="W76" s="1"/>
  <c r="AC49" i="2"/>
  <c r="AC14"/>
  <c r="X50" i="10"/>
  <c r="X281"/>
  <c r="X297" s="1"/>
  <c r="U79" i="8"/>
  <c r="U87"/>
  <c r="U88" s="1"/>
  <c r="Z649" i="10"/>
  <c r="Z652" s="1"/>
  <c r="Y745"/>
  <c r="Z746" s="1"/>
  <c r="V49" i="8"/>
  <c r="V73" s="1"/>
  <c r="V78" s="1"/>
  <c r="Y49" i="10"/>
  <c r="W237" i="8"/>
  <c r="W48"/>
  <c r="W202"/>
  <c r="W700"/>
  <c r="X701" s="1"/>
  <c r="X604"/>
  <c r="X607" s="1"/>
  <c r="F87"/>
  <c r="F79"/>
  <c r="Q284"/>
  <c r="C317"/>
  <c r="D317"/>
  <c r="E317"/>
  <c r="F317"/>
  <c r="G317"/>
  <c r="H317"/>
  <c r="I317"/>
  <c r="J317"/>
  <c r="J324" s="1"/>
  <c r="J203" s="1"/>
  <c r="K317"/>
  <c r="K324" s="1"/>
  <c r="K203" s="1"/>
  <c r="L317"/>
  <c r="M317"/>
  <c r="N317"/>
  <c r="N324" s="1"/>
  <c r="N203" s="1"/>
  <c r="N204" s="1"/>
  <c r="N232" s="1"/>
  <c r="N233" s="1"/>
  <c r="O317"/>
  <c r="O324" s="1"/>
  <c r="O203" s="1"/>
  <c r="O204" s="1"/>
  <c r="O232" s="1"/>
  <c r="O233" s="1"/>
  <c r="P317"/>
  <c r="Q317"/>
  <c r="R317"/>
  <c r="S317"/>
  <c r="T317"/>
  <c r="U317"/>
  <c r="V317"/>
  <c r="V324" s="1"/>
  <c r="V203" s="1"/>
  <c r="V204" s="1"/>
  <c r="V232" s="1"/>
  <c r="V233" s="1"/>
  <c r="W317"/>
  <c r="X317"/>
  <c r="Y317"/>
  <c r="Z317"/>
  <c r="Z324" s="1"/>
  <c r="Z203" s="1"/>
  <c r="AA317"/>
  <c r="AB317"/>
  <c r="AC317"/>
  <c r="AD317"/>
  <c r="AD324" s="1"/>
  <c r="AD203" s="1"/>
  <c r="AE317"/>
  <c r="AF317"/>
  <c r="AG317"/>
  <c r="AH317"/>
  <c r="AH324" s="1"/>
  <c r="AI317"/>
  <c r="AI324" s="1"/>
  <c r="AJ317"/>
  <c r="AJ324" s="1"/>
  <c r="AK317"/>
  <c r="AL317"/>
  <c r="AL324" s="1"/>
  <c r="AM317"/>
  <c r="AM324" s="1"/>
  <c r="AN317"/>
  <c r="AO317"/>
  <c r="AP317"/>
  <c r="Q418"/>
  <c r="C451"/>
  <c r="D451"/>
  <c r="D458" s="1"/>
  <c r="D238" s="1"/>
  <c r="E451"/>
  <c r="E458" s="1"/>
  <c r="E238" s="1"/>
  <c r="F451"/>
  <c r="F458" s="1"/>
  <c r="F238" s="1"/>
  <c r="G451"/>
  <c r="G458" s="1"/>
  <c r="G238" s="1"/>
  <c r="H451"/>
  <c r="H458" s="1"/>
  <c r="H238" s="1"/>
  <c r="I451"/>
  <c r="I458" s="1"/>
  <c r="I238" s="1"/>
  <c r="J451"/>
  <c r="J458" s="1"/>
  <c r="J238" s="1"/>
  <c r="K451"/>
  <c r="K458" s="1"/>
  <c r="K238" s="1"/>
  <c r="L451"/>
  <c r="L458" s="1"/>
  <c r="L238" s="1"/>
  <c r="M451"/>
  <c r="M458" s="1"/>
  <c r="M238" s="1"/>
  <c r="N451"/>
  <c r="N458" s="1"/>
  <c r="N238" s="1"/>
  <c r="O451"/>
  <c r="O458" s="1"/>
  <c r="O238" s="1"/>
  <c r="P451"/>
  <c r="P458" s="1"/>
  <c r="P238" s="1"/>
  <c r="Q451"/>
  <c r="Q458" s="1"/>
  <c r="Q238" s="1"/>
  <c r="R451"/>
  <c r="R458" s="1"/>
  <c r="R238" s="1"/>
  <c r="S451"/>
  <c r="S458" s="1"/>
  <c r="S238" s="1"/>
  <c r="T451"/>
  <c r="T458" s="1"/>
  <c r="T238" s="1"/>
  <c r="U451"/>
  <c r="U458" s="1"/>
  <c r="U238" s="1"/>
  <c r="V451"/>
  <c r="V458" s="1"/>
  <c r="V238" s="1"/>
  <c r="W451"/>
  <c r="W458" s="1"/>
  <c r="W238" s="1"/>
  <c r="X451"/>
  <c r="X458" s="1"/>
  <c r="X238" s="1"/>
  <c r="Y451"/>
  <c r="Y458" s="1"/>
  <c r="Y238" s="1"/>
  <c r="Z451"/>
  <c r="Z458" s="1"/>
  <c r="Z238" s="1"/>
  <c r="AA451"/>
  <c r="AA458" s="1"/>
  <c r="AA238" s="1"/>
  <c r="AB451"/>
  <c r="AB458" s="1"/>
  <c r="AB238" s="1"/>
  <c r="AC451"/>
  <c r="AC458" s="1"/>
  <c r="AC238" s="1"/>
  <c r="AD451"/>
  <c r="AD458" s="1"/>
  <c r="AD238" s="1"/>
  <c r="AE451"/>
  <c r="AE458" s="1"/>
  <c r="AE238" s="1"/>
  <c r="AF451"/>
  <c r="AF458" s="1"/>
  <c r="AF238" s="1"/>
  <c r="AG451"/>
  <c r="AG458" s="1"/>
  <c r="AH451"/>
  <c r="AH458" s="1"/>
  <c r="AI451"/>
  <c r="AI458" s="1"/>
  <c r="AJ451"/>
  <c r="AJ458" s="1"/>
  <c r="AK451"/>
  <c r="AK458" s="1"/>
  <c r="AL451"/>
  <c r="AL458" s="1"/>
  <c r="AM451"/>
  <c r="AM458" s="1"/>
  <c r="AN451"/>
  <c r="AN458" s="1"/>
  <c r="AO451"/>
  <c r="AO458" s="1"/>
  <c r="AP451"/>
  <c r="AP458" s="1"/>
  <c r="F96" i="7"/>
  <c r="F88"/>
  <c r="G538"/>
  <c r="AH568"/>
  <c r="AH571" s="1"/>
  <c r="AG664"/>
  <c r="AF96"/>
  <c r="AF88"/>
  <c r="AE97"/>
  <c r="AC15" i="2"/>
  <c r="AC50"/>
  <c r="AC228"/>
  <c r="AC267"/>
  <c r="AC17"/>
  <c r="AC52"/>
  <c r="AC230"/>
  <c r="AC269"/>
  <c r="AD71"/>
  <c r="AF5"/>
  <c r="AF721"/>
  <c r="AF395" s="1"/>
  <c r="AF530" s="1"/>
  <c r="AF719"/>
  <c r="AF393" s="1"/>
  <c r="AF528" s="1"/>
  <c r="AF717"/>
  <c r="AF391" s="1"/>
  <c r="AF526" s="1"/>
  <c r="AF715"/>
  <c r="AF389" s="1"/>
  <c r="AF524" s="1"/>
  <c r="AF713"/>
  <c r="AF387" s="1"/>
  <c r="AF522" s="1"/>
  <c r="AF689"/>
  <c r="AF369" s="1"/>
  <c r="AF504" s="1"/>
  <c r="AF722"/>
  <c r="AF396" s="1"/>
  <c r="AF531" s="1"/>
  <c r="AF720"/>
  <c r="AF394" s="1"/>
  <c r="AF529" s="1"/>
  <c r="AF718"/>
  <c r="AF392" s="1"/>
  <c r="AF527" s="1"/>
  <c r="AF716"/>
  <c r="AF390" s="1"/>
  <c r="AF525" s="1"/>
  <c r="AF714"/>
  <c r="AF388" s="1"/>
  <c r="AF523" s="1"/>
  <c r="AF690"/>
  <c r="AF370" s="1"/>
  <c r="AF505" s="1"/>
  <c r="AF688"/>
  <c r="AF368" s="1"/>
  <c r="AF503" s="1"/>
  <c r="AF687"/>
  <c r="AF367" s="1"/>
  <c r="AF502" s="1"/>
  <c r="AF685"/>
  <c r="AF365" s="1"/>
  <c r="AF500" s="1"/>
  <c r="AF683"/>
  <c r="AF363" s="1"/>
  <c r="AF498" s="1"/>
  <c r="AF681"/>
  <c r="AF361" s="1"/>
  <c r="AF496" s="1"/>
  <c r="AF657"/>
  <c r="AF344" s="1"/>
  <c r="AF478" s="1"/>
  <c r="AF655"/>
  <c r="AF342" s="1"/>
  <c r="AF476" s="1"/>
  <c r="AF653"/>
  <c r="AF340" s="1"/>
  <c r="AF474" s="1"/>
  <c r="AF651"/>
  <c r="AF338" s="1"/>
  <c r="AF472" s="1"/>
  <c r="AF649"/>
  <c r="AF336" s="1"/>
  <c r="AF470" s="1"/>
  <c r="AF725"/>
  <c r="AF728"/>
  <c r="AF729"/>
  <c r="AF731"/>
  <c r="AF733"/>
  <c r="AF686"/>
  <c r="AF366" s="1"/>
  <c r="AF501" s="1"/>
  <c r="AF682"/>
  <c r="AF362" s="1"/>
  <c r="AF497" s="1"/>
  <c r="AF658"/>
  <c r="AF345" s="1"/>
  <c r="AF479" s="1"/>
  <c r="AF654"/>
  <c r="AF341" s="1"/>
  <c r="AF475" s="1"/>
  <c r="AF684"/>
  <c r="AF364" s="1"/>
  <c r="AF499" s="1"/>
  <c r="AF656"/>
  <c r="AF343" s="1"/>
  <c r="AF477" s="1"/>
  <c r="AF652"/>
  <c r="AF339" s="1"/>
  <c r="AF473" s="1"/>
  <c r="AF732"/>
  <c r="AF730"/>
  <c r="AF696"/>
  <c r="AF698"/>
  <c r="AF700"/>
  <c r="AF650"/>
  <c r="AF337" s="1"/>
  <c r="AF471" s="1"/>
  <c r="AF693"/>
  <c r="AF697"/>
  <c r="AF699"/>
  <c r="AF701"/>
  <c r="AF702"/>
  <c r="AF727"/>
  <c r="AE691"/>
  <c r="AE676" s="1"/>
  <c r="AE69" s="1"/>
  <c r="AE723"/>
  <c r="AE708" s="1"/>
  <c r="AE70" s="1"/>
  <c r="AE61"/>
  <c r="AF661"/>
  <c r="AF33"/>
  <c r="AF35" s="1"/>
  <c r="AF37" s="1"/>
  <c r="AF39" s="1"/>
  <c r="AF548"/>
  <c r="AF549" s="1"/>
  <c r="AF554"/>
  <c r="AF555" s="1"/>
  <c r="AF631"/>
  <c r="AF602"/>
  <c r="AF609"/>
  <c r="AF601"/>
  <c r="AF633"/>
  <c r="AF618"/>
  <c r="AF55" s="1"/>
  <c r="AF608"/>
  <c r="AF619" s="1"/>
  <c r="AF623" s="1"/>
  <c r="AE607"/>
  <c r="AG11"/>
  <c r="AF314"/>
  <c r="AF316"/>
  <c r="AF318"/>
  <c r="AF447"/>
  <c r="AF448"/>
  <c r="AF449"/>
  <c r="AF450"/>
  <c r="AF451"/>
  <c r="AF452"/>
  <c r="AF624"/>
  <c r="AF313"/>
  <c r="AF317"/>
  <c r="AF315"/>
  <c r="AD117"/>
  <c r="AF19"/>
  <c r="AA238"/>
  <c r="AC116"/>
  <c r="AA202"/>
  <c r="AB43"/>
  <c r="T614"/>
  <c r="T80"/>
  <c r="T81" s="1"/>
  <c r="AF666"/>
  <c r="AF662"/>
  <c r="AF667"/>
  <c r="AF668"/>
  <c r="AF669"/>
  <c r="AF670"/>
  <c r="AC105"/>
  <c r="AF465"/>
  <c r="AE466"/>
  <c r="AF331"/>
  <c r="AE332"/>
  <c r="AE639"/>
  <c r="AF636" s="1"/>
  <c r="AF638" s="1"/>
  <c r="AE62"/>
  <c r="AE659"/>
  <c r="AE644" s="1"/>
  <c r="AE68" s="1"/>
  <c r="AC630"/>
  <c r="AE27"/>
  <c r="AD550"/>
  <c r="AD551" s="1"/>
  <c r="AD103" s="1"/>
  <c r="AD244" s="1"/>
  <c r="AD556"/>
  <c r="AD557" s="1"/>
  <c r="AD104" s="1"/>
  <c r="AF23"/>
  <c r="AF26"/>
  <c r="AF30"/>
  <c r="AF40"/>
  <c r="AE240"/>
  <c r="AE204"/>
  <c r="AC268"/>
  <c r="AC229"/>
  <c r="AB270"/>
  <c r="AB271" s="1"/>
  <c r="AC266"/>
  <c r="AC227"/>
  <c r="AB231"/>
  <c r="AB232" s="1"/>
  <c r="AC597"/>
  <c r="AD590"/>
  <c r="AD591" s="1"/>
  <c r="AD51" s="1"/>
  <c r="AD594"/>
  <c r="AD595" s="1"/>
  <c r="AD586"/>
  <c r="AD587" s="1"/>
  <c r="AD582"/>
  <c r="AD583" s="1"/>
  <c r="AF632"/>
  <c r="AF622"/>
  <c r="U617"/>
  <c r="AE10"/>
  <c r="AE12" s="1"/>
  <c r="AD29"/>
  <c r="AD31" s="1"/>
  <c r="AD41" s="1"/>
  <c r="AG2"/>
  <c r="AF25"/>
  <c r="AN324" i="8" l="1"/>
  <c r="X324"/>
  <c r="X203" s="1"/>
  <c r="T324"/>
  <c r="T203" s="1"/>
  <c r="T204" s="1"/>
  <c r="T232" s="1"/>
  <c r="T233" s="1"/>
  <c r="P324"/>
  <c r="P203" s="1"/>
  <c r="P204" s="1"/>
  <c r="P232" s="1"/>
  <c r="P233" s="1"/>
  <c r="P239" s="1"/>
  <c r="AO324"/>
  <c r="AK324"/>
  <c r="AG324"/>
  <c r="AC324"/>
  <c r="AC203" s="1"/>
  <c r="U324"/>
  <c r="U203" s="1"/>
  <c r="U204" s="1"/>
  <c r="U232" s="1"/>
  <c r="U233" s="1"/>
  <c r="Q324"/>
  <c r="Q203" s="1"/>
  <c r="Q204" s="1"/>
  <c r="Q232" s="1"/>
  <c r="Q233" s="1"/>
  <c r="Q239" s="1"/>
  <c r="I324"/>
  <c r="I203" s="1"/>
  <c r="E324"/>
  <c r="E203" s="1"/>
  <c r="E204" s="1"/>
  <c r="E232" s="1"/>
  <c r="E233" s="1"/>
  <c r="G324"/>
  <c r="G203" s="1"/>
  <c r="B318"/>
  <c r="R324"/>
  <c r="R203" s="1"/>
  <c r="R204" s="1"/>
  <c r="R232" s="1"/>
  <c r="R233" s="1"/>
  <c r="R239" s="1"/>
  <c r="AF324"/>
  <c r="AF203" s="1"/>
  <c r="AB324"/>
  <c r="AB203" s="1"/>
  <c r="L324"/>
  <c r="L203" s="1"/>
  <c r="H324"/>
  <c r="H203" s="1"/>
  <c r="D324"/>
  <c r="D203" s="1"/>
  <c r="D204" s="1"/>
  <c r="D232" s="1"/>
  <c r="D233" s="1"/>
  <c r="D98" s="1"/>
  <c r="Y324"/>
  <c r="Y203" s="1"/>
  <c r="M324"/>
  <c r="M203" s="1"/>
  <c r="M204" s="1"/>
  <c r="M232" s="1"/>
  <c r="M233" s="1"/>
  <c r="M98" s="1"/>
  <c r="AP324"/>
  <c r="F324"/>
  <c r="F203" s="1"/>
  <c r="F204" s="1"/>
  <c r="F232" s="1"/>
  <c r="F233" s="1"/>
  <c r="F239" s="1"/>
  <c r="AE324"/>
  <c r="AE203" s="1"/>
  <c r="AA324"/>
  <c r="AA203" s="1"/>
  <c r="W324"/>
  <c r="W203" s="1"/>
  <c r="W204" s="1"/>
  <c r="W232" s="1"/>
  <c r="W233" s="1"/>
  <c r="S324"/>
  <c r="S203" s="1"/>
  <c r="S204" s="1"/>
  <c r="S232" s="1"/>
  <c r="S233" s="1"/>
  <c r="S239" s="1"/>
  <c r="AC18" i="2"/>
  <c r="AC20" s="1"/>
  <c r="AC43" s="1"/>
  <c r="M209" i="7"/>
  <c r="M213" s="1"/>
  <c r="C100"/>
  <c r="C101" s="1"/>
  <c r="I340"/>
  <c r="J340" s="1"/>
  <c r="I341"/>
  <c r="J341" s="1"/>
  <c r="N341" s="1"/>
  <c r="N206"/>
  <c r="O206" s="1"/>
  <c r="N208"/>
  <c r="O208" s="1"/>
  <c r="Q208" s="1"/>
  <c r="N342"/>
  <c r="O342" s="1"/>
  <c r="Q342" s="1"/>
  <c r="N211"/>
  <c r="O211" s="1"/>
  <c r="Q211" s="1"/>
  <c r="N345"/>
  <c r="O345" s="1"/>
  <c r="Q345" s="1"/>
  <c r="N209"/>
  <c r="N343"/>
  <c r="O343" s="1"/>
  <c r="Q343" s="1"/>
  <c r="N344"/>
  <c r="O344" s="1"/>
  <c r="Q344" s="1"/>
  <c r="N210"/>
  <c r="O210" s="1"/>
  <c r="Q210" s="1"/>
  <c r="M341"/>
  <c r="M347" s="1"/>
  <c r="J213"/>
  <c r="AG205" i="2"/>
  <c r="AG604"/>
  <c r="AG605"/>
  <c r="AG593"/>
  <c r="AG589"/>
  <c r="AG585"/>
  <c r="AG581"/>
  <c r="AG241"/>
  <c r="AF606"/>
  <c r="AF607" s="1"/>
  <c r="W142" i="10"/>
  <c r="W154" s="1"/>
  <c r="W80"/>
  <c r="W81" s="1"/>
  <c r="W95" s="1"/>
  <c r="W284"/>
  <c r="W300" s="1"/>
  <c r="X74"/>
  <c r="X76" s="1"/>
  <c r="W220"/>
  <c r="W248" s="1"/>
  <c r="AD49" i="2"/>
  <c r="AD14"/>
  <c r="D122" i="10"/>
  <c r="T122"/>
  <c r="M122"/>
  <c r="I122"/>
  <c r="Q122"/>
  <c r="F122"/>
  <c r="J122"/>
  <c r="N122"/>
  <c r="R122"/>
  <c r="W109"/>
  <c r="W101"/>
  <c r="Y50"/>
  <c r="Y281"/>
  <c r="Y297" s="1"/>
  <c r="Y109"/>
  <c r="V87" i="8"/>
  <c r="V88" s="1"/>
  <c r="V79"/>
  <c r="W49"/>
  <c r="W73" s="1"/>
  <c r="W78" s="1"/>
  <c r="H122" i="10"/>
  <c r="L122"/>
  <c r="P122"/>
  <c r="V122"/>
  <c r="E122"/>
  <c r="G122"/>
  <c r="K122"/>
  <c r="O122"/>
  <c r="S122"/>
  <c r="U122"/>
  <c r="Z49"/>
  <c r="W122"/>
  <c r="Y101"/>
  <c r="AA649"/>
  <c r="AA652" s="1"/>
  <c r="Z745"/>
  <c r="AA746" s="1"/>
  <c r="X700" i="8"/>
  <c r="Y701" s="1"/>
  <c r="Y604"/>
  <c r="Y607" s="1"/>
  <c r="X237"/>
  <c r="X48"/>
  <c r="X202"/>
  <c r="C458"/>
  <c r="B451"/>
  <c r="G204"/>
  <c r="G232" s="1"/>
  <c r="G233" s="1"/>
  <c r="V239"/>
  <c r="V98"/>
  <c r="T239"/>
  <c r="T98"/>
  <c r="P98"/>
  <c r="N239"/>
  <c r="N98"/>
  <c r="F88"/>
  <c r="AC53" i="2"/>
  <c r="U239" i="8"/>
  <c r="U98"/>
  <c r="O239"/>
  <c r="O98"/>
  <c r="E239"/>
  <c r="E98"/>
  <c r="C324"/>
  <c r="B317"/>
  <c r="AI568" i="7"/>
  <c r="AI571" s="1"/>
  <c r="AH664"/>
  <c r="F97"/>
  <c r="AF97"/>
  <c r="G166"/>
  <c r="G130"/>
  <c r="G55"/>
  <c r="G56" s="1"/>
  <c r="G543"/>
  <c r="AD15" i="2"/>
  <c r="AD50"/>
  <c r="AD228"/>
  <c r="AD267"/>
  <c r="AD17"/>
  <c r="AD52"/>
  <c r="AD230"/>
  <c r="AD269"/>
  <c r="AG395"/>
  <c r="AG530" s="1"/>
  <c r="AG396"/>
  <c r="AG531" s="1"/>
  <c r="AG393"/>
  <c r="AG528" s="1"/>
  <c r="AG391"/>
  <c r="AG526" s="1"/>
  <c r="AG389"/>
  <c r="AG524" s="1"/>
  <c r="AG394"/>
  <c r="AG529" s="1"/>
  <c r="AG392"/>
  <c r="AG527" s="1"/>
  <c r="AG390"/>
  <c r="AG525" s="1"/>
  <c r="AG388"/>
  <c r="AG523" s="1"/>
  <c r="AG387"/>
  <c r="AG522" s="1"/>
  <c r="AG361"/>
  <c r="AG496" s="1"/>
  <c r="AG362"/>
  <c r="AG497" s="1"/>
  <c r="AG363"/>
  <c r="AG498" s="1"/>
  <c r="AG364"/>
  <c r="AG499" s="1"/>
  <c r="AG365"/>
  <c r="AG500" s="1"/>
  <c r="AG366"/>
  <c r="AG501" s="1"/>
  <c r="AG367"/>
  <c r="AG502" s="1"/>
  <c r="AG368"/>
  <c r="AG503" s="1"/>
  <c r="AG369"/>
  <c r="AG504" s="1"/>
  <c r="AG370"/>
  <c r="AG505" s="1"/>
  <c r="AE71"/>
  <c r="AG5"/>
  <c r="AG722"/>
  <c r="AG720"/>
  <c r="AG718"/>
  <c r="AG716"/>
  <c r="AG714"/>
  <c r="AG690"/>
  <c r="AG688"/>
  <c r="AG721"/>
  <c r="AG719"/>
  <c r="AG717"/>
  <c r="AG715"/>
  <c r="AG713"/>
  <c r="AG689"/>
  <c r="AG686"/>
  <c r="AG684"/>
  <c r="AG682"/>
  <c r="AG658"/>
  <c r="AG656"/>
  <c r="AG654"/>
  <c r="AG652"/>
  <c r="AG650"/>
  <c r="AG730"/>
  <c r="AG732"/>
  <c r="AG687"/>
  <c r="AG683"/>
  <c r="AG655"/>
  <c r="AG651"/>
  <c r="AG685"/>
  <c r="AG681"/>
  <c r="AG657"/>
  <c r="AG653"/>
  <c r="AG649"/>
  <c r="AG725"/>
  <c r="AG729"/>
  <c r="AG733"/>
  <c r="AG731"/>
  <c r="AG734"/>
  <c r="AG693"/>
  <c r="AG697"/>
  <c r="AG699"/>
  <c r="AG701"/>
  <c r="AG728"/>
  <c r="AG694"/>
  <c r="AG698"/>
  <c r="AG700"/>
  <c r="AG702"/>
  <c r="AF691"/>
  <c r="AF676" s="1"/>
  <c r="AF69" s="1"/>
  <c r="AF723"/>
  <c r="AF708" s="1"/>
  <c r="AF70" s="1"/>
  <c r="AF61"/>
  <c r="AG661"/>
  <c r="AG33"/>
  <c r="AG35" s="1"/>
  <c r="AG37" s="1"/>
  <c r="AG39" s="1"/>
  <c r="AG548"/>
  <c r="AG549" s="1"/>
  <c r="AG554"/>
  <c r="AG555" s="1"/>
  <c r="AG633"/>
  <c r="AG618"/>
  <c r="AG55" s="1"/>
  <c r="AG608"/>
  <c r="AG619" s="1"/>
  <c r="AG623" s="1"/>
  <c r="AG631"/>
  <c r="AG602"/>
  <c r="AG609"/>
  <c r="AG601"/>
  <c r="AH11"/>
  <c r="AG313"/>
  <c r="AG315"/>
  <c r="AG317"/>
  <c r="AG314"/>
  <c r="AG318"/>
  <c r="AG447"/>
  <c r="AG449"/>
  <c r="AG451"/>
  <c r="AG316"/>
  <c r="AG448"/>
  <c r="AG450"/>
  <c r="AG452"/>
  <c r="AG624"/>
  <c r="AG19"/>
  <c r="AE117"/>
  <c r="AB47"/>
  <c r="AB238"/>
  <c r="AB202"/>
  <c r="AD116"/>
  <c r="U614"/>
  <c r="U80"/>
  <c r="U81" s="1"/>
  <c r="AG662"/>
  <c r="AG667"/>
  <c r="AG668"/>
  <c r="AG669"/>
  <c r="AG670"/>
  <c r="AG666"/>
  <c r="AD105"/>
  <c r="AG465"/>
  <c r="AF466"/>
  <c r="AG331"/>
  <c r="AG336"/>
  <c r="AG470" s="1"/>
  <c r="AG337"/>
  <c r="AG471" s="1"/>
  <c r="AG338"/>
  <c r="AG472" s="1"/>
  <c r="AG339"/>
  <c r="AG473" s="1"/>
  <c r="AG340"/>
  <c r="AG474" s="1"/>
  <c r="AG341"/>
  <c r="AG475" s="1"/>
  <c r="AG342"/>
  <c r="AG476" s="1"/>
  <c r="AG343"/>
  <c r="AG477" s="1"/>
  <c r="AG344"/>
  <c r="AG478" s="1"/>
  <c r="AG345"/>
  <c r="AG479" s="1"/>
  <c r="AF332"/>
  <c r="AF639"/>
  <c r="AG636" s="1"/>
  <c r="AF62"/>
  <c r="AG739"/>
  <c r="AG638"/>
  <c r="AF659"/>
  <c r="AF644" s="1"/>
  <c r="AF68" s="1"/>
  <c r="AD630"/>
  <c r="AF27"/>
  <c r="AE550"/>
  <c r="AE551" s="1"/>
  <c r="AE103" s="1"/>
  <c r="AE244" s="1"/>
  <c r="AE556"/>
  <c r="AE557" s="1"/>
  <c r="AE104" s="1"/>
  <c r="AC270"/>
  <c r="AC271" s="1"/>
  <c r="AG23"/>
  <c r="AG26"/>
  <c r="AG30"/>
  <c r="AG40"/>
  <c r="AF240"/>
  <c r="AF204"/>
  <c r="AC231"/>
  <c r="AC232" s="1"/>
  <c r="AD266"/>
  <c r="AD227"/>
  <c r="AD268"/>
  <c r="AD229"/>
  <c r="AD597"/>
  <c r="AE594"/>
  <c r="AE595" s="1"/>
  <c r="AE586"/>
  <c r="AE587" s="1"/>
  <c r="AE582"/>
  <c r="AE583" s="1"/>
  <c r="AE590"/>
  <c r="AE591" s="1"/>
  <c r="AE51" s="1"/>
  <c r="AG622"/>
  <c r="AG632"/>
  <c r="V617"/>
  <c r="AE29"/>
  <c r="AE31" s="1"/>
  <c r="AE41" s="1"/>
  <c r="AH2"/>
  <c r="AG25"/>
  <c r="AF10"/>
  <c r="AF12" s="1"/>
  <c r="Q98" i="8" l="1"/>
  <c r="M239"/>
  <c r="M242" s="1"/>
  <c r="M270" s="1"/>
  <c r="M271" s="1"/>
  <c r="M99" s="1"/>
  <c r="M100" s="1"/>
  <c r="M101" s="1"/>
  <c r="X204"/>
  <c r="X232" s="1"/>
  <c r="X233" s="1"/>
  <c r="F98"/>
  <c r="R98"/>
  <c r="D239"/>
  <c r="D242" s="1"/>
  <c r="D270" s="1"/>
  <c r="D271" s="1"/>
  <c r="D99" s="1"/>
  <c r="D100" s="1"/>
  <c r="D101" s="1"/>
  <c r="S98"/>
  <c r="W239"/>
  <c r="W98"/>
  <c r="N207" i="7"/>
  <c r="O207" s="1"/>
  <c r="O209"/>
  <c r="Q209" s="1"/>
  <c r="Y249" s="1"/>
  <c r="E242" i="8"/>
  <c r="E270" s="1"/>
  <c r="E271" s="1"/>
  <c r="E99" s="1"/>
  <c r="E100" s="1"/>
  <c r="E101" s="1"/>
  <c r="Q242"/>
  <c r="Q270" s="1"/>
  <c r="Q271" s="1"/>
  <c r="Q99" s="1"/>
  <c r="Q100" s="1"/>
  <c r="Q101" s="1"/>
  <c r="U242"/>
  <c r="U270" s="1"/>
  <c r="U271" s="1"/>
  <c r="U99" s="1"/>
  <c r="U100" s="1"/>
  <c r="U101" s="1"/>
  <c r="P242"/>
  <c r="P270" s="1"/>
  <c r="P271" s="1"/>
  <c r="P99" s="1"/>
  <c r="P100" s="1"/>
  <c r="P101" s="1"/>
  <c r="T242"/>
  <c r="T270" s="1"/>
  <c r="T271" s="1"/>
  <c r="T99" s="1"/>
  <c r="T100" s="1"/>
  <c r="T101" s="1"/>
  <c r="O242"/>
  <c r="O270" s="1"/>
  <c r="O271" s="1"/>
  <c r="O99" s="1"/>
  <c r="O100" s="1"/>
  <c r="O101" s="1"/>
  <c r="S242"/>
  <c r="S270" s="1"/>
  <c r="S271" s="1"/>
  <c r="S99" s="1"/>
  <c r="S100" s="1"/>
  <c r="S101" s="1"/>
  <c r="W242"/>
  <c r="W270" s="1"/>
  <c r="W271" s="1"/>
  <c r="W99" s="1"/>
  <c r="F242"/>
  <c r="F270" s="1"/>
  <c r="F271" s="1"/>
  <c r="F99" s="1"/>
  <c r="N242"/>
  <c r="N270" s="1"/>
  <c r="N271" s="1"/>
  <c r="N99" s="1"/>
  <c r="N100" s="1"/>
  <c r="N101" s="1"/>
  <c r="R242"/>
  <c r="R270" s="1"/>
  <c r="R271" s="1"/>
  <c r="R99" s="1"/>
  <c r="R100" s="1"/>
  <c r="R101" s="1"/>
  <c r="V242"/>
  <c r="V270" s="1"/>
  <c r="V271" s="1"/>
  <c r="V99" s="1"/>
  <c r="V100" s="1"/>
  <c r="V101" s="1"/>
  <c r="P207" i="7"/>
  <c r="AG606" i="2"/>
  <c r="AG607" s="1"/>
  <c r="O341" i="7"/>
  <c r="J347"/>
  <c r="N340"/>
  <c r="O340" s="1"/>
  <c r="AE382"/>
  <c r="O382"/>
  <c r="AP382"/>
  <c r="AH382"/>
  <c r="Z382"/>
  <c r="R382"/>
  <c r="J382"/>
  <c r="AI382"/>
  <c r="S382"/>
  <c r="D382"/>
  <c r="AJ382"/>
  <c r="AB382"/>
  <c r="T382"/>
  <c r="L382"/>
  <c r="I382"/>
  <c r="AO382"/>
  <c r="AC382"/>
  <c r="Q382"/>
  <c r="E382"/>
  <c r="AK382"/>
  <c r="AM382"/>
  <c r="W382"/>
  <c r="G382"/>
  <c r="AL382"/>
  <c r="AD382"/>
  <c r="V382"/>
  <c r="N382"/>
  <c r="F382"/>
  <c r="AA382"/>
  <c r="K382"/>
  <c r="AN382"/>
  <c r="AF382"/>
  <c r="X382"/>
  <c r="P382"/>
  <c r="H382"/>
  <c r="Y382"/>
  <c r="M382"/>
  <c r="C382"/>
  <c r="AG382"/>
  <c r="U382"/>
  <c r="D248"/>
  <c r="L248"/>
  <c r="T248"/>
  <c r="AB248"/>
  <c r="AJ248"/>
  <c r="C248"/>
  <c r="K248"/>
  <c r="S248"/>
  <c r="AA248"/>
  <c r="AI248"/>
  <c r="F248"/>
  <c r="N248"/>
  <c r="V248"/>
  <c r="AD248"/>
  <c r="AL248"/>
  <c r="E248"/>
  <c r="M248"/>
  <c r="U248"/>
  <c r="AC248"/>
  <c r="AK248"/>
  <c r="H248"/>
  <c r="P248"/>
  <c r="X248"/>
  <c r="AF248"/>
  <c r="AN248"/>
  <c r="G248"/>
  <c r="O248"/>
  <c r="W248"/>
  <c r="AE248"/>
  <c r="AM248"/>
  <c r="J248"/>
  <c r="R248"/>
  <c r="Z248"/>
  <c r="AH248"/>
  <c r="AP248"/>
  <c r="I248"/>
  <c r="Q248"/>
  <c r="Y248"/>
  <c r="AG248"/>
  <c r="AO248"/>
  <c r="R384"/>
  <c r="AA384"/>
  <c r="K384"/>
  <c r="Z384"/>
  <c r="AM384"/>
  <c r="W384"/>
  <c r="G384"/>
  <c r="L384"/>
  <c r="H384"/>
  <c r="AN384"/>
  <c r="M384"/>
  <c r="AC384"/>
  <c r="F384"/>
  <c r="AL384"/>
  <c r="T384"/>
  <c r="P384"/>
  <c r="I384"/>
  <c r="Y384"/>
  <c r="AO384"/>
  <c r="AD384"/>
  <c r="AH384"/>
  <c r="AI384"/>
  <c r="S384"/>
  <c r="AP384"/>
  <c r="J384"/>
  <c r="AE384"/>
  <c r="O384"/>
  <c r="C384"/>
  <c r="AB384"/>
  <c r="X384"/>
  <c r="E384"/>
  <c r="U384"/>
  <c r="AK384"/>
  <c r="V384"/>
  <c r="D384"/>
  <c r="AJ384"/>
  <c r="AF384"/>
  <c r="Q384"/>
  <c r="AG384"/>
  <c r="N384"/>
  <c r="G250"/>
  <c r="O250"/>
  <c r="W250"/>
  <c r="AE250"/>
  <c r="AM250"/>
  <c r="H250"/>
  <c r="P250"/>
  <c r="X250"/>
  <c r="AF250"/>
  <c r="AN250"/>
  <c r="I250"/>
  <c r="Q250"/>
  <c r="Y250"/>
  <c r="AG250"/>
  <c r="AO250"/>
  <c r="J250"/>
  <c r="R250"/>
  <c r="Z250"/>
  <c r="AH250"/>
  <c r="AP250"/>
  <c r="C250"/>
  <c r="K250"/>
  <c r="S250"/>
  <c r="AA250"/>
  <c r="AI250"/>
  <c r="D250"/>
  <c r="L250"/>
  <c r="T250"/>
  <c r="AB250"/>
  <c r="AJ250"/>
  <c r="E250"/>
  <c r="M250"/>
  <c r="U250"/>
  <c r="AC250"/>
  <c r="AK250"/>
  <c r="F250"/>
  <c r="N250"/>
  <c r="V250"/>
  <c r="AD250"/>
  <c r="AL250"/>
  <c r="AO383"/>
  <c r="AI383"/>
  <c r="K383"/>
  <c r="AN383"/>
  <c r="AF383"/>
  <c r="X383"/>
  <c r="P383"/>
  <c r="H383"/>
  <c r="AC383"/>
  <c r="AA383"/>
  <c r="G383"/>
  <c r="AL383"/>
  <c r="AD383"/>
  <c r="V383"/>
  <c r="N383"/>
  <c r="F383"/>
  <c r="AG383"/>
  <c r="W383"/>
  <c r="Q383"/>
  <c r="C383"/>
  <c r="U383"/>
  <c r="I383"/>
  <c r="S383"/>
  <c r="D383"/>
  <c r="AJ383"/>
  <c r="AB383"/>
  <c r="T383"/>
  <c r="L383"/>
  <c r="AK383"/>
  <c r="Y383"/>
  <c r="O383"/>
  <c r="AP383"/>
  <c r="AH383"/>
  <c r="Z383"/>
  <c r="R383"/>
  <c r="J383"/>
  <c r="AE383"/>
  <c r="E383"/>
  <c r="AM383"/>
  <c r="M383"/>
  <c r="C385"/>
  <c r="X385"/>
  <c r="AD385"/>
  <c r="N385"/>
  <c r="AO385"/>
  <c r="AG385"/>
  <c r="Y385"/>
  <c r="Q385"/>
  <c r="I385"/>
  <c r="AN385"/>
  <c r="AP385"/>
  <c r="Z385"/>
  <c r="AI385"/>
  <c r="AA385"/>
  <c r="K385"/>
  <c r="AM385"/>
  <c r="O385"/>
  <c r="P385"/>
  <c r="AJ385"/>
  <c r="T385"/>
  <c r="D385"/>
  <c r="AB385"/>
  <c r="AL385"/>
  <c r="V385"/>
  <c r="F385"/>
  <c r="AK385"/>
  <c r="AC385"/>
  <c r="U385"/>
  <c r="M385"/>
  <c r="E385"/>
  <c r="H385"/>
  <c r="AH385"/>
  <c r="R385"/>
  <c r="AE385"/>
  <c r="S385"/>
  <c r="J385"/>
  <c r="W385"/>
  <c r="G385"/>
  <c r="L385"/>
  <c r="AF385"/>
  <c r="AO249"/>
  <c r="AH249"/>
  <c r="E249"/>
  <c r="S249"/>
  <c r="I251"/>
  <c r="Q251"/>
  <c r="Y251"/>
  <c r="AG251"/>
  <c r="AO251"/>
  <c r="J251"/>
  <c r="R251"/>
  <c r="Z251"/>
  <c r="AH251"/>
  <c r="AP251"/>
  <c r="G251"/>
  <c r="O251"/>
  <c r="W251"/>
  <c r="AE251"/>
  <c r="AM251"/>
  <c r="H251"/>
  <c r="P251"/>
  <c r="X251"/>
  <c r="AF251"/>
  <c r="AN251"/>
  <c r="E251"/>
  <c r="M251"/>
  <c r="U251"/>
  <c r="AC251"/>
  <c r="AK251"/>
  <c r="F251"/>
  <c r="N251"/>
  <c r="V251"/>
  <c r="AD251"/>
  <c r="AL251"/>
  <c r="D251"/>
  <c r="K251"/>
  <c r="S251"/>
  <c r="AA251"/>
  <c r="AI251"/>
  <c r="C251"/>
  <c r="L251"/>
  <c r="T251"/>
  <c r="AB251"/>
  <c r="AJ251"/>
  <c r="N213"/>
  <c r="P206"/>
  <c r="P213" s="1"/>
  <c r="C252" s="1"/>
  <c r="B252" s="1"/>
  <c r="AH205" i="2"/>
  <c r="AH604"/>
  <c r="AH605"/>
  <c r="AH593"/>
  <c r="AH589"/>
  <c r="AH585"/>
  <c r="AH581"/>
  <c r="AH241"/>
  <c r="X142" i="10"/>
  <c r="X154" s="1"/>
  <c r="X80"/>
  <c r="X81" s="1"/>
  <c r="X95" s="1"/>
  <c r="X284"/>
  <c r="Y74"/>
  <c r="Y76" s="1"/>
  <c r="X220"/>
  <c r="X248" s="1"/>
  <c r="AE49" i="2"/>
  <c r="AE14"/>
  <c r="U123" i="10"/>
  <c r="O123"/>
  <c r="G123"/>
  <c r="V123"/>
  <c r="R123"/>
  <c r="N123"/>
  <c r="J123"/>
  <c r="F123"/>
  <c r="I123"/>
  <c r="M123"/>
  <c r="S123"/>
  <c r="K123"/>
  <c r="E123"/>
  <c r="T123"/>
  <c r="P123"/>
  <c r="L123"/>
  <c r="H123"/>
  <c r="D123"/>
  <c r="Q123"/>
  <c r="Y110"/>
  <c r="W110"/>
  <c r="W123" s="1"/>
  <c r="X109"/>
  <c r="X101"/>
  <c r="Z50"/>
  <c r="Z281"/>
  <c r="Z297" s="1"/>
  <c r="W79" i="8"/>
  <c r="W87"/>
  <c r="W88" s="1"/>
  <c r="AA49" i="10"/>
  <c r="X122"/>
  <c r="AD18" i="2"/>
  <c r="AD20" s="1"/>
  <c r="AD43" s="1"/>
  <c r="AD47" s="1"/>
  <c r="X49" i="8"/>
  <c r="X73" s="1"/>
  <c r="X78" s="1"/>
  <c r="AB649" i="10"/>
  <c r="AB652" s="1"/>
  <c r="AA745"/>
  <c r="AB746" s="1"/>
  <c r="Y122"/>
  <c r="X98" i="8"/>
  <c r="X239"/>
  <c r="Y202"/>
  <c r="Y204" s="1"/>
  <c r="Y232" s="1"/>
  <c r="Y233" s="1"/>
  <c r="Y237"/>
  <c r="Y48"/>
  <c r="Y700"/>
  <c r="Z701" s="1"/>
  <c r="Z604"/>
  <c r="Z607" s="1"/>
  <c r="G72"/>
  <c r="G73" s="1"/>
  <c r="G78" s="1"/>
  <c r="G239"/>
  <c r="G98"/>
  <c r="B324"/>
  <c r="C203"/>
  <c r="C204" s="1"/>
  <c r="C232" s="1"/>
  <c r="C233" s="1"/>
  <c r="C239" s="1"/>
  <c r="B458"/>
  <c r="C238"/>
  <c r="AD53" i="2"/>
  <c r="G540" i="7"/>
  <c r="G541" s="1"/>
  <c r="H544" s="1"/>
  <c r="G80"/>
  <c r="G81" s="1"/>
  <c r="G82" s="1"/>
  <c r="G87" s="1"/>
  <c r="AJ568"/>
  <c r="AJ571" s="1"/>
  <c r="AI664"/>
  <c r="AE15" i="2"/>
  <c r="AE50"/>
  <c r="AE228"/>
  <c r="AE267"/>
  <c r="AE17"/>
  <c r="AE52"/>
  <c r="AE230"/>
  <c r="AE269"/>
  <c r="AF71"/>
  <c r="AH396"/>
  <c r="AH531" s="1"/>
  <c r="AH394"/>
  <c r="AH529" s="1"/>
  <c r="AH392"/>
  <c r="AH527" s="1"/>
  <c r="AH390"/>
  <c r="AH525" s="1"/>
  <c r="AH388"/>
  <c r="AH523" s="1"/>
  <c r="AH387"/>
  <c r="AH522" s="1"/>
  <c r="AH395"/>
  <c r="AH530" s="1"/>
  <c r="AH393"/>
  <c r="AH528" s="1"/>
  <c r="AH391"/>
  <c r="AH526" s="1"/>
  <c r="AH389"/>
  <c r="AH524" s="1"/>
  <c r="AH361"/>
  <c r="AH496" s="1"/>
  <c r="AH362"/>
  <c r="AH497" s="1"/>
  <c r="AH363"/>
  <c r="AH498" s="1"/>
  <c r="AH364"/>
  <c r="AH499" s="1"/>
  <c r="AH365"/>
  <c r="AH500" s="1"/>
  <c r="AH366"/>
  <c r="AH501" s="1"/>
  <c r="AH367"/>
  <c r="AH502" s="1"/>
  <c r="AH368"/>
  <c r="AH503" s="1"/>
  <c r="AH369"/>
  <c r="AH504" s="1"/>
  <c r="AH370"/>
  <c r="AH505" s="1"/>
  <c r="AG691"/>
  <c r="AG676" s="1"/>
  <c r="AG69" s="1"/>
  <c r="AH5"/>
  <c r="AH721"/>
  <c r="AH719"/>
  <c r="AH717"/>
  <c r="AH715"/>
  <c r="AH713"/>
  <c r="AH689"/>
  <c r="AH722"/>
  <c r="AH720"/>
  <c r="AH718"/>
  <c r="AH716"/>
  <c r="AH714"/>
  <c r="AH690"/>
  <c r="AH688"/>
  <c r="AH687"/>
  <c r="AH685"/>
  <c r="AH683"/>
  <c r="AH681"/>
  <c r="AH657"/>
  <c r="AH655"/>
  <c r="AH653"/>
  <c r="AH651"/>
  <c r="AH649"/>
  <c r="AH725"/>
  <c r="AH728"/>
  <c r="AH729"/>
  <c r="AH731"/>
  <c r="AH733"/>
  <c r="AH684"/>
  <c r="AH656"/>
  <c r="AH652"/>
  <c r="AH686"/>
  <c r="AH682"/>
  <c r="AH658"/>
  <c r="AH654"/>
  <c r="AH650"/>
  <c r="AH730"/>
  <c r="AH734"/>
  <c r="AH732"/>
  <c r="AH694"/>
  <c r="AH698"/>
  <c r="AH700"/>
  <c r="AH702"/>
  <c r="AH693"/>
  <c r="AH697"/>
  <c r="AH699"/>
  <c r="AH701"/>
  <c r="AG723"/>
  <c r="AG708" s="1"/>
  <c r="AG70" s="1"/>
  <c r="AG61"/>
  <c r="AH661"/>
  <c r="AH33"/>
  <c r="AH35" s="1"/>
  <c r="AH37" s="1"/>
  <c r="AH39" s="1"/>
  <c r="AH548"/>
  <c r="AH549" s="1"/>
  <c r="AH554"/>
  <c r="AH555" s="1"/>
  <c r="AH631"/>
  <c r="AH602"/>
  <c r="AH609"/>
  <c r="AH601"/>
  <c r="AH633"/>
  <c r="AH618"/>
  <c r="AH55" s="1"/>
  <c r="AH608"/>
  <c r="AH619" s="1"/>
  <c r="AH623" s="1"/>
  <c r="AI11"/>
  <c r="AH314"/>
  <c r="AH316"/>
  <c r="AH318"/>
  <c r="AH447"/>
  <c r="AH448"/>
  <c r="AH449"/>
  <c r="AH450"/>
  <c r="AH451"/>
  <c r="AH452"/>
  <c r="AH624"/>
  <c r="AH315"/>
  <c r="AH313"/>
  <c r="AH317"/>
  <c r="AF117"/>
  <c r="AH19"/>
  <c r="AC47"/>
  <c r="AC238"/>
  <c r="AC202"/>
  <c r="AE116"/>
  <c r="V614"/>
  <c r="V80"/>
  <c r="V81" s="1"/>
  <c r="AH666"/>
  <c r="AH662"/>
  <c r="AH667"/>
  <c r="AH668"/>
  <c r="AH669"/>
  <c r="AH670"/>
  <c r="AE105"/>
  <c r="AE53"/>
  <c r="AG54"/>
  <c r="AG239"/>
  <c r="AG203"/>
  <c r="AG466"/>
  <c r="AH465"/>
  <c r="AH331"/>
  <c r="AH336"/>
  <c r="AH470" s="1"/>
  <c r="AH337"/>
  <c r="AH471" s="1"/>
  <c r="AH338"/>
  <c r="AH472" s="1"/>
  <c r="AH339"/>
  <c r="AH473" s="1"/>
  <c r="AH340"/>
  <c r="AH474" s="1"/>
  <c r="AH341"/>
  <c r="AH475" s="1"/>
  <c r="AH342"/>
  <c r="AH476" s="1"/>
  <c r="AH343"/>
  <c r="AH477" s="1"/>
  <c r="AH344"/>
  <c r="AH478" s="1"/>
  <c r="AH345"/>
  <c r="AH479" s="1"/>
  <c r="AG332"/>
  <c r="AG639"/>
  <c r="AH636" s="1"/>
  <c r="AG62"/>
  <c r="AH739"/>
  <c r="AH638"/>
  <c r="AG659"/>
  <c r="AG644" s="1"/>
  <c r="AG68" s="1"/>
  <c r="AE630"/>
  <c r="AF550"/>
  <c r="AF551" s="1"/>
  <c r="AF103" s="1"/>
  <c r="AF244" s="1"/>
  <c r="AF556"/>
  <c r="AF557" s="1"/>
  <c r="AF104" s="1"/>
  <c r="AH40"/>
  <c r="AH23"/>
  <c r="AH26"/>
  <c r="AH30"/>
  <c r="AG240"/>
  <c r="AG204"/>
  <c r="AE266"/>
  <c r="AE227"/>
  <c r="AD270"/>
  <c r="AD271" s="1"/>
  <c r="AE268"/>
  <c r="AE229"/>
  <c r="AD231"/>
  <c r="AD232" s="1"/>
  <c r="AE597"/>
  <c r="AF590"/>
  <c r="AF591" s="1"/>
  <c r="AF51" s="1"/>
  <c r="AF594"/>
  <c r="AF595" s="1"/>
  <c r="AF586"/>
  <c r="AF587" s="1"/>
  <c r="AF582"/>
  <c r="AF583" s="1"/>
  <c r="AH632"/>
  <c r="AH622"/>
  <c r="W617"/>
  <c r="AG10"/>
  <c r="AG12" s="1"/>
  <c r="AG27"/>
  <c r="AI2"/>
  <c r="AH25"/>
  <c r="AF29"/>
  <c r="AF31" s="1"/>
  <c r="AF41" s="1"/>
  <c r="AK249" i="7" l="1"/>
  <c r="I249"/>
  <c r="F100" i="8"/>
  <c r="F101" s="1"/>
  <c r="Q207" i="7"/>
  <c r="T247" s="1"/>
  <c r="W100" i="8"/>
  <c r="W101" s="1"/>
  <c r="L249" i="7"/>
  <c r="P249"/>
  <c r="AD249"/>
  <c r="W249"/>
  <c r="AJ249"/>
  <c r="C249"/>
  <c r="K249"/>
  <c r="V249"/>
  <c r="AC249"/>
  <c r="AN249"/>
  <c r="H249"/>
  <c r="O249"/>
  <c r="Z249"/>
  <c r="AG249"/>
  <c r="T249"/>
  <c r="AA249"/>
  <c r="AL249"/>
  <c r="F249"/>
  <c r="M249"/>
  <c r="X249"/>
  <c r="AE249"/>
  <c r="AP249"/>
  <c r="J249"/>
  <c r="Q249"/>
  <c r="O213"/>
  <c r="AB249"/>
  <c r="AI249"/>
  <c r="D249"/>
  <c r="N249"/>
  <c r="U249"/>
  <c r="AF249"/>
  <c r="AM249"/>
  <c r="G249"/>
  <c r="R249"/>
  <c r="O347"/>
  <c r="P340"/>
  <c r="Q340" s="1"/>
  <c r="C380" s="1"/>
  <c r="N347"/>
  <c r="G242" i="8"/>
  <c r="G270" s="1"/>
  <c r="G271" s="1"/>
  <c r="G99" s="1"/>
  <c r="G100" s="1"/>
  <c r="X242"/>
  <c r="X270" s="1"/>
  <c r="X271" s="1"/>
  <c r="X99" s="1"/>
  <c r="X100" s="1"/>
  <c r="C242"/>
  <c r="C270" s="1"/>
  <c r="C271" s="1"/>
  <c r="C99" s="1"/>
  <c r="P341" i="7"/>
  <c r="Q341" s="1"/>
  <c r="AJ247"/>
  <c r="C247"/>
  <c r="AI247"/>
  <c r="D247"/>
  <c r="AF247"/>
  <c r="AM247"/>
  <c r="G247"/>
  <c r="AH247"/>
  <c r="N247"/>
  <c r="AK247"/>
  <c r="U247"/>
  <c r="AA247"/>
  <c r="AG247"/>
  <c r="S247"/>
  <c r="Q247"/>
  <c r="X247"/>
  <c r="H247"/>
  <c r="AP247"/>
  <c r="Z247"/>
  <c r="AO247"/>
  <c r="AC247"/>
  <c r="M247"/>
  <c r="B250"/>
  <c r="B385"/>
  <c r="B248"/>
  <c r="B382"/>
  <c r="B383"/>
  <c r="B384"/>
  <c r="Q206"/>
  <c r="D246" s="1"/>
  <c r="B251"/>
  <c r="AH606" i="2"/>
  <c r="AH607" s="1"/>
  <c r="AI205"/>
  <c r="AI604"/>
  <c r="AI605"/>
  <c r="AI593"/>
  <c r="AI589"/>
  <c r="AI585"/>
  <c r="AI581"/>
  <c r="AI241"/>
  <c r="Y142" i="10"/>
  <c r="Y154" s="1"/>
  <c r="Y80"/>
  <c r="Y81" s="1"/>
  <c r="Y95" s="1"/>
  <c r="X300"/>
  <c r="Y284"/>
  <c r="Z74"/>
  <c r="Z76" s="1"/>
  <c r="Y220"/>
  <c r="Y248" s="1"/>
  <c r="AF49" i="2"/>
  <c r="AF14"/>
  <c r="Y123" i="10"/>
  <c r="X110"/>
  <c r="X123" s="1"/>
  <c r="AA50"/>
  <c r="AA281"/>
  <c r="AA297" s="1"/>
  <c r="AA109"/>
  <c r="X87" i="8"/>
  <c r="X88" s="1"/>
  <c r="X79"/>
  <c r="Y49"/>
  <c r="Y73" s="1"/>
  <c r="Y78" s="1"/>
  <c r="Z122" i="10"/>
  <c r="AC649"/>
  <c r="AC652" s="1"/>
  <c r="AB745"/>
  <c r="AC746" s="1"/>
  <c r="C122"/>
  <c r="AB49"/>
  <c r="Z700" i="8"/>
  <c r="AA701" s="1"/>
  <c r="AA604"/>
  <c r="AA607" s="1"/>
  <c r="Y98"/>
  <c r="Y239"/>
  <c r="Z237"/>
  <c r="Z48"/>
  <c r="Z202"/>
  <c r="Z204" s="1"/>
  <c r="Z232" s="1"/>
  <c r="Z233" s="1"/>
  <c r="G87"/>
  <c r="G79"/>
  <c r="C98"/>
  <c r="AE18" i="2"/>
  <c r="AE20" s="1"/>
  <c r="AE43" s="1"/>
  <c r="AE47" s="1"/>
  <c r="H538" i="7"/>
  <c r="G96"/>
  <c r="G88"/>
  <c r="AK568"/>
  <c r="AK571" s="1"/>
  <c r="AJ664"/>
  <c r="AF15" i="2"/>
  <c r="AF50"/>
  <c r="AF228"/>
  <c r="AF267"/>
  <c r="AF17"/>
  <c r="AF52"/>
  <c r="AF230"/>
  <c r="AF269"/>
  <c r="AI395"/>
  <c r="AI530" s="1"/>
  <c r="AI394"/>
  <c r="AI529" s="1"/>
  <c r="AI393"/>
  <c r="AI528" s="1"/>
  <c r="AI391"/>
  <c r="AI526" s="1"/>
  <c r="AI389"/>
  <c r="AI524" s="1"/>
  <c r="AI396"/>
  <c r="AI531" s="1"/>
  <c r="AI392"/>
  <c r="AI527" s="1"/>
  <c r="AI390"/>
  <c r="AI525" s="1"/>
  <c r="AI388"/>
  <c r="AI523" s="1"/>
  <c r="AI387"/>
  <c r="AI522" s="1"/>
  <c r="AG71"/>
  <c r="AI361"/>
  <c r="AI496" s="1"/>
  <c r="AI362"/>
  <c r="AI497" s="1"/>
  <c r="AI363"/>
  <c r="AI498" s="1"/>
  <c r="AI364"/>
  <c r="AI499" s="1"/>
  <c r="AI365"/>
  <c r="AI500" s="1"/>
  <c r="AI366"/>
  <c r="AI501" s="1"/>
  <c r="AI367"/>
  <c r="AI502" s="1"/>
  <c r="AI368"/>
  <c r="AI503" s="1"/>
  <c r="AI369"/>
  <c r="AI504" s="1"/>
  <c r="AI370"/>
  <c r="AI505" s="1"/>
  <c r="AI5"/>
  <c r="AI722"/>
  <c r="AI720"/>
  <c r="AI718"/>
  <c r="AI716"/>
  <c r="AI714"/>
  <c r="AI690"/>
  <c r="AI688"/>
  <c r="AI721"/>
  <c r="AI719"/>
  <c r="AI717"/>
  <c r="AI715"/>
  <c r="AI713"/>
  <c r="AI689"/>
  <c r="AI686"/>
  <c r="AI684"/>
  <c r="AI682"/>
  <c r="AI658"/>
  <c r="AI656"/>
  <c r="AI654"/>
  <c r="AI652"/>
  <c r="AI650"/>
  <c r="AI730"/>
  <c r="AI732"/>
  <c r="AI685"/>
  <c r="AI681"/>
  <c r="AI657"/>
  <c r="AI653"/>
  <c r="AI687"/>
  <c r="AI683"/>
  <c r="AI655"/>
  <c r="AI651"/>
  <c r="AI728"/>
  <c r="AI731"/>
  <c r="AI649"/>
  <c r="AI725"/>
  <c r="AI733"/>
  <c r="AI693"/>
  <c r="AI697"/>
  <c r="AI699"/>
  <c r="AI701"/>
  <c r="AI729"/>
  <c r="AI734"/>
  <c r="AI694"/>
  <c r="AI698"/>
  <c r="AI700"/>
  <c r="AI702"/>
  <c r="AH691"/>
  <c r="AH676" s="1"/>
  <c r="AH69" s="1"/>
  <c r="AH723"/>
  <c r="AH708" s="1"/>
  <c r="AH70" s="1"/>
  <c r="AH61"/>
  <c r="AI661"/>
  <c r="AI33"/>
  <c r="AI35" s="1"/>
  <c r="AI37" s="1"/>
  <c r="AI39" s="1"/>
  <c r="AI548"/>
  <c r="AI549" s="1"/>
  <c r="AI554"/>
  <c r="AI555" s="1"/>
  <c r="AI633"/>
  <c r="AI618"/>
  <c r="AI55" s="1"/>
  <c r="AI608"/>
  <c r="AI619" s="1"/>
  <c r="AI623" s="1"/>
  <c r="AI631"/>
  <c r="AI602"/>
  <c r="AI609"/>
  <c r="AI601"/>
  <c r="AJ11"/>
  <c r="AI313"/>
  <c r="AI315"/>
  <c r="AI317"/>
  <c r="AI316"/>
  <c r="AI448"/>
  <c r="AI450"/>
  <c r="AI452"/>
  <c r="AI624"/>
  <c r="AI314"/>
  <c r="AI318"/>
  <c r="AI447"/>
  <c r="AI449"/>
  <c r="AI451"/>
  <c r="AI19"/>
  <c r="AG117"/>
  <c r="AD238"/>
  <c r="AD202"/>
  <c r="AF116"/>
  <c r="W614"/>
  <c r="W80"/>
  <c r="W81" s="1"/>
  <c r="AI662"/>
  <c r="AI664"/>
  <c r="AI667"/>
  <c r="AI668"/>
  <c r="AI669"/>
  <c r="AI670"/>
  <c r="AI666"/>
  <c r="AF105"/>
  <c r="AF53"/>
  <c r="AH54"/>
  <c r="AH239"/>
  <c r="AH203"/>
  <c r="AI465"/>
  <c r="AH466"/>
  <c r="AI331"/>
  <c r="AI336"/>
  <c r="AI470" s="1"/>
  <c r="AI337"/>
  <c r="AI471" s="1"/>
  <c r="AI338"/>
  <c r="AI472" s="1"/>
  <c r="AI339"/>
  <c r="AI473" s="1"/>
  <c r="AI340"/>
  <c r="AI474" s="1"/>
  <c r="AI341"/>
  <c r="AI475" s="1"/>
  <c r="AI342"/>
  <c r="AI476" s="1"/>
  <c r="AI343"/>
  <c r="AI477" s="1"/>
  <c r="AI344"/>
  <c r="AI478" s="1"/>
  <c r="AI345"/>
  <c r="AI479" s="1"/>
  <c r="AH332"/>
  <c r="AH639"/>
  <c r="AI636" s="1"/>
  <c r="AH62"/>
  <c r="AI739"/>
  <c r="AI638"/>
  <c r="AH659"/>
  <c r="AH644" s="1"/>
  <c r="AH68" s="1"/>
  <c r="AF630"/>
  <c r="AG550"/>
  <c r="AG551" s="1"/>
  <c r="AG103" s="1"/>
  <c r="AG244" s="1"/>
  <c r="AG556"/>
  <c r="AG557" s="1"/>
  <c r="AG104" s="1"/>
  <c r="AI23"/>
  <c r="AI26"/>
  <c r="AI30"/>
  <c r="AI40"/>
  <c r="AH240"/>
  <c r="AH204"/>
  <c r="AF266"/>
  <c r="AF227"/>
  <c r="AF268"/>
  <c r="AF229"/>
  <c r="AE270"/>
  <c r="AE271" s="1"/>
  <c r="AE231"/>
  <c r="AE232" s="1"/>
  <c r="AF597"/>
  <c r="AG594"/>
  <c r="AG595" s="1"/>
  <c r="AG586"/>
  <c r="AG587" s="1"/>
  <c r="AG582"/>
  <c r="AG583" s="1"/>
  <c r="AG590"/>
  <c r="AG591" s="1"/>
  <c r="AG51" s="1"/>
  <c r="AI622"/>
  <c r="AI632"/>
  <c r="AH27"/>
  <c r="X617"/>
  <c r="AG29"/>
  <c r="AG31" s="1"/>
  <c r="AG41" s="1"/>
  <c r="AJ2"/>
  <c r="AI25"/>
  <c r="AH10"/>
  <c r="AH12" s="1"/>
  <c r="F247" i="7" l="1"/>
  <c r="AE247"/>
  <c r="AD247"/>
  <c r="V247"/>
  <c r="R247"/>
  <c r="P247"/>
  <c r="AB247"/>
  <c r="B249"/>
  <c r="I247"/>
  <c r="O247"/>
  <c r="AN247"/>
  <c r="L247"/>
  <c r="K247"/>
  <c r="Y247"/>
  <c r="W247"/>
  <c r="J247"/>
  <c r="AL247"/>
  <c r="E247"/>
  <c r="Q213"/>
  <c r="D253"/>
  <c r="D131" s="1"/>
  <c r="D132" s="1"/>
  <c r="D160" s="1"/>
  <c r="D161" s="1"/>
  <c r="D107" s="1"/>
  <c r="AF380"/>
  <c r="AO380"/>
  <c r="P380"/>
  <c r="Y380"/>
  <c r="AN380"/>
  <c r="X380"/>
  <c r="H380"/>
  <c r="AG380"/>
  <c r="Q380"/>
  <c r="B247"/>
  <c r="X101" i="8"/>
  <c r="Y242"/>
  <c r="Y270" s="1"/>
  <c r="Y271" s="1"/>
  <c r="Y99" s="1"/>
  <c r="Y100" s="1"/>
  <c r="W381" i="7"/>
  <c r="D381"/>
  <c r="M381"/>
  <c r="AF381"/>
  <c r="P381"/>
  <c r="AE381"/>
  <c r="AP381"/>
  <c r="R381"/>
  <c r="AG381"/>
  <c r="N381"/>
  <c r="AK381"/>
  <c r="E381"/>
  <c r="AB381"/>
  <c r="L381"/>
  <c r="AO381"/>
  <c r="AL381"/>
  <c r="J381"/>
  <c r="I381"/>
  <c r="F381"/>
  <c r="AM381"/>
  <c r="AA381"/>
  <c r="AC381"/>
  <c r="AN381"/>
  <c r="X381"/>
  <c r="H381"/>
  <c r="Y381"/>
  <c r="AD381"/>
  <c r="S381"/>
  <c r="AH381"/>
  <c r="C381"/>
  <c r="U381"/>
  <c r="AJ381"/>
  <c r="T381"/>
  <c r="K381"/>
  <c r="Q381"/>
  <c r="V381"/>
  <c r="O381"/>
  <c r="Z381"/>
  <c r="AI381"/>
  <c r="G381"/>
  <c r="P347"/>
  <c r="C386" s="1"/>
  <c r="B386" s="1"/>
  <c r="I380"/>
  <c r="I387" s="1"/>
  <c r="I167" s="1"/>
  <c r="AJ380"/>
  <c r="AB380"/>
  <c r="T380"/>
  <c r="L380"/>
  <c r="L387" s="1"/>
  <c r="L167" s="1"/>
  <c r="D380"/>
  <c r="AK380"/>
  <c r="AC380"/>
  <c r="U380"/>
  <c r="M380"/>
  <c r="M387" s="1"/>
  <c r="M167" s="1"/>
  <c r="E380"/>
  <c r="E387" s="1"/>
  <c r="E167" s="1"/>
  <c r="AO246"/>
  <c r="AO253" s="1"/>
  <c r="AG246"/>
  <c r="AG253" s="1"/>
  <c r="AK246"/>
  <c r="AK253" s="1"/>
  <c r="AC246"/>
  <c r="AC253" s="1"/>
  <c r="AC131" s="1"/>
  <c r="AC132" s="1"/>
  <c r="AC160" s="1"/>
  <c r="AC161" s="1"/>
  <c r="AC107" s="1"/>
  <c r="AP380"/>
  <c r="AL380"/>
  <c r="AH380"/>
  <c r="AD380"/>
  <c r="Z380"/>
  <c r="V380"/>
  <c r="R380"/>
  <c r="N380"/>
  <c r="N387" s="1"/>
  <c r="N167" s="1"/>
  <c r="J380"/>
  <c r="J387" s="1"/>
  <c r="J167" s="1"/>
  <c r="F380"/>
  <c r="Q347"/>
  <c r="AM380"/>
  <c r="AM387" s="1"/>
  <c r="AI380"/>
  <c r="AE380"/>
  <c r="AE387" s="1"/>
  <c r="AE167" s="1"/>
  <c r="AA380"/>
  <c r="W380"/>
  <c r="S380"/>
  <c r="O380"/>
  <c r="K380"/>
  <c r="G380"/>
  <c r="AM246"/>
  <c r="AM253" s="1"/>
  <c r="AI246"/>
  <c r="AI253" s="1"/>
  <c r="AE246"/>
  <c r="AE253" s="1"/>
  <c r="AE131" s="1"/>
  <c r="AE132" s="1"/>
  <c r="AE160" s="1"/>
  <c r="AE161" s="1"/>
  <c r="AE107" s="1"/>
  <c r="Y246"/>
  <c r="Y253" s="1"/>
  <c r="Y131" s="1"/>
  <c r="Y132" s="1"/>
  <c r="Y160" s="1"/>
  <c r="Y161" s="1"/>
  <c r="Y107" s="1"/>
  <c r="AA246"/>
  <c r="AA253" s="1"/>
  <c r="AA131" s="1"/>
  <c r="AA132" s="1"/>
  <c r="AA160" s="1"/>
  <c r="AA161" s="1"/>
  <c r="AA107" s="1"/>
  <c r="Q246"/>
  <c r="Q253" s="1"/>
  <c r="Q131" s="1"/>
  <c r="U246"/>
  <c r="U253" s="1"/>
  <c r="U131" s="1"/>
  <c r="K246"/>
  <c r="K253" s="1"/>
  <c r="K131" s="1"/>
  <c r="W246"/>
  <c r="S246"/>
  <c r="S253" s="1"/>
  <c r="S131" s="1"/>
  <c r="O246"/>
  <c r="O253" s="1"/>
  <c r="O131" s="1"/>
  <c r="E246"/>
  <c r="E253" s="1"/>
  <c r="E131" s="1"/>
  <c r="E132" s="1"/>
  <c r="E160" s="1"/>
  <c r="E161" s="1"/>
  <c r="E168" s="1"/>
  <c r="M246"/>
  <c r="M253" s="1"/>
  <c r="M131" s="1"/>
  <c r="I246"/>
  <c r="I253" s="1"/>
  <c r="I131" s="1"/>
  <c r="AL246"/>
  <c r="AL253" s="1"/>
  <c r="G246"/>
  <c r="G253" s="1"/>
  <c r="G131" s="1"/>
  <c r="G132" s="1"/>
  <c r="G160" s="1"/>
  <c r="G161" s="1"/>
  <c r="AP246"/>
  <c r="AP253" s="1"/>
  <c r="AF246"/>
  <c r="AF253" s="1"/>
  <c r="AF131" s="1"/>
  <c r="AF132" s="1"/>
  <c r="AF160" s="1"/>
  <c r="AF161" s="1"/>
  <c r="AF168" s="1"/>
  <c r="C246"/>
  <c r="C253" s="1"/>
  <c r="AN246"/>
  <c r="AN253" s="1"/>
  <c r="AJ246"/>
  <c r="AJ253" s="1"/>
  <c r="X246"/>
  <c r="X253" s="1"/>
  <c r="X131" s="1"/>
  <c r="X132" s="1"/>
  <c r="X160" s="1"/>
  <c r="X161" s="1"/>
  <c r="X168" s="1"/>
  <c r="AH246"/>
  <c r="AH253" s="1"/>
  <c r="AB246"/>
  <c r="AB253" s="1"/>
  <c r="AB131" s="1"/>
  <c r="AB132" s="1"/>
  <c r="AB160" s="1"/>
  <c r="AB161" s="1"/>
  <c r="AB168" s="1"/>
  <c r="T246"/>
  <c r="T253" s="1"/>
  <c r="T131" s="1"/>
  <c r="AD246"/>
  <c r="AD253" s="1"/>
  <c r="AD131" s="1"/>
  <c r="AD132" s="1"/>
  <c r="AD160" s="1"/>
  <c r="AD161" s="1"/>
  <c r="AD168" s="1"/>
  <c r="Z246"/>
  <c r="Z253" s="1"/>
  <c r="Z131" s="1"/>
  <c r="Z132" s="1"/>
  <c r="Z160" s="1"/>
  <c r="Z161" s="1"/>
  <c r="Z107" s="1"/>
  <c r="V246"/>
  <c r="V253" s="1"/>
  <c r="V131" s="1"/>
  <c r="R246"/>
  <c r="R253" s="1"/>
  <c r="R131" s="1"/>
  <c r="P246"/>
  <c r="P253" s="1"/>
  <c r="P131" s="1"/>
  <c r="N246"/>
  <c r="N253" s="1"/>
  <c r="N131" s="1"/>
  <c r="L246"/>
  <c r="L253" s="1"/>
  <c r="L131" s="1"/>
  <c r="J246"/>
  <c r="J253" s="1"/>
  <c r="J131" s="1"/>
  <c r="H246"/>
  <c r="H253" s="1"/>
  <c r="H131" s="1"/>
  <c r="F246"/>
  <c r="F253" s="1"/>
  <c r="F131" s="1"/>
  <c r="F132" s="1"/>
  <c r="F160" s="1"/>
  <c r="F161" s="1"/>
  <c r="F107" s="1"/>
  <c r="D168"/>
  <c r="AJ205" i="2"/>
  <c r="AJ604"/>
  <c r="AJ605"/>
  <c r="AJ593"/>
  <c r="AJ589"/>
  <c r="AJ585"/>
  <c r="AJ581"/>
  <c r="AJ241"/>
  <c r="AI606"/>
  <c r="AI607" s="1"/>
  <c r="Z142" i="10"/>
  <c r="Z154" s="1"/>
  <c r="Z80"/>
  <c r="Z81" s="1"/>
  <c r="Z95" s="1"/>
  <c r="Y300"/>
  <c r="Z284"/>
  <c r="Z300" s="1"/>
  <c r="AA74"/>
  <c r="AA76" s="1"/>
  <c r="Z220"/>
  <c r="Z248" s="1"/>
  <c r="AG49" i="2"/>
  <c r="AG14"/>
  <c r="AA101" i="10"/>
  <c r="AA110"/>
  <c r="Z109"/>
  <c r="Z101"/>
  <c r="AB50"/>
  <c r="AB281"/>
  <c r="AB297" s="1"/>
  <c r="Y79" i="8"/>
  <c r="Y87"/>
  <c r="Y88" s="1"/>
  <c r="Z49"/>
  <c r="Z73" s="1"/>
  <c r="Z78" s="1"/>
  <c r="AA122" i="10"/>
  <c r="AC49"/>
  <c r="AA123"/>
  <c r="AD649"/>
  <c r="AD652" s="1"/>
  <c r="AC745"/>
  <c r="AD746" s="1"/>
  <c r="AA700" i="8"/>
  <c r="AB701" s="1"/>
  <c r="AB604"/>
  <c r="AB607" s="1"/>
  <c r="Z98"/>
  <c r="Z239"/>
  <c r="AA237"/>
  <c r="AA48"/>
  <c r="AA202"/>
  <c r="AA204" s="1"/>
  <c r="AA232" s="1"/>
  <c r="AA233" s="1"/>
  <c r="G88"/>
  <c r="G101" s="1"/>
  <c r="H204"/>
  <c r="H232" s="1"/>
  <c r="H233" s="1"/>
  <c r="C100"/>
  <c r="C101" s="1"/>
  <c r="AL568" i="7"/>
  <c r="AL571" s="1"/>
  <c r="AK664"/>
  <c r="G97"/>
  <c r="H166"/>
  <c r="H130"/>
  <c r="H55"/>
  <c r="H56" s="1"/>
  <c r="H543"/>
  <c r="AF18" i="2"/>
  <c r="AF20" s="1"/>
  <c r="AF43" s="1"/>
  <c r="AG17"/>
  <c r="AG52"/>
  <c r="AG230"/>
  <c r="AG269"/>
  <c r="AG15"/>
  <c r="AG50"/>
  <c r="AG53" s="1"/>
  <c r="AG228"/>
  <c r="AG267"/>
  <c r="AJ396"/>
  <c r="AJ531" s="1"/>
  <c r="AJ394"/>
  <c r="AJ529" s="1"/>
  <c r="AJ395"/>
  <c r="AJ530" s="1"/>
  <c r="AJ392"/>
  <c r="AJ527" s="1"/>
  <c r="AJ390"/>
  <c r="AJ525" s="1"/>
  <c r="AJ388"/>
  <c r="AJ523" s="1"/>
  <c r="AJ387"/>
  <c r="AJ522" s="1"/>
  <c r="AJ393"/>
  <c r="AJ528" s="1"/>
  <c r="AJ391"/>
  <c r="AJ526" s="1"/>
  <c r="AJ389"/>
  <c r="AJ524" s="1"/>
  <c r="AH71"/>
  <c r="AJ361"/>
  <c r="AJ496" s="1"/>
  <c r="AJ362"/>
  <c r="AJ497" s="1"/>
  <c r="AJ363"/>
  <c r="AJ498" s="1"/>
  <c r="AJ364"/>
  <c r="AJ499" s="1"/>
  <c r="AJ365"/>
  <c r="AJ500" s="1"/>
  <c r="AJ366"/>
  <c r="AJ501" s="1"/>
  <c r="AJ367"/>
  <c r="AJ502" s="1"/>
  <c r="AJ368"/>
  <c r="AJ503" s="1"/>
  <c r="AJ369"/>
  <c r="AJ504" s="1"/>
  <c r="AJ370"/>
  <c r="AJ505" s="1"/>
  <c r="AJ5"/>
  <c r="AJ721"/>
  <c r="AJ719"/>
  <c r="AJ717"/>
  <c r="AJ715"/>
  <c r="AJ713"/>
  <c r="AJ689"/>
  <c r="AJ722"/>
  <c r="AJ720"/>
  <c r="AJ718"/>
  <c r="AJ716"/>
  <c r="AJ714"/>
  <c r="AJ690"/>
  <c r="AJ688"/>
  <c r="AJ687"/>
  <c r="AJ685"/>
  <c r="AJ683"/>
  <c r="AJ681"/>
  <c r="AJ657"/>
  <c r="AJ655"/>
  <c r="AJ653"/>
  <c r="AJ651"/>
  <c r="AJ649"/>
  <c r="AJ725"/>
  <c r="AJ728"/>
  <c r="AJ729"/>
  <c r="AJ731"/>
  <c r="AJ733"/>
  <c r="AJ686"/>
  <c r="AJ682"/>
  <c r="AJ658"/>
  <c r="AJ654"/>
  <c r="AJ684"/>
  <c r="AJ656"/>
  <c r="AJ652"/>
  <c r="AJ732"/>
  <c r="AJ650"/>
  <c r="AJ734"/>
  <c r="AJ694"/>
  <c r="AJ698"/>
  <c r="AJ700"/>
  <c r="AJ730"/>
  <c r="AJ693"/>
  <c r="AJ697"/>
  <c r="AJ699"/>
  <c r="AJ701"/>
  <c r="AJ702"/>
  <c r="AI691"/>
  <c r="AI676" s="1"/>
  <c r="AI69" s="1"/>
  <c r="AI723"/>
  <c r="AI708" s="1"/>
  <c r="AI70" s="1"/>
  <c r="AI61"/>
  <c r="AJ661"/>
  <c r="AJ33"/>
  <c r="AJ35" s="1"/>
  <c r="AJ37" s="1"/>
  <c r="AJ39" s="1"/>
  <c r="AJ548"/>
  <c r="AJ549" s="1"/>
  <c r="AJ554"/>
  <c r="AJ555" s="1"/>
  <c r="AJ631"/>
  <c r="AJ602"/>
  <c r="AJ609"/>
  <c r="AJ601"/>
  <c r="AJ633"/>
  <c r="AJ618"/>
  <c r="AJ55" s="1"/>
  <c r="AJ608"/>
  <c r="AJ619" s="1"/>
  <c r="AJ623" s="1"/>
  <c r="AK11"/>
  <c r="AJ314"/>
  <c r="AJ316"/>
  <c r="AJ318"/>
  <c r="AJ447"/>
  <c r="AJ448"/>
  <c r="AJ449"/>
  <c r="AJ450"/>
  <c r="AJ451"/>
  <c r="AJ452"/>
  <c r="AJ624"/>
  <c r="AJ313"/>
  <c r="AJ317"/>
  <c r="AJ315"/>
  <c r="AH117"/>
  <c r="AJ19"/>
  <c r="AE202"/>
  <c r="AG116"/>
  <c r="AE238"/>
  <c r="X614"/>
  <c r="X80"/>
  <c r="X81" s="1"/>
  <c r="AJ666"/>
  <c r="AJ662"/>
  <c r="AJ664"/>
  <c r="AJ667"/>
  <c r="AJ668"/>
  <c r="AJ669"/>
  <c r="AJ670"/>
  <c r="AG105"/>
  <c r="AI54"/>
  <c r="AI239"/>
  <c r="AI203"/>
  <c r="AJ465"/>
  <c r="AI466"/>
  <c r="AJ331"/>
  <c r="AJ336"/>
  <c r="AJ470" s="1"/>
  <c r="AJ337"/>
  <c r="AJ471" s="1"/>
  <c r="AJ338"/>
  <c r="AJ472" s="1"/>
  <c r="AJ339"/>
  <c r="AJ473" s="1"/>
  <c r="AJ340"/>
  <c r="AJ474" s="1"/>
  <c r="AJ341"/>
  <c r="AJ475" s="1"/>
  <c r="AJ342"/>
  <c r="AJ476" s="1"/>
  <c r="AJ343"/>
  <c r="AJ477" s="1"/>
  <c r="AJ344"/>
  <c r="AJ478" s="1"/>
  <c r="AJ345"/>
  <c r="AJ479" s="1"/>
  <c r="AI332"/>
  <c r="AI639"/>
  <c r="AJ636" s="1"/>
  <c r="AI62"/>
  <c r="AJ739"/>
  <c r="AJ638"/>
  <c r="AI659"/>
  <c r="AI644" s="1"/>
  <c r="AI68" s="1"/>
  <c r="AG630"/>
  <c r="AH550"/>
  <c r="AH551" s="1"/>
  <c r="AH103" s="1"/>
  <c r="AH244" s="1"/>
  <c r="AH556"/>
  <c r="AH557" s="1"/>
  <c r="AH104" s="1"/>
  <c r="AJ40"/>
  <c r="AJ23"/>
  <c r="AJ26"/>
  <c r="AJ30"/>
  <c r="AI240"/>
  <c r="AI204"/>
  <c r="AG266"/>
  <c r="AG227"/>
  <c r="AF270"/>
  <c r="AF271" s="1"/>
  <c r="AG268"/>
  <c r="AG229"/>
  <c r="AF231"/>
  <c r="AF232" s="1"/>
  <c r="AG18"/>
  <c r="AG20" s="1"/>
  <c r="AG597"/>
  <c r="AH590"/>
  <c r="AH591" s="1"/>
  <c r="AH51" s="1"/>
  <c r="AH594"/>
  <c r="AH595" s="1"/>
  <c r="AH586"/>
  <c r="AH587" s="1"/>
  <c r="AH582"/>
  <c r="AH583" s="1"/>
  <c r="AJ632"/>
  <c r="AJ622"/>
  <c r="AI10"/>
  <c r="AI12" s="1"/>
  <c r="AI27"/>
  <c r="AK2"/>
  <c r="AJ25"/>
  <c r="AH29"/>
  <c r="AH31" s="1"/>
  <c r="AH41" s="1"/>
  <c r="W253" i="7" l="1"/>
  <c r="W131" s="1"/>
  <c r="W132" s="1"/>
  <c r="W160" s="1"/>
  <c r="W161" s="1"/>
  <c r="W168" s="1"/>
  <c r="AH387"/>
  <c r="AP387"/>
  <c r="H387"/>
  <c r="H167" s="1"/>
  <c r="AL387"/>
  <c r="AA387"/>
  <c r="AA167" s="1"/>
  <c r="V387"/>
  <c r="V167" s="1"/>
  <c r="AE168"/>
  <c r="AE171" s="1"/>
  <c r="AE199" s="1"/>
  <c r="AE200" s="1"/>
  <c r="AE108" s="1"/>
  <c r="AE109" s="1"/>
  <c r="AE110" s="1"/>
  <c r="G387"/>
  <c r="G167" s="1"/>
  <c r="Q387"/>
  <c r="Q167" s="1"/>
  <c r="AN387"/>
  <c r="P387"/>
  <c r="P167" s="1"/>
  <c r="AF387"/>
  <c r="AF167" s="1"/>
  <c r="AF171" s="1"/>
  <c r="AF199" s="1"/>
  <c r="AF200" s="1"/>
  <c r="AF108" s="1"/>
  <c r="X387"/>
  <c r="X167" s="1"/>
  <c r="X171" s="1"/>
  <c r="X199" s="1"/>
  <c r="X200" s="1"/>
  <c r="X108" s="1"/>
  <c r="Y387"/>
  <c r="Y167" s="1"/>
  <c r="AO387"/>
  <c r="AI387"/>
  <c r="AG387"/>
  <c r="AC168"/>
  <c r="Z387"/>
  <c r="Z167" s="1"/>
  <c r="T387"/>
  <c r="T167" s="1"/>
  <c r="B381"/>
  <c r="O387"/>
  <c r="O167" s="1"/>
  <c r="W387"/>
  <c r="W167" s="1"/>
  <c r="W171" s="1"/>
  <c r="W199" s="1"/>
  <c r="W200" s="1"/>
  <c r="W108" s="1"/>
  <c r="F387"/>
  <c r="F167" s="1"/>
  <c r="AD387"/>
  <c r="AD167" s="1"/>
  <c r="AD171" s="1"/>
  <c r="AD199" s="1"/>
  <c r="AD200" s="1"/>
  <c r="AD108" s="1"/>
  <c r="U387"/>
  <c r="U167" s="1"/>
  <c r="AK387"/>
  <c r="AB387"/>
  <c r="AB167" s="1"/>
  <c r="AB171" s="1"/>
  <c r="AB199" s="1"/>
  <c r="AB200" s="1"/>
  <c r="AB108" s="1"/>
  <c r="C387"/>
  <c r="C167" s="1"/>
  <c r="E171"/>
  <c r="E199" s="1"/>
  <c r="E200" s="1"/>
  <c r="E108" s="1"/>
  <c r="Z242" i="8"/>
  <c r="Z270" s="1"/>
  <c r="Z271" s="1"/>
  <c r="Z99" s="1"/>
  <c r="Z100" s="1"/>
  <c r="W107" i="7"/>
  <c r="K387"/>
  <c r="K167" s="1"/>
  <c r="S387"/>
  <c r="S167" s="1"/>
  <c r="R387"/>
  <c r="R167" s="1"/>
  <c r="AC387"/>
  <c r="AC167" s="1"/>
  <c r="D387"/>
  <c r="D167" s="1"/>
  <c r="AJ387"/>
  <c r="Y168"/>
  <c r="AD107"/>
  <c r="Y101" i="8"/>
  <c r="AA168" i="7"/>
  <c r="Z168"/>
  <c r="AB107"/>
  <c r="B380"/>
  <c r="E107"/>
  <c r="X107"/>
  <c r="AF107"/>
  <c r="G168"/>
  <c r="G107"/>
  <c r="F168"/>
  <c r="H132"/>
  <c r="H160" s="1"/>
  <c r="H161" s="1"/>
  <c r="H107" s="1"/>
  <c r="B246"/>
  <c r="B253"/>
  <c r="C131"/>
  <c r="C132" s="1"/>
  <c r="C160" s="1"/>
  <c r="C161" s="1"/>
  <c r="AJ606" i="2"/>
  <c r="AJ607" s="1"/>
  <c r="AK205"/>
  <c r="AK604"/>
  <c r="AK605"/>
  <c r="AK593"/>
  <c r="AK589"/>
  <c r="AK585"/>
  <c r="AK581"/>
  <c r="AK241"/>
  <c r="AA142" i="10"/>
  <c r="AA154" s="1"/>
  <c r="AA80"/>
  <c r="AA81" s="1"/>
  <c r="AA95" s="1"/>
  <c r="AA284"/>
  <c r="AB74"/>
  <c r="AB76" s="1"/>
  <c r="AA220"/>
  <c r="AA248" s="1"/>
  <c r="AH49" i="2"/>
  <c r="AH14"/>
  <c r="Z110" i="10"/>
  <c r="Z123" s="1"/>
  <c r="AB101"/>
  <c r="AC50"/>
  <c r="AC74" s="1"/>
  <c r="AC76" s="1"/>
  <c r="AC80" s="1"/>
  <c r="AC81" s="1"/>
  <c r="AC95" s="1"/>
  <c r="AC281"/>
  <c r="AC297" s="1"/>
  <c r="Z87" i="8"/>
  <c r="Z88" s="1"/>
  <c r="Z79"/>
  <c r="AA49"/>
  <c r="AA73" s="1"/>
  <c r="AA78" s="1"/>
  <c r="AE649" i="10"/>
  <c r="AE652" s="1"/>
  <c r="AD745"/>
  <c r="AE746" s="1"/>
  <c r="AB122"/>
  <c r="AD49"/>
  <c r="AB700" i="8"/>
  <c r="AC701" s="1"/>
  <c r="AC604"/>
  <c r="AC607" s="1"/>
  <c r="AA98"/>
  <c r="AA239"/>
  <c r="AB202"/>
  <c r="AB204" s="1"/>
  <c r="AB232" s="1"/>
  <c r="AB233" s="1"/>
  <c r="AB237"/>
  <c r="AB48"/>
  <c r="H72"/>
  <c r="H73" s="1"/>
  <c r="H78" s="1"/>
  <c r="H239"/>
  <c r="H98"/>
  <c r="H540" i="7"/>
  <c r="H541" s="1"/>
  <c r="I544" s="1"/>
  <c r="H80"/>
  <c r="H81" s="1"/>
  <c r="H82" s="1"/>
  <c r="H87" s="1"/>
  <c r="AM568"/>
  <c r="AM571" s="1"/>
  <c r="AL664"/>
  <c r="AH17" i="2"/>
  <c r="AH52"/>
  <c r="AH230"/>
  <c r="AH269"/>
  <c r="AH15"/>
  <c r="AH18" s="1"/>
  <c r="AH20" s="1"/>
  <c r="AH50"/>
  <c r="AH228"/>
  <c r="AH267"/>
  <c r="AI71"/>
  <c r="AK395"/>
  <c r="AK530" s="1"/>
  <c r="AK396"/>
  <c r="AK531" s="1"/>
  <c r="AK393"/>
  <c r="AK528" s="1"/>
  <c r="AK391"/>
  <c r="AK526" s="1"/>
  <c r="AK389"/>
  <c r="AK524" s="1"/>
  <c r="AK394"/>
  <c r="AK529" s="1"/>
  <c r="AK392"/>
  <c r="AK527" s="1"/>
  <c r="AK390"/>
  <c r="AK525" s="1"/>
  <c r="AK388"/>
  <c r="AK523" s="1"/>
  <c r="AK387"/>
  <c r="AK522" s="1"/>
  <c r="AK361"/>
  <c r="AK496" s="1"/>
  <c r="AK362"/>
  <c r="AK497" s="1"/>
  <c r="AK363"/>
  <c r="AK498" s="1"/>
  <c r="AK364"/>
  <c r="AK499" s="1"/>
  <c r="AK365"/>
  <c r="AK500" s="1"/>
  <c r="AK366"/>
  <c r="AK501" s="1"/>
  <c r="AK367"/>
  <c r="AK502" s="1"/>
  <c r="AK368"/>
  <c r="AK503" s="1"/>
  <c r="AK369"/>
  <c r="AK504" s="1"/>
  <c r="AK370"/>
  <c r="AK505" s="1"/>
  <c r="AK5"/>
  <c r="AK722"/>
  <c r="AK720"/>
  <c r="AK718"/>
  <c r="AK716"/>
  <c r="AK714"/>
  <c r="AK690"/>
  <c r="AK688"/>
  <c r="AK721"/>
  <c r="AK719"/>
  <c r="AK717"/>
  <c r="AK715"/>
  <c r="AK713"/>
  <c r="AK689"/>
  <c r="AK686"/>
  <c r="AK684"/>
  <c r="AK682"/>
  <c r="AK658"/>
  <c r="AK656"/>
  <c r="AK654"/>
  <c r="AK652"/>
  <c r="AK650"/>
  <c r="AK730"/>
  <c r="AK732"/>
  <c r="AK687"/>
  <c r="AK683"/>
  <c r="AK655"/>
  <c r="AK651"/>
  <c r="AK685"/>
  <c r="AK681"/>
  <c r="AK657"/>
  <c r="AK653"/>
  <c r="AK649"/>
  <c r="AK725"/>
  <c r="AK729"/>
  <c r="AK733"/>
  <c r="AK728"/>
  <c r="AK693"/>
  <c r="AK697"/>
  <c r="AK699"/>
  <c r="AK701"/>
  <c r="AK731"/>
  <c r="AK734"/>
  <c r="AK694"/>
  <c r="AK698"/>
  <c r="AK700"/>
  <c r="AK702"/>
  <c r="AJ691"/>
  <c r="AJ676" s="1"/>
  <c r="AJ69" s="1"/>
  <c r="AJ723"/>
  <c r="AJ708" s="1"/>
  <c r="AJ70" s="1"/>
  <c r="AJ61"/>
  <c r="AK661"/>
  <c r="AK33"/>
  <c r="AK35" s="1"/>
  <c r="AK37" s="1"/>
  <c r="AK39" s="1"/>
  <c r="AK548"/>
  <c r="AK549" s="1"/>
  <c r="AK554"/>
  <c r="AK555" s="1"/>
  <c r="AK633"/>
  <c r="AK618"/>
  <c r="AK55" s="1"/>
  <c r="AK608"/>
  <c r="AK619" s="1"/>
  <c r="AK623" s="1"/>
  <c r="AK631"/>
  <c r="AK602"/>
  <c r="AK609"/>
  <c r="AK601"/>
  <c r="AL11"/>
  <c r="AK313"/>
  <c r="AK315"/>
  <c r="AK317"/>
  <c r="AK314"/>
  <c r="AK318"/>
  <c r="AK447"/>
  <c r="AK449"/>
  <c r="AK451"/>
  <c r="AK316"/>
  <c r="AK448"/>
  <c r="AK450"/>
  <c r="AK452"/>
  <c r="AK624"/>
  <c r="AK19"/>
  <c r="AI117"/>
  <c r="AF47"/>
  <c r="AF202"/>
  <c r="AF238"/>
  <c r="AH116"/>
  <c r="AG43"/>
  <c r="AK662"/>
  <c r="AK664"/>
  <c r="AK667"/>
  <c r="AK668"/>
  <c r="AK669"/>
  <c r="AK670"/>
  <c r="AK666"/>
  <c r="AH105"/>
  <c r="AJ54"/>
  <c r="AJ239"/>
  <c r="AJ203"/>
  <c r="AK465"/>
  <c r="AJ466"/>
  <c r="AK331"/>
  <c r="AK336"/>
  <c r="AK470" s="1"/>
  <c r="AK337"/>
  <c r="AK471" s="1"/>
  <c r="AK338"/>
  <c r="AK472" s="1"/>
  <c r="AK339"/>
  <c r="AK473" s="1"/>
  <c r="AK340"/>
  <c r="AK474" s="1"/>
  <c r="AK341"/>
  <c r="AK475" s="1"/>
  <c r="AK342"/>
  <c r="AK476" s="1"/>
  <c r="AK343"/>
  <c r="AK477" s="1"/>
  <c r="AK344"/>
  <c r="AK478" s="1"/>
  <c r="AK345"/>
  <c r="AK479" s="1"/>
  <c r="AJ332"/>
  <c r="AJ639"/>
  <c r="AK636" s="1"/>
  <c r="AJ62"/>
  <c r="AK739"/>
  <c r="AK638"/>
  <c r="AJ659"/>
  <c r="AJ644" s="1"/>
  <c r="AJ68" s="1"/>
  <c r="AH630"/>
  <c r="AI550"/>
  <c r="AI551" s="1"/>
  <c r="AI103" s="1"/>
  <c r="AI244" s="1"/>
  <c r="AI556"/>
  <c r="AI557" s="1"/>
  <c r="AI104" s="1"/>
  <c r="AK23"/>
  <c r="AK26"/>
  <c r="AK30"/>
  <c r="AK40"/>
  <c r="AJ240"/>
  <c r="AJ204"/>
  <c r="AH266"/>
  <c r="AH227"/>
  <c r="AH268"/>
  <c r="AH229"/>
  <c r="AG270"/>
  <c r="AG271" s="1"/>
  <c r="AG231"/>
  <c r="AG232" s="1"/>
  <c r="AH597"/>
  <c r="AI594"/>
  <c r="AI595" s="1"/>
  <c r="AI586"/>
  <c r="AI587" s="1"/>
  <c r="AI582"/>
  <c r="AI583" s="1"/>
  <c r="AI590"/>
  <c r="AI591" s="1"/>
  <c r="AI51" s="1"/>
  <c r="AK622"/>
  <c r="AK632"/>
  <c r="Y617"/>
  <c r="AI29"/>
  <c r="AI31" s="1"/>
  <c r="AI41" s="1"/>
  <c r="AJ27"/>
  <c r="AL2"/>
  <c r="AK25"/>
  <c r="AJ10"/>
  <c r="AJ12" s="1"/>
  <c r="AA171" i="7" l="1"/>
  <c r="AA199" s="1"/>
  <c r="AA200" s="1"/>
  <c r="AA108" s="1"/>
  <c r="AA109" s="1"/>
  <c r="AA110" s="1"/>
  <c r="F171"/>
  <c r="F199" s="1"/>
  <c r="F200" s="1"/>
  <c r="F108" s="1"/>
  <c r="F109" s="1"/>
  <c r="F110" s="1"/>
  <c r="G171"/>
  <c r="G199" s="1"/>
  <c r="G200" s="1"/>
  <c r="G108" s="1"/>
  <c r="G109" s="1"/>
  <c r="G110" s="1"/>
  <c r="Y171"/>
  <c r="Y199" s="1"/>
  <c r="Y200" s="1"/>
  <c r="Y108" s="1"/>
  <c r="Y109" s="1"/>
  <c r="Y110" s="1"/>
  <c r="AC171"/>
  <c r="AC199" s="1"/>
  <c r="AC200" s="1"/>
  <c r="AC108" s="1"/>
  <c r="AC109" s="1"/>
  <c r="AC110" s="1"/>
  <c r="Z171"/>
  <c r="Z199" s="1"/>
  <c r="Z200" s="1"/>
  <c r="Z108" s="1"/>
  <c r="Z109" s="1"/>
  <c r="Z110" s="1"/>
  <c r="AF109"/>
  <c r="AF110" s="1"/>
  <c r="W109"/>
  <c r="W110" s="1"/>
  <c r="AD109"/>
  <c r="AD110" s="1"/>
  <c r="D171"/>
  <c r="D199" s="1"/>
  <c r="D200" s="1"/>
  <c r="D108" s="1"/>
  <c r="D109" s="1"/>
  <c r="D110" s="1"/>
  <c r="H242" i="8"/>
  <c r="H270" s="1"/>
  <c r="H271" s="1"/>
  <c r="H99" s="1"/>
  <c r="H100" s="1"/>
  <c r="AA242"/>
  <c r="AA270" s="1"/>
  <c r="AA271" s="1"/>
  <c r="AA99" s="1"/>
  <c r="AA100" s="1"/>
  <c r="B387" i="7"/>
  <c r="X109"/>
  <c r="X110" s="1"/>
  <c r="AB109"/>
  <c r="AB110" s="1"/>
  <c r="E109"/>
  <c r="E110" s="1"/>
  <c r="H168"/>
  <c r="Z101" i="8"/>
  <c r="C107" i="7"/>
  <c r="C168"/>
  <c r="AL205" i="2"/>
  <c r="AL604"/>
  <c r="AL605"/>
  <c r="AL593"/>
  <c r="AL589"/>
  <c r="AL585"/>
  <c r="AL581"/>
  <c r="AL241"/>
  <c r="AK606"/>
  <c r="AK607" s="1"/>
  <c r="AB142" i="10"/>
  <c r="AB154" s="1"/>
  <c r="AB80"/>
  <c r="AB81" s="1"/>
  <c r="AB95" s="1"/>
  <c r="AH53" i="2"/>
  <c r="AA300" i="10"/>
  <c r="AB284"/>
  <c r="AB220"/>
  <c r="AB248" s="1"/>
  <c r="AI49" i="2"/>
  <c r="AI14"/>
  <c r="AC101" i="10"/>
  <c r="AC142"/>
  <c r="AC154" s="1"/>
  <c r="AB109"/>
  <c r="AB110" s="1"/>
  <c r="AB123" s="1"/>
  <c r="AC284"/>
  <c r="AC220"/>
  <c r="AC248" s="1"/>
  <c r="AD50"/>
  <c r="AD281"/>
  <c r="AD297" s="1"/>
  <c r="AD101"/>
  <c r="AA87" i="8"/>
  <c r="AA88" s="1"/>
  <c r="AA79"/>
  <c r="AC122" i="10"/>
  <c r="AE49"/>
  <c r="AB49" i="8"/>
  <c r="AB73" s="1"/>
  <c r="AB78" s="1"/>
  <c r="AD109" i="10"/>
  <c r="AF649"/>
  <c r="AF652" s="1"/>
  <c r="AE745"/>
  <c r="AF746" s="1"/>
  <c r="AC700" i="8"/>
  <c r="AD701" s="1"/>
  <c r="AD604"/>
  <c r="AD607" s="1"/>
  <c r="AB98"/>
  <c r="AB239"/>
  <c r="AC237"/>
  <c r="AC48"/>
  <c r="AC202"/>
  <c r="AC204" s="1"/>
  <c r="AC232" s="1"/>
  <c r="AC233" s="1"/>
  <c r="H87"/>
  <c r="H79"/>
  <c r="AN568" i="7"/>
  <c r="AN571" s="1"/>
  <c r="AM664"/>
  <c r="I538"/>
  <c r="H96"/>
  <c r="H88"/>
  <c r="AI15" i="2"/>
  <c r="AI50"/>
  <c r="AI228"/>
  <c r="AI267"/>
  <c r="AI17"/>
  <c r="AI52"/>
  <c r="AI230"/>
  <c r="AI269"/>
  <c r="AJ71"/>
  <c r="AL396"/>
  <c r="AL531" s="1"/>
  <c r="AL394"/>
  <c r="AL529" s="1"/>
  <c r="AL392"/>
  <c r="AL527" s="1"/>
  <c r="AL390"/>
  <c r="AL525" s="1"/>
  <c r="AL388"/>
  <c r="AL523" s="1"/>
  <c r="AL387"/>
  <c r="AL522" s="1"/>
  <c r="AL395"/>
  <c r="AL530" s="1"/>
  <c r="AL393"/>
  <c r="AL528" s="1"/>
  <c r="AL391"/>
  <c r="AL526" s="1"/>
  <c r="AL389"/>
  <c r="AL524" s="1"/>
  <c r="AL361"/>
  <c r="AL496" s="1"/>
  <c r="AL362"/>
  <c r="AL497" s="1"/>
  <c r="AL363"/>
  <c r="AL498" s="1"/>
  <c r="AL364"/>
  <c r="AL499" s="1"/>
  <c r="AL365"/>
  <c r="AL500" s="1"/>
  <c r="AL366"/>
  <c r="AL501" s="1"/>
  <c r="AL367"/>
  <c r="AL502" s="1"/>
  <c r="AL368"/>
  <c r="AL503" s="1"/>
  <c r="AL369"/>
  <c r="AL504" s="1"/>
  <c r="AL370"/>
  <c r="AL505" s="1"/>
  <c r="AL5"/>
  <c r="AL721"/>
  <c r="AL719"/>
  <c r="AL717"/>
  <c r="AL715"/>
  <c r="AL713"/>
  <c r="AL689"/>
  <c r="AL722"/>
  <c r="AL720"/>
  <c r="AL718"/>
  <c r="AL716"/>
  <c r="AL714"/>
  <c r="AL690"/>
  <c r="AL688"/>
  <c r="AL687"/>
  <c r="AL685"/>
  <c r="AL683"/>
  <c r="AL681"/>
  <c r="AL657"/>
  <c r="AL655"/>
  <c r="AL653"/>
  <c r="AL651"/>
  <c r="AL649"/>
  <c r="AL725"/>
  <c r="AL728"/>
  <c r="AL729"/>
  <c r="AL731"/>
  <c r="AL733"/>
  <c r="AL684"/>
  <c r="AL656"/>
  <c r="AL652"/>
  <c r="AL686"/>
  <c r="AL682"/>
  <c r="AL658"/>
  <c r="AL654"/>
  <c r="AL650"/>
  <c r="AL730"/>
  <c r="AL734"/>
  <c r="AL694"/>
  <c r="AL698"/>
  <c r="AL700"/>
  <c r="AL732"/>
  <c r="AL693"/>
  <c r="AL697"/>
  <c r="AL699"/>
  <c r="AL701"/>
  <c r="AL702"/>
  <c r="AK691"/>
  <c r="AK676" s="1"/>
  <c r="AK69" s="1"/>
  <c r="AK723"/>
  <c r="AK708" s="1"/>
  <c r="AK70" s="1"/>
  <c r="AK61"/>
  <c r="AL661"/>
  <c r="AL33"/>
  <c r="AL35" s="1"/>
  <c r="AL37" s="1"/>
  <c r="AL39" s="1"/>
  <c r="AL548"/>
  <c r="AL549" s="1"/>
  <c r="AL554"/>
  <c r="AL555" s="1"/>
  <c r="AL631"/>
  <c r="AL602"/>
  <c r="AL609"/>
  <c r="AL601"/>
  <c r="AL633"/>
  <c r="AL618"/>
  <c r="AL55" s="1"/>
  <c r="AL608"/>
  <c r="AL619" s="1"/>
  <c r="AL623" s="1"/>
  <c r="AM11"/>
  <c r="AL314"/>
  <c r="AL316"/>
  <c r="AL318"/>
  <c r="AL447"/>
  <c r="AL448"/>
  <c r="AL449"/>
  <c r="AL450"/>
  <c r="AL451"/>
  <c r="AL452"/>
  <c r="AL624"/>
  <c r="AL315"/>
  <c r="AL313"/>
  <c r="AL317"/>
  <c r="AJ117"/>
  <c r="AL19"/>
  <c r="AG47"/>
  <c r="AG56" s="1"/>
  <c r="AG238"/>
  <c r="AG202"/>
  <c r="AG206" s="1"/>
  <c r="AG234" s="1"/>
  <c r="AG235" s="1"/>
  <c r="AG107" s="1"/>
  <c r="AI116"/>
  <c r="AH43"/>
  <c r="AH47" s="1"/>
  <c r="AH56" s="1"/>
  <c r="Y614"/>
  <c r="Y80"/>
  <c r="Y81" s="1"/>
  <c r="AL662"/>
  <c r="AL664"/>
  <c r="AL667"/>
  <c r="AL668"/>
  <c r="AL669"/>
  <c r="AL670"/>
  <c r="AI105"/>
  <c r="AI53"/>
  <c r="AK54"/>
  <c r="AK239"/>
  <c r="AK203"/>
  <c r="AL465"/>
  <c r="AK466"/>
  <c r="AL331"/>
  <c r="AL336"/>
  <c r="AL470" s="1"/>
  <c r="AL337"/>
  <c r="AL471" s="1"/>
  <c r="AL338"/>
  <c r="AL472" s="1"/>
  <c r="AL339"/>
  <c r="AL473" s="1"/>
  <c r="AL340"/>
  <c r="AL474" s="1"/>
  <c r="AL341"/>
  <c r="AL475" s="1"/>
  <c r="AL342"/>
  <c r="AL476" s="1"/>
  <c r="AL343"/>
  <c r="AL477" s="1"/>
  <c r="AL344"/>
  <c r="AL478" s="1"/>
  <c r="AL345"/>
  <c r="AL479" s="1"/>
  <c r="AK332"/>
  <c r="AK639"/>
  <c r="AL636" s="1"/>
  <c r="AK62"/>
  <c r="AL739"/>
  <c r="AL638"/>
  <c r="AK659"/>
  <c r="AK644" s="1"/>
  <c r="AK68" s="1"/>
  <c r="AI630"/>
  <c r="AJ550"/>
  <c r="AJ551" s="1"/>
  <c r="AJ103" s="1"/>
  <c r="AJ244" s="1"/>
  <c r="AJ556"/>
  <c r="AJ557" s="1"/>
  <c r="AJ104" s="1"/>
  <c r="AL40"/>
  <c r="AL23"/>
  <c r="AL26"/>
  <c r="AL30"/>
  <c r="AK240"/>
  <c r="AK204"/>
  <c r="AI266"/>
  <c r="AI227"/>
  <c r="AH270"/>
  <c r="AH271" s="1"/>
  <c r="AI268"/>
  <c r="AI229"/>
  <c r="AH231"/>
  <c r="AH232" s="1"/>
  <c r="AI597"/>
  <c r="AJ590"/>
  <c r="AJ591" s="1"/>
  <c r="AJ51" s="1"/>
  <c r="AJ594"/>
  <c r="AJ595" s="1"/>
  <c r="AJ586"/>
  <c r="AJ587" s="1"/>
  <c r="AJ582"/>
  <c r="AJ583" s="1"/>
  <c r="AL632"/>
  <c r="AL622"/>
  <c r="AK27"/>
  <c r="AK10"/>
  <c r="AK12" s="1"/>
  <c r="AM2"/>
  <c r="AL25"/>
  <c r="AJ29"/>
  <c r="AJ31" s="1"/>
  <c r="AJ41" s="1"/>
  <c r="C171" i="7" l="1"/>
  <c r="C199" s="1"/>
  <c r="C200" s="1"/>
  <c r="C108" s="1"/>
  <c r="C109" s="1"/>
  <c r="C110" s="1"/>
  <c r="H171"/>
  <c r="H199" s="1"/>
  <c r="H200" s="1"/>
  <c r="H108" s="1"/>
  <c r="H109" s="1"/>
  <c r="AB242" i="8"/>
  <c r="AB270" s="1"/>
  <c r="AB271" s="1"/>
  <c r="AB99" s="1"/>
  <c r="AB100" s="1"/>
  <c r="AL606" i="2"/>
  <c r="AL607" s="1"/>
  <c r="AM205"/>
  <c r="AM604"/>
  <c r="AM605"/>
  <c r="AM593"/>
  <c r="AM589"/>
  <c r="AM585"/>
  <c r="AM581"/>
  <c r="AM241"/>
  <c r="AI18"/>
  <c r="AI20" s="1"/>
  <c r="AI43" s="1"/>
  <c r="AI47" s="1"/>
  <c r="AI56" s="1"/>
  <c r="AB300" i="10"/>
  <c r="AD74"/>
  <c r="AD76" s="1"/>
  <c r="AK71" i="2"/>
  <c r="AJ49"/>
  <c r="AJ14"/>
  <c r="AA101" i="8"/>
  <c r="AC109" i="10"/>
  <c r="AC110" s="1"/>
  <c r="AC123" s="1"/>
  <c r="AC300"/>
  <c r="AD110"/>
  <c r="AE50"/>
  <c r="AE74" s="1"/>
  <c r="AE76" s="1"/>
  <c r="AE80" s="1"/>
  <c r="AE81" s="1"/>
  <c r="AE95" s="1"/>
  <c r="AE281"/>
  <c r="AE297" s="1"/>
  <c r="AB87" i="8"/>
  <c r="AB88" s="1"/>
  <c r="AB79"/>
  <c r="AF49" i="10"/>
  <c r="AC49" i="8"/>
  <c r="AC73" s="1"/>
  <c r="AC78" s="1"/>
  <c r="AG649" i="10"/>
  <c r="AG652" s="1"/>
  <c r="AF745"/>
  <c r="AD122"/>
  <c r="AD700" i="8"/>
  <c r="AE701" s="1"/>
  <c r="AE604"/>
  <c r="AE607" s="1"/>
  <c r="AC98"/>
  <c r="AC239"/>
  <c r="AD237"/>
  <c r="AD48"/>
  <c r="AD202"/>
  <c r="AD204" s="1"/>
  <c r="AD232" s="1"/>
  <c r="AD233" s="1"/>
  <c r="H88"/>
  <c r="H101" s="1"/>
  <c r="I204"/>
  <c r="I232" s="1"/>
  <c r="I233" s="1"/>
  <c r="I166" i="7"/>
  <c r="I130"/>
  <c r="I132" s="1"/>
  <c r="I160" s="1"/>
  <c r="I161" s="1"/>
  <c r="I55"/>
  <c r="I56" s="1"/>
  <c r="I543"/>
  <c r="H97"/>
  <c r="AO568"/>
  <c r="AO571" s="1"/>
  <c r="AN664"/>
  <c r="AJ15" i="2"/>
  <c r="AJ50"/>
  <c r="AJ228"/>
  <c r="AJ267"/>
  <c r="AJ17"/>
  <c r="AJ52"/>
  <c r="AJ230"/>
  <c r="AJ269"/>
  <c r="AM395"/>
  <c r="AM530" s="1"/>
  <c r="AM394"/>
  <c r="AM529" s="1"/>
  <c r="AM393"/>
  <c r="AM528" s="1"/>
  <c r="AM391"/>
  <c r="AM526" s="1"/>
  <c r="AM389"/>
  <c r="AM524" s="1"/>
  <c r="AM396"/>
  <c r="AM531" s="1"/>
  <c r="AM392"/>
  <c r="AM527" s="1"/>
  <c r="AM390"/>
  <c r="AM525" s="1"/>
  <c r="AM388"/>
  <c r="AM523" s="1"/>
  <c r="AM387"/>
  <c r="AM522" s="1"/>
  <c r="AM361"/>
  <c r="AM496" s="1"/>
  <c r="AM362"/>
  <c r="AM497" s="1"/>
  <c r="AM363"/>
  <c r="AM498" s="1"/>
  <c r="AM364"/>
  <c r="AM499" s="1"/>
  <c r="AM365"/>
  <c r="AM500" s="1"/>
  <c r="AM366"/>
  <c r="AM501" s="1"/>
  <c r="AM367"/>
  <c r="AM502" s="1"/>
  <c r="AM368"/>
  <c r="AM503" s="1"/>
  <c r="AM369"/>
  <c r="AM504" s="1"/>
  <c r="AM370"/>
  <c r="AM505" s="1"/>
  <c r="AM5"/>
  <c r="AM722"/>
  <c r="AM720"/>
  <c r="AM718"/>
  <c r="AM716"/>
  <c r="AM714"/>
  <c r="AM690"/>
  <c r="AM688"/>
  <c r="AM721"/>
  <c r="AM719"/>
  <c r="AM717"/>
  <c r="AM715"/>
  <c r="AM713"/>
  <c r="AM689"/>
  <c r="AM686"/>
  <c r="AM684"/>
  <c r="AM682"/>
  <c r="AM658"/>
  <c r="AM656"/>
  <c r="AM654"/>
  <c r="AM652"/>
  <c r="AM650"/>
  <c r="AM730"/>
  <c r="AM732"/>
  <c r="AM685"/>
  <c r="AM681"/>
  <c r="AM657"/>
  <c r="AM653"/>
  <c r="AM687"/>
  <c r="AM683"/>
  <c r="AM655"/>
  <c r="AM651"/>
  <c r="AM728"/>
  <c r="AM731"/>
  <c r="AM729"/>
  <c r="AM693"/>
  <c r="AM697"/>
  <c r="AM699"/>
  <c r="AM701"/>
  <c r="AM649"/>
  <c r="AM725"/>
  <c r="AM733"/>
  <c r="AM734"/>
  <c r="AM694"/>
  <c r="AM698"/>
  <c r="AM700"/>
  <c r="AM702"/>
  <c r="AL691"/>
  <c r="AL676" s="1"/>
  <c r="AL69" s="1"/>
  <c r="AL723"/>
  <c r="AL708" s="1"/>
  <c r="AL70" s="1"/>
  <c r="AL61"/>
  <c r="AM661"/>
  <c r="AM33"/>
  <c r="AM35" s="1"/>
  <c r="AM37" s="1"/>
  <c r="AM39" s="1"/>
  <c r="AM548"/>
  <c r="AM549" s="1"/>
  <c r="AM554"/>
  <c r="AM555" s="1"/>
  <c r="AM633"/>
  <c r="AM618"/>
  <c r="AM55" s="1"/>
  <c r="AM608"/>
  <c r="AM619" s="1"/>
  <c r="AM623" s="1"/>
  <c r="AM631"/>
  <c r="AM602"/>
  <c r="AM609"/>
  <c r="AM601"/>
  <c r="AN11"/>
  <c r="AM313"/>
  <c r="AM315"/>
  <c r="AM317"/>
  <c r="AM316"/>
  <c r="AM448"/>
  <c r="AM450"/>
  <c r="AM452"/>
  <c r="AM624"/>
  <c r="AM314"/>
  <c r="AM318"/>
  <c r="AM447"/>
  <c r="AM449"/>
  <c r="AM451"/>
  <c r="AM19"/>
  <c r="AK117"/>
  <c r="AH238"/>
  <c r="AH202"/>
  <c r="AH206" s="1"/>
  <c r="AH234" s="1"/>
  <c r="AH235" s="1"/>
  <c r="AH107" s="1"/>
  <c r="AJ116"/>
  <c r="AM662"/>
  <c r="AM663"/>
  <c r="AM667"/>
  <c r="AM668"/>
  <c r="AM669"/>
  <c r="AM670"/>
  <c r="AJ105"/>
  <c r="AG242"/>
  <c r="AG245" s="1"/>
  <c r="AL54"/>
  <c r="AL239"/>
  <c r="AL203"/>
  <c r="AM465"/>
  <c r="AL466"/>
  <c r="AM331"/>
  <c r="AM336"/>
  <c r="AM470" s="1"/>
  <c r="AM337"/>
  <c r="AM471" s="1"/>
  <c r="AM338"/>
  <c r="AM472" s="1"/>
  <c r="AM339"/>
  <c r="AM473" s="1"/>
  <c r="AM340"/>
  <c r="AM474" s="1"/>
  <c r="AM341"/>
  <c r="AM475" s="1"/>
  <c r="AM342"/>
  <c r="AM476" s="1"/>
  <c r="AM343"/>
  <c r="AM477" s="1"/>
  <c r="AM344"/>
  <c r="AM478" s="1"/>
  <c r="AM345"/>
  <c r="AM479" s="1"/>
  <c r="AL332"/>
  <c r="AL639"/>
  <c r="AM636" s="1"/>
  <c r="AL62"/>
  <c r="AM739"/>
  <c r="AM638"/>
  <c r="AL659"/>
  <c r="AL644" s="1"/>
  <c r="AL68" s="1"/>
  <c r="AJ630"/>
  <c r="AK550"/>
  <c r="AK551" s="1"/>
  <c r="AK103" s="1"/>
  <c r="AK244" s="1"/>
  <c r="AK556"/>
  <c r="AK557" s="1"/>
  <c r="AK104" s="1"/>
  <c r="AM23"/>
  <c r="AM26"/>
  <c r="AM30"/>
  <c r="AM40"/>
  <c r="AL240"/>
  <c r="AL204"/>
  <c r="AI270"/>
  <c r="AI271" s="1"/>
  <c r="AJ266"/>
  <c r="AJ227"/>
  <c r="AJ268"/>
  <c r="AJ229"/>
  <c r="AI231"/>
  <c r="AI232" s="1"/>
  <c r="AJ597"/>
  <c r="AK594"/>
  <c r="AK595" s="1"/>
  <c r="AK586"/>
  <c r="AK587" s="1"/>
  <c r="AK582"/>
  <c r="AK583" s="1"/>
  <c r="AK590"/>
  <c r="AK591" s="1"/>
  <c r="AK51" s="1"/>
  <c r="AM622"/>
  <c r="AM632"/>
  <c r="AK29"/>
  <c r="AK31" s="1"/>
  <c r="AK41" s="1"/>
  <c r="Z617"/>
  <c r="AN2"/>
  <c r="AM25"/>
  <c r="AL27"/>
  <c r="AL10"/>
  <c r="AL12" s="1"/>
  <c r="AB101" i="8" l="1"/>
  <c r="H110" i="7"/>
  <c r="AG273" i="2"/>
  <c r="AG274" s="1"/>
  <c r="AG108" s="1"/>
  <c r="AC242" i="8"/>
  <c r="AC270" s="1"/>
  <c r="AC271" s="1"/>
  <c r="AC99" s="1"/>
  <c r="AC100" s="1"/>
  <c r="AM606" i="2"/>
  <c r="AM607" s="1"/>
  <c r="AN205"/>
  <c r="AN604"/>
  <c r="AN605"/>
  <c r="AN593"/>
  <c r="AN589"/>
  <c r="AN585"/>
  <c r="AN581"/>
  <c r="AN241"/>
  <c r="AD142" i="10"/>
  <c r="AD154" s="1"/>
  <c r="AD80"/>
  <c r="AD81" s="1"/>
  <c r="AD95" s="1"/>
  <c r="AJ53" i="2"/>
  <c r="AD284" i="10"/>
  <c r="AD220"/>
  <c r="AD248" s="1"/>
  <c r="AK49" i="2"/>
  <c r="AK14"/>
  <c r="AE109" i="10"/>
  <c r="AE142"/>
  <c r="AE154" s="1"/>
  <c r="AD123"/>
  <c r="AE101"/>
  <c r="AE284"/>
  <c r="AE220"/>
  <c r="AE248" s="1"/>
  <c r="AF50"/>
  <c r="AF281"/>
  <c r="AF297" s="1"/>
  <c r="AJ18" i="2"/>
  <c r="AJ20" s="1"/>
  <c r="AJ43" s="1"/>
  <c r="AC79" i="8"/>
  <c r="AC87"/>
  <c r="AC88" s="1"/>
  <c r="AD49"/>
  <c r="AD73" s="1"/>
  <c r="AD78" s="1"/>
  <c r="AE122" i="10"/>
  <c r="AH649"/>
  <c r="AH652" s="1"/>
  <c r="AG745"/>
  <c r="AE700" i="8"/>
  <c r="AF701" s="1"/>
  <c r="AF604"/>
  <c r="AF607" s="1"/>
  <c r="AD98"/>
  <c r="AD239"/>
  <c r="AD242" s="1"/>
  <c r="AD270" s="1"/>
  <c r="AD271" s="1"/>
  <c r="AD99" s="1"/>
  <c r="AE237"/>
  <c r="AE48"/>
  <c r="AE202"/>
  <c r="AE204" s="1"/>
  <c r="AE232" s="1"/>
  <c r="AE233" s="1"/>
  <c r="I72"/>
  <c r="I73" s="1"/>
  <c r="I78" s="1"/>
  <c r="I239"/>
  <c r="I98"/>
  <c r="AP568" i="7"/>
  <c r="AP571" s="1"/>
  <c r="AP664" s="1"/>
  <c r="AO664"/>
  <c r="I540"/>
  <c r="I541" s="1"/>
  <c r="J544" s="1"/>
  <c r="I80"/>
  <c r="I81" s="1"/>
  <c r="I82" s="1"/>
  <c r="I87" s="1"/>
  <c r="I168"/>
  <c r="I107"/>
  <c r="AK15" i="2"/>
  <c r="AK50"/>
  <c r="AK228"/>
  <c r="AK267"/>
  <c r="AK17"/>
  <c r="AK52"/>
  <c r="AK230"/>
  <c r="AK269"/>
  <c r="AM61"/>
  <c r="AN396"/>
  <c r="AN531" s="1"/>
  <c r="AN394"/>
  <c r="AN529" s="1"/>
  <c r="AN395"/>
  <c r="AN530" s="1"/>
  <c r="AN392"/>
  <c r="AN527" s="1"/>
  <c r="AN390"/>
  <c r="AN525" s="1"/>
  <c r="AN388"/>
  <c r="AN523" s="1"/>
  <c r="AN387"/>
  <c r="AN522" s="1"/>
  <c r="AN393"/>
  <c r="AN528" s="1"/>
  <c r="AN391"/>
  <c r="AN526" s="1"/>
  <c r="AN389"/>
  <c r="AN524" s="1"/>
  <c r="AL71"/>
  <c r="AN361"/>
  <c r="AN496" s="1"/>
  <c r="AN362"/>
  <c r="AN497" s="1"/>
  <c r="AN363"/>
  <c r="AN498" s="1"/>
  <c r="AN364"/>
  <c r="AN499" s="1"/>
  <c r="AN365"/>
  <c r="AN500" s="1"/>
  <c r="AN366"/>
  <c r="AN501" s="1"/>
  <c r="AN367"/>
  <c r="AN502" s="1"/>
  <c r="AN368"/>
  <c r="AN503" s="1"/>
  <c r="AN369"/>
  <c r="AN504" s="1"/>
  <c r="AN370"/>
  <c r="AN505" s="1"/>
  <c r="AN5"/>
  <c r="AN721"/>
  <c r="AN719"/>
  <c r="AN717"/>
  <c r="AN715"/>
  <c r="AN713"/>
  <c r="AN689"/>
  <c r="AN722"/>
  <c r="AN720"/>
  <c r="AN718"/>
  <c r="AN716"/>
  <c r="AN714"/>
  <c r="AN690"/>
  <c r="AN688"/>
  <c r="AN687"/>
  <c r="AN685"/>
  <c r="AN683"/>
  <c r="AN681"/>
  <c r="AN657"/>
  <c r="AN655"/>
  <c r="AN653"/>
  <c r="AN651"/>
  <c r="AN649"/>
  <c r="AN725"/>
  <c r="AN728"/>
  <c r="AN729"/>
  <c r="AN731"/>
  <c r="AN733"/>
  <c r="AN686"/>
  <c r="AN682"/>
  <c r="AN658"/>
  <c r="AN654"/>
  <c r="AN684"/>
  <c r="AN656"/>
  <c r="AN652"/>
  <c r="AN732"/>
  <c r="AN730"/>
  <c r="AN734"/>
  <c r="AN694"/>
  <c r="AN698"/>
  <c r="AN700"/>
  <c r="AN702"/>
  <c r="AN650"/>
  <c r="AN693"/>
  <c r="AN697"/>
  <c r="AN699"/>
  <c r="AN701"/>
  <c r="AM691"/>
  <c r="AM676" s="1"/>
  <c r="AM69" s="1"/>
  <c r="AM723"/>
  <c r="AM708" s="1"/>
  <c r="AM70" s="1"/>
  <c r="AN661"/>
  <c r="AN33"/>
  <c r="AN35" s="1"/>
  <c r="AN37" s="1"/>
  <c r="AN39" s="1"/>
  <c r="AN548"/>
  <c r="AN549" s="1"/>
  <c r="AN554"/>
  <c r="AN555" s="1"/>
  <c r="AN631"/>
  <c r="AN602"/>
  <c r="AN609"/>
  <c r="AN601"/>
  <c r="AN633"/>
  <c r="AN618"/>
  <c r="AN55" s="1"/>
  <c r="AN608"/>
  <c r="AN619" s="1"/>
  <c r="AN623" s="1"/>
  <c r="AO11"/>
  <c r="AN314"/>
  <c r="AN316"/>
  <c r="AN318"/>
  <c r="AN447"/>
  <c r="AN448"/>
  <c r="AN449"/>
  <c r="AN450"/>
  <c r="AN451"/>
  <c r="AN452"/>
  <c r="AN624"/>
  <c r="AN313"/>
  <c r="AN317"/>
  <c r="AN315"/>
  <c r="AL117"/>
  <c r="AN19"/>
  <c r="AI202"/>
  <c r="AI206" s="1"/>
  <c r="AI234" s="1"/>
  <c r="AI235" s="1"/>
  <c r="AI107" s="1"/>
  <c r="AK116"/>
  <c r="AI238"/>
  <c r="Z614"/>
  <c r="Z80"/>
  <c r="Z81" s="1"/>
  <c r="AN662"/>
  <c r="AN663"/>
  <c r="AN667"/>
  <c r="AN668"/>
  <c r="AN669"/>
  <c r="AN670"/>
  <c r="AH242"/>
  <c r="AH245" s="1"/>
  <c r="AK105"/>
  <c r="AM54"/>
  <c r="AM239"/>
  <c r="AM203"/>
  <c r="AN465"/>
  <c r="AM466"/>
  <c r="AN331"/>
  <c r="AN336"/>
  <c r="AN470" s="1"/>
  <c r="AN337"/>
  <c r="AN471" s="1"/>
  <c r="AN338"/>
  <c r="AN472" s="1"/>
  <c r="AN339"/>
  <c r="AN473" s="1"/>
  <c r="AN340"/>
  <c r="AN474" s="1"/>
  <c r="AN341"/>
  <c r="AN475" s="1"/>
  <c r="AN342"/>
  <c r="AN476" s="1"/>
  <c r="AN343"/>
  <c r="AN477" s="1"/>
  <c r="AN344"/>
  <c r="AN478" s="1"/>
  <c r="AN345"/>
  <c r="AN479" s="1"/>
  <c r="AM332"/>
  <c r="AM639"/>
  <c r="AN636" s="1"/>
  <c r="AM62"/>
  <c r="AN739"/>
  <c r="AN638"/>
  <c r="AM659"/>
  <c r="AM644" s="1"/>
  <c r="AM68" s="1"/>
  <c r="AK630"/>
  <c r="AL550"/>
  <c r="AL551" s="1"/>
  <c r="AL103" s="1"/>
  <c r="AL244" s="1"/>
  <c r="AL556"/>
  <c r="AL557" s="1"/>
  <c r="AL104" s="1"/>
  <c r="AN40"/>
  <c r="AN23"/>
  <c r="AN26"/>
  <c r="AN30"/>
  <c r="AM240"/>
  <c r="AM204"/>
  <c r="AK268"/>
  <c r="AK229"/>
  <c r="AJ231"/>
  <c r="AJ232" s="1"/>
  <c r="AK266"/>
  <c r="AK227"/>
  <c r="AJ270"/>
  <c r="AJ271" s="1"/>
  <c r="AK597"/>
  <c r="AL590"/>
  <c r="AL591" s="1"/>
  <c r="AL51" s="1"/>
  <c r="AL594"/>
  <c r="AL595" s="1"/>
  <c r="AL586"/>
  <c r="AL587" s="1"/>
  <c r="AL582"/>
  <c r="AL583" s="1"/>
  <c r="AN632"/>
  <c r="AN622"/>
  <c r="AM10"/>
  <c r="AM12" s="1"/>
  <c r="AM27"/>
  <c r="AL29"/>
  <c r="AL31" s="1"/>
  <c r="AL41" s="1"/>
  <c r="AN25"/>
  <c r="AO2"/>
  <c r="I171" i="7" l="1"/>
  <c r="I199" s="1"/>
  <c r="I200" s="1"/>
  <c r="I108" s="1"/>
  <c r="I109" s="1"/>
  <c r="AH273" i="2"/>
  <c r="AH274" s="1"/>
  <c r="AH108" s="1"/>
  <c r="I242" i="8"/>
  <c r="I270" s="1"/>
  <c r="I271" s="1"/>
  <c r="I99" s="1"/>
  <c r="I100" s="1"/>
  <c r="AN606" i="2"/>
  <c r="AN607" s="1"/>
  <c r="AO205"/>
  <c r="AO604"/>
  <c r="AO605"/>
  <c r="AO593"/>
  <c r="AO589"/>
  <c r="AO585"/>
  <c r="AO581"/>
  <c r="AO241"/>
  <c r="AK18"/>
  <c r="AK20" s="1"/>
  <c r="AK43" s="1"/>
  <c r="AD300" i="10"/>
  <c r="AL49" i="2"/>
  <c r="AL14"/>
  <c r="AC101" i="8"/>
  <c r="AE300" i="10"/>
  <c r="AE110"/>
  <c r="AE123" s="1"/>
  <c r="AD87" i="8"/>
  <c r="AD88" s="1"/>
  <c r="AD79"/>
  <c r="AF122" i="10"/>
  <c r="AE49" i="8"/>
  <c r="AE73" s="1"/>
  <c r="AE78" s="1"/>
  <c r="AI649" i="10"/>
  <c r="AI652" s="1"/>
  <c r="AH745"/>
  <c r="AF700" i="8"/>
  <c r="AG604"/>
  <c r="AG607" s="1"/>
  <c r="AE98"/>
  <c r="AE239"/>
  <c r="AF237"/>
  <c r="AF48"/>
  <c r="AF202"/>
  <c r="AF204" s="1"/>
  <c r="AF232" s="1"/>
  <c r="AF233" s="1"/>
  <c r="AD100"/>
  <c r="AK53" i="2"/>
  <c r="I87" i="8"/>
  <c r="I79"/>
  <c r="I96" i="7"/>
  <c r="I88"/>
  <c r="J538"/>
  <c r="AL17" i="2"/>
  <c r="AL52"/>
  <c r="AL230"/>
  <c r="AL269"/>
  <c r="AL15"/>
  <c r="AL50"/>
  <c r="AL53" s="1"/>
  <c r="AL228"/>
  <c r="AL267"/>
  <c r="AM71"/>
  <c r="AO395"/>
  <c r="AO530" s="1"/>
  <c r="AO396"/>
  <c r="AO531" s="1"/>
  <c r="AO393"/>
  <c r="AO528" s="1"/>
  <c r="AO391"/>
  <c r="AO526" s="1"/>
  <c r="AO389"/>
  <c r="AO524" s="1"/>
  <c r="AO394"/>
  <c r="AO529" s="1"/>
  <c r="AO392"/>
  <c r="AO527" s="1"/>
  <c r="AO390"/>
  <c r="AO525" s="1"/>
  <c r="AO388"/>
  <c r="AO523" s="1"/>
  <c r="AO387"/>
  <c r="AO522" s="1"/>
  <c r="AO361"/>
  <c r="AO496" s="1"/>
  <c r="AO362"/>
  <c r="AO497" s="1"/>
  <c r="AO363"/>
  <c r="AO498" s="1"/>
  <c r="AO364"/>
  <c r="AO499" s="1"/>
  <c r="AO365"/>
  <c r="AO500" s="1"/>
  <c r="AO366"/>
  <c r="AO501" s="1"/>
  <c r="AO367"/>
  <c r="AO502" s="1"/>
  <c r="AO368"/>
  <c r="AO503" s="1"/>
  <c r="AO369"/>
  <c r="AO504" s="1"/>
  <c r="AO370"/>
  <c r="AO505" s="1"/>
  <c r="AO5"/>
  <c r="AO722"/>
  <c r="AO720"/>
  <c r="AO718"/>
  <c r="AO716"/>
  <c r="AO714"/>
  <c r="AO690"/>
  <c r="AO688"/>
  <c r="AO721"/>
  <c r="AO719"/>
  <c r="AO717"/>
  <c r="AO715"/>
  <c r="AO713"/>
  <c r="AO689"/>
  <c r="AO686"/>
  <c r="AO684"/>
  <c r="AO682"/>
  <c r="AO658"/>
  <c r="AO656"/>
  <c r="AO654"/>
  <c r="AO652"/>
  <c r="AO650"/>
  <c r="AO730"/>
  <c r="AO732"/>
  <c r="AO687"/>
  <c r="AO683"/>
  <c r="AO655"/>
  <c r="AO651"/>
  <c r="AO685"/>
  <c r="AO681"/>
  <c r="AO657"/>
  <c r="AO653"/>
  <c r="AO649"/>
  <c r="AO725"/>
  <c r="AO729"/>
  <c r="AO733"/>
  <c r="AO731"/>
  <c r="AO693"/>
  <c r="AO697"/>
  <c r="AO699"/>
  <c r="AO701"/>
  <c r="AO728"/>
  <c r="AO734"/>
  <c r="AO694"/>
  <c r="AO698"/>
  <c r="AO700"/>
  <c r="AO702"/>
  <c r="AN691"/>
  <c r="AN676" s="1"/>
  <c r="AN69" s="1"/>
  <c r="AN723"/>
  <c r="AN708" s="1"/>
  <c r="AN70" s="1"/>
  <c r="AN61"/>
  <c r="AO661"/>
  <c r="AO33"/>
  <c r="AO35" s="1"/>
  <c r="AO37" s="1"/>
  <c r="AO39" s="1"/>
  <c r="AO548"/>
  <c r="AO549" s="1"/>
  <c r="AO554"/>
  <c r="AO555" s="1"/>
  <c r="AO633"/>
  <c r="AO618"/>
  <c r="AO55" s="1"/>
  <c r="AO608"/>
  <c r="AO619" s="1"/>
  <c r="AO623" s="1"/>
  <c r="AO631"/>
  <c r="AO602"/>
  <c r="AO609"/>
  <c r="AO601"/>
  <c r="AP11"/>
  <c r="AO313"/>
  <c r="AO315"/>
  <c r="AO317"/>
  <c r="AO314"/>
  <c r="AO318"/>
  <c r="AO447"/>
  <c r="AO449"/>
  <c r="AO451"/>
  <c r="AO316"/>
  <c r="AO448"/>
  <c r="AO450"/>
  <c r="AO452"/>
  <c r="AO624"/>
  <c r="AO19"/>
  <c r="AM117"/>
  <c r="AK270"/>
  <c r="AK271" s="1"/>
  <c r="AJ47"/>
  <c r="AJ56" s="1"/>
  <c r="AJ202"/>
  <c r="AJ206" s="1"/>
  <c r="AJ234" s="1"/>
  <c r="AJ235" s="1"/>
  <c r="AJ107" s="1"/>
  <c r="AJ238"/>
  <c r="AL116"/>
  <c r="AG109"/>
  <c r="AO662"/>
  <c r="AO663"/>
  <c r="AO667"/>
  <c r="AO668"/>
  <c r="AO669"/>
  <c r="AO670"/>
  <c r="AK231"/>
  <c r="AK232" s="1"/>
  <c r="AL105"/>
  <c r="AI242"/>
  <c r="AI245" s="1"/>
  <c r="AN54"/>
  <c r="AN239"/>
  <c r="AN203"/>
  <c r="AO465"/>
  <c r="AN466"/>
  <c r="AO331"/>
  <c r="AO336"/>
  <c r="AO470" s="1"/>
  <c r="AO337"/>
  <c r="AO471" s="1"/>
  <c r="AO338"/>
  <c r="AO472" s="1"/>
  <c r="AO339"/>
  <c r="AO473" s="1"/>
  <c r="AO340"/>
  <c r="AO474" s="1"/>
  <c r="AO341"/>
  <c r="AO475" s="1"/>
  <c r="AO342"/>
  <c r="AO476" s="1"/>
  <c r="AO343"/>
  <c r="AO477" s="1"/>
  <c r="AO344"/>
  <c r="AO478" s="1"/>
  <c r="AO345"/>
  <c r="AO479" s="1"/>
  <c r="AN332"/>
  <c r="AN639"/>
  <c r="AO636" s="1"/>
  <c r="AN62"/>
  <c r="AO739"/>
  <c r="AO638"/>
  <c r="AN659"/>
  <c r="AN644" s="1"/>
  <c r="AN68" s="1"/>
  <c r="AL630"/>
  <c r="AM550"/>
  <c r="AM551" s="1"/>
  <c r="AM103" s="1"/>
  <c r="AM244" s="1"/>
  <c r="AM556"/>
  <c r="AM557" s="1"/>
  <c r="AM104" s="1"/>
  <c r="AO23"/>
  <c r="AO26"/>
  <c r="AO30"/>
  <c r="AO40"/>
  <c r="AN240"/>
  <c r="AN204"/>
  <c r="AL266"/>
  <c r="AL227"/>
  <c r="AL268"/>
  <c r="AL229"/>
  <c r="AL597"/>
  <c r="AM594"/>
  <c r="AM595" s="1"/>
  <c r="AM586"/>
  <c r="AM587" s="1"/>
  <c r="AM582"/>
  <c r="AM583" s="1"/>
  <c r="AM590"/>
  <c r="AM591" s="1"/>
  <c r="AM51" s="1"/>
  <c r="AO622"/>
  <c r="AO632"/>
  <c r="AA617"/>
  <c r="AM29"/>
  <c r="AM31" s="1"/>
  <c r="AM41" s="1"/>
  <c r="AN27"/>
  <c r="AP2"/>
  <c r="AO25"/>
  <c r="AN10"/>
  <c r="AN12" s="1"/>
  <c r="AI273" l="1"/>
  <c r="AI274" s="1"/>
  <c r="AI108" s="1"/>
  <c r="AE242" i="8"/>
  <c r="AE270" s="1"/>
  <c r="AE271" s="1"/>
  <c r="AE99" s="1"/>
  <c r="AE100" s="1"/>
  <c r="AO606" i="2"/>
  <c r="AO607" s="1"/>
  <c r="AP205"/>
  <c r="AP604"/>
  <c r="AP605"/>
  <c r="AP593"/>
  <c r="AP589"/>
  <c r="AP585"/>
  <c r="AP581"/>
  <c r="AP241"/>
  <c r="AL18"/>
  <c r="AL20" s="1"/>
  <c r="AL43" s="1"/>
  <c r="AM49"/>
  <c r="AM14"/>
  <c r="AD101" i="8"/>
  <c r="AE79"/>
  <c r="AE87"/>
  <c r="AE88" s="1"/>
  <c r="AF49"/>
  <c r="AF73" s="1"/>
  <c r="AF78" s="1"/>
  <c r="AJ649" i="10"/>
  <c r="AJ652" s="1"/>
  <c r="AI745"/>
  <c r="AG700" i="8"/>
  <c r="AH604"/>
  <c r="AH607" s="1"/>
  <c r="AF98"/>
  <c r="AF239"/>
  <c r="I88"/>
  <c r="I101" s="1"/>
  <c r="J204"/>
  <c r="J232" s="1"/>
  <c r="J233" s="1"/>
  <c r="J166" i="7"/>
  <c r="J130"/>
  <c r="J132" s="1"/>
  <c r="J160" s="1"/>
  <c r="J161" s="1"/>
  <c r="J55"/>
  <c r="J56" s="1"/>
  <c r="J543"/>
  <c r="I97"/>
  <c r="I110" s="1"/>
  <c r="AM17" i="2"/>
  <c r="AM52"/>
  <c r="AM230"/>
  <c r="AM269"/>
  <c r="AM15"/>
  <c r="AM50"/>
  <c r="AM228"/>
  <c r="AM267"/>
  <c r="AP396"/>
  <c r="AP531" s="1"/>
  <c r="AP394"/>
  <c r="AP529" s="1"/>
  <c r="AP392"/>
  <c r="AP527" s="1"/>
  <c r="AP390"/>
  <c r="AP525" s="1"/>
  <c r="AP388"/>
  <c r="AP523" s="1"/>
  <c r="AP387"/>
  <c r="AP522" s="1"/>
  <c r="AP395"/>
  <c r="AP530" s="1"/>
  <c r="AP393"/>
  <c r="AP528" s="1"/>
  <c r="AP391"/>
  <c r="AP526" s="1"/>
  <c r="AP389"/>
  <c r="AP524" s="1"/>
  <c r="AN71"/>
  <c r="AP361"/>
  <c r="AP496" s="1"/>
  <c r="AP362"/>
  <c r="AP497" s="1"/>
  <c r="AP363"/>
  <c r="AP498" s="1"/>
  <c r="AP364"/>
  <c r="AP499" s="1"/>
  <c r="AP365"/>
  <c r="AP500" s="1"/>
  <c r="AP366"/>
  <c r="AP501" s="1"/>
  <c r="AP367"/>
  <c r="AP502" s="1"/>
  <c r="AP368"/>
  <c r="AP503" s="1"/>
  <c r="AP369"/>
  <c r="AP504" s="1"/>
  <c r="AP370"/>
  <c r="AP505" s="1"/>
  <c r="AO723"/>
  <c r="AO708" s="1"/>
  <c r="AO70" s="1"/>
  <c r="AP5"/>
  <c r="AP721"/>
  <c r="B721" s="1"/>
  <c r="AP719"/>
  <c r="B719" s="1"/>
  <c r="AP717"/>
  <c r="B717" s="1"/>
  <c r="AP715"/>
  <c r="B715" s="1"/>
  <c r="AP713"/>
  <c r="AP689"/>
  <c r="B689" s="1"/>
  <c r="AP722"/>
  <c r="B722" s="1"/>
  <c r="AP720"/>
  <c r="B720" s="1"/>
  <c r="AP718"/>
  <c r="B718" s="1"/>
  <c r="AP716"/>
  <c r="B716" s="1"/>
  <c r="AP714"/>
  <c r="B714" s="1"/>
  <c r="AP690"/>
  <c r="B690" s="1"/>
  <c r="AP688"/>
  <c r="B688" s="1"/>
  <c r="AO515" s="1"/>
  <c r="AP687"/>
  <c r="B687" s="1"/>
  <c r="AP685"/>
  <c r="B685" s="1"/>
  <c r="AO512" s="1"/>
  <c r="AP683"/>
  <c r="B683" s="1"/>
  <c r="AP695" s="1"/>
  <c r="AP681"/>
  <c r="AP657"/>
  <c r="AP655"/>
  <c r="B655" s="1"/>
  <c r="AP653"/>
  <c r="B653" s="1"/>
  <c r="AP651"/>
  <c r="AP649"/>
  <c r="AP725"/>
  <c r="AP729"/>
  <c r="AP731"/>
  <c r="AP733"/>
  <c r="AP684"/>
  <c r="B684" s="1"/>
  <c r="AP656"/>
  <c r="AP652"/>
  <c r="B652" s="1"/>
  <c r="AP686"/>
  <c r="B686" s="1"/>
  <c r="AP682"/>
  <c r="B682" s="1"/>
  <c r="AP658"/>
  <c r="B658" s="1"/>
  <c r="AO491" s="1"/>
  <c r="AP654"/>
  <c r="B654" s="1"/>
  <c r="AP650"/>
  <c r="B650" s="1"/>
  <c r="AP730"/>
  <c r="AP732"/>
  <c r="AP734"/>
  <c r="AP694"/>
  <c r="AP698"/>
  <c r="B698" s="1"/>
  <c r="AP700"/>
  <c r="B700" s="1"/>
  <c r="AP693"/>
  <c r="AP697"/>
  <c r="B697" s="1"/>
  <c r="AP699"/>
  <c r="B699" s="1"/>
  <c r="AP701"/>
  <c r="B701" s="1"/>
  <c r="AP702"/>
  <c r="B702" s="1"/>
  <c r="AP696"/>
  <c r="AO691"/>
  <c r="AO676" s="1"/>
  <c r="AO69" s="1"/>
  <c r="AO61"/>
  <c r="AP661"/>
  <c r="AP33"/>
  <c r="AP35" s="1"/>
  <c r="AP37" s="1"/>
  <c r="AP39" s="1"/>
  <c r="AP548"/>
  <c r="AP549" s="1"/>
  <c r="AP554"/>
  <c r="AP555" s="1"/>
  <c r="AP631"/>
  <c r="AP602"/>
  <c r="AP609"/>
  <c r="AP601"/>
  <c r="AP633"/>
  <c r="AP618"/>
  <c r="AP55" s="1"/>
  <c r="AP608"/>
  <c r="AP619" s="1"/>
  <c r="AP314"/>
  <c r="AP316"/>
  <c r="AP318"/>
  <c r="AP447"/>
  <c r="AP448"/>
  <c r="AP449"/>
  <c r="AP450"/>
  <c r="AP451"/>
  <c r="AP466" s="1"/>
  <c r="AP624"/>
  <c r="AP315"/>
  <c r="AP313"/>
  <c r="AP317"/>
  <c r="AP452"/>
  <c r="AN117"/>
  <c r="AP19"/>
  <c r="AK47"/>
  <c r="AK56" s="1"/>
  <c r="AK238"/>
  <c r="AK202"/>
  <c r="AK206" s="1"/>
  <c r="AK234" s="1"/>
  <c r="AK235" s="1"/>
  <c r="AK107" s="1"/>
  <c r="AM116"/>
  <c r="AA614"/>
  <c r="AA80"/>
  <c r="AA81" s="1"/>
  <c r="AH109"/>
  <c r="AP662"/>
  <c r="AP663"/>
  <c r="AP667"/>
  <c r="B667" s="1"/>
  <c r="AP668"/>
  <c r="B668" s="1"/>
  <c r="AP669"/>
  <c r="B669" s="1"/>
  <c r="AP670"/>
  <c r="B670" s="1"/>
  <c r="AM105"/>
  <c r="AJ242"/>
  <c r="AJ245" s="1"/>
  <c r="AO54"/>
  <c r="AO239"/>
  <c r="AO203"/>
  <c r="AO466"/>
  <c r="AP465"/>
  <c r="AP331"/>
  <c r="AP336"/>
  <c r="AP470" s="1"/>
  <c r="AP337"/>
  <c r="AP471" s="1"/>
  <c r="AP338"/>
  <c r="AP472" s="1"/>
  <c r="AP339"/>
  <c r="AP473" s="1"/>
  <c r="AP340"/>
  <c r="AP474" s="1"/>
  <c r="AP341"/>
  <c r="AP475" s="1"/>
  <c r="AP342"/>
  <c r="AP476" s="1"/>
  <c r="AP343"/>
  <c r="AP477" s="1"/>
  <c r="AP344"/>
  <c r="AP478" s="1"/>
  <c r="AP345"/>
  <c r="AP479" s="1"/>
  <c r="AO332"/>
  <c r="AO639"/>
  <c r="AP636" s="1"/>
  <c r="AO62"/>
  <c r="B651"/>
  <c r="AP739"/>
  <c r="B657"/>
  <c r="AO490" s="1"/>
  <c r="AP638"/>
  <c r="B656"/>
  <c r="AO659"/>
  <c r="AO644" s="1"/>
  <c r="AO68" s="1"/>
  <c r="AM630"/>
  <c r="AN550"/>
  <c r="AN551" s="1"/>
  <c r="AN103" s="1"/>
  <c r="AN244" s="1"/>
  <c r="AN556"/>
  <c r="AN557" s="1"/>
  <c r="AN104" s="1"/>
  <c r="AP40"/>
  <c r="AP23"/>
  <c r="AP26"/>
  <c r="AP30"/>
  <c r="AO240"/>
  <c r="AO204"/>
  <c r="AM266"/>
  <c r="AM227"/>
  <c r="AL270"/>
  <c r="AL271" s="1"/>
  <c r="AM268"/>
  <c r="AM229"/>
  <c r="AL231"/>
  <c r="AL232" s="1"/>
  <c r="AM597"/>
  <c r="AN590"/>
  <c r="AN591" s="1"/>
  <c r="AN51" s="1"/>
  <c r="AN594"/>
  <c r="AN595" s="1"/>
  <c r="AN586"/>
  <c r="AN587" s="1"/>
  <c r="AN582"/>
  <c r="AN583" s="1"/>
  <c r="AP632"/>
  <c r="AP622"/>
  <c r="B622" s="1"/>
  <c r="AO27"/>
  <c r="AO10"/>
  <c r="AO12" s="1"/>
  <c r="AP25"/>
  <c r="AN29"/>
  <c r="AN31" s="1"/>
  <c r="AN41" s="1"/>
  <c r="AE101" i="8" l="1"/>
  <c r="AJ273" i="2"/>
  <c r="AJ274" s="1"/>
  <c r="AJ108" s="1"/>
  <c r="AF242" i="8"/>
  <c r="AF270" s="1"/>
  <c r="AF271" s="1"/>
  <c r="AF99" s="1"/>
  <c r="AF100" s="1"/>
  <c r="AM53" i="2"/>
  <c r="AM18"/>
  <c r="AM20" s="1"/>
  <c r="AM43" s="1"/>
  <c r="AM47" s="1"/>
  <c r="AP606"/>
  <c r="AP607" s="1"/>
  <c r="B604"/>
  <c r="L728"/>
  <c r="M728"/>
  <c r="N728"/>
  <c r="X732"/>
  <c r="Y732"/>
  <c r="Z732"/>
  <c r="I727"/>
  <c r="J727"/>
  <c r="K727"/>
  <c r="U731"/>
  <c r="V731"/>
  <c r="W731"/>
  <c r="AP726"/>
  <c r="F726"/>
  <c r="G726"/>
  <c r="H726"/>
  <c r="AO539"/>
  <c r="R730"/>
  <c r="S730"/>
  <c r="T730"/>
  <c r="AO543"/>
  <c r="AD734"/>
  <c r="AE734"/>
  <c r="AF734"/>
  <c r="O729"/>
  <c r="P729"/>
  <c r="Q729"/>
  <c r="AA733"/>
  <c r="AB733"/>
  <c r="AC733"/>
  <c r="AN49"/>
  <c r="AN14"/>
  <c r="AF79" i="8"/>
  <c r="AF87"/>
  <c r="AF88" s="1"/>
  <c r="AK649" i="10"/>
  <c r="AK652" s="1"/>
  <c r="AJ745"/>
  <c r="AH700" i="8"/>
  <c r="AI604"/>
  <c r="AI607" s="1"/>
  <c r="J72"/>
  <c r="J73" s="1"/>
  <c r="J78" s="1"/>
  <c r="J239"/>
  <c r="J98"/>
  <c r="J540" i="7"/>
  <c r="J541" s="1"/>
  <c r="K544" s="1"/>
  <c r="J80"/>
  <c r="J81" s="1"/>
  <c r="J82" s="1"/>
  <c r="J87" s="1"/>
  <c r="J168"/>
  <c r="J107"/>
  <c r="AN15" i="2"/>
  <c r="AN50"/>
  <c r="AN228"/>
  <c r="AN267"/>
  <c r="AN17"/>
  <c r="AN52"/>
  <c r="AN230"/>
  <c r="AN269"/>
  <c r="AG726"/>
  <c r="AH726"/>
  <c r="AI726"/>
  <c r="AJ726"/>
  <c r="AK726"/>
  <c r="AL726"/>
  <c r="AM726"/>
  <c r="AN726"/>
  <c r="AO726"/>
  <c r="W694"/>
  <c r="X694"/>
  <c r="Y694"/>
  <c r="Z694"/>
  <c r="AA694"/>
  <c r="AB694"/>
  <c r="AC694"/>
  <c r="AD694"/>
  <c r="AE694"/>
  <c r="AF694"/>
  <c r="AG695"/>
  <c r="AH695"/>
  <c r="AI695"/>
  <c r="AJ695"/>
  <c r="AK695"/>
  <c r="AL695"/>
  <c r="AM695"/>
  <c r="AN695"/>
  <c r="AO695"/>
  <c r="D537"/>
  <c r="E537"/>
  <c r="G537"/>
  <c r="R537"/>
  <c r="S537"/>
  <c r="T537"/>
  <c r="V537"/>
  <c r="C537"/>
  <c r="F537"/>
  <c r="H537"/>
  <c r="I537"/>
  <c r="J537"/>
  <c r="K537"/>
  <c r="L537"/>
  <c r="M537"/>
  <c r="N537"/>
  <c r="O537"/>
  <c r="P537"/>
  <c r="Q537"/>
  <c r="U537"/>
  <c r="W537"/>
  <c r="X537"/>
  <c r="Y537"/>
  <c r="Z537"/>
  <c r="AA537"/>
  <c r="AB537"/>
  <c r="AC537"/>
  <c r="AD537"/>
  <c r="AE537"/>
  <c r="AF537"/>
  <c r="AG537"/>
  <c r="AH537"/>
  <c r="AI537"/>
  <c r="AJ537"/>
  <c r="AK537"/>
  <c r="AL537"/>
  <c r="AM537"/>
  <c r="AN537"/>
  <c r="U541"/>
  <c r="F541"/>
  <c r="H541"/>
  <c r="I541"/>
  <c r="J541"/>
  <c r="L541"/>
  <c r="N541"/>
  <c r="P541"/>
  <c r="S541"/>
  <c r="T541"/>
  <c r="C541"/>
  <c r="D541"/>
  <c r="E541"/>
  <c r="G541"/>
  <c r="K541"/>
  <c r="M541"/>
  <c r="O541"/>
  <c r="Q541"/>
  <c r="R541"/>
  <c r="V541"/>
  <c r="W541"/>
  <c r="X541"/>
  <c r="Y541"/>
  <c r="Z541"/>
  <c r="AA541"/>
  <c r="AB541"/>
  <c r="AC541"/>
  <c r="AD541"/>
  <c r="AE541"/>
  <c r="AF541"/>
  <c r="AG541"/>
  <c r="AH541"/>
  <c r="AI541"/>
  <c r="AJ541"/>
  <c r="AK541"/>
  <c r="AL541"/>
  <c r="AM541"/>
  <c r="AN541"/>
  <c r="C536"/>
  <c r="F536"/>
  <c r="H536"/>
  <c r="J536"/>
  <c r="K536"/>
  <c r="L536"/>
  <c r="M536"/>
  <c r="N536"/>
  <c r="O536"/>
  <c r="P536"/>
  <c r="Q536"/>
  <c r="V536"/>
  <c r="D536"/>
  <c r="E536"/>
  <c r="G536"/>
  <c r="I536"/>
  <c r="R536"/>
  <c r="S536"/>
  <c r="T536"/>
  <c r="U536"/>
  <c r="W536"/>
  <c r="X536"/>
  <c r="Y536"/>
  <c r="Z536"/>
  <c r="AA536"/>
  <c r="AB536"/>
  <c r="AC536"/>
  <c r="AD536"/>
  <c r="AE536"/>
  <c r="AF536"/>
  <c r="AG536"/>
  <c r="AH536"/>
  <c r="AI536"/>
  <c r="AJ536"/>
  <c r="AK536"/>
  <c r="AL536"/>
  <c r="AM536"/>
  <c r="AN536"/>
  <c r="U540"/>
  <c r="C540"/>
  <c r="D540"/>
  <c r="E540"/>
  <c r="G540"/>
  <c r="I540"/>
  <c r="K540"/>
  <c r="M540"/>
  <c r="O540"/>
  <c r="Q540"/>
  <c r="R540"/>
  <c r="F540"/>
  <c r="H540"/>
  <c r="J540"/>
  <c r="L540"/>
  <c r="N540"/>
  <c r="P540"/>
  <c r="S540"/>
  <c r="T540"/>
  <c r="V540"/>
  <c r="W540"/>
  <c r="X540"/>
  <c r="Y540"/>
  <c r="Z540"/>
  <c r="AA540"/>
  <c r="AB540"/>
  <c r="AC540"/>
  <c r="AD540"/>
  <c r="AE540"/>
  <c r="AF540"/>
  <c r="AG540"/>
  <c r="AH540"/>
  <c r="AI540"/>
  <c r="AJ540"/>
  <c r="AK540"/>
  <c r="AL540"/>
  <c r="AM540"/>
  <c r="AN540"/>
  <c r="AP538"/>
  <c r="AP542"/>
  <c r="AP535"/>
  <c r="AP539"/>
  <c r="AP543"/>
  <c r="AO540"/>
  <c r="AO541"/>
  <c r="AO400"/>
  <c r="C535"/>
  <c r="I535"/>
  <c r="R535"/>
  <c r="S535"/>
  <c r="T535"/>
  <c r="V535"/>
  <c r="U535"/>
  <c r="D535"/>
  <c r="E535"/>
  <c r="F535"/>
  <c r="G535"/>
  <c r="H535"/>
  <c r="J535"/>
  <c r="K535"/>
  <c r="L535"/>
  <c r="M535"/>
  <c r="N535"/>
  <c r="O535"/>
  <c r="P535"/>
  <c r="Q535"/>
  <c r="W535"/>
  <c r="X535"/>
  <c r="Y535"/>
  <c r="Z535"/>
  <c r="AA535"/>
  <c r="AB535"/>
  <c r="AC535"/>
  <c r="AD535"/>
  <c r="AE535"/>
  <c r="AF535"/>
  <c r="AG535"/>
  <c r="AH535"/>
  <c r="AI535"/>
  <c r="AJ535"/>
  <c r="AK535"/>
  <c r="AL535"/>
  <c r="AM535"/>
  <c r="AN535"/>
  <c r="U539"/>
  <c r="D539"/>
  <c r="R539"/>
  <c r="S539"/>
  <c r="T539"/>
  <c r="C539"/>
  <c r="E539"/>
  <c r="F539"/>
  <c r="G539"/>
  <c r="H539"/>
  <c r="I539"/>
  <c r="J539"/>
  <c r="K539"/>
  <c r="L539"/>
  <c r="M539"/>
  <c r="N539"/>
  <c r="O539"/>
  <c r="P539"/>
  <c r="Q539"/>
  <c r="V539"/>
  <c r="W539"/>
  <c r="X539"/>
  <c r="Y539"/>
  <c r="Z539"/>
  <c r="AA539"/>
  <c r="AB539"/>
  <c r="AC539"/>
  <c r="AD539"/>
  <c r="AE539"/>
  <c r="AF539"/>
  <c r="AG539"/>
  <c r="AH539"/>
  <c r="AI539"/>
  <c r="AJ539"/>
  <c r="AK539"/>
  <c r="AL539"/>
  <c r="AM539"/>
  <c r="AN539"/>
  <c r="D543"/>
  <c r="E543"/>
  <c r="F543"/>
  <c r="G543"/>
  <c r="H543"/>
  <c r="J543"/>
  <c r="K543"/>
  <c r="L543"/>
  <c r="M543"/>
  <c r="N543"/>
  <c r="O543"/>
  <c r="P543"/>
  <c r="Q543"/>
  <c r="V543"/>
  <c r="C543"/>
  <c r="I543"/>
  <c r="R543"/>
  <c r="S543"/>
  <c r="T543"/>
  <c r="U543"/>
  <c r="W543"/>
  <c r="X543"/>
  <c r="Y543"/>
  <c r="Z543"/>
  <c r="AA543"/>
  <c r="AB543"/>
  <c r="AC543"/>
  <c r="AD543"/>
  <c r="AE543"/>
  <c r="AF543"/>
  <c r="AG543"/>
  <c r="AH543"/>
  <c r="AI543"/>
  <c r="AJ543"/>
  <c r="AK543"/>
  <c r="AL543"/>
  <c r="AM543"/>
  <c r="AN543"/>
  <c r="AO403"/>
  <c r="C538"/>
  <c r="E538"/>
  <c r="F538"/>
  <c r="G538"/>
  <c r="H538"/>
  <c r="I538"/>
  <c r="J538"/>
  <c r="K538"/>
  <c r="L538"/>
  <c r="M538"/>
  <c r="N538"/>
  <c r="O538"/>
  <c r="P538"/>
  <c r="Q538"/>
  <c r="U538"/>
  <c r="D538"/>
  <c r="R538"/>
  <c r="S538"/>
  <c r="T538"/>
  <c r="V538"/>
  <c r="W538"/>
  <c r="X538"/>
  <c r="Y538"/>
  <c r="Z538"/>
  <c r="AA538"/>
  <c r="AB538"/>
  <c r="AC538"/>
  <c r="AD538"/>
  <c r="AE538"/>
  <c r="AF538"/>
  <c r="AG538"/>
  <c r="AH538"/>
  <c r="AI538"/>
  <c r="AJ538"/>
  <c r="AK538"/>
  <c r="AL538"/>
  <c r="AM538"/>
  <c r="AN538"/>
  <c r="AO407"/>
  <c r="U542"/>
  <c r="D542"/>
  <c r="E542"/>
  <c r="G542"/>
  <c r="K542"/>
  <c r="M542"/>
  <c r="O542"/>
  <c r="Q542"/>
  <c r="R542"/>
  <c r="T542"/>
  <c r="V542"/>
  <c r="C542"/>
  <c r="F542"/>
  <c r="H542"/>
  <c r="I542"/>
  <c r="J542"/>
  <c r="L542"/>
  <c r="N542"/>
  <c r="P542"/>
  <c r="S542"/>
  <c r="W542"/>
  <c r="X542"/>
  <c r="Y542"/>
  <c r="Z542"/>
  <c r="AA542"/>
  <c r="AB542"/>
  <c r="AC542"/>
  <c r="AD542"/>
  <c r="AE542"/>
  <c r="AF542"/>
  <c r="AG542"/>
  <c r="AH542"/>
  <c r="AI542"/>
  <c r="AJ542"/>
  <c r="AK542"/>
  <c r="AL542"/>
  <c r="AM542"/>
  <c r="AN542"/>
  <c r="AP536"/>
  <c r="AP540"/>
  <c r="AP537"/>
  <c r="AP541"/>
  <c r="AO542"/>
  <c r="AO536"/>
  <c r="AO535"/>
  <c r="AO538"/>
  <c r="AO537"/>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376"/>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D510"/>
  <c r="C510"/>
  <c r="E510"/>
  <c r="F510"/>
  <c r="H510"/>
  <c r="G510"/>
  <c r="I510"/>
  <c r="J510"/>
  <c r="K510"/>
  <c r="L510"/>
  <c r="M510"/>
  <c r="N510"/>
  <c r="O510"/>
  <c r="P510"/>
  <c r="Q510"/>
  <c r="R510"/>
  <c r="S510"/>
  <c r="T510"/>
  <c r="U510"/>
  <c r="V510"/>
  <c r="W510"/>
  <c r="X510"/>
  <c r="Y510"/>
  <c r="Z510"/>
  <c r="AA510"/>
  <c r="AB510"/>
  <c r="AC510"/>
  <c r="AD510"/>
  <c r="AE510"/>
  <c r="AF510"/>
  <c r="AG510"/>
  <c r="AH510"/>
  <c r="AI510"/>
  <c r="AJ510"/>
  <c r="AK510"/>
  <c r="AL510"/>
  <c r="AM510"/>
  <c r="AN510"/>
  <c r="C514"/>
  <c r="D514"/>
  <c r="E514"/>
  <c r="F514"/>
  <c r="G514"/>
  <c r="I514"/>
  <c r="H514"/>
  <c r="J514"/>
  <c r="K514"/>
  <c r="L514"/>
  <c r="M514"/>
  <c r="N514"/>
  <c r="O514"/>
  <c r="P514"/>
  <c r="Q514"/>
  <c r="R514"/>
  <c r="S514"/>
  <c r="T514"/>
  <c r="U514"/>
  <c r="V514"/>
  <c r="W514"/>
  <c r="X514"/>
  <c r="Y514"/>
  <c r="Z514"/>
  <c r="AA514"/>
  <c r="AB514"/>
  <c r="AC514"/>
  <c r="AD514"/>
  <c r="AE514"/>
  <c r="AF514"/>
  <c r="AG514"/>
  <c r="AH514"/>
  <c r="AI514"/>
  <c r="AJ514"/>
  <c r="AK514"/>
  <c r="AL514"/>
  <c r="AM514"/>
  <c r="AN514"/>
  <c r="C517"/>
  <c r="D517"/>
  <c r="F517"/>
  <c r="E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381"/>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P516"/>
  <c r="AP514"/>
  <c r="AP512"/>
  <c r="AP510"/>
  <c r="AO511"/>
  <c r="AO516"/>
  <c r="C513"/>
  <c r="D513"/>
  <c r="E513"/>
  <c r="F513"/>
  <c r="H513"/>
  <c r="G513"/>
  <c r="I513"/>
  <c r="J513"/>
  <c r="K513"/>
  <c r="L513"/>
  <c r="M513"/>
  <c r="N513"/>
  <c r="O513"/>
  <c r="P513"/>
  <c r="Q513"/>
  <c r="R513"/>
  <c r="S513"/>
  <c r="T513"/>
  <c r="U513"/>
  <c r="V513"/>
  <c r="W513"/>
  <c r="X513"/>
  <c r="Y513"/>
  <c r="Z513"/>
  <c r="AA513"/>
  <c r="AB513"/>
  <c r="AC513"/>
  <c r="AD513"/>
  <c r="AE513"/>
  <c r="AF513"/>
  <c r="AG513"/>
  <c r="AH513"/>
  <c r="AI513"/>
  <c r="AJ513"/>
  <c r="AK513"/>
  <c r="AL513"/>
  <c r="AM513"/>
  <c r="AN513"/>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C515"/>
  <c r="D515"/>
  <c r="E515"/>
  <c r="F515"/>
  <c r="G515"/>
  <c r="I515"/>
  <c r="H515"/>
  <c r="J515"/>
  <c r="K515"/>
  <c r="L515"/>
  <c r="M515"/>
  <c r="N515"/>
  <c r="O515"/>
  <c r="P515"/>
  <c r="Q515"/>
  <c r="R515"/>
  <c r="S515"/>
  <c r="T515"/>
  <c r="U515"/>
  <c r="V515"/>
  <c r="W515"/>
  <c r="X515"/>
  <c r="Y515"/>
  <c r="Z515"/>
  <c r="AA515"/>
  <c r="AB515"/>
  <c r="AC515"/>
  <c r="AD515"/>
  <c r="AE515"/>
  <c r="AF515"/>
  <c r="AG515"/>
  <c r="AH515"/>
  <c r="AI515"/>
  <c r="AJ515"/>
  <c r="AK515"/>
  <c r="AL515"/>
  <c r="AM515"/>
  <c r="AN515"/>
  <c r="AP517"/>
  <c r="AP515"/>
  <c r="AP513"/>
  <c r="AP511"/>
  <c r="AP509"/>
  <c r="AO509"/>
  <c r="AO513"/>
  <c r="AO517"/>
  <c r="AO510"/>
  <c r="AO514"/>
  <c r="AO71"/>
  <c r="AP728"/>
  <c r="B728" s="1"/>
  <c r="V402"/>
  <c r="H402"/>
  <c r="I402"/>
  <c r="K402"/>
  <c r="Q402"/>
  <c r="R402"/>
  <c r="S402"/>
  <c r="U402"/>
  <c r="C402"/>
  <c r="D402"/>
  <c r="E402"/>
  <c r="F402"/>
  <c r="G402"/>
  <c r="J402"/>
  <c r="L402"/>
  <c r="M402"/>
  <c r="N402"/>
  <c r="O402"/>
  <c r="P402"/>
  <c r="T402"/>
  <c r="W402"/>
  <c r="X402"/>
  <c r="Y402"/>
  <c r="Z402"/>
  <c r="AA402"/>
  <c r="AB402"/>
  <c r="AC402"/>
  <c r="AD402"/>
  <c r="AE402"/>
  <c r="AF402"/>
  <c r="AG402"/>
  <c r="AH402"/>
  <c r="AI402"/>
  <c r="AJ402"/>
  <c r="AK402"/>
  <c r="AL402"/>
  <c r="AM402"/>
  <c r="AN402"/>
  <c r="D406"/>
  <c r="F406"/>
  <c r="G406"/>
  <c r="H406"/>
  <c r="I406"/>
  <c r="K406"/>
  <c r="L406"/>
  <c r="N406"/>
  <c r="V406"/>
  <c r="C406"/>
  <c r="E406"/>
  <c r="J406"/>
  <c r="M406"/>
  <c r="O406"/>
  <c r="P406"/>
  <c r="Q406"/>
  <c r="R406"/>
  <c r="S406"/>
  <c r="T406"/>
  <c r="U406"/>
  <c r="W406"/>
  <c r="X406"/>
  <c r="Y406"/>
  <c r="Z406"/>
  <c r="AA406"/>
  <c r="AB406"/>
  <c r="AC406"/>
  <c r="AD406"/>
  <c r="AE406"/>
  <c r="AF406"/>
  <c r="AG406"/>
  <c r="AH406"/>
  <c r="AI406"/>
  <c r="AJ406"/>
  <c r="AK406"/>
  <c r="AL406"/>
  <c r="AM406"/>
  <c r="AN406"/>
  <c r="V401"/>
  <c r="C401"/>
  <c r="D401"/>
  <c r="E401"/>
  <c r="F401"/>
  <c r="G401"/>
  <c r="J401"/>
  <c r="K401"/>
  <c r="L401"/>
  <c r="M401"/>
  <c r="N401"/>
  <c r="P401"/>
  <c r="Q401"/>
  <c r="S401"/>
  <c r="T401"/>
  <c r="H401"/>
  <c r="I401"/>
  <c r="O401"/>
  <c r="R401"/>
  <c r="U401"/>
  <c r="W401"/>
  <c r="X401"/>
  <c r="Y401"/>
  <c r="Z401"/>
  <c r="AA401"/>
  <c r="AB401"/>
  <c r="AC401"/>
  <c r="AD401"/>
  <c r="AE401"/>
  <c r="AF401"/>
  <c r="AG401"/>
  <c r="AH401"/>
  <c r="AI401"/>
  <c r="AJ401"/>
  <c r="AK401"/>
  <c r="AL401"/>
  <c r="AM401"/>
  <c r="AN401"/>
  <c r="C405"/>
  <c r="E405"/>
  <c r="I405"/>
  <c r="J405"/>
  <c r="O405"/>
  <c r="R405"/>
  <c r="S405"/>
  <c r="T405"/>
  <c r="U405"/>
  <c r="V405"/>
  <c r="D405"/>
  <c r="F405"/>
  <c r="G405"/>
  <c r="H405"/>
  <c r="K405"/>
  <c r="L405"/>
  <c r="M405"/>
  <c r="N405"/>
  <c r="P405"/>
  <c r="Q405"/>
  <c r="W405"/>
  <c r="X405"/>
  <c r="Y405"/>
  <c r="Z405"/>
  <c r="AA405"/>
  <c r="AB405"/>
  <c r="AC405"/>
  <c r="AD405"/>
  <c r="AE405"/>
  <c r="AF405"/>
  <c r="AG405"/>
  <c r="AH405"/>
  <c r="AI405"/>
  <c r="AJ405"/>
  <c r="AK405"/>
  <c r="AL405"/>
  <c r="AM405"/>
  <c r="AN405"/>
  <c r="AO402"/>
  <c r="AP401"/>
  <c r="AP405"/>
  <c r="AP402"/>
  <c r="AP406"/>
  <c r="AO401"/>
  <c r="E400"/>
  <c r="L400"/>
  <c r="O400"/>
  <c r="P400"/>
  <c r="R400"/>
  <c r="T400"/>
  <c r="U400"/>
  <c r="V400"/>
  <c r="C400"/>
  <c r="D400"/>
  <c r="F400"/>
  <c r="G400"/>
  <c r="H400"/>
  <c r="I400"/>
  <c r="J400"/>
  <c r="K400"/>
  <c r="M400"/>
  <c r="N400"/>
  <c r="Q400"/>
  <c r="S400"/>
  <c r="W400"/>
  <c r="X400"/>
  <c r="Y400"/>
  <c r="Z400"/>
  <c r="AA400"/>
  <c r="AB400"/>
  <c r="AC400"/>
  <c r="AD400"/>
  <c r="AE400"/>
  <c r="AF400"/>
  <c r="AG400"/>
  <c r="AH400"/>
  <c r="AI400"/>
  <c r="AJ400"/>
  <c r="AK400"/>
  <c r="AL400"/>
  <c r="AM400"/>
  <c r="AN400"/>
  <c r="V404"/>
  <c r="D404"/>
  <c r="F404"/>
  <c r="H404"/>
  <c r="K404"/>
  <c r="L404"/>
  <c r="M404"/>
  <c r="N404"/>
  <c r="Q404"/>
  <c r="R404"/>
  <c r="C404"/>
  <c r="E404"/>
  <c r="G404"/>
  <c r="I404"/>
  <c r="J404"/>
  <c r="O404"/>
  <c r="P404"/>
  <c r="S404"/>
  <c r="T404"/>
  <c r="U404"/>
  <c r="W404"/>
  <c r="X404"/>
  <c r="Y404"/>
  <c r="Z404"/>
  <c r="AA404"/>
  <c r="AB404"/>
  <c r="AC404"/>
  <c r="AD404"/>
  <c r="AE404"/>
  <c r="AF404"/>
  <c r="AG404"/>
  <c r="AH404"/>
  <c r="AI404"/>
  <c r="AJ404"/>
  <c r="AK404"/>
  <c r="AL404"/>
  <c r="AM404"/>
  <c r="AN404"/>
  <c r="D408"/>
  <c r="F408"/>
  <c r="G408"/>
  <c r="H408"/>
  <c r="I408"/>
  <c r="J408"/>
  <c r="K408"/>
  <c r="M408"/>
  <c r="N408"/>
  <c r="S408"/>
  <c r="T408"/>
  <c r="V408"/>
  <c r="C408"/>
  <c r="E408"/>
  <c r="L408"/>
  <c r="O408"/>
  <c r="P408"/>
  <c r="Q408"/>
  <c r="R408"/>
  <c r="U408"/>
  <c r="W408"/>
  <c r="X408"/>
  <c r="Y408"/>
  <c r="Z408"/>
  <c r="AA408"/>
  <c r="AB408"/>
  <c r="AC408"/>
  <c r="AD408"/>
  <c r="AE408"/>
  <c r="AF408"/>
  <c r="AG408"/>
  <c r="AH408"/>
  <c r="AI408"/>
  <c r="AJ408"/>
  <c r="AK408"/>
  <c r="AL408"/>
  <c r="AM408"/>
  <c r="AN408"/>
  <c r="V403"/>
  <c r="C403"/>
  <c r="E403"/>
  <c r="G403"/>
  <c r="M403"/>
  <c r="O403"/>
  <c r="P403"/>
  <c r="S403"/>
  <c r="U403"/>
  <c r="D403"/>
  <c r="F403"/>
  <c r="H403"/>
  <c r="I403"/>
  <c r="J403"/>
  <c r="K403"/>
  <c r="L403"/>
  <c r="N403"/>
  <c r="Q403"/>
  <c r="R403"/>
  <c r="T403"/>
  <c r="W403"/>
  <c r="X403"/>
  <c r="Y403"/>
  <c r="Z403"/>
  <c r="AA403"/>
  <c r="AB403"/>
  <c r="AC403"/>
  <c r="AD403"/>
  <c r="AE403"/>
  <c r="AF403"/>
  <c r="AG403"/>
  <c r="AH403"/>
  <c r="AI403"/>
  <c r="AJ403"/>
  <c r="AK403"/>
  <c r="AL403"/>
  <c r="AM403"/>
  <c r="AN403"/>
  <c r="C407"/>
  <c r="D407"/>
  <c r="E407"/>
  <c r="F407"/>
  <c r="G407"/>
  <c r="J407"/>
  <c r="L407"/>
  <c r="M407"/>
  <c r="N407"/>
  <c r="O407"/>
  <c r="P407"/>
  <c r="Q407"/>
  <c r="R407"/>
  <c r="U407"/>
  <c r="V407"/>
  <c r="H407"/>
  <c r="I407"/>
  <c r="K407"/>
  <c r="S407"/>
  <c r="T407"/>
  <c r="W407"/>
  <c r="X407"/>
  <c r="Y407"/>
  <c r="Z407"/>
  <c r="AA407"/>
  <c r="AB407"/>
  <c r="AC407"/>
  <c r="AD407"/>
  <c r="AE407"/>
  <c r="AF407"/>
  <c r="AG407"/>
  <c r="AH407"/>
  <c r="AI407"/>
  <c r="AJ407"/>
  <c r="AK407"/>
  <c r="AL407"/>
  <c r="AM407"/>
  <c r="AN407"/>
  <c r="AO408"/>
  <c r="AO406"/>
  <c r="AP403"/>
  <c r="AP407"/>
  <c r="AP400"/>
  <c r="AP404"/>
  <c r="AP408"/>
  <c r="AO405"/>
  <c r="AO404"/>
  <c r="AP382"/>
  <c r="AP376"/>
  <c r="C378"/>
  <c r="D378"/>
  <c r="E378"/>
  <c r="F378"/>
  <c r="H378"/>
  <c r="G378"/>
  <c r="I378"/>
  <c r="J378"/>
  <c r="K378"/>
  <c r="L378"/>
  <c r="M378"/>
  <c r="N378"/>
  <c r="O378"/>
  <c r="P378"/>
  <c r="Q378"/>
  <c r="R378"/>
  <c r="S378"/>
  <c r="T378"/>
  <c r="U378"/>
  <c r="V378"/>
  <c r="W378"/>
  <c r="X378"/>
  <c r="Y378"/>
  <c r="Z378"/>
  <c r="AA378"/>
  <c r="AB378"/>
  <c r="AC378"/>
  <c r="AD378"/>
  <c r="AE378"/>
  <c r="AF378"/>
  <c r="AG378"/>
  <c r="AH378"/>
  <c r="AI378"/>
  <c r="AJ378"/>
  <c r="AK378"/>
  <c r="AL378"/>
  <c r="AM378"/>
  <c r="AN378"/>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C380"/>
  <c r="D380"/>
  <c r="E380"/>
  <c r="F380"/>
  <c r="G380"/>
  <c r="I380"/>
  <c r="H380"/>
  <c r="J380"/>
  <c r="K380"/>
  <c r="L380"/>
  <c r="M380"/>
  <c r="N380"/>
  <c r="O380"/>
  <c r="P380"/>
  <c r="Q380"/>
  <c r="R380"/>
  <c r="S380"/>
  <c r="T380"/>
  <c r="U380"/>
  <c r="V380"/>
  <c r="W380"/>
  <c r="X380"/>
  <c r="Y380"/>
  <c r="Z380"/>
  <c r="AA380"/>
  <c r="AB380"/>
  <c r="AC380"/>
  <c r="AD380"/>
  <c r="AE380"/>
  <c r="AF380"/>
  <c r="AG380"/>
  <c r="AH380"/>
  <c r="AI380"/>
  <c r="AJ380"/>
  <c r="AK380"/>
  <c r="AL380"/>
  <c r="AM380"/>
  <c r="AN380"/>
  <c r="AP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C376"/>
  <c r="E376"/>
  <c r="D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D375"/>
  <c r="C375"/>
  <c r="E375"/>
  <c r="F375"/>
  <c r="H375"/>
  <c r="G375"/>
  <c r="I375"/>
  <c r="J375"/>
  <c r="K375"/>
  <c r="L375"/>
  <c r="M375"/>
  <c r="N375"/>
  <c r="O375"/>
  <c r="P375"/>
  <c r="Q375"/>
  <c r="R375"/>
  <c r="S375"/>
  <c r="T375"/>
  <c r="U375"/>
  <c r="V375"/>
  <c r="W375"/>
  <c r="X375"/>
  <c r="Y375"/>
  <c r="Z375"/>
  <c r="AA375"/>
  <c r="AB375"/>
  <c r="AC375"/>
  <c r="AD375"/>
  <c r="AE375"/>
  <c r="AF375"/>
  <c r="AG375"/>
  <c r="AH375"/>
  <c r="AI375"/>
  <c r="AJ375"/>
  <c r="AK375"/>
  <c r="AL375"/>
  <c r="AM375"/>
  <c r="AN375"/>
  <c r="C379"/>
  <c r="D379"/>
  <c r="E379"/>
  <c r="F379"/>
  <c r="G379"/>
  <c r="I379"/>
  <c r="H379"/>
  <c r="J379"/>
  <c r="K379"/>
  <c r="L379"/>
  <c r="M379"/>
  <c r="N379"/>
  <c r="O379"/>
  <c r="P379"/>
  <c r="Q379"/>
  <c r="R379"/>
  <c r="S379"/>
  <c r="T379"/>
  <c r="U379"/>
  <c r="V379"/>
  <c r="W379"/>
  <c r="X379"/>
  <c r="Y379"/>
  <c r="Z379"/>
  <c r="AA379"/>
  <c r="AB379"/>
  <c r="AC379"/>
  <c r="AD379"/>
  <c r="AE379"/>
  <c r="AF379"/>
  <c r="AG379"/>
  <c r="AH379"/>
  <c r="AI379"/>
  <c r="AJ379"/>
  <c r="AK379"/>
  <c r="AL379"/>
  <c r="AM379"/>
  <c r="AN379"/>
  <c r="C382"/>
  <c r="D382"/>
  <c r="F382"/>
  <c r="E382"/>
  <c r="H382"/>
  <c r="G382"/>
  <c r="I382"/>
  <c r="J382"/>
  <c r="K382"/>
  <c r="L382"/>
  <c r="M382"/>
  <c r="N382"/>
  <c r="O382"/>
  <c r="P382"/>
  <c r="Q382"/>
  <c r="R382"/>
  <c r="S382"/>
  <c r="T382"/>
  <c r="U382"/>
  <c r="V382"/>
  <c r="W382"/>
  <c r="X382"/>
  <c r="Y382"/>
  <c r="Z382"/>
  <c r="AA382"/>
  <c r="AB382"/>
  <c r="AC382"/>
  <c r="AD382"/>
  <c r="AE382"/>
  <c r="AF382"/>
  <c r="AG382"/>
  <c r="AH382"/>
  <c r="AI382"/>
  <c r="AJ382"/>
  <c r="AK382"/>
  <c r="AL382"/>
  <c r="AM382"/>
  <c r="AN382"/>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P380"/>
  <c r="AP378"/>
  <c r="AO377"/>
  <c r="AO380"/>
  <c r="AP381"/>
  <c r="AP379"/>
  <c r="AP377"/>
  <c r="AP375"/>
  <c r="AO375"/>
  <c r="AO379"/>
  <c r="AO374"/>
  <c r="AO378"/>
  <c r="AO382"/>
  <c r="M694"/>
  <c r="N694"/>
  <c r="O694"/>
  <c r="P694"/>
  <c r="Q694"/>
  <c r="R694"/>
  <c r="R703" s="1"/>
  <c r="R675" s="1"/>
  <c r="R64" s="1"/>
  <c r="S694"/>
  <c r="S703" s="1"/>
  <c r="S675" s="1"/>
  <c r="S64" s="1"/>
  <c r="T694"/>
  <c r="T703" s="1"/>
  <c r="T675" s="1"/>
  <c r="T64" s="1"/>
  <c r="U694"/>
  <c r="U703" s="1"/>
  <c r="U675" s="1"/>
  <c r="U64" s="1"/>
  <c r="V694"/>
  <c r="V703" s="1"/>
  <c r="V675" s="1"/>
  <c r="V64" s="1"/>
  <c r="AG696"/>
  <c r="AG703" s="1"/>
  <c r="AG675" s="1"/>
  <c r="AG64" s="1"/>
  <c r="AH696"/>
  <c r="AH703" s="1"/>
  <c r="AH675" s="1"/>
  <c r="AH64" s="1"/>
  <c r="AI696"/>
  <c r="AI703" s="1"/>
  <c r="AI675" s="1"/>
  <c r="AI64" s="1"/>
  <c r="AJ696"/>
  <c r="AJ703" s="1"/>
  <c r="AJ675" s="1"/>
  <c r="AJ64" s="1"/>
  <c r="AK696"/>
  <c r="AK703" s="1"/>
  <c r="AK675" s="1"/>
  <c r="AK64" s="1"/>
  <c r="AL696"/>
  <c r="AL703" s="1"/>
  <c r="AL675" s="1"/>
  <c r="AL64" s="1"/>
  <c r="AM696"/>
  <c r="AM703" s="1"/>
  <c r="AM675" s="1"/>
  <c r="AM64" s="1"/>
  <c r="AN696"/>
  <c r="AN703" s="1"/>
  <c r="AN675" s="1"/>
  <c r="AN64" s="1"/>
  <c r="AO696"/>
  <c r="AO703" s="1"/>
  <c r="AO675" s="1"/>
  <c r="AO64" s="1"/>
  <c r="W695"/>
  <c r="W703" s="1"/>
  <c r="W675" s="1"/>
  <c r="W64" s="1"/>
  <c r="X695"/>
  <c r="X703" s="1"/>
  <c r="X675" s="1"/>
  <c r="X64" s="1"/>
  <c r="Y695"/>
  <c r="Y703" s="1"/>
  <c r="Y675" s="1"/>
  <c r="Y64" s="1"/>
  <c r="Z695"/>
  <c r="Z703" s="1"/>
  <c r="Z675" s="1"/>
  <c r="Z64" s="1"/>
  <c r="AA695"/>
  <c r="AA703" s="1"/>
  <c r="AA675" s="1"/>
  <c r="AA64" s="1"/>
  <c r="AB695"/>
  <c r="AB703" s="1"/>
  <c r="AB675" s="1"/>
  <c r="AB64" s="1"/>
  <c r="AC695"/>
  <c r="AC703" s="1"/>
  <c r="AC675" s="1"/>
  <c r="AC64" s="1"/>
  <c r="AD695"/>
  <c r="AD703" s="1"/>
  <c r="AD675" s="1"/>
  <c r="AD64" s="1"/>
  <c r="AE695"/>
  <c r="AE703" s="1"/>
  <c r="AE675" s="1"/>
  <c r="AE64" s="1"/>
  <c r="AF695"/>
  <c r="AF703" s="1"/>
  <c r="AF675" s="1"/>
  <c r="AF64" s="1"/>
  <c r="AP727"/>
  <c r="AG727"/>
  <c r="AG735" s="1"/>
  <c r="AG707" s="1"/>
  <c r="AG65" s="1"/>
  <c r="AH727"/>
  <c r="AH735" s="1"/>
  <c r="AH707" s="1"/>
  <c r="AH65" s="1"/>
  <c r="AI727"/>
  <c r="AI735" s="1"/>
  <c r="AI707" s="1"/>
  <c r="AI65" s="1"/>
  <c r="AJ727"/>
  <c r="AJ735" s="1"/>
  <c r="AJ707" s="1"/>
  <c r="AJ65" s="1"/>
  <c r="AK727"/>
  <c r="AK735" s="1"/>
  <c r="AK707" s="1"/>
  <c r="AK65" s="1"/>
  <c r="AL727"/>
  <c r="AL735" s="1"/>
  <c r="AL707" s="1"/>
  <c r="AL65" s="1"/>
  <c r="AM727"/>
  <c r="AM735" s="1"/>
  <c r="AM707" s="1"/>
  <c r="AM65" s="1"/>
  <c r="AN727"/>
  <c r="AN735" s="1"/>
  <c r="AN707" s="1"/>
  <c r="AN65" s="1"/>
  <c r="AO727"/>
  <c r="AO735" s="1"/>
  <c r="AO707" s="1"/>
  <c r="AO65" s="1"/>
  <c r="AP703"/>
  <c r="AP675" s="1"/>
  <c r="AP691"/>
  <c r="AP676" s="1"/>
  <c r="AP69" s="1"/>
  <c r="B681"/>
  <c r="R726"/>
  <c r="S726"/>
  <c r="T726"/>
  <c r="U726"/>
  <c r="V726"/>
  <c r="W726"/>
  <c r="W735" s="1"/>
  <c r="W707" s="1"/>
  <c r="W65" s="1"/>
  <c r="X726"/>
  <c r="X735" s="1"/>
  <c r="X707" s="1"/>
  <c r="X65" s="1"/>
  <c r="Y726"/>
  <c r="Y735" s="1"/>
  <c r="Y707" s="1"/>
  <c r="Y65" s="1"/>
  <c r="Z726"/>
  <c r="Z735" s="1"/>
  <c r="Z707" s="1"/>
  <c r="Z65" s="1"/>
  <c r="AA726"/>
  <c r="AA735" s="1"/>
  <c r="AA707" s="1"/>
  <c r="AA65" s="1"/>
  <c r="AB726"/>
  <c r="AB735" s="1"/>
  <c r="AB707" s="1"/>
  <c r="AB65" s="1"/>
  <c r="AC726"/>
  <c r="AC735" s="1"/>
  <c r="AC707" s="1"/>
  <c r="AC65" s="1"/>
  <c r="AD726"/>
  <c r="AD735" s="1"/>
  <c r="AD707" s="1"/>
  <c r="AD65" s="1"/>
  <c r="AE726"/>
  <c r="AE735" s="1"/>
  <c r="AE707" s="1"/>
  <c r="AE65" s="1"/>
  <c r="AF726"/>
  <c r="AF735" s="1"/>
  <c r="AF707" s="1"/>
  <c r="AF65" s="1"/>
  <c r="AP723"/>
  <c r="AP708" s="1"/>
  <c r="AP70" s="1"/>
  <c r="B713"/>
  <c r="AE664"/>
  <c r="AF664"/>
  <c r="AG664"/>
  <c r="AH664"/>
  <c r="AL665"/>
  <c r="AM665"/>
  <c r="AN665"/>
  <c r="AO665"/>
  <c r="X663"/>
  <c r="Y663"/>
  <c r="Z663"/>
  <c r="AP665"/>
  <c r="AP61"/>
  <c r="AO117"/>
  <c r="AL47"/>
  <c r="AL56" s="1"/>
  <c r="AL202"/>
  <c r="AL206" s="1"/>
  <c r="AL234" s="1"/>
  <c r="AL235" s="1"/>
  <c r="AL107" s="1"/>
  <c r="AL238"/>
  <c r="AN116"/>
  <c r="AK242"/>
  <c r="AK245" s="1"/>
  <c r="AI109"/>
  <c r="AN664"/>
  <c r="AP664"/>
  <c r="AM664"/>
  <c r="AO664"/>
  <c r="W662"/>
  <c r="Y662"/>
  <c r="R662"/>
  <c r="T662"/>
  <c r="V662"/>
  <c r="X662"/>
  <c r="Z662"/>
  <c r="Q662"/>
  <c r="S662"/>
  <c r="U662"/>
  <c r="AF663"/>
  <c r="AH663"/>
  <c r="AJ663"/>
  <c r="AL663"/>
  <c r="AB663"/>
  <c r="AD663"/>
  <c r="AE663"/>
  <c r="AG663"/>
  <c r="AI663"/>
  <c r="AK663"/>
  <c r="AA663"/>
  <c r="AC663"/>
  <c r="AL666"/>
  <c r="AN666"/>
  <c r="AP666"/>
  <c r="AM666"/>
  <c r="AO666"/>
  <c r="AF665"/>
  <c r="AH665"/>
  <c r="AJ665"/>
  <c r="AE665"/>
  <c r="AG665"/>
  <c r="AI665"/>
  <c r="AK665"/>
  <c r="AK671" s="1"/>
  <c r="AK643" s="1"/>
  <c r="AK63" s="1"/>
  <c r="Y664"/>
  <c r="AA664"/>
  <c r="AC664"/>
  <c r="X664"/>
  <c r="Z664"/>
  <c r="AB664"/>
  <c r="AD664"/>
  <c r="J662"/>
  <c r="L662"/>
  <c r="N662"/>
  <c r="P662"/>
  <c r="P671" s="1"/>
  <c r="P643" s="1"/>
  <c r="P63" s="1"/>
  <c r="K662"/>
  <c r="M662"/>
  <c r="O662"/>
  <c r="O671" s="1"/>
  <c r="O643" s="1"/>
  <c r="O63" s="1"/>
  <c r="V663"/>
  <c r="R663"/>
  <c r="T663"/>
  <c r="W663"/>
  <c r="Q663"/>
  <c r="S663"/>
  <c r="U663"/>
  <c r="AN53"/>
  <c r="AN105"/>
  <c r="AP54"/>
  <c r="AP239"/>
  <c r="AP203"/>
  <c r="AP332"/>
  <c r="AO354"/>
  <c r="T489"/>
  <c r="D489"/>
  <c r="F489"/>
  <c r="G489"/>
  <c r="H489"/>
  <c r="L489"/>
  <c r="M489"/>
  <c r="N489"/>
  <c r="S489"/>
  <c r="C489"/>
  <c r="E489"/>
  <c r="I489"/>
  <c r="J489"/>
  <c r="K489"/>
  <c r="O489"/>
  <c r="P489"/>
  <c r="Q489"/>
  <c r="R489"/>
  <c r="U489"/>
  <c r="V489"/>
  <c r="W489"/>
  <c r="X489"/>
  <c r="Y489"/>
  <c r="Z489"/>
  <c r="AA489"/>
  <c r="AB489"/>
  <c r="AC489"/>
  <c r="AD489"/>
  <c r="AE489"/>
  <c r="AF489"/>
  <c r="AG489"/>
  <c r="AH489"/>
  <c r="AI489"/>
  <c r="AJ489"/>
  <c r="AK489"/>
  <c r="AL489"/>
  <c r="AM489"/>
  <c r="AN489"/>
  <c r="AO350"/>
  <c r="U485"/>
  <c r="C485"/>
  <c r="D485"/>
  <c r="E485"/>
  <c r="F485"/>
  <c r="I485"/>
  <c r="K485"/>
  <c r="L485"/>
  <c r="Q485"/>
  <c r="R485"/>
  <c r="T485"/>
  <c r="G485"/>
  <c r="H485"/>
  <c r="J485"/>
  <c r="M485"/>
  <c r="N485"/>
  <c r="O485"/>
  <c r="P485"/>
  <c r="S485"/>
  <c r="V485"/>
  <c r="W485"/>
  <c r="X485"/>
  <c r="Y485"/>
  <c r="Z485"/>
  <c r="AA485"/>
  <c r="AB485"/>
  <c r="AC485"/>
  <c r="AD485"/>
  <c r="AE485"/>
  <c r="AF485"/>
  <c r="AG485"/>
  <c r="AH485"/>
  <c r="AI485"/>
  <c r="AJ485"/>
  <c r="AK485"/>
  <c r="AL485"/>
  <c r="AM485"/>
  <c r="AN485"/>
  <c r="T488"/>
  <c r="C488"/>
  <c r="H488"/>
  <c r="I488"/>
  <c r="M488"/>
  <c r="P488"/>
  <c r="R488"/>
  <c r="U488"/>
  <c r="D488"/>
  <c r="E488"/>
  <c r="F488"/>
  <c r="G488"/>
  <c r="J488"/>
  <c r="K488"/>
  <c r="L488"/>
  <c r="N488"/>
  <c r="O488"/>
  <c r="Q488"/>
  <c r="S488"/>
  <c r="V488"/>
  <c r="W488"/>
  <c r="X488"/>
  <c r="Y488"/>
  <c r="Z488"/>
  <c r="AA488"/>
  <c r="AB488"/>
  <c r="AC488"/>
  <c r="AD488"/>
  <c r="AE488"/>
  <c r="AG488"/>
  <c r="AF488"/>
  <c r="AH488"/>
  <c r="AI488"/>
  <c r="AJ488"/>
  <c r="AK488"/>
  <c r="AL488"/>
  <c r="AM488"/>
  <c r="AN488"/>
  <c r="E483"/>
  <c r="G483"/>
  <c r="L483"/>
  <c r="N483"/>
  <c r="P483"/>
  <c r="Q483"/>
  <c r="S483"/>
  <c r="U483"/>
  <c r="C483"/>
  <c r="D483"/>
  <c r="F483"/>
  <c r="H483"/>
  <c r="I483"/>
  <c r="J483"/>
  <c r="K483"/>
  <c r="M483"/>
  <c r="O483"/>
  <c r="R483"/>
  <c r="T483"/>
  <c r="V483"/>
  <c r="W483"/>
  <c r="X483"/>
  <c r="Y483"/>
  <c r="Z483"/>
  <c r="AA483"/>
  <c r="AB483"/>
  <c r="AC483"/>
  <c r="AD483"/>
  <c r="AE483"/>
  <c r="AG483"/>
  <c r="AF483"/>
  <c r="AH483"/>
  <c r="AI483"/>
  <c r="AJ483"/>
  <c r="AK483"/>
  <c r="AL483"/>
  <c r="AM483"/>
  <c r="AN483"/>
  <c r="D484"/>
  <c r="E484"/>
  <c r="F484"/>
  <c r="G484"/>
  <c r="H484"/>
  <c r="J484"/>
  <c r="K484"/>
  <c r="M484"/>
  <c r="N484"/>
  <c r="O484"/>
  <c r="T484"/>
  <c r="U484"/>
  <c r="C484"/>
  <c r="I484"/>
  <c r="L484"/>
  <c r="P484"/>
  <c r="Q484"/>
  <c r="R484"/>
  <c r="S484"/>
  <c r="V484"/>
  <c r="W484"/>
  <c r="X484"/>
  <c r="Y484"/>
  <c r="Z484"/>
  <c r="AA484"/>
  <c r="AB484"/>
  <c r="AC484"/>
  <c r="AD484"/>
  <c r="AE484"/>
  <c r="AF484"/>
  <c r="AG484"/>
  <c r="AH484"/>
  <c r="AI484"/>
  <c r="AJ484"/>
  <c r="AK484"/>
  <c r="AL484"/>
  <c r="AM484"/>
  <c r="AN484"/>
  <c r="AO483"/>
  <c r="AO484"/>
  <c r="AP488"/>
  <c r="AP483"/>
  <c r="AP489"/>
  <c r="AP485"/>
  <c r="AO489"/>
  <c r="C491"/>
  <c r="D491"/>
  <c r="G491"/>
  <c r="J491"/>
  <c r="I491"/>
  <c r="M491"/>
  <c r="Q491"/>
  <c r="P491"/>
  <c r="S491"/>
  <c r="U491"/>
  <c r="E491"/>
  <c r="F491"/>
  <c r="H491"/>
  <c r="K491"/>
  <c r="L491"/>
  <c r="N491"/>
  <c r="O491"/>
  <c r="R491"/>
  <c r="T491"/>
  <c r="V491"/>
  <c r="W491"/>
  <c r="X491"/>
  <c r="Z491"/>
  <c r="Y491"/>
  <c r="AA491"/>
  <c r="AB491"/>
  <c r="AC491"/>
  <c r="AD491"/>
  <c r="AE491"/>
  <c r="AG491"/>
  <c r="AF491"/>
  <c r="AH491"/>
  <c r="AI491"/>
  <c r="AJ491"/>
  <c r="AK491"/>
  <c r="AL491"/>
  <c r="AM491"/>
  <c r="AN491"/>
  <c r="T487"/>
  <c r="I487"/>
  <c r="Q487"/>
  <c r="R487"/>
  <c r="S487"/>
  <c r="U487"/>
  <c r="C487"/>
  <c r="D487"/>
  <c r="E487"/>
  <c r="G487"/>
  <c r="F487"/>
  <c r="H487"/>
  <c r="J487"/>
  <c r="K487"/>
  <c r="L487"/>
  <c r="M487"/>
  <c r="N487"/>
  <c r="O487"/>
  <c r="P487"/>
  <c r="V487"/>
  <c r="W487"/>
  <c r="X487"/>
  <c r="Y487"/>
  <c r="Z487"/>
  <c r="AA487"/>
  <c r="AB487"/>
  <c r="AC487"/>
  <c r="AD487"/>
  <c r="AE487"/>
  <c r="AF487"/>
  <c r="AG487"/>
  <c r="AH487"/>
  <c r="AI487"/>
  <c r="AJ487"/>
  <c r="AK487"/>
  <c r="AL487"/>
  <c r="AM487"/>
  <c r="AN487"/>
  <c r="D490"/>
  <c r="H490"/>
  <c r="I490"/>
  <c r="J490"/>
  <c r="K490"/>
  <c r="N490"/>
  <c r="O490"/>
  <c r="Q490"/>
  <c r="R490"/>
  <c r="S490"/>
  <c r="T490"/>
  <c r="C490"/>
  <c r="E490"/>
  <c r="F490"/>
  <c r="G490"/>
  <c r="L490"/>
  <c r="M490"/>
  <c r="P490"/>
  <c r="U490"/>
  <c r="V490"/>
  <c r="W490"/>
  <c r="X490"/>
  <c r="Y490"/>
  <c r="Z490"/>
  <c r="AA490"/>
  <c r="AB490"/>
  <c r="AC490"/>
  <c r="AD490"/>
  <c r="AE490"/>
  <c r="AF490"/>
  <c r="AG490"/>
  <c r="AH490"/>
  <c r="AI490"/>
  <c r="AJ490"/>
  <c r="AK490"/>
  <c r="AL490"/>
  <c r="AM490"/>
  <c r="AN490"/>
  <c r="T486"/>
  <c r="U486"/>
  <c r="C486"/>
  <c r="F486"/>
  <c r="G486"/>
  <c r="I486"/>
  <c r="J486"/>
  <c r="K486"/>
  <c r="L486"/>
  <c r="N486"/>
  <c r="O486"/>
  <c r="Q486"/>
  <c r="D486"/>
  <c r="E486"/>
  <c r="H486"/>
  <c r="M486"/>
  <c r="P486"/>
  <c r="S486"/>
  <c r="R486"/>
  <c r="V486"/>
  <c r="W486"/>
  <c r="X486"/>
  <c r="Y486"/>
  <c r="Z486"/>
  <c r="AA486"/>
  <c r="AB486"/>
  <c r="AC486"/>
  <c r="AD486"/>
  <c r="AE486"/>
  <c r="AG486"/>
  <c r="AF486"/>
  <c r="AH486"/>
  <c r="AI486"/>
  <c r="AJ486"/>
  <c r="AK486"/>
  <c r="AL486"/>
  <c r="AM486"/>
  <c r="AN486"/>
  <c r="AO488"/>
  <c r="AO487"/>
  <c r="AP490"/>
  <c r="AP486"/>
  <c r="AP491"/>
  <c r="AP487"/>
  <c r="AP484"/>
  <c r="AO486"/>
  <c r="AO485"/>
  <c r="U356"/>
  <c r="C356"/>
  <c r="J356"/>
  <c r="L356"/>
  <c r="N356"/>
  <c r="P356"/>
  <c r="R356"/>
  <c r="T356"/>
  <c r="D356"/>
  <c r="E356"/>
  <c r="F356"/>
  <c r="H356"/>
  <c r="G356"/>
  <c r="I356"/>
  <c r="K356"/>
  <c r="M356"/>
  <c r="O356"/>
  <c r="Q356"/>
  <c r="S356"/>
  <c r="V356"/>
  <c r="W356"/>
  <c r="X356"/>
  <c r="Y356"/>
  <c r="Z356"/>
  <c r="AA356"/>
  <c r="AB356"/>
  <c r="AC356"/>
  <c r="AD356"/>
  <c r="AE356"/>
  <c r="AF356"/>
  <c r="AG356"/>
  <c r="AH356"/>
  <c r="AI356"/>
  <c r="AJ356"/>
  <c r="AK356"/>
  <c r="AL356"/>
  <c r="AM356"/>
  <c r="AN356"/>
  <c r="U352"/>
  <c r="C352"/>
  <c r="E352"/>
  <c r="K352"/>
  <c r="M352"/>
  <c r="O352"/>
  <c r="Q352"/>
  <c r="V352"/>
  <c r="D352"/>
  <c r="F352"/>
  <c r="H352"/>
  <c r="G352"/>
  <c r="I352"/>
  <c r="J352"/>
  <c r="L352"/>
  <c r="N352"/>
  <c r="P352"/>
  <c r="R352"/>
  <c r="S352"/>
  <c r="T352"/>
  <c r="W352"/>
  <c r="X352"/>
  <c r="Y352"/>
  <c r="Z352"/>
  <c r="AA352"/>
  <c r="AB352"/>
  <c r="AC352"/>
  <c r="AD352"/>
  <c r="AE352"/>
  <c r="AF352"/>
  <c r="AG352"/>
  <c r="AH352"/>
  <c r="AI352"/>
  <c r="AJ352"/>
  <c r="AK352"/>
  <c r="AL352"/>
  <c r="AM352"/>
  <c r="AN352"/>
  <c r="U355"/>
  <c r="C355"/>
  <c r="D355"/>
  <c r="E355"/>
  <c r="F355"/>
  <c r="G355"/>
  <c r="I355"/>
  <c r="K355"/>
  <c r="M355"/>
  <c r="O355"/>
  <c r="Q355"/>
  <c r="H355"/>
  <c r="J355"/>
  <c r="L355"/>
  <c r="N355"/>
  <c r="P355"/>
  <c r="R355"/>
  <c r="S355"/>
  <c r="T355"/>
  <c r="V355"/>
  <c r="W355"/>
  <c r="X355"/>
  <c r="Y355"/>
  <c r="Z355"/>
  <c r="AA355"/>
  <c r="AB355"/>
  <c r="AC355"/>
  <c r="AD355"/>
  <c r="AE355"/>
  <c r="AF355"/>
  <c r="AG355"/>
  <c r="AH355"/>
  <c r="AI355"/>
  <c r="AJ355"/>
  <c r="AK355"/>
  <c r="AL355"/>
  <c r="AM355"/>
  <c r="AN355"/>
  <c r="U351"/>
  <c r="D351"/>
  <c r="E351"/>
  <c r="F351"/>
  <c r="I351"/>
  <c r="J351"/>
  <c r="L351"/>
  <c r="N351"/>
  <c r="P351"/>
  <c r="R351"/>
  <c r="T351"/>
  <c r="V351"/>
  <c r="C351"/>
  <c r="G351"/>
  <c r="H351"/>
  <c r="K351"/>
  <c r="M351"/>
  <c r="O351"/>
  <c r="Q351"/>
  <c r="S351"/>
  <c r="W351"/>
  <c r="X351"/>
  <c r="Y351"/>
  <c r="Z351"/>
  <c r="AA351"/>
  <c r="AB351"/>
  <c r="AC351"/>
  <c r="AD351"/>
  <c r="AE351"/>
  <c r="AF351"/>
  <c r="AG351"/>
  <c r="AH351"/>
  <c r="AI351"/>
  <c r="AJ351"/>
  <c r="AK351"/>
  <c r="AL351"/>
  <c r="AM351"/>
  <c r="AN351"/>
  <c r="AO351"/>
  <c r="AO355"/>
  <c r="AP356"/>
  <c r="AP354"/>
  <c r="AP352"/>
  <c r="AP350"/>
  <c r="AP348"/>
  <c r="U354"/>
  <c r="H354"/>
  <c r="I354"/>
  <c r="L354"/>
  <c r="M354"/>
  <c r="Q354"/>
  <c r="R354"/>
  <c r="S354"/>
  <c r="C354"/>
  <c r="D354"/>
  <c r="E354"/>
  <c r="F354"/>
  <c r="G354"/>
  <c r="J354"/>
  <c r="K354"/>
  <c r="N354"/>
  <c r="O354"/>
  <c r="P354"/>
  <c r="T354"/>
  <c r="V354"/>
  <c r="W354"/>
  <c r="X354"/>
  <c r="Y354"/>
  <c r="Z354"/>
  <c r="AA354"/>
  <c r="AB354"/>
  <c r="AC354"/>
  <c r="AD354"/>
  <c r="AE354"/>
  <c r="AF354"/>
  <c r="AG354"/>
  <c r="AH354"/>
  <c r="AI354"/>
  <c r="AJ354"/>
  <c r="AK354"/>
  <c r="AL354"/>
  <c r="AM354"/>
  <c r="AN354"/>
  <c r="U350"/>
  <c r="D350"/>
  <c r="G350"/>
  <c r="H350"/>
  <c r="J350"/>
  <c r="K350"/>
  <c r="N350"/>
  <c r="O350"/>
  <c r="P350"/>
  <c r="S350"/>
  <c r="T350"/>
  <c r="C350"/>
  <c r="F350"/>
  <c r="E350"/>
  <c r="I350"/>
  <c r="L350"/>
  <c r="M350"/>
  <c r="Q350"/>
  <c r="R350"/>
  <c r="V350"/>
  <c r="W350"/>
  <c r="X350"/>
  <c r="Y350"/>
  <c r="Z350"/>
  <c r="AA350"/>
  <c r="AB350"/>
  <c r="AC350"/>
  <c r="AD350"/>
  <c r="AE350"/>
  <c r="AF350"/>
  <c r="AG350"/>
  <c r="AH350"/>
  <c r="AI350"/>
  <c r="AJ350"/>
  <c r="AK350"/>
  <c r="AL350"/>
  <c r="AM350"/>
  <c r="AN350"/>
  <c r="U353"/>
  <c r="D353"/>
  <c r="E353"/>
  <c r="F353"/>
  <c r="H353"/>
  <c r="G353"/>
  <c r="K353"/>
  <c r="N353"/>
  <c r="P353"/>
  <c r="S353"/>
  <c r="T353"/>
  <c r="V353"/>
  <c r="C353"/>
  <c r="I353"/>
  <c r="J353"/>
  <c r="L353"/>
  <c r="M353"/>
  <c r="O353"/>
  <c r="Q353"/>
  <c r="R353"/>
  <c r="W353"/>
  <c r="X353"/>
  <c r="Y353"/>
  <c r="Z353"/>
  <c r="AA353"/>
  <c r="AB353"/>
  <c r="AC353"/>
  <c r="AD353"/>
  <c r="AE353"/>
  <c r="AF353"/>
  <c r="AG353"/>
  <c r="AH353"/>
  <c r="AI353"/>
  <c r="AJ353"/>
  <c r="AK353"/>
  <c r="AL353"/>
  <c r="AM353"/>
  <c r="AN353"/>
  <c r="U348"/>
  <c r="D348"/>
  <c r="F348"/>
  <c r="I348"/>
  <c r="J348"/>
  <c r="L348"/>
  <c r="N348"/>
  <c r="P348"/>
  <c r="R348"/>
  <c r="T348"/>
  <c r="C348"/>
  <c r="E348"/>
  <c r="G348"/>
  <c r="H348"/>
  <c r="K348"/>
  <c r="M348"/>
  <c r="O348"/>
  <c r="Q348"/>
  <c r="S348"/>
  <c r="V348"/>
  <c r="W348"/>
  <c r="X348"/>
  <c r="Y348"/>
  <c r="Z348"/>
  <c r="AA348"/>
  <c r="AB348"/>
  <c r="AC348"/>
  <c r="AD348"/>
  <c r="AE348"/>
  <c r="AF348"/>
  <c r="AG348"/>
  <c r="AH348"/>
  <c r="AI348"/>
  <c r="AJ348"/>
  <c r="AK348"/>
  <c r="AL348"/>
  <c r="AM348"/>
  <c r="AN348"/>
  <c r="U349"/>
  <c r="C349"/>
  <c r="H349"/>
  <c r="G349"/>
  <c r="I349"/>
  <c r="J349"/>
  <c r="L349"/>
  <c r="M349"/>
  <c r="O349"/>
  <c r="Q349"/>
  <c r="S349"/>
  <c r="V349"/>
  <c r="D349"/>
  <c r="E349"/>
  <c r="F349"/>
  <c r="K349"/>
  <c r="N349"/>
  <c r="P349"/>
  <c r="R349"/>
  <c r="T349"/>
  <c r="W349"/>
  <c r="X349"/>
  <c r="Y349"/>
  <c r="Z349"/>
  <c r="AA349"/>
  <c r="AB349"/>
  <c r="AC349"/>
  <c r="AD349"/>
  <c r="AE349"/>
  <c r="AF349"/>
  <c r="AG349"/>
  <c r="AH349"/>
  <c r="AI349"/>
  <c r="AJ349"/>
  <c r="AK349"/>
  <c r="AL349"/>
  <c r="AM349"/>
  <c r="AN349"/>
  <c r="AO348"/>
  <c r="AO352"/>
  <c r="AO356"/>
  <c r="AO349"/>
  <c r="AO353"/>
  <c r="AP355"/>
  <c r="AP353"/>
  <c r="AP351"/>
  <c r="AP349"/>
  <c r="AP639"/>
  <c r="AP62"/>
  <c r="AP659"/>
  <c r="AP644" s="1"/>
  <c r="AP68" s="1"/>
  <c r="B649"/>
  <c r="AN630"/>
  <c r="AO550"/>
  <c r="AO551" s="1"/>
  <c r="AO103" s="1"/>
  <c r="AO244" s="1"/>
  <c r="AO556"/>
  <c r="AO557" s="1"/>
  <c r="AO104" s="1"/>
  <c r="B314"/>
  <c r="B318"/>
  <c r="B448"/>
  <c r="B450"/>
  <c r="B452"/>
  <c r="B315"/>
  <c r="AM270"/>
  <c r="AM271" s="1"/>
  <c r="B316"/>
  <c r="B447"/>
  <c r="B449"/>
  <c r="B451"/>
  <c r="B313"/>
  <c r="B317"/>
  <c r="AP240"/>
  <c r="AP204"/>
  <c r="AN268"/>
  <c r="AN229"/>
  <c r="AN18"/>
  <c r="AN20" s="1"/>
  <c r="AN266"/>
  <c r="AN227"/>
  <c r="AM231"/>
  <c r="AM232" s="1"/>
  <c r="AN597"/>
  <c r="AO594"/>
  <c r="AO595" s="1"/>
  <c r="AO586"/>
  <c r="AO587" s="1"/>
  <c r="AO582"/>
  <c r="AO583" s="1"/>
  <c r="AO590"/>
  <c r="AO591" s="1"/>
  <c r="AO51" s="1"/>
  <c r="AP623"/>
  <c r="AP27"/>
  <c r="AB617"/>
  <c r="AO29"/>
  <c r="AO31" s="1"/>
  <c r="AO41" s="1"/>
  <c r="J171" i="7" l="1"/>
  <c r="J199" s="1"/>
  <c r="J200" s="1"/>
  <c r="J108" s="1"/>
  <c r="J109" s="1"/>
  <c r="AK273" i="2"/>
  <c r="AK274" s="1"/>
  <c r="AK108" s="1"/>
  <c r="AK109" s="1"/>
  <c r="J242" i="8"/>
  <c r="J270" s="1"/>
  <c r="J271" s="1"/>
  <c r="J99" s="1"/>
  <c r="J100" s="1"/>
  <c r="AM56" i="2"/>
  <c r="B731"/>
  <c r="B734"/>
  <c r="B732"/>
  <c r="B730"/>
  <c r="B733"/>
  <c r="B729"/>
  <c r="AO49"/>
  <c r="AO14"/>
  <c r="AF101" i="8"/>
  <c r="AL649" i="10"/>
  <c r="AL652" s="1"/>
  <c r="AK745"/>
  <c r="AI700" i="8"/>
  <c r="AJ604"/>
  <c r="AJ607" s="1"/>
  <c r="J87"/>
  <c r="J79"/>
  <c r="J96" i="7"/>
  <c r="J88"/>
  <c r="K538"/>
  <c r="AO17" i="2"/>
  <c r="AO52"/>
  <c r="AO230"/>
  <c r="AO269"/>
  <c r="AO15"/>
  <c r="AO50"/>
  <c r="AO228"/>
  <c r="AO267"/>
  <c r="R725"/>
  <c r="R735" s="1"/>
  <c r="R707" s="1"/>
  <c r="R65" s="1"/>
  <c r="S725"/>
  <c r="S735" s="1"/>
  <c r="S707" s="1"/>
  <c r="S65" s="1"/>
  <c r="T725"/>
  <c r="T735" s="1"/>
  <c r="T707" s="1"/>
  <c r="T65" s="1"/>
  <c r="U725"/>
  <c r="U735" s="1"/>
  <c r="U707" s="1"/>
  <c r="U65" s="1"/>
  <c r="V725"/>
  <c r="V735" s="1"/>
  <c r="V707" s="1"/>
  <c r="V65" s="1"/>
  <c r="AP508"/>
  <c r="M693"/>
  <c r="M703" s="1"/>
  <c r="M675" s="1"/>
  <c r="N693"/>
  <c r="N703" s="1"/>
  <c r="N675" s="1"/>
  <c r="O693"/>
  <c r="O703" s="1"/>
  <c r="O675" s="1"/>
  <c r="P693"/>
  <c r="P703" s="1"/>
  <c r="P675" s="1"/>
  <c r="Q693"/>
  <c r="Q703" s="1"/>
  <c r="Q675" s="1"/>
  <c r="AP518"/>
  <c r="AP399"/>
  <c r="AP409" s="1"/>
  <c r="U534"/>
  <c r="U544" s="1"/>
  <c r="C534"/>
  <c r="F534"/>
  <c r="F544" s="1"/>
  <c r="H534"/>
  <c r="H544" s="1"/>
  <c r="I534"/>
  <c r="I544" s="1"/>
  <c r="J534"/>
  <c r="J544" s="1"/>
  <c r="L534"/>
  <c r="L544" s="1"/>
  <c r="N534"/>
  <c r="N544" s="1"/>
  <c r="P534"/>
  <c r="P544" s="1"/>
  <c r="S534"/>
  <c r="S544" s="1"/>
  <c r="D534"/>
  <c r="D544" s="1"/>
  <c r="E534"/>
  <c r="E544" s="1"/>
  <c r="G534"/>
  <c r="G544" s="1"/>
  <c r="K534"/>
  <c r="K544" s="1"/>
  <c r="M534"/>
  <c r="M544" s="1"/>
  <c r="O534"/>
  <c r="O544" s="1"/>
  <c r="Q534"/>
  <c r="Q544" s="1"/>
  <c r="R534"/>
  <c r="R544" s="1"/>
  <c r="T534"/>
  <c r="T544" s="1"/>
  <c r="V534"/>
  <c r="V544" s="1"/>
  <c r="W534"/>
  <c r="W544" s="1"/>
  <c r="X534"/>
  <c r="X544" s="1"/>
  <c r="Y534"/>
  <c r="Y544" s="1"/>
  <c r="Z534"/>
  <c r="Z544" s="1"/>
  <c r="AA534"/>
  <c r="AA544" s="1"/>
  <c r="AB534"/>
  <c r="AB544" s="1"/>
  <c r="AC534"/>
  <c r="AC544" s="1"/>
  <c r="AD534"/>
  <c r="AD544" s="1"/>
  <c r="AE534"/>
  <c r="AE544" s="1"/>
  <c r="AF534"/>
  <c r="AF544" s="1"/>
  <c r="AG534"/>
  <c r="AG544" s="1"/>
  <c r="AH534"/>
  <c r="AH544" s="1"/>
  <c r="AI534"/>
  <c r="AI544" s="1"/>
  <c r="AJ534"/>
  <c r="AJ544" s="1"/>
  <c r="AK534"/>
  <c r="AK544" s="1"/>
  <c r="AL534"/>
  <c r="AL544" s="1"/>
  <c r="AM534"/>
  <c r="AM544" s="1"/>
  <c r="AN534"/>
  <c r="AN544" s="1"/>
  <c r="AO534"/>
  <c r="AO544" s="1"/>
  <c r="B543"/>
  <c r="B535"/>
  <c r="B536"/>
  <c r="B541"/>
  <c r="AP534"/>
  <c r="AP544" s="1"/>
  <c r="B542"/>
  <c r="B538"/>
  <c r="B539"/>
  <c r="B540"/>
  <c r="B537"/>
  <c r="B516"/>
  <c r="B510"/>
  <c r="B509"/>
  <c r="AP373"/>
  <c r="AP383" s="1"/>
  <c r="C508"/>
  <c r="E508"/>
  <c r="E518" s="1"/>
  <c r="D508"/>
  <c r="D518" s="1"/>
  <c r="F508"/>
  <c r="F518" s="1"/>
  <c r="G508"/>
  <c r="G518" s="1"/>
  <c r="H508"/>
  <c r="H518" s="1"/>
  <c r="I508"/>
  <c r="I518" s="1"/>
  <c r="J508"/>
  <c r="J518" s="1"/>
  <c r="K508"/>
  <c r="K518" s="1"/>
  <c r="L508"/>
  <c r="L518" s="1"/>
  <c r="M508"/>
  <c r="M518" s="1"/>
  <c r="N508"/>
  <c r="N518" s="1"/>
  <c r="O508"/>
  <c r="O518" s="1"/>
  <c r="P508"/>
  <c r="P518" s="1"/>
  <c r="Q508"/>
  <c r="Q518" s="1"/>
  <c r="R508"/>
  <c r="R518" s="1"/>
  <c r="S508"/>
  <c r="S518" s="1"/>
  <c r="T508"/>
  <c r="T518" s="1"/>
  <c r="U508"/>
  <c r="U518" s="1"/>
  <c r="V508"/>
  <c r="V518" s="1"/>
  <c r="W508"/>
  <c r="W518" s="1"/>
  <c r="X508"/>
  <c r="X518" s="1"/>
  <c r="Y508"/>
  <c r="Y518" s="1"/>
  <c r="Z508"/>
  <c r="Z518" s="1"/>
  <c r="AA508"/>
  <c r="AA518" s="1"/>
  <c r="AB508"/>
  <c r="AB518" s="1"/>
  <c r="AC508"/>
  <c r="AC518" s="1"/>
  <c r="AD508"/>
  <c r="AD518" s="1"/>
  <c r="AE508"/>
  <c r="AE518" s="1"/>
  <c r="AF508"/>
  <c r="AF518" s="1"/>
  <c r="AG508"/>
  <c r="AG518" s="1"/>
  <c r="AH508"/>
  <c r="AH518" s="1"/>
  <c r="AI508"/>
  <c r="AI518" s="1"/>
  <c r="AJ508"/>
  <c r="AJ518" s="1"/>
  <c r="AK508"/>
  <c r="AK518" s="1"/>
  <c r="AL508"/>
  <c r="AL518" s="1"/>
  <c r="AM508"/>
  <c r="AM518" s="1"/>
  <c r="AN508"/>
  <c r="AN518" s="1"/>
  <c r="AO508"/>
  <c r="AO518" s="1"/>
  <c r="B515"/>
  <c r="B512"/>
  <c r="B513"/>
  <c r="B517"/>
  <c r="B514"/>
  <c r="B511"/>
  <c r="AP735"/>
  <c r="AP707" s="1"/>
  <c r="AP65" s="1"/>
  <c r="B407"/>
  <c r="B408"/>
  <c r="B404"/>
  <c r="B400"/>
  <c r="B401"/>
  <c r="B406"/>
  <c r="V399"/>
  <c r="V409" s="1"/>
  <c r="C399"/>
  <c r="H399"/>
  <c r="H409" s="1"/>
  <c r="I399"/>
  <c r="I409" s="1"/>
  <c r="J399"/>
  <c r="J409" s="1"/>
  <c r="O399"/>
  <c r="O409" s="1"/>
  <c r="P399"/>
  <c r="P409" s="1"/>
  <c r="Q399"/>
  <c r="Q409" s="1"/>
  <c r="T399"/>
  <c r="T409" s="1"/>
  <c r="D399"/>
  <c r="D409" s="1"/>
  <c r="E399"/>
  <c r="E409" s="1"/>
  <c r="F399"/>
  <c r="F409" s="1"/>
  <c r="G399"/>
  <c r="G409" s="1"/>
  <c r="K399"/>
  <c r="K409" s="1"/>
  <c r="L399"/>
  <c r="L409" s="1"/>
  <c r="M399"/>
  <c r="M409" s="1"/>
  <c r="N399"/>
  <c r="N409" s="1"/>
  <c r="R399"/>
  <c r="R409" s="1"/>
  <c r="S399"/>
  <c r="S409" s="1"/>
  <c r="U399"/>
  <c r="U409" s="1"/>
  <c r="W399"/>
  <c r="W409" s="1"/>
  <c r="X399"/>
  <c r="X409" s="1"/>
  <c r="Y399"/>
  <c r="Y409" s="1"/>
  <c r="Z399"/>
  <c r="Z409" s="1"/>
  <c r="AA399"/>
  <c r="AA409" s="1"/>
  <c r="AB399"/>
  <c r="AB409" s="1"/>
  <c r="AC399"/>
  <c r="AC409" s="1"/>
  <c r="AD399"/>
  <c r="AD409" s="1"/>
  <c r="AE399"/>
  <c r="AE409" s="1"/>
  <c r="AF399"/>
  <c r="AF409" s="1"/>
  <c r="AG399"/>
  <c r="AG409" s="1"/>
  <c r="AH399"/>
  <c r="AH409" s="1"/>
  <c r="AI399"/>
  <c r="AI409" s="1"/>
  <c r="AJ399"/>
  <c r="AJ409" s="1"/>
  <c r="AK399"/>
  <c r="AK409" s="1"/>
  <c r="AL399"/>
  <c r="AL409" s="1"/>
  <c r="AM399"/>
  <c r="AM409" s="1"/>
  <c r="AN399"/>
  <c r="AN409" s="1"/>
  <c r="AO399"/>
  <c r="AO409" s="1"/>
  <c r="B403"/>
  <c r="B405"/>
  <c r="B402"/>
  <c r="B374"/>
  <c r="C373"/>
  <c r="C383" s="1"/>
  <c r="D373"/>
  <c r="D383" s="1"/>
  <c r="E373"/>
  <c r="E383" s="1"/>
  <c r="F373"/>
  <c r="F383" s="1"/>
  <c r="G373"/>
  <c r="G383" s="1"/>
  <c r="H373"/>
  <c r="H383" s="1"/>
  <c r="I373"/>
  <c r="I383" s="1"/>
  <c r="J373"/>
  <c r="J383" s="1"/>
  <c r="K373"/>
  <c r="K383" s="1"/>
  <c r="L373"/>
  <c r="L383" s="1"/>
  <c r="M373"/>
  <c r="M383" s="1"/>
  <c r="N373"/>
  <c r="N383" s="1"/>
  <c r="O373"/>
  <c r="O383" s="1"/>
  <c r="P373"/>
  <c r="P383" s="1"/>
  <c r="Q373"/>
  <c r="Q383" s="1"/>
  <c r="R373"/>
  <c r="R383" s="1"/>
  <c r="S373"/>
  <c r="S383" s="1"/>
  <c r="T373"/>
  <c r="T383" s="1"/>
  <c r="U373"/>
  <c r="U383" s="1"/>
  <c r="V373"/>
  <c r="V383" s="1"/>
  <c r="W373"/>
  <c r="W383" s="1"/>
  <c r="X373"/>
  <c r="X383" s="1"/>
  <c r="Y373"/>
  <c r="Y383" s="1"/>
  <c r="Z373"/>
  <c r="Z383" s="1"/>
  <c r="AA373"/>
  <c r="AA383" s="1"/>
  <c r="AB373"/>
  <c r="AB383" s="1"/>
  <c r="AC373"/>
  <c r="AC383" s="1"/>
  <c r="AD373"/>
  <c r="AD383" s="1"/>
  <c r="AE373"/>
  <c r="AE383" s="1"/>
  <c r="AF373"/>
  <c r="AF383" s="1"/>
  <c r="AG373"/>
  <c r="AG383" s="1"/>
  <c r="AH373"/>
  <c r="AH383" s="1"/>
  <c r="AI373"/>
  <c r="AI383" s="1"/>
  <c r="AJ373"/>
  <c r="AJ383" s="1"/>
  <c r="AK373"/>
  <c r="AK383" s="1"/>
  <c r="AL373"/>
  <c r="AL383" s="1"/>
  <c r="AM373"/>
  <c r="AM383" s="1"/>
  <c r="AN373"/>
  <c r="AN383" s="1"/>
  <c r="AO373"/>
  <c r="AO383" s="1"/>
  <c r="B694"/>
  <c r="AP71"/>
  <c r="B695"/>
  <c r="B377"/>
  <c r="B696"/>
  <c r="B381"/>
  <c r="B378"/>
  <c r="B376"/>
  <c r="B382"/>
  <c r="B379"/>
  <c r="B380"/>
  <c r="AP64"/>
  <c r="E725"/>
  <c r="E735" s="1"/>
  <c r="E707" s="1"/>
  <c r="E65" s="1"/>
  <c r="C725"/>
  <c r="D725"/>
  <c r="D735" s="1"/>
  <c r="D707" s="1"/>
  <c r="D65" s="1"/>
  <c r="F725"/>
  <c r="F735" s="1"/>
  <c r="F707" s="1"/>
  <c r="F65" s="1"/>
  <c r="G725"/>
  <c r="G735" s="1"/>
  <c r="G707" s="1"/>
  <c r="G65" s="1"/>
  <c r="H725"/>
  <c r="H735" s="1"/>
  <c r="H707" s="1"/>
  <c r="H65" s="1"/>
  <c r="I725"/>
  <c r="I735" s="1"/>
  <c r="I707" s="1"/>
  <c r="I65" s="1"/>
  <c r="J725"/>
  <c r="J735" s="1"/>
  <c r="J707" s="1"/>
  <c r="J65" s="1"/>
  <c r="K725"/>
  <c r="K735" s="1"/>
  <c r="K707" s="1"/>
  <c r="K65" s="1"/>
  <c r="L725"/>
  <c r="L735" s="1"/>
  <c r="L707" s="1"/>
  <c r="L65" s="1"/>
  <c r="M725"/>
  <c r="M735" s="1"/>
  <c r="M707" s="1"/>
  <c r="M65" s="1"/>
  <c r="N725"/>
  <c r="N735" s="1"/>
  <c r="N707" s="1"/>
  <c r="N65" s="1"/>
  <c r="O725"/>
  <c r="O735" s="1"/>
  <c r="O707" s="1"/>
  <c r="O65" s="1"/>
  <c r="P725"/>
  <c r="P735" s="1"/>
  <c r="P707" s="1"/>
  <c r="P65" s="1"/>
  <c r="Q725"/>
  <c r="Q735" s="1"/>
  <c r="Q707" s="1"/>
  <c r="Q65" s="1"/>
  <c r="C693"/>
  <c r="D693"/>
  <c r="D703" s="1"/>
  <c r="D675" s="1"/>
  <c r="D64" s="1"/>
  <c r="E693"/>
  <c r="E703" s="1"/>
  <c r="E675" s="1"/>
  <c r="E64" s="1"/>
  <c r="F693"/>
  <c r="F703" s="1"/>
  <c r="F675" s="1"/>
  <c r="F64" s="1"/>
  <c r="G693"/>
  <c r="G703" s="1"/>
  <c r="G675" s="1"/>
  <c r="G64" s="1"/>
  <c r="H693"/>
  <c r="H703" s="1"/>
  <c r="H675" s="1"/>
  <c r="H64" s="1"/>
  <c r="I693"/>
  <c r="J693"/>
  <c r="J703" s="1"/>
  <c r="J675" s="1"/>
  <c r="J64" s="1"/>
  <c r="K693"/>
  <c r="K703" s="1"/>
  <c r="K675" s="1"/>
  <c r="K64" s="1"/>
  <c r="L693"/>
  <c r="L703" s="1"/>
  <c r="L675" s="1"/>
  <c r="L64" s="1"/>
  <c r="B726"/>
  <c r="B727"/>
  <c r="Z671"/>
  <c r="Z643" s="1"/>
  <c r="Z63" s="1"/>
  <c r="X671"/>
  <c r="X643" s="1"/>
  <c r="X63" s="1"/>
  <c r="I703"/>
  <c r="I675" s="1"/>
  <c r="I64" s="1"/>
  <c r="AN231"/>
  <c r="AN232" s="1"/>
  <c r="D661"/>
  <c r="D671" s="1"/>
  <c r="D643" s="1"/>
  <c r="E661"/>
  <c r="E671" s="1"/>
  <c r="E643" s="1"/>
  <c r="F661"/>
  <c r="F671" s="1"/>
  <c r="F643" s="1"/>
  <c r="G661"/>
  <c r="G671" s="1"/>
  <c r="G643" s="1"/>
  <c r="H661"/>
  <c r="H671" s="1"/>
  <c r="H643" s="1"/>
  <c r="I661"/>
  <c r="I671" s="1"/>
  <c r="I643" s="1"/>
  <c r="J661"/>
  <c r="J671" s="1"/>
  <c r="J643" s="1"/>
  <c r="K661"/>
  <c r="L661"/>
  <c r="L671" s="1"/>
  <c r="L643" s="1"/>
  <c r="M661"/>
  <c r="M671" s="1"/>
  <c r="M643" s="1"/>
  <c r="M63" s="1"/>
  <c r="N661"/>
  <c r="N671" s="1"/>
  <c r="N643" s="1"/>
  <c r="N63" s="1"/>
  <c r="AP10"/>
  <c r="AP12" s="1"/>
  <c r="AM202"/>
  <c r="AM206" s="1"/>
  <c r="AM234" s="1"/>
  <c r="AM235" s="1"/>
  <c r="AM107" s="1"/>
  <c r="AN270"/>
  <c r="AN271" s="1"/>
  <c r="AM238"/>
  <c r="AO116"/>
  <c r="AN43"/>
  <c r="AN47" s="1"/>
  <c r="AN56" s="1"/>
  <c r="AG671"/>
  <c r="AG643" s="1"/>
  <c r="AG63" s="1"/>
  <c r="AB614"/>
  <c r="AB80"/>
  <c r="AB81" s="1"/>
  <c r="AP117"/>
  <c r="B120" s="1"/>
  <c r="U671"/>
  <c r="U643" s="1"/>
  <c r="U63" s="1"/>
  <c r="Q671"/>
  <c r="Q643" s="1"/>
  <c r="Q63" s="1"/>
  <c r="T671"/>
  <c r="T643" s="1"/>
  <c r="T63" s="1"/>
  <c r="AD671"/>
  <c r="AD643" s="1"/>
  <c r="AD63" s="1"/>
  <c r="Y671"/>
  <c r="Y643" s="1"/>
  <c r="Y63" s="1"/>
  <c r="AO671"/>
  <c r="AO643" s="1"/>
  <c r="AO63" s="1"/>
  <c r="AP671"/>
  <c r="AP643" s="1"/>
  <c r="AP63" s="1"/>
  <c r="AC671"/>
  <c r="AC643" s="1"/>
  <c r="AC63" s="1"/>
  <c r="AH671"/>
  <c r="AH643" s="1"/>
  <c r="AH63" s="1"/>
  <c r="AL671"/>
  <c r="AL643" s="1"/>
  <c r="AL63" s="1"/>
  <c r="AJ109"/>
  <c r="AN671"/>
  <c r="AN643" s="1"/>
  <c r="AN63" s="1"/>
  <c r="AA671"/>
  <c r="AA643" s="1"/>
  <c r="AA63" s="1"/>
  <c r="AI671"/>
  <c r="AI643" s="1"/>
  <c r="AI63" s="1"/>
  <c r="AE671"/>
  <c r="AE643" s="1"/>
  <c r="AE63" s="1"/>
  <c r="AB671"/>
  <c r="AB643" s="1"/>
  <c r="AB63" s="1"/>
  <c r="AJ671"/>
  <c r="AJ643" s="1"/>
  <c r="AJ63" s="1"/>
  <c r="AF671"/>
  <c r="AF643" s="1"/>
  <c r="AF63" s="1"/>
  <c r="S671"/>
  <c r="S643" s="1"/>
  <c r="S63" s="1"/>
  <c r="R671"/>
  <c r="R643" s="1"/>
  <c r="R63" s="1"/>
  <c r="AM671"/>
  <c r="AM643" s="1"/>
  <c r="AM63" s="1"/>
  <c r="V671"/>
  <c r="V643" s="1"/>
  <c r="V63" s="1"/>
  <c r="W671"/>
  <c r="W643" s="1"/>
  <c r="W63" s="1"/>
  <c r="K671"/>
  <c r="K643" s="1"/>
  <c r="AP482"/>
  <c r="AP492" s="1"/>
  <c r="C661"/>
  <c r="AL242"/>
  <c r="AL245" s="1"/>
  <c r="AO105"/>
  <c r="B663"/>
  <c r="B486"/>
  <c r="B487"/>
  <c r="B491"/>
  <c r="B484"/>
  <c r="B483"/>
  <c r="B489"/>
  <c r="C482"/>
  <c r="D482"/>
  <c r="D492" s="1"/>
  <c r="E482"/>
  <c r="E492" s="1"/>
  <c r="F482"/>
  <c r="F492" s="1"/>
  <c r="J482"/>
  <c r="J492" s="1"/>
  <c r="K482"/>
  <c r="K492" s="1"/>
  <c r="L482"/>
  <c r="L492" s="1"/>
  <c r="M482"/>
  <c r="M492" s="1"/>
  <c r="N482"/>
  <c r="N492" s="1"/>
  <c r="O482"/>
  <c r="O492" s="1"/>
  <c r="P482"/>
  <c r="P492" s="1"/>
  <c r="R482"/>
  <c r="R492" s="1"/>
  <c r="T482"/>
  <c r="T492" s="1"/>
  <c r="U482"/>
  <c r="U492" s="1"/>
  <c r="G482"/>
  <c r="G492" s="1"/>
  <c r="H482"/>
  <c r="H492" s="1"/>
  <c r="I482"/>
  <c r="I492" s="1"/>
  <c r="Q482"/>
  <c r="Q492" s="1"/>
  <c r="S482"/>
  <c r="S492" s="1"/>
  <c r="V482"/>
  <c r="V492" s="1"/>
  <c r="W482"/>
  <c r="W492" s="1"/>
  <c r="X482"/>
  <c r="X492" s="1"/>
  <c r="Y482"/>
  <c r="Y492" s="1"/>
  <c r="Z482"/>
  <c r="Z492" s="1"/>
  <c r="AA482"/>
  <c r="AA492" s="1"/>
  <c r="AB482"/>
  <c r="AB492" s="1"/>
  <c r="AE482"/>
  <c r="AE492" s="1"/>
  <c r="AC482"/>
  <c r="AC492" s="1"/>
  <c r="AD482"/>
  <c r="AD492" s="1"/>
  <c r="AF482"/>
  <c r="AF492" s="1"/>
  <c r="AG482"/>
  <c r="AG492" s="1"/>
  <c r="AH482"/>
  <c r="AH492" s="1"/>
  <c r="AI482"/>
  <c r="AI492" s="1"/>
  <c r="AJ482"/>
  <c r="AJ492" s="1"/>
  <c r="AK482"/>
  <c r="AK492" s="1"/>
  <c r="AL482"/>
  <c r="AL492" s="1"/>
  <c r="AM482"/>
  <c r="AM492" s="1"/>
  <c r="AN482"/>
  <c r="AN492" s="1"/>
  <c r="AO482"/>
  <c r="AO492" s="1"/>
  <c r="B664"/>
  <c r="B490"/>
  <c r="B488"/>
  <c r="B485"/>
  <c r="U347"/>
  <c r="U357" s="1"/>
  <c r="C347"/>
  <c r="C357" s="1"/>
  <c r="E347"/>
  <c r="E357" s="1"/>
  <c r="F347"/>
  <c r="F357" s="1"/>
  <c r="G347"/>
  <c r="G357" s="1"/>
  <c r="I347"/>
  <c r="I357" s="1"/>
  <c r="K347"/>
  <c r="K357" s="1"/>
  <c r="M347"/>
  <c r="M357" s="1"/>
  <c r="O347"/>
  <c r="O357" s="1"/>
  <c r="Q347"/>
  <c r="Q357" s="1"/>
  <c r="R347"/>
  <c r="R357" s="1"/>
  <c r="S347"/>
  <c r="S357" s="1"/>
  <c r="V347"/>
  <c r="V357" s="1"/>
  <c r="D347"/>
  <c r="D357" s="1"/>
  <c r="H347"/>
  <c r="H357" s="1"/>
  <c r="J347"/>
  <c r="J357" s="1"/>
  <c r="L347"/>
  <c r="L357" s="1"/>
  <c r="N347"/>
  <c r="N357" s="1"/>
  <c r="P347"/>
  <c r="P357" s="1"/>
  <c r="T347"/>
  <c r="T357" s="1"/>
  <c r="W347"/>
  <c r="W357" s="1"/>
  <c r="X347"/>
  <c r="X357" s="1"/>
  <c r="Y347"/>
  <c r="Y357" s="1"/>
  <c r="Z347"/>
  <c r="Z357" s="1"/>
  <c r="AA347"/>
  <c r="AA357" s="1"/>
  <c r="AB347"/>
  <c r="AB357" s="1"/>
  <c r="AD347"/>
  <c r="AD357" s="1"/>
  <c r="AE347"/>
  <c r="AE357" s="1"/>
  <c r="AC347"/>
  <c r="AC357" s="1"/>
  <c r="AF347"/>
  <c r="AF357" s="1"/>
  <c r="AG347"/>
  <c r="AG357" s="1"/>
  <c r="AH347"/>
  <c r="AH357" s="1"/>
  <c r="AI347"/>
  <c r="AI357" s="1"/>
  <c r="AJ347"/>
  <c r="AJ357" s="1"/>
  <c r="AK347"/>
  <c r="AK357" s="1"/>
  <c r="AL347"/>
  <c r="AL357" s="1"/>
  <c r="AM347"/>
  <c r="AM357" s="1"/>
  <c r="AN347"/>
  <c r="AN357" s="1"/>
  <c r="AO347"/>
  <c r="AO357" s="1"/>
  <c r="B348"/>
  <c r="B353"/>
  <c r="B350"/>
  <c r="B354"/>
  <c r="B355"/>
  <c r="B352"/>
  <c r="AP347"/>
  <c r="AP357" s="1"/>
  <c r="B349"/>
  <c r="B351"/>
  <c r="B356"/>
  <c r="B662"/>
  <c r="B665"/>
  <c r="B666"/>
  <c r="AO630"/>
  <c r="AP550"/>
  <c r="AP551" s="1"/>
  <c r="AP103" s="1"/>
  <c r="AP244" s="1"/>
  <c r="AP556"/>
  <c r="AP557" s="1"/>
  <c r="AP104" s="1"/>
  <c r="AO268"/>
  <c r="AO229"/>
  <c r="AO266"/>
  <c r="AO227"/>
  <c r="AO597"/>
  <c r="AP590"/>
  <c r="AP591" s="1"/>
  <c r="AP51" s="1"/>
  <c r="AP594"/>
  <c r="AP595" s="1"/>
  <c r="AP586"/>
  <c r="AP587" s="1"/>
  <c r="AP582"/>
  <c r="AP583" s="1"/>
  <c r="AP29"/>
  <c r="AP31" s="1"/>
  <c r="AP41" s="1"/>
  <c r="AL273" l="1"/>
  <c r="AL274" s="1"/>
  <c r="AL108" s="1"/>
  <c r="P64"/>
  <c r="P605"/>
  <c r="P606" s="1"/>
  <c r="N64"/>
  <c r="N605"/>
  <c r="N606" s="1"/>
  <c r="Q64"/>
  <c r="Q605"/>
  <c r="Q606" s="1"/>
  <c r="O64"/>
  <c r="O605"/>
  <c r="O606" s="1"/>
  <c r="M64"/>
  <c r="M605"/>
  <c r="M606" s="1"/>
  <c r="D63"/>
  <c r="D605"/>
  <c r="D606" s="1"/>
  <c r="L63"/>
  <c r="L605"/>
  <c r="L606" s="1"/>
  <c r="J63"/>
  <c r="J605"/>
  <c r="J606" s="1"/>
  <c r="H63"/>
  <c r="H605"/>
  <c r="H606" s="1"/>
  <c r="F63"/>
  <c r="F605"/>
  <c r="F606" s="1"/>
  <c r="I63"/>
  <c r="I605"/>
  <c r="I606" s="1"/>
  <c r="K63"/>
  <c r="K605"/>
  <c r="K606" s="1"/>
  <c r="G63"/>
  <c r="G605"/>
  <c r="G606" s="1"/>
  <c r="E63"/>
  <c r="E605"/>
  <c r="E606" s="1"/>
  <c r="AO53"/>
  <c r="AO18"/>
  <c r="AO20" s="1"/>
  <c r="AO43" s="1"/>
  <c r="AP49"/>
  <c r="AP14"/>
  <c r="AM649" i="10"/>
  <c r="AM652" s="1"/>
  <c r="AL745"/>
  <c r="AJ700" i="8"/>
  <c r="AK604"/>
  <c r="AK607" s="1"/>
  <c r="K204"/>
  <c r="K232" s="1"/>
  <c r="K233" s="1"/>
  <c r="J88"/>
  <c r="J101" s="1"/>
  <c r="K166" i="7"/>
  <c r="K130"/>
  <c r="K132" s="1"/>
  <c r="K160" s="1"/>
  <c r="K161" s="1"/>
  <c r="K55"/>
  <c r="K56" s="1"/>
  <c r="K543"/>
  <c r="J97"/>
  <c r="J110" s="1"/>
  <c r="AP17" i="2"/>
  <c r="AP52"/>
  <c r="AP230"/>
  <c r="AP269"/>
  <c r="AP15"/>
  <c r="AP50"/>
  <c r="AP53" s="1"/>
  <c r="AP228"/>
  <c r="AP267"/>
  <c r="C544"/>
  <c r="B534"/>
  <c r="C518"/>
  <c r="B508"/>
  <c r="C409"/>
  <c r="B399"/>
  <c r="B373"/>
  <c r="B375"/>
  <c r="B725"/>
  <c r="C735"/>
  <c r="C707" s="1"/>
  <c r="AN202"/>
  <c r="AN206" s="1"/>
  <c r="AN234" s="1"/>
  <c r="AN235" s="1"/>
  <c r="AN107" s="1"/>
  <c r="AP116"/>
  <c r="AN238"/>
  <c r="B117"/>
  <c r="AO231"/>
  <c r="AO232" s="1"/>
  <c r="AP105"/>
  <c r="AM242"/>
  <c r="AM245" s="1"/>
  <c r="AO270"/>
  <c r="AO271" s="1"/>
  <c r="C492"/>
  <c r="B482"/>
  <c r="B347"/>
  <c r="C671"/>
  <c r="C643" s="1"/>
  <c r="B661"/>
  <c r="AP630"/>
  <c r="AP266"/>
  <c r="AP227"/>
  <c r="AP268"/>
  <c r="AP229"/>
  <c r="AP597"/>
  <c r="AC617"/>
  <c r="AM273" l="1"/>
  <c r="AM274" s="1"/>
  <c r="AM108" s="1"/>
  <c r="AM109" s="1"/>
  <c r="M607"/>
  <c r="M609" s="1"/>
  <c r="M619"/>
  <c r="O607"/>
  <c r="O609" s="1"/>
  <c r="O619"/>
  <c r="Q607"/>
  <c r="Q609" s="1"/>
  <c r="Q619"/>
  <c r="N607"/>
  <c r="N609" s="1"/>
  <c r="N619"/>
  <c r="P619"/>
  <c r="P607"/>
  <c r="P609" s="1"/>
  <c r="AP18"/>
  <c r="AP20" s="1"/>
  <c r="AP43" s="1"/>
  <c r="C63"/>
  <c r="E619"/>
  <c r="E607"/>
  <c r="E609" s="1"/>
  <c r="G619"/>
  <c r="G607"/>
  <c r="G609" s="1"/>
  <c r="K619"/>
  <c r="K607"/>
  <c r="K609" s="1"/>
  <c r="I619"/>
  <c r="I607"/>
  <c r="I609" s="1"/>
  <c r="F619"/>
  <c r="F607"/>
  <c r="F609" s="1"/>
  <c r="H619"/>
  <c r="H607"/>
  <c r="H609" s="1"/>
  <c r="J619"/>
  <c r="J607"/>
  <c r="J609" s="1"/>
  <c r="L619"/>
  <c r="L607"/>
  <c r="L609" s="1"/>
  <c r="D619"/>
  <c r="D607"/>
  <c r="D609" s="1"/>
  <c r="B119"/>
  <c r="B121" s="1"/>
  <c r="C83" i="1" s="1"/>
  <c r="AN649" i="10"/>
  <c r="AN652" s="1"/>
  <c r="AM745"/>
  <c r="AK700" i="8"/>
  <c r="AL604"/>
  <c r="AL607" s="1"/>
  <c r="B77"/>
  <c r="B72"/>
  <c r="B73" s="1"/>
  <c r="B78" s="1"/>
  <c r="K72"/>
  <c r="K73" s="1"/>
  <c r="K78" s="1"/>
  <c r="K239"/>
  <c r="K98"/>
  <c r="B86" i="7"/>
  <c r="B81"/>
  <c r="B82" s="1"/>
  <c r="B87" s="1"/>
  <c r="B96" s="1"/>
  <c r="K540"/>
  <c r="K541" s="1"/>
  <c r="L544" s="1"/>
  <c r="K80"/>
  <c r="K81" s="1"/>
  <c r="K82" s="1"/>
  <c r="K87" s="1"/>
  <c r="K168"/>
  <c r="K107"/>
  <c r="C709" i="2"/>
  <c r="D706" s="1"/>
  <c r="D709" s="1"/>
  <c r="E706" s="1"/>
  <c r="E709" s="1"/>
  <c r="F706" s="1"/>
  <c r="F709" s="1"/>
  <c r="G706" s="1"/>
  <c r="G709" s="1"/>
  <c r="H706" s="1"/>
  <c r="H709" s="1"/>
  <c r="I706" s="1"/>
  <c r="I709" s="1"/>
  <c r="J706" s="1"/>
  <c r="J709" s="1"/>
  <c r="K706" s="1"/>
  <c r="K709" s="1"/>
  <c r="L706" s="1"/>
  <c r="L709" s="1"/>
  <c r="M706" s="1"/>
  <c r="M709" s="1"/>
  <c r="N706" s="1"/>
  <c r="N709" s="1"/>
  <c r="O706" s="1"/>
  <c r="O709" s="1"/>
  <c r="P706" s="1"/>
  <c r="P709" s="1"/>
  <c r="Q706" s="1"/>
  <c r="Q709" s="1"/>
  <c r="R706" s="1"/>
  <c r="R709" s="1"/>
  <c r="S706" s="1"/>
  <c r="S709" s="1"/>
  <c r="T706" s="1"/>
  <c r="T709" s="1"/>
  <c r="U706" s="1"/>
  <c r="U709" s="1"/>
  <c r="V706" s="1"/>
  <c r="V709" s="1"/>
  <c r="W706" s="1"/>
  <c r="W709" s="1"/>
  <c r="X706" s="1"/>
  <c r="X709" s="1"/>
  <c r="Y706" s="1"/>
  <c r="Y709" s="1"/>
  <c r="Z706" s="1"/>
  <c r="Z709" s="1"/>
  <c r="AA706" s="1"/>
  <c r="AA709" s="1"/>
  <c r="AB706" s="1"/>
  <c r="AB709" s="1"/>
  <c r="AC706" s="1"/>
  <c r="AC709" s="1"/>
  <c r="AD706" s="1"/>
  <c r="AD709" s="1"/>
  <c r="AE706" s="1"/>
  <c r="AE709" s="1"/>
  <c r="AF706" s="1"/>
  <c r="AF709" s="1"/>
  <c r="AG706" s="1"/>
  <c r="AG709" s="1"/>
  <c r="AH706" s="1"/>
  <c r="AH709" s="1"/>
  <c r="AI706" s="1"/>
  <c r="AI709" s="1"/>
  <c r="AJ706" s="1"/>
  <c r="AJ709" s="1"/>
  <c r="AK706" s="1"/>
  <c r="AK709" s="1"/>
  <c r="AL706" s="1"/>
  <c r="AL709" s="1"/>
  <c r="AM706" s="1"/>
  <c r="AM709" s="1"/>
  <c r="AN706" s="1"/>
  <c r="AN709" s="1"/>
  <c r="AO706" s="1"/>
  <c r="AO709" s="1"/>
  <c r="AP706" s="1"/>
  <c r="AP709" s="1"/>
  <c r="C65"/>
  <c r="B116"/>
  <c r="AN242"/>
  <c r="AN245" s="1"/>
  <c r="AO47"/>
  <c r="AO56" s="1"/>
  <c r="AO202"/>
  <c r="AO206" s="1"/>
  <c r="AO234" s="1"/>
  <c r="AO235" s="1"/>
  <c r="AO107" s="1"/>
  <c r="AO238"/>
  <c r="AC614"/>
  <c r="AC80"/>
  <c r="AC81" s="1"/>
  <c r="AL109"/>
  <c r="C645"/>
  <c r="AP270"/>
  <c r="AP271" s="1"/>
  <c r="AP231"/>
  <c r="AP232" s="1"/>
  <c r="K171" i="7" l="1"/>
  <c r="K199" s="1"/>
  <c r="K200" s="1"/>
  <c r="K108" s="1"/>
  <c r="K109" s="1"/>
  <c r="AN273" i="2"/>
  <c r="AN274" s="1"/>
  <c r="AN108" s="1"/>
  <c r="AN109" s="1"/>
  <c r="K242" i="8"/>
  <c r="K270" s="1"/>
  <c r="K271" s="1"/>
  <c r="K99" s="1"/>
  <c r="K100" s="1"/>
  <c r="O633" i="2"/>
  <c r="P630" s="1"/>
  <c r="P623"/>
  <c r="P624" s="1"/>
  <c r="M633"/>
  <c r="N623"/>
  <c r="N624" s="1"/>
  <c r="Q623"/>
  <c r="Q624" s="1"/>
  <c r="P633"/>
  <c r="O623"/>
  <c r="O624" s="1"/>
  <c r="N633"/>
  <c r="M623"/>
  <c r="M624" s="1"/>
  <c r="L633"/>
  <c r="M630" s="1"/>
  <c r="C633"/>
  <c r="D623"/>
  <c r="D624" s="1"/>
  <c r="L623"/>
  <c r="L624" s="1"/>
  <c r="K633"/>
  <c r="J623"/>
  <c r="J624" s="1"/>
  <c r="I633"/>
  <c r="H623"/>
  <c r="H624" s="1"/>
  <c r="G633"/>
  <c r="F623"/>
  <c r="F624" s="1"/>
  <c r="E633"/>
  <c r="I623"/>
  <c r="I624" s="1"/>
  <c r="H633"/>
  <c r="K623"/>
  <c r="K624" s="1"/>
  <c r="J633"/>
  <c r="G623"/>
  <c r="G624" s="1"/>
  <c r="F633"/>
  <c r="E623"/>
  <c r="E624" s="1"/>
  <c r="D633"/>
  <c r="AO649" i="10"/>
  <c r="AO652" s="1"/>
  <c r="AN745"/>
  <c r="AL700" i="8"/>
  <c r="AM604"/>
  <c r="AM607" s="1"/>
  <c r="B87"/>
  <c r="B127"/>
  <c r="B140" s="1"/>
  <c r="B116"/>
  <c r="B118" s="1"/>
  <c r="K87"/>
  <c r="K79"/>
  <c r="B86"/>
  <c r="B79"/>
  <c r="K96" i="7"/>
  <c r="K88"/>
  <c r="B95"/>
  <c r="B88"/>
  <c r="L538"/>
  <c r="D642" i="2"/>
  <c r="D645" s="1"/>
  <c r="E642" s="1"/>
  <c r="E645" s="1"/>
  <c r="AP47"/>
  <c r="AP56" s="1"/>
  <c r="AP202"/>
  <c r="AP206" s="1"/>
  <c r="AP234" s="1"/>
  <c r="AP235" s="1"/>
  <c r="AP107" s="1"/>
  <c r="AP238"/>
  <c r="AO242"/>
  <c r="AO245" s="1"/>
  <c r="AD617"/>
  <c r="AO273" l="1"/>
  <c r="AO274" s="1"/>
  <c r="AO108" s="1"/>
  <c r="AO109" s="1"/>
  <c r="M631"/>
  <c r="M61" s="1"/>
  <c r="N630"/>
  <c r="N632" s="1"/>
  <c r="O630"/>
  <c r="O631" s="1"/>
  <c r="O61" s="1"/>
  <c r="P631"/>
  <c r="P61" s="1"/>
  <c r="Q630"/>
  <c r="Q632" s="1"/>
  <c r="Q61" s="1"/>
  <c r="D630"/>
  <c r="D631" s="1"/>
  <c r="D61" s="1"/>
  <c r="D66" s="1"/>
  <c r="D72" s="1"/>
  <c r="E630"/>
  <c r="E631" s="1"/>
  <c r="E61" s="1"/>
  <c r="E66" s="1"/>
  <c r="E72" s="1"/>
  <c r="G630"/>
  <c r="G631" s="1"/>
  <c r="G61" s="1"/>
  <c r="K630"/>
  <c r="K631" s="1"/>
  <c r="K61" s="1"/>
  <c r="I630"/>
  <c r="I631" s="1"/>
  <c r="I61" s="1"/>
  <c r="F630"/>
  <c r="F631" s="1"/>
  <c r="F61" s="1"/>
  <c r="H630"/>
  <c r="H631" s="1"/>
  <c r="H61" s="1"/>
  <c r="J630"/>
  <c r="J631" s="1"/>
  <c r="J61" s="1"/>
  <c r="L630"/>
  <c r="K82" i="8"/>
  <c r="I82"/>
  <c r="G82"/>
  <c r="E82"/>
  <c r="C82"/>
  <c r="J82"/>
  <c r="B95" i="1" s="1"/>
  <c r="H82" i="8"/>
  <c r="F82"/>
  <c r="D82"/>
  <c r="J91" i="7"/>
  <c r="E95" i="1" s="1"/>
  <c r="H91" i="7"/>
  <c r="F91"/>
  <c r="D91"/>
  <c r="K91"/>
  <c r="I91"/>
  <c r="G91"/>
  <c r="E91"/>
  <c r="C91"/>
  <c r="AP649" i="10"/>
  <c r="AP652" s="1"/>
  <c r="AP745" s="1"/>
  <c r="AO745"/>
  <c r="AM700" i="8"/>
  <c r="AN604"/>
  <c r="AN607" s="1"/>
  <c r="J81"/>
  <c r="B89" i="1" s="1"/>
  <c r="H81" i="8"/>
  <c r="F81"/>
  <c r="D81"/>
  <c r="B81"/>
  <c r="B82"/>
  <c r="K81"/>
  <c r="I81"/>
  <c r="G81"/>
  <c r="E81"/>
  <c r="C81"/>
  <c r="L204"/>
  <c r="L232" s="1"/>
  <c r="L233" s="1"/>
  <c r="B121"/>
  <c r="B120"/>
  <c r="B88"/>
  <c r="B101" s="1"/>
  <c r="B170"/>
  <c r="B174" s="1"/>
  <c r="B191" s="1"/>
  <c r="B155"/>
  <c r="K88"/>
  <c r="K101" s="1"/>
  <c r="B144"/>
  <c r="B142"/>
  <c r="L166" i="7"/>
  <c r="L130"/>
  <c r="L132" s="1"/>
  <c r="L160" s="1"/>
  <c r="L161" s="1"/>
  <c r="L55"/>
  <c r="L56" s="1"/>
  <c r="L543"/>
  <c r="J90"/>
  <c r="H90"/>
  <c r="F90"/>
  <c r="D90"/>
  <c r="B90"/>
  <c r="B91"/>
  <c r="K90"/>
  <c r="I90"/>
  <c r="E89" i="1" s="1"/>
  <c r="G90" i="7"/>
  <c r="E90"/>
  <c r="C90"/>
  <c r="B97"/>
  <c r="B110" s="1"/>
  <c r="K97"/>
  <c r="K110" s="1"/>
  <c r="AD614" i="2"/>
  <c r="AD80"/>
  <c r="AD81" s="1"/>
  <c r="AP242"/>
  <c r="AP245" s="1"/>
  <c r="F642"/>
  <c r="F645" s="1"/>
  <c r="N631" l="1"/>
  <c r="N61" s="1"/>
  <c r="AP273"/>
  <c r="AP274" s="1"/>
  <c r="AP108" s="1"/>
  <c r="L632"/>
  <c r="L631"/>
  <c r="K104" i="8"/>
  <c r="I104"/>
  <c r="G104"/>
  <c r="E104"/>
  <c r="C104"/>
  <c r="J104"/>
  <c r="B96" i="1" s="1"/>
  <c r="H104" i="8"/>
  <c r="F104"/>
  <c r="D104"/>
  <c r="J114" i="7"/>
  <c r="E96" i="1" s="1"/>
  <c r="H114" i="7"/>
  <c r="F114"/>
  <c r="D114"/>
  <c r="K114"/>
  <c r="I114"/>
  <c r="G114"/>
  <c r="E114"/>
  <c r="C114"/>
  <c r="AN700" i="8"/>
  <c r="AO604"/>
  <c r="AO607" s="1"/>
  <c r="B159"/>
  <c r="B150"/>
  <c r="B151" s="1"/>
  <c r="B162"/>
  <c r="B104"/>
  <c r="K103"/>
  <c r="I103"/>
  <c r="G103"/>
  <c r="E103"/>
  <c r="C103"/>
  <c r="J103"/>
  <c r="B90" i="1" s="1"/>
  <c r="H103" i="8"/>
  <c r="F103"/>
  <c r="D103"/>
  <c r="B103"/>
  <c r="L72"/>
  <c r="L73" s="1"/>
  <c r="L78" s="1"/>
  <c r="L239"/>
  <c r="L98"/>
  <c r="B143"/>
  <c r="B193"/>
  <c r="B194"/>
  <c r="B114" i="7"/>
  <c r="K112"/>
  <c r="I112"/>
  <c r="G112"/>
  <c r="E112"/>
  <c r="C112"/>
  <c r="J112"/>
  <c r="E90" i="1" s="1"/>
  <c r="H112" i="7"/>
  <c r="F112"/>
  <c r="D112"/>
  <c r="B112"/>
  <c r="L540"/>
  <c r="L541" s="1"/>
  <c r="L80"/>
  <c r="L81" s="1"/>
  <c r="L82" s="1"/>
  <c r="L87" s="1"/>
  <c r="L168"/>
  <c r="L107"/>
  <c r="F66" i="2"/>
  <c r="F72" s="1"/>
  <c r="G642"/>
  <c r="G645" s="1"/>
  <c r="AE617"/>
  <c r="L171" i="7" l="1"/>
  <c r="L199" s="1"/>
  <c r="L200" s="1"/>
  <c r="L108" s="1"/>
  <c r="L109" s="1"/>
  <c r="L242" i="8"/>
  <c r="L270" s="1"/>
  <c r="L271" s="1"/>
  <c r="L99" s="1"/>
  <c r="L100" s="1"/>
  <c r="L61" i="2"/>
  <c r="B161" i="8"/>
  <c r="AO700"/>
  <c r="AP604"/>
  <c r="AP607" s="1"/>
  <c r="AP700" s="1"/>
  <c r="C138"/>
  <c r="C189" s="1"/>
  <c r="C134"/>
  <c r="C181" s="1"/>
  <c r="C130"/>
  <c r="C177" s="1"/>
  <c r="C137"/>
  <c r="C133"/>
  <c r="C129"/>
  <c r="B152"/>
  <c r="C149" s="1"/>
  <c r="C151" s="1"/>
  <c r="C157" s="1"/>
  <c r="C172" s="1"/>
  <c r="L87"/>
  <c r="L79"/>
  <c r="J113" i="7"/>
  <c r="H113"/>
  <c r="F113"/>
  <c r="D113"/>
  <c r="B113"/>
  <c r="K113"/>
  <c r="I113"/>
  <c r="G113"/>
  <c r="E113"/>
  <c r="C113"/>
  <c r="M538"/>
  <c r="M544"/>
  <c r="L96"/>
  <c r="L88"/>
  <c r="AE614" i="2"/>
  <c r="AE80"/>
  <c r="AE81" s="1"/>
  <c r="AP109"/>
  <c r="H642"/>
  <c r="H645" s="1"/>
  <c r="D116" i="7" l="1"/>
  <c r="F116"/>
  <c r="AM82" i="8"/>
  <c r="AI82"/>
  <c r="AE82"/>
  <c r="AA82"/>
  <c r="B98" i="1" s="1"/>
  <c r="W82" i="8"/>
  <c r="S82"/>
  <c r="O82"/>
  <c r="AN82"/>
  <c r="AJ82"/>
  <c r="AF82"/>
  <c r="AB82"/>
  <c r="X82"/>
  <c r="T82"/>
  <c r="P82"/>
  <c r="L82"/>
  <c r="AO82"/>
  <c r="AK82"/>
  <c r="AG82"/>
  <c r="AC82"/>
  <c r="Y82"/>
  <c r="U82"/>
  <c r="Q82"/>
  <c r="M82"/>
  <c r="AP82"/>
  <c r="AL82"/>
  <c r="AH82"/>
  <c r="AD82"/>
  <c r="Z82"/>
  <c r="V82"/>
  <c r="R82"/>
  <c r="N82"/>
  <c r="L91" i="7"/>
  <c r="C126" i="8"/>
  <c r="C127" s="1"/>
  <c r="C139"/>
  <c r="C188"/>
  <c r="C190" s="1"/>
  <c r="L88"/>
  <c r="L101" s="1"/>
  <c r="C131"/>
  <c r="C176"/>
  <c r="C178" s="1"/>
  <c r="C135"/>
  <c r="C180"/>
  <c r="C182" s="1"/>
  <c r="AP81"/>
  <c r="AL81"/>
  <c r="AH81"/>
  <c r="AD81"/>
  <c r="Z81"/>
  <c r="V81"/>
  <c r="R81"/>
  <c r="N81"/>
  <c r="AO81"/>
  <c r="AK81"/>
  <c r="AG81"/>
  <c r="AC81"/>
  <c r="Y81"/>
  <c r="U81"/>
  <c r="Q81"/>
  <c r="M81"/>
  <c r="AN81"/>
  <c r="AJ81"/>
  <c r="AF81"/>
  <c r="AB81"/>
  <c r="X81"/>
  <c r="T81"/>
  <c r="P81"/>
  <c r="L81"/>
  <c r="AM81"/>
  <c r="AI81"/>
  <c r="AE81"/>
  <c r="AA81"/>
  <c r="B92" i="1" s="1"/>
  <c r="W81" i="8"/>
  <c r="S81"/>
  <c r="O81"/>
  <c r="H116" i="7"/>
  <c r="J116"/>
  <c r="C116"/>
  <c r="G116"/>
  <c r="K116"/>
  <c r="E116"/>
  <c r="I116"/>
  <c r="M166"/>
  <c r="M55"/>
  <c r="M56" s="1"/>
  <c r="M543"/>
  <c r="M130"/>
  <c r="M132" s="1"/>
  <c r="M160" s="1"/>
  <c r="M161" s="1"/>
  <c r="L97"/>
  <c r="L110" s="1"/>
  <c r="L90"/>
  <c r="G66" i="2"/>
  <c r="G72" s="1"/>
  <c r="I642"/>
  <c r="I645" s="1"/>
  <c r="AF617"/>
  <c r="C117" i="8" l="1"/>
  <c r="C158" s="1"/>
  <c r="C173" s="1"/>
  <c r="C174" s="1"/>
  <c r="C191" s="1"/>
  <c r="C193" s="1"/>
  <c r="AM104"/>
  <c r="AI104"/>
  <c r="AE104"/>
  <c r="AA104"/>
  <c r="B99" i="1" s="1"/>
  <c r="W104" i="8"/>
  <c r="S104"/>
  <c r="O104"/>
  <c r="AN104"/>
  <c r="AJ104"/>
  <c r="AF104"/>
  <c r="AB104"/>
  <c r="X104"/>
  <c r="T104"/>
  <c r="P104"/>
  <c r="L104"/>
  <c r="AO104"/>
  <c r="AK104"/>
  <c r="AG104"/>
  <c r="AC104"/>
  <c r="Y104"/>
  <c r="U104"/>
  <c r="Q104"/>
  <c r="M104"/>
  <c r="AP104"/>
  <c r="AL104"/>
  <c r="AH104"/>
  <c r="AD104"/>
  <c r="Z104"/>
  <c r="V104"/>
  <c r="R104"/>
  <c r="N104"/>
  <c r="L114" i="7"/>
  <c r="C140" i="8"/>
  <c r="C142" s="1"/>
  <c r="C152"/>
  <c r="D149" s="1"/>
  <c r="D151" s="1"/>
  <c r="D157" s="1"/>
  <c r="D172" s="1"/>
  <c r="AM103"/>
  <c r="AI103"/>
  <c r="AE103"/>
  <c r="AA103"/>
  <c r="B93" i="1" s="1"/>
  <c r="W103" i="8"/>
  <c r="S103"/>
  <c r="O103"/>
  <c r="AN103"/>
  <c r="AJ103"/>
  <c r="AF103"/>
  <c r="AB103"/>
  <c r="X103"/>
  <c r="T103"/>
  <c r="P103"/>
  <c r="L103"/>
  <c r="AO103"/>
  <c r="AK103"/>
  <c r="AG103"/>
  <c r="AC103"/>
  <c r="Y103"/>
  <c r="U103"/>
  <c r="Q103"/>
  <c r="M103"/>
  <c r="AP103"/>
  <c r="AL103"/>
  <c r="AH103"/>
  <c r="AD103"/>
  <c r="Z103"/>
  <c r="V103"/>
  <c r="R103"/>
  <c r="N103"/>
  <c r="M107" i="7"/>
  <c r="M168"/>
  <c r="M540"/>
  <c r="M541" s="1"/>
  <c r="M80"/>
  <c r="M81" s="1"/>
  <c r="M82" s="1"/>
  <c r="M87" s="1"/>
  <c r="L112"/>
  <c r="I66" i="2"/>
  <c r="I72" s="1"/>
  <c r="H66"/>
  <c r="H72" s="1"/>
  <c r="AF614"/>
  <c r="AF80"/>
  <c r="AF81" s="1"/>
  <c r="J642"/>
  <c r="J645" s="1"/>
  <c r="M171" i="7" l="1"/>
  <c r="M199" s="1"/>
  <c r="M200" s="1"/>
  <c r="M108" s="1"/>
  <c r="M109" s="1"/>
  <c r="C159" i="8"/>
  <c r="C162" s="1"/>
  <c r="C118"/>
  <c r="C121" s="1"/>
  <c r="C194"/>
  <c r="C144"/>
  <c r="D152"/>
  <c r="E149" s="1"/>
  <c r="E151" s="1"/>
  <c r="E157" s="1"/>
  <c r="E172" s="1"/>
  <c r="C143"/>
  <c r="L113" i="7"/>
  <c r="M96"/>
  <c r="M97" s="1"/>
  <c r="M88"/>
  <c r="N538"/>
  <c r="N544"/>
  <c r="J66" i="2"/>
  <c r="J72" s="1"/>
  <c r="K642"/>
  <c r="K645" s="1"/>
  <c r="C161" i="8" l="1"/>
  <c r="C120"/>
  <c r="M91" i="7"/>
  <c r="C146" i="8"/>
  <c r="D138"/>
  <c r="D189" s="1"/>
  <c r="D137"/>
  <c r="D134"/>
  <c r="D181" s="1"/>
  <c r="D133"/>
  <c r="D130"/>
  <c r="D177" s="1"/>
  <c r="D129"/>
  <c r="D126"/>
  <c r="E152"/>
  <c r="F149" s="1"/>
  <c r="F151" s="1"/>
  <c r="F157" s="1"/>
  <c r="F172" s="1"/>
  <c r="M110" i="7"/>
  <c r="L116"/>
  <c r="N130"/>
  <c r="N132" s="1"/>
  <c r="N160" s="1"/>
  <c r="N161" s="1"/>
  <c r="N543"/>
  <c r="N166"/>
  <c r="N55"/>
  <c r="N56" s="1"/>
  <c r="M90"/>
  <c r="K66" i="2"/>
  <c r="K72" s="1"/>
  <c r="L642"/>
  <c r="L645" s="1"/>
  <c r="AH617"/>
  <c r="M112" i="7" l="1"/>
  <c r="M113" s="1"/>
  <c r="M114"/>
  <c r="F152" i="8"/>
  <c r="G149" s="1"/>
  <c r="G151" s="1"/>
  <c r="G157" s="1"/>
  <c r="G172" s="1"/>
  <c r="D139"/>
  <c r="D188"/>
  <c r="D190" s="1"/>
  <c r="D127"/>
  <c r="D117"/>
  <c r="D158" s="1"/>
  <c r="D173" s="1"/>
  <c r="D174" s="1"/>
  <c r="D176"/>
  <c r="D178" s="1"/>
  <c r="D131"/>
  <c r="D135"/>
  <c r="D180"/>
  <c r="D182" s="1"/>
  <c r="N107" i="7"/>
  <c r="N168"/>
  <c r="N80"/>
  <c r="N81" s="1"/>
  <c r="N82" s="1"/>
  <c r="N87" s="1"/>
  <c r="N540"/>
  <c r="N541" s="1"/>
  <c r="AH614" i="2"/>
  <c r="AH80"/>
  <c r="AH81" s="1"/>
  <c r="M642"/>
  <c r="M645" s="1"/>
  <c r="N171" i="7" l="1"/>
  <c r="N199" s="1"/>
  <c r="N200" s="1"/>
  <c r="N108" s="1"/>
  <c r="N109" s="1"/>
  <c r="G152" i="8"/>
  <c r="H149" s="1"/>
  <c r="H151" s="1"/>
  <c r="H157" s="1"/>
  <c r="H172" s="1"/>
  <c r="D118"/>
  <c r="D159"/>
  <c r="D191"/>
  <c r="D140"/>
  <c r="O538" i="7"/>
  <c r="O544"/>
  <c r="M116"/>
  <c r="N88"/>
  <c r="N96"/>
  <c r="N97" s="1"/>
  <c r="M66" i="2"/>
  <c r="M72" s="1"/>
  <c r="L66"/>
  <c r="L72" s="1"/>
  <c r="N642"/>
  <c r="N645" s="1"/>
  <c r="AI617"/>
  <c r="D144" i="8" l="1"/>
  <c r="D162"/>
  <c r="D194"/>
  <c r="D121"/>
  <c r="N91" i="7"/>
  <c r="H152" i="8"/>
  <c r="I149" s="1"/>
  <c r="I151" s="1"/>
  <c r="I157" s="1"/>
  <c r="I172" s="1"/>
  <c r="D193"/>
  <c r="D120"/>
  <c r="D142"/>
  <c r="D161"/>
  <c r="O543" i="7"/>
  <c r="O130"/>
  <c r="O132" s="1"/>
  <c r="O160" s="1"/>
  <c r="O161" s="1"/>
  <c r="O166"/>
  <c r="O55"/>
  <c r="O56" s="1"/>
  <c r="N90"/>
  <c r="N110"/>
  <c r="N66" i="2"/>
  <c r="N72" s="1"/>
  <c r="AI614"/>
  <c r="AI80"/>
  <c r="AI81" s="1"/>
  <c r="O642"/>
  <c r="O645" s="1"/>
  <c r="N114" i="7" l="1"/>
  <c r="I152" i="8"/>
  <c r="J149" s="1"/>
  <c r="J151" s="1"/>
  <c r="J157" s="1"/>
  <c r="J172" s="1"/>
  <c r="D143"/>
  <c r="O168" i="7"/>
  <c r="O107"/>
  <c r="O80"/>
  <c r="O81" s="1"/>
  <c r="O82" s="1"/>
  <c r="O87" s="1"/>
  <c r="O540"/>
  <c r="O541" s="1"/>
  <c r="N112"/>
  <c r="O66" i="2"/>
  <c r="O72" s="1"/>
  <c r="P642"/>
  <c r="P645" s="1"/>
  <c r="AJ617"/>
  <c r="O171" i="7" l="1"/>
  <c r="O199" s="1"/>
  <c r="O200" s="1"/>
  <c r="O108" s="1"/>
  <c r="O109" s="1"/>
  <c r="D146" i="8"/>
  <c r="E138"/>
  <c r="E189" s="1"/>
  <c r="E137"/>
  <c r="E134"/>
  <c r="E181" s="1"/>
  <c r="E133"/>
  <c r="E126"/>
  <c r="E130"/>
  <c r="E177" s="1"/>
  <c r="E129"/>
  <c r="J152"/>
  <c r="K149" s="1"/>
  <c r="K151" s="1"/>
  <c r="K157" s="1"/>
  <c r="K172" s="1"/>
  <c r="P538" i="7"/>
  <c r="P544"/>
  <c r="O96"/>
  <c r="O97" s="1"/>
  <c r="O88"/>
  <c r="N113"/>
  <c r="P66" i="2"/>
  <c r="P72" s="1"/>
  <c r="AJ614"/>
  <c r="AJ80"/>
  <c r="AJ81" s="1"/>
  <c r="Q642"/>
  <c r="Q645" s="1"/>
  <c r="O110" i="7" l="1"/>
  <c r="O114" s="1"/>
  <c r="O91"/>
  <c r="K152" i="8"/>
  <c r="L149" s="1"/>
  <c r="L151" s="1"/>
  <c r="L157" s="1"/>
  <c r="L172" s="1"/>
  <c r="E139"/>
  <c r="E188"/>
  <c r="E190" s="1"/>
  <c r="E176"/>
  <c r="E178" s="1"/>
  <c r="E131"/>
  <c r="E135"/>
  <c r="E180"/>
  <c r="E182" s="1"/>
  <c r="E117"/>
  <c r="E158" s="1"/>
  <c r="E173" s="1"/>
  <c r="E174" s="1"/>
  <c r="E127"/>
  <c r="O112" i="7"/>
  <c r="O90"/>
  <c r="P130"/>
  <c r="P132" s="1"/>
  <c r="P160" s="1"/>
  <c r="P161" s="1"/>
  <c r="P543"/>
  <c r="P166"/>
  <c r="P55"/>
  <c r="P56" s="1"/>
  <c r="N116"/>
  <c r="Q66" i="2"/>
  <c r="Q72" s="1"/>
  <c r="R642"/>
  <c r="R645" s="1"/>
  <c r="AK617"/>
  <c r="L152" i="8" l="1"/>
  <c r="M149" s="1"/>
  <c r="M151" s="1"/>
  <c r="M157" s="1"/>
  <c r="M172" s="1"/>
  <c r="E191"/>
  <c r="E118"/>
  <c r="E159"/>
  <c r="E140"/>
  <c r="P540" i="7"/>
  <c r="P541" s="1"/>
  <c r="P80"/>
  <c r="P81" s="1"/>
  <c r="P82" s="1"/>
  <c r="P87" s="1"/>
  <c r="P168"/>
  <c r="P107"/>
  <c r="O113"/>
  <c r="R66" i="2"/>
  <c r="R72" s="1"/>
  <c r="AK614"/>
  <c r="AK80"/>
  <c r="AK81" s="1"/>
  <c r="S642"/>
  <c r="S645" s="1"/>
  <c r="P171" i="7" l="1"/>
  <c r="P199" s="1"/>
  <c r="P200" s="1"/>
  <c r="P108" s="1"/>
  <c r="P109" s="1"/>
  <c r="E144" i="8"/>
  <c r="E121"/>
  <c r="E162"/>
  <c r="E193"/>
  <c r="E194"/>
  <c r="M152"/>
  <c r="N149" s="1"/>
  <c r="N151" s="1"/>
  <c r="N157" s="1"/>
  <c r="N172" s="1"/>
  <c r="E142"/>
  <c r="E120"/>
  <c r="E161"/>
  <c r="Q538" i="7"/>
  <c r="Q544"/>
  <c r="O116"/>
  <c r="P88"/>
  <c r="P91" s="1"/>
  <c r="P96"/>
  <c r="P97" s="1"/>
  <c r="S66" i="2"/>
  <c r="S72" s="1"/>
  <c r="T642"/>
  <c r="T645" s="1"/>
  <c r="AL617"/>
  <c r="N152" i="8" l="1"/>
  <c r="O149" s="1"/>
  <c r="O151" s="1"/>
  <c r="O157" s="1"/>
  <c r="O172" s="1"/>
  <c r="E143"/>
  <c r="P90" i="7"/>
  <c r="P110"/>
  <c r="P114" s="1"/>
  <c r="Q543"/>
  <c r="Q166"/>
  <c r="Q55"/>
  <c r="Q56" s="1"/>
  <c r="Q130"/>
  <c r="Q132" s="1"/>
  <c r="Q160" s="1"/>
  <c r="Q161" s="1"/>
  <c r="T66" i="2"/>
  <c r="T72" s="1"/>
  <c r="AL614"/>
  <c r="AL80"/>
  <c r="AL81" s="1"/>
  <c r="U642"/>
  <c r="U645" s="1"/>
  <c r="AM617"/>
  <c r="E146" i="8" l="1"/>
  <c r="F138"/>
  <c r="F189" s="1"/>
  <c r="F137"/>
  <c r="F134"/>
  <c r="F181" s="1"/>
  <c r="F133"/>
  <c r="F126"/>
  <c r="F130"/>
  <c r="F177" s="1"/>
  <c r="F129"/>
  <c r="O152"/>
  <c r="P149" s="1"/>
  <c r="P151" s="1"/>
  <c r="P157" s="1"/>
  <c r="P172" s="1"/>
  <c r="Q540" i="7"/>
  <c r="Q541" s="1"/>
  <c r="Q80"/>
  <c r="Q81" s="1"/>
  <c r="Q82" s="1"/>
  <c r="Q87" s="1"/>
  <c r="P112"/>
  <c r="Q168"/>
  <c r="Q107"/>
  <c r="U66" i="2"/>
  <c r="U72" s="1"/>
  <c r="AM614"/>
  <c r="AM80"/>
  <c r="AM81" s="1"/>
  <c r="V642"/>
  <c r="V645" s="1"/>
  <c r="Q171" i="7" l="1"/>
  <c r="Q199" s="1"/>
  <c r="Q200" s="1"/>
  <c r="Q108" s="1"/>
  <c r="Q109" s="1"/>
  <c r="P152" i="8"/>
  <c r="Q149" s="1"/>
  <c r="Q151" s="1"/>
  <c r="Q157" s="1"/>
  <c r="Q172" s="1"/>
  <c r="F139"/>
  <c r="F188"/>
  <c r="F190" s="1"/>
  <c r="F127"/>
  <c r="F117"/>
  <c r="F158" s="1"/>
  <c r="F173" s="1"/>
  <c r="F174" s="1"/>
  <c r="F176"/>
  <c r="F178" s="1"/>
  <c r="F131"/>
  <c r="F135"/>
  <c r="F180"/>
  <c r="F182" s="1"/>
  <c r="R538" i="7"/>
  <c r="R544"/>
  <c r="P113"/>
  <c r="Q96"/>
  <c r="Q97" s="1"/>
  <c r="Q88"/>
  <c r="Q91" s="1"/>
  <c r="V66" i="2"/>
  <c r="V72" s="1"/>
  <c r="W642"/>
  <c r="W645" s="1"/>
  <c r="AN617"/>
  <c r="Q110" i="7" l="1"/>
  <c r="Q114" s="1"/>
  <c r="Q152" i="8"/>
  <c r="R149" s="1"/>
  <c r="R151" s="1"/>
  <c r="R157" s="1"/>
  <c r="R172" s="1"/>
  <c r="F118"/>
  <c r="F159"/>
  <c r="F191"/>
  <c r="F140"/>
  <c r="Q90" i="7"/>
  <c r="P116"/>
  <c r="R543"/>
  <c r="R166"/>
  <c r="R55"/>
  <c r="R56" s="1"/>
  <c r="R130"/>
  <c r="R132" s="1"/>
  <c r="R160" s="1"/>
  <c r="R161" s="1"/>
  <c r="W66" i="2"/>
  <c r="W72" s="1"/>
  <c r="AN614"/>
  <c r="AN80"/>
  <c r="AN81" s="1"/>
  <c r="X642"/>
  <c r="X645" s="1"/>
  <c r="Q112" i="7" l="1"/>
  <c r="Q113" s="1"/>
  <c r="F144" i="8"/>
  <c r="F162"/>
  <c r="F194"/>
  <c r="F121"/>
  <c r="R152"/>
  <c r="S149" s="1"/>
  <c r="S151" s="1"/>
  <c r="S157" s="1"/>
  <c r="S172" s="1"/>
  <c r="F193"/>
  <c r="F120"/>
  <c r="F142"/>
  <c r="F161"/>
  <c r="R168" i="7"/>
  <c r="R107"/>
  <c r="R80"/>
  <c r="R81" s="1"/>
  <c r="R82" s="1"/>
  <c r="R87" s="1"/>
  <c r="R540"/>
  <c r="R541" s="1"/>
  <c r="X66" i="2"/>
  <c r="X72" s="1"/>
  <c r="AG617"/>
  <c r="Y642"/>
  <c r="Y645" s="1"/>
  <c r="AO617"/>
  <c r="R171" i="7" l="1"/>
  <c r="R199" s="1"/>
  <c r="R200" s="1"/>
  <c r="R108" s="1"/>
  <c r="R109" s="1"/>
  <c r="S152" i="8"/>
  <c r="T149" s="1"/>
  <c r="T151" s="1"/>
  <c r="T157" s="1"/>
  <c r="T172" s="1"/>
  <c r="F143"/>
  <c r="R88" i="7"/>
  <c r="R91" s="1"/>
  <c r="R96"/>
  <c r="R97" s="1"/>
  <c r="S538"/>
  <c r="S544"/>
  <c r="Q116"/>
  <c r="Y66" i="2"/>
  <c r="Y72" s="1"/>
  <c r="AG80"/>
  <c r="AG81" s="1"/>
  <c r="AG614"/>
  <c r="AO614"/>
  <c r="AO80"/>
  <c r="AO81" s="1"/>
  <c r="Z642"/>
  <c r="Z645" s="1"/>
  <c r="AP617"/>
  <c r="AP80" s="1"/>
  <c r="AP81" s="1"/>
  <c r="R110" i="7" l="1"/>
  <c r="R114" s="1"/>
  <c r="F146" i="8"/>
  <c r="G138"/>
  <c r="G189" s="1"/>
  <c r="G137"/>
  <c r="G134"/>
  <c r="G181" s="1"/>
  <c r="G133"/>
  <c r="G126"/>
  <c r="G130"/>
  <c r="G177" s="1"/>
  <c r="G129"/>
  <c r="T152"/>
  <c r="U149" s="1"/>
  <c r="U151" s="1"/>
  <c r="U157" s="1"/>
  <c r="U172" s="1"/>
  <c r="R112" i="7"/>
  <c r="R90"/>
  <c r="S166"/>
  <c r="S55"/>
  <c r="S56" s="1"/>
  <c r="S543"/>
  <c r="S130"/>
  <c r="S132" s="1"/>
  <c r="S160" s="1"/>
  <c r="S161" s="1"/>
  <c r="Z66" i="2"/>
  <c r="Z72" s="1"/>
  <c r="AA642"/>
  <c r="AA645" s="1"/>
  <c r="AP614"/>
  <c r="U152" i="8" l="1"/>
  <c r="V149" s="1"/>
  <c r="V151" s="1"/>
  <c r="V157" s="1"/>
  <c r="V172" s="1"/>
  <c r="G139"/>
  <c r="G188"/>
  <c r="G190" s="1"/>
  <c r="G176"/>
  <c r="G178" s="1"/>
  <c r="G131"/>
  <c r="G135"/>
  <c r="G180"/>
  <c r="G182" s="1"/>
  <c r="G117"/>
  <c r="G158" s="1"/>
  <c r="G173" s="1"/>
  <c r="G174" s="1"/>
  <c r="G127"/>
  <c r="S80" i="7"/>
  <c r="S81" s="1"/>
  <c r="S82" s="1"/>
  <c r="S87" s="1"/>
  <c r="S540"/>
  <c r="S541" s="1"/>
  <c r="S168"/>
  <c r="S107"/>
  <c r="R113"/>
  <c r="AA66" i="2"/>
  <c r="AA72" s="1"/>
  <c r="AB642"/>
  <c r="AB645" s="1"/>
  <c r="S171" i="7" l="1"/>
  <c r="S199" s="1"/>
  <c r="S200" s="1"/>
  <c r="S108" s="1"/>
  <c r="S109" s="1"/>
  <c r="V152" i="8"/>
  <c r="W149" s="1"/>
  <c r="W151" s="1"/>
  <c r="W157" s="1"/>
  <c r="W172" s="1"/>
  <c r="G191"/>
  <c r="G194" s="1"/>
  <c r="G118"/>
  <c r="G121" s="1"/>
  <c r="G159"/>
  <c r="G162" s="1"/>
  <c r="G140"/>
  <c r="G144" s="1"/>
  <c r="S88" i="7"/>
  <c r="S91" s="1"/>
  <c r="S96"/>
  <c r="S97" s="1"/>
  <c r="R116"/>
  <c r="T538"/>
  <c r="T544"/>
  <c r="AB66" i="2"/>
  <c r="AB72" s="1"/>
  <c r="AC642"/>
  <c r="AC645" s="1"/>
  <c r="S110" i="7" l="1"/>
  <c r="S114" s="1"/>
  <c r="G193" i="8"/>
  <c r="W152"/>
  <c r="X149" s="1"/>
  <c r="X151" s="1"/>
  <c r="X157" s="1"/>
  <c r="X172" s="1"/>
  <c r="G142"/>
  <c r="G143" s="1"/>
  <c r="G120"/>
  <c r="G161"/>
  <c r="T543" i="7"/>
  <c r="T166"/>
  <c r="T55"/>
  <c r="T56" s="1"/>
  <c r="T130"/>
  <c r="T132" s="1"/>
  <c r="T160" s="1"/>
  <c r="T161" s="1"/>
  <c r="S90"/>
  <c r="AC66" i="2"/>
  <c r="AC72" s="1"/>
  <c r="AD642"/>
  <c r="AD645" s="1"/>
  <c r="S112" i="7" l="1"/>
  <c r="G146" i="8"/>
  <c r="H138"/>
  <c r="H189" s="1"/>
  <c r="H137"/>
  <c r="H134"/>
  <c r="H181" s="1"/>
  <c r="H133"/>
  <c r="H126"/>
  <c r="H130"/>
  <c r="H177" s="1"/>
  <c r="H129"/>
  <c r="X152"/>
  <c r="Y149" s="1"/>
  <c r="Y151" s="1"/>
  <c r="Y157" s="1"/>
  <c r="Y172" s="1"/>
  <c r="T540" i="7"/>
  <c r="T541" s="1"/>
  <c r="T80"/>
  <c r="T81" s="1"/>
  <c r="T82" s="1"/>
  <c r="T87" s="1"/>
  <c r="S113"/>
  <c r="T168"/>
  <c r="T107"/>
  <c r="AD66" i="2"/>
  <c r="AD72" s="1"/>
  <c r="AE642"/>
  <c r="AE645" s="1"/>
  <c r="T171" i="7" l="1"/>
  <c r="T199" s="1"/>
  <c r="T200" s="1"/>
  <c r="T108" s="1"/>
  <c r="T109" s="1"/>
  <c r="Y152" i="8"/>
  <c r="Z149" s="1"/>
  <c r="Z151" s="1"/>
  <c r="Z157" s="1"/>
  <c r="Z172" s="1"/>
  <c r="H139"/>
  <c r="H188"/>
  <c r="H190" s="1"/>
  <c r="H127"/>
  <c r="H117"/>
  <c r="H158" s="1"/>
  <c r="H173" s="1"/>
  <c r="H174" s="1"/>
  <c r="H176"/>
  <c r="H178" s="1"/>
  <c r="H131"/>
  <c r="H135"/>
  <c r="H180"/>
  <c r="H182" s="1"/>
  <c r="T96" i="7"/>
  <c r="T97" s="1"/>
  <c r="T88"/>
  <c r="T91" s="1"/>
  <c r="U538"/>
  <c r="U544"/>
  <c r="S116"/>
  <c r="AE66" i="2"/>
  <c r="AE72" s="1"/>
  <c r="AF642"/>
  <c r="AF645" s="1"/>
  <c r="T110" i="7" l="1"/>
  <c r="T114" s="1"/>
  <c r="Z152" i="8"/>
  <c r="AA149" s="1"/>
  <c r="AA151" s="1"/>
  <c r="AA157" s="1"/>
  <c r="AA172" s="1"/>
  <c r="H191"/>
  <c r="H194" s="1"/>
  <c r="H140"/>
  <c r="H144" s="1"/>
  <c r="H118"/>
  <c r="H121" s="1"/>
  <c r="H159"/>
  <c r="H162" s="1"/>
  <c r="U130" i="7"/>
  <c r="U132" s="1"/>
  <c r="U160" s="1"/>
  <c r="U161" s="1"/>
  <c r="U166"/>
  <c r="U55"/>
  <c r="U56" s="1"/>
  <c r="U543"/>
  <c r="T90"/>
  <c r="AF66" i="2"/>
  <c r="AF72" s="1"/>
  <c r="AG642"/>
  <c r="AG645" s="1"/>
  <c r="T112" i="7" l="1"/>
  <c r="T113" s="1"/>
  <c r="T116" s="1"/>
  <c r="AA152" i="8"/>
  <c r="AB149" s="1"/>
  <c r="AB151" s="1"/>
  <c r="AB157" s="1"/>
  <c r="AB172" s="1"/>
  <c r="H120"/>
  <c r="H193"/>
  <c r="H161"/>
  <c r="H142"/>
  <c r="H143" s="1"/>
  <c r="U80" i="7"/>
  <c r="U81" s="1"/>
  <c r="U82" s="1"/>
  <c r="U87" s="1"/>
  <c r="U540"/>
  <c r="U541" s="1"/>
  <c r="U168"/>
  <c r="U107"/>
  <c r="AG66" i="2"/>
  <c r="AH642"/>
  <c r="AH645" s="1"/>
  <c r="U171" i="7" l="1"/>
  <c r="U199" s="1"/>
  <c r="U200" s="1"/>
  <c r="U108" s="1"/>
  <c r="U109" s="1"/>
  <c r="H146" i="8"/>
  <c r="I138"/>
  <c r="I189" s="1"/>
  <c r="I137"/>
  <c r="I134"/>
  <c r="I181" s="1"/>
  <c r="I133"/>
  <c r="I126"/>
  <c r="I130"/>
  <c r="I177" s="1"/>
  <c r="I129"/>
  <c r="AB152"/>
  <c r="AC149" s="1"/>
  <c r="AC151" s="1"/>
  <c r="AC157" s="1"/>
  <c r="AC172" s="1"/>
  <c r="U88" i="7"/>
  <c r="U91" s="1"/>
  <c r="U96"/>
  <c r="U97" s="1"/>
  <c r="V538"/>
  <c r="V544"/>
  <c r="AG72" i="2"/>
  <c r="AG82" s="1"/>
  <c r="AG87" s="1"/>
  <c r="AH66"/>
  <c r="AI642"/>
  <c r="AI645" s="1"/>
  <c r="AC152" i="8" l="1"/>
  <c r="AD149" s="1"/>
  <c r="AD151" s="1"/>
  <c r="AD157" s="1"/>
  <c r="AD172" s="1"/>
  <c r="I139"/>
  <c r="I188"/>
  <c r="I190" s="1"/>
  <c r="I176"/>
  <c r="I178" s="1"/>
  <c r="I131"/>
  <c r="I135"/>
  <c r="I180"/>
  <c r="I182" s="1"/>
  <c r="I117"/>
  <c r="I158" s="1"/>
  <c r="I173" s="1"/>
  <c r="I174" s="1"/>
  <c r="I127"/>
  <c r="U110" i="7"/>
  <c r="U114" s="1"/>
  <c r="U90"/>
  <c r="V543"/>
  <c r="V166"/>
  <c r="V55"/>
  <c r="V56" s="1"/>
  <c r="V130"/>
  <c r="V132" s="1"/>
  <c r="V160" s="1"/>
  <c r="V161" s="1"/>
  <c r="B544"/>
  <c r="AG96" i="2"/>
  <c r="AG97" s="1"/>
  <c r="AG110" s="1"/>
  <c r="AG88"/>
  <c r="AH72"/>
  <c r="AH82" s="1"/>
  <c r="AH87" s="1"/>
  <c r="AI66"/>
  <c r="AJ642"/>
  <c r="AJ645" s="1"/>
  <c r="AD152" i="8" l="1"/>
  <c r="AE149" s="1"/>
  <c r="AE151" s="1"/>
  <c r="AE157" s="1"/>
  <c r="AE172" s="1"/>
  <c r="I140"/>
  <c r="I144" s="1"/>
  <c r="I118"/>
  <c r="I121" s="1"/>
  <c r="I159"/>
  <c r="I162" s="1"/>
  <c r="I191"/>
  <c r="I194" s="1"/>
  <c r="U112" i="7"/>
  <c r="U113" s="1"/>
  <c r="U116" s="1"/>
  <c r="V168"/>
  <c r="V107"/>
  <c r="V540"/>
  <c r="V541" s="1"/>
  <c r="W538" s="1"/>
  <c r="W541" s="1"/>
  <c r="X538" s="1"/>
  <c r="X541" s="1"/>
  <c r="Y538" s="1"/>
  <c r="Y541" s="1"/>
  <c r="Z538" s="1"/>
  <c r="Z541" s="1"/>
  <c r="AA538" s="1"/>
  <c r="AA541" s="1"/>
  <c r="AB538" s="1"/>
  <c r="AB541" s="1"/>
  <c r="AC538" s="1"/>
  <c r="AC541" s="1"/>
  <c r="AD538" s="1"/>
  <c r="AD541" s="1"/>
  <c r="AE538" s="1"/>
  <c r="AE541" s="1"/>
  <c r="AF538" s="1"/>
  <c r="AF541" s="1"/>
  <c r="AG538" s="1"/>
  <c r="AG541" s="1"/>
  <c r="AH538" s="1"/>
  <c r="AH541" s="1"/>
  <c r="AI538" s="1"/>
  <c r="AI541" s="1"/>
  <c r="AJ538" s="1"/>
  <c r="AJ541" s="1"/>
  <c r="AK538" s="1"/>
  <c r="AK541" s="1"/>
  <c r="AL538" s="1"/>
  <c r="AL541" s="1"/>
  <c r="AM538" s="1"/>
  <c r="AM541" s="1"/>
  <c r="AN538" s="1"/>
  <c r="AN541" s="1"/>
  <c r="AO538" s="1"/>
  <c r="AO541" s="1"/>
  <c r="AP538" s="1"/>
  <c r="AP541" s="1"/>
  <c r="V80"/>
  <c r="V81" s="1"/>
  <c r="V82" s="1"/>
  <c r="V87" s="1"/>
  <c r="B543"/>
  <c r="AH88" i="2"/>
  <c r="AH96"/>
  <c r="AH97" s="1"/>
  <c r="AH110" s="1"/>
  <c r="AI72"/>
  <c r="AI82" s="1"/>
  <c r="AI87" s="1"/>
  <c r="AJ66"/>
  <c r="AK642"/>
  <c r="AK645" s="1"/>
  <c r="V171" i="7" l="1"/>
  <c r="V199" s="1"/>
  <c r="V200" s="1"/>
  <c r="V108" s="1"/>
  <c r="V109" s="1"/>
  <c r="I142" i="8"/>
  <c r="I143" s="1"/>
  <c r="I146" s="1"/>
  <c r="AE152"/>
  <c r="AF149" s="1"/>
  <c r="AF151" s="1"/>
  <c r="AF157" s="1"/>
  <c r="AF172" s="1"/>
  <c r="I161"/>
  <c r="I193"/>
  <c r="I120"/>
  <c r="V96" i="7"/>
  <c r="V97" s="1"/>
  <c r="V88"/>
  <c r="AI96" i="2"/>
  <c r="AI97" s="1"/>
  <c r="AI110" s="1"/>
  <c r="AI88"/>
  <c r="AJ72"/>
  <c r="AJ82" s="1"/>
  <c r="AJ87" s="1"/>
  <c r="AK66"/>
  <c r="AL642"/>
  <c r="AL645" s="1"/>
  <c r="J129" i="8" l="1"/>
  <c r="J176" s="1"/>
  <c r="J134"/>
  <c r="J181" s="1"/>
  <c r="J126"/>
  <c r="J127" s="1"/>
  <c r="J138"/>
  <c r="J189" s="1"/>
  <c r="J130"/>
  <c r="J177" s="1"/>
  <c r="J133"/>
  <c r="J180" s="1"/>
  <c r="J137"/>
  <c r="J188" s="1"/>
  <c r="V110" i="7"/>
  <c r="AN114" s="1"/>
  <c r="AH91"/>
  <c r="AF91"/>
  <c r="AD91"/>
  <c r="AO91"/>
  <c r="AM91"/>
  <c r="AK91"/>
  <c r="AA91"/>
  <c r="E98" i="1" s="1"/>
  <c r="Y91" i="7"/>
  <c r="W91"/>
  <c r="AI91"/>
  <c r="AG91"/>
  <c r="AE91"/>
  <c r="AC91"/>
  <c r="AP91"/>
  <c r="AN91"/>
  <c r="AL91"/>
  <c r="AB91"/>
  <c r="AJ91"/>
  <c r="Z91"/>
  <c r="X91"/>
  <c r="V91"/>
  <c r="AF152" i="8"/>
  <c r="AG149" s="1"/>
  <c r="AG151" s="1"/>
  <c r="AG157" s="1"/>
  <c r="AG172" s="1"/>
  <c r="Z90" i="7"/>
  <c r="E92" i="1" s="1"/>
  <c r="AB90" i="7"/>
  <c r="AG90"/>
  <c r="AF90"/>
  <c r="Y90"/>
  <c r="X90"/>
  <c r="AE90"/>
  <c r="AH90"/>
  <c r="AJ90"/>
  <c r="AN90"/>
  <c r="AD90"/>
  <c r="AI90"/>
  <c r="AP90"/>
  <c r="AO90"/>
  <c r="AC90"/>
  <c r="AA90"/>
  <c r="V90"/>
  <c r="AL90"/>
  <c r="AK90"/>
  <c r="AM90"/>
  <c r="W90"/>
  <c r="AJ96" i="2"/>
  <c r="AJ97" s="1"/>
  <c r="AJ110" s="1"/>
  <c r="AJ88"/>
  <c r="AK72"/>
  <c r="AK82" s="1"/>
  <c r="AK87" s="1"/>
  <c r="AL66"/>
  <c r="AM642"/>
  <c r="AM645" s="1"/>
  <c r="AP114" i="7" l="1"/>
  <c r="J135" i="8"/>
  <c r="J182"/>
  <c r="J131"/>
  <c r="AL112" i="7"/>
  <c r="J117" i="8"/>
  <c r="J158" s="1"/>
  <c r="J173" s="1"/>
  <c r="J174" s="1"/>
  <c r="J178"/>
  <c r="J139"/>
  <c r="J190"/>
  <c r="V112" i="7"/>
  <c r="V113" s="1"/>
  <c r="V116" s="1"/>
  <c r="AH114"/>
  <c r="AC112"/>
  <c r="AF114"/>
  <c r="AE112"/>
  <c r="AG112"/>
  <c r="AH112"/>
  <c r="AD114"/>
  <c r="AO114"/>
  <c r="AJ114"/>
  <c r="AJ112"/>
  <c r="AF112"/>
  <c r="AO112"/>
  <c r="X112"/>
  <c r="Y114"/>
  <c r="AK114"/>
  <c r="AG114"/>
  <c r="X114"/>
  <c r="AL114"/>
  <c r="AN112"/>
  <c r="Z112"/>
  <c r="AD112"/>
  <c r="W112"/>
  <c r="AK112"/>
  <c r="AI112"/>
  <c r="AB112"/>
  <c r="Y112"/>
  <c r="AA112"/>
  <c r="E93" i="1" s="1"/>
  <c r="AP112" i="7"/>
  <c r="AM112"/>
  <c r="W114"/>
  <c r="AA114"/>
  <c r="E99" i="1" s="1"/>
  <c r="AE114" i="7"/>
  <c r="AM114"/>
  <c r="AC114"/>
  <c r="AB114"/>
  <c r="V114"/>
  <c r="Z114"/>
  <c r="AI114"/>
  <c r="AG152" i="8"/>
  <c r="AH149" s="1"/>
  <c r="AH151" s="1"/>
  <c r="AH157" s="1"/>
  <c r="AH172" s="1"/>
  <c r="J118"/>
  <c r="J121" s="1"/>
  <c r="B108" i="1" s="1"/>
  <c r="AK88" i="2"/>
  <c r="AK96"/>
  <c r="AK97" s="1"/>
  <c r="AK110" s="1"/>
  <c r="AL72"/>
  <c r="AL82" s="1"/>
  <c r="AL87" s="1"/>
  <c r="AM66"/>
  <c r="AN642"/>
  <c r="AN645" s="1"/>
  <c r="J140" i="8" l="1"/>
  <c r="J144" s="1"/>
  <c r="B109" i="1" s="1"/>
  <c r="W113" i="7"/>
  <c r="W116" s="1"/>
  <c r="J191" i="8"/>
  <c r="J194" s="1"/>
  <c r="B122" i="1" s="1"/>
  <c r="J159" i="8"/>
  <c r="J162" s="1"/>
  <c r="B121" i="1" s="1"/>
  <c r="E82"/>
  <c r="X113" i="7"/>
  <c r="AK113"/>
  <c r="Z113"/>
  <c r="Y113"/>
  <c r="AP113"/>
  <c r="AL113"/>
  <c r="AI113"/>
  <c r="AA113"/>
  <c r="AH113"/>
  <c r="AE113"/>
  <c r="AB113"/>
  <c r="AO113"/>
  <c r="AJ113"/>
  <c r="AD113"/>
  <c r="AN113"/>
  <c r="AM113"/>
  <c r="AG113"/>
  <c r="AH116" s="1"/>
  <c r="AC113"/>
  <c r="AF113"/>
  <c r="AH152" i="8"/>
  <c r="AI149" s="1"/>
  <c r="AI151" s="1"/>
  <c r="AI157" s="1"/>
  <c r="AI172" s="1"/>
  <c r="J120"/>
  <c r="B102" i="1" s="1"/>
  <c r="J142" i="8"/>
  <c r="B103" i="1" s="1"/>
  <c r="AL88" i="2"/>
  <c r="AL96"/>
  <c r="AL97" s="1"/>
  <c r="AL110" s="1"/>
  <c r="AM72"/>
  <c r="AM82" s="1"/>
  <c r="AM87" s="1"/>
  <c r="AO642"/>
  <c r="AO645" s="1"/>
  <c r="AL116" i="7" l="1"/>
  <c r="AG116"/>
  <c r="AI116"/>
  <c r="X116"/>
  <c r="J193" i="8"/>
  <c r="B116" i="1" s="1"/>
  <c r="AE116" i="7"/>
  <c r="J161" i="8"/>
  <c r="B115" i="1" s="1"/>
  <c r="Y116" i="7"/>
  <c r="AK116"/>
  <c r="AC116"/>
  <c r="AP116"/>
  <c r="AA116"/>
  <c r="AM116"/>
  <c r="Z116"/>
  <c r="AD116"/>
  <c r="AF116"/>
  <c r="AO116"/>
  <c r="AB116"/>
  <c r="AJ116"/>
  <c r="AN116"/>
  <c r="J143" i="8"/>
  <c r="K138" s="1"/>
  <c r="K189" s="1"/>
  <c r="B82" i="1"/>
  <c r="AI152" i="8"/>
  <c r="AJ149" s="1"/>
  <c r="AJ151" s="1"/>
  <c r="AJ157" s="1"/>
  <c r="AJ172" s="1"/>
  <c r="AM88" i="2"/>
  <c r="AM96"/>
  <c r="AM97" s="1"/>
  <c r="AM110" s="1"/>
  <c r="AO66"/>
  <c r="AN66"/>
  <c r="AP642"/>
  <c r="AP645" s="1"/>
  <c r="B116" i="7" l="1"/>
  <c r="E81" i="1" s="1"/>
  <c r="K133" i="8"/>
  <c r="K180" s="1"/>
  <c r="J146"/>
  <c r="K130"/>
  <c r="K177" s="1"/>
  <c r="K137"/>
  <c r="K139" s="1"/>
  <c r="K129"/>
  <c r="K126"/>
  <c r="K127" s="1"/>
  <c r="K134"/>
  <c r="K181" s="1"/>
  <c r="AJ152"/>
  <c r="AK149" s="1"/>
  <c r="AK151" s="1"/>
  <c r="AK157" s="1"/>
  <c r="AK172" s="1"/>
  <c r="AO72" i="2"/>
  <c r="AO82" s="1"/>
  <c r="AO87" s="1"/>
  <c r="AN72"/>
  <c r="AN82" s="1"/>
  <c r="AN87" s="1"/>
  <c r="AN96" s="1"/>
  <c r="AN97" s="1"/>
  <c r="AN110" s="1"/>
  <c r="AP66"/>
  <c r="K135" i="8" l="1"/>
  <c r="K117"/>
  <c r="K158" s="1"/>
  <c r="K173" s="1"/>
  <c r="K174" s="1"/>
  <c r="K188"/>
  <c r="K190" s="1"/>
  <c r="K131"/>
  <c r="K176"/>
  <c r="K178" s="1"/>
  <c r="K182"/>
  <c r="AK152"/>
  <c r="AL149" s="1"/>
  <c r="AL151" s="1"/>
  <c r="AL157" s="1"/>
  <c r="AL172" s="1"/>
  <c r="AO96" i="2"/>
  <c r="AO97" s="1"/>
  <c r="AO110" s="1"/>
  <c r="AO88"/>
  <c r="AN88"/>
  <c r="AP72"/>
  <c r="AP82" s="1"/>
  <c r="AP87" s="1"/>
  <c r="K118" i="8" l="1"/>
  <c r="K121" s="1"/>
  <c r="K140"/>
  <c r="K144" s="1"/>
  <c r="K159"/>
  <c r="K162" s="1"/>
  <c r="K191"/>
  <c r="AL152"/>
  <c r="AM149" s="1"/>
  <c r="AM151" s="1"/>
  <c r="AM157" s="1"/>
  <c r="AM172" s="1"/>
  <c r="AP88" i="2"/>
  <c r="AP96"/>
  <c r="AP97" s="1"/>
  <c r="AP110" s="1"/>
  <c r="K120" i="8" l="1"/>
  <c r="K142"/>
  <c r="K143" s="1"/>
  <c r="L138" s="1"/>
  <c r="L189" s="1"/>
  <c r="K161"/>
  <c r="K193"/>
  <c r="K194"/>
  <c r="AM152"/>
  <c r="AN149" s="1"/>
  <c r="AN151" s="1"/>
  <c r="AN157" s="1"/>
  <c r="AN172" s="1"/>
  <c r="C703" i="2"/>
  <c r="C675" s="1"/>
  <c r="C605" s="1"/>
  <c r="B693"/>
  <c r="K146" i="8" l="1"/>
  <c r="L133"/>
  <c r="L180" s="1"/>
  <c r="L130"/>
  <c r="L177" s="1"/>
  <c r="L137"/>
  <c r="L139" s="1"/>
  <c r="L129"/>
  <c r="L126"/>
  <c r="L127" s="1"/>
  <c r="L134"/>
  <c r="L181" s="1"/>
  <c r="B605" i="2"/>
  <c r="C606"/>
  <c r="AN152" i="8"/>
  <c r="AO149" s="1"/>
  <c r="AO151" s="1"/>
  <c r="AO157" s="1"/>
  <c r="AO172" s="1"/>
  <c r="C677" i="2"/>
  <c r="C738" s="1"/>
  <c r="D739" s="1"/>
  <c r="C64"/>
  <c r="L131" i="8" l="1"/>
  <c r="L188"/>
  <c r="L190" s="1"/>
  <c r="L135"/>
  <c r="L140" s="1"/>
  <c r="L144" s="1"/>
  <c r="L176"/>
  <c r="L178" s="1"/>
  <c r="L117"/>
  <c r="L158" s="1"/>
  <c r="L173" s="1"/>
  <c r="L174" s="1"/>
  <c r="L182"/>
  <c r="C619" i="2"/>
  <c r="C607"/>
  <c r="B606"/>
  <c r="AO152" i="8"/>
  <c r="AP149" s="1"/>
  <c r="AP151" s="1"/>
  <c r="AP157" s="1"/>
  <c r="AP172" s="1"/>
  <c r="D674" i="2"/>
  <c r="D677" s="1"/>
  <c r="E674" s="1"/>
  <c r="E677" s="1"/>
  <c r="D239"/>
  <c r="D54"/>
  <c r="D203"/>
  <c r="L118" i="8" l="1"/>
  <c r="L121" s="1"/>
  <c r="L159"/>
  <c r="L162" s="1"/>
  <c r="L191"/>
  <c r="L194" s="1"/>
  <c r="C609" i="2"/>
  <c r="B609" s="1"/>
  <c r="B613" s="1"/>
  <c r="B607"/>
  <c r="B633"/>
  <c r="C623"/>
  <c r="B619"/>
  <c r="AP152" i="8"/>
  <c r="L142"/>
  <c r="D738" i="2"/>
  <c r="E739" s="1"/>
  <c r="E54" s="1"/>
  <c r="F674"/>
  <c r="F677" s="1"/>
  <c r="E738"/>
  <c r="F739" s="1"/>
  <c r="L120" i="8" l="1"/>
  <c r="L161"/>
  <c r="L193"/>
  <c r="C624" i="2"/>
  <c r="B626" s="1"/>
  <c r="B623"/>
  <c r="B625" s="1"/>
  <c r="C630"/>
  <c r="C631" s="1"/>
  <c r="C61" s="1"/>
  <c r="C66" s="1"/>
  <c r="C72" s="1"/>
  <c r="B631"/>
  <c r="B738"/>
  <c r="C739" s="1"/>
  <c r="B615"/>
  <c r="C136" i="1"/>
  <c r="L143" i="8"/>
  <c r="M138" s="1"/>
  <c r="M189" s="1"/>
  <c r="E203" i="2"/>
  <c r="E239"/>
  <c r="F54"/>
  <c r="F203"/>
  <c r="F239"/>
  <c r="G674"/>
  <c r="G677" s="1"/>
  <c r="F738"/>
  <c r="G739" s="1"/>
  <c r="C618" l="1"/>
  <c r="C612"/>
  <c r="B61"/>
  <c r="B66" s="1"/>
  <c r="C149" i="1"/>
  <c r="C165"/>
  <c r="C239" i="2"/>
  <c r="C203"/>
  <c r="C54"/>
  <c r="L146" i="8"/>
  <c r="M133"/>
  <c r="M180" s="1"/>
  <c r="M130"/>
  <c r="M177" s="1"/>
  <c r="M137"/>
  <c r="M188" s="1"/>
  <c r="M190" s="1"/>
  <c r="M129"/>
  <c r="M176" s="1"/>
  <c r="M126"/>
  <c r="M127" s="1"/>
  <c r="M134"/>
  <c r="M181" s="1"/>
  <c r="G54" i="2"/>
  <c r="G203"/>
  <c r="G239"/>
  <c r="H674"/>
  <c r="H677" s="1"/>
  <c r="G738"/>
  <c r="H739" s="1"/>
  <c r="M139" i="8" l="1"/>
  <c r="M131"/>
  <c r="C154" i="1"/>
  <c r="C159" s="1"/>
  <c r="C160" s="1"/>
  <c r="B59" i="2" s="1"/>
  <c r="B72" s="1"/>
  <c r="B80"/>
  <c r="C55"/>
  <c r="C56" s="1"/>
  <c r="C204"/>
  <c r="C240"/>
  <c r="C617"/>
  <c r="M178" i="8"/>
  <c r="M182"/>
  <c r="M135"/>
  <c r="M117"/>
  <c r="M158" s="1"/>
  <c r="M173" s="1"/>
  <c r="M174" s="1"/>
  <c r="H203" i="2"/>
  <c r="H239"/>
  <c r="H54"/>
  <c r="I674"/>
  <c r="I677" s="1"/>
  <c r="H738"/>
  <c r="I739" s="1"/>
  <c r="M140" i="8" l="1"/>
  <c r="M144" s="1"/>
  <c r="C80" i="2"/>
  <c r="C81" s="1"/>
  <c r="C82" s="1"/>
  <c r="C87" s="1"/>
  <c r="C614"/>
  <c r="C615" s="1"/>
  <c r="C227" i="1"/>
  <c r="C226"/>
  <c r="C228"/>
  <c r="C232"/>
  <c r="C161"/>
  <c r="C229"/>
  <c r="C230"/>
  <c r="C231"/>
  <c r="C164"/>
  <c r="C137"/>
  <c r="M191" i="8"/>
  <c r="M159"/>
  <c r="M162" s="1"/>
  <c r="M118"/>
  <c r="M121" s="1"/>
  <c r="M142"/>
  <c r="M143" s="1"/>
  <c r="I239" i="2"/>
  <c r="I54"/>
  <c r="I203"/>
  <c r="J674"/>
  <c r="J677" s="1"/>
  <c r="I738"/>
  <c r="J739" s="1"/>
  <c r="C88" l="1"/>
  <c r="C96"/>
  <c r="C182" i="1"/>
  <c r="B134" i="2" s="1"/>
  <c r="C185" i="1"/>
  <c r="C169"/>
  <c r="C171" s="1"/>
  <c r="B79" i="2"/>
  <c r="C284"/>
  <c r="C418"/>
  <c r="C416"/>
  <c r="C282"/>
  <c r="C281"/>
  <c r="C415"/>
  <c r="D618"/>
  <c r="D612"/>
  <c r="C419"/>
  <c r="C285"/>
  <c r="C283"/>
  <c r="C417"/>
  <c r="C233" i="1"/>
  <c r="C280" i="2"/>
  <c r="C414"/>
  <c r="M193" i="8"/>
  <c r="M194"/>
  <c r="M161"/>
  <c r="M120"/>
  <c r="M146"/>
  <c r="N138"/>
  <c r="N189" s="1"/>
  <c r="N137"/>
  <c r="N134"/>
  <c r="N181" s="1"/>
  <c r="N133"/>
  <c r="N126"/>
  <c r="N130"/>
  <c r="N177" s="1"/>
  <c r="N129"/>
  <c r="K674" i="2"/>
  <c r="K677" s="1"/>
  <c r="J738"/>
  <c r="K739" s="1"/>
  <c r="J54"/>
  <c r="J239"/>
  <c r="J203"/>
  <c r="C421" l="1"/>
  <c r="B414" s="1"/>
  <c r="D55"/>
  <c r="D56" s="1"/>
  <c r="D204"/>
  <c r="D617"/>
  <c r="D240"/>
  <c r="B86"/>
  <c r="B81"/>
  <c r="B82" s="1"/>
  <c r="B87" s="1"/>
  <c r="B96" s="1"/>
  <c r="C97"/>
  <c r="C287"/>
  <c r="B281" s="1"/>
  <c r="C173" i="1"/>
  <c r="C175"/>
  <c r="C174"/>
  <c r="C172"/>
  <c r="B125" i="2"/>
  <c r="B127" s="1"/>
  <c r="B136"/>
  <c r="B149" s="1"/>
  <c r="N139" i="8"/>
  <c r="N188"/>
  <c r="N190" s="1"/>
  <c r="N127"/>
  <c r="N117"/>
  <c r="N158" s="1"/>
  <c r="N173" s="1"/>
  <c r="N174" s="1"/>
  <c r="N176"/>
  <c r="N178" s="1"/>
  <c r="N131"/>
  <c r="N135"/>
  <c r="N180"/>
  <c r="N182" s="1"/>
  <c r="L674" i="2"/>
  <c r="L677" s="1"/>
  <c r="K738"/>
  <c r="L739" s="1"/>
  <c r="K54"/>
  <c r="K203"/>
  <c r="K239"/>
  <c r="E414" l="1"/>
  <c r="D414"/>
  <c r="B416"/>
  <c r="D281"/>
  <c r="E281"/>
  <c r="B417"/>
  <c r="B415"/>
  <c r="B418"/>
  <c r="B419"/>
  <c r="C176" i="1"/>
  <c r="B153" i="2"/>
  <c r="B151"/>
  <c r="B152" s="1"/>
  <c r="B160"/>
  <c r="B174"/>
  <c r="D614"/>
  <c r="D615" s="1"/>
  <c r="D80"/>
  <c r="D81" s="1"/>
  <c r="D82" s="1"/>
  <c r="D87" s="1"/>
  <c r="B130"/>
  <c r="B129"/>
  <c r="B95"/>
  <c r="B88"/>
  <c r="B283"/>
  <c r="B282"/>
  <c r="B285"/>
  <c r="B280"/>
  <c r="B284"/>
  <c r="N118" i="8"/>
  <c r="N121" s="1"/>
  <c r="N159"/>
  <c r="N162" s="1"/>
  <c r="N191"/>
  <c r="N194" s="1"/>
  <c r="N140"/>
  <c r="N144" s="1"/>
  <c r="L54" i="2"/>
  <c r="L203"/>
  <c r="L239"/>
  <c r="M674"/>
  <c r="M677" s="1"/>
  <c r="L738"/>
  <c r="M739" s="1"/>
  <c r="E419" l="1"/>
  <c r="D419"/>
  <c r="F419" s="1"/>
  <c r="D415"/>
  <c r="F415" s="1"/>
  <c r="E415"/>
  <c r="E416"/>
  <c r="D416"/>
  <c r="F416" s="1"/>
  <c r="D417"/>
  <c r="F417" s="1"/>
  <c r="E417"/>
  <c r="E418"/>
  <c r="D418"/>
  <c r="F418" s="1"/>
  <c r="D280"/>
  <c r="E280"/>
  <c r="D282"/>
  <c r="E282"/>
  <c r="D284"/>
  <c r="E284"/>
  <c r="D285"/>
  <c r="E285"/>
  <c r="D283"/>
  <c r="E283"/>
  <c r="B421"/>
  <c r="D96"/>
  <c r="D88"/>
  <c r="D90" s="1"/>
  <c r="B90"/>
  <c r="B91"/>
  <c r="C91"/>
  <c r="C90"/>
  <c r="C142"/>
  <c r="C143"/>
  <c r="C182" s="1"/>
  <c r="C135"/>
  <c r="B287"/>
  <c r="B172"/>
  <c r="B175" s="1"/>
  <c r="B192" s="1"/>
  <c r="B158"/>
  <c r="B161" s="1"/>
  <c r="B97"/>
  <c r="B110" s="1"/>
  <c r="E612"/>
  <c r="E618"/>
  <c r="F414"/>
  <c r="G414" s="1"/>
  <c r="G421" s="1"/>
  <c r="F281"/>
  <c r="N193" i="8"/>
  <c r="N120"/>
  <c r="N142"/>
  <c r="N143" s="1"/>
  <c r="N161"/>
  <c r="N674" i="2"/>
  <c r="N677" s="1"/>
  <c r="M738"/>
  <c r="N739" s="1"/>
  <c r="M239"/>
  <c r="M54"/>
  <c r="M203"/>
  <c r="H416" l="1"/>
  <c r="K416" s="1"/>
  <c r="L416" s="1"/>
  <c r="H418"/>
  <c r="K418" s="1"/>
  <c r="L418" s="1"/>
  <c r="H414"/>
  <c r="K414" s="1"/>
  <c r="L414" s="1"/>
  <c r="H415"/>
  <c r="K415" s="1"/>
  <c r="L415" s="1"/>
  <c r="H417"/>
  <c r="K417" s="1"/>
  <c r="L417" s="1"/>
  <c r="H419"/>
  <c r="K419" s="1"/>
  <c r="L419" s="1"/>
  <c r="I421"/>
  <c r="F280"/>
  <c r="G280" s="1"/>
  <c r="G287" s="1"/>
  <c r="F284"/>
  <c r="F285"/>
  <c r="F421"/>
  <c r="E240"/>
  <c r="E55"/>
  <c r="E56" s="1"/>
  <c r="E204"/>
  <c r="E617"/>
  <c r="B113"/>
  <c r="B112"/>
  <c r="B194"/>
  <c r="B195"/>
  <c r="C126"/>
  <c r="C136"/>
  <c r="C174"/>
  <c r="C175" s="1"/>
  <c r="B164"/>
  <c r="B163"/>
  <c r="C181"/>
  <c r="C183" s="1"/>
  <c r="C144"/>
  <c r="D97"/>
  <c r="F283"/>
  <c r="F282"/>
  <c r="D91"/>
  <c r="N146" i="8"/>
  <c r="O138"/>
  <c r="O189" s="1"/>
  <c r="O137"/>
  <c r="O134"/>
  <c r="O181" s="1"/>
  <c r="O133"/>
  <c r="O126"/>
  <c r="O130"/>
  <c r="O177" s="1"/>
  <c r="O129"/>
  <c r="O674" i="2"/>
  <c r="O677" s="1"/>
  <c r="N738"/>
  <c r="O739" s="1"/>
  <c r="N54"/>
  <c r="N203"/>
  <c r="N239"/>
  <c r="H282" l="1"/>
  <c r="K282" s="1"/>
  <c r="L282" s="1"/>
  <c r="H284"/>
  <c r="K284" s="1"/>
  <c r="L284" s="1"/>
  <c r="H280"/>
  <c r="K280" s="1"/>
  <c r="L280" s="1"/>
  <c r="H281"/>
  <c r="K281" s="1"/>
  <c r="L281" s="1"/>
  <c r="H283"/>
  <c r="K283" s="1"/>
  <c r="L283" s="1"/>
  <c r="H285"/>
  <c r="K285" s="1"/>
  <c r="L285" s="1"/>
  <c r="H421"/>
  <c r="I287"/>
  <c r="F287"/>
  <c r="C127"/>
  <c r="C160"/>
  <c r="C161" s="1"/>
  <c r="E80"/>
  <c r="E81" s="1"/>
  <c r="E82" s="1"/>
  <c r="E87" s="1"/>
  <c r="E614"/>
  <c r="E615" s="1"/>
  <c r="L421"/>
  <c r="O139" i="8"/>
  <c r="O188"/>
  <c r="O190" s="1"/>
  <c r="O176"/>
  <c r="O178" s="1"/>
  <c r="O131"/>
  <c r="O135"/>
  <c r="O180"/>
  <c r="O182" s="1"/>
  <c r="O117"/>
  <c r="O158" s="1"/>
  <c r="O173" s="1"/>
  <c r="O174" s="1"/>
  <c r="O127"/>
  <c r="P674" i="2"/>
  <c r="P677" s="1"/>
  <c r="O738"/>
  <c r="P739" s="1"/>
  <c r="O54"/>
  <c r="O203"/>
  <c r="O239"/>
  <c r="L287" l="1"/>
  <c r="H287"/>
  <c r="C99"/>
  <c r="C243" s="1"/>
  <c r="F612"/>
  <c r="F618"/>
  <c r="C164"/>
  <c r="C163"/>
  <c r="E96"/>
  <c r="E88"/>
  <c r="C130"/>
  <c r="C129"/>
  <c r="O191" i="8"/>
  <c r="O118"/>
  <c r="O121" s="1"/>
  <c r="O159"/>
  <c r="O162" s="1"/>
  <c r="O140"/>
  <c r="O144" s="1"/>
  <c r="Q674" i="2"/>
  <c r="Q677" s="1"/>
  <c r="P738"/>
  <c r="Q739" s="1"/>
  <c r="P239"/>
  <c r="P54"/>
  <c r="P203"/>
  <c r="I285" l="1"/>
  <c r="J285" s="1"/>
  <c r="I280"/>
  <c r="J280" s="1"/>
  <c r="M414" s="1"/>
  <c r="I281"/>
  <c r="J281" s="1"/>
  <c r="I283"/>
  <c r="J283" s="1"/>
  <c r="I282"/>
  <c r="J282" s="1"/>
  <c r="I284"/>
  <c r="J284" s="1"/>
  <c r="I418"/>
  <c r="J418" s="1"/>
  <c r="C100"/>
  <c r="C139" s="1"/>
  <c r="C178" s="1"/>
  <c r="I415"/>
  <c r="J415" s="1"/>
  <c r="I419"/>
  <c r="J419" s="1"/>
  <c r="I417"/>
  <c r="J417" s="1"/>
  <c r="I416"/>
  <c r="J416" s="1"/>
  <c r="I414"/>
  <c r="J414" s="1"/>
  <c r="E97"/>
  <c r="E90"/>
  <c r="E91"/>
  <c r="F204"/>
  <c r="F240"/>
  <c r="F55"/>
  <c r="F56" s="1"/>
  <c r="F617"/>
  <c r="C138"/>
  <c r="O193" i="8"/>
  <c r="O194"/>
  <c r="O142"/>
  <c r="O143" s="1"/>
  <c r="O120"/>
  <c r="O161"/>
  <c r="Q239" i="2"/>
  <c r="Q54"/>
  <c r="Q203"/>
  <c r="R674"/>
  <c r="R677" s="1"/>
  <c r="Q738"/>
  <c r="R739" s="1"/>
  <c r="M280" l="1"/>
  <c r="M282"/>
  <c r="M416"/>
  <c r="M281"/>
  <c r="M415"/>
  <c r="M285"/>
  <c r="M419"/>
  <c r="M284"/>
  <c r="M418"/>
  <c r="M283"/>
  <c r="M417"/>
  <c r="J287"/>
  <c r="C177"/>
  <c r="C179" s="1"/>
  <c r="C140"/>
  <c r="N282"/>
  <c r="N416"/>
  <c r="N285"/>
  <c r="N419"/>
  <c r="F80"/>
  <c r="F81" s="1"/>
  <c r="F82" s="1"/>
  <c r="F87" s="1"/>
  <c r="F614"/>
  <c r="F615" s="1"/>
  <c r="N280"/>
  <c r="J421"/>
  <c r="N414"/>
  <c r="N283"/>
  <c r="N417"/>
  <c r="N281"/>
  <c r="N415"/>
  <c r="N284"/>
  <c r="N418"/>
  <c r="O418" s="1"/>
  <c r="Q418" s="1"/>
  <c r="C101"/>
  <c r="O146" i="8"/>
  <c r="P138"/>
  <c r="P189" s="1"/>
  <c r="P137"/>
  <c r="P134"/>
  <c r="P181" s="1"/>
  <c r="P133"/>
  <c r="P126"/>
  <c r="P130"/>
  <c r="P177" s="1"/>
  <c r="P129"/>
  <c r="S674" i="2"/>
  <c r="S677" s="1"/>
  <c r="R738"/>
  <c r="S739" s="1"/>
  <c r="R239"/>
  <c r="R54"/>
  <c r="R56" s="1"/>
  <c r="R82" s="1"/>
  <c r="R87" s="1"/>
  <c r="R203"/>
  <c r="O415" l="1"/>
  <c r="P415" s="1"/>
  <c r="Q415" s="1"/>
  <c r="M421"/>
  <c r="O417"/>
  <c r="Q417" s="1"/>
  <c r="AC457" s="1"/>
  <c r="O419"/>
  <c r="Q419" s="1"/>
  <c r="V459" s="1"/>
  <c r="O416"/>
  <c r="Q416" s="1"/>
  <c r="I456" s="1"/>
  <c r="O285"/>
  <c r="Q285" s="1"/>
  <c r="AB325" s="1"/>
  <c r="O282"/>
  <c r="Q282" s="1"/>
  <c r="X322" s="1"/>
  <c r="M287"/>
  <c r="O284"/>
  <c r="Q284" s="1"/>
  <c r="AC324" s="1"/>
  <c r="O281"/>
  <c r="O283"/>
  <c r="Q283" s="1"/>
  <c r="M323" s="1"/>
  <c r="N287"/>
  <c r="Z458"/>
  <c r="Y458"/>
  <c r="C458"/>
  <c r="R458"/>
  <c r="W458"/>
  <c r="J458"/>
  <c r="N458"/>
  <c r="X458"/>
  <c r="H458"/>
  <c r="I458"/>
  <c r="V458"/>
  <c r="S458"/>
  <c r="G458"/>
  <c r="AB458"/>
  <c r="L458"/>
  <c r="F458"/>
  <c r="U458"/>
  <c r="E458"/>
  <c r="Q458"/>
  <c r="D458"/>
  <c r="K458"/>
  <c r="T458"/>
  <c r="M458"/>
  <c r="O458"/>
  <c r="P458"/>
  <c r="AA458"/>
  <c r="AC458"/>
  <c r="AD458"/>
  <c r="AE458"/>
  <c r="AF458"/>
  <c r="AG458"/>
  <c r="AH458"/>
  <c r="AI458"/>
  <c r="AJ458"/>
  <c r="AK458"/>
  <c r="AL458"/>
  <c r="AM458"/>
  <c r="AN458"/>
  <c r="AO458"/>
  <c r="AP458"/>
  <c r="G612"/>
  <c r="G618"/>
  <c r="S456"/>
  <c r="F96"/>
  <c r="F88"/>
  <c r="O280"/>
  <c r="N421"/>
  <c r="O414"/>
  <c r="P139" i="8"/>
  <c r="P188"/>
  <c r="P190" s="1"/>
  <c r="P127"/>
  <c r="P117"/>
  <c r="P158" s="1"/>
  <c r="P173" s="1"/>
  <c r="P174" s="1"/>
  <c r="P176"/>
  <c r="P178" s="1"/>
  <c r="P131"/>
  <c r="P135"/>
  <c r="P180"/>
  <c r="P182" s="1"/>
  <c r="T674" i="2"/>
  <c r="T677" s="1"/>
  <c r="S738"/>
  <c r="T739" s="1"/>
  <c r="R96"/>
  <c r="R88"/>
  <c r="S54"/>
  <c r="S56" s="1"/>
  <c r="S82" s="1"/>
  <c r="S87" s="1"/>
  <c r="S203"/>
  <c r="S239"/>
  <c r="AH457" l="1"/>
  <c r="Z457"/>
  <c r="AP457"/>
  <c r="Y457"/>
  <c r="V457"/>
  <c r="AL457"/>
  <c r="P457"/>
  <c r="K457"/>
  <c r="AB457"/>
  <c r="F457"/>
  <c r="AN457"/>
  <c r="AJ457"/>
  <c r="AF457"/>
  <c r="I457"/>
  <c r="AD457"/>
  <c r="J457"/>
  <c r="N457"/>
  <c r="C457"/>
  <c r="E457"/>
  <c r="AA457"/>
  <c r="AO457"/>
  <c r="AM457"/>
  <c r="AK457"/>
  <c r="AI457"/>
  <c r="AG457"/>
  <c r="AE457"/>
  <c r="T457"/>
  <c r="M457"/>
  <c r="Q457"/>
  <c r="U457"/>
  <c r="X457"/>
  <c r="S457"/>
  <c r="G457"/>
  <c r="D457"/>
  <c r="R457"/>
  <c r="L457"/>
  <c r="O457"/>
  <c r="W457"/>
  <c r="H457"/>
  <c r="Z455"/>
  <c r="W455"/>
  <c r="S455"/>
  <c r="F455"/>
  <c r="U455"/>
  <c r="C455"/>
  <c r="AC455"/>
  <c r="G455"/>
  <c r="J455"/>
  <c r="AA455"/>
  <c r="N455"/>
  <c r="M455"/>
  <c r="X455"/>
  <c r="L455"/>
  <c r="AE455"/>
  <c r="AG455"/>
  <c r="AI455"/>
  <c r="AK455"/>
  <c r="AM455"/>
  <c r="AO455"/>
  <c r="H455"/>
  <c r="R455"/>
  <c r="V455"/>
  <c r="E455"/>
  <c r="Q455"/>
  <c r="I455"/>
  <c r="O455"/>
  <c r="AB455"/>
  <c r="T455"/>
  <c r="D455"/>
  <c r="Y455"/>
  <c r="P455"/>
  <c r="AD455"/>
  <c r="K455"/>
  <c r="AF455"/>
  <c r="AH455"/>
  <c r="AJ455"/>
  <c r="AL455"/>
  <c r="AN455"/>
  <c r="AP455"/>
  <c r="P281"/>
  <c r="Q281" s="1"/>
  <c r="V322"/>
  <c r="AM322"/>
  <c r="AG323"/>
  <c r="S325"/>
  <c r="M322"/>
  <c r="M324"/>
  <c r="AE322"/>
  <c r="O322"/>
  <c r="AA323"/>
  <c r="AM456"/>
  <c r="AH459"/>
  <c r="AN325"/>
  <c r="M325"/>
  <c r="H459"/>
  <c r="AI322"/>
  <c r="AA322"/>
  <c r="AD322"/>
  <c r="T322"/>
  <c r="AC322"/>
  <c r="AO323"/>
  <c r="W323"/>
  <c r="F323"/>
  <c r="AJ324"/>
  <c r="I324"/>
  <c r="AC456"/>
  <c r="AO322"/>
  <c r="AK322"/>
  <c r="AG322"/>
  <c r="AB322"/>
  <c r="Q322"/>
  <c r="F322"/>
  <c r="D322"/>
  <c r="J322"/>
  <c r="S322"/>
  <c r="K322"/>
  <c r="AK323"/>
  <c r="Y323"/>
  <c r="Q323"/>
  <c r="G323"/>
  <c r="J323"/>
  <c r="AN324"/>
  <c r="AF324"/>
  <c r="K324"/>
  <c r="T324"/>
  <c r="AE456"/>
  <c r="AD456"/>
  <c r="AP322"/>
  <c r="AN322"/>
  <c r="AL322"/>
  <c r="AJ322"/>
  <c r="AH322"/>
  <c r="AF322"/>
  <c r="P322"/>
  <c r="E322"/>
  <c r="L322"/>
  <c r="C322"/>
  <c r="U322"/>
  <c r="R322"/>
  <c r="W322"/>
  <c r="Y322"/>
  <c r="G322"/>
  <c r="Z322"/>
  <c r="H322"/>
  <c r="N322"/>
  <c r="I322"/>
  <c r="AM323"/>
  <c r="AI323"/>
  <c r="AE323"/>
  <c r="S323"/>
  <c r="L323"/>
  <c r="T323"/>
  <c r="AB323"/>
  <c r="U323"/>
  <c r="E323"/>
  <c r="X323"/>
  <c r="AP324"/>
  <c r="AL324"/>
  <c r="AI324"/>
  <c r="X324"/>
  <c r="N324"/>
  <c r="V324"/>
  <c r="O324"/>
  <c r="D324"/>
  <c r="AI456"/>
  <c r="U456"/>
  <c r="R456"/>
  <c r="V456"/>
  <c r="N456"/>
  <c r="AF325"/>
  <c r="X325"/>
  <c r="AP459"/>
  <c r="S459"/>
  <c r="W459"/>
  <c r="AJ325"/>
  <c r="Z325"/>
  <c r="R325"/>
  <c r="C325"/>
  <c r="AC325"/>
  <c r="AL459"/>
  <c r="T459"/>
  <c r="AA459"/>
  <c r="J459"/>
  <c r="N459"/>
  <c r="AP323"/>
  <c r="AN323"/>
  <c r="AL323"/>
  <c r="AJ323"/>
  <c r="AH323"/>
  <c r="AF323"/>
  <c r="AC323"/>
  <c r="I323"/>
  <c r="D323"/>
  <c r="H323"/>
  <c r="V323"/>
  <c r="O323"/>
  <c r="R323"/>
  <c r="AD323"/>
  <c r="N323"/>
  <c r="P323"/>
  <c r="C323"/>
  <c r="K323"/>
  <c r="Z323"/>
  <c r="AO324"/>
  <c r="AM324"/>
  <c r="AK324"/>
  <c r="AH324"/>
  <c r="AG324"/>
  <c r="AE324"/>
  <c r="C324"/>
  <c r="J324"/>
  <c r="F324"/>
  <c r="U324"/>
  <c r="AA324"/>
  <c r="Y324"/>
  <c r="G324"/>
  <c r="S324"/>
  <c r="AO456"/>
  <c r="AK456"/>
  <c r="AG456"/>
  <c r="T456"/>
  <c r="O456"/>
  <c r="X456"/>
  <c r="Y456"/>
  <c r="Q456"/>
  <c r="M456"/>
  <c r="C456"/>
  <c r="AP325"/>
  <c r="AL325"/>
  <c r="AH325"/>
  <c r="G325"/>
  <c r="W325"/>
  <c r="I325"/>
  <c r="AD325"/>
  <c r="L325"/>
  <c r="P325"/>
  <c r="D325"/>
  <c r="AN459"/>
  <c r="AJ459"/>
  <c r="AF459"/>
  <c r="F459"/>
  <c r="Q459"/>
  <c r="D459"/>
  <c r="AD459"/>
  <c r="AB459"/>
  <c r="L459"/>
  <c r="AC459"/>
  <c r="Z324"/>
  <c r="P324"/>
  <c r="AD324"/>
  <c r="R324"/>
  <c r="E324"/>
  <c r="L324"/>
  <c r="W324"/>
  <c r="H324"/>
  <c r="AB324"/>
  <c r="Q324"/>
  <c r="AP456"/>
  <c r="AN456"/>
  <c r="AL456"/>
  <c r="AJ456"/>
  <c r="AH456"/>
  <c r="AF456"/>
  <c r="AB456"/>
  <c r="L456"/>
  <c r="K456"/>
  <c r="D456"/>
  <c r="P456"/>
  <c r="F456"/>
  <c r="H456"/>
  <c r="Z456"/>
  <c r="W456"/>
  <c r="G456"/>
  <c r="E456"/>
  <c r="AA456"/>
  <c r="J456"/>
  <c r="AO325"/>
  <c r="AM325"/>
  <c r="AK325"/>
  <c r="AI325"/>
  <c r="AG325"/>
  <c r="AE325"/>
  <c r="K325"/>
  <c r="J325"/>
  <c r="U325"/>
  <c r="Q325"/>
  <c r="V325"/>
  <c r="O325"/>
  <c r="F325"/>
  <c r="H325"/>
  <c r="N325"/>
  <c r="Y325"/>
  <c r="T325"/>
  <c r="AA325"/>
  <c r="E325"/>
  <c r="AO459"/>
  <c r="AM459"/>
  <c r="AK459"/>
  <c r="AI459"/>
  <c r="AG459"/>
  <c r="AE459"/>
  <c r="Z459"/>
  <c r="C459"/>
  <c r="M459"/>
  <c r="K459"/>
  <c r="P459"/>
  <c r="G459"/>
  <c r="I459"/>
  <c r="R459"/>
  <c r="E459"/>
  <c r="Y459"/>
  <c r="U459"/>
  <c r="O459"/>
  <c r="X459"/>
  <c r="P414"/>
  <c r="P421" s="1"/>
  <c r="C460" s="1"/>
  <c r="B460" s="1"/>
  <c r="O421"/>
  <c r="O287"/>
  <c r="P280"/>
  <c r="F97"/>
  <c r="F90"/>
  <c r="F91"/>
  <c r="G204"/>
  <c r="G240"/>
  <c r="G55"/>
  <c r="G56" s="1"/>
  <c r="G617"/>
  <c r="B458"/>
  <c r="P118" i="8"/>
  <c r="P121" s="1"/>
  <c r="P159"/>
  <c r="P162" s="1"/>
  <c r="P191"/>
  <c r="P194" s="1"/>
  <c r="P140"/>
  <c r="P144" s="1"/>
  <c r="T54" i="2"/>
  <c r="T56" s="1"/>
  <c r="T82" s="1"/>
  <c r="T87" s="1"/>
  <c r="T203"/>
  <c r="T239"/>
  <c r="S96"/>
  <c r="S88"/>
  <c r="R97"/>
  <c r="U674"/>
  <c r="U677" s="1"/>
  <c r="T738"/>
  <c r="U739" s="1"/>
  <c r="B457" l="1"/>
  <c r="B455"/>
  <c r="P287"/>
  <c r="C326" s="1"/>
  <c r="B326" s="1"/>
  <c r="AC321"/>
  <c r="AL321"/>
  <c r="AD321"/>
  <c r="AP321"/>
  <c r="N321"/>
  <c r="L321"/>
  <c r="AJ321"/>
  <c r="M321"/>
  <c r="F321"/>
  <c r="T321"/>
  <c r="AA321"/>
  <c r="AO321"/>
  <c r="AK321"/>
  <c r="AG321"/>
  <c r="Z321"/>
  <c r="E321"/>
  <c r="W321"/>
  <c r="C321"/>
  <c r="Q321"/>
  <c r="G321"/>
  <c r="I321"/>
  <c r="D321"/>
  <c r="P321"/>
  <c r="X321"/>
  <c r="AH321"/>
  <c r="V321"/>
  <c r="AN321"/>
  <c r="AF321"/>
  <c r="H321"/>
  <c r="O321"/>
  <c r="R321"/>
  <c r="AM321"/>
  <c r="AI321"/>
  <c r="AE321"/>
  <c r="U321"/>
  <c r="S321"/>
  <c r="K321"/>
  <c r="J321"/>
  <c r="Y321"/>
  <c r="AB321"/>
  <c r="B322"/>
  <c r="B323"/>
  <c r="B456"/>
  <c r="Q414"/>
  <c r="AE454" s="1"/>
  <c r="AE461" s="1"/>
  <c r="AE241" s="1"/>
  <c r="B459"/>
  <c r="B325"/>
  <c r="B324"/>
  <c r="G614"/>
  <c r="G615" s="1"/>
  <c r="G80"/>
  <c r="G81" s="1"/>
  <c r="G82" s="1"/>
  <c r="G87" s="1"/>
  <c r="Q280"/>
  <c r="P193" i="8"/>
  <c r="P120"/>
  <c r="P142"/>
  <c r="P143" s="1"/>
  <c r="P161"/>
  <c r="V674" i="2"/>
  <c r="V677" s="1"/>
  <c r="U738"/>
  <c r="V739" s="1"/>
  <c r="T88"/>
  <c r="T96"/>
  <c r="U54"/>
  <c r="U56" s="1"/>
  <c r="U82" s="1"/>
  <c r="U87" s="1"/>
  <c r="U203"/>
  <c r="U239"/>
  <c r="S97"/>
  <c r="B321" l="1"/>
  <c r="AO454"/>
  <c r="AO461" s="1"/>
  <c r="Q454"/>
  <c r="Q461" s="1"/>
  <c r="Q241" s="1"/>
  <c r="AG454"/>
  <c r="AG461" s="1"/>
  <c r="S454"/>
  <c r="S461" s="1"/>
  <c r="S241" s="1"/>
  <c r="G454"/>
  <c r="G461" s="1"/>
  <c r="G241" s="1"/>
  <c r="AJ454"/>
  <c r="AJ461" s="1"/>
  <c r="T454"/>
  <c r="T461" s="1"/>
  <c r="T241" s="1"/>
  <c r="X454"/>
  <c r="X461" s="1"/>
  <c r="X241" s="1"/>
  <c r="L454"/>
  <c r="L461" s="1"/>
  <c r="L241" s="1"/>
  <c r="Z454"/>
  <c r="Z461" s="1"/>
  <c r="Z241" s="1"/>
  <c r="AM454"/>
  <c r="AM461" s="1"/>
  <c r="AI454"/>
  <c r="AI461" s="1"/>
  <c r="O454"/>
  <c r="O461" s="1"/>
  <c r="O241" s="1"/>
  <c r="R454"/>
  <c r="R461" s="1"/>
  <c r="R241" s="1"/>
  <c r="Y454"/>
  <c r="Y461" s="1"/>
  <c r="Y241" s="1"/>
  <c r="AB454"/>
  <c r="AB461" s="1"/>
  <c r="AB241" s="1"/>
  <c r="C454"/>
  <c r="C461" s="1"/>
  <c r="C241" s="1"/>
  <c r="M454"/>
  <c r="M461" s="1"/>
  <c r="M241" s="1"/>
  <c r="U454"/>
  <c r="U461" s="1"/>
  <c r="U241" s="1"/>
  <c r="AF454"/>
  <c r="AF461" s="1"/>
  <c r="AF241" s="1"/>
  <c r="AP454"/>
  <c r="AP461" s="1"/>
  <c r="AN454"/>
  <c r="AN461" s="1"/>
  <c r="AL454"/>
  <c r="AL461" s="1"/>
  <c r="AK454"/>
  <c r="AK461" s="1"/>
  <c r="AH454"/>
  <c r="AH461" s="1"/>
  <c r="D454"/>
  <c r="D461" s="1"/>
  <c r="D241" s="1"/>
  <c r="I454"/>
  <c r="I461" s="1"/>
  <c r="I241" s="1"/>
  <c r="J454"/>
  <c r="J461" s="1"/>
  <c r="J241" s="1"/>
  <c r="Q421"/>
  <c r="N454"/>
  <c r="N461" s="1"/>
  <c r="N241" s="1"/>
  <c r="P454"/>
  <c r="P461" s="1"/>
  <c r="P241" s="1"/>
  <c r="W454"/>
  <c r="W461" s="1"/>
  <c r="W241" s="1"/>
  <c r="AD454"/>
  <c r="AD461" s="1"/>
  <c r="AD241" s="1"/>
  <c r="E454"/>
  <c r="E461" s="1"/>
  <c r="E241" s="1"/>
  <c r="V454"/>
  <c r="V461" s="1"/>
  <c r="V241" s="1"/>
  <c r="H454"/>
  <c r="H461" s="1"/>
  <c r="H241" s="1"/>
  <c r="K454"/>
  <c r="K461" s="1"/>
  <c r="K241" s="1"/>
  <c r="AC454"/>
  <c r="AC461" s="1"/>
  <c r="AC241" s="1"/>
  <c r="F454"/>
  <c r="F461" s="1"/>
  <c r="F241" s="1"/>
  <c r="AA454"/>
  <c r="AA461" s="1"/>
  <c r="AA241" s="1"/>
  <c r="AE320"/>
  <c r="AE327" s="1"/>
  <c r="AE205" s="1"/>
  <c r="T320"/>
  <c r="T327" s="1"/>
  <c r="T205" s="1"/>
  <c r="T206" s="1"/>
  <c r="T234" s="1"/>
  <c r="T235" s="1"/>
  <c r="J320"/>
  <c r="J327" s="1"/>
  <c r="J205" s="1"/>
  <c r="U320"/>
  <c r="U327" s="1"/>
  <c r="U205" s="1"/>
  <c r="U206" s="1"/>
  <c r="U234" s="1"/>
  <c r="U235" s="1"/>
  <c r="U242" s="1"/>
  <c r="AB320"/>
  <c r="AB327" s="1"/>
  <c r="AB205" s="1"/>
  <c r="E320"/>
  <c r="E327" s="1"/>
  <c r="E205" s="1"/>
  <c r="E206" s="1"/>
  <c r="E234" s="1"/>
  <c r="E235" s="1"/>
  <c r="S320"/>
  <c r="S327" s="1"/>
  <c r="S205" s="1"/>
  <c r="S206" s="1"/>
  <c r="S234" s="1"/>
  <c r="S235" s="1"/>
  <c r="L320"/>
  <c r="L327" s="1"/>
  <c r="L205" s="1"/>
  <c r="O320"/>
  <c r="O327" s="1"/>
  <c r="O205" s="1"/>
  <c r="Z320"/>
  <c r="Z327" s="1"/>
  <c r="Z205" s="1"/>
  <c r="N320"/>
  <c r="N327" s="1"/>
  <c r="N205" s="1"/>
  <c r="Y320"/>
  <c r="Y327" s="1"/>
  <c r="Y205" s="1"/>
  <c r="R320"/>
  <c r="R327" s="1"/>
  <c r="R205" s="1"/>
  <c r="R206" s="1"/>
  <c r="R234" s="1"/>
  <c r="R235" s="1"/>
  <c r="X320"/>
  <c r="X327" s="1"/>
  <c r="X205" s="1"/>
  <c r="F320"/>
  <c r="F327" s="1"/>
  <c r="F205" s="1"/>
  <c r="F206" s="1"/>
  <c r="F234" s="1"/>
  <c r="F235" s="1"/>
  <c r="Q287"/>
  <c r="C320"/>
  <c r="H320"/>
  <c r="H327" s="1"/>
  <c r="H205" s="1"/>
  <c r="V320"/>
  <c r="V327" s="1"/>
  <c r="V205" s="1"/>
  <c r="K320"/>
  <c r="K327" s="1"/>
  <c r="K205" s="1"/>
  <c r="D320"/>
  <c r="D327" s="1"/>
  <c r="D205" s="1"/>
  <c r="D206" s="1"/>
  <c r="D234" s="1"/>
  <c r="D235" s="1"/>
  <c r="Q320"/>
  <c r="Q327" s="1"/>
  <c r="Q205" s="1"/>
  <c r="AC320"/>
  <c r="AC327" s="1"/>
  <c r="AC205" s="1"/>
  <c r="G320"/>
  <c r="G327" s="1"/>
  <c r="G205" s="1"/>
  <c r="G206" s="1"/>
  <c r="G234" s="1"/>
  <c r="G235" s="1"/>
  <c r="I320"/>
  <c r="I327" s="1"/>
  <c r="I205" s="1"/>
  <c r="P320"/>
  <c r="P327" s="1"/>
  <c r="P205" s="1"/>
  <c r="AA320"/>
  <c r="AA327" s="1"/>
  <c r="AA205" s="1"/>
  <c r="W320"/>
  <c r="W327" s="1"/>
  <c r="W205" s="1"/>
  <c r="M320"/>
  <c r="M327" s="1"/>
  <c r="M205" s="1"/>
  <c r="AD320"/>
  <c r="AD327" s="1"/>
  <c r="AD205" s="1"/>
  <c r="AF320"/>
  <c r="AF327" s="1"/>
  <c r="AF205" s="1"/>
  <c r="AG320"/>
  <c r="AG327" s="1"/>
  <c r="AH320"/>
  <c r="AH327" s="1"/>
  <c r="AI320"/>
  <c r="AI327" s="1"/>
  <c r="AJ320"/>
  <c r="AJ327" s="1"/>
  <c r="AK320"/>
  <c r="AK327" s="1"/>
  <c r="AL320"/>
  <c r="AL327" s="1"/>
  <c r="AM320"/>
  <c r="AM327" s="1"/>
  <c r="AN320"/>
  <c r="AN327" s="1"/>
  <c r="AO320"/>
  <c r="AO327" s="1"/>
  <c r="AP320"/>
  <c r="AP327" s="1"/>
  <c r="G96"/>
  <c r="G88"/>
  <c r="H612"/>
  <c r="H618"/>
  <c r="P146" i="8"/>
  <c r="Q138"/>
  <c r="Q189" s="1"/>
  <c r="Q137"/>
  <c r="Q134"/>
  <c r="Q181" s="1"/>
  <c r="Q133"/>
  <c r="Q126"/>
  <c r="Q130"/>
  <c r="Q177" s="1"/>
  <c r="Q129"/>
  <c r="U96" i="2"/>
  <c r="U88"/>
  <c r="T97"/>
  <c r="W674"/>
  <c r="W677" s="1"/>
  <c r="V738"/>
  <c r="W739" s="1"/>
  <c r="V239"/>
  <c r="V54"/>
  <c r="V56" s="1"/>
  <c r="V82" s="1"/>
  <c r="V87" s="1"/>
  <c r="V203"/>
  <c r="U245" l="1"/>
  <c r="U273" s="1"/>
  <c r="U274" s="1"/>
  <c r="U108" s="1"/>
  <c r="B454"/>
  <c r="B461"/>
  <c r="U107"/>
  <c r="G91"/>
  <c r="G90"/>
  <c r="H204"/>
  <c r="H206" s="1"/>
  <c r="H234" s="1"/>
  <c r="H235" s="1"/>
  <c r="H617"/>
  <c r="H55"/>
  <c r="H56" s="1"/>
  <c r="H240"/>
  <c r="D107"/>
  <c r="D242"/>
  <c r="D245" s="1"/>
  <c r="C327"/>
  <c r="C205" s="1"/>
  <c r="C206" s="1"/>
  <c r="C234" s="1"/>
  <c r="C235" s="1"/>
  <c r="B320"/>
  <c r="F107"/>
  <c r="F242"/>
  <c r="F245" s="1"/>
  <c r="R242"/>
  <c r="R245" s="1"/>
  <c r="R107"/>
  <c r="S107"/>
  <c r="S242"/>
  <c r="S245" s="1"/>
  <c r="G97"/>
  <c r="G107"/>
  <c r="G242"/>
  <c r="G245" s="1"/>
  <c r="E107"/>
  <c r="E242"/>
  <c r="E245" s="1"/>
  <c r="T242"/>
  <c r="T245" s="1"/>
  <c r="T107"/>
  <c r="V206"/>
  <c r="V234" s="1"/>
  <c r="V235" s="1"/>
  <c r="V107" s="1"/>
  <c r="Q139" i="8"/>
  <c r="Q188"/>
  <c r="Q190" s="1"/>
  <c r="Q176"/>
  <c r="Q178" s="1"/>
  <c r="Q131"/>
  <c r="Q135"/>
  <c r="Q180"/>
  <c r="Q182" s="1"/>
  <c r="Q117"/>
  <c r="Q158" s="1"/>
  <c r="Q173" s="1"/>
  <c r="Q174" s="1"/>
  <c r="Q127"/>
  <c r="W239" i="2"/>
  <c r="W54"/>
  <c r="W56" s="1"/>
  <c r="W82" s="1"/>
  <c r="W87" s="1"/>
  <c r="W203"/>
  <c r="W206" s="1"/>
  <c r="W234" s="1"/>
  <c r="W235" s="1"/>
  <c r="U97"/>
  <c r="V96"/>
  <c r="V88"/>
  <c r="X674"/>
  <c r="X677" s="1"/>
  <c r="W738"/>
  <c r="X739" s="1"/>
  <c r="F273" l="1"/>
  <c r="F274" s="1"/>
  <c r="F108" s="1"/>
  <c r="F109" s="1"/>
  <c r="F110" s="1"/>
  <c r="S273"/>
  <c r="S274" s="1"/>
  <c r="S108" s="1"/>
  <c r="S109" s="1"/>
  <c r="S110" s="1"/>
  <c r="G273"/>
  <c r="G274" s="1"/>
  <c r="G108" s="1"/>
  <c r="G109" s="1"/>
  <c r="G110" s="1"/>
  <c r="T273"/>
  <c r="T274" s="1"/>
  <c r="T108" s="1"/>
  <c r="T109" s="1"/>
  <c r="T110" s="1"/>
  <c r="R273"/>
  <c r="R274" s="1"/>
  <c r="R108" s="1"/>
  <c r="R109" s="1"/>
  <c r="R110" s="1"/>
  <c r="D273"/>
  <c r="D274" s="1"/>
  <c r="D108" s="1"/>
  <c r="D109" s="1"/>
  <c r="D110" s="1"/>
  <c r="E273"/>
  <c r="E274" s="1"/>
  <c r="E108" s="1"/>
  <c r="E109" s="1"/>
  <c r="E110" s="1"/>
  <c r="U109"/>
  <c r="U110" s="1"/>
  <c r="V242"/>
  <c r="V245" s="1"/>
  <c r="C242"/>
  <c r="C245" s="1"/>
  <c r="C107"/>
  <c r="H107"/>
  <c r="H242"/>
  <c r="H245" s="1"/>
  <c r="H80"/>
  <c r="H81" s="1"/>
  <c r="H82" s="1"/>
  <c r="H87" s="1"/>
  <c r="H614"/>
  <c r="H615" s="1"/>
  <c r="B327"/>
  <c r="Q191" i="8"/>
  <c r="Q118"/>
  <c r="Q121" s="1"/>
  <c r="Q159"/>
  <c r="Q162" s="1"/>
  <c r="Q140"/>
  <c r="Q144" s="1"/>
  <c r="Y674" i="2"/>
  <c r="Y677" s="1"/>
  <c r="X738"/>
  <c r="Y739" s="1"/>
  <c r="W107"/>
  <c r="W242"/>
  <c r="W245" s="1"/>
  <c r="X239"/>
  <c r="X54"/>
  <c r="X56" s="1"/>
  <c r="X82" s="1"/>
  <c r="X87" s="1"/>
  <c r="X203"/>
  <c r="X206" s="1"/>
  <c r="X234" s="1"/>
  <c r="X235" s="1"/>
  <c r="V97"/>
  <c r="W88"/>
  <c r="W96"/>
  <c r="W273" l="1"/>
  <c r="W274" s="1"/>
  <c r="W108" s="1"/>
  <c r="W109" s="1"/>
  <c r="H273"/>
  <c r="H274" s="1"/>
  <c r="H108" s="1"/>
  <c r="H109" s="1"/>
  <c r="C273"/>
  <c r="C274" s="1"/>
  <c r="C108" s="1"/>
  <c r="V273"/>
  <c r="V274" s="1"/>
  <c r="V108" s="1"/>
  <c r="V109" s="1"/>
  <c r="V110" s="1"/>
  <c r="H96"/>
  <c r="H97" s="1"/>
  <c r="H88"/>
  <c r="I612"/>
  <c r="I618"/>
  <c r="C146"/>
  <c r="Q193" i="8"/>
  <c r="Q194"/>
  <c r="Q142"/>
  <c r="Q143" s="1"/>
  <c r="Q120"/>
  <c r="Q161"/>
  <c r="X107" i="2"/>
  <c r="X242"/>
  <c r="X245" s="1"/>
  <c r="Y54"/>
  <c r="Y56" s="1"/>
  <c r="Y82" s="1"/>
  <c r="Y87" s="1"/>
  <c r="Y203"/>
  <c r="Y206" s="1"/>
  <c r="Y234" s="1"/>
  <c r="Y235" s="1"/>
  <c r="Y239"/>
  <c r="W97"/>
  <c r="X96"/>
  <c r="X88"/>
  <c r="Z674"/>
  <c r="Z677" s="1"/>
  <c r="Y738"/>
  <c r="Z739" s="1"/>
  <c r="C147" l="1"/>
  <c r="C190" s="1"/>
  <c r="C109"/>
  <c r="C110" s="1"/>
  <c r="C112" s="1"/>
  <c r="X273"/>
  <c r="X274" s="1"/>
  <c r="X108" s="1"/>
  <c r="X109" s="1"/>
  <c r="H110"/>
  <c r="C189"/>
  <c r="I617"/>
  <c r="I240"/>
  <c r="I55"/>
  <c r="I56" s="1"/>
  <c r="I204"/>
  <c r="I206" s="1"/>
  <c r="I234" s="1"/>
  <c r="I235" s="1"/>
  <c r="H91"/>
  <c r="H90"/>
  <c r="Q146" i="8"/>
  <c r="R138"/>
  <c r="R189" s="1"/>
  <c r="R137"/>
  <c r="R134"/>
  <c r="R181" s="1"/>
  <c r="R133"/>
  <c r="R126"/>
  <c r="R130"/>
  <c r="R177" s="1"/>
  <c r="R129"/>
  <c r="W110" i="2"/>
  <c r="AA674"/>
  <c r="AA677" s="1"/>
  <c r="Z738"/>
  <c r="AA739" s="1"/>
  <c r="X97"/>
  <c r="Y88"/>
  <c r="Y96"/>
  <c r="Z54"/>
  <c r="Z56" s="1"/>
  <c r="Z82" s="1"/>
  <c r="Z87" s="1"/>
  <c r="Z203"/>
  <c r="Z206" s="1"/>
  <c r="Z234" s="1"/>
  <c r="Z235" s="1"/>
  <c r="Z239"/>
  <c r="Y107"/>
  <c r="Y242"/>
  <c r="Y245" s="1"/>
  <c r="H113" l="1"/>
  <c r="F112"/>
  <c r="E113"/>
  <c r="H112"/>
  <c r="D113"/>
  <c r="D112"/>
  <c r="C148"/>
  <c r="C149" s="1"/>
  <c r="C153" s="1"/>
  <c r="G112"/>
  <c r="F113"/>
  <c r="C113"/>
  <c r="G113"/>
  <c r="E112"/>
  <c r="C191"/>
  <c r="C192" s="1"/>
  <c r="C194" s="1"/>
  <c r="Y273"/>
  <c r="Y274" s="1"/>
  <c r="Y108" s="1"/>
  <c r="Y109" s="1"/>
  <c r="I80"/>
  <c r="I81" s="1"/>
  <c r="I82" s="1"/>
  <c r="I87" s="1"/>
  <c r="I614"/>
  <c r="I615" s="1"/>
  <c r="I107"/>
  <c r="I242"/>
  <c r="I245" s="1"/>
  <c r="R139" i="8"/>
  <c r="R188"/>
  <c r="R190" s="1"/>
  <c r="R127"/>
  <c r="R117"/>
  <c r="R158" s="1"/>
  <c r="R173" s="1"/>
  <c r="R174" s="1"/>
  <c r="R176"/>
  <c r="R178" s="1"/>
  <c r="R131"/>
  <c r="R135"/>
  <c r="R180"/>
  <c r="R182" s="1"/>
  <c r="Z88" i="2"/>
  <c r="Z96"/>
  <c r="AA239"/>
  <c r="AA203"/>
  <c r="AA206" s="1"/>
  <c r="AA234" s="1"/>
  <c r="AA235" s="1"/>
  <c r="AA54"/>
  <c r="AA56" s="1"/>
  <c r="AA82" s="1"/>
  <c r="AA87" s="1"/>
  <c r="Z107"/>
  <c r="Z242"/>
  <c r="Z245" s="1"/>
  <c r="Y97"/>
  <c r="AB674"/>
  <c r="AB677" s="1"/>
  <c r="AA738"/>
  <c r="AB739" s="1"/>
  <c r="X110"/>
  <c r="C195" l="1"/>
  <c r="C151"/>
  <c r="C152" s="1"/>
  <c r="D143" s="1"/>
  <c r="D182" s="1"/>
  <c r="Z273"/>
  <c r="Z274" s="1"/>
  <c r="Z108" s="1"/>
  <c r="Z109" s="1"/>
  <c r="I273"/>
  <c r="I274" s="1"/>
  <c r="I108" s="1"/>
  <c r="I109" s="1"/>
  <c r="I88"/>
  <c r="I96"/>
  <c r="I97" s="1"/>
  <c r="J612"/>
  <c r="J618"/>
  <c r="R118" i="8"/>
  <c r="R121" s="1"/>
  <c r="R159"/>
  <c r="R162" s="1"/>
  <c r="R191"/>
  <c r="R194" s="1"/>
  <c r="R140"/>
  <c r="R144" s="1"/>
  <c r="Y110" i="2"/>
  <c r="AC674"/>
  <c r="AC677" s="1"/>
  <c r="AB738"/>
  <c r="AC739" s="1"/>
  <c r="AA107"/>
  <c r="AA242"/>
  <c r="AA245" s="1"/>
  <c r="Z97"/>
  <c r="AB239"/>
  <c r="AB54"/>
  <c r="AB56" s="1"/>
  <c r="AB82" s="1"/>
  <c r="AB87" s="1"/>
  <c r="AB203"/>
  <c r="AB206" s="1"/>
  <c r="AB234" s="1"/>
  <c r="AB235" s="1"/>
  <c r="AA96"/>
  <c r="AA88"/>
  <c r="C155" l="1"/>
  <c r="D146"/>
  <c r="D189" s="1"/>
  <c r="D142"/>
  <c r="D144" s="1"/>
  <c r="D138"/>
  <c r="D177" s="1"/>
  <c r="D135"/>
  <c r="D126" s="1"/>
  <c r="D139"/>
  <c r="D178" s="1"/>
  <c r="D147"/>
  <c r="D190" s="1"/>
  <c r="AA273"/>
  <c r="AA274" s="1"/>
  <c r="AA108" s="1"/>
  <c r="AA109" s="1"/>
  <c r="I110"/>
  <c r="I112" s="1"/>
  <c r="J55"/>
  <c r="J56" s="1"/>
  <c r="J204"/>
  <c r="J206" s="1"/>
  <c r="J234" s="1"/>
  <c r="J235" s="1"/>
  <c r="J240"/>
  <c r="J617"/>
  <c r="I91"/>
  <c r="I90"/>
  <c r="R193" i="8"/>
  <c r="R120"/>
  <c r="R142"/>
  <c r="R143" s="1"/>
  <c r="R161"/>
  <c r="AB107" i="2"/>
  <c r="AB242"/>
  <c r="AB245" s="1"/>
  <c r="AC54"/>
  <c r="AC56" s="1"/>
  <c r="AC82" s="1"/>
  <c r="AC87" s="1"/>
  <c r="AC203"/>
  <c r="AC206" s="1"/>
  <c r="AC234" s="1"/>
  <c r="AC235" s="1"/>
  <c r="AC239"/>
  <c r="AA97"/>
  <c r="AB96"/>
  <c r="AB88"/>
  <c r="AD674"/>
  <c r="AD677" s="1"/>
  <c r="AC738"/>
  <c r="AD739" s="1"/>
  <c r="Z110"/>
  <c r="D181" l="1"/>
  <c r="D183" s="1"/>
  <c r="D140"/>
  <c r="D148"/>
  <c r="D136"/>
  <c r="I113"/>
  <c r="D191"/>
  <c r="D174"/>
  <c r="D175" s="1"/>
  <c r="D179"/>
  <c r="AB273"/>
  <c r="AB274" s="1"/>
  <c r="AB108" s="1"/>
  <c r="AB109" s="1"/>
  <c r="D127"/>
  <c r="D160"/>
  <c r="D161" s="1"/>
  <c r="J80"/>
  <c r="J81" s="1"/>
  <c r="J82" s="1"/>
  <c r="J87" s="1"/>
  <c r="J614"/>
  <c r="J615" s="1"/>
  <c r="J242"/>
  <c r="J245" s="1"/>
  <c r="J107"/>
  <c r="R146" i="8"/>
  <c r="S138"/>
  <c r="S189" s="1"/>
  <c r="S137"/>
  <c r="S134"/>
  <c r="S181" s="1"/>
  <c r="S133"/>
  <c r="S126"/>
  <c r="S130"/>
  <c r="S177" s="1"/>
  <c r="S129"/>
  <c r="AA110" i="2"/>
  <c r="AE674"/>
  <c r="AE677" s="1"/>
  <c r="AD738"/>
  <c r="AE739" s="1"/>
  <c r="AC107"/>
  <c r="AC242"/>
  <c r="AC245" s="1"/>
  <c r="AD54"/>
  <c r="AD56" s="1"/>
  <c r="AD82" s="1"/>
  <c r="AD87" s="1"/>
  <c r="AD203"/>
  <c r="AD206" s="1"/>
  <c r="AD234" s="1"/>
  <c r="AD235" s="1"/>
  <c r="AD239"/>
  <c r="AB97"/>
  <c r="AC88"/>
  <c r="AC96"/>
  <c r="D192" l="1"/>
  <c r="D195" s="1"/>
  <c r="D149"/>
  <c r="D151" s="1"/>
  <c r="AC273"/>
  <c r="AC274" s="1"/>
  <c r="AC108" s="1"/>
  <c r="AC109" s="1"/>
  <c r="J273"/>
  <c r="J274" s="1"/>
  <c r="J108" s="1"/>
  <c r="J109" s="1"/>
  <c r="J96"/>
  <c r="J97" s="1"/>
  <c r="J88"/>
  <c r="D129"/>
  <c r="D130"/>
  <c r="K618"/>
  <c r="K612"/>
  <c r="D163"/>
  <c r="D164"/>
  <c r="S139" i="8"/>
  <c r="S188"/>
  <c r="S190" s="1"/>
  <c r="S176"/>
  <c r="S178" s="1"/>
  <c r="S131"/>
  <c r="S135"/>
  <c r="S180"/>
  <c r="S182" s="1"/>
  <c r="S117"/>
  <c r="S158" s="1"/>
  <c r="S173" s="1"/>
  <c r="S174" s="1"/>
  <c r="S127"/>
  <c r="AD107" i="2"/>
  <c r="AD242"/>
  <c r="AD245" s="1"/>
  <c r="AE239"/>
  <c r="AE54"/>
  <c r="AE56" s="1"/>
  <c r="AE82" s="1"/>
  <c r="AE87" s="1"/>
  <c r="AE203"/>
  <c r="AE206" s="1"/>
  <c r="AE234" s="1"/>
  <c r="AE235" s="1"/>
  <c r="AC97"/>
  <c r="AD88"/>
  <c r="AD96"/>
  <c r="AF674"/>
  <c r="AF677" s="1"/>
  <c r="AE738"/>
  <c r="AF739" s="1"/>
  <c r="AB110"/>
  <c r="D194" l="1"/>
  <c r="D153"/>
  <c r="AD273"/>
  <c r="AD274" s="1"/>
  <c r="AD108" s="1"/>
  <c r="AD109" s="1"/>
  <c r="D152"/>
  <c r="K617"/>
  <c r="K240"/>
  <c r="K204"/>
  <c r="K206" s="1"/>
  <c r="K234" s="1"/>
  <c r="K235" s="1"/>
  <c r="K55"/>
  <c r="K56" s="1"/>
  <c r="J91"/>
  <c r="C95" i="1" s="1"/>
  <c r="J90" i="2"/>
  <c r="C89" i="1" s="1"/>
  <c r="J110" i="2"/>
  <c r="S191" i="8"/>
  <c r="S118"/>
  <c r="S121" s="1"/>
  <c r="S159"/>
  <c r="S162" s="1"/>
  <c r="S140"/>
  <c r="S144" s="1"/>
  <c r="AC110" i="2"/>
  <c r="AF54"/>
  <c r="AF56" s="1"/>
  <c r="AF82" s="1"/>
  <c r="AF87" s="1"/>
  <c r="AF203"/>
  <c r="AF206" s="1"/>
  <c r="AF234" s="1"/>
  <c r="AF235" s="1"/>
  <c r="AF239"/>
  <c r="AD97"/>
  <c r="AE96"/>
  <c r="AE88"/>
  <c r="AG674"/>
  <c r="AG677" s="1"/>
  <c r="AF738"/>
  <c r="AE107"/>
  <c r="AE242"/>
  <c r="AE245" s="1"/>
  <c r="AE273" l="1"/>
  <c r="AE274" s="1"/>
  <c r="AE108" s="1"/>
  <c r="AE109" s="1"/>
  <c r="J113"/>
  <c r="C96" i="1" s="1"/>
  <c r="J112" i="2"/>
  <c r="C90" i="1" s="1"/>
  <c r="K242" i="2"/>
  <c r="K245" s="1"/>
  <c r="K107"/>
  <c r="K80"/>
  <c r="K81" s="1"/>
  <c r="K82" s="1"/>
  <c r="K87" s="1"/>
  <c r="K614"/>
  <c r="K615" s="1"/>
  <c r="E138"/>
  <c r="E147"/>
  <c r="E190" s="1"/>
  <c r="E139"/>
  <c r="E178" s="1"/>
  <c r="E142"/>
  <c r="E143"/>
  <c r="E182" s="1"/>
  <c r="E135"/>
  <c r="E146"/>
  <c r="D155"/>
  <c r="S193" i="8"/>
  <c r="S194"/>
  <c r="S142"/>
  <c r="S143" s="1"/>
  <c r="S120"/>
  <c r="S161"/>
  <c r="AD110" i="2"/>
  <c r="AF107"/>
  <c r="AF242"/>
  <c r="AF245" s="1"/>
  <c r="AH674"/>
  <c r="AH677" s="1"/>
  <c r="AG738"/>
  <c r="AE97"/>
  <c r="AF88"/>
  <c r="AF96"/>
  <c r="AF273" l="1"/>
  <c r="AF274" s="1"/>
  <c r="AF108" s="1"/>
  <c r="AF109" s="1"/>
  <c r="K273"/>
  <c r="K274" s="1"/>
  <c r="K108" s="1"/>
  <c r="K109" s="1"/>
  <c r="K88"/>
  <c r="K96"/>
  <c r="K97" s="1"/>
  <c r="E126"/>
  <c r="E136"/>
  <c r="E174"/>
  <c r="E175" s="1"/>
  <c r="E144"/>
  <c r="E181"/>
  <c r="E183" s="1"/>
  <c r="L618"/>
  <c r="L612"/>
  <c r="E148"/>
  <c r="E189"/>
  <c r="E191" s="1"/>
  <c r="E177"/>
  <c r="E179" s="1"/>
  <c r="E140"/>
  <c r="S146" i="8"/>
  <c r="T138"/>
  <c r="T189" s="1"/>
  <c r="T137"/>
  <c r="T134"/>
  <c r="T181" s="1"/>
  <c r="T133"/>
  <c r="T126"/>
  <c r="T130"/>
  <c r="T177" s="1"/>
  <c r="T129"/>
  <c r="AE110" i="2"/>
  <c r="AF97"/>
  <c r="AI674"/>
  <c r="AI677" s="1"/>
  <c r="AH738"/>
  <c r="K110" l="1"/>
  <c r="K113" s="1"/>
  <c r="E127"/>
  <c r="E160"/>
  <c r="E161" s="1"/>
  <c r="K91"/>
  <c r="K90"/>
  <c r="L240"/>
  <c r="L617"/>
  <c r="L55"/>
  <c r="L56" s="1"/>
  <c r="L204"/>
  <c r="L206" s="1"/>
  <c r="L234" s="1"/>
  <c r="L235" s="1"/>
  <c r="E192"/>
  <c r="E149"/>
  <c r="T139" i="8"/>
  <c r="T188"/>
  <c r="T190" s="1"/>
  <c r="T127"/>
  <c r="T117"/>
  <c r="T158" s="1"/>
  <c r="T173" s="1"/>
  <c r="T174" s="1"/>
  <c r="T176"/>
  <c r="T178" s="1"/>
  <c r="T131"/>
  <c r="T135"/>
  <c r="T180"/>
  <c r="T182" s="1"/>
  <c r="AJ674" i="2"/>
  <c r="AJ677" s="1"/>
  <c r="AI738"/>
  <c r="AF110"/>
  <c r="K112" l="1"/>
  <c r="E151"/>
  <c r="E153"/>
  <c r="E195"/>
  <c r="E194"/>
  <c r="E130"/>
  <c r="E129"/>
  <c r="L107"/>
  <c r="L242"/>
  <c r="L245" s="1"/>
  <c r="L614"/>
  <c r="L615" s="1"/>
  <c r="L80"/>
  <c r="L81" s="1"/>
  <c r="L82" s="1"/>
  <c r="L87" s="1"/>
  <c r="E164"/>
  <c r="E163"/>
  <c r="T118" i="8"/>
  <c r="T121" s="1"/>
  <c r="T159"/>
  <c r="T162" s="1"/>
  <c r="T191"/>
  <c r="T194" s="1"/>
  <c r="T140"/>
  <c r="T144" s="1"/>
  <c r="AK674" i="2"/>
  <c r="AK677" s="1"/>
  <c r="AJ738"/>
  <c r="L273" l="1"/>
  <c r="L274" s="1"/>
  <c r="L108" s="1"/>
  <c r="L109" s="1"/>
  <c r="M612"/>
  <c r="M618"/>
  <c r="L96"/>
  <c r="L97" s="1"/>
  <c r="L88"/>
  <c r="E152"/>
  <c r="T193" i="8"/>
  <c r="T120"/>
  <c r="T142"/>
  <c r="T143" s="1"/>
  <c r="T161"/>
  <c r="AL674" i="2"/>
  <c r="AL677" s="1"/>
  <c r="AK738"/>
  <c r="M204" l="1"/>
  <c r="M206" s="1"/>
  <c r="M234" s="1"/>
  <c r="M235" s="1"/>
  <c r="M55"/>
  <c r="M56" s="1"/>
  <c r="M240"/>
  <c r="M617"/>
  <c r="L110"/>
  <c r="L113" s="1"/>
  <c r="E155"/>
  <c r="F147"/>
  <c r="F190" s="1"/>
  <c r="F142"/>
  <c r="F139"/>
  <c r="F178" s="1"/>
  <c r="F138"/>
  <c r="F135"/>
  <c r="F143"/>
  <c r="F182" s="1"/>
  <c r="F146"/>
  <c r="L91"/>
  <c r="L90"/>
  <c r="T146" i="8"/>
  <c r="U138"/>
  <c r="U189" s="1"/>
  <c r="U137"/>
  <c r="U134"/>
  <c r="U181" s="1"/>
  <c r="U133"/>
  <c r="U126"/>
  <c r="U130"/>
  <c r="U177" s="1"/>
  <c r="U129"/>
  <c r="AM674" i="2"/>
  <c r="AM677" s="1"/>
  <c r="AL738"/>
  <c r="M80" l="1"/>
  <c r="M81" s="1"/>
  <c r="M82" s="1"/>
  <c r="M87" s="1"/>
  <c r="M614"/>
  <c r="M615" s="1"/>
  <c r="M242"/>
  <c r="M245" s="1"/>
  <c r="M107"/>
  <c r="L112"/>
  <c r="F140"/>
  <c r="F177"/>
  <c r="F179" s="1"/>
  <c r="F181"/>
  <c r="F183" s="1"/>
  <c r="F144"/>
  <c r="F189"/>
  <c r="F191" s="1"/>
  <c r="F148"/>
  <c r="F174"/>
  <c r="F175" s="1"/>
  <c r="F126"/>
  <c r="F136"/>
  <c r="U139" i="8"/>
  <c r="U188"/>
  <c r="U190" s="1"/>
  <c r="U176"/>
  <c r="U178" s="1"/>
  <c r="U131"/>
  <c r="U135"/>
  <c r="U180"/>
  <c r="U182" s="1"/>
  <c r="U117"/>
  <c r="U158" s="1"/>
  <c r="U173" s="1"/>
  <c r="U174" s="1"/>
  <c r="U127"/>
  <c r="AN674" i="2"/>
  <c r="AN677" s="1"/>
  <c r="AM738"/>
  <c r="M273" l="1"/>
  <c r="M274" s="1"/>
  <c r="M108" s="1"/>
  <c r="M109" s="1"/>
  <c r="M96"/>
  <c r="M97" s="1"/>
  <c r="M88"/>
  <c r="N612"/>
  <c r="N618"/>
  <c r="F149"/>
  <c r="F153" s="1"/>
  <c r="F192"/>
  <c r="F195" s="1"/>
  <c r="F127"/>
  <c r="F160"/>
  <c r="F161" s="1"/>
  <c r="U140" i="8"/>
  <c r="U144" s="1"/>
  <c r="U118"/>
  <c r="U121" s="1"/>
  <c r="U159"/>
  <c r="U162" s="1"/>
  <c r="U191"/>
  <c r="U194" s="1"/>
  <c r="AO674" i="2"/>
  <c r="AO677" s="1"/>
  <c r="AN738"/>
  <c r="F151" l="1"/>
  <c r="F152" s="1"/>
  <c r="M110"/>
  <c r="M112" s="1"/>
  <c r="U142" i="8"/>
  <c r="U143" s="1"/>
  <c r="U146" s="1"/>
  <c r="N55" i="2"/>
  <c r="N56" s="1"/>
  <c r="N240"/>
  <c r="N204"/>
  <c r="N206" s="1"/>
  <c r="N234" s="1"/>
  <c r="N235" s="1"/>
  <c r="N617"/>
  <c r="M91"/>
  <c r="M90"/>
  <c r="F194"/>
  <c r="F164"/>
  <c r="F163"/>
  <c r="F130"/>
  <c r="F129"/>
  <c r="U193" i="8"/>
  <c r="U120"/>
  <c r="U161"/>
  <c r="AP674" i="2"/>
  <c r="AP677" s="1"/>
  <c r="AP738" s="1"/>
  <c r="AO738"/>
  <c r="M113" l="1"/>
  <c r="V129" i="8"/>
  <c r="V176" s="1"/>
  <c r="V134"/>
  <c r="V181" s="1"/>
  <c r="V126"/>
  <c r="V127" s="1"/>
  <c r="V138"/>
  <c r="V189" s="1"/>
  <c r="V130"/>
  <c r="V177" s="1"/>
  <c r="V133"/>
  <c r="V137"/>
  <c r="N614" i="2"/>
  <c r="N615" s="1"/>
  <c r="N80"/>
  <c r="N81" s="1"/>
  <c r="N82" s="1"/>
  <c r="N87" s="1"/>
  <c r="N107"/>
  <c r="N242"/>
  <c r="N245" s="1"/>
  <c r="G146"/>
  <c r="G135"/>
  <c r="G138"/>
  <c r="G139"/>
  <c r="G178" s="1"/>
  <c r="G147"/>
  <c r="G190" s="1"/>
  <c r="G143"/>
  <c r="G182" s="1"/>
  <c r="G142"/>
  <c r="F155"/>
  <c r="V135" i="8" l="1"/>
  <c r="N273" i="2"/>
  <c r="N274" s="1"/>
  <c r="N108" s="1"/>
  <c r="N109" s="1"/>
  <c r="V117" i="8"/>
  <c r="V158" s="1"/>
  <c r="V173" s="1"/>
  <c r="V174" s="1"/>
  <c r="V180"/>
  <c r="V182" s="1"/>
  <c r="V139"/>
  <c r="V178"/>
  <c r="V131"/>
  <c r="V140" s="1"/>
  <c r="V144" s="1"/>
  <c r="V188"/>
  <c r="V190" s="1"/>
  <c r="O612" i="2"/>
  <c r="O618"/>
  <c r="N88"/>
  <c r="N96"/>
  <c r="N97" s="1"/>
  <c r="G181"/>
  <c r="G183" s="1"/>
  <c r="G144"/>
  <c r="G177"/>
  <c r="G179" s="1"/>
  <c r="G140"/>
  <c r="G148"/>
  <c r="G189"/>
  <c r="G191" s="1"/>
  <c r="G126"/>
  <c r="G136"/>
  <c r="G174"/>
  <c r="G175" s="1"/>
  <c r="V118" i="8" l="1"/>
  <c r="V121" s="1"/>
  <c r="V159"/>
  <c r="V162" s="1"/>
  <c r="V191"/>
  <c r="V194" s="1"/>
  <c r="N91" i="2"/>
  <c r="N90"/>
  <c r="N110"/>
  <c r="O55"/>
  <c r="O56" s="1"/>
  <c r="O240"/>
  <c r="O617"/>
  <c r="O204"/>
  <c r="O206" s="1"/>
  <c r="O234" s="1"/>
  <c r="O235" s="1"/>
  <c r="G192"/>
  <c r="G195" s="1"/>
  <c r="G127"/>
  <c r="G160"/>
  <c r="G161" s="1"/>
  <c r="G149"/>
  <c r="V142" i="8"/>
  <c r="V143" s="1"/>
  <c r="V120" l="1"/>
  <c r="V161"/>
  <c r="V193"/>
  <c r="O107" i="2"/>
  <c r="O242"/>
  <c r="O245" s="1"/>
  <c r="O80"/>
  <c r="O81" s="1"/>
  <c r="O82" s="1"/>
  <c r="O87" s="1"/>
  <c r="O614"/>
  <c r="O615" s="1"/>
  <c r="N113"/>
  <c r="N112"/>
  <c r="G194"/>
  <c r="G153"/>
  <c r="G151"/>
  <c r="G130"/>
  <c r="G129"/>
  <c r="G164"/>
  <c r="G163"/>
  <c r="V146" i="8"/>
  <c r="W138"/>
  <c r="W189" s="1"/>
  <c r="W137"/>
  <c r="W134"/>
  <c r="W181" s="1"/>
  <c r="W133"/>
  <c r="W126"/>
  <c r="W130"/>
  <c r="W177" s="1"/>
  <c r="W129"/>
  <c r="O273" i="2" l="1"/>
  <c r="O274" s="1"/>
  <c r="O108" s="1"/>
  <c r="O109" s="1"/>
  <c r="O88"/>
  <c r="O96"/>
  <c r="O97" s="1"/>
  <c r="P612"/>
  <c r="P618"/>
  <c r="G152"/>
  <c r="W139" i="8"/>
  <c r="W188"/>
  <c r="W190" s="1"/>
  <c r="W176"/>
  <c r="W178" s="1"/>
  <c r="W131"/>
  <c r="W135"/>
  <c r="W180"/>
  <c r="W182" s="1"/>
  <c r="W117"/>
  <c r="W158" s="1"/>
  <c r="W173" s="1"/>
  <c r="W174" s="1"/>
  <c r="W127"/>
  <c r="P55" i="2" l="1"/>
  <c r="P56" s="1"/>
  <c r="P204"/>
  <c r="P206" s="1"/>
  <c r="P234" s="1"/>
  <c r="P235" s="1"/>
  <c r="P240"/>
  <c r="P617"/>
  <c r="O110"/>
  <c r="O91"/>
  <c r="O90"/>
  <c r="H139"/>
  <c r="H178" s="1"/>
  <c r="H143"/>
  <c r="H182" s="1"/>
  <c r="H147"/>
  <c r="H190" s="1"/>
  <c r="H135"/>
  <c r="H146"/>
  <c r="H138"/>
  <c r="H142"/>
  <c r="G155"/>
  <c r="W140" i="8"/>
  <c r="W144" s="1"/>
  <c r="W118"/>
  <c r="W121" s="1"/>
  <c r="W159"/>
  <c r="W162" s="1"/>
  <c r="W191"/>
  <c r="W194" s="1"/>
  <c r="W142" l="1"/>
  <c r="W143" s="1"/>
  <c r="X138" s="1"/>
  <c r="X189" s="1"/>
  <c r="O113" i="2"/>
  <c r="O112"/>
  <c r="P614"/>
  <c r="P615" s="1"/>
  <c r="P80"/>
  <c r="P81" s="1"/>
  <c r="P82" s="1"/>
  <c r="P87" s="1"/>
  <c r="P242"/>
  <c r="P245" s="1"/>
  <c r="P107"/>
  <c r="H181"/>
  <c r="H183" s="1"/>
  <c r="H144"/>
  <c r="H189"/>
  <c r="H191" s="1"/>
  <c r="H148"/>
  <c r="H177"/>
  <c r="H179" s="1"/>
  <c r="H140"/>
  <c r="H126"/>
  <c r="H174"/>
  <c r="H175" s="1"/>
  <c r="H136"/>
  <c r="W193" i="8"/>
  <c r="W120"/>
  <c r="W161"/>
  <c r="W146" l="1"/>
  <c r="P273" i="2"/>
  <c r="P274" s="1"/>
  <c r="P108" s="1"/>
  <c r="P109" s="1"/>
  <c r="X133" i="8"/>
  <c r="X130"/>
  <c r="X177" s="1"/>
  <c r="X137"/>
  <c r="X139" s="1"/>
  <c r="X129"/>
  <c r="X176" s="1"/>
  <c r="X126"/>
  <c r="X127" s="1"/>
  <c r="X134"/>
  <c r="X181" s="1"/>
  <c r="P88" i="2"/>
  <c r="P96"/>
  <c r="P97" s="1"/>
  <c r="Q612"/>
  <c r="Q618"/>
  <c r="H149"/>
  <c r="H153" s="1"/>
  <c r="H127"/>
  <c r="H160"/>
  <c r="H161" s="1"/>
  <c r="H192"/>
  <c r="X178" i="8" l="1"/>
  <c r="X117"/>
  <c r="X158" s="1"/>
  <c r="X173" s="1"/>
  <c r="X174" s="1"/>
  <c r="X131"/>
  <c r="X135"/>
  <c r="X180"/>
  <c r="X182" s="1"/>
  <c r="X188"/>
  <c r="X190" s="1"/>
  <c r="P110" i="2"/>
  <c r="P113" s="1"/>
  <c r="P90"/>
  <c r="P91"/>
  <c r="Q55"/>
  <c r="Q56" s="1"/>
  <c r="Q204"/>
  <c r="Q206" s="1"/>
  <c r="Q234" s="1"/>
  <c r="Q235" s="1"/>
  <c r="Q240"/>
  <c r="Q617"/>
  <c r="B618"/>
  <c r="H151"/>
  <c r="H152" s="1"/>
  <c r="H195"/>
  <c r="H194"/>
  <c r="H130"/>
  <c r="H129"/>
  <c r="H163"/>
  <c r="H164"/>
  <c r="X140" i="8" l="1"/>
  <c r="X144" s="1"/>
  <c r="X159"/>
  <c r="X162" s="1"/>
  <c r="X118"/>
  <c r="X121" s="1"/>
  <c r="X191"/>
  <c r="X194" s="1"/>
  <c r="P112" i="2"/>
  <c r="Q614"/>
  <c r="Q615" s="1"/>
  <c r="R612" s="1"/>
  <c r="R615" s="1"/>
  <c r="S612" s="1"/>
  <c r="S615" s="1"/>
  <c r="T612" s="1"/>
  <c r="T615" s="1"/>
  <c r="U612" s="1"/>
  <c r="U615" s="1"/>
  <c r="V612" s="1"/>
  <c r="V615" s="1"/>
  <c r="W612" s="1"/>
  <c r="W615" s="1"/>
  <c r="X612" s="1"/>
  <c r="X615" s="1"/>
  <c r="Y612" s="1"/>
  <c r="Y615" s="1"/>
  <c r="Z612" s="1"/>
  <c r="Z615" s="1"/>
  <c r="AA612" s="1"/>
  <c r="AA615" s="1"/>
  <c r="AB612" s="1"/>
  <c r="AB615" s="1"/>
  <c r="AC612" s="1"/>
  <c r="AC615" s="1"/>
  <c r="AD612" s="1"/>
  <c r="AD615" s="1"/>
  <c r="AE612" s="1"/>
  <c r="AE615" s="1"/>
  <c r="AF612" s="1"/>
  <c r="AF615" s="1"/>
  <c r="AG612" s="1"/>
  <c r="AG615" s="1"/>
  <c r="AH612" s="1"/>
  <c r="AH615" s="1"/>
  <c r="AI612" s="1"/>
  <c r="AI615" s="1"/>
  <c r="AJ612" s="1"/>
  <c r="AJ615" s="1"/>
  <c r="AK612" s="1"/>
  <c r="AK615" s="1"/>
  <c r="AL612" s="1"/>
  <c r="AL615" s="1"/>
  <c r="AM612" s="1"/>
  <c r="AM615" s="1"/>
  <c r="AN612" s="1"/>
  <c r="AN615" s="1"/>
  <c r="AO612" s="1"/>
  <c r="AO615" s="1"/>
  <c r="AP612" s="1"/>
  <c r="AP615" s="1"/>
  <c r="Q80"/>
  <c r="Q81" s="1"/>
  <c r="Q82" s="1"/>
  <c r="Q87" s="1"/>
  <c r="B617"/>
  <c r="Q242"/>
  <c r="Q245" s="1"/>
  <c r="Q107"/>
  <c r="I142"/>
  <c r="I139"/>
  <c r="I178" s="1"/>
  <c r="I135"/>
  <c r="I146"/>
  <c r="I138"/>
  <c r="I147"/>
  <c r="I190" s="1"/>
  <c r="I143"/>
  <c r="I182" s="1"/>
  <c r="H155"/>
  <c r="X142" i="8"/>
  <c r="X143" s="1"/>
  <c r="X120" l="1"/>
  <c r="X161"/>
  <c r="X193"/>
  <c r="Q273" i="2"/>
  <c r="Q274" s="1"/>
  <c r="Q108" s="1"/>
  <c r="Q109" s="1"/>
  <c r="Q96"/>
  <c r="Q97" s="1"/>
  <c r="Q88"/>
  <c r="I177"/>
  <c r="I179" s="1"/>
  <c r="I140"/>
  <c r="I126"/>
  <c r="I174"/>
  <c r="I175" s="1"/>
  <c r="I136"/>
  <c r="I144"/>
  <c r="I181"/>
  <c r="I183" s="1"/>
  <c r="I189"/>
  <c r="I191" s="1"/>
  <c r="I148"/>
  <c r="X146" i="8"/>
  <c r="Y138"/>
  <c r="Y189" s="1"/>
  <c r="Y137"/>
  <c r="Y134"/>
  <c r="Y181" s="1"/>
  <c r="Y133"/>
  <c r="Y126"/>
  <c r="Y130"/>
  <c r="Y177" s="1"/>
  <c r="Y129"/>
  <c r="Q110" i="2" l="1"/>
  <c r="AP112" s="1"/>
  <c r="AK90"/>
  <c r="AA90"/>
  <c r="C92" i="1" s="1"/>
  <c r="U91" i="2"/>
  <c r="AM90"/>
  <c r="AE91"/>
  <c r="R90"/>
  <c r="AD91"/>
  <c r="AF90"/>
  <c r="V90"/>
  <c r="W91"/>
  <c r="AH90"/>
  <c r="AF91"/>
  <c r="AI91"/>
  <c r="Q91"/>
  <c r="AN91"/>
  <c r="AM91"/>
  <c r="W90"/>
  <c r="AI90"/>
  <c r="AA91"/>
  <c r="C98" i="1" s="1"/>
  <c r="R91" i="2"/>
  <c r="Q90"/>
  <c r="AJ90"/>
  <c r="AB91"/>
  <c r="AG91"/>
  <c r="T90"/>
  <c r="Z90"/>
  <c r="AH91"/>
  <c r="U90"/>
  <c r="AO91"/>
  <c r="AK91"/>
  <c r="AP90"/>
  <c r="S90"/>
  <c r="T91"/>
  <c r="AJ91"/>
  <c r="AE90"/>
  <c r="S91"/>
  <c r="AO90"/>
  <c r="AN90"/>
  <c r="Z91"/>
  <c r="AG90"/>
  <c r="AC91"/>
  <c r="AB90"/>
  <c r="Y91"/>
  <c r="AL91"/>
  <c r="Y90"/>
  <c r="AC90"/>
  <c r="X91"/>
  <c r="V91"/>
  <c r="AD90"/>
  <c r="X90"/>
  <c r="AP91"/>
  <c r="AL90"/>
  <c r="I160"/>
  <c r="I161" s="1"/>
  <c r="I127"/>
  <c r="I149"/>
  <c r="I192"/>
  <c r="Y176" i="8"/>
  <c r="Y178" s="1"/>
  <c r="Y131"/>
  <c r="Y135"/>
  <c r="Y180"/>
  <c r="Y182" s="1"/>
  <c r="Y117"/>
  <c r="Y158" s="1"/>
  <c r="Y173" s="1"/>
  <c r="Y174" s="1"/>
  <c r="Y127"/>
  <c r="Y139"/>
  <c r="Y188"/>
  <c r="Y190" s="1"/>
  <c r="AE113" i="2" l="1"/>
  <c r="T112"/>
  <c r="AO112"/>
  <c r="AK112"/>
  <c r="V113"/>
  <c r="AL112"/>
  <c r="AA112"/>
  <c r="C93" i="1" s="1"/>
  <c r="T113" i="2"/>
  <c r="W112"/>
  <c r="AI113"/>
  <c r="S113"/>
  <c r="AK113"/>
  <c r="AI112"/>
  <c r="AF112"/>
  <c r="AJ112"/>
  <c r="AN112"/>
  <c r="X113"/>
  <c r="Y112"/>
  <c r="Q112"/>
  <c r="AH113"/>
  <c r="AA113"/>
  <c r="C99" i="1" s="1"/>
  <c r="U113" i="2"/>
  <c r="AG113"/>
  <c r="AG112"/>
  <c r="AF113"/>
  <c r="AE112"/>
  <c r="AC113"/>
  <c r="Z113"/>
  <c r="X112"/>
  <c r="AO113"/>
  <c r="R112"/>
  <c r="AD112"/>
  <c r="AM112"/>
  <c r="AP113"/>
  <c r="Q113"/>
  <c r="AN113"/>
  <c r="W113"/>
  <c r="AB113"/>
  <c r="AL113"/>
  <c r="V112"/>
  <c r="S112"/>
  <c r="AD113"/>
  <c r="Y113"/>
  <c r="R113"/>
  <c r="U112"/>
  <c r="AC112"/>
  <c r="AB112"/>
  <c r="AM113"/>
  <c r="Z112"/>
  <c r="AJ113"/>
  <c r="AH112"/>
  <c r="I164"/>
  <c r="I163"/>
  <c r="I153"/>
  <c r="I151"/>
  <c r="I195"/>
  <c r="I194"/>
  <c r="I130"/>
  <c r="I129"/>
  <c r="Y118" i="8"/>
  <c r="Y121" s="1"/>
  <c r="Y159"/>
  <c r="Y162" s="1"/>
  <c r="Y140"/>
  <c r="Y144" s="1"/>
  <c r="Y191"/>
  <c r="Y194" s="1"/>
  <c r="I152" i="2" l="1"/>
  <c r="Y142" i="8"/>
  <c r="Y143" s="1"/>
  <c r="Y120"/>
  <c r="Y193"/>
  <c r="Y161"/>
  <c r="J135" i="2" l="1"/>
  <c r="J142"/>
  <c r="J139"/>
  <c r="J178" s="1"/>
  <c r="J147"/>
  <c r="J190" s="1"/>
  <c r="J146"/>
  <c r="J143"/>
  <c r="J182" s="1"/>
  <c r="J138"/>
  <c r="I155"/>
  <c r="Y146" i="8"/>
  <c r="Z138"/>
  <c r="Z189" s="1"/>
  <c r="Z137"/>
  <c r="Z134"/>
  <c r="Z181" s="1"/>
  <c r="Z133"/>
  <c r="Z126"/>
  <c r="Z130"/>
  <c r="Z177" s="1"/>
  <c r="Z129"/>
  <c r="J140" i="2" l="1"/>
  <c r="J177"/>
  <c r="J179" s="1"/>
  <c r="J148"/>
  <c r="J189"/>
  <c r="J191" s="1"/>
  <c r="J136"/>
  <c r="J174"/>
  <c r="J175" s="1"/>
  <c r="J126"/>
  <c r="J181"/>
  <c r="J183" s="1"/>
  <c r="J144"/>
  <c r="Z139" i="8"/>
  <c r="Z188"/>
  <c r="Z190" s="1"/>
  <c r="Z127"/>
  <c r="Z117"/>
  <c r="Z158" s="1"/>
  <c r="Z173" s="1"/>
  <c r="Z174" s="1"/>
  <c r="Z176"/>
  <c r="Z178" s="1"/>
  <c r="Z131"/>
  <c r="Z135"/>
  <c r="Z180"/>
  <c r="Z182" s="1"/>
  <c r="J127" i="2" l="1"/>
  <c r="J160"/>
  <c r="J161" s="1"/>
  <c r="J149"/>
  <c r="J192"/>
  <c r="Z191" i="8"/>
  <c r="Z194" s="1"/>
  <c r="Z140"/>
  <c r="Z144" s="1"/>
  <c r="Z118"/>
  <c r="Z121" s="1"/>
  <c r="Z159"/>
  <c r="Z162" s="1"/>
  <c r="J153" i="2" l="1"/>
  <c r="C109" i="1" s="1"/>
  <c r="J151" i="2"/>
  <c r="C103" i="1" s="1"/>
  <c r="J130" i="2"/>
  <c r="C108" i="1" s="1"/>
  <c r="J129" i="2"/>
  <c r="C102" i="1" s="1"/>
  <c r="J194" i="2"/>
  <c r="C116" i="1" s="1"/>
  <c r="J195" i="2"/>
  <c r="C122" i="1" s="1"/>
  <c r="J163" i="2"/>
  <c r="C115" i="1" s="1"/>
  <c r="J164" i="2"/>
  <c r="C121" i="1" s="1"/>
  <c r="Z120" i="8"/>
  <c r="Z193"/>
  <c r="Z161"/>
  <c r="Z142"/>
  <c r="Z143" s="1"/>
  <c r="J152" i="2" l="1"/>
  <c r="Z146" i="8"/>
  <c r="AA138"/>
  <c r="AA189" s="1"/>
  <c r="AA137"/>
  <c r="AA134"/>
  <c r="AA181" s="1"/>
  <c r="AA133"/>
  <c r="AA126"/>
  <c r="AA130"/>
  <c r="AA177" s="1"/>
  <c r="AA129"/>
  <c r="K142" i="2" l="1"/>
  <c r="K138"/>
  <c r="K135"/>
  <c r="K147"/>
  <c r="K190" s="1"/>
  <c r="K143"/>
  <c r="K182" s="1"/>
  <c r="K139"/>
  <c r="K178" s="1"/>
  <c r="K146"/>
  <c r="J155"/>
  <c r="AA139" i="8"/>
  <c r="AA188"/>
  <c r="AA190" s="1"/>
  <c r="AA176"/>
  <c r="AA178" s="1"/>
  <c r="AA131"/>
  <c r="AA135"/>
  <c r="AA180"/>
  <c r="AA182" s="1"/>
  <c r="AA117"/>
  <c r="AA158" s="1"/>
  <c r="AA173" s="1"/>
  <c r="AA174" s="1"/>
  <c r="AA127"/>
  <c r="K148" i="2" l="1"/>
  <c r="K189"/>
  <c r="K191" s="1"/>
  <c r="K126"/>
  <c r="K174"/>
  <c r="K175" s="1"/>
  <c r="K136"/>
  <c r="K144"/>
  <c r="K181"/>
  <c r="K183" s="1"/>
  <c r="K140"/>
  <c r="K177"/>
  <c r="K179" s="1"/>
  <c r="AA140" i="8"/>
  <c r="AA144" s="1"/>
  <c r="B112" i="1" s="1"/>
  <c r="AA118" i="8"/>
  <c r="AA121" s="1"/>
  <c r="B111" i="1" s="1"/>
  <c r="AA159" i="8"/>
  <c r="AA162" s="1"/>
  <c r="B124" i="1" s="1"/>
  <c r="AA191" i="8"/>
  <c r="AA194" s="1"/>
  <c r="B125" i="1" s="1"/>
  <c r="AA142" i="8" l="1"/>
  <c r="K149" i="2"/>
  <c r="K153" s="1"/>
  <c r="K127"/>
  <c r="K160"/>
  <c r="K161" s="1"/>
  <c r="K192"/>
  <c r="AA193" i="8"/>
  <c r="B119" i="1" s="1"/>
  <c r="AA120" i="8"/>
  <c r="B105" i="1" s="1"/>
  <c r="AA161" i="8"/>
  <c r="B118" i="1" s="1"/>
  <c r="AA143" i="8" l="1"/>
  <c r="AA146" s="1"/>
  <c r="B106" i="1"/>
  <c r="K151" i="2"/>
  <c r="K152" s="1"/>
  <c r="K195"/>
  <c r="K194"/>
  <c r="K130"/>
  <c r="K129"/>
  <c r="K164"/>
  <c r="K163"/>
  <c r="AB129" i="8" l="1"/>
  <c r="AB176" s="1"/>
  <c r="AB130"/>
  <c r="AB177" s="1"/>
  <c r="AB137"/>
  <c r="AB188" s="1"/>
  <c r="AB126"/>
  <c r="AB133"/>
  <c r="AB180" s="1"/>
  <c r="AB138"/>
  <c r="AB189" s="1"/>
  <c r="AB134"/>
  <c r="AB181" s="1"/>
  <c r="L147" i="2"/>
  <c r="L190" s="1"/>
  <c r="L146"/>
  <c r="L143"/>
  <c r="L182" s="1"/>
  <c r="L139"/>
  <c r="L178" s="1"/>
  <c r="L142"/>
  <c r="L135"/>
  <c r="L138"/>
  <c r="K155"/>
  <c r="AB131" i="8" l="1"/>
  <c r="AB178"/>
  <c r="AB135"/>
  <c r="AB190"/>
  <c r="AB127"/>
  <c r="AB117"/>
  <c r="AB139"/>
  <c r="AB182"/>
  <c r="L177" i="2"/>
  <c r="L179" s="1"/>
  <c r="L140"/>
  <c r="L181"/>
  <c r="L183" s="1"/>
  <c r="L144"/>
  <c r="L126"/>
  <c r="L174"/>
  <c r="L175" s="1"/>
  <c r="L136"/>
  <c r="L148"/>
  <c r="L189"/>
  <c r="L191" s="1"/>
  <c r="AB140" i="8" l="1"/>
  <c r="AB144" s="1"/>
  <c r="AB158"/>
  <c r="AB118"/>
  <c r="L149" i="2"/>
  <c r="L153" s="1"/>
  <c r="L160"/>
  <c r="L161" s="1"/>
  <c r="L127"/>
  <c r="L192"/>
  <c r="AB142" i="8" l="1"/>
  <c r="AB143" s="1"/>
  <c r="AC138" s="1"/>
  <c r="AC189" s="1"/>
  <c r="AB173"/>
  <c r="AB174" s="1"/>
  <c r="AB191" s="1"/>
  <c r="AB159"/>
  <c r="AB121"/>
  <c r="AB120"/>
  <c r="L151" i="2"/>
  <c r="L195"/>
  <c r="L194"/>
  <c r="L163"/>
  <c r="L164"/>
  <c r="L130"/>
  <c r="L129"/>
  <c r="AC126" i="8" l="1"/>
  <c r="AC127" s="1"/>
  <c r="AB146"/>
  <c r="AC137"/>
  <c r="AC139" s="1"/>
  <c r="AC134"/>
  <c r="AC181" s="1"/>
  <c r="AC129"/>
  <c r="AC133"/>
  <c r="AC180" s="1"/>
  <c r="AC182" s="1"/>
  <c r="AC130"/>
  <c r="AC177" s="1"/>
  <c r="AB194"/>
  <c r="AB193"/>
  <c r="AB162"/>
  <c r="AB161"/>
  <c r="L152" i="2"/>
  <c r="M138" s="1"/>
  <c r="AC135" i="8" l="1"/>
  <c r="AC117"/>
  <c r="AC188"/>
  <c r="AC190" s="1"/>
  <c r="AC131"/>
  <c r="AC176"/>
  <c r="AC178" s="1"/>
  <c r="L155" i="2"/>
  <c r="M147"/>
  <c r="M190" s="1"/>
  <c r="M143"/>
  <c r="M182" s="1"/>
  <c r="M142"/>
  <c r="M135"/>
  <c r="M126" s="1"/>
  <c r="M139"/>
  <c r="M178" s="1"/>
  <c r="M146"/>
  <c r="M189" s="1"/>
  <c r="M181"/>
  <c r="M177"/>
  <c r="AC140" i="8" l="1"/>
  <c r="AC158"/>
  <c r="AC118"/>
  <c r="AC144"/>
  <c r="AC142"/>
  <c r="AC143" s="1"/>
  <c r="AD138" s="1"/>
  <c r="AD189" s="1"/>
  <c r="M144" i="2"/>
  <c r="M179"/>
  <c r="M140"/>
  <c r="M191"/>
  <c r="M148"/>
  <c r="M136"/>
  <c r="M174"/>
  <c r="M175" s="1"/>
  <c r="M183"/>
  <c r="M127"/>
  <c r="M160"/>
  <c r="M161" s="1"/>
  <c r="AC173" i="8" l="1"/>
  <c r="AC174" s="1"/>
  <c r="AC191" s="1"/>
  <c r="AC159"/>
  <c r="AC121"/>
  <c r="AC120"/>
  <c r="AD129"/>
  <c r="AD176" s="1"/>
  <c r="AC146"/>
  <c r="AD126"/>
  <c r="AD117" s="1"/>
  <c r="AD158" s="1"/>
  <c r="AD173" s="1"/>
  <c r="AD174" s="1"/>
  <c r="AD133"/>
  <c r="AD180" s="1"/>
  <c r="AD182" s="1"/>
  <c r="AD134"/>
  <c r="AD181" s="1"/>
  <c r="AD130"/>
  <c r="AD177" s="1"/>
  <c r="AD137"/>
  <c r="AD188" s="1"/>
  <c r="AD190" s="1"/>
  <c r="M149" i="2"/>
  <c r="M151" s="1"/>
  <c r="M192"/>
  <c r="M194" s="1"/>
  <c r="M130"/>
  <c r="M129"/>
  <c r="M153"/>
  <c r="M163"/>
  <c r="M164"/>
  <c r="AD135" i="8"/>
  <c r="AD118" l="1"/>
  <c r="AD121" s="1"/>
  <c r="AD178"/>
  <c r="AC193"/>
  <c r="AC194"/>
  <c r="AC162"/>
  <c r="AC161"/>
  <c r="AD159"/>
  <c r="AD162" s="1"/>
  <c r="AD127"/>
  <c r="AD131"/>
  <c r="AD191"/>
  <c r="AD194" s="1"/>
  <c r="AD139"/>
  <c r="M195" i="2"/>
  <c r="C82" i="1"/>
  <c r="M152" i="2"/>
  <c r="AD120" i="8"/>
  <c r="AD140" l="1"/>
  <c r="AD142" s="1"/>
  <c r="AD143" s="1"/>
  <c r="AE134" s="1"/>
  <c r="AE181" s="1"/>
  <c r="AD161"/>
  <c r="AD193"/>
  <c r="N147" i="2"/>
  <c r="N190" s="1"/>
  <c r="N142"/>
  <c r="N139"/>
  <c r="N178" s="1"/>
  <c r="N135"/>
  <c r="N143"/>
  <c r="N182" s="1"/>
  <c r="N138"/>
  <c r="N146"/>
  <c r="M155"/>
  <c r="AD144" i="8" l="1"/>
  <c r="AE133"/>
  <c r="AE180" s="1"/>
  <c r="AE182" s="1"/>
  <c r="AD146"/>
  <c r="AE126"/>
  <c r="AE127" s="1"/>
  <c r="AE138"/>
  <c r="AE189" s="1"/>
  <c r="AE130"/>
  <c r="AE177" s="1"/>
  <c r="AE129"/>
  <c r="AE137"/>
  <c r="N189" i="2"/>
  <c r="N191" s="1"/>
  <c r="N148"/>
  <c r="N177"/>
  <c r="N179" s="1"/>
  <c r="N140"/>
  <c r="N136"/>
  <c r="N174"/>
  <c r="N175" s="1"/>
  <c r="N126"/>
  <c r="N144"/>
  <c r="N181"/>
  <c r="N183" s="1"/>
  <c r="AE135" i="8" l="1"/>
  <c r="AE131"/>
  <c r="AE139"/>
  <c r="AE117"/>
  <c r="AE158" s="1"/>
  <c r="AE173" s="1"/>
  <c r="AE174" s="1"/>
  <c r="AE188"/>
  <c r="AE190" s="1"/>
  <c r="AE176"/>
  <c r="AE178" s="1"/>
  <c r="N149" i="2"/>
  <c r="N153" s="1"/>
  <c r="N127"/>
  <c r="N160"/>
  <c r="N161" s="1"/>
  <c r="N192"/>
  <c r="AE140" i="8" l="1"/>
  <c r="AE144" s="1"/>
  <c r="AE118"/>
  <c r="AE121" s="1"/>
  <c r="AE159"/>
  <c r="AE162" s="1"/>
  <c r="AE191"/>
  <c r="AE194" s="1"/>
  <c r="AE142"/>
  <c r="AE143" s="1"/>
  <c r="AF138" s="1"/>
  <c r="AF189" s="1"/>
  <c r="N151" i="2"/>
  <c r="N152" s="1"/>
  <c r="O147" s="1"/>
  <c r="O190" s="1"/>
  <c r="N130"/>
  <c r="N129"/>
  <c r="N195"/>
  <c r="N194"/>
  <c r="N163"/>
  <c r="N164"/>
  <c r="AE193" i="8"/>
  <c r="AE161"/>
  <c r="AE120" l="1"/>
  <c r="AE146"/>
  <c r="AF133"/>
  <c r="AF180" s="1"/>
  <c r="AF130"/>
  <c r="AF177" s="1"/>
  <c r="AF137"/>
  <c r="AF139" s="1"/>
  <c r="AF129"/>
  <c r="AF176" s="1"/>
  <c r="AF126"/>
  <c r="AF127" s="1"/>
  <c r="AF134"/>
  <c r="AF181" s="1"/>
  <c r="N155" i="2"/>
  <c r="O143"/>
  <c r="O182" s="1"/>
  <c r="O139"/>
  <c r="O178" s="1"/>
  <c r="O135"/>
  <c r="O174" s="1"/>
  <c r="O175" s="1"/>
  <c r="O142"/>
  <c r="O146"/>
  <c r="O148" s="1"/>
  <c r="O138"/>
  <c r="O177" s="1"/>
  <c r="AF178" i="8" l="1"/>
  <c r="AF131"/>
  <c r="AF117"/>
  <c r="AF158" s="1"/>
  <c r="AF173" s="1"/>
  <c r="AF174" s="1"/>
  <c r="AF188"/>
  <c r="AF190" s="1"/>
  <c r="AF135"/>
  <c r="O179" i="2"/>
  <c r="AF182" i="8"/>
  <c r="O189" i="2"/>
  <c r="O191" s="1"/>
  <c r="O126"/>
  <c r="O127" s="1"/>
  <c r="O136"/>
  <c r="O144"/>
  <c r="O140"/>
  <c r="O181"/>
  <c r="O183" s="1"/>
  <c r="AF140" i="8" l="1"/>
  <c r="AF144" s="1"/>
  <c r="AF159"/>
  <c r="AF162" s="1"/>
  <c r="AF118"/>
  <c r="AF121" s="1"/>
  <c r="AF191"/>
  <c r="AF194" s="1"/>
  <c r="O192" i="2"/>
  <c r="O195" s="1"/>
  <c r="O160"/>
  <c r="O161" s="1"/>
  <c r="O163" s="1"/>
  <c r="O149"/>
  <c r="O153" s="1"/>
  <c r="O130"/>
  <c r="O129"/>
  <c r="AF142" i="8"/>
  <c r="AF193" l="1"/>
  <c r="AF161"/>
  <c r="AF120"/>
  <c r="O194" i="2"/>
  <c r="O164"/>
  <c r="O151"/>
  <c r="O152" s="1"/>
  <c r="P138" s="1"/>
  <c r="P177" s="1"/>
  <c r="AF143" i="8"/>
  <c r="AG138" s="1"/>
  <c r="AG189" s="1"/>
  <c r="P142" i="2" l="1"/>
  <c r="P181" s="1"/>
  <c r="P139"/>
  <c r="P178" s="1"/>
  <c r="P179" s="1"/>
  <c r="P143"/>
  <c r="P182" s="1"/>
  <c r="P146"/>
  <c r="P189" s="1"/>
  <c r="P147"/>
  <c r="P190" s="1"/>
  <c r="P135"/>
  <c r="P126" s="1"/>
  <c r="P160" s="1"/>
  <c r="P161" s="1"/>
  <c r="O155"/>
  <c r="AF146" i="8"/>
  <c r="AG133"/>
  <c r="AG180" s="1"/>
  <c r="AG130"/>
  <c r="AG177" s="1"/>
  <c r="AG137"/>
  <c r="AG188" s="1"/>
  <c r="AG190" s="1"/>
  <c r="AG129"/>
  <c r="AG176" s="1"/>
  <c r="AG126"/>
  <c r="AG117" s="1"/>
  <c r="AG158" s="1"/>
  <c r="AG173" s="1"/>
  <c r="AG174" s="1"/>
  <c r="AG134"/>
  <c r="AG181" s="1"/>
  <c r="AG178" l="1"/>
  <c r="P183" i="2"/>
  <c r="P127"/>
  <c r="P130" s="1"/>
  <c r="P148"/>
  <c r="P140"/>
  <c r="P136"/>
  <c r="P174"/>
  <c r="P175" s="1"/>
  <c r="P191"/>
  <c r="P144"/>
  <c r="P164"/>
  <c r="P163"/>
  <c r="AG139" i="8"/>
  <c r="AG127"/>
  <c r="AG182"/>
  <c r="AG131"/>
  <c r="AG135"/>
  <c r="AG118"/>
  <c r="AG121" s="1"/>
  <c r="AG159"/>
  <c r="AG162" s="1"/>
  <c r="AG191" l="1"/>
  <c r="AG194" s="1"/>
  <c r="P129" i="2"/>
  <c r="P149"/>
  <c r="P153" s="1"/>
  <c r="P192"/>
  <c r="P195" s="1"/>
  <c r="AG140" i="8"/>
  <c r="AG144" s="1"/>
  <c r="AG193"/>
  <c r="AG120"/>
  <c r="AG161"/>
  <c r="P151" i="2" l="1"/>
  <c r="P152" s="1"/>
  <c r="Q146" s="1"/>
  <c r="Q189" s="1"/>
  <c r="P194"/>
  <c r="AG142" i="8"/>
  <c r="AG143" s="1"/>
  <c r="AG146" s="1"/>
  <c r="Q135" i="2" l="1"/>
  <c r="Q136" s="1"/>
  <c r="Q139"/>
  <c r="Q178" s="1"/>
  <c r="Q142"/>
  <c r="Q181" s="1"/>
  <c r="Q147"/>
  <c r="Q190" s="1"/>
  <c r="Q191" s="1"/>
  <c r="Q138"/>
  <c r="Q143"/>
  <c r="Q182" s="1"/>
  <c r="P155"/>
  <c r="AH133" i="8"/>
  <c r="AH138"/>
  <c r="AH189" s="1"/>
  <c r="AH134"/>
  <c r="AH181" s="1"/>
  <c r="AH137"/>
  <c r="AH188" s="1"/>
  <c r="AH130"/>
  <c r="AH177" s="1"/>
  <c r="AH126"/>
  <c r="AH127" s="1"/>
  <c r="AH129"/>
  <c r="AH176" s="1"/>
  <c r="Q126" i="2" l="1"/>
  <c r="Q160" s="1"/>
  <c r="Q161" s="1"/>
  <c r="Q163" s="1"/>
  <c r="Q174"/>
  <c r="Q175" s="1"/>
  <c r="Q183"/>
  <c r="Q148"/>
  <c r="Q140"/>
  <c r="Q177"/>
  <c r="Q179" s="1"/>
  <c r="Q144"/>
  <c r="AH178" i="8"/>
  <c r="Q127" i="2"/>
  <c r="Q129" s="1"/>
  <c r="Q164"/>
  <c r="AH117" i="8"/>
  <c r="AH158" s="1"/>
  <c r="AH173" s="1"/>
  <c r="AH174" s="1"/>
  <c r="AH139"/>
  <c r="AH190"/>
  <c r="AH131"/>
  <c r="AH180"/>
  <c r="AH182" s="1"/>
  <c r="AH135"/>
  <c r="Q192" i="2" l="1"/>
  <c r="Q194" s="1"/>
  <c r="Q149"/>
  <c r="Q151" s="1"/>
  <c r="Q152" s="1"/>
  <c r="R138" s="1"/>
  <c r="Q130"/>
  <c r="AH140" i="8"/>
  <c r="AH144" s="1"/>
  <c r="AH191"/>
  <c r="AH194" s="1"/>
  <c r="AH159"/>
  <c r="AH162" s="1"/>
  <c r="AH118"/>
  <c r="AH121" s="1"/>
  <c r="AH142"/>
  <c r="AH143" s="1"/>
  <c r="AI138" s="1"/>
  <c r="AI189" s="1"/>
  <c r="Q195" i="2" l="1"/>
  <c r="Q153"/>
  <c r="R139"/>
  <c r="R178" s="1"/>
  <c r="Q155"/>
  <c r="R135"/>
  <c r="R126" s="1"/>
  <c r="R142"/>
  <c r="R181" s="1"/>
  <c r="R146"/>
  <c r="R189" s="1"/>
  <c r="R147"/>
  <c r="R190" s="1"/>
  <c r="R143"/>
  <c r="R182" s="1"/>
  <c r="R177"/>
  <c r="AH120" i="8"/>
  <c r="AH193"/>
  <c r="AH161"/>
  <c r="AI130"/>
  <c r="AI177" s="1"/>
  <c r="AI133"/>
  <c r="AI180" s="1"/>
  <c r="AI137"/>
  <c r="AI139" s="1"/>
  <c r="AH146"/>
  <c r="AI129"/>
  <c r="AI176" s="1"/>
  <c r="AI126"/>
  <c r="AI117" s="1"/>
  <c r="AI158" s="1"/>
  <c r="AI173" s="1"/>
  <c r="AI174" s="1"/>
  <c r="AI134"/>
  <c r="AI181" s="1"/>
  <c r="R179" i="2" l="1"/>
  <c r="R140"/>
  <c r="R148"/>
  <c r="R136"/>
  <c r="R144"/>
  <c r="R174"/>
  <c r="R175" s="1"/>
  <c r="R191"/>
  <c r="R183"/>
  <c r="AI178" i="8"/>
  <c r="R160" i="2"/>
  <c r="R161" s="1"/>
  <c r="R127"/>
  <c r="AI131" i="8"/>
  <c r="AI188"/>
  <c r="AI190" s="1"/>
  <c r="AI127"/>
  <c r="AI182"/>
  <c r="AI135"/>
  <c r="AI118"/>
  <c r="AI121" s="1"/>
  <c r="AI159"/>
  <c r="AI162" s="1"/>
  <c r="R149" i="2" l="1"/>
  <c r="R153" s="1"/>
  <c r="R192"/>
  <c r="R194" s="1"/>
  <c r="AI191" i="8"/>
  <c r="AI193" s="1"/>
  <c r="AI140"/>
  <c r="AI144" s="1"/>
  <c r="R151" i="2"/>
  <c r="R152" s="1"/>
  <c r="S147" s="1"/>
  <c r="S190" s="1"/>
  <c r="R163"/>
  <c r="R164"/>
  <c r="R130"/>
  <c r="R129"/>
  <c r="R195"/>
  <c r="AI194" i="8"/>
  <c r="AI120"/>
  <c r="AI161"/>
  <c r="AI142" l="1"/>
  <c r="AI143" s="1"/>
  <c r="AI146" s="1"/>
  <c r="R155" i="2"/>
  <c r="S143"/>
  <c r="S182" s="1"/>
  <c r="S142"/>
  <c r="S181" s="1"/>
  <c r="S135"/>
  <c r="S174" s="1"/>
  <c r="S175" s="1"/>
  <c r="S139"/>
  <c r="S178" s="1"/>
  <c r="S138"/>
  <c r="S177" s="1"/>
  <c r="S146"/>
  <c r="S148" s="1"/>
  <c r="AJ133" i="8" l="1"/>
  <c r="AJ126"/>
  <c r="AJ117" s="1"/>
  <c r="AJ158" s="1"/>
  <c r="AJ173" s="1"/>
  <c r="AJ174" s="1"/>
  <c r="AJ130"/>
  <c r="AJ177" s="1"/>
  <c r="AJ129"/>
  <c r="AJ176" s="1"/>
  <c r="AJ134"/>
  <c r="AJ181" s="1"/>
  <c r="AJ137"/>
  <c r="AJ188" s="1"/>
  <c r="AJ190" s="1"/>
  <c r="AJ138"/>
  <c r="AJ189" s="1"/>
  <c r="S126" i="2"/>
  <c r="S127" s="1"/>
  <c r="S189"/>
  <c r="S191" s="1"/>
  <c r="S179"/>
  <c r="S144"/>
  <c r="S136"/>
  <c r="S183"/>
  <c r="S140"/>
  <c r="AJ180" i="8"/>
  <c r="AJ182" l="1"/>
  <c r="AJ135"/>
  <c r="AJ178"/>
  <c r="AJ118"/>
  <c r="AJ121" s="1"/>
  <c r="AJ131"/>
  <c r="AJ159"/>
  <c r="AJ162" s="1"/>
  <c r="AJ127"/>
  <c r="AJ139"/>
  <c r="S160" i="2"/>
  <c r="S161" s="1"/>
  <c r="S164" s="1"/>
  <c r="S192"/>
  <c r="S195" s="1"/>
  <c r="S149"/>
  <c r="S153" s="1"/>
  <c r="S130"/>
  <c r="S129"/>
  <c r="AJ191" i="8" l="1"/>
  <c r="AJ120"/>
  <c r="AJ161"/>
  <c r="AJ140"/>
  <c r="AJ144" s="1"/>
  <c r="S163" i="2"/>
  <c r="S151"/>
  <c r="S152" s="1"/>
  <c r="T143" s="1"/>
  <c r="T182" s="1"/>
  <c r="S194"/>
  <c r="AJ142" i="8"/>
  <c r="AJ143" s="1"/>
  <c r="AK138" s="1"/>
  <c r="AK189" s="1"/>
  <c r="AJ193"/>
  <c r="AJ194"/>
  <c r="T147" i="2" l="1"/>
  <c r="T190" s="1"/>
  <c r="T139"/>
  <c r="T178" s="1"/>
  <c r="T138"/>
  <c r="T177" s="1"/>
  <c r="T146"/>
  <c r="T189" s="1"/>
  <c r="S155"/>
  <c r="T135"/>
  <c r="T136" s="1"/>
  <c r="T142"/>
  <c r="AJ146" i="8"/>
  <c r="AK133"/>
  <c r="AK180" s="1"/>
  <c r="AK130"/>
  <c r="AK177" s="1"/>
  <c r="AK137"/>
  <c r="AK188" s="1"/>
  <c r="AK190" s="1"/>
  <c r="AK129"/>
  <c r="AK176" s="1"/>
  <c r="AK126"/>
  <c r="AK117" s="1"/>
  <c r="AK158" s="1"/>
  <c r="AK173" s="1"/>
  <c r="AK174" s="1"/>
  <c r="AK134"/>
  <c r="AK181" s="1"/>
  <c r="AK139" l="1"/>
  <c r="T174" i="2"/>
  <c r="T175" s="1"/>
  <c r="T140"/>
  <c r="T191"/>
  <c r="T126"/>
  <c r="T160" s="1"/>
  <c r="T161" s="1"/>
  <c r="T163" s="1"/>
  <c r="T179"/>
  <c r="T148"/>
  <c r="T181"/>
  <c r="T183" s="1"/>
  <c r="T144"/>
  <c r="AK178" i="8"/>
  <c r="AK127"/>
  <c r="AK131"/>
  <c r="AK182"/>
  <c r="AK135"/>
  <c r="AK118"/>
  <c r="AK121" s="1"/>
  <c r="AK159"/>
  <c r="AK162" s="1"/>
  <c r="T149" i="2" l="1"/>
  <c r="T153" s="1"/>
  <c r="AK191" i="8"/>
  <c r="AK193" s="1"/>
  <c r="T192" i="2"/>
  <c r="T195" s="1"/>
  <c r="T127"/>
  <c r="T129" s="1"/>
  <c r="T164"/>
  <c r="AK140" i="8"/>
  <c r="AK144" s="1"/>
  <c r="AK120"/>
  <c r="AK161"/>
  <c r="T130" i="2" l="1"/>
  <c r="T151"/>
  <c r="T152" s="1"/>
  <c r="U146" s="1"/>
  <c r="U189" s="1"/>
  <c r="AK194" i="8"/>
  <c r="T194" i="2"/>
  <c r="AK142" i="8"/>
  <c r="AK143" s="1"/>
  <c r="AK146" s="1"/>
  <c r="U142" i="2" l="1"/>
  <c r="U181" s="1"/>
  <c r="U147"/>
  <c r="U190" s="1"/>
  <c r="U191" s="1"/>
  <c r="U135"/>
  <c r="U174" s="1"/>
  <c r="U175" s="1"/>
  <c r="U138"/>
  <c r="U177" s="1"/>
  <c r="U139"/>
  <c r="U178" s="1"/>
  <c r="T155"/>
  <c r="U143"/>
  <c r="U182" s="1"/>
  <c r="AL133" i="8"/>
  <c r="AL180" s="1"/>
  <c r="AL138"/>
  <c r="AL189" s="1"/>
  <c r="AL126"/>
  <c r="AL117" s="1"/>
  <c r="AL158" s="1"/>
  <c r="AL173" s="1"/>
  <c r="AL174" s="1"/>
  <c r="AL137"/>
  <c r="AL188" s="1"/>
  <c r="AL130"/>
  <c r="AL177" s="1"/>
  <c r="AL134"/>
  <c r="AL181" s="1"/>
  <c r="AL129"/>
  <c r="AL176" s="1"/>
  <c r="U140" i="2" l="1"/>
  <c r="U183"/>
  <c r="U179"/>
  <c r="U144"/>
  <c r="U148"/>
  <c r="U136"/>
  <c r="U126"/>
  <c r="U160" s="1"/>
  <c r="U161" s="1"/>
  <c r="U164" s="1"/>
  <c r="AL190" i="8"/>
  <c r="AL178"/>
  <c r="AL135"/>
  <c r="AL118"/>
  <c r="AL121" s="1"/>
  <c r="AL159"/>
  <c r="AL162" s="1"/>
  <c r="AL127"/>
  <c r="AL182"/>
  <c r="AL139"/>
  <c r="AL131"/>
  <c r="U192" i="2" l="1"/>
  <c r="U195" s="1"/>
  <c r="AL161" i="8"/>
  <c r="U149" i="2"/>
  <c r="U151" s="1"/>
  <c r="U152" s="1"/>
  <c r="V147" s="1"/>
  <c r="V190" s="1"/>
  <c r="U163"/>
  <c r="U127"/>
  <c r="U129" s="1"/>
  <c r="AL120" i="8"/>
  <c r="AL191"/>
  <c r="AL194" s="1"/>
  <c r="AL140"/>
  <c r="AL144" s="1"/>
  <c r="U194" i="2" l="1"/>
  <c r="U153"/>
  <c r="U130"/>
  <c r="V135"/>
  <c r="V136" s="1"/>
  <c r="V142"/>
  <c r="V181" s="1"/>
  <c r="U155"/>
  <c r="V138"/>
  <c r="V177" s="1"/>
  <c r="V146"/>
  <c r="V189" s="1"/>
  <c r="V191" s="1"/>
  <c r="V139"/>
  <c r="V178" s="1"/>
  <c r="V143"/>
  <c r="V182" s="1"/>
  <c r="AL193" i="8"/>
  <c r="AL142"/>
  <c r="AL143" s="1"/>
  <c r="AM138" s="1"/>
  <c r="AM189" s="1"/>
  <c r="V126" i="2" l="1"/>
  <c r="V127" s="1"/>
  <c r="V148"/>
  <c r="V174"/>
  <c r="V175" s="1"/>
  <c r="V183"/>
  <c r="V144"/>
  <c r="V140"/>
  <c r="V179"/>
  <c r="AM126" i="8"/>
  <c r="AM117" s="1"/>
  <c r="AM158" s="1"/>
  <c r="AM173" s="1"/>
  <c r="AM174" s="1"/>
  <c r="AL146"/>
  <c r="AM133"/>
  <c r="AM180" s="1"/>
  <c r="AM134"/>
  <c r="AM181" s="1"/>
  <c r="AM129"/>
  <c r="AM176" s="1"/>
  <c r="AM137"/>
  <c r="AM139" s="1"/>
  <c r="AM130"/>
  <c r="AM177" s="1"/>
  <c r="V160" i="2" l="1"/>
  <c r="V161" s="1"/>
  <c r="V192"/>
  <c r="V194" s="1"/>
  <c r="V149"/>
  <c r="V153" s="1"/>
  <c r="AM159" i="8"/>
  <c r="AM162" s="1"/>
  <c r="AM188"/>
  <c r="AM190" s="1"/>
  <c r="AM182"/>
  <c r="AM178"/>
  <c r="AM135"/>
  <c r="V164" i="2"/>
  <c r="V163"/>
  <c r="V130"/>
  <c r="V129"/>
  <c r="AM118" i="8"/>
  <c r="AM121" s="1"/>
  <c r="AM127"/>
  <c r="AM131"/>
  <c r="V195" i="2" l="1"/>
  <c r="V151"/>
  <c r="V152" s="1"/>
  <c r="W139" s="1"/>
  <c r="W178" s="1"/>
  <c r="AM161" i="8"/>
  <c r="AM191"/>
  <c r="AM193" s="1"/>
  <c r="AM120"/>
  <c r="AM140"/>
  <c r="AM142" s="1"/>
  <c r="AM143" s="1"/>
  <c r="AM146" s="1"/>
  <c r="W147" i="2" l="1"/>
  <c r="W190" s="1"/>
  <c r="W138"/>
  <c r="W140" s="1"/>
  <c r="V155"/>
  <c r="W143"/>
  <c r="W182" s="1"/>
  <c r="W142"/>
  <c r="W181" s="1"/>
  <c r="W135"/>
  <c r="W126" s="1"/>
  <c r="W160" s="1"/>
  <c r="W161" s="1"/>
  <c r="W146"/>
  <c r="W189" s="1"/>
  <c r="AM144" i="8"/>
  <c r="AM194"/>
  <c r="AN137"/>
  <c r="AN188" s="1"/>
  <c r="AN133"/>
  <c r="AN180" s="1"/>
  <c r="AN134"/>
  <c r="AN181" s="1"/>
  <c r="AN129"/>
  <c r="AN176" s="1"/>
  <c r="AN138"/>
  <c r="AN189" s="1"/>
  <c r="AN130"/>
  <c r="AN177" s="1"/>
  <c r="AN126"/>
  <c r="AN117" s="1"/>
  <c r="AN158" s="1"/>
  <c r="AN173" s="1"/>
  <c r="AN174" s="1"/>
  <c r="W191" i="2" l="1"/>
  <c r="W177"/>
  <c r="W179" s="1"/>
  <c r="W127"/>
  <c r="W129" s="1"/>
  <c r="W148"/>
  <c r="W183"/>
  <c r="W136"/>
  <c r="W144"/>
  <c r="W174"/>
  <c r="W175" s="1"/>
  <c r="AN178" i="8"/>
  <c r="AN190"/>
  <c r="AN118"/>
  <c r="AN121" s="1"/>
  <c r="AN159"/>
  <c r="AN162" s="1"/>
  <c r="AN139"/>
  <c r="AN182"/>
  <c r="AN131"/>
  <c r="AN127"/>
  <c r="AN135"/>
  <c r="W164" i="2"/>
  <c r="W163"/>
  <c r="W149" l="1"/>
  <c r="W151" s="1"/>
  <c r="W152" s="1"/>
  <c r="X135" s="1"/>
  <c r="W130"/>
  <c r="W192"/>
  <c r="W195" s="1"/>
  <c r="AN120" i="8"/>
  <c r="AN191"/>
  <c r="AN194" s="1"/>
  <c r="AN161"/>
  <c r="AN140"/>
  <c r="AN144" s="1"/>
  <c r="W153" i="2" l="1"/>
  <c r="W155"/>
  <c r="X139"/>
  <c r="X178" s="1"/>
  <c r="X146"/>
  <c r="X189" s="1"/>
  <c r="X142"/>
  <c r="X181" s="1"/>
  <c r="X147"/>
  <c r="X190" s="1"/>
  <c r="X138"/>
  <c r="X177" s="1"/>
  <c r="X143"/>
  <c r="X182" s="1"/>
  <c r="W194"/>
  <c r="AN193" i="8"/>
  <c r="AN142"/>
  <c r="AN143" s="1"/>
  <c r="AN146" s="1"/>
  <c r="X136" i="2"/>
  <c r="X126"/>
  <c r="X174"/>
  <c r="X175" s="1"/>
  <c r="X179" l="1"/>
  <c r="X191"/>
  <c r="X148"/>
  <c r="X183"/>
  <c r="X140"/>
  <c r="X144"/>
  <c r="AO138" i="8"/>
  <c r="AO189" s="1"/>
  <c r="AO133"/>
  <c r="AO180" s="1"/>
  <c r="AO126"/>
  <c r="AO117" s="1"/>
  <c r="AO158" s="1"/>
  <c r="AO173" s="1"/>
  <c r="AO174" s="1"/>
  <c r="AO137"/>
  <c r="AO188" s="1"/>
  <c r="AO130"/>
  <c r="AO177" s="1"/>
  <c r="AO134"/>
  <c r="AO181" s="1"/>
  <c r="AO129"/>
  <c r="X127" i="2"/>
  <c r="X160"/>
  <c r="X161" s="1"/>
  <c r="X192" l="1"/>
  <c r="X195" s="1"/>
  <c r="X149"/>
  <c r="X153" s="1"/>
  <c r="AO182" i="8"/>
  <c r="AO118"/>
  <c r="AO121" s="1"/>
  <c r="X194" i="2"/>
  <c r="AO159" i="8"/>
  <c r="AO162" s="1"/>
  <c r="AO127"/>
  <c r="AO190"/>
  <c r="AO139"/>
  <c r="AO131"/>
  <c r="AO176"/>
  <c r="AO178" s="1"/>
  <c r="AO135"/>
  <c r="X130" i="2"/>
  <c r="X129"/>
  <c r="X164"/>
  <c r="X163"/>
  <c r="AO161" i="8" l="1"/>
  <c r="X151" i="2"/>
  <c r="X152" s="1"/>
  <c r="Y135" s="1"/>
  <c r="Y126" s="1"/>
  <c r="AO120" i="8"/>
  <c r="AO140"/>
  <c r="AO144" s="1"/>
  <c r="AO191"/>
  <c r="Y136" i="2" l="1"/>
  <c r="Y143"/>
  <c r="Y182" s="1"/>
  <c r="Y142"/>
  <c r="Y181" s="1"/>
  <c r="Y174"/>
  <c r="Y175" s="1"/>
  <c r="Y146"/>
  <c r="Y138"/>
  <c r="Y177" s="1"/>
  <c r="Y179" s="1"/>
  <c r="Y139"/>
  <c r="Y178" s="1"/>
  <c r="X155"/>
  <c r="Y147"/>
  <c r="Y190" s="1"/>
  <c r="Y148"/>
  <c r="AO142" i="8"/>
  <c r="AO143" s="1"/>
  <c r="AP138" s="1"/>
  <c r="AP189" s="1"/>
  <c r="Y189" i="2"/>
  <c r="Y191" s="1"/>
  <c r="AO193" i="8"/>
  <c r="AO194"/>
  <c r="Y127" i="2"/>
  <c r="Y160"/>
  <c r="Y161" s="1"/>
  <c r="Y183" l="1"/>
  <c r="Y144"/>
  <c r="Y140"/>
  <c r="AP134" i="8"/>
  <c r="AP181" s="1"/>
  <c r="AP126"/>
  <c r="AP117" s="1"/>
  <c r="AP158" s="1"/>
  <c r="AP173" s="1"/>
  <c r="AP174" s="1"/>
  <c r="AP133"/>
  <c r="AP180" s="1"/>
  <c r="AP130"/>
  <c r="AP177" s="1"/>
  <c r="AP137"/>
  <c r="AP188" s="1"/>
  <c r="AP190" s="1"/>
  <c r="AO146"/>
  <c r="AP129"/>
  <c r="AP176" s="1"/>
  <c r="Y192" i="2"/>
  <c r="Y194" s="1"/>
  <c r="Y164"/>
  <c r="Y163"/>
  <c r="Y130"/>
  <c r="Y129"/>
  <c r="Y149" l="1"/>
  <c r="Y153" s="1"/>
  <c r="Y195"/>
  <c r="AP182" i="8"/>
  <c r="AP127"/>
  <c r="AP139"/>
  <c r="AP131"/>
  <c r="AP159"/>
  <c r="B166" s="1"/>
  <c r="AP135"/>
  <c r="AP178"/>
  <c r="AP118"/>
  <c r="AP121" s="1"/>
  <c r="Y151" i="2"/>
  <c r="Y152" s="1"/>
  <c r="Z139" s="1"/>
  <c r="Z178" s="1"/>
  <c r="AP191" i="8" l="1"/>
  <c r="AP194" s="1"/>
  <c r="B165"/>
  <c r="AP120"/>
  <c r="AP140"/>
  <c r="AP144" s="1"/>
  <c r="AP161"/>
  <c r="AP162"/>
  <c r="Z143" i="2"/>
  <c r="Z182" s="1"/>
  <c r="Y155"/>
  <c r="Z146"/>
  <c r="Z189" s="1"/>
  <c r="Z138"/>
  <c r="Z142"/>
  <c r="Z181" s="1"/>
  <c r="Z135"/>
  <c r="Z174" s="1"/>
  <c r="Z175" s="1"/>
  <c r="Z147"/>
  <c r="Z190" s="1"/>
  <c r="B197" i="8" l="1"/>
  <c r="B196"/>
  <c r="AP193"/>
  <c r="Z191" i="2"/>
  <c r="Z183"/>
  <c r="AP142" i="8"/>
  <c r="AP143" s="1"/>
  <c r="AP146" s="1"/>
  <c r="B146" s="1"/>
  <c r="B81" i="1" s="1"/>
  <c r="Z148" i="2"/>
  <c r="Z140"/>
  <c r="Z177"/>
  <c r="Z179" s="1"/>
  <c r="Z136"/>
  <c r="Z126"/>
  <c r="Z144"/>
  <c r="Z192" l="1"/>
  <c r="Z194" s="1"/>
  <c r="Z149"/>
  <c r="Z153" s="1"/>
  <c r="Z160"/>
  <c r="Z161" s="1"/>
  <c r="Z127"/>
  <c r="Z195" l="1"/>
  <c r="Z151"/>
  <c r="Z152" s="1"/>
  <c r="AA147" s="1"/>
  <c r="AA190" s="1"/>
  <c r="Z163"/>
  <c r="Z164"/>
  <c r="Z130"/>
  <c r="Z129"/>
  <c r="AA139" l="1"/>
  <c r="AA178" s="1"/>
  <c r="AA138"/>
  <c r="AA177" s="1"/>
  <c r="AA143"/>
  <c r="AA182" s="1"/>
  <c r="Z155"/>
  <c r="AA142"/>
  <c r="AA181" s="1"/>
  <c r="AA135"/>
  <c r="AA126" s="1"/>
  <c r="AA146"/>
  <c r="AA189" s="1"/>
  <c r="AA191" s="1"/>
  <c r="AA183" l="1"/>
  <c r="AA144"/>
  <c r="AA179"/>
  <c r="AA140"/>
  <c r="AA174"/>
  <c r="AA175" s="1"/>
  <c r="AA136"/>
  <c r="AA148"/>
  <c r="AA127"/>
  <c r="AA160"/>
  <c r="AA161" s="1"/>
  <c r="AA192" l="1"/>
  <c r="AA195" s="1"/>
  <c r="C125" i="1" s="1"/>
  <c r="AA149" i="2"/>
  <c r="AA151" s="1"/>
  <c r="AA129"/>
  <c r="C105" i="1" s="1"/>
  <c r="AA130" i="2"/>
  <c r="C111" i="1" s="1"/>
  <c r="AA163" i="2"/>
  <c r="C118" i="1" s="1"/>
  <c r="AA164" i="2"/>
  <c r="C124" i="1" s="1"/>
  <c r="AA194" i="2" l="1"/>
  <c r="C119" i="1" s="1"/>
  <c r="AA153" i="2"/>
  <c r="C112" i="1" s="1"/>
  <c r="AA152" i="2"/>
  <c r="AB135" s="1"/>
  <c r="C106" i="1"/>
  <c r="AB147" i="2" l="1"/>
  <c r="AB190" s="1"/>
  <c r="AB142"/>
  <c r="AB181" s="1"/>
  <c r="AB143"/>
  <c r="AB182" s="1"/>
  <c r="AB146"/>
  <c r="AB189" s="1"/>
  <c r="AA155"/>
  <c r="AB139"/>
  <c r="AB178" s="1"/>
  <c r="AB138"/>
  <c r="AB126"/>
  <c r="AB136"/>
  <c r="AB174"/>
  <c r="AB175" s="1"/>
  <c r="AB148" l="1"/>
  <c r="AB191"/>
  <c r="AB144"/>
  <c r="AB140"/>
  <c r="AB183"/>
  <c r="AB177"/>
  <c r="AB179" s="1"/>
  <c r="AB127"/>
  <c r="AB160"/>
  <c r="AB161" s="1"/>
  <c r="AB149" l="1"/>
  <c r="AB153" s="1"/>
  <c r="AB192"/>
  <c r="AB195" s="1"/>
  <c r="AB130"/>
  <c r="AB129"/>
  <c r="AB164"/>
  <c r="AB163"/>
  <c r="AB151" l="1"/>
  <c r="AB152" s="1"/>
  <c r="AC143" s="1"/>
  <c r="AC182" s="1"/>
  <c r="AB194"/>
  <c r="AC146" l="1"/>
  <c r="AC189" s="1"/>
  <c r="AC147"/>
  <c r="AC190" s="1"/>
  <c r="AC142"/>
  <c r="AC181" s="1"/>
  <c r="AC183" s="1"/>
  <c r="AC135"/>
  <c r="AC174" s="1"/>
  <c r="AC175" s="1"/>
  <c r="AB155"/>
  <c r="AC138"/>
  <c r="AC177" s="1"/>
  <c r="AC179" s="1"/>
  <c r="AC139"/>
  <c r="AC178" s="1"/>
  <c r="AC126" l="1"/>
  <c r="AC136"/>
  <c r="AC191"/>
  <c r="AC192" s="1"/>
  <c r="AC140"/>
  <c r="AC144"/>
  <c r="AC148"/>
  <c r="AC127"/>
  <c r="AC160"/>
  <c r="AC161" s="1"/>
  <c r="AC149" l="1"/>
  <c r="AC153" s="1"/>
  <c r="AC194"/>
  <c r="AC195"/>
  <c r="AC130"/>
  <c r="AC129"/>
  <c r="AC163"/>
  <c r="AC164"/>
  <c r="AC151" l="1"/>
  <c r="AC152" s="1"/>
  <c r="AD147" s="1"/>
  <c r="AD190" s="1"/>
  <c r="AD138" l="1"/>
  <c r="AD177" s="1"/>
  <c r="AC155"/>
  <c r="AD139"/>
  <c r="AD178" s="1"/>
  <c r="AD135"/>
  <c r="AD126" s="1"/>
  <c r="AD160" s="1"/>
  <c r="AD161" s="1"/>
  <c r="AD143"/>
  <c r="AD182" s="1"/>
  <c r="AD142"/>
  <c r="AD181" s="1"/>
  <c r="AD146"/>
  <c r="AD189" s="1"/>
  <c r="AD191" s="1"/>
  <c r="AD183" l="1"/>
  <c r="AD179"/>
  <c r="AD140"/>
  <c r="AD148"/>
  <c r="AD144"/>
  <c r="AD174"/>
  <c r="AD175" s="1"/>
  <c r="AD192" s="1"/>
  <c r="AD194" s="1"/>
  <c r="AD127"/>
  <c r="AD130" s="1"/>
  <c r="AD136"/>
  <c r="AD163"/>
  <c r="AD164"/>
  <c r="AD129"/>
  <c r="AD149" l="1"/>
  <c r="AD151" s="1"/>
  <c r="AD152" s="1"/>
  <c r="AE142" s="1"/>
  <c r="AD195"/>
  <c r="AD153" l="1"/>
  <c r="AE146"/>
  <c r="AE189" s="1"/>
  <c r="AE135"/>
  <c r="AE174" s="1"/>
  <c r="AE175" s="1"/>
  <c r="AE147"/>
  <c r="AE190" s="1"/>
  <c r="AE143"/>
  <c r="AE182" s="1"/>
  <c r="AE138"/>
  <c r="AE177" s="1"/>
  <c r="AD155"/>
  <c r="AE139"/>
  <c r="AE178" s="1"/>
  <c r="AE181"/>
  <c r="AE144" l="1"/>
  <c r="AE191"/>
  <c r="AE136"/>
  <c r="AE179"/>
  <c r="AE148"/>
  <c r="AE140"/>
  <c r="AE126"/>
  <c r="AE160" s="1"/>
  <c r="AE161" s="1"/>
  <c r="AE183"/>
  <c r="AE192" l="1"/>
  <c r="AE194" s="1"/>
  <c r="AE127"/>
  <c r="AE130" s="1"/>
  <c r="AE149"/>
  <c r="AE153" s="1"/>
  <c r="AE164"/>
  <c r="AE163"/>
  <c r="AE195" l="1"/>
  <c r="AE129"/>
  <c r="AE151"/>
  <c r="AE152" s="1"/>
  <c r="AF135" l="1"/>
  <c r="AF146"/>
  <c r="AF138"/>
  <c r="AF139"/>
  <c r="AF178" s="1"/>
  <c r="AF142"/>
  <c r="AF147"/>
  <c r="AF190" s="1"/>
  <c r="AF143"/>
  <c r="AF182" s="1"/>
  <c r="AE155"/>
  <c r="AF181" l="1"/>
  <c r="AF183" s="1"/>
  <c r="AF144"/>
  <c r="AF140"/>
  <c r="AF177"/>
  <c r="AF179" s="1"/>
  <c r="AF136"/>
  <c r="AF174"/>
  <c r="AF175" s="1"/>
  <c r="AF126"/>
  <c r="AF189"/>
  <c r="AF191" s="1"/>
  <c r="AF148"/>
  <c r="AF127" l="1"/>
  <c r="AF160"/>
  <c r="AF161" s="1"/>
  <c r="AF149"/>
  <c r="AF192"/>
  <c r="AF153" l="1"/>
  <c r="AF151"/>
  <c r="AF130"/>
  <c r="AF129"/>
  <c r="AF195"/>
  <c r="AF194"/>
  <c r="AF164"/>
  <c r="AF163"/>
  <c r="AF152" l="1"/>
  <c r="AG146" l="1"/>
  <c r="AG138"/>
  <c r="AG135"/>
  <c r="AG142"/>
  <c r="AG139"/>
  <c r="AG178" s="1"/>
  <c r="AG143"/>
  <c r="AG182" s="1"/>
  <c r="AG147"/>
  <c r="AG190" s="1"/>
  <c r="AF155"/>
  <c r="AG126" l="1"/>
  <c r="AG136"/>
  <c r="AG174"/>
  <c r="AG175" s="1"/>
  <c r="AG189"/>
  <c r="AG191" s="1"/>
  <c r="AG148"/>
  <c r="AG181"/>
  <c r="AG183" s="1"/>
  <c r="AG144"/>
  <c r="AG177"/>
  <c r="AG179" s="1"/>
  <c r="AG140"/>
  <c r="AG192" l="1"/>
  <c r="AG195" s="1"/>
  <c r="AG127"/>
  <c r="AG160"/>
  <c r="AG161" s="1"/>
  <c r="AG149"/>
  <c r="AG194" l="1"/>
  <c r="AG164"/>
  <c r="AG163"/>
  <c r="AG153"/>
  <c r="AG151"/>
  <c r="AG152" s="1"/>
  <c r="AG130"/>
  <c r="AG129"/>
  <c r="AH146" l="1"/>
  <c r="AH143"/>
  <c r="AH182" s="1"/>
  <c r="AH135"/>
  <c r="AH138"/>
  <c r="AH147"/>
  <c r="AH190" s="1"/>
  <c r="AH139"/>
  <c r="AH178" s="1"/>
  <c r="AH142"/>
  <c r="AG155"/>
  <c r="AH136" l="1"/>
  <c r="AH126"/>
  <c r="AH174"/>
  <c r="AH175" s="1"/>
  <c r="AH189"/>
  <c r="AH191" s="1"/>
  <c r="AH148"/>
  <c r="AH181"/>
  <c r="AH183" s="1"/>
  <c r="AH144"/>
  <c r="AH140"/>
  <c r="AH177"/>
  <c r="AH179" s="1"/>
  <c r="AH127" l="1"/>
  <c r="AH160"/>
  <c r="AH161" s="1"/>
  <c r="AH192"/>
  <c r="AH149"/>
  <c r="AH194" l="1"/>
  <c r="AH195"/>
  <c r="AH130"/>
  <c r="AH129"/>
  <c r="AH153"/>
  <c r="AH151"/>
  <c r="AH152" s="1"/>
  <c r="AH163"/>
  <c r="AH164"/>
  <c r="AI143" l="1"/>
  <c r="AI182" s="1"/>
  <c r="AI138"/>
  <c r="AI142"/>
  <c r="AI146"/>
  <c r="AI135"/>
  <c r="AI147"/>
  <c r="AI190" s="1"/>
  <c r="AI139"/>
  <c r="AI178" s="1"/>
  <c r="AH155"/>
  <c r="AI144" l="1"/>
  <c r="AI181"/>
  <c r="AI183" s="1"/>
  <c r="AI174"/>
  <c r="AI175" s="1"/>
  <c r="AI126"/>
  <c r="AI136"/>
  <c r="AI189"/>
  <c r="AI191" s="1"/>
  <c r="AI148"/>
  <c r="AI177"/>
  <c r="AI179" s="1"/>
  <c r="AI140"/>
  <c r="AI192" l="1"/>
  <c r="AI195" s="1"/>
  <c r="AI127"/>
  <c r="AI160"/>
  <c r="AI161" s="1"/>
  <c r="AI149"/>
  <c r="AI194" l="1"/>
  <c r="AI163"/>
  <c r="AI164"/>
  <c r="AI153"/>
  <c r="AI151"/>
  <c r="AI152" s="1"/>
  <c r="AI130"/>
  <c r="AI129"/>
  <c r="AJ135" l="1"/>
  <c r="AJ147"/>
  <c r="AJ190" s="1"/>
  <c r="AJ139"/>
  <c r="AJ178" s="1"/>
  <c r="AJ146"/>
  <c r="AJ143"/>
  <c r="AJ182" s="1"/>
  <c r="AJ138"/>
  <c r="AJ142"/>
  <c r="AI155"/>
  <c r="AJ181" l="1"/>
  <c r="AJ183" s="1"/>
  <c r="AJ144"/>
  <c r="AJ136"/>
  <c r="AJ126"/>
  <c r="AJ174"/>
  <c r="AJ175" s="1"/>
  <c r="AJ177"/>
  <c r="AJ179" s="1"/>
  <c r="AJ140"/>
  <c r="AJ148"/>
  <c r="AJ189"/>
  <c r="AJ191" s="1"/>
  <c r="AJ192" l="1"/>
  <c r="AJ149"/>
  <c r="AJ160"/>
  <c r="AJ161" s="1"/>
  <c r="AJ127"/>
  <c r="AJ164" l="1"/>
  <c r="AJ163"/>
  <c r="AJ194"/>
  <c r="AJ195"/>
  <c r="AJ130"/>
  <c r="AJ129"/>
  <c r="AJ153"/>
  <c r="AJ151"/>
  <c r="AJ152" s="1"/>
  <c r="AK147" l="1"/>
  <c r="AK190" s="1"/>
  <c r="AK139"/>
  <c r="AK178" s="1"/>
  <c r="AK143"/>
  <c r="AK182" s="1"/>
  <c r="AK135"/>
  <c r="AK138"/>
  <c r="AK146"/>
  <c r="AK142"/>
  <c r="AJ155"/>
  <c r="AK144" l="1"/>
  <c r="AK181"/>
  <c r="AK183" s="1"/>
  <c r="AK140"/>
  <c r="AK177"/>
  <c r="AK179" s="1"/>
  <c r="AK148"/>
  <c r="AK189"/>
  <c r="AK191" s="1"/>
  <c r="AK126"/>
  <c r="AK174"/>
  <c r="AK175" s="1"/>
  <c r="AK136"/>
  <c r="AK149" l="1"/>
  <c r="AK151" s="1"/>
  <c r="AK152" s="1"/>
  <c r="AK192"/>
  <c r="AK195" s="1"/>
  <c r="AK160"/>
  <c r="AK161" s="1"/>
  <c r="AK127"/>
  <c r="C63" i="10"/>
  <c r="C69" s="1"/>
  <c r="AK153" i="2" l="1"/>
  <c r="AK194"/>
  <c r="AK130"/>
  <c r="AK129"/>
  <c r="AK164"/>
  <c r="AK163"/>
  <c r="AL146"/>
  <c r="AL142"/>
  <c r="AL135"/>
  <c r="AL143"/>
  <c r="AL182" s="1"/>
  <c r="AL147"/>
  <c r="AL190" s="1"/>
  <c r="AL139"/>
  <c r="AL178" s="1"/>
  <c r="AL138"/>
  <c r="AK155"/>
  <c r="C101" i="10"/>
  <c r="C109"/>
  <c r="AL140" i="2" l="1"/>
  <c r="AL177"/>
  <c r="AL179" s="1"/>
  <c r="AL126"/>
  <c r="AL174"/>
  <c r="AL175" s="1"/>
  <c r="AL136"/>
  <c r="AL148"/>
  <c r="AL189"/>
  <c r="AL191" s="1"/>
  <c r="AL181"/>
  <c r="AL183" s="1"/>
  <c r="AL144"/>
  <c r="C110" i="10"/>
  <c r="C123" s="1"/>
  <c r="AL160" i="2" l="1"/>
  <c r="AL161" s="1"/>
  <c r="AL127"/>
  <c r="AL149"/>
  <c r="AL192"/>
  <c r="AF101" i="10"/>
  <c r="AL153" i="2" l="1"/>
  <c r="AL151"/>
  <c r="AL152" s="1"/>
  <c r="AL164"/>
  <c r="AL163"/>
  <c r="AL195"/>
  <c r="AL194"/>
  <c r="AL130"/>
  <c r="AL129"/>
  <c r="AF109" i="10"/>
  <c r="AF110" s="1"/>
  <c r="AF123" s="1"/>
  <c r="B108"/>
  <c r="AM146" i="2" l="1"/>
  <c r="AM135"/>
  <c r="AM139"/>
  <c r="AM178" s="1"/>
  <c r="AM142"/>
  <c r="AM143"/>
  <c r="AM182" s="1"/>
  <c r="AM147"/>
  <c r="AM190" s="1"/>
  <c r="AM138"/>
  <c r="AL155"/>
  <c r="B109" i="10"/>
  <c r="B110" s="1"/>
  <c r="B123" s="1"/>
  <c r="AN126" s="1"/>
  <c r="AM140" i="2" l="1"/>
  <c r="AM177"/>
  <c r="AM179" s="1"/>
  <c r="AM148"/>
  <c r="AM189"/>
  <c r="AM191" s="1"/>
  <c r="AM144"/>
  <c r="AM181"/>
  <c r="AM183" s="1"/>
  <c r="AM174"/>
  <c r="AM175" s="1"/>
  <c r="AM126"/>
  <c r="AM136"/>
  <c r="AG126" i="10"/>
  <c r="AO126"/>
  <c r="AL126"/>
  <c r="AI126"/>
  <c r="AF126"/>
  <c r="AB126"/>
  <c r="X126"/>
  <c r="T126"/>
  <c r="P126"/>
  <c r="L126"/>
  <c r="H126"/>
  <c r="D126"/>
  <c r="AE126"/>
  <c r="AA126"/>
  <c r="W126"/>
  <c r="S126"/>
  <c r="O126"/>
  <c r="K126"/>
  <c r="G126"/>
  <c r="C126"/>
  <c r="AD126"/>
  <c r="Z126"/>
  <c r="V126"/>
  <c r="R126"/>
  <c r="N126"/>
  <c r="J126"/>
  <c r="F126"/>
  <c r="AC126"/>
  <c r="Y126"/>
  <c r="U126"/>
  <c r="Q126"/>
  <c r="M126"/>
  <c r="I126"/>
  <c r="E126"/>
  <c r="AK126"/>
  <c r="AH126"/>
  <c r="AP126"/>
  <c r="AM126"/>
  <c r="AJ126"/>
  <c r="B101"/>
  <c r="AP103" s="1"/>
  <c r="E125"/>
  <c r="M125"/>
  <c r="AB125"/>
  <c r="AJ125"/>
  <c r="AO125"/>
  <c r="R125"/>
  <c r="Z125"/>
  <c r="Y125"/>
  <c r="AA125"/>
  <c r="N125"/>
  <c r="AL125"/>
  <c r="AH125"/>
  <c r="AN125"/>
  <c r="J125"/>
  <c r="W125"/>
  <c r="V125"/>
  <c r="U125"/>
  <c r="F125"/>
  <c r="AG125"/>
  <c r="AP125"/>
  <c r="AF125"/>
  <c r="G125"/>
  <c r="O125"/>
  <c r="S125"/>
  <c r="C125"/>
  <c r="AD125"/>
  <c r="B126"/>
  <c r="B125"/>
  <c r="K125"/>
  <c r="I125"/>
  <c r="AM125"/>
  <c r="AE125"/>
  <c r="AI125"/>
  <c r="Q125"/>
  <c r="T125"/>
  <c r="H125"/>
  <c r="D125"/>
  <c r="AK125"/>
  <c r="P125"/>
  <c r="AC125"/>
  <c r="X125"/>
  <c r="L125"/>
  <c r="AM149" i="2" l="1"/>
  <c r="AM153" s="1"/>
  <c r="AM192"/>
  <c r="AM194" s="1"/>
  <c r="AM127"/>
  <c r="AM160"/>
  <c r="AM161" s="1"/>
  <c r="AN103" i="10"/>
  <c r="AG103"/>
  <c r="AB104"/>
  <c r="X104"/>
  <c r="T104"/>
  <c r="P104"/>
  <c r="L104"/>
  <c r="H104"/>
  <c r="D104"/>
  <c r="AE104"/>
  <c r="AA104"/>
  <c r="W104"/>
  <c r="S104"/>
  <c r="O104"/>
  <c r="K104"/>
  <c r="G104"/>
  <c r="C104"/>
  <c r="AD104"/>
  <c r="Z104"/>
  <c r="V104"/>
  <c r="R104"/>
  <c r="N104"/>
  <c r="J104"/>
  <c r="F104"/>
  <c r="AC104"/>
  <c r="Y104"/>
  <c r="U104"/>
  <c r="Q104"/>
  <c r="M104"/>
  <c r="I104"/>
  <c r="E104"/>
  <c r="AJ104"/>
  <c r="AM104"/>
  <c r="AP104"/>
  <c r="AH104"/>
  <c r="AK104"/>
  <c r="AN104"/>
  <c r="AF104"/>
  <c r="AI104"/>
  <c r="AL104"/>
  <c r="AO104"/>
  <c r="AG104"/>
  <c r="D103"/>
  <c r="AE103"/>
  <c r="Z103"/>
  <c r="Y103"/>
  <c r="K103"/>
  <c r="AD103"/>
  <c r="AL103"/>
  <c r="AC103"/>
  <c r="J103"/>
  <c r="AH103"/>
  <c r="N103"/>
  <c r="AM103"/>
  <c r="U103"/>
  <c r="S103"/>
  <c r="B103"/>
  <c r="AJ103"/>
  <c r="AB103"/>
  <c r="B104"/>
  <c r="P103"/>
  <c r="F103"/>
  <c r="AA103"/>
  <c r="AF103"/>
  <c r="E103"/>
  <c r="X103"/>
  <c r="V103"/>
  <c r="AK103"/>
  <c r="H103"/>
  <c r="AI103"/>
  <c r="L103"/>
  <c r="AO103"/>
  <c r="O103"/>
  <c r="W103"/>
  <c r="R103"/>
  <c r="Q103"/>
  <c r="T103"/>
  <c r="M103"/>
  <c r="I103"/>
  <c r="C103"/>
  <c r="G103"/>
  <c r="AM151" i="2" l="1"/>
  <c r="AM152" s="1"/>
  <c r="AN146" s="1"/>
  <c r="AM195"/>
  <c r="AM130"/>
  <c r="AM129"/>
  <c r="AM163"/>
  <c r="AM164"/>
  <c r="D163" i="10"/>
  <c r="D155"/>
  <c r="D159"/>
  <c r="AN135" i="2" l="1"/>
  <c r="AN126" s="1"/>
  <c r="AN143"/>
  <c r="AN182" s="1"/>
  <c r="AN147"/>
  <c r="AN190" s="1"/>
  <c r="AN142"/>
  <c r="AN181" s="1"/>
  <c r="AM155"/>
  <c r="AN138"/>
  <c r="AN140" s="1"/>
  <c r="AN139"/>
  <c r="AN178" s="1"/>
  <c r="AN189"/>
  <c r="D143" i="10"/>
  <c r="AN148" i="2" l="1"/>
  <c r="AN191"/>
  <c r="AN136"/>
  <c r="AN174"/>
  <c r="AN175" s="1"/>
  <c r="AN177"/>
  <c r="AN179" s="1"/>
  <c r="AN144"/>
  <c r="AN183"/>
  <c r="AN160"/>
  <c r="AN161" s="1"/>
  <c r="AN127"/>
  <c r="E159" i="10"/>
  <c r="E155"/>
  <c r="E163"/>
  <c r="AN149" i="2" l="1"/>
  <c r="AN151" s="1"/>
  <c r="AN152" s="1"/>
  <c r="AN192"/>
  <c r="AN195" s="1"/>
  <c r="AN153"/>
  <c r="AN164"/>
  <c r="AN163"/>
  <c r="AN130"/>
  <c r="AN129"/>
  <c r="E143" i="10"/>
  <c r="AN194" i="2" l="1"/>
  <c r="AO147"/>
  <c r="AO190" s="1"/>
  <c r="AO146"/>
  <c r="AO139"/>
  <c r="AO178" s="1"/>
  <c r="AO143"/>
  <c r="AO182" s="1"/>
  <c r="AO138"/>
  <c r="AO135"/>
  <c r="AO142"/>
  <c r="AN155"/>
  <c r="F159" i="10"/>
  <c r="F155"/>
  <c r="F163"/>
  <c r="AO181" i="2" l="1"/>
  <c r="AO183" s="1"/>
  <c r="AO144"/>
  <c r="AO177"/>
  <c r="AO179" s="1"/>
  <c r="AO140"/>
  <c r="AO136"/>
  <c r="AO126"/>
  <c r="AO174"/>
  <c r="AO175" s="1"/>
  <c r="AO189"/>
  <c r="AO191" s="1"/>
  <c r="AO148"/>
  <c r="F143" i="10"/>
  <c r="AO192" i="2" l="1"/>
  <c r="AO195" s="1"/>
  <c r="AO127"/>
  <c r="AO160"/>
  <c r="AO161" s="1"/>
  <c r="AO149"/>
  <c r="G163" i="10"/>
  <c r="G155"/>
  <c r="G159"/>
  <c r="AO194" i="2" l="1"/>
  <c r="AO151"/>
  <c r="AO152" s="1"/>
  <c r="AO153"/>
  <c r="AO130"/>
  <c r="AO129"/>
  <c r="AO164"/>
  <c r="AO163"/>
  <c r="G143" i="10"/>
  <c r="AP146" i="2" l="1"/>
  <c r="AP143"/>
  <c r="AP182" s="1"/>
  <c r="AP139"/>
  <c r="AP178" s="1"/>
  <c r="AP138"/>
  <c r="AP142"/>
  <c r="AP135"/>
  <c r="AP147"/>
  <c r="AP190" s="1"/>
  <c r="AO155"/>
  <c r="H155" i="10"/>
  <c r="H163"/>
  <c r="H159"/>
  <c r="AP181" i="2" l="1"/>
  <c r="AP183" s="1"/>
  <c r="AP144"/>
  <c r="AP189"/>
  <c r="AP191" s="1"/>
  <c r="AP148"/>
  <c r="AP126"/>
  <c r="AP174"/>
  <c r="AP175" s="1"/>
  <c r="AP136"/>
  <c r="AP140"/>
  <c r="AP177"/>
  <c r="AP179" s="1"/>
  <c r="H143" i="10"/>
  <c r="AP149" i="2" l="1"/>
  <c r="AP153" s="1"/>
  <c r="AP127"/>
  <c r="AP160"/>
  <c r="AP161" s="1"/>
  <c r="AP192"/>
  <c r="I159" i="10"/>
  <c r="I155"/>
  <c r="I163"/>
  <c r="AP151" i="2" l="1"/>
  <c r="AP152" s="1"/>
  <c r="AP155" s="1"/>
  <c r="B155" s="1"/>
  <c r="C81" i="1" s="1"/>
  <c r="B167" i="2"/>
  <c r="B168"/>
  <c r="AP164"/>
  <c r="AP163"/>
  <c r="AP195"/>
  <c r="B197"/>
  <c r="B198"/>
  <c r="AP194"/>
  <c r="AP130"/>
  <c r="AP129"/>
  <c r="I143" i="10"/>
  <c r="J163" l="1"/>
  <c r="J159"/>
  <c r="J155"/>
  <c r="J143" l="1"/>
  <c r="K155" l="1"/>
  <c r="K163"/>
  <c r="K159"/>
  <c r="K143" l="1"/>
  <c r="L155" l="1"/>
  <c r="L159"/>
  <c r="L163"/>
  <c r="L143" l="1"/>
  <c r="M155" l="1"/>
  <c r="M159"/>
  <c r="M163"/>
  <c r="M143" l="1"/>
  <c r="N163" l="1"/>
  <c r="N159"/>
  <c r="N155"/>
  <c r="N143" l="1"/>
  <c r="O163" l="1"/>
  <c r="O159"/>
  <c r="O155"/>
  <c r="O143" l="1"/>
  <c r="P155" l="1"/>
  <c r="P159" l="1"/>
  <c r="P163"/>
  <c r="P143"/>
  <c r="Q155" l="1"/>
  <c r="Q163" l="1"/>
  <c r="Q159"/>
  <c r="Q143"/>
  <c r="R163" l="1"/>
  <c r="R155"/>
  <c r="R159"/>
  <c r="R143" l="1"/>
  <c r="S163" l="1"/>
  <c r="S155"/>
  <c r="S159"/>
  <c r="S143" l="1"/>
  <c r="T155" l="1"/>
  <c r="T159"/>
  <c r="T163"/>
  <c r="T143" l="1"/>
  <c r="U163" l="1"/>
  <c r="U159"/>
  <c r="U155"/>
  <c r="U143" l="1"/>
  <c r="V155" l="1"/>
  <c r="V159"/>
  <c r="V163"/>
  <c r="V143" l="1"/>
  <c r="W159" l="1"/>
  <c r="W163"/>
  <c r="W155"/>
  <c r="W143" l="1"/>
  <c r="X159" l="1"/>
  <c r="X163"/>
  <c r="X155"/>
  <c r="X143" l="1"/>
  <c r="Y159" l="1"/>
  <c r="Y155"/>
  <c r="Y163" l="1"/>
  <c r="Y143"/>
  <c r="Z155" l="1"/>
  <c r="Z159"/>
  <c r="Z163"/>
  <c r="Z143" l="1"/>
  <c r="AA163" l="1"/>
  <c r="AA155"/>
  <c r="AA159"/>
  <c r="AA143" l="1"/>
  <c r="AB163" l="1"/>
  <c r="AB155"/>
  <c r="AB159"/>
  <c r="AB143" l="1"/>
  <c r="AC155" l="1"/>
  <c r="AC163"/>
  <c r="AC159"/>
  <c r="AC143" l="1"/>
  <c r="AD163" l="1"/>
  <c r="AD159"/>
  <c r="AD155"/>
  <c r="AD143" l="1"/>
  <c r="AE155" l="1"/>
  <c r="AE163" l="1"/>
  <c r="AE159"/>
  <c r="AE143"/>
  <c r="AF159" l="1"/>
  <c r="AF163"/>
  <c r="AG167" l="1"/>
  <c r="AG205"/>
  <c r="AG163"/>
  <c r="AG155"/>
  <c r="AG159"/>
  <c r="AG168" l="1"/>
  <c r="AG143"/>
  <c r="AG201" l="1"/>
  <c r="AG210" s="1"/>
  <c r="AG184"/>
  <c r="AH205" l="1"/>
  <c r="AH167"/>
  <c r="AH155"/>
  <c r="AH159"/>
  <c r="AH163"/>
  <c r="AH143" l="1"/>
  <c r="AH168"/>
  <c r="AH201" l="1"/>
  <c r="AH210" s="1"/>
  <c r="AH184"/>
  <c r="AI155" l="1"/>
  <c r="AI159"/>
  <c r="AI167"/>
  <c r="AI205"/>
  <c r="AI163"/>
  <c r="AI168" l="1"/>
  <c r="AI143"/>
  <c r="AI201" l="1"/>
  <c r="AI210" s="1"/>
  <c r="AI184"/>
  <c r="AJ159" l="1"/>
  <c r="AJ155"/>
  <c r="AJ163"/>
  <c r="AJ167"/>
  <c r="AJ205"/>
  <c r="AJ143" l="1"/>
  <c r="AJ168"/>
  <c r="AJ201" l="1"/>
  <c r="AJ210" s="1"/>
  <c r="AJ184"/>
  <c r="AK155" l="1"/>
  <c r="AK167"/>
  <c r="AK205"/>
  <c r="AK163"/>
  <c r="AK159"/>
  <c r="AK143" l="1"/>
  <c r="AK168"/>
  <c r="AK201" l="1"/>
  <c r="AK210" s="1"/>
  <c r="AK184"/>
  <c r="AL163" l="1"/>
  <c r="AL159"/>
  <c r="AL205"/>
  <c r="AL167"/>
  <c r="AL155"/>
  <c r="AL143" l="1"/>
  <c r="AL168"/>
  <c r="AL201" l="1"/>
  <c r="AL210" s="1"/>
  <c r="AL184"/>
  <c r="AM155" l="1"/>
  <c r="AM159"/>
  <c r="AM167"/>
  <c r="AM205"/>
  <c r="AM163"/>
  <c r="AM168" l="1"/>
  <c r="AM143"/>
  <c r="AM201" l="1"/>
  <c r="AM210" s="1"/>
  <c r="AM184"/>
  <c r="AN163" l="1"/>
  <c r="AN159" l="1"/>
  <c r="AN155"/>
  <c r="AN205"/>
  <c r="AN167"/>
  <c r="AN143"/>
  <c r="AN168" l="1"/>
  <c r="AN201"/>
  <c r="AN210" s="1"/>
  <c r="AN184"/>
  <c r="AO159" l="1"/>
  <c r="AO163"/>
  <c r="AO155"/>
  <c r="AO205" l="1"/>
  <c r="AO167"/>
  <c r="AO168" s="1"/>
  <c r="AO143"/>
  <c r="AO201" l="1"/>
  <c r="AO210" s="1"/>
  <c r="AO184"/>
  <c r="AP159" l="1"/>
  <c r="AP163"/>
  <c r="AP167"/>
  <c r="AP205"/>
  <c r="AP155"/>
  <c r="AP168" l="1"/>
  <c r="AP143"/>
  <c r="AP201" l="1"/>
  <c r="AP210" s="1"/>
  <c r="AP184"/>
  <c r="C746" l="1"/>
  <c r="C49" s="1"/>
  <c r="C281" l="1"/>
  <c r="C50"/>
  <c r="C74" s="1"/>
  <c r="C76" s="1"/>
  <c r="C80" s="1"/>
  <c r="C81" s="1"/>
  <c r="C95" s="1"/>
  <c r="C284" l="1"/>
  <c r="C300" s="1"/>
  <c r="C142"/>
  <c r="B644"/>
  <c r="C220"/>
  <c r="C297"/>
  <c r="B59" l="1"/>
  <c r="B63" s="1"/>
  <c r="B646"/>
  <c r="D150" i="1"/>
  <c r="D185" s="1"/>
  <c r="C248" i="10"/>
  <c r="C143"/>
  <c r="C154"/>
  <c r="C155" s="1"/>
  <c r="B177" l="1"/>
  <c r="B184" s="1"/>
  <c r="B72"/>
  <c r="B194"/>
  <c r="C643"/>
  <c r="C646" s="1"/>
  <c r="B749"/>
  <c r="C750" s="1"/>
  <c r="D154" i="1"/>
  <c r="D159" s="1"/>
  <c r="D160" s="1"/>
  <c r="B94" i="10" s="1"/>
  <c r="B186" l="1"/>
  <c r="B187"/>
  <c r="D164" i="1"/>
  <c r="D161"/>
  <c r="B69" i="10"/>
  <c r="C455"/>
  <c r="C450"/>
  <c r="C451"/>
  <c r="C319"/>
  <c r="B86"/>
  <c r="C182"/>
  <c r="C199" s="1"/>
  <c r="C201" s="1"/>
  <c r="C282"/>
  <c r="C298" s="1"/>
  <c r="D643"/>
  <c r="D646" s="1"/>
  <c r="C749"/>
  <c r="D750" s="1"/>
  <c r="C321"/>
  <c r="B73"/>
  <c r="C184" l="1"/>
  <c r="C187" s="1"/>
  <c r="B74"/>
  <c r="B76" s="1"/>
  <c r="C452"/>
  <c r="C453"/>
  <c r="D169" i="1"/>
  <c r="D173" s="1"/>
  <c r="C317" i="10"/>
  <c r="C186"/>
  <c r="C316"/>
  <c r="C454"/>
  <c r="D233" i="1"/>
  <c r="C320" i="10"/>
  <c r="C318"/>
  <c r="C285"/>
  <c r="C292" s="1"/>
  <c r="C293" s="1"/>
  <c r="D182"/>
  <c r="D199" s="1"/>
  <c r="D201" s="1"/>
  <c r="D282"/>
  <c r="E643"/>
  <c r="E646" s="1"/>
  <c r="D749"/>
  <c r="E750" s="1"/>
  <c r="B150"/>
  <c r="D184" l="1"/>
  <c r="C301"/>
  <c r="C302" s="1"/>
  <c r="C309" s="1"/>
  <c r="C310" s="1"/>
  <c r="C204" s="1"/>
  <c r="C203"/>
  <c r="D174" i="1"/>
  <c r="D187" i="10"/>
  <c r="B142"/>
  <c r="B154" s="1"/>
  <c r="B155" s="1"/>
  <c r="B168" s="1"/>
  <c r="B284"/>
  <c r="C457"/>
  <c r="B454" s="1"/>
  <c r="B80"/>
  <c r="B81" s="1"/>
  <c r="B95" s="1"/>
  <c r="D171" i="1"/>
  <c r="D175"/>
  <c r="C323" i="10"/>
  <c r="B321" s="1"/>
  <c r="D186"/>
  <c r="D285"/>
  <c r="D292" s="1"/>
  <c r="D293" s="1"/>
  <c r="D298"/>
  <c r="E182"/>
  <c r="E199" s="1"/>
  <c r="E201" s="1"/>
  <c r="E282"/>
  <c r="F643"/>
  <c r="F646" s="1"/>
  <c r="E749"/>
  <c r="F750" s="1"/>
  <c r="B450"/>
  <c r="B201"/>
  <c r="C205" l="1"/>
  <c r="C210" s="1"/>
  <c r="D301"/>
  <c r="D302" s="1"/>
  <c r="D309" s="1"/>
  <c r="D310" s="1"/>
  <c r="D204" s="1"/>
  <c r="D203"/>
  <c r="B143"/>
  <c r="C145" s="1"/>
  <c r="B285"/>
  <c r="B292" s="1"/>
  <c r="B293" s="1"/>
  <c r="B203" s="1"/>
  <c r="B300"/>
  <c r="B320"/>
  <c r="D320" s="1"/>
  <c r="B451"/>
  <c r="E321"/>
  <c r="D321"/>
  <c r="B455"/>
  <c r="B453"/>
  <c r="B452"/>
  <c r="B317"/>
  <c r="D176" i="1"/>
  <c r="B316" i="10"/>
  <c r="B318"/>
  <c r="B319"/>
  <c r="E184"/>
  <c r="E285"/>
  <c r="E292" s="1"/>
  <c r="E293" s="1"/>
  <c r="E298"/>
  <c r="F182"/>
  <c r="F199" s="1"/>
  <c r="F201" s="1"/>
  <c r="F282"/>
  <c r="G643"/>
  <c r="G646" s="1"/>
  <c r="F749"/>
  <c r="G750" s="1"/>
  <c r="F450"/>
  <c r="G450" s="1"/>
  <c r="G457" s="1"/>
  <c r="F454"/>
  <c r="B172"/>
  <c r="B170"/>
  <c r="I457" l="1"/>
  <c r="H452"/>
  <c r="K452" s="1"/>
  <c r="L452" s="1"/>
  <c r="H454"/>
  <c r="K454" s="1"/>
  <c r="L454" s="1"/>
  <c r="H450"/>
  <c r="K450" s="1"/>
  <c r="L450" s="1"/>
  <c r="H451"/>
  <c r="H453"/>
  <c r="K453" s="1"/>
  <c r="L453" s="1"/>
  <c r="H455"/>
  <c r="K455" s="1"/>
  <c r="L455" s="1"/>
  <c r="S145"/>
  <c r="T146"/>
  <c r="E301"/>
  <c r="E203"/>
  <c r="F321"/>
  <c r="P146"/>
  <c r="C146"/>
  <c r="N145"/>
  <c r="AB146"/>
  <c r="X145"/>
  <c r="J146"/>
  <c r="D108" i="1" s="1"/>
  <c r="T145" i="10"/>
  <c r="J145"/>
  <c r="D102" i="1" s="1"/>
  <c r="V146" i="10"/>
  <c r="R145"/>
  <c r="AE145"/>
  <c r="B145"/>
  <c r="D145"/>
  <c r="I145"/>
  <c r="M145"/>
  <c r="O146"/>
  <c r="Z146"/>
  <c r="AA146"/>
  <c r="D111" i="1" s="1"/>
  <c r="E146" i="10"/>
  <c r="W145"/>
  <c r="V145"/>
  <c r="X146"/>
  <c r="I146"/>
  <c r="D205"/>
  <c r="D210" s="1"/>
  <c r="E145"/>
  <c r="R146"/>
  <c r="AD146"/>
  <c r="K145"/>
  <c r="AA145"/>
  <c r="D105" i="1" s="1"/>
  <c r="L145" i="10"/>
  <c r="AB145"/>
  <c r="Y145"/>
  <c r="AD145"/>
  <c r="AC145"/>
  <c r="Z145"/>
  <c r="AE146"/>
  <c r="Q146"/>
  <c r="AC146"/>
  <c r="K146"/>
  <c r="L146"/>
  <c r="Y146"/>
  <c r="N146"/>
  <c r="G145"/>
  <c r="H145"/>
  <c r="Q145"/>
  <c r="U145"/>
  <c r="W146"/>
  <c r="M146"/>
  <c r="D146"/>
  <c r="U146"/>
  <c r="B146"/>
  <c r="G146"/>
  <c r="S146"/>
  <c r="P145"/>
  <c r="F146"/>
  <c r="F145"/>
  <c r="H146"/>
  <c r="O145"/>
  <c r="B301"/>
  <c r="B302" s="1"/>
  <c r="B309" s="1"/>
  <c r="B310" s="1"/>
  <c r="B204" s="1"/>
  <c r="E320"/>
  <c r="F320" s="1"/>
  <c r="K451"/>
  <c r="L451" s="1"/>
  <c r="E319"/>
  <c r="D319"/>
  <c r="E316"/>
  <c r="D316"/>
  <c r="D317"/>
  <c r="E317"/>
  <c r="E318"/>
  <c r="D318"/>
  <c r="B457"/>
  <c r="B323"/>
  <c r="F184"/>
  <c r="F186" s="1"/>
  <c r="E186"/>
  <c r="E187"/>
  <c r="F285"/>
  <c r="F292" s="1"/>
  <c r="F293" s="1"/>
  <c r="F203" s="1"/>
  <c r="F298"/>
  <c r="E302"/>
  <c r="E309" s="1"/>
  <c r="E310" s="1"/>
  <c r="E204" s="1"/>
  <c r="G182"/>
  <c r="G199" s="1"/>
  <c r="G201" s="1"/>
  <c r="G282"/>
  <c r="H643"/>
  <c r="H646" s="1"/>
  <c r="G749"/>
  <c r="H750" s="1"/>
  <c r="F452"/>
  <c r="F453"/>
  <c r="F455"/>
  <c r="F451"/>
  <c r="B171"/>
  <c r="G184" l="1"/>
  <c r="F318"/>
  <c r="H457"/>
  <c r="F317"/>
  <c r="B205"/>
  <c r="B210" s="1"/>
  <c r="F316"/>
  <c r="G316" s="1"/>
  <c r="G323" s="1"/>
  <c r="F319"/>
  <c r="E205"/>
  <c r="E210" s="1"/>
  <c r="G186"/>
  <c r="F187"/>
  <c r="G187"/>
  <c r="F301"/>
  <c r="F302" s="1"/>
  <c r="F309" s="1"/>
  <c r="F310" s="1"/>
  <c r="G285"/>
  <c r="G292" s="1"/>
  <c r="G293" s="1"/>
  <c r="G298"/>
  <c r="H182"/>
  <c r="H184" s="1"/>
  <c r="H282"/>
  <c r="I643"/>
  <c r="I646" s="1"/>
  <c r="H749"/>
  <c r="I750" s="1"/>
  <c r="F457"/>
  <c r="L457"/>
  <c r="H318" l="1"/>
  <c r="H320"/>
  <c r="K320" s="1"/>
  <c r="L320" s="1"/>
  <c r="H316"/>
  <c r="H317"/>
  <c r="K317" s="1"/>
  <c r="L317" s="1"/>
  <c r="H319"/>
  <c r="K319" s="1"/>
  <c r="L319" s="1"/>
  <c r="H321"/>
  <c r="K321" s="1"/>
  <c r="L321" s="1"/>
  <c r="F204"/>
  <c r="F205" s="1"/>
  <c r="F210" s="1"/>
  <c r="F213" s="1"/>
  <c r="G301"/>
  <c r="G203"/>
  <c r="F323"/>
  <c r="E213"/>
  <c r="B213"/>
  <c r="B212"/>
  <c r="C212"/>
  <c r="C213"/>
  <c r="D213"/>
  <c r="D212"/>
  <c r="K316"/>
  <c r="L316" s="1"/>
  <c r="I323"/>
  <c r="C157" s="1"/>
  <c r="C252" s="1"/>
  <c r="K318"/>
  <c r="L318" s="1"/>
  <c r="E212"/>
  <c r="G302"/>
  <c r="G309" s="1"/>
  <c r="G310" s="1"/>
  <c r="G204" s="1"/>
  <c r="C158"/>
  <c r="H199"/>
  <c r="H201" s="1"/>
  <c r="H187"/>
  <c r="H186"/>
  <c r="H285"/>
  <c r="H292" s="1"/>
  <c r="H293" s="1"/>
  <c r="H298"/>
  <c r="I182"/>
  <c r="I184" s="1"/>
  <c r="I282"/>
  <c r="F212"/>
  <c r="J643"/>
  <c r="J646" s="1"/>
  <c r="I749"/>
  <c r="J750" s="1"/>
  <c r="H301" l="1"/>
  <c r="H203"/>
  <c r="L323"/>
  <c r="H323"/>
  <c r="I454"/>
  <c r="J454" s="1"/>
  <c r="I452"/>
  <c r="J452" s="1"/>
  <c r="I451"/>
  <c r="J451" s="1"/>
  <c r="I199"/>
  <c r="I201" s="1"/>
  <c r="G205"/>
  <c r="I450"/>
  <c r="J450" s="1"/>
  <c r="N316" s="1"/>
  <c r="I455"/>
  <c r="J455" s="1"/>
  <c r="I453"/>
  <c r="J453" s="1"/>
  <c r="H302"/>
  <c r="H309" s="1"/>
  <c r="H310" s="1"/>
  <c r="I186"/>
  <c r="I187"/>
  <c r="I285"/>
  <c r="I292" s="1"/>
  <c r="I293" s="1"/>
  <c r="I298"/>
  <c r="J182"/>
  <c r="J199" s="1"/>
  <c r="J201" s="1"/>
  <c r="J282"/>
  <c r="K643"/>
  <c r="K646" s="1"/>
  <c r="J749"/>
  <c r="K750" s="1"/>
  <c r="I319"/>
  <c r="J319" s="1"/>
  <c r="I318"/>
  <c r="J318" s="1"/>
  <c r="I321"/>
  <c r="J321" s="1"/>
  <c r="I316"/>
  <c r="J316" s="1"/>
  <c r="I320"/>
  <c r="J320" s="1"/>
  <c r="I317"/>
  <c r="J317" s="1"/>
  <c r="C159"/>
  <c r="G210" l="1"/>
  <c r="G212" s="1"/>
  <c r="H204"/>
  <c r="H205" s="1"/>
  <c r="H210" s="1"/>
  <c r="I301"/>
  <c r="I302" s="1"/>
  <c r="I309" s="1"/>
  <c r="I310" s="1"/>
  <c r="I203"/>
  <c r="M320"/>
  <c r="M454"/>
  <c r="M321"/>
  <c r="M455"/>
  <c r="M317"/>
  <c r="M451"/>
  <c r="M316"/>
  <c r="O316" s="1"/>
  <c r="M450"/>
  <c r="M318"/>
  <c r="M452"/>
  <c r="M319"/>
  <c r="M453"/>
  <c r="N450"/>
  <c r="N455"/>
  <c r="N321"/>
  <c r="N451"/>
  <c r="N317"/>
  <c r="N454"/>
  <c r="N320"/>
  <c r="N453"/>
  <c r="N319"/>
  <c r="N452"/>
  <c r="N318"/>
  <c r="J184"/>
  <c r="J457"/>
  <c r="J285"/>
  <c r="J292" s="1"/>
  <c r="J293" s="1"/>
  <c r="J298"/>
  <c r="K182"/>
  <c r="K199" s="1"/>
  <c r="K201" s="1"/>
  <c r="K282"/>
  <c r="L643"/>
  <c r="L646" s="1"/>
  <c r="K749"/>
  <c r="L750" s="1"/>
  <c r="J323"/>
  <c r="G213" l="1"/>
  <c r="K184"/>
  <c r="K186" s="1"/>
  <c r="H213"/>
  <c r="H212"/>
  <c r="M323"/>
  <c r="J301"/>
  <c r="J302" s="1"/>
  <c r="J309" s="1"/>
  <c r="J310" s="1"/>
  <c r="J204" s="1"/>
  <c r="J203"/>
  <c r="I204"/>
  <c r="I205" s="1"/>
  <c r="I210" s="1"/>
  <c r="O450"/>
  <c r="P450" s="1"/>
  <c r="O318"/>
  <c r="Q318" s="1"/>
  <c r="AJ358" s="1"/>
  <c r="O320"/>
  <c r="Q320" s="1"/>
  <c r="AE360" s="1"/>
  <c r="O317"/>
  <c r="O321"/>
  <c r="Q321" s="1"/>
  <c r="AA361" s="1"/>
  <c r="O454"/>
  <c r="Q454" s="1"/>
  <c r="AL494" s="1"/>
  <c r="O452"/>
  <c r="Q452" s="1"/>
  <c r="T492" s="1"/>
  <c r="O451"/>
  <c r="O455"/>
  <c r="Q455" s="1"/>
  <c r="R495" s="1"/>
  <c r="O453"/>
  <c r="Q453" s="1"/>
  <c r="I493" s="1"/>
  <c r="O319"/>
  <c r="Q319" s="1"/>
  <c r="H359" s="1"/>
  <c r="M457"/>
  <c r="AK495"/>
  <c r="N457"/>
  <c r="I361"/>
  <c r="AI361"/>
  <c r="H361"/>
  <c r="N323"/>
  <c r="J186"/>
  <c r="D115" i="1" s="1"/>
  <c r="J187" i="10"/>
  <c r="D121" i="1" s="1"/>
  <c r="K285" i="10"/>
  <c r="K292" s="1"/>
  <c r="K293" s="1"/>
  <c r="K298"/>
  <c r="L182"/>
  <c r="L184" s="1"/>
  <c r="L282"/>
  <c r="M643"/>
  <c r="M646" s="1"/>
  <c r="L749"/>
  <c r="M750" s="1"/>
  <c r="P316"/>
  <c r="E494" l="1"/>
  <c r="H492"/>
  <c r="T493"/>
  <c r="W358"/>
  <c r="AC493"/>
  <c r="K495"/>
  <c r="K187"/>
  <c r="I360"/>
  <c r="AA360"/>
  <c r="AK360"/>
  <c r="R360"/>
  <c r="P360"/>
  <c r="Y359"/>
  <c r="AE493"/>
  <c r="AO494"/>
  <c r="AB494"/>
  <c r="F361"/>
  <c r="AA494"/>
  <c r="AH494"/>
  <c r="U493"/>
  <c r="M493"/>
  <c r="O457"/>
  <c r="M495"/>
  <c r="T359"/>
  <c r="X359"/>
  <c r="AP361"/>
  <c r="W361"/>
  <c r="X360"/>
  <c r="AP360"/>
  <c r="M360"/>
  <c r="AL360"/>
  <c r="C360"/>
  <c r="AM361"/>
  <c r="L361"/>
  <c r="K492"/>
  <c r="O492"/>
  <c r="AF359"/>
  <c r="C359"/>
  <c r="E495"/>
  <c r="G492"/>
  <c r="F492"/>
  <c r="P361"/>
  <c r="R361"/>
  <c r="Q361"/>
  <c r="AD361"/>
  <c r="T361"/>
  <c r="Z360"/>
  <c r="E360"/>
  <c r="S360"/>
  <c r="W360"/>
  <c r="L360"/>
  <c r="D360"/>
  <c r="AN360"/>
  <c r="AB360"/>
  <c r="G360"/>
  <c r="Q360"/>
  <c r="U361"/>
  <c r="AK361"/>
  <c r="E361"/>
  <c r="O323"/>
  <c r="I494"/>
  <c r="V494"/>
  <c r="AJ494"/>
  <c r="AK494"/>
  <c r="W494"/>
  <c r="N358"/>
  <c r="AD493"/>
  <c r="O493"/>
  <c r="N493"/>
  <c r="E358"/>
  <c r="AH358"/>
  <c r="X358"/>
  <c r="AK358"/>
  <c r="F493"/>
  <c r="Y494"/>
  <c r="AF494"/>
  <c r="K494"/>
  <c r="D494"/>
  <c r="F494"/>
  <c r="U494"/>
  <c r="X494"/>
  <c r="G494"/>
  <c r="AM494"/>
  <c r="AP494"/>
  <c r="W493"/>
  <c r="K493"/>
  <c r="T358"/>
  <c r="Q358"/>
  <c r="L493"/>
  <c r="Z493"/>
  <c r="AM358"/>
  <c r="AC358"/>
  <c r="L358"/>
  <c r="AG493"/>
  <c r="C493"/>
  <c r="X493"/>
  <c r="D493"/>
  <c r="I358"/>
  <c r="F358"/>
  <c r="P358"/>
  <c r="AI358"/>
  <c r="G358"/>
  <c r="P493"/>
  <c r="V493"/>
  <c r="AE358"/>
  <c r="J358"/>
  <c r="H358"/>
  <c r="AN358"/>
  <c r="AB358"/>
  <c r="I212"/>
  <c r="I213"/>
  <c r="K301"/>
  <c r="K302" s="1"/>
  <c r="K309" s="1"/>
  <c r="K310" s="1"/>
  <c r="K203"/>
  <c r="X361"/>
  <c r="Y361"/>
  <c r="V361"/>
  <c r="J361"/>
  <c r="P451"/>
  <c r="P457" s="1"/>
  <c r="C496" s="1"/>
  <c r="B496" s="1"/>
  <c r="P317"/>
  <c r="Q317" s="1"/>
  <c r="O361"/>
  <c r="Z492"/>
  <c r="AO492"/>
  <c r="AM495"/>
  <c r="AL359"/>
  <c r="AE359"/>
  <c r="AB359"/>
  <c r="O359"/>
  <c r="Q359"/>
  <c r="AL495"/>
  <c r="AP495"/>
  <c r="Y492"/>
  <c r="AF361"/>
  <c r="K361"/>
  <c r="AN361"/>
  <c r="N361"/>
  <c r="C361"/>
  <c r="AG361"/>
  <c r="AJ361"/>
  <c r="AC361"/>
  <c r="AD360"/>
  <c r="T360"/>
  <c r="U360"/>
  <c r="V360"/>
  <c r="AI360"/>
  <c r="AO360"/>
  <c r="AF360"/>
  <c r="N360"/>
  <c r="O360"/>
  <c r="F360"/>
  <c r="AJ360"/>
  <c r="AC360"/>
  <c r="J360"/>
  <c r="H360"/>
  <c r="K360"/>
  <c r="Y360"/>
  <c r="AM360"/>
  <c r="AG360"/>
  <c r="AH360"/>
  <c r="AB361"/>
  <c r="AL361"/>
  <c r="D361"/>
  <c r="AH361"/>
  <c r="AO361"/>
  <c r="G361"/>
  <c r="S361"/>
  <c r="AE361"/>
  <c r="M361"/>
  <c r="Z361"/>
  <c r="Q493"/>
  <c r="AN493"/>
  <c r="AO493"/>
  <c r="Q494"/>
  <c r="AG494"/>
  <c r="P494"/>
  <c r="R494"/>
  <c r="N494"/>
  <c r="S494"/>
  <c r="AI494"/>
  <c r="T494"/>
  <c r="Z494"/>
  <c r="C494"/>
  <c r="M494"/>
  <c r="AC494"/>
  <c r="H494"/>
  <c r="AN494"/>
  <c r="AD494"/>
  <c r="O494"/>
  <c r="AE494"/>
  <c r="L494"/>
  <c r="J494"/>
  <c r="C358"/>
  <c r="Y493"/>
  <c r="AL493"/>
  <c r="R493"/>
  <c r="AB493"/>
  <c r="E493"/>
  <c r="AK493"/>
  <c r="AH493"/>
  <c r="AA493"/>
  <c r="AJ493"/>
  <c r="AD358"/>
  <c r="Y358"/>
  <c r="AL358"/>
  <c r="AF358"/>
  <c r="O358"/>
  <c r="R358"/>
  <c r="M358"/>
  <c r="K358"/>
  <c r="AO358"/>
  <c r="AM493"/>
  <c r="H493"/>
  <c r="AI493"/>
  <c r="S358"/>
  <c r="U358"/>
  <c r="AG358"/>
  <c r="AP358"/>
  <c r="AA358"/>
  <c r="D358"/>
  <c r="Z358"/>
  <c r="V358"/>
  <c r="J493"/>
  <c r="AP493"/>
  <c r="S493"/>
  <c r="G493"/>
  <c r="AF493"/>
  <c r="G495"/>
  <c r="P492"/>
  <c r="U492"/>
  <c r="AE492"/>
  <c r="AN492"/>
  <c r="R492"/>
  <c r="D492"/>
  <c r="AD495"/>
  <c r="W359"/>
  <c r="U359"/>
  <c r="F359"/>
  <c r="K359"/>
  <c r="J359"/>
  <c r="AM359"/>
  <c r="I359"/>
  <c r="N359"/>
  <c r="E359"/>
  <c r="AA359"/>
  <c r="AJ492"/>
  <c r="C495"/>
  <c r="P495"/>
  <c r="J495"/>
  <c r="AO495"/>
  <c r="AB492"/>
  <c r="N492"/>
  <c r="C492"/>
  <c r="AG492"/>
  <c r="M492"/>
  <c r="AN495"/>
  <c r="AF492"/>
  <c r="I492"/>
  <c r="J492"/>
  <c r="AP492"/>
  <c r="AC492"/>
  <c r="X492"/>
  <c r="AA492"/>
  <c r="E492"/>
  <c r="AH492"/>
  <c r="Q492"/>
  <c r="AG495"/>
  <c r="AJ495"/>
  <c r="D495"/>
  <c r="AC359"/>
  <c r="AJ359"/>
  <c r="AG359"/>
  <c r="S359"/>
  <c r="V359"/>
  <c r="M359"/>
  <c r="AO359"/>
  <c r="R359"/>
  <c r="AK359"/>
  <c r="AN359"/>
  <c r="Z359"/>
  <c r="G359"/>
  <c r="L359"/>
  <c r="AI359"/>
  <c r="AD359"/>
  <c r="D359"/>
  <c r="P359"/>
  <c r="AH359"/>
  <c r="AP359"/>
  <c r="L492"/>
  <c r="N495"/>
  <c r="L495"/>
  <c r="F495"/>
  <c r="Y495"/>
  <c r="AF495"/>
  <c r="Q495"/>
  <c r="Z495"/>
  <c r="AE495"/>
  <c r="S492"/>
  <c r="AK492"/>
  <c r="AD492"/>
  <c r="AM492"/>
  <c r="AI492"/>
  <c r="AL492"/>
  <c r="W492"/>
  <c r="W495"/>
  <c r="AH495"/>
  <c r="V492"/>
  <c r="AC495"/>
  <c r="O495"/>
  <c r="X495"/>
  <c r="AI495"/>
  <c r="H495"/>
  <c r="U495"/>
  <c r="I495"/>
  <c r="AB495"/>
  <c r="AA495"/>
  <c r="V495"/>
  <c r="T495"/>
  <c r="S495"/>
  <c r="J205"/>
  <c r="L199"/>
  <c r="L201" s="1"/>
  <c r="L187"/>
  <c r="L186"/>
  <c r="L285"/>
  <c r="L292" s="1"/>
  <c r="L293" s="1"/>
  <c r="L298"/>
  <c r="M182"/>
  <c r="M199" s="1"/>
  <c r="M201" s="1"/>
  <c r="M282"/>
  <c r="N643"/>
  <c r="N646" s="1"/>
  <c r="M749"/>
  <c r="N750" s="1"/>
  <c r="Q316"/>
  <c r="C356" s="1"/>
  <c r="Q450"/>
  <c r="B360" l="1"/>
  <c r="J210"/>
  <c r="J213" s="1"/>
  <c r="D122" i="1" s="1"/>
  <c r="L301" i="10"/>
  <c r="L302" s="1"/>
  <c r="L309" s="1"/>
  <c r="L310" s="1"/>
  <c r="L204" s="1"/>
  <c r="L203"/>
  <c r="K204"/>
  <c r="K205" s="1"/>
  <c r="K210" s="1"/>
  <c r="Q451"/>
  <c r="AB491" s="1"/>
  <c r="M357"/>
  <c r="W357"/>
  <c r="H357"/>
  <c r="AG357"/>
  <c r="AK357"/>
  <c r="I357"/>
  <c r="P357"/>
  <c r="X357"/>
  <c r="AI357"/>
  <c r="AA357"/>
  <c r="Y357"/>
  <c r="D357"/>
  <c r="R357"/>
  <c r="O357"/>
  <c r="AB357"/>
  <c r="N357"/>
  <c r="AE357"/>
  <c r="K357"/>
  <c r="J357"/>
  <c r="AJ357"/>
  <c r="V357"/>
  <c r="AL357"/>
  <c r="U357"/>
  <c r="AP357"/>
  <c r="Q357"/>
  <c r="AH357"/>
  <c r="AD357"/>
  <c r="E357"/>
  <c r="Z357"/>
  <c r="G357"/>
  <c r="S357"/>
  <c r="F357"/>
  <c r="T357"/>
  <c r="AC357"/>
  <c r="C357"/>
  <c r="AO357"/>
  <c r="AM357"/>
  <c r="L357"/>
  <c r="AN357"/>
  <c r="AF357"/>
  <c r="P323"/>
  <c r="C362" s="1"/>
  <c r="B362" s="1"/>
  <c r="B361"/>
  <c r="B358"/>
  <c r="B359"/>
  <c r="B493"/>
  <c r="B494"/>
  <c r="B492"/>
  <c r="B495"/>
  <c r="M184"/>
  <c r="M186" s="1"/>
  <c r="M285"/>
  <c r="M292" s="1"/>
  <c r="M293" s="1"/>
  <c r="M298"/>
  <c r="N182"/>
  <c r="N184" s="1"/>
  <c r="N282"/>
  <c r="AJ356"/>
  <c r="AN356"/>
  <c r="AF356"/>
  <c r="O643"/>
  <c r="O646" s="1"/>
  <c r="N749"/>
  <c r="O750" s="1"/>
  <c r="AB356"/>
  <c r="X356"/>
  <c r="T356"/>
  <c r="P356"/>
  <c r="P363" s="1"/>
  <c r="P222" s="1"/>
  <c r="P223" s="1"/>
  <c r="P244" s="1"/>
  <c r="P245" s="1"/>
  <c r="P165" s="1"/>
  <c r="L356"/>
  <c r="H356"/>
  <c r="H363" s="1"/>
  <c r="H222" s="1"/>
  <c r="H223" s="1"/>
  <c r="H244" s="1"/>
  <c r="H245" s="1"/>
  <c r="H165" s="1"/>
  <c r="D356"/>
  <c r="AO356"/>
  <c r="AP356"/>
  <c r="AL356"/>
  <c r="AH356"/>
  <c r="AH363" s="1"/>
  <c r="AD356"/>
  <c r="AD363" s="1"/>
  <c r="AD222" s="1"/>
  <c r="AD223" s="1"/>
  <c r="AD244" s="1"/>
  <c r="AD245" s="1"/>
  <c r="AD165" s="1"/>
  <c r="Z356"/>
  <c r="V356"/>
  <c r="R356"/>
  <c r="N356"/>
  <c r="J356"/>
  <c r="F356"/>
  <c r="Q323"/>
  <c r="AK356"/>
  <c r="AM356"/>
  <c r="AI356"/>
  <c r="AG356"/>
  <c r="AE356"/>
  <c r="AC356"/>
  <c r="AA356"/>
  <c r="Y356"/>
  <c r="W356"/>
  <c r="U356"/>
  <c r="S356"/>
  <c r="S363" s="1"/>
  <c r="S222" s="1"/>
  <c r="S223" s="1"/>
  <c r="S244" s="1"/>
  <c r="S245" s="1"/>
  <c r="S165" s="1"/>
  <c r="Q356"/>
  <c r="O356"/>
  <c r="M356"/>
  <c r="K356"/>
  <c r="I356"/>
  <c r="I363" s="1"/>
  <c r="I222" s="1"/>
  <c r="I223" s="1"/>
  <c r="I244" s="1"/>
  <c r="I245" s="1"/>
  <c r="I251" s="1"/>
  <c r="G356"/>
  <c r="E356"/>
  <c r="D490"/>
  <c r="F490"/>
  <c r="H490"/>
  <c r="J490"/>
  <c r="L490"/>
  <c r="N490"/>
  <c r="P490"/>
  <c r="R490"/>
  <c r="T490"/>
  <c r="V490"/>
  <c r="X490"/>
  <c r="Z490"/>
  <c r="AB490"/>
  <c r="AD490"/>
  <c r="AF490"/>
  <c r="AH490"/>
  <c r="AJ490"/>
  <c r="AL490"/>
  <c r="AN490"/>
  <c r="AP490"/>
  <c r="C490"/>
  <c r="E490"/>
  <c r="G490"/>
  <c r="I490"/>
  <c r="K490"/>
  <c r="M490"/>
  <c r="O490"/>
  <c r="Q490"/>
  <c r="S490"/>
  <c r="U490"/>
  <c r="W490"/>
  <c r="Y490"/>
  <c r="AA490"/>
  <c r="AC490"/>
  <c r="AE490"/>
  <c r="AG490"/>
  <c r="AI490"/>
  <c r="AK490"/>
  <c r="AM490"/>
  <c r="AO490"/>
  <c r="AG363" l="1"/>
  <c r="AI363"/>
  <c r="V363"/>
  <c r="V222" s="1"/>
  <c r="V223" s="1"/>
  <c r="V244" s="1"/>
  <c r="V245" s="1"/>
  <c r="V165" s="1"/>
  <c r="D363"/>
  <c r="D222" s="1"/>
  <c r="D223" s="1"/>
  <c r="D244" s="1"/>
  <c r="D245" s="1"/>
  <c r="D251" s="1"/>
  <c r="AE363"/>
  <c r="AE222" s="1"/>
  <c r="AE223" s="1"/>
  <c r="AE244" s="1"/>
  <c r="AE245" s="1"/>
  <c r="AE251" s="1"/>
  <c r="AK363"/>
  <c r="E363"/>
  <c r="E222" s="1"/>
  <c r="E223" s="1"/>
  <c r="E244" s="1"/>
  <c r="E245" s="1"/>
  <c r="E251" s="1"/>
  <c r="AC363"/>
  <c r="AC222" s="1"/>
  <c r="AC223" s="1"/>
  <c r="AC244" s="1"/>
  <c r="AC245" s="1"/>
  <c r="AC165" s="1"/>
  <c r="AP363"/>
  <c r="L363"/>
  <c r="L222" s="1"/>
  <c r="L223" s="1"/>
  <c r="L244" s="1"/>
  <c r="L245" s="1"/>
  <c r="L165" s="1"/>
  <c r="AD251"/>
  <c r="K212"/>
  <c r="C363"/>
  <c r="K213"/>
  <c r="J212"/>
  <c r="D116" i="1" s="1"/>
  <c r="G363" i="10"/>
  <c r="G222" s="1"/>
  <c r="G223" s="1"/>
  <c r="G244" s="1"/>
  <c r="G245" s="1"/>
  <c r="G165" s="1"/>
  <c r="K363"/>
  <c r="K222" s="1"/>
  <c r="K223" s="1"/>
  <c r="K244" s="1"/>
  <c r="K245" s="1"/>
  <c r="K165" s="1"/>
  <c r="O363"/>
  <c r="O222" s="1"/>
  <c r="O223" s="1"/>
  <c r="O244" s="1"/>
  <c r="O245" s="1"/>
  <c r="O165" s="1"/>
  <c r="W363"/>
  <c r="W222" s="1"/>
  <c r="W223" s="1"/>
  <c r="W244" s="1"/>
  <c r="W245" s="1"/>
  <c r="W165" s="1"/>
  <c r="AA363"/>
  <c r="AA222" s="1"/>
  <c r="AA223" s="1"/>
  <c r="AA244" s="1"/>
  <c r="AA245" s="1"/>
  <c r="AA165" s="1"/>
  <c r="F363"/>
  <c r="F222" s="1"/>
  <c r="F223" s="1"/>
  <c r="F244" s="1"/>
  <c r="F245" s="1"/>
  <c r="F165" s="1"/>
  <c r="N363"/>
  <c r="N222" s="1"/>
  <c r="N223" s="1"/>
  <c r="N244" s="1"/>
  <c r="N245" s="1"/>
  <c r="N165" s="1"/>
  <c r="AL363"/>
  <c r="AO363"/>
  <c r="X363"/>
  <c r="X222" s="1"/>
  <c r="X223" s="1"/>
  <c r="X244" s="1"/>
  <c r="X245" s="1"/>
  <c r="X165" s="1"/>
  <c r="AF363"/>
  <c r="AF222" s="1"/>
  <c r="AJ363"/>
  <c r="B357"/>
  <c r="Q457"/>
  <c r="M363"/>
  <c r="M222" s="1"/>
  <c r="M223" s="1"/>
  <c r="M244" s="1"/>
  <c r="M245" s="1"/>
  <c r="M251" s="1"/>
  <c r="Q363"/>
  <c r="Q222" s="1"/>
  <c r="Q223" s="1"/>
  <c r="Q244" s="1"/>
  <c r="Q245" s="1"/>
  <c r="Q251" s="1"/>
  <c r="U363"/>
  <c r="U222" s="1"/>
  <c r="U223" s="1"/>
  <c r="U244" s="1"/>
  <c r="U245" s="1"/>
  <c r="U251" s="1"/>
  <c r="Y363"/>
  <c r="Y222" s="1"/>
  <c r="Y223" s="1"/>
  <c r="Y244" s="1"/>
  <c r="Y245" s="1"/>
  <c r="Y251" s="1"/>
  <c r="AM363"/>
  <c r="J363"/>
  <c r="J222" s="1"/>
  <c r="J223" s="1"/>
  <c r="J244" s="1"/>
  <c r="J245" s="1"/>
  <c r="J251" s="1"/>
  <c r="R363"/>
  <c r="R222" s="1"/>
  <c r="R223" s="1"/>
  <c r="R244" s="1"/>
  <c r="R245" s="1"/>
  <c r="R165" s="1"/>
  <c r="Z363"/>
  <c r="Z222" s="1"/>
  <c r="Z223" s="1"/>
  <c r="Z244" s="1"/>
  <c r="Z245" s="1"/>
  <c r="T363"/>
  <c r="T222" s="1"/>
  <c r="T223" s="1"/>
  <c r="T244" s="1"/>
  <c r="T245" s="1"/>
  <c r="T251" s="1"/>
  <c r="AB363"/>
  <c r="AB222" s="1"/>
  <c r="AB223" s="1"/>
  <c r="AB244" s="1"/>
  <c r="AB245" s="1"/>
  <c r="AB165" s="1"/>
  <c r="AN363"/>
  <c r="Y491"/>
  <c r="Y497" s="1"/>
  <c r="Y250" s="1"/>
  <c r="H491"/>
  <c r="H497" s="1"/>
  <c r="H250" s="1"/>
  <c r="AI491"/>
  <c r="AI497" s="1"/>
  <c r="Z491"/>
  <c r="Z497" s="1"/>
  <c r="Z250" s="1"/>
  <c r="O491"/>
  <c r="O497" s="1"/>
  <c r="O250" s="1"/>
  <c r="AJ491"/>
  <c r="AJ497" s="1"/>
  <c r="W491"/>
  <c r="W497" s="1"/>
  <c r="W250" s="1"/>
  <c r="AG491"/>
  <c r="AG497" s="1"/>
  <c r="AN491"/>
  <c r="AN497" s="1"/>
  <c r="V491"/>
  <c r="V497" s="1"/>
  <c r="V250" s="1"/>
  <c r="G491"/>
  <c r="G497" s="1"/>
  <c r="G250" s="1"/>
  <c r="J491"/>
  <c r="J497" s="1"/>
  <c r="J250" s="1"/>
  <c r="AL491"/>
  <c r="AL497" s="1"/>
  <c r="K491"/>
  <c r="K497" s="1"/>
  <c r="K250" s="1"/>
  <c r="M301"/>
  <c r="M302" s="1"/>
  <c r="M309" s="1"/>
  <c r="M310" s="1"/>
  <c r="M204" s="1"/>
  <c r="M203"/>
  <c r="AC491"/>
  <c r="AC497" s="1"/>
  <c r="AC250" s="1"/>
  <c r="T491"/>
  <c r="T497" s="1"/>
  <c r="T250" s="1"/>
  <c r="AM491"/>
  <c r="AM497" s="1"/>
  <c r="I491"/>
  <c r="I497" s="1"/>
  <c r="I250" s="1"/>
  <c r="AB497"/>
  <c r="AB250" s="1"/>
  <c r="R491"/>
  <c r="R497" s="1"/>
  <c r="R250" s="1"/>
  <c r="AH491"/>
  <c r="AH497" s="1"/>
  <c r="P491"/>
  <c r="P497" s="1"/>
  <c r="P250" s="1"/>
  <c r="D491"/>
  <c r="D497" s="1"/>
  <c r="D250" s="1"/>
  <c r="D254" s="1"/>
  <c r="D275" s="1"/>
  <c r="D276" s="1"/>
  <c r="D166" s="1"/>
  <c r="AO491"/>
  <c r="AO497" s="1"/>
  <c r="E491"/>
  <c r="E497" s="1"/>
  <c r="E250" s="1"/>
  <c r="C491"/>
  <c r="C497" s="1"/>
  <c r="M491"/>
  <c r="M497" s="1"/>
  <c r="M250" s="1"/>
  <c r="AD491"/>
  <c r="AD497" s="1"/>
  <c r="AD250" s="1"/>
  <c r="L491"/>
  <c r="L497" s="1"/>
  <c r="L250" s="1"/>
  <c r="AA491"/>
  <c r="AA497" s="1"/>
  <c r="AA250" s="1"/>
  <c r="AP491"/>
  <c r="AP497" s="1"/>
  <c r="X491"/>
  <c r="X497" s="1"/>
  <c r="X250" s="1"/>
  <c r="F491"/>
  <c r="F497" s="1"/>
  <c r="F250" s="1"/>
  <c r="S491"/>
  <c r="S497" s="1"/>
  <c r="S250" s="1"/>
  <c r="U491"/>
  <c r="U497" s="1"/>
  <c r="U250" s="1"/>
  <c r="Q491"/>
  <c r="Q497" s="1"/>
  <c r="Q250" s="1"/>
  <c r="AF491"/>
  <c r="AF497" s="1"/>
  <c r="AF250" s="1"/>
  <c r="N491"/>
  <c r="N497" s="1"/>
  <c r="N250" s="1"/>
  <c r="AE491"/>
  <c r="AE497" s="1"/>
  <c r="AE250" s="1"/>
  <c r="AK491"/>
  <c r="AK497" s="1"/>
  <c r="L205"/>
  <c r="L210" s="1"/>
  <c r="L213" s="1"/>
  <c r="D165"/>
  <c r="I165"/>
  <c r="L251"/>
  <c r="H251"/>
  <c r="P251"/>
  <c r="AE165"/>
  <c r="M187"/>
  <c r="N199"/>
  <c r="N201" s="1"/>
  <c r="N187"/>
  <c r="N186"/>
  <c r="N285"/>
  <c r="N292" s="1"/>
  <c r="N293" s="1"/>
  <c r="N298"/>
  <c r="O182"/>
  <c r="O199" s="1"/>
  <c r="O201" s="1"/>
  <c r="O282"/>
  <c r="P643"/>
  <c r="P646" s="1"/>
  <c r="O749"/>
  <c r="P750" s="1"/>
  <c r="B356"/>
  <c r="S251"/>
  <c r="B490"/>
  <c r="C222"/>
  <c r="C223" s="1"/>
  <c r="C244" s="1"/>
  <c r="C245" s="1"/>
  <c r="V251" l="1"/>
  <c r="V254" s="1"/>
  <c r="V275" s="1"/>
  <c r="V276" s="1"/>
  <c r="V166" s="1"/>
  <c r="V167" s="1"/>
  <c r="V168" s="1"/>
  <c r="AC251"/>
  <c r="N251"/>
  <c r="N254" s="1"/>
  <c r="N275" s="1"/>
  <c r="N276" s="1"/>
  <c r="N166" s="1"/>
  <c r="N167" s="1"/>
  <c r="N168" s="1"/>
  <c r="E165"/>
  <c r="G251"/>
  <c r="G254" s="1"/>
  <c r="G275" s="1"/>
  <c r="G276" s="1"/>
  <c r="G166" s="1"/>
  <c r="G167" s="1"/>
  <c r="G168" s="1"/>
  <c r="O251"/>
  <c r="O254" s="1"/>
  <c r="O275" s="1"/>
  <c r="O276" s="1"/>
  <c r="O166" s="1"/>
  <c r="O167" s="1"/>
  <c r="O168" s="1"/>
  <c r="W251"/>
  <c r="W254" s="1"/>
  <c r="W275" s="1"/>
  <c r="W276" s="1"/>
  <c r="W166" s="1"/>
  <c r="W167" s="1"/>
  <c r="W168" s="1"/>
  <c r="U254"/>
  <c r="U275" s="1"/>
  <c r="U276" s="1"/>
  <c r="U166" s="1"/>
  <c r="M254"/>
  <c r="M275" s="1"/>
  <c r="M276" s="1"/>
  <c r="M166" s="1"/>
  <c r="X251"/>
  <c r="X254" s="1"/>
  <c r="X275" s="1"/>
  <c r="X276" s="1"/>
  <c r="X166" s="1"/>
  <c r="X167" s="1"/>
  <c r="X168" s="1"/>
  <c r="Q165"/>
  <c r="K251"/>
  <c r="K254" s="1"/>
  <c r="K275" s="1"/>
  <c r="K276" s="1"/>
  <c r="K166" s="1"/>
  <c r="K167" s="1"/>
  <c r="K168" s="1"/>
  <c r="F251"/>
  <c r="J165"/>
  <c r="Y165"/>
  <c r="L212"/>
  <c r="AB251"/>
  <c r="AB254" s="1"/>
  <c r="AB275" s="1"/>
  <c r="AB276" s="1"/>
  <c r="AB166" s="1"/>
  <c r="AB167" s="1"/>
  <c r="AB168" s="1"/>
  <c r="AE254"/>
  <c r="AE275" s="1"/>
  <c r="AE276" s="1"/>
  <c r="AE166" s="1"/>
  <c r="AE167" s="1"/>
  <c r="AE168" s="1"/>
  <c r="E254"/>
  <c r="E275" s="1"/>
  <c r="E276" s="1"/>
  <c r="E166" s="1"/>
  <c r="Y254"/>
  <c r="Y275" s="1"/>
  <c r="Y276" s="1"/>
  <c r="Y166" s="1"/>
  <c r="F254"/>
  <c r="F275" s="1"/>
  <c r="F276" s="1"/>
  <c r="F166" s="1"/>
  <c r="F167" s="1"/>
  <c r="F168" s="1"/>
  <c r="L254"/>
  <c r="L275" s="1"/>
  <c r="L276" s="1"/>
  <c r="L166" s="1"/>
  <c r="L167" s="1"/>
  <c r="L168" s="1"/>
  <c r="AC254"/>
  <c r="AC275" s="1"/>
  <c r="AC276" s="1"/>
  <c r="AC166" s="1"/>
  <c r="AC167" s="1"/>
  <c r="AC168" s="1"/>
  <c r="Q254"/>
  <c r="Q275" s="1"/>
  <c r="Q276" s="1"/>
  <c r="Q166" s="1"/>
  <c r="AD254"/>
  <c r="AD275" s="1"/>
  <c r="AD276" s="1"/>
  <c r="AD166" s="1"/>
  <c r="AD167" s="1"/>
  <c r="AD168" s="1"/>
  <c r="I254"/>
  <c r="I275" s="1"/>
  <c r="I276" s="1"/>
  <c r="I166" s="1"/>
  <c r="I167" s="1"/>
  <c r="I168" s="1"/>
  <c r="T254"/>
  <c r="T275" s="1"/>
  <c r="T276" s="1"/>
  <c r="T166" s="1"/>
  <c r="J254"/>
  <c r="J275" s="1"/>
  <c r="J276" s="1"/>
  <c r="J166" s="1"/>
  <c r="S254"/>
  <c r="S275" s="1"/>
  <c r="S276" s="1"/>
  <c r="S166" s="1"/>
  <c r="S167" s="1"/>
  <c r="S168" s="1"/>
  <c r="P254"/>
  <c r="P275" s="1"/>
  <c r="P276" s="1"/>
  <c r="P166" s="1"/>
  <c r="P167" s="1"/>
  <c r="P168" s="1"/>
  <c r="H254"/>
  <c r="H275" s="1"/>
  <c r="H276" s="1"/>
  <c r="H166" s="1"/>
  <c r="H167" s="1"/>
  <c r="H168" s="1"/>
  <c r="AA251"/>
  <c r="AA254" s="1"/>
  <c r="AA275" s="1"/>
  <c r="AA276" s="1"/>
  <c r="AA166" s="1"/>
  <c r="AA167" s="1"/>
  <c r="AA168" s="1"/>
  <c r="D167"/>
  <c r="D168" s="1"/>
  <c r="U165"/>
  <c r="T165"/>
  <c r="Z165"/>
  <c r="Z251"/>
  <c r="B363"/>
  <c r="M165"/>
  <c r="R251"/>
  <c r="N301"/>
  <c r="N302" s="1"/>
  <c r="N309" s="1"/>
  <c r="N310" s="1"/>
  <c r="N203"/>
  <c r="B491"/>
  <c r="M205"/>
  <c r="O184"/>
  <c r="O186" s="1"/>
  <c r="O285"/>
  <c r="O292" s="1"/>
  <c r="O293" s="1"/>
  <c r="O203" s="1"/>
  <c r="O298"/>
  <c r="P182"/>
  <c r="P199" s="1"/>
  <c r="P201" s="1"/>
  <c r="P282"/>
  <c r="Q643"/>
  <c r="Q646" s="1"/>
  <c r="P749"/>
  <c r="Q750" s="1"/>
  <c r="C251"/>
  <c r="C165"/>
  <c r="B497"/>
  <c r="C250"/>
  <c r="E167" l="1"/>
  <c r="E168" s="1"/>
  <c r="J167"/>
  <c r="J168" s="1"/>
  <c r="M167"/>
  <c r="M168" s="1"/>
  <c r="Q167"/>
  <c r="Q168" s="1"/>
  <c r="Y167"/>
  <c r="Y168" s="1"/>
  <c r="C254"/>
  <c r="C275" s="1"/>
  <c r="C276" s="1"/>
  <c r="C166" s="1"/>
  <c r="C167" s="1"/>
  <c r="C168" s="1"/>
  <c r="T167"/>
  <c r="T168" s="1"/>
  <c r="R254"/>
  <c r="R275" s="1"/>
  <c r="R276" s="1"/>
  <c r="R166" s="1"/>
  <c r="R167" s="1"/>
  <c r="R168" s="1"/>
  <c r="Z254"/>
  <c r="Z275" s="1"/>
  <c r="Z276" s="1"/>
  <c r="Z166" s="1"/>
  <c r="Z167" s="1"/>
  <c r="Z168" s="1"/>
  <c r="U167"/>
  <c r="U168" s="1"/>
  <c r="M210"/>
  <c r="M213" s="1"/>
  <c r="O187"/>
  <c r="N204"/>
  <c r="N205" s="1"/>
  <c r="N210" s="1"/>
  <c r="P184"/>
  <c r="P186" s="1"/>
  <c r="O301"/>
  <c r="O302" s="1"/>
  <c r="O309" s="1"/>
  <c r="O310" s="1"/>
  <c r="P285"/>
  <c r="P292" s="1"/>
  <c r="P293" s="1"/>
  <c r="P203" s="1"/>
  <c r="P298"/>
  <c r="Q182"/>
  <c r="Q199" s="1"/>
  <c r="Q201" s="1"/>
  <c r="Q282"/>
  <c r="Q184"/>
  <c r="R643"/>
  <c r="R646" s="1"/>
  <c r="Q749"/>
  <c r="R750" s="1"/>
  <c r="M212" l="1"/>
  <c r="N213"/>
  <c r="N212"/>
  <c r="O204"/>
  <c r="O205" s="1"/>
  <c r="O210" s="1"/>
  <c r="Q186"/>
  <c r="P187"/>
  <c r="Q187"/>
  <c r="P301"/>
  <c r="P302" s="1"/>
  <c r="P309" s="1"/>
  <c r="P310" s="1"/>
  <c r="P204" s="1"/>
  <c r="P205" s="1"/>
  <c r="P210" s="1"/>
  <c r="Q285"/>
  <c r="Q292" s="1"/>
  <c r="Q293" s="1"/>
  <c r="Q203" s="1"/>
  <c r="Q298"/>
  <c r="R182"/>
  <c r="R199" s="1"/>
  <c r="R201" s="1"/>
  <c r="R282"/>
  <c r="S643"/>
  <c r="S646" s="1"/>
  <c r="R749"/>
  <c r="S750" s="1"/>
  <c r="C170"/>
  <c r="K170"/>
  <c r="S170"/>
  <c r="AA170"/>
  <c r="D106" i="1" s="1"/>
  <c r="J170" i="10"/>
  <c r="D103" i="1" s="1"/>
  <c r="R170" i="10"/>
  <c r="Z170"/>
  <c r="M170"/>
  <c r="AC170"/>
  <c r="L170"/>
  <c r="AB170"/>
  <c r="Q170"/>
  <c r="H170"/>
  <c r="X170"/>
  <c r="O172"/>
  <c r="AE172"/>
  <c r="P172"/>
  <c r="Q172"/>
  <c r="Z172"/>
  <c r="C172"/>
  <c r="S172"/>
  <c r="D172"/>
  <c r="T172"/>
  <c r="I172"/>
  <c r="R172"/>
  <c r="U172"/>
  <c r="AD172"/>
  <c r="F172"/>
  <c r="G170"/>
  <c r="O170"/>
  <c r="W170"/>
  <c r="AE170"/>
  <c r="F170"/>
  <c r="N170"/>
  <c r="V170"/>
  <c r="D82" i="1" s="1"/>
  <c r="AD170" i="10"/>
  <c r="E170"/>
  <c r="U170"/>
  <c r="D170"/>
  <c r="T170"/>
  <c r="I170"/>
  <c r="Y170"/>
  <c r="P170"/>
  <c r="G172"/>
  <c r="W172"/>
  <c r="H172"/>
  <c r="X172"/>
  <c r="J172"/>
  <c r="D109" i="1" s="1"/>
  <c r="AC172" i="10"/>
  <c r="K172"/>
  <c r="AA172"/>
  <c r="D112" i="1" s="1"/>
  <c r="L172" i="10"/>
  <c r="AB172"/>
  <c r="Y172"/>
  <c r="E172"/>
  <c r="N172"/>
  <c r="M172"/>
  <c r="V172"/>
  <c r="R184" l="1"/>
  <c r="R186" s="1"/>
  <c r="Q301"/>
  <c r="O212"/>
  <c r="O213"/>
  <c r="R187"/>
  <c r="Q302"/>
  <c r="Q309" s="1"/>
  <c r="Q310" s="1"/>
  <c r="R285"/>
  <c r="R292" s="1"/>
  <c r="R293" s="1"/>
  <c r="R203" s="1"/>
  <c r="R298"/>
  <c r="S182"/>
  <c r="S199" s="1"/>
  <c r="S201" s="1"/>
  <c r="S282"/>
  <c r="P213"/>
  <c r="P212"/>
  <c r="S184"/>
  <c r="S186" s="1"/>
  <c r="T643"/>
  <c r="T646" s="1"/>
  <c r="S749"/>
  <c r="T750" s="1"/>
  <c r="U171"/>
  <c r="N171"/>
  <c r="AD171"/>
  <c r="H171"/>
  <c r="AE171"/>
  <c r="F171"/>
  <c r="K171"/>
  <c r="O171"/>
  <c r="S171"/>
  <c r="W171"/>
  <c r="AA171"/>
  <c r="C171"/>
  <c r="G171"/>
  <c r="L171"/>
  <c r="P171"/>
  <c r="T171"/>
  <c r="X171"/>
  <c r="AB171"/>
  <c r="D171"/>
  <c r="I171"/>
  <c r="M171"/>
  <c r="Q171"/>
  <c r="Y171"/>
  <c r="AC171"/>
  <c r="E171"/>
  <c r="J171"/>
  <c r="R171"/>
  <c r="V171"/>
  <c r="W174" s="1"/>
  <c r="Z171"/>
  <c r="S174" l="1"/>
  <c r="AA174"/>
  <c r="Q204"/>
  <c r="Q205" s="1"/>
  <c r="Q210" s="1"/>
  <c r="S187"/>
  <c r="R301"/>
  <c r="R302" s="1"/>
  <c r="R309" s="1"/>
  <c r="R310" s="1"/>
  <c r="S285"/>
  <c r="S292" s="1"/>
  <c r="S293" s="1"/>
  <c r="S203" s="1"/>
  <c r="S298"/>
  <c r="T182"/>
  <c r="T199" s="1"/>
  <c r="T201" s="1"/>
  <c r="T282"/>
  <c r="U643"/>
  <c r="U646" s="1"/>
  <c r="T749"/>
  <c r="U750" s="1"/>
  <c r="F174"/>
  <c r="N174"/>
  <c r="H174"/>
  <c r="K174"/>
  <c r="AD174"/>
  <c r="U174"/>
  <c r="Z174"/>
  <c r="E174"/>
  <c r="Y174"/>
  <c r="Q174"/>
  <c r="AB174"/>
  <c r="T174"/>
  <c r="L174"/>
  <c r="AE174"/>
  <c r="V174"/>
  <c r="D174"/>
  <c r="C174"/>
  <c r="R174"/>
  <c r="J174"/>
  <c r="AC174"/>
  <c r="M174"/>
  <c r="X174"/>
  <c r="P174"/>
  <c r="G174"/>
  <c r="I174"/>
  <c r="O174"/>
  <c r="S301" l="1"/>
  <c r="S302" s="1"/>
  <c r="S309" s="1"/>
  <c r="S310" s="1"/>
  <c r="Q212"/>
  <c r="Q213"/>
  <c r="R204"/>
  <c r="R205" s="1"/>
  <c r="T184"/>
  <c r="T186" s="1"/>
  <c r="T285"/>
  <c r="T292" s="1"/>
  <c r="T293" s="1"/>
  <c r="T298"/>
  <c r="U182"/>
  <c r="U184" s="1"/>
  <c r="U282"/>
  <c r="V643"/>
  <c r="V646" s="1"/>
  <c r="U749"/>
  <c r="V750" s="1"/>
  <c r="T187" l="1"/>
  <c r="R210"/>
  <c r="R213" s="1"/>
  <c r="T301"/>
  <c r="T203"/>
  <c r="S204"/>
  <c r="S205" s="1"/>
  <c r="S210" s="1"/>
  <c r="U199"/>
  <c r="U201" s="1"/>
  <c r="T302"/>
  <c r="T309" s="1"/>
  <c r="T310" s="1"/>
  <c r="T204" s="1"/>
  <c r="U186"/>
  <c r="U187"/>
  <c r="U285"/>
  <c r="U292" s="1"/>
  <c r="U293" s="1"/>
  <c r="U203" s="1"/>
  <c r="U298"/>
  <c r="V182"/>
  <c r="V199" s="1"/>
  <c r="V201" s="1"/>
  <c r="V282"/>
  <c r="W643"/>
  <c r="W646" s="1"/>
  <c r="V749"/>
  <c r="W750" s="1"/>
  <c r="R212" l="1"/>
  <c r="T205"/>
  <c r="T210" s="1"/>
  <c r="T213" s="1"/>
  <c r="S212"/>
  <c r="S213"/>
  <c r="V184"/>
  <c r="U301"/>
  <c r="U302" s="1"/>
  <c r="U309" s="1"/>
  <c r="U310" s="1"/>
  <c r="V285"/>
  <c r="V292" s="1"/>
  <c r="V293" s="1"/>
  <c r="V203" s="1"/>
  <c r="V298"/>
  <c r="W182"/>
  <c r="W199" s="1"/>
  <c r="W201" s="1"/>
  <c r="W282"/>
  <c r="X643"/>
  <c r="X646" s="1"/>
  <c r="W749"/>
  <c r="X750" s="1"/>
  <c r="T212" l="1"/>
  <c r="W184"/>
  <c r="W186" s="1"/>
  <c r="U204"/>
  <c r="U205" s="1"/>
  <c r="U210" s="1"/>
  <c r="V186"/>
  <c r="V187"/>
  <c r="V301"/>
  <c r="V302" s="1"/>
  <c r="V309" s="1"/>
  <c r="V310" s="1"/>
  <c r="W285"/>
  <c r="W292" s="1"/>
  <c r="W293" s="1"/>
  <c r="W203" s="1"/>
  <c r="W298"/>
  <c r="X182"/>
  <c r="X184" s="1"/>
  <c r="X282"/>
  <c r="Y643"/>
  <c r="Y646" s="1"/>
  <c r="X749"/>
  <c r="Y750" s="1"/>
  <c r="W187" l="1"/>
  <c r="W301"/>
  <c r="U213"/>
  <c r="U212"/>
  <c r="V204"/>
  <c r="V205" s="1"/>
  <c r="V210" s="1"/>
  <c r="W302"/>
  <c r="W309" s="1"/>
  <c r="W310" s="1"/>
  <c r="W204" s="1"/>
  <c r="W205" s="1"/>
  <c r="W210" s="1"/>
  <c r="X199"/>
  <c r="X201" s="1"/>
  <c r="X187"/>
  <c r="X186"/>
  <c r="X285"/>
  <c r="X292" s="1"/>
  <c r="X293" s="1"/>
  <c r="X298"/>
  <c r="Y182"/>
  <c r="Y199" s="1"/>
  <c r="Y201" s="1"/>
  <c r="Y282"/>
  <c r="Z643"/>
  <c r="Z646" s="1"/>
  <c r="Y749"/>
  <c r="Z750" s="1"/>
  <c r="V212" l="1"/>
  <c r="V213"/>
  <c r="X301"/>
  <c r="X302" s="1"/>
  <c r="X309" s="1"/>
  <c r="X310" s="1"/>
  <c r="X204" s="1"/>
  <c r="X203"/>
  <c r="Y184"/>
  <c r="Y186" s="1"/>
  <c r="Y285"/>
  <c r="Y292" s="1"/>
  <c r="Y293" s="1"/>
  <c r="Y203" s="1"/>
  <c r="Y298"/>
  <c r="W212"/>
  <c r="W213"/>
  <c r="Z182"/>
  <c r="Z199" s="1"/>
  <c r="Z201" s="1"/>
  <c r="Z282"/>
  <c r="Z184"/>
  <c r="AA643"/>
  <c r="AA646" s="1"/>
  <c r="Z749"/>
  <c r="AA750" s="1"/>
  <c r="Y301" l="1"/>
  <c r="Y187"/>
  <c r="X205"/>
  <c r="Z186"/>
  <c r="Y302"/>
  <c r="Y309" s="1"/>
  <c r="Y310" s="1"/>
  <c r="Z187"/>
  <c r="Z285"/>
  <c r="Z292" s="1"/>
  <c r="Z293" s="1"/>
  <c r="Z203" s="1"/>
  <c r="Z298"/>
  <c r="AA182"/>
  <c r="AA199" s="1"/>
  <c r="AA201" s="1"/>
  <c r="AA282"/>
  <c r="AB643"/>
  <c r="AB646" s="1"/>
  <c r="AA749"/>
  <c r="AB750" s="1"/>
  <c r="X210" l="1"/>
  <c r="X212" s="1"/>
  <c r="Y204"/>
  <c r="Y205" s="1"/>
  <c r="Y210" s="1"/>
  <c r="Z301"/>
  <c r="Z302" s="1"/>
  <c r="Z309" s="1"/>
  <c r="Z310" s="1"/>
  <c r="AA184"/>
  <c r="AA186" s="1"/>
  <c r="D118" i="1" s="1"/>
  <c r="AA285" i="10"/>
  <c r="AA292" s="1"/>
  <c r="AA293" s="1"/>
  <c r="AA203" s="1"/>
  <c r="AA298"/>
  <c r="AB182"/>
  <c r="AB199" s="1"/>
  <c r="AB201" s="1"/>
  <c r="AB282"/>
  <c r="AC643"/>
  <c r="AC646" s="1"/>
  <c r="AB749"/>
  <c r="AC750" s="1"/>
  <c r="AB184" l="1"/>
  <c r="X213"/>
  <c r="AB186"/>
  <c r="Y213"/>
  <c r="Y212"/>
  <c r="Z204"/>
  <c r="Z205" s="1"/>
  <c r="Z210" s="1"/>
  <c r="AA187"/>
  <c r="D124" i="1" s="1"/>
  <c r="AB187" i="10"/>
  <c r="AA301"/>
  <c r="AA302" s="1"/>
  <c r="AA309" s="1"/>
  <c r="AA310" s="1"/>
  <c r="AB285"/>
  <c r="AB292" s="1"/>
  <c r="AB293" s="1"/>
  <c r="AB203" s="1"/>
  <c r="AB298"/>
  <c r="AC182"/>
  <c r="AC199" s="1"/>
  <c r="AC201" s="1"/>
  <c r="AC282"/>
  <c r="AD643"/>
  <c r="AD646" s="1"/>
  <c r="AC749"/>
  <c r="AD750" s="1"/>
  <c r="AC184" l="1"/>
  <c r="AC186" s="1"/>
  <c r="Z212"/>
  <c r="Z213"/>
  <c r="AA204"/>
  <c r="AA205" s="1"/>
  <c r="AB301"/>
  <c r="AB302" s="1"/>
  <c r="AB309" s="1"/>
  <c r="AB310" s="1"/>
  <c r="AB204" s="1"/>
  <c r="AC187"/>
  <c r="AB205"/>
  <c r="AC285"/>
  <c r="AC292" s="1"/>
  <c r="AC293" s="1"/>
  <c r="AC298"/>
  <c r="AD182"/>
  <c r="AD199" s="1"/>
  <c r="AD201" s="1"/>
  <c r="AD282"/>
  <c r="AE643"/>
  <c r="AE646" s="1"/>
  <c r="AD749"/>
  <c r="AE750" s="1"/>
  <c r="AD184" l="1"/>
  <c r="AD186" s="1"/>
  <c r="AA210"/>
  <c r="AA212" s="1"/>
  <c r="D119" i="1" s="1"/>
  <c r="AB210" i="10"/>
  <c r="AA213"/>
  <c r="D125" i="1" s="1"/>
  <c r="AC301" i="10"/>
  <c r="AC302" s="1"/>
  <c r="AC309" s="1"/>
  <c r="AC310" s="1"/>
  <c r="AC204" s="1"/>
  <c r="AC203"/>
  <c r="AD187"/>
  <c r="AD285"/>
  <c r="AD292" s="1"/>
  <c r="AD293" s="1"/>
  <c r="AD298"/>
  <c r="AE182"/>
  <c r="AE199" s="1"/>
  <c r="AE201" s="1"/>
  <c r="AE282"/>
  <c r="AF643"/>
  <c r="AE749"/>
  <c r="AF750" s="1"/>
  <c r="AE184" l="1"/>
  <c r="AE186" s="1"/>
  <c r="AB212"/>
  <c r="AB213"/>
  <c r="AD301"/>
  <c r="AD302" s="1"/>
  <c r="AD309" s="1"/>
  <c r="AD310" s="1"/>
  <c r="AD204" s="1"/>
  <c r="AD203"/>
  <c r="AC205"/>
  <c r="AE187"/>
  <c r="AE285"/>
  <c r="AE292" s="1"/>
  <c r="AE293" s="1"/>
  <c r="AE203" s="1"/>
  <c r="AE298"/>
  <c r="AF182"/>
  <c r="AF199" s="1"/>
  <c r="AF282"/>
  <c r="AF298" s="1"/>
  <c r="AF645"/>
  <c r="AF75" s="1"/>
  <c r="AC210" l="1"/>
  <c r="AC213" s="1"/>
  <c r="AD205"/>
  <c r="AE301"/>
  <c r="AE302" s="1"/>
  <c r="AE309" s="1"/>
  <c r="AE310" s="1"/>
  <c r="AF181"/>
  <c r="AF59"/>
  <c r="AF63" s="1"/>
  <c r="AF69" s="1"/>
  <c r="AF74" s="1"/>
  <c r="AF646"/>
  <c r="AC212" l="1"/>
  <c r="AD210"/>
  <c r="AE204"/>
  <c r="AE205" s="1"/>
  <c r="AE210" s="1"/>
  <c r="AF76"/>
  <c r="AF80" s="1"/>
  <c r="AF81" s="1"/>
  <c r="AF95" s="1"/>
  <c r="AF184"/>
  <c r="AF198"/>
  <c r="AF201" s="1"/>
  <c r="AG643"/>
  <c r="AG646" s="1"/>
  <c r="AF749"/>
  <c r="AD213" l="1"/>
  <c r="AD212"/>
  <c r="AE212"/>
  <c r="AE213"/>
  <c r="AF220"/>
  <c r="AF223" s="1"/>
  <c r="AF244" s="1"/>
  <c r="AF245" s="1"/>
  <c r="AF284"/>
  <c r="AF285" s="1"/>
  <c r="AF292" s="1"/>
  <c r="AF293" s="1"/>
  <c r="AF203" s="1"/>
  <c r="AF142"/>
  <c r="AF154" s="1"/>
  <c r="AF155" s="1"/>
  <c r="AH643"/>
  <c r="AH646" s="1"/>
  <c r="AG749"/>
  <c r="AF187"/>
  <c r="AP186"/>
  <c r="B189"/>
  <c r="AP187"/>
  <c r="AN186"/>
  <c r="AL186"/>
  <c r="AK186"/>
  <c r="AH186"/>
  <c r="AM187"/>
  <c r="AK187"/>
  <c r="AI187"/>
  <c r="AI186"/>
  <c r="AG187"/>
  <c r="B190"/>
  <c r="AO187"/>
  <c r="AO186"/>
  <c r="AM186"/>
  <c r="AJ186"/>
  <c r="AN187"/>
  <c r="AL187"/>
  <c r="AJ187"/>
  <c r="AG186"/>
  <c r="AH187"/>
  <c r="AF186"/>
  <c r="AF300"/>
  <c r="AF248" l="1"/>
  <c r="AF143"/>
  <c r="AH145" s="1"/>
  <c r="AI643"/>
  <c r="AI646" s="1"/>
  <c r="AH749"/>
  <c r="AF301"/>
  <c r="AF302" s="1"/>
  <c r="AF309" s="1"/>
  <c r="AF310" s="1"/>
  <c r="AF204" s="1"/>
  <c r="AF165"/>
  <c r="AF251"/>
  <c r="AF254" s="1"/>
  <c r="AF146" l="1"/>
  <c r="AM145"/>
  <c r="AF275"/>
  <c r="AF276" s="1"/>
  <c r="AF166" s="1"/>
  <c r="AF167" s="1"/>
  <c r="AF168" s="1"/>
  <c r="AP172" s="1"/>
  <c r="AK145"/>
  <c r="AO145"/>
  <c r="AN145"/>
  <c r="AL145"/>
  <c r="AM146"/>
  <c r="AI145"/>
  <c r="AP146"/>
  <c r="AN146"/>
  <c r="AH146"/>
  <c r="AP145"/>
  <c r="AK146"/>
  <c r="AG146"/>
  <c r="AG145"/>
  <c r="AF145"/>
  <c r="AL146"/>
  <c r="AJ146"/>
  <c r="AO146"/>
  <c r="AJ145"/>
  <c r="AI146"/>
  <c r="AJ643"/>
  <c r="AJ646" s="1"/>
  <c r="AI749"/>
  <c r="AF205"/>
  <c r="AF210" s="1"/>
  <c r="AH170" l="1"/>
  <c r="AL170"/>
  <c r="AH172"/>
  <c r="AJ172"/>
  <c r="AJ170"/>
  <c r="AP170"/>
  <c r="AF172"/>
  <c r="AM170"/>
  <c r="AG170"/>
  <c r="AO170"/>
  <c r="AM172"/>
  <c r="AK170"/>
  <c r="AN172"/>
  <c r="AN170"/>
  <c r="AK172"/>
  <c r="AI170"/>
  <c r="AL172"/>
  <c r="AO172"/>
  <c r="AF170"/>
  <c r="AI172"/>
  <c r="AG172"/>
  <c r="AK213"/>
  <c r="AG212"/>
  <c r="AK212"/>
  <c r="AG213"/>
  <c r="AF212"/>
  <c r="AN213"/>
  <c r="AJ212"/>
  <c r="AO212"/>
  <c r="AI212"/>
  <c r="AP213"/>
  <c r="AL213"/>
  <c r="AF213"/>
  <c r="AN212"/>
  <c r="AO213"/>
  <c r="AJ213"/>
  <c r="AH212"/>
  <c r="AH213"/>
  <c r="AM212"/>
  <c r="AP212"/>
  <c r="B215"/>
  <c r="B216"/>
  <c r="AL212"/>
  <c r="AM213"/>
  <c r="AI213"/>
  <c r="AK643"/>
  <c r="AK646" s="1"/>
  <c r="AJ749"/>
  <c r="AH171" l="1"/>
  <c r="AF171"/>
  <c r="AG171"/>
  <c r="AM171"/>
  <c r="AO171"/>
  <c r="AP171"/>
  <c r="AI171"/>
  <c r="AK171"/>
  <c r="AN171"/>
  <c r="AO174" s="1"/>
  <c r="AJ171"/>
  <c r="AK174" s="1"/>
  <c r="AL171"/>
  <c r="AL643"/>
  <c r="AL646" s="1"/>
  <c r="AK749"/>
  <c r="AI174" l="1"/>
  <c r="AH174"/>
  <c r="AG174"/>
  <c r="AF174"/>
  <c r="AJ174"/>
  <c r="AM174"/>
  <c r="AP174"/>
  <c r="AN174"/>
  <c r="AL174"/>
  <c r="AM643"/>
  <c r="AM646" s="1"/>
  <c r="AL749"/>
  <c r="B174" l="1"/>
  <c r="D81" i="1" s="1"/>
  <c r="AN643" i="10"/>
  <c r="AN646" s="1"/>
  <c r="AM749"/>
  <c r="AO643" l="1"/>
  <c r="AO646" s="1"/>
  <c r="AN749"/>
  <c r="AP643" l="1"/>
  <c r="AP646" s="1"/>
  <c r="AP749" s="1"/>
  <c r="AO749"/>
</calcChain>
</file>

<file path=xl/comments1.xml><?xml version="1.0" encoding="utf-8"?>
<comments xmlns="http://schemas.openxmlformats.org/spreadsheetml/2006/main">
  <authors>
    <author>Matt Karcher</author>
  </authors>
  <commentList>
    <comment ref="A12" authorId="0">
      <text>
        <r>
          <rPr>
            <b/>
            <sz val="9"/>
            <color indexed="81"/>
            <rFont val="Tahoma"/>
            <family val="2"/>
          </rPr>
          <t>DHF Team:</t>
        </r>
        <r>
          <rPr>
            <sz val="9"/>
            <color indexed="81"/>
            <rFont val="Tahoma"/>
            <family val="2"/>
          </rPr>
          <t xml:space="preserve">
These costs will vary with project size.  Making the inputs hard numbers, instead of a % of hard costs, means the user will have to update the costs when project size is changed. </t>
        </r>
      </text>
    </comment>
    <comment ref="M47" authorId="0">
      <text>
        <r>
          <rPr>
            <sz val="9"/>
            <color indexed="81"/>
            <rFont val="Tahoma"/>
            <family val="2"/>
          </rPr>
          <t xml:space="preserve">Note, used in the Leveraged Partnership Flip and Single Owner structures only.
</t>
        </r>
      </text>
    </comment>
    <comment ref="A65" authorId="0">
      <text>
        <r>
          <rPr>
            <b/>
            <sz val="9"/>
            <color indexed="81"/>
            <rFont val="Tahoma"/>
            <family val="2"/>
          </rPr>
          <t>DHF:</t>
        </r>
        <r>
          <rPr>
            <sz val="9"/>
            <color indexed="81"/>
            <rFont val="Tahoma"/>
            <family val="2"/>
          </rPr>
          <t xml:space="preserve">
Note, this depreciation reduction methodology is applied to all incentives that reduce depreciable basis.</t>
        </r>
      </text>
    </comment>
    <comment ref="A76" authorId="0">
      <text>
        <r>
          <rPr>
            <sz val="10"/>
            <color indexed="81"/>
            <rFont val="Tahoma"/>
            <family val="2"/>
          </rPr>
          <t xml:space="preserve">The model has the flexibility to allow the user to either solve for or input a PPA price. Therefore, the Initial Year PPA figure can either be an input or an output depending on how the model is utilized. If the user has a PPA price, it is input here, and the resulting returns and LCOE are a result that can be reviewed.
If the user wants to find a required PPA price, the "Calculate PPA Price" button will solve for a price that yields the required return. The resulting PPA price and LCOE are then outputs. </t>
        </r>
      </text>
    </comment>
    <comment ref="A82" authorId="0">
      <text>
        <r>
          <rPr>
            <b/>
            <sz val="9"/>
            <color indexed="81"/>
            <rFont val="Tahoma"/>
            <family val="2"/>
          </rPr>
          <t>DHF:</t>
        </r>
        <r>
          <rPr>
            <sz val="9"/>
            <color indexed="81"/>
            <rFont val="Tahoma"/>
            <family val="2"/>
          </rPr>
          <t xml:space="preserve">
The primary return being sought is after-tax (i.e. tax benefits included) in all cases, but is for different parties depending on the financing structure. In the two Partnership Flip structures the target return is to Tax Equity, in the Sale Leaseback structure it is to the Lessor and in the Single Owner structure it is for the signle owner.</t>
        </r>
      </text>
    </comment>
    <comment ref="A84" authorId="0">
      <text>
        <r>
          <rPr>
            <b/>
            <sz val="9"/>
            <color indexed="81"/>
            <rFont val="Tahoma"/>
            <family val="2"/>
          </rPr>
          <t>DHF:</t>
        </r>
        <r>
          <rPr>
            <sz val="9"/>
            <color indexed="81"/>
            <rFont val="Tahoma"/>
            <family val="2"/>
          </rPr>
          <t xml:space="preserve">
These inputs allow the user to specify the time periods for which they would like to see the returns.</t>
        </r>
      </text>
    </comment>
    <comment ref="A128" authorId="0">
      <text>
        <r>
          <rPr>
            <sz val="10"/>
            <color indexed="81"/>
            <rFont val="Tahoma"/>
            <family val="2"/>
          </rPr>
          <t>Note, the model assumes 100% construction financing. Equity, either Sponsor or Third party is not contributed until commercial operations date. Implicit in this assumption is that construction draws are relatively uniform. To the extent that the construction spending schedule is front-loaded or back-loaded (i.e. not even each  month) the Interest During Construction may be different than the result from the simplifying assumption used here.</t>
        </r>
      </text>
    </comment>
    <comment ref="A136" authorId="0">
      <text>
        <r>
          <rPr>
            <sz val="10"/>
            <color indexed="81"/>
            <rFont val="Tahoma"/>
            <family val="2"/>
          </rPr>
          <t xml:space="preserve">The model assumes a single annual debt service payment. Assuming a single annual payment, relative to quarterly or semi-annual payments, will typically slightly understate the project's borrowing capacity.
</t>
        </r>
      </text>
    </comment>
    <comment ref="C137"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E137"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D160" authorId="0">
      <text>
        <r>
          <rPr>
            <b/>
            <sz val="9"/>
            <color indexed="81"/>
            <rFont val="Tahoma"/>
            <family val="2"/>
          </rPr>
          <t>DHF:</t>
        </r>
        <r>
          <rPr>
            <sz val="9"/>
            <color indexed="81"/>
            <rFont val="Tahoma"/>
            <family val="2"/>
          </rPr>
          <t xml:space="preserve">
Note, this figure is the sum of the purchase price funded by the Lessor and the reserve accounts funded by the Lessee.
Specifically, the Lessee will fund the Lease Payment Reserve and the O&amp;M/Working Capital Reserve. The Lessor will fund all other project costs, which will be the Lessor's purchase price.</t>
        </r>
      </text>
    </comment>
    <comment ref="D181" authorId="0">
      <text>
        <r>
          <rPr>
            <b/>
            <sz val="9"/>
            <color indexed="81"/>
            <rFont val="Tahoma"/>
            <family val="2"/>
          </rPr>
          <t>DHF:</t>
        </r>
        <r>
          <rPr>
            <sz val="9"/>
            <color indexed="81"/>
            <rFont val="Tahoma"/>
            <family val="2"/>
          </rPr>
          <t xml:space="preserve">
Note, in the Sale Leaseback Structure the Tax Investor (Lessor) purchases 100% of the project equipment and contract rights from the Sponsor (Lessee). It is assumed that the Lessee will fund the up-front payments (Lease Payment &amp; O&amp;M/Working Capital), based on the Lessor will likely require the Sponsor as the Lessee to still have capital at risk. The Lessee’s lease payment reserve and the working capital remain owned by the Lessee and are released to the Lessee (for distribution to its owner, the Sponsor) at the end of the lease.</t>
        </r>
      </text>
    </comment>
    <comment ref="D182" authorId="0">
      <text>
        <r>
          <rPr>
            <b/>
            <sz val="9"/>
            <color indexed="81"/>
            <rFont val="Tahoma"/>
            <family val="2"/>
          </rPr>
          <t>DHF:</t>
        </r>
        <r>
          <rPr>
            <sz val="9"/>
            <color indexed="81"/>
            <rFont val="Tahoma"/>
            <family val="2"/>
          </rPr>
          <t xml:space="preserve">
The Lessor's purchase price is equal to the total project cost less the Lease Payment Reserve and the O&amp;M/Working Capital Reserve.</t>
        </r>
      </text>
    </comment>
    <comment ref="D185" authorId="0">
      <text>
        <r>
          <rPr>
            <b/>
            <sz val="9"/>
            <color indexed="81"/>
            <rFont val="Tahoma"/>
            <family val="2"/>
          </rPr>
          <t>DHF:</t>
        </r>
        <r>
          <rPr>
            <sz val="9"/>
            <color indexed="81"/>
            <rFont val="Tahoma"/>
            <family val="2"/>
          </rPr>
          <t xml:space="preserve">
Note, in the Sale Leaseback Structure the Tax Investor (Lessor) purchases 100% of the project equipment and contract rights from the Sponsor (Lessee). It is assumed that the Lessee will fund the up-front payments (Lease Payment &amp; O&amp;M/Working Capital), based on the Lessor will likely require the Sponsor as the Lessee to still have capital at risk. The Lessee’s lease payment reserve and the working capital remain owned by the Lessee and are released to the Lessee (for distribution to its owner, the Sponsor) at the end of the lease.</t>
        </r>
      </text>
    </comment>
    <comment ref="A192" authorId="0">
      <text>
        <r>
          <rPr>
            <sz val="9"/>
            <color indexed="81"/>
            <rFont val="Tahoma"/>
            <family val="2"/>
          </rPr>
          <t xml:space="preserve">In the All Equity Partnership Flip structure this input is for cash sharing after the Sponsor Capital Recover and prior to the Flip Point.
</t>
        </r>
      </text>
    </comment>
    <comment ref="A211" authorId="0">
      <text>
        <r>
          <rPr>
            <b/>
            <sz val="9"/>
            <color indexed="81"/>
            <rFont val="Tahoma"/>
            <family val="2"/>
          </rPr>
          <t>DHF:</t>
        </r>
        <r>
          <rPr>
            <sz val="9"/>
            <color indexed="81"/>
            <rFont val="Tahoma"/>
            <family val="2"/>
          </rPr>
          <t xml:space="preserve">
Return Targets specified are for non-sponsor equity provider (Tax Equity, Lessor or Single Owner, depending on structure).
</t>
        </r>
      </text>
    </comment>
    <comment ref="D233" authorId="0">
      <text>
        <r>
          <rPr>
            <b/>
            <sz val="9"/>
            <color indexed="81"/>
            <rFont val="Tahoma"/>
            <family val="2"/>
          </rPr>
          <t>DHF:</t>
        </r>
        <r>
          <rPr>
            <sz val="9"/>
            <color indexed="81"/>
            <rFont val="Tahoma"/>
            <family val="2"/>
          </rPr>
          <t xml:space="preserve">
Note, the Depreciable Amount is based on the Lessor purchase price. The purchase price is the total project cost less the Lease Payment Reserve and the O&amp;M/Working Capital Reserve, which are funded by the Lessee.</t>
        </r>
      </text>
    </comment>
  </commentList>
</comments>
</file>

<file path=xl/comments2.xml><?xml version="1.0" encoding="utf-8"?>
<comments xmlns="http://schemas.openxmlformats.org/spreadsheetml/2006/main">
  <authors>
    <author>Matt Karcher</author>
  </authors>
  <commentList>
    <comment ref="A81" authorId="0">
      <text>
        <r>
          <rPr>
            <sz val="10"/>
            <color indexed="81"/>
            <rFont val="Tahoma"/>
            <family val="2"/>
          </rPr>
          <t xml:space="preserve">Note, the ISERROR formula is used here and is structured to return incalculable IRRs as "0". 
</t>
        </r>
      </text>
    </comment>
    <comment ref="A103" authorId="0">
      <text>
        <r>
          <rPr>
            <sz val="10"/>
            <color indexed="81"/>
            <rFont val="Tahoma"/>
            <family val="2"/>
          </rPr>
          <t xml:space="preserve">Note, the ISERROR formula is used here and is structured to return incalculable IRRs as "0". 
</t>
        </r>
      </text>
    </comment>
    <comment ref="A120" authorId="0">
      <text>
        <r>
          <rPr>
            <sz val="10"/>
            <color indexed="81"/>
            <rFont val="Tahoma"/>
            <family val="2"/>
          </rPr>
          <t xml:space="preserve">Note, the ISERROR formula is used here and is structured to return incalculable IRRs as "0". 
</t>
        </r>
      </text>
    </comment>
    <comment ref="A142" authorId="0">
      <text>
        <r>
          <rPr>
            <sz val="10"/>
            <color indexed="81"/>
            <rFont val="Tahoma"/>
            <family val="2"/>
          </rPr>
          <t xml:space="preserve">Note, the ISERROR formula is used here and is structured to return incalculable IRRs as "0". 
</t>
        </r>
      </text>
    </comment>
    <comment ref="A161" authorId="0">
      <text>
        <r>
          <rPr>
            <sz val="10"/>
            <color indexed="81"/>
            <rFont val="Tahoma"/>
            <family val="2"/>
          </rPr>
          <t xml:space="preserve">Note, the ISERROR formula is used here and is structured to return incalculable IRRs as "N/A". 
</t>
        </r>
      </text>
    </comment>
    <comment ref="A193" authorId="0">
      <text>
        <r>
          <rPr>
            <sz val="10"/>
            <color indexed="81"/>
            <rFont val="Tahoma"/>
            <family val="2"/>
          </rPr>
          <t xml:space="preserve">Note, the ISERROR formula is used here and is structured to return incalculable IRRs as "N/A". 
</t>
        </r>
      </text>
    </comment>
    <comment ref="A224" authorId="0">
      <text>
        <r>
          <rPr>
            <b/>
            <sz val="9"/>
            <color indexed="81"/>
            <rFont val="Tahoma"/>
            <family val="2"/>
          </rPr>
          <t>DHF:</t>
        </r>
        <r>
          <rPr>
            <sz val="9"/>
            <color indexed="81"/>
            <rFont val="Tahoma"/>
            <family val="2"/>
          </rPr>
          <t xml:space="preserve">
PBI is included in EBITDA. If the PBI is non-taxable it will be removed here.</t>
        </r>
      </text>
    </comment>
    <comment ref="A26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3.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29" authorId="0">
      <text>
        <r>
          <rPr>
            <sz val="10"/>
            <color indexed="81"/>
            <rFont val="Tahoma"/>
            <family val="2"/>
          </rPr>
          <t xml:space="preserve">Note, the ISERROR formula is used here and is structured to return incalculable IRRs as "0". 
</t>
        </r>
      </text>
    </comment>
    <comment ref="A151" authorId="0">
      <text>
        <r>
          <rPr>
            <sz val="10"/>
            <color indexed="81"/>
            <rFont val="Tahoma"/>
            <family val="2"/>
          </rPr>
          <t xml:space="preserve">Note, the ISERROR formula is used here and is structured to return incalculable IRRs as "0". 
</t>
        </r>
      </text>
    </comment>
    <comment ref="A163" authorId="0">
      <text>
        <r>
          <rPr>
            <sz val="10"/>
            <color indexed="81"/>
            <rFont val="Tahoma"/>
            <family val="2"/>
          </rPr>
          <t xml:space="preserve">Note, the ISERROR formula is used here and is structured to return incalculable IRRs as "N/A". 
</t>
        </r>
      </text>
    </comment>
    <comment ref="A194" authorId="0">
      <text>
        <r>
          <rPr>
            <sz val="10"/>
            <color indexed="81"/>
            <rFont val="Tahoma"/>
            <family val="2"/>
          </rPr>
          <t xml:space="preserve">Note, the ISERROR formula is used here and is structured to return incalculable IRRs as "N/A". 
</t>
        </r>
      </text>
    </comment>
    <comment ref="A226"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265"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4.xml><?xml version="1.0" encoding="utf-8"?>
<comments xmlns="http://schemas.openxmlformats.org/spreadsheetml/2006/main">
  <authors>
    <author>Matt Karcher</author>
  </authors>
  <commentList>
    <comment ref="A56" authorId="0">
      <text>
        <r>
          <rPr>
            <b/>
            <sz val="9"/>
            <color indexed="81"/>
            <rFont val="Tahoma"/>
            <family val="2"/>
          </rPr>
          <t>DHF:</t>
        </r>
        <r>
          <rPr>
            <sz val="9"/>
            <color indexed="81"/>
            <rFont val="Tahoma"/>
            <family val="2"/>
          </rPr>
          <t xml:space="preserve">
Salvage Value will be received by the Lessor.</t>
        </r>
      </text>
    </comment>
    <comment ref="A103" authorId="0">
      <text>
        <r>
          <rPr>
            <sz val="10"/>
            <color indexed="81"/>
            <rFont val="Tahoma"/>
            <family val="2"/>
          </rPr>
          <t xml:space="preserve">Note, the ISERROR formula is used here and is structured to return incalculable IRRs as "0". 
</t>
        </r>
      </text>
    </comment>
    <comment ref="A125" authorId="0">
      <text>
        <r>
          <rPr>
            <sz val="10"/>
            <color indexed="81"/>
            <rFont val="Tahoma"/>
            <family val="2"/>
          </rPr>
          <t xml:space="preserve">Note, the ISERROR formula is used here and is structured to return incalculable IRRs as "0". 
</t>
        </r>
      </text>
    </comment>
    <comment ref="A145" authorId="0">
      <text>
        <r>
          <rPr>
            <sz val="10"/>
            <color indexed="81"/>
            <rFont val="Tahoma"/>
            <family val="2"/>
          </rPr>
          <t xml:space="preserve">Note, the ISERROR formula is used here and is structured to return incalculable IRRs as "0". 
</t>
        </r>
      </text>
    </comment>
    <comment ref="A170" authorId="0">
      <text>
        <r>
          <rPr>
            <sz val="10"/>
            <color indexed="81"/>
            <rFont val="Tahoma"/>
            <family val="2"/>
          </rPr>
          <t xml:space="preserve">Note, the ISERROR formula is used here and is structured to return incalculable IRRs as "0". 
</t>
        </r>
      </text>
    </comment>
    <comment ref="A177" authorId="0">
      <text>
        <r>
          <rPr>
            <b/>
            <sz val="9"/>
            <color indexed="81"/>
            <rFont val="Tahoma"/>
            <family val="2"/>
          </rPr>
          <t>DHF:</t>
        </r>
        <r>
          <rPr>
            <sz val="9"/>
            <color indexed="81"/>
            <rFont val="Tahoma"/>
            <family val="2"/>
          </rPr>
          <t xml:space="preserve">
This is the funding of the Lease Payment and O&amp;M/Working Capital reserve accounts.</t>
        </r>
      </text>
    </comment>
    <comment ref="A186" authorId="0">
      <text>
        <r>
          <rPr>
            <sz val="10"/>
            <color indexed="81"/>
            <rFont val="Tahoma"/>
            <family val="2"/>
          </rPr>
          <t xml:space="preserve">Note, the ISERROR formula is used here and is structured to return incalculable IRRs as "N/A". 
</t>
        </r>
      </text>
    </comment>
    <comment ref="A194" authorId="0">
      <text>
        <r>
          <rPr>
            <b/>
            <sz val="9"/>
            <color indexed="81"/>
            <rFont val="Tahoma"/>
            <family val="2"/>
          </rPr>
          <t>DHF:</t>
        </r>
        <r>
          <rPr>
            <sz val="9"/>
            <color indexed="81"/>
            <rFont val="Tahoma"/>
            <family val="2"/>
          </rPr>
          <t xml:space="preserve">
This is the funding of the Lease Payment and O&amp;M/Working Capital reserve accounts.</t>
        </r>
      </text>
    </comment>
    <comment ref="A212" authorId="0">
      <text>
        <r>
          <rPr>
            <sz val="10"/>
            <color indexed="81"/>
            <rFont val="Tahoma"/>
            <family val="2"/>
          </rPr>
          <t xml:space="preserve">Note, the ISERROR formula is used here and is structured to return incalculable IRRs as "N/A". 
</t>
        </r>
      </text>
    </comment>
  </commentList>
</comments>
</file>

<file path=xl/comments5.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5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191"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6.xml><?xml version="1.0" encoding="utf-8"?>
<comments xmlns="http://schemas.openxmlformats.org/spreadsheetml/2006/main">
  <authors>
    <author>Matt Karcher</author>
  </authors>
  <commentList>
    <comment ref="A1" authorId="0">
      <text>
        <r>
          <rPr>
            <sz val="9"/>
            <color indexed="81"/>
            <rFont val="Tahoma"/>
            <family val="2"/>
          </rPr>
          <t>For additional information on depreciation schedules. Please refer to IRS publication 946.
http://www.irs.gov/pub/irs-pdf/p946.pdf</t>
        </r>
      </text>
    </comment>
  </commentList>
</comments>
</file>

<file path=xl/sharedStrings.xml><?xml version="1.0" encoding="utf-8"?>
<sst xmlns="http://schemas.openxmlformats.org/spreadsheetml/2006/main" count="2071" uniqueCount="577">
  <si>
    <t>Contingency (%)</t>
  </si>
  <si>
    <t>Contingency ($)</t>
  </si>
  <si>
    <t>Sales Tax</t>
  </si>
  <si>
    <t>Total Sales Tax</t>
  </si>
  <si>
    <t>OPERATIONS AND MAINTENANCE COSTS</t>
  </si>
  <si>
    <t>Fixed Annual Cost</t>
  </si>
  <si>
    <t>Escalation (above inflation)</t>
  </si>
  <si>
    <t>Fixed Cost by Capacity</t>
  </si>
  <si>
    <t>First Year Cost ($)</t>
  </si>
  <si>
    <t>Variable Cost by Generation</t>
  </si>
  <si>
    <t>First Year Cost ($/MWh)</t>
  </si>
  <si>
    <t>Note: fossil fuel costs not included</t>
  </si>
  <si>
    <t>SYSTEM</t>
  </si>
  <si>
    <t>Capacity (kW-DC)</t>
  </si>
  <si>
    <t>DC to AC Derate Factor</t>
  </si>
  <si>
    <t>Capacity (kW-AC)</t>
  </si>
  <si>
    <t>Note: Total Installed Cost does not include financing costs.</t>
  </si>
  <si>
    <t>GENERAL</t>
  </si>
  <si>
    <t>Inflation Rate</t>
  </si>
  <si>
    <t>Analysis Period (yrs-40 max)</t>
  </si>
  <si>
    <t>TAXES AND INSURANCE</t>
  </si>
  <si>
    <t>Federal Tax Rate</t>
  </si>
  <si>
    <t>Property Tax</t>
  </si>
  <si>
    <t>CAPITAL COSTS - PRE FINANCING</t>
  </si>
  <si>
    <t>PROJECT SPECIFIC INPUTS</t>
  </si>
  <si>
    <t>All Equity Partnership Flip</t>
  </si>
  <si>
    <t>Leveraged Partnership Flip</t>
  </si>
  <si>
    <t>Sale Leaseback</t>
  </si>
  <si>
    <t>Single Owner</t>
  </si>
  <si>
    <t>Total Pre-Financing Installed Cost ($/Watt-DC)</t>
  </si>
  <si>
    <t>Total Pre-Financing Installed Cost ($)</t>
  </si>
  <si>
    <t>Operating Year</t>
  </si>
  <si>
    <t>TAX CREDIT INCENTIVES</t>
  </si>
  <si>
    <t>Investment Tax Credit</t>
  </si>
  <si>
    <t>Amount</t>
  </si>
  <si>
    <t>Amount ($)</t>
  </si>
  <si>
    <t>Federal</t>
  </si>
  <si>
    <t>State</t>
  </si>
  <si>
    <t>Production Tax Credit</t>
  </si>
  <si>
    <t>Escalation</t>
  </si>
  <si>
    <t>Amount (%)</t>
  </si>
  <si>
    <t>%</t>
  </si>
  <si>
    <t>Maximum</t>
  </si>
  <si>
    <t>Amount ($/kWh)</t>
  </si>
  <si>
    <t>Term (yrs)</t>
  </si>
  <si>
    <t>Initial Year</t>
  </si>
  <si>
    <t>Production (AC-kWh)</t>
  </si>
  <si>
    <t>Net Production (AC-kWh)</t>
  </si>
  <si>
    <t>Price  (¢/kWh)</t>
  </si>
  <si>
    <t>Expenses</t>
  </si>
  <si>
    <t>First Year Cost ($/DC kW-yr)</t>
  </si>
  <si>
    <t>Capacity (DC kW)</t>
  </si>
  <si>
    <t>Fixed Cost ($/DC kW-yr)</t>
  </si>
  <si>
    <t>Total</t>
  </si>
  <si>
    <t>Financing</t>
  </si>
  <si>
    <t>Generation (AC-MWh)</t>
  </si>
  <si>
    <t>Variable Cost ($/AC-MWh)</t>
  </si>
  <si>
    <t>PAYMENT INCENTIVES</t>
  </si>
  <si>
    <t>Investment Based Incentive (IBI)</t>
  </si>
  <si>
    <t>Utility</t>
  </si>
  <si>
    <t>Other</t>
  </si>
  <si>
    <t>Taxable Incentive</t>
  </si>
  <si>
    <t>Reduces Depreciation Basis</t>
  </si>
  <si>
    <t>Percentage of Pre-Financing Costs</t>
  </si>
  <si>
    <t>Capacity Based Incentive (CBI) ($/DC-Watt)</t>
  </si>
  <si>
    <t>Available for Debt Service</t>
  </si>
  <si>
    <t>Fixed Amount ($)</t>
  </si>
  <si>
    <t>Yes</t>
  </si>
  <si>
    <t>No</t>
  </si>
  <si>
    <t>Amount ($/DC-Watt)</t>
  </si>
  <si>
    <t>Percentage (% of Pre-Finance Costs)</t>
  </si>
  <si>
    <t>Production Based Incentive (PBI) ($/kWh)</t>
  </si>
  <si>
    <t>Term (Yrs)</t>
  </si>
  <si>
    <t>Total Expenses</t>
  </si>
  <si>
    <t>Total PPA Revenue</t>
  </si>
  <si>
    <t>Revenues</t>
  </si>
  <si>
    <t>PPA</t>
  </si>
  <si>
    <t>Production Based Incentive (included if available for debt service)</t>
  </si>
  <si>
    <t>Total PBI</t>
  </si>
  <si>
    <t>EBITDA (cash available for debt service)</t>
  </si>
  <si>
    <t>Capital Costs</t>
  </si>
  <si>
    <t>Total Pre-Financing</t>
  </si>
  <si>
    <t>Summary</t>
  </si>
  <si>
    <t>Equity Closing Costs</t>
  </si>
  <si>
    <t>Debt Service Reserve</t>
  </si>
  <si>
    <t>Construction Financing</t>
  </si>
  <si>
    <t>Total Financing</t>
  </si>
  <si>
    <t>Debt Closing Costs (costs &amp; fees)</t>
  </si>
  <si>
    <t>Construction Period (months)</t>
  </si>
  <si>
    <t>Interest During Construction</t>
  </si>
  <si>
    <t>Interest Rate (%)</t>
  </si>
  <si>
    <t>Up-Front Fee ($)</t>
  </si>
  <si>
    <t>Up-Front Fee (%)</t>
  </si>
  <si>
    <t>Total Construction Financing Cost</t>
  </si>
  <si>
    <t>Term Financing</t>
  </si>
  <si>
    <t>Debt Amount</t>
  </si>
  <si>
    <t>% of Total Capital Cost</t>
  </si>
  <si>
    <t>Tenor (Yrs)</t>
  </si>
  <si>
    <t>Debt</t>
  </si>
  <si>
    <t>Beginning Balance</t>
  </si>
  <si>
    <t>Funding</t>
  </si>
  <si>
    <t>Repayment</t>
  </si>
  <si>
    <t>Ending Balance</t>
  </si>
  <si>
    <t>Principal</t>
  </si>
  <si>
    <t>Interest</t>
  </si>
  <si>
    <t>Total P&amp;I</t>
  </si>
  <si>
    <t>Release of Funds</t>
  </si>
  <si>
    <t>Financing Costs</t>
  </si>
  <si>
    <t>DSCR</t>
  </si>
  <si>
    <t>Cash Available for Debt Service</t>
  </si>
  <si>
    <t>Total Debt Payment</t>
  </si>
  <si>
    <t>Average</t>
  </si>
  <si>
    <t>Min</t>
  </si>
  <si>
    <t>Debt Service Reserve Account (months P&amp;I)</t>
  </si>
  <si>
    <t>Debt Service Coverage Ratio</t>
  </si>
  <si>
    <t>Taxes</t>
  </si>
  <si>
    <t>EBITDA</t>
  </si>
  <si>
    <t>Less: Interest Payment</t>
  </si>
  <si>
    <t>Taxable Income Prior to Incentives</t>
  </si>
  <si>
    <t>Federal Income Taxes</t>
  </si>
  <si>
    <t>Less: Tax Depreciation</t>
  </si>
  <si>
    <t>Questions, Comments, Notes</t>
  </si>
  <si>
    <t>IBI percentage based on total cost pre-financing.</t>
  </si>
  <si>
    <t>CBI is based on DC-Watts of capacity.</t>
  </si>
  <si>
    <t>Annual Fixed Operating Cost by Capacity based on DC-kW</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</si>
  <si>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</si>
  <si>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</si>
  <si>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</si>
  <si>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</si>
  <si>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</si>
  <si>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</si>
  <si>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</si>
  <si>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</si>
  <si>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</si>
  <si>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Tax benefits assumed to be utilized when generated.</t>
  </si>
  <si>
    <t>Insurance</t>
  </si>
  <si>
    <t>State Tax Rate</t>
  </si>
  <si>
    <t>The Indirect Capital Cost category of "Project, Land, Miscellaneous" was changed to "Development Costs (Project, Land, Miscellaneous)".</t>
  </si>
  <si>
    <t>Depreciation</t>
  </si>
  <si>
    <t>Allocations (%)</t>
  </si>
  <si>
    <t>5-yr MACRS</t>
  </si>
  <si>
    <t>15-yr MACRS</t>
  </si>
  <si>
    <t>5-yr SL</t>
  </si>
  <si>
    <t>15-yr SL</t>
  </si>
  <si>
    <t>20-yr SL</t>
  </si>
  <si>
    <t>39-yr SL</t>
  </si>
  <si>
    <t>Non-Depreciable</t>
  </si>
  <si>
    <t>Allocations ($)</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</si>
  <si>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</si>
  <si>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</si>
  <si>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</si>
  <si>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</si>
  <si>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</si>
  <si>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</si>
  <si>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</si>
  <si>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</si>
  <si>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</si>
  <si>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</si>
  <si>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IBI and CBI assumed cash payments at COD</t>
  </si>
  <si>
    <t>State ITC</t>
  </si>
  <si>
    <t>ITC Qualifying Costs</t>
  </si>
  <si>
    <t>ITC Amount</t>
  </si>
  <si>
    <t>% of ITC Qualifying Costs</t>
  </si>
  <si>
    <t>ITC Basis Disallowance</t>
  </si>
  <si>
    <t>ITC Basis Disallowance is hard coded at 50%</t>
  </si>
  <si>
    <t>Depreciable Basis Incentive Reductions</t>
  </si>
  <si>
    <t>ITC as % of Project Cost</t>
  </si>
  <si>
    <t>ITC as Fixed Amount</t>
  </si>
  <si>
    <t>ITC Reduction: State</t>
  </si>
  <si>
    <t>ITC Reduction: Federal</t>
  </si>
  <si>
    <t>Federal ITC</t>
  </si>
  <si>
    <t>Production Tax Credit (PTC)</t>
  </si>
  <si>
    <t>Both state and federal PTC is assumed to be rounded to the nearest $/MWh, as per current federal PTC methodology.</t>
  </si>
  <si>
    <t>Unadjusted PTC value ($/kWh)</t>
  </si>
  <si>
    <t>Adjusted PTC Value ($/MWh)</t>
  </si>
  <si>
    <t>Production (MWh)</t>
  </si>
  <si>
    <t>Capital Structure</t>
  </si>
  <si>
    <t>Equity</t>
  </si>
  <si>
    <t>IBI - Percent of Direct Cost</t>
  </si>
  <si>
    <t>IBI - Fixed Amount</t>
  </si>
  <si>
    <t>CBI</t>
  </si>
  <si>
    <t>Total($/DC-Watt)</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</si>
  <si>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</si>
  <si>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</si>
  <si>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</si>
  <si>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</si>
  <si>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</si>
  <si>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</si>
  <si>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</si>
  <si>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</si>
  <si>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</si>
  <si>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</si>
  <si>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</si>
  <si>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MAJOR EQUIPMENT REPLACEMENT RESERVE</t>
  </si>
  <si>
    <t>Cost of Replacement (in year 1 $/DC-Watt)</t>
  </si>
  <si>
    <t>Added the concept of interest on reserves.</t>
  </si>
  <si>
    <t>Timing of Funding</t>
  </si>
  <si>
    <t>Cost of Each Occurrence</t>
  </si>
  <si>
    <t>Funding (through operations)</t>
  </si>
  <si>
    <t>Funding of Each Occurrence</t>
  </si>
  <si>
    <t>Interest on Reserves</t>
  </si>
  <si>
    <t>Total Reserves</t>
  </si>
  <si>
    <t>Major Equipment Capital Spending</t>
  </si>
  <si>
    <t>SALVAGE VALUE</t>
  </si>
  <si>
    <t>Incentives</t>
  </si>
  <si>
    <t>IBI</t>
  </si>
  <si>
    <t>Major Equipment Replacement Depreciation</t>
  </si>
  <si>
    <t>Timing</t>
  </si>
  <si>
    <t>Depreciation Schedule Selected</t>
  </si>
  <si>
    <t>Year</t>
  </si>
  <si>
    <t>Depreciation Percent</t>
  </si>
  <si>
    <t>Depreciation Amount</t>
  </si>
  <si>
    <t>Plus: PBI (not included above)</t>
  </si>
  <si>
    <t>Total Project Returns: Pre-Tax</t>
  </si>
  <si>
    <t>Equity Investment</t>
  </si>
  <si>
    <t>Operating Cash Distributions/(Contributions)</t>
  </si>
  <si>
    <t>IRR</t>
  </si>
  <si>
    <t>NPV</t>
  </si>
  <si>
    <t>Total Project Returns: After-Tax</t>
  </si>
  <si>
    <t>Cash</t>
  </si>
  <si>
    <t xml:space="preserve">Total </t>
  </si>
  <si>
    <t>ITC</t>
  </si>
  <si>
    <t>PTC</t>
  </si>
  <si>
    <t>Tax Benefit/(Liability)</t>
  </si>
  <si>
    <t>Federal Tax Benefit/(Liability)</t>
  </si>
  <si>
    <t>Tax Investor</t>
  </si>
  <si>
    <t>Equity Structure</t>
  </si>
  <si>
    <t xml:space="preserve">Percent </t>
  </si>
  <si>
    <t>Sponsor</t>
  </si>
  <si>
    <t>Cash Sharing Ratio</t>
  </si>
  <si>
    <t>Pre-Flip</t>
  </si>
  <si>
    <t>Post-Flip</t>
  </si>
  <si>
    <t>Tax Benefit Sharing Ratio</t>
  </si>
  <si>
    <t>After-Tax Flip/Return Targets</t>
  </si>
  <si>
    <t>Return Targets</t>
  </si>
  <si>
    <t>Target Year</t>
  </si>
  <si>
    <t>Project Life (for reference)</t>
  </si>
  <si>
    <t>Max After-Tax IRR</t>
  </si>
  <si>
    <t>After-Tax IRR</t>
  </si>
  <si>
    <t>Returns</t>
  </si>
  <si>
    <t>Pre-Tax</t>
  </si>
  <si>
    <t>After-Tax</t>
  </si>
  <si>
    <t>Tax Investor: After-Tax</t>
  </si>
  <si>
    <t>Tax Investor: Pre-Tax</t>
  </si>
  <si>
    <t>Sponsor: Pre-Tax</t>
  </si>
  <si>
    <t>Sponsor: After-Tax</t>
  </si>
  <si>
    <t>Total Project Returns</t>
  </si>
  <si>
    <t>Partner Returns</t>
  </si>
  <si>
    <t>Target Return Reached</t>
  </si>
  <si>
    <t>Tax Equity/Lessor</t>
  </si>
  <si>
    <t>LCOE</t>
  </si>
  <si>
    <t>LCOE (c/kWh)</t>
  </si>
  <si>
    <t>State Depreciation Amounts</t>
  </si>
  <si>
    <t>Federal Depreciation Amounts</t>
  </si>
  <si>
    <t>IBI and CBI</t>
  </si>
  <si>
    <t>Soft costs have been added to the capital costs.</t>
  </si>
  <si>
    <t>Tax benefits</t>
  </si>
  <si>
    <t>Annual Operating Costs</t>
  </si>
  <si>
    <t>Sales Tax is based on Direct and Indirect costs, not including financing costs.</t>
  </si>
  <si>
    <t>Property Tax is based on Direct and Indirect costs, not including financing costs.</t>
  </si>
  <si>
    <t>PBI</t>
  </si>
  <si>
    <t>Note, IBI and CBI depreciable basis reductions (if applicable) were allocated over only the depreciable basis. No allocations were made to the Non-Depreciable category.</t>
  </si>
  <si>
    <t>Federal Cash Grant and ITC Tax Credit are not differentiated in this version.</t>
  </si>
  <si>
    <t>The State and Federal ITC are shown as tax credits in year 1.</t>
  </si>
  <si>
    <t>Reserves</t>
  </si>
  <si>
    <t>A separate Working Capital/O&amp;M reserve account was added.</t>
  </si>
  <si>
    <t>Model assumes 100% construction debt</t>
  </si>
  <si>
    <t>Previous model assumed 100% of project costs assigned to specified schedule, with MACRS schedule being 5-year MACRS only. Additional detail was added to this model to allow the user to specify the percentage of total project cost assigned to multiple schedules.</t>
  </si>
  <si>
    <t>The user has the option to specify if the PBI is (a) taxable income (either state and federal), and (b) is available for debt service.</t>
  </si>
  <si>
    <t>Major Equipment Replacement Reserve concept was added.</t>
  </si>
  <si>
    <t>Frequency (every X years)</t>
  </si>
  <si>
    <t>a</t>
  </si>
  <si>
    <t>b</t>
  </si>
  <si>
    <t>c</t>
  </si>
  <si>
    <t>d</t>
  </si>
  <si>
    <t>Total Revenue</t>
  </si>
  <si>
    <t>STRUCTURE SPECIFIC INPUTS &amp; RESULTS</t>
  </si>
  <si>
    <t>Percentage</t>
  </si>
  <si>
    <t>Assets in This Class Qualify for ITC</t>
  </si>
  <si>
    <t>A net after-tax salvage value input was added as a percent of pre-financing capital costs.</t>
  </si>
  <si>
    <t>Partial Income Statement: Project</t>
  </si>
  <si>
    <t>Cash Flow: Project</t>
  </si>
  <si>
    <t>Denotes input</t>
  </si>
  <si>
    <t>Denotes a formula or output</t>
  </si>
  <si>
    <t>Calculation</t>
  </si>
  <si>
    <t>To obtain optimal results, the user should set their "Maximum Change" in Excel to 0.0001. This can be done in Excel 2007 by clicking on the Microsoft logo in the upper left hand corner, clicking on the "Excel Options" botton, selecting "Formula" and setting the Maximum Change.</t>
  </si>
  <si>
    <t>The user has the option to specify if each IBI and/or CBI is (a) taxable income (either state or federal), (b) reduces ITC qualifying costs (either state or federal) and (c ) reduces depreciable basis (either state or federal)</t>
  </si>
  <si>
    <t>In the utility_ipp model sent Sales Tax is used (a) as a tax on the direct costs, so it is included in the total capital costs and (b) as a reduction of taxable income in year 1, calculated as a percentage of total project cost. The latter was not included as it was  unclear why it would be shown again in year 1.</t>
  </si>
  <si>
    <t>KEY</t>
  </si>
  <si>
    <t xml:space="preserve">Note: the "Calculate" buttons for each structure will solve for an initial year PPA Price required to yield the required investor return. </t>
  </si>
  <si>
    <t>SAM MODEL UPDATE</t>
  </si>
  <si>
    <t>Remove the mid-quarter depreciation convention as an option.</t>
  </si>
  <si>
    <t>Nominal Discount Rate</t>
  </si>
  <si>
    <t>The label for the "Real Discount Rate" was changed to "Nominal Discount Rate"</t>
  </si>
  <si>
    <t>Net Pre-Tax Cash Salvage Value (% Pre-Finance Costs)</t>
  </si>
  <si>
    <t>Net Pre-Tax Cash Salvage Value ($ at end of project)</t>
  </si>
  <si>
    <t>Discount Rate</t>
  </si>
  <si>
    <t>Net Salvage Value</t>
  </si>
  <si>
    <t>Sizing</t>
  </si>
  <si>
    <t>Annual Rate</t>
  </si>
  <si>
    <t>Present Value Interest Factor</t>
  </si>
  <si>
    <t>Present Value of CAFDS</t>
  </si>
  <si>
    <t>Size of Debt</t>
  </si>
  <si>
    <t>Annual All-In Interest Rate</t>
  </si>
  <si>
    <t>Debt Mechanics</t>
  </si>
  <si>
    <t>PTC Escalation</t>
  </si>
  <si>
    <t>Pre-Financing Costs</t>
  </si>
  <si>
    <t>% of Pre-Financing Costs Assessed</t>
  </si>
  <si>
    <t>Assessed Value of Property fo Tax Pursposes</t>
  </si>
  <si>
    <t>Assessed Value Annual Decline</t>
  </si>
  <si>
    <t>Annual Property Tax Rate</t>
  </si>
  <si>
    <t>Net Assessed Value</t>
  </si>
  <si>
    <t xml:space="preserve">ANNUAL PRODUCTION </t>
  </si>
  <si>
    <t>Yr</t>
  </si>
  <si>
    <t>kWh (AC)</t>
  </si>
  <si>
    <t>Annual Production</t>
  </si>
  <si>
    <t>Collapsed the depreciation percentage allocations for both state and federal into one set of assumptions.</t>
  </si>
  <si>
    <t>Federal &amp; State Depreciation Allocations</t>
  </si>
  <si>
    <t>Bonus Depreciation</t>
  </si>
  <si>
    <t>First Year Bonus Depreciation</t>
  </si>
  <si>
    <t>Depreciation Allocation</t>
  </si>
  <si>
    <t>State Bonus Depreciation</t>
  </si>
  <si>
    <t>Assets in This Class Qualify for Bonus Depreciation</t>
  </si>
  <si>
    <t>Federal Bonus Depreciation</t>
  </si>
  <si>
    <t>Depreciable Basis After Bonus Reduction</t>
  </si>
  <si>
    <t>Bonus Amount</t>
  </si>
  <si>
    <t>ITC Qualification</t>
  </si>
  <si>
    <t>Consolidated the state and federal ITC qualification for each depreciation schedule into one input for all financing structures.</t>
  </si>
  <si>
    <t>Generation Equipment</t>
  </si>
  <si>
    <t>Balance of Plant</t>
  </si>
  <si>
    <t>Network Upgrades</t>
  </si>
  <si>
    <t>Land Improvements</t>
  </si>
  <si>
    <t>Subtotal</t>
  </si>
  <si>
    <t>Contingency</t>
  </si>
  <si>
    <t>Hard Costs</t>
  </si>
  <si>
    <t>Soft Costs</t>
  </si>
  <si>
    <t>Total Hard Costs</t>
  </si>
  <si>
    <t>Sales Tax (% of Hard and Soft Costs)</t>
  </si>
  <si>
    <t>Taxable Costs (%)</t>
  </si>
  <si>
    <t>Total Soft Costs</t>
  </si>
  <si>
    <t>Capital Cost Line Items</t>
  </si>
  <si>
    <t>Changed the capital cost line items with the DHF proposed items.</t>
  </si>
  <si>
    <t>Added a dollar figure amount to the Net Salvage Value input section so the user would see the number, rather than just the percent input. Also changed the label to read "Pre-Tax…" rather than "After-Tax".</t>
  </si>
  <si>
    <t>Updated the property tax calculations so the user now has the option to input (a) a percent of pre-financing costs applicable and (b) annual decline rate. Note, the calculation is hard coded so the assessed value that is declined will not go below zero.</t>
  </si>
  <si>
    <t>Federal &amp; State Depreciation</t>
  </si>
  <si>
    <t>Added first year bonus depreciation inputs for both state and federal. Also added depreciation category qualifications for each schedule.</t>
  </si>
  <si>
    <t>Per NREL request, changed the production input from an initial first year figure with an annual degradation to annual inputs for 40 years. Note, NCF calculation was removed given the inputs are now annual.</t>
  </si>
  <si>
    <t>Power Purchase Agreement (¢/kWh)</t>
  </si>
  <si>
    <t>Total Pre-Financing Installed Costs</t>
  </si>
  <si>
    <t>Year Flip Target/Year Hurdle Rate Reached</t>
  </si>
  <si>
    <t>Actual Year 
(note, red highlight indicates further investigation required)</t>
  </si>
  <si>
    <t>Results</t>
  </si>
  <si>
    <t>Structure Headers</t>
  </si>
  <si>
    <t>On the Inputs and Results tab added the financing structure headers periodically throughout the input section so the user could more readily identify the corresponding structure.</t>
  </si>
  <si>
    <t>Non-Depreciable 
(red higlight indicates invalid figure)</t>
  </si>
  <si>
    <t>Added conditional formatting to the "Non-Depreciable" allocation. This number is one minus all the other allocations. To the extent someone exceeds 100% with all the other allocations this figure will be a negative number, which is invalid. The cell with now highlight in red if a negative number is calculated.</t>
  </si>
  <si>
    <t>Depreciation Treatment for All Capital Expenditure</t>
  </si>
  <si>
    <t>Major Equipment Reserve 1</t>
  </si>
  <si>
    <t>Major Equipment Reserve 2</t>
  </si>
  <si>
    <t>Major Equipment Reserve 3</t>
  </si>
  <si>
    <t>Major Equipment Replacement Reserve 1</t>
  </si>
  <si>
    <t>Major Equipment Replacement Reserve 2</t>
  </si>
  <si>
    <t>Cost or Replacement (year 1 $)</t>
  </si>
  <si>
    <t>Major Equipment Replacement Reserves</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</si>
  <si>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</si>
  <si>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</si>
  <si>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</si>
  <si>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</si>
  <si>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</si>
  <si>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</si>
  <si>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</si>
  <si>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</si>
  <si>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</si>
  <si>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Assessed Value of Property For Tax Purposes</t>
  </si>
  <si>
    <t>LCOE ($/kWh)</t>
  </si>
  <si>
    <t>Issuance of Equity</t>
  </si>
  <si>
    <t xml:space="preserve">Non-Depreciable </t>
  </si>
  <si>
    <t xml:space="preserve">Added two more Major Equipment Replacement Reserves. Note, MERR events in the final year of the analysis period occur. For example a MM event that occurs every 15 years will occur in years 15 and 30, even if the project has a 30 year life. </t>
  </si>
  <si>
    <t>Fixed a formula error in the major maintenance funding calculations. Note, only MM events during the analysis period are funded (including the last year of the analysis horizon). For example, if the MM is timed for ever 12 years, with a 30 year analysis horizon, events in years 12 and 24 will be funded, but there will be no reserve account funding for the event in year 36 as it is outside the analysis horizon.</t>
  </si>
  <si>
    <t>Added 10 year IRRs and NPVs to the current end of project IRRs and NPVs.</t>
  </si>
  <si>
    <t>Consolidated the Construction Financing Inputs so there is no only one set of inputs for all the financing structures.</t>
  </si>
  <si>
    <t>Changed the debt mechanics to a Constant Coverage Ratio methodology. Note, (a) the debt amount is now an output and (b) the DSCR constraints have been removed. Also consolidated the interest rate to just an annual all-in input, rather than a base rate plus spread.</t>
  </si>
  <si>
    <t>Replaced the state and federal user inputs for annual escalation and linked the calculation to the inflation assumption.</t>
  </si>
  <si>
    <t>Changes made to v2</t>
  </si>
  <si>
    <t>Changes made to v1</t>
  </si>
  <si>
    <t>Developer Fee</t>
  </si>
  <si>
    <t>Amount (% of Pre-Financing Costs)</t>
  </si>
  <si>
    <t>Development Fee</t>
  </si>
  <si>
    <t>Developer Fee Tax Liability</t>
  </si>
  <si>
    <t>(i) removed Developer Fee from "Developer Costs &amp; Fees" line item (Inputs &amp; Results, B13), so the line is now "Developer Costs"; (ii) added a separate input line item for Developer Fees for each financing structure other than Single Owner (Inputs &amp; Results, row 139); (iii) added Developer Fee to the Developer Return section of the Leveraged Partnership Flip tab, including the tax liability of the Fee; (iv) changed the Developer Cumulative IRR calculation to read "N/A" if a return could not be calculated.</t>
  </si>
  <si>
    <t>Single Owner Structure</t>
  </si>
  <si>
    <t>Added the Single Owner financing structure.</t>
  </si>
  <si>
    <t>Insurance (% of Pre-Financing Installed Costs)</t>
  </si>
  <si>
    <t>Changed the Insurance Cost line item label to "…(% of Pre-Financing Installed Cost)". Note, the formula did not change. This was a label change only.</t>
  </si>
  <si>
    <t>Year Target Return Reached</t>
  </si>
  <si>
    <t>Max IRR</t>
  </si>
  <si>
    <t>Sponsor Capital Recovery</t>
  </si>
  <si>
    <t>Duration of Recovery</t>
  </si>
  <si>
    <t>If "Time" - Duration (in years)</t>
  </si>
  <si>
    <t>Sponsor Capital Recovery (AEPF Structure Only)</t>
  </si>
  <si>
    <t>Note: 100% Cash to Sponsor During Recovery Period</t>
  </si>
  <si>
    <t>Cumulative IRR</t>
  </si>
  <si>
    <t>Cumulative NPV</t>
  </si>
  <si>
    <t>All Equity Partnership Flip Structure</t>
  </si>
  <si>
    <t>Annual Escalation</t>
  </si>
  <si>
    <t>Production Based Incentive</t>
  </si>
  <si>
    <t xml:space="preserve">Added the PBI to Revenue in the All Equity Flip structure. In the Leveraged Partnership Flip structure and the Single Owner structure the user has the choice to include (or not) the PBI in project revenue, which impacts EBITDA for DSCR calculations. </t>
  </si>
  <si>
    <t>Sale Leaseback Assumptions</t>
  </si>
  <si>
    <t>Insurance carried at the project level.</t>
  </si>
  <si>
    <t>Amount ($/kW-DC)</t>
  </si>
  <si>
    <t>Lease Payment Reserve</t>
  </si>
  <si>
    <t>Added a Lease Payment Reserve account that is held until the project end date. The Lease Payment Reserve is sized at COD but is not increased/(decreased) during the life of the project due to a circular reference).</t>
  </si>
  <si>
    <t>PPA Revenue</t>
  </si>
  <si>
    <t>Plus: Interest on Reserves</t>
  </si>
  <si>
    <t>Less: Operating Expenses</t>
  </si>
  <si>
    <t>Less: Lease Payment</t>
  </si>
  <si>
    <t>Plus: PBI</t>
  </si>
  <si>
    <t>Total Taxable Income</t>
  </si>
  <si>
    <t>Tax Equity (Lessor) - State</t>
  </si>
  <si>
    <t>Lease Payment</t>
  </si>
  <si>
    <t>Plus: IBI</t>
  </si>
  <si>
    <t>Plus: CBI</t>
  </si>
  <si>
    <t>Taxes - Tax Equity (Lessor)</t>
  </si>
  <si>
    <t>Tax Equity (Lessor) - Federal</t>
  </si>
  <si>
    <t>Tax Investor (Lessor): After-Tax</t>
  </si>
  <si>
    <t>Lease Payments</t>
  </si>
  <si>
    <t>Sponsor Tax Benefit/(Liability)</t>
  </si>
  <si>
    <t>Party Returns</t>
  </si>
  <si>
    <t>Share of Project Tax Benefit/(Liability)</t>
  </si>
  <si>
    <t>After-Tax Return in Target Year</t>
  </si>
  <si>
    <t>For additional information on depreciation schedules. Please refer to IRS publication 946.</t>
  </si>
  <si>
    <t>http://www.irs.gov/pub/irs-pdf/p946.pdf</t>
  </si>
  <si>
    <t>Sponsor Capital Investment</t>
  </si>
  <si>
    <t>Operating Cash to Sponsor During Recovery Period</t>
  </si>
  <si>
    <t>Operating Cash During Capital Recovery Period</t>
  </si>
  <si>
    <t>Operating Cash Distributions/(Contributions) Post Recovery Period</t>
  </si>
  <si>
    <t>NPV - Annual Payments ($)</t>
  </si>
  <si>
    <t>NPV - Generation (kWh)</t>
  </si>
  <si>
    <t>Annual PPA Revenue</t>
  </si>
  <si>
    <t>Adjustment for Salvage Value</t>
  </si>
  <si>
    <t>Pre-Tax Operating Cashflow (Effective Lease Payment)</t>
  </si>
  <si>
    <t>Plus: Pre-Tax Salvage Value</t>
  </si>
  <si>
    <t>Pre-Tax Salvage Value</t>
  </si>
  <si>
    <t>Release of Working Capital Reserve</t>
  </si>
  <si>
    <t>Release of Lease Payment Reserve</t>
  </si>
  <si>
    <t>Release of Major Equipment Replacement Reserves</t>
  </si>
  <si>
    <t>Added the All Equity Partnership Flip financing structure.</t>
  </si>
  <si>
    <t>Developer Margin is an input in the model, while Lease Payment is an output. This was done so a PPA Price can be solved for. The Effective Lease Payment is the cash generated from the project after expenses, developer margin, and funding of reserves.</t>
  </si>
  <si>
    <t>Adjustment for Release of Reserves</t>
  </si>
  <si>
    <t>Sponsor (Lessee): Pre-Tax</t>
  </si>
  <si>
    <t>Sponsor (Lessee): After-Tax</t>
  </si>
  <si>
    <t>Tax Equity (Lessor): Pre-Tax</t>
  </si>
  <si>
    <t>Other Financing Cost</t>
  </si>
  <si>
    <t>PBI Escalation Rate</t>
  </si>
  <si>
    <t>Updated the PBI formulas in each of the financing structure tabs to include the annual escalation rate.</t>
  </si>
  <si>
    <t>Annual Sponsor (Lessee) Margin</t>
  </si>
  <si>
    <t>Development Costs</t>
  </si>
  <si>
    <t>Taxes - Sponsor (Lessee)</t>
  </si>
  <si>
    <t>Purchase Price of Asset</t>
  </si>
  <si>
    <t>Cash Flow: Lessee</t>
  </si>
  <si>
    <t>Sale of Property</t>
  </si>
  <si>
    <t>Purchase of Plant and Equipment</t>
  </si>
  <si>
    <t>Distribution of Development Fee</t>
  </si>
  <si>
    <t>Cash Flow: Lessor</t>
  </si>
  <si>
    <t>Purchase of Property</t>
  </si>
  <si>
    <t>Salvage Value goes to Lessor and is taxable.</t>
  </si>
  <si>
    <t>Release of reserve accounts goes to Lessee and is non-taxable.</t>
  </si>
  <si>
    <t xml:space="preserve">CBI's and IBI's go to Lessor. </t>
  </si>
  <si>
    <t>PBI's flow to the project and are taxable (if so specified) to the Lessee.</t>
  </si>
  <si>
    <t>Interest on Reserves (all but Lease Payment Reserve)</t>
  </si>
  <si>
    <t>Interest on Lease Payment Reserve</t>
  </si>
  <si>
    <t>Interest Earned on Lease Payment Reserve</t>
  </si>
  <si>
    <t>Plus: Interest on Lease Payment Reserve</t>
  </si>
  <si>
    <t>Plus: Interest on Reserves (Non-Lease Payment Reserve)</t>
  </si>
  <si>
    <t>PBI (All Equity Flip &amp; Sale Leaseback structures)</t>
  </si>
  <si>
    <t>Discuss with NREL that the Developer Margin may not be sufficient to provide positive cash flow. May need to add a warning to the user to increase the margin.</t>
  </si>
  <si>
    <t xml:space="preserve">Discuss with NREL the timing of the Development Fee for IRR purposes. </t>
  </si>
  <si>
    <t>Discuss with NREL the solver for the Leveraged Partnership Flip can find a solution that meets the target return in the target year, but yields negative cash flows to the Tax Investor.</t>
  </si>
  <si>
    <t>The Lessor Cash Purchase Price of the Asset and the Tax Purchase Price are the same and inlcude funding of reserve accounts.</t>
  </si>
  <si>
    <t>All tax incentives go to Lessor.</t>
  </si>
  <si>
    <t>Interest Income on the lease reserve account is given to the Lessee. Due to a circular reference it is kept off the Lessee cash flow statement (which is used to determine the size of the Lease Payment) and included directly in the Lessee return calculation. It is taxable to the Lessee.</t>
  </si>
  <si>
    <t>Partial Income Statement: Project (Lessee's Perspective)</t>
  </si>
  <si>
    <t>Sponsor (Lessee) - State</t>
  </si>
  <si>
    <t>Sponsor (Lessee) - Federal</t>
  </si>
  <si>
    <t>Changes made to v3</t>
  </si>
  <si>
    <t>In the Leveraged Partnership Flip and Single Owner structures changed the "Cash Available for Debt Service" calculation to include Major Equipment Replace reserve funding.</t>
  </si>
  <si>
    <t>Less: Major Equipment Replacement Reserve Funding</t>
  </si>
  <si>
    <t>Combined the "Reduce ITC" and "Reduce Depreciation Basis" for IBI and CBI incentives into a just one "Reduce Depreciation Basis".</t>
  </si>
  <si>
    <t xml:space="preserve">CBI &amp; IBI </t>
  </si>
  <si>
    <t>All Equity Flip - Sponsor Capital Recovery Period</t>
  </si>
  <si>
    <t>Removed the "Tax Benefits" line from the Sponsor Capital Recovery section. There were no formulas in this row, so this change had no impact.</t>
  </si>
  <si>
    <t>Depreciable basis of the asset for the Lessor is its purchase price (total project cost less reserve accounts).</t>
  </si>
  <si>
    <t>Removed funding of the Lease Payment Reserve and the O&amp;M/Working Capital Reserve from the Lessee's taxable income.</t>
  </si>
  <si>
    <t>Sponsor Equity in Lessee LLC (funding of reserve accounts)</t>
  </si>
  <si>
    <t>Sponsor Investment in Lessee LLC (funding of reserve accounts)</t>
  </si>
  <si>
    <t>Depreciable Basis Reduction</t>
  </si>
  <si>
    <t xml:space="preserve">Method of Depreciation Reduction </t>
  </si>
  <si>
    <t>In doing so, the ITC calculations were added to the Depreciation section of each tab. The separate ITC calculation sections in each tab were removed.</t>
  </si>
  <si>
    <t>Added the flexibility for the user to allocate the CBI &amp; IBI basis reduction (a) proportionally across all depreciation schedules or (b) all in 5-Year MACRS basis.</t>
  </si>
  <si>
    <t>Depreciation &amp; ITC</t>
  </si>
  <si>
    <t>State Depreciation &amp; ITC</t>
  </si>
  <si>
    <t>Federal Depreciation &amp; ITC</t>
  </si>
  <si>
    <t>Removed the inputs relating to "Reduce ITC Basis".</t>
  </si>
  <si>
    <t>Sponsor/Lessee</t>
  </si>
  <si>
    <t>Total Project/Single Owner</t>
  </si>
  <si>
    <t>Annual Sponsor (Lessee) Operating Margin</t>
  </si>
  <si>
    <t>Lessor Required Lease Payment Reserve (Months of Reserve)</t>
  </si>
  <si>
    <t>Pre-Tax Cashflow Including Release of Reserves</t>
  </si>
  <si>
    <t>Range of Variables</t>
  </si>
  <si>
    <t>Depends on project size. For utility-scale range from 9-12 months.</t>
  </si>
  <si>
    <t>Typically linked to 3 or 6 month LIBOR plus a spread. Range depends on current rates and project specifics.</t>
  </si>
  <si>
    <t>Typical range from 1.0% to 3.0%. If construction lender same as term lender, likely only one fee charged.</t>
  </si>
  <si>
    <t xml:space="preserve">Typical figure is 6 months. </t>
  </si>
  <si>
    <t>Range Values</t>
  </si>
  <si>
    <t>In AEPF: after capital recovery Tax Investor gets 100%; in LPF the pre-flip sharing ratio is typically pro rata.</t>
  </si>
  <si>
    <t>In AEPF: after capital recovery Tax Investor gets 99% (max under safe harbor guidelines); in LPF the pre-flip sharing ratio is typically pro rata.</t>
  </si>
  <si>
    <t>Note, these ranges are meant to provide a general indicator and are not meant to reflect specific projects or current market conditions.</t>
  </si>
  <si>
    <t>One of the 5 top outputs. Users will want to know the price and escalation factor required, when running the model backward.</t>
  </si>
  <si>
    <t>One of the 5 top outputs. Users, especially developers, will want to know their return.</t>
  </si>
  <si>
    <t xml:space="preserve">One of the 5 top outputs. The required returns in the specified year is the driver behind the model, so this will be important. </t>
  </si>
  <si>
    <t>One of the 5 top outputs. The capital structure (i.e. amount of equity) will be an important output for developers.</t>
  </si>
  <si>
    <t>One of the 5 potential problem inputs. Inexperienced developers will generally assume little or no equity investment for themselves, which is not the case as Tax Equity requires some "skin in the game".</t>
  </si>
  <si>
    <t xml:space="preserve">One of the 5 potential problem inputs. Inexperienced developers will assume a return target that is lower than market. </t>
  </si>
  <si>
    <t>One of the 5 potential problem inputs. Inexperienced developers will assume a development fee that can not be supported based on project economics.</t>
  </si>
  <si>
    <t>Capital Recovery can either be full capital recover (typically with a PTC) and time limited (typically with ITC or Cash Grant). Time limited depends on project economics and is set to provide Tax Equity flip at target date.</t>
  </si>
  <si>
    <t>For the flip structures the target years are generally incentive driven: year 10-11 with PTC; year 7-8 with ITC or Cash Grant</t>
  </si>
  <si>
    <t>Top 5 Outputs</t>
  </si>
  <si>
    <t>Per NREL's request, identified the top 5 outputs on which users may focus.</t>
  </si>
  <si>
    <t>Top 5 Problem Inputs</t>
  </si>
  <si>
    <t>Per NREL's request, identified the top 5 problem inputs that are likely to "trip-up" inexperienced developers.</t>
  </si>
  <si>
    <t>Lessee now funds the up-front reserve accounts (Lease Payment and O&amp;M/Working Capital).</t>
  </si>
  <si>
    <t>The lessor's depreciable amount is based on the purchase price and not the total project cost.</t>
  </si>
  <si>
    <t>Tax Investor (Lessor for Sale Leaseback)</t>
  </si>
  <si>
    <t>Sponsor (Lesee for Sale Leaseback)</t>
  </si>
  <si>
    <t>Development Fee (Gain on Sale of Project Assets)</t>
  </si>
  <si>
    <t>Sponsor (Lessee) Operating Margin</t>
  </si>
  <si>
    <t>Operating Margin Not Including Lease Payment</t>
  </si>
  <si>
    <t>Notes - Top Five Outputs</t>
  </si>
  <si>
    <t>Notes - Top Five Inputs</t>
  </si>
  <si>
    <t xml:space="preserve">The DHF Team was asked to identify  the 5 inputs that are most likely to trip up inexperienced users. </t>
  </si>
  <si>
    <t>The DHF Team was asked to identify the 5 outputs that most users will focus on. Assumption is that the users are primarily project developers. Other types of users may focus on different outputs.</t>
  </si>
  <si>
    <t>One of the 5 top outputs. Users, especially developers, will want to know the total project cost. Developers have a tendency to underestimate financing costs.</t>
  </si>
  <si>
    <t>One of the 5 potential problem inputs - Sharing Ratios. We are lumping both cash and Tax Benefit sharing ratios together. Inexperienced developers will assume little or no equity investment and then (a) a substantial pre-flip cash sharing ratio (i.e. a minimal Tax Investor sharing ratio) and (b) little or no tax benefit sharing ratio.</t>
  </si>
  <si>
    <t xml:space="preserve">One of the 5 potential problem inputs. Inexperienced developers will overestimate the amount of project cost that is eligible for the cash grant. Many inexperienced developers will assume 100% of the project cost qualifies. </t>
  </si>
  <si>
    <t>Return (IRR &amp; NPV) Points of Time</t>
  </si>
  <si>
    <t>Return Time 1</t>
  </si>
  <si>
    <t>Return Time 2</t>
  </si>
  <si>
    <t>Return Time Inputs</t>
  </si>
  <si>
    <t>Meant to capture all legal and third party consultant costs. It is difficult to provide a range as there is no cap and they will vary widely depending on the project size, quality and technology.</t>
  </si>
  <si>
    <t>Working Capital Reserve</t>
  </si>
  <si>
    <t>Changed the O&amp;M/Working Capital Reserve to "Working Capital Reserve" to clarify this is meant to cover working capital only.</t>
  </si>
  <si>
    <t>Time</t>
  </si>
  <si>
    <t>Depends on underlying PPA. Assuming 20-year PPA, credit-worthy counterparty, current bank market has been in the 10-12 year range, but starting to extend to 15 years recently. Institutional debt generally has a longer term, up to the term of the underlying PPA.</t>
  </si>
  <si>
    <t>Interest rate is typically floating tied to LIBOR and depends on tenor of the debt. Projects typically swap to a fixed rate. Current representative rates are in the 6%-8% range for 12-15 year debt for high quality utility scale projects using proven crystalline PV technology.</t>
  </si>
  <si>
    <t>Range between 1.40x and 1.50x for proven wind technology. Solar slightly lower, in the 1.30x to 1.40x range for PV. To date only DOE is offering loans for CSP projects. Note, these are DSCRs used with a  P50 resource projections. Debt providers will typically size at P50 with these DSCRs and then stress with a P95 or P99 and ensure a 1.0x DCSR.</t>
  </si>
  <si>
    <t xml:space="preserve">Developer Fee depends completely on the net equity value created in the project in excess of the market returns required by the third party investors and debt providers.  In effect, it is the net present value of this excess.  Representative ranges are from 2.0% to 6.0%, but this is very project specific. </t>
  </si>
  <si>
    <t xml:space="preserve">Typically sized for roughly 6 months of operating costs. This is meant to cover initial working capital and not a lender-imposed O&amp;M reserve on top of this. Note, this number is hard coded and will have to be resized based on annual operating costs. </t>
  </si>
  <si>
    <t>AEPF: current market is 8% -9% for flip; LPF: typically add 200-250 bps onto AEPF flip targets, so 10% - 11%. For Sale Leaseback, how the lessor finances the acquisition will likely have an impact on its required return. We have found insufficient market data with utility-scale PV or CSP projects for a lessor return target value.</t>
  </si>
  <si>
    <t xml:space="preserve">Roughly 90% - 95% will be 5-year MACRS. There is some variance between structures as reserve accounts are non-depreciable and debt/equity costs are non-depreciable or would be classified as 15-year SL in the model. Variance in these numbers is meant to reflect the differences in capital costs composition. </t>
  </si>
  <si>
    <t>Currently, the conservative assumption is that only 5-year MACRS property qualifies for ITC. Note, however, that some are taking the position that certain 15-yr MACRS property may qualify for the Section 1603 grant.</t>
  </si>
  <si>
    <t>Dependent on project economics but for AEPF: typically 60% to 70%; for LPF: typically 95% to 99%; see difference in SL formula.</t>
  </si>
  <si>
    <t>Note, for SL the depreciable amount is equal to the lessor purchase price.</t>
  </si>
  <si>
    <t>Meant to capture all legal and third party consultant costs, as well as any up-front fees. It is difficult to provide a range for these costs as there is no cap and they will vary widely depending on project size, quality and technology.</t>
  </si>
  <si>
    <t>Post-flip sharing ratios are typically in the 5% to 10% range. The post-flip sharing ratios are set to target an additional 75 to 100 bps on Tax Equity return after the flip. In the model the post-flip sharing ratios are not automatically sized, so solving for an additional return will need to be done manually.</t>
  </si>
  <si>
    <t>Current federal bonus depreciation applies only to tangible property with a recovery period of 20-years or less. Items that are amortized (e.g. debt costs which could be 15-year SL, depending on loan tenor, would typically not qualify for bonus depreciation. This text is meant to be illustrative only and is not meant as legal advise. For additional information or specific questions you should consult your tax adviser.</t>
  </si>
  <si>
    <t>Moved the tax liability for the Developer Fee into Year 1. The Developer Fee (along with the IBI and CBI) are assumed to be received at COD, so the tax liability was moved into the first year of operation.</t>
  </si>
  <si>
    <t>Federal Taxable Income</t>
  </si>
  <si>
    <t>State PTC</t>
  </si>
  <si>
    <t>Included state ITC and PTC in federal taxable income. These incentives are not considered to be directly taxable, but they reduce the taxes payable from other income and therefore reduce the entities state taxes paid, for which the model is accounting. Note, the assumption is that all state tax benefits and credits can be used in the year they are earned.</t>
  </si>
  <si>
    <t>Note, the assumption is that all state tax benefits and credits can be used in the year they are earned.</t>
  </si>
  <si>
    <t>For the Lessee, now showing the Development Fee as taxable income in Year 1.</t>
  </si>
  <si>
    <t>Default Values</t>
  </si>
  <si>
    <t xml:space="preserve">Updated the financing assumptions with default values based on current market conditions and experience. </t>
  </si>
  <si>
    <t>Note, the new CAFDS calculation does not account for any changes to the O&amp;M/Working Capital account. If there is functionality for the user to input annual changes to that reserve account the CAFDS formula will need to be updated. This functionality is not currently in the Excel model.</t>
  </si>
  <si>
    <t>Per NREL's request, provided feedback on value ranges for financing inputs.</t>
  </si>
  <si>
    <t>Added two inputs to allow the user to specify the points in time at which they would like to see the returns (see Inputs &amp; Returns tab).</t>
  </si>
  <si>
    <t>5-Yr MACRS</t>
  </si>
</sst>
</file>

<file path=xl/styles.xml><?xml version="1.0" encoding="utf-8"?>
<styleSheet xmlns="http://schemas.openxmlformats.org/spreadsheetml/2006/main">
  <numFmts count="12">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quot;Yr&quot;\ #,##0"/>
    <numFmt numFmtId="171" formatCode="_(* #,##0.0000_);_(* \(#,##0.0000\);_(* &quot;-&quot;????_);_(@_)"/>
    <numFmt numFmtId="172" formatCode="0.000%"/>
  </numFmts>
  <fonts count="21">
    <font>
      <sz val="11"/>
      <color theme="1"/>
      <name val="Calibri"/>
      <family val="2"/>
      <scheme val="minor"/>
    </font>
    <font>
      <sz val="11"/>
      <color theme="1"/>
      <name val="Calibri"/>
      <family val="2"/>
      <scheme val="minor"/>
    </font>
    <font>
      <sz val="9"/>
      <color indexed="81"/>
      <name val="Tahoma"/>
      <family val="2"/>
    </font>
    <font>
      <b/>
      <sz val="9"/>
      <color indexed="81"/>
      <name val="Tahoma"/>
      <family val="2"/>
    </font>
    <font>
      <b/>
      <sz val="10"/>
      <name val="Calibri"/>
      <family val="2"/>
      <scheme val="minor"/>
    </font>
    <font>
      <sz val="10"/>
      <name val="Calibri"/>
      <family val="2"/>
      <scheme val="minor"/>
    </font>
    <font>
      <sz val="10"/>
      <color indexed="8"/>
      <name val="Calibri"/>
      <family val="2"/>
      <scheme val="minor"/>
    </font>
    <font>
      <sz val="10"/>
      <color indexed="12"/>
      <name val="Calibri"/>
      <family val="2"/>
      <scheme val="minor"/>
    </font>
    <font>
      <b/>
      <sz val="11"/>
      <color theme="1"/>
      <name val="Calibri"/>
      <family val="2"/>
      <scheme val="minor"/>
    </font>
    <font>
      <b/>
      <sz val="14"/>
      <color theme="1"/>
      <name val="Calibri"/>
      <family val="2"/>
      <scheme val="minor"/>
    </font>
    <font>
      <b/>
      <sz val="11"/>
      <color indexed="12"/>
      <name val="Calibri"/>
      <family val="2"/>
      <scheme val="minor"/>
    </font>
    <font>
      <sz val="10"/>
      <color indexed="81"/>
      <name val="Tahoma"/>
      <family val="2"/>
    </font>
    <font>
      <b/>
      <sz val="12"/>
      <color theme="1"/>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sz val="10"/>
      <color rgb="FF0000CC"/>
      <name val="Calibri"/>
      <family val="2"/>
      <scheme val="minor"/>
    </font>
    <font>
      <sz val="10"/>
      <color rgb="FF0000FF"/>
      <name val="Calibri"/>
      <family val="2"/>
      <scheme val="minor"/>
    </font>
    <font>
      <sz val="10"/>
      <color theme="0" tint="-0.34998626667073579"/>
      <name val="Calibri"/>
      <family val="2"/>
      <scheme val="minor"/>
    </font>
    <font>
      <b/>
      <sz val="10"/>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lightGray">
        <bgColor auto="1"/>
      </patternFill>
    </fill>
  </fills>
  <borders count="2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425">
    <xf numFmtId="0" fontId="0" fillId="0" borderId="0" xfId="0"/>
    <xf numFmtId="169" fontId="4" fillId="5" borderId="4" xfId="0" applyNumberFormat="1" applyFont="1" applyFill="1" applyBorder="1" applyAlignment="1">
      <alignment horizontal="left"/>
    </xf>
    <xf numFmtId="0" fontId="5" fillId="5" borderId="2" xfId="0" applyNumberFormat="1" applyFont="1" applyFill="1" applyBorder="1" applyAlignment="1"/>
    <xf numFmtId="41" fontId="6" fillId="5" borderId="2" xfId="2" applyNumberFormat="1" applyFont="1" applyFill="1" applyBorder="1"/>
    <xf numFmtId="0" fontId="5" fillId="5" borderId="5" xfId="0" applyNumberFormat="1" applyFont="1" applyFill="1" applyBorder="1" applyAlignment="1"/>
    <xf numFmtId="0" fontId="5" fillId="0" borderId="0" xfId="0" applyNumberFormat="1" applyFont="1" applyFill="1" applyAlignment="1"/>
    <xf numFmtId="0" fontId="5" fillId="0" borderId="6" xfId="0" applyNumberFormat="1" applyFont="1" applyFill="1" applyBorder="1" applyAlignment="1">
      <alignment horizontal="center"/>
    </xf>
    <xf numFmtId="0" fontId="4" fillId="0" borderId="3" xfId="0" applyNumberFormat="1" applyFont="1" applyFill="1" applyBorder="1" applyAlignment="1">
      <alignment horizontal="center"/>
    </xf>
    <xf numFmtId="170" fontId="5" fillId="0" borderId="13" xfId="0" applyNumberFormat="1" applyFont="1" applyFill="1" applyBorder="1" applyAlignment="1">
      <alignment horizontal="center"/>
    </xf>
    <xf numFmtId="10" fontId="7" fillId="0" borderId="13" xfId="0" applyNumberFormat="1" applyFont="1" applyFill="1" applyBorder="1" applyAlignment="1"/>
    <xf numFmtId="10" fontId="7" fillId="0" borderId="13" xfId="2" applyNumberFormat="1" applyFont="1" applyFill="1" applyBorder="1"/>
    <xf numFmtId="170" fontId="5" fillId="0" borderId="14" xfId="0" applyNumberFormat="1" applyFont="1" applyFill="1" applyBorder="1" applyAlignment="1">
      <alignment horizontal="center"/>
    </xf>
    <xf numFmtId="10" fontId="7" fillId="0" borderId="14" xfId="0" applyNumberFormat="1" applyFont="1" applyFill="1" applyBorder="1" applyAlignment="1"/>
    <xf numFmtId="10" fontId="7" fillId="0" borderId="14" xfId="2" applyNumberFormat="1" applyFont="1" applyFill="1" applyBorder="1"/>
    <xf numFmtId="10" fontId="7" fillId="0" borderId="14" xfId="0" applyNumberFormat="1" applyFont="1" applyFill="1" applyBorder="1" applyAlignment="1">
      <alignment horizontal="right"/>
    </xf>
    <xf numFmtId="170" fontId="5" fillId="0" borderId="15" xfId="0" applyNumberFormat="1" applyFont="1" applyFill="1" applyBorder="1" applyAlignment="1">
      <alignment horizontal="center"/>
    </xf>
    <xf numFmtId="10" fontId="7" fillId="0" borderId="15" xfId="0" applyNumberFormat="1" applyFont="1" applyFill="1" applyBorder="1" applyAlignment="1"/>
    <xf numFmtId="0" fontId="8" fillId="0" borderId="0" xfId="0" applyFont="1"/>
    <xf numFmtId="0" fontId="9" fillId="0" borderId="0" xfId="0" applyFont="1"/>
    <xf numFmtId="0" fontId="0" fillId="0" borderId="0" xfId="0" applyFill="1"/>
    <xf numFmtId="0" fontId="8" fillId="0" borderId="10" xfId="0" applyFont="1" applyBorder="1" applyAlignment="1">
      <alignment horizontal="center"/>
    </xf>
    <xf numFmtId="0" fontId="8" fillId="0" borderId="11" xfId="0" applyFont="1" applyBorder="1"/>
    <xf numFmtId="0" fontId="0" fillId="0" borderId="6" xfId="0" applyFont="1" applyBorder="1" applyAlignment="1">
      <alignment horizontal="right"/>
    </xf>
    <xf numFmtId="0" fontId="0" fillId="0" borderId="7" xfId="0" applyBorder="1" applyAlignment="1">
      <alignment horizontal="left" indent="2"/>
    </xf>
    <xf numFmtId="0" fontId="0" fillId="0" borderId="9" xfId="0" applyFont="1" applyBorder="1" applyAlignment="1">
      <alignment horizontal="right"/>
    </xf>
    <xf numFmtId="0" fontId="0" fillId="0" borderId="8" xfId="0" applyBorder="1" applyAlignment="1">
      <alignment horizontal="left" wrapText="1" indent="2"/>
    </xf>
    <xf numFmtId="0" fontId="0" fillId="0" borderId="8" xfId="0" applyBorder="1" applyAlignment="1">
      <alignment horizontal="left" wrapText="1" indent="1"/>
    </xf>
    <xf numFmtId="0" fontId="0" fillId="0" borderId="7" xfId="0" applyBorder="1" applyAlignment="1">
      <alignment horizontal="left" wrapText="1" indent="2"/>
    </xf>
    <xf numFmtId="0" fontId="8" fillId="0" borderId="11" xfId="0" applyFont="1" applyBorder="1" applyAlignment="1">
      <alignment horizontal="left" wrapText="1"/>
    </xf>
    <xf numFmtId="0" fontId="0" fillId="0" borderId="7" xfId="0" applyFill="1" applyBorder="1" applyAlignment="1">
      <alignment horizontal="left" wrapText="1" indent="2"/>
    </xf>
    <xf numFmtId="0" fontId="12" fillId="0" borderId="0" xfId="0" applyFont="1"/>
    <xf numFmtId="0" fontId="0" fillId="0" borderId="0" xfId="0" applyFont="1"/>
    <xf numFmtId="0" fontId="0" fillId="0" borderId="20" xfId="0" applyFont="1" applyBorder="1"/>
    <xf numFmtId="0" fontId="0" fillId="0" borderId="20" xfId="0" applyFont="1" applyBorder="1" applyAlignment="1">
      <alignment wrapText="1"/>
    </xf>
    <xf numFmtId="0" fontId="13" fillId="2" borderId="21" xfId="0" applyFont="1" applyFill="1" applyBorder="1"/>
    <xf numFmtId="0" fontId="13" fillId="2" borderId="23" xfId="0" applyFont="1" applyFill="1" applyBorder="1"/>
    <xf numFmtId="0" fontId="13" fillId="2" borderId="22" xfId="0" applyFont="1" applyFill="1" applyBorder="1"/>
    <xf numFmtId="0" fontId="14" fillId="0" borderId="0" xfId="0" applyFont="1"/>
    <xf numFmtId="0" fontId="15" fillId="3" borderId="21" xfId="0" applyFont="1" applyFill="1" applyBorder="1"/>
    <xf numFmtId="0" fontId="14" fillId="3" borderId="22" xfId="0" applyFont="1" applyFill="1" applyBorder="1"/>
    <xf numFmtId="0" fontId="14" fillId="0" borderId="0" xfId="0" applyFont="1" applyBorder="1"/>
    <xf numFmtId="0" fontId="14" fillId="3" borderId="23" xfId="0" applyFont="1" applyFill="1" applyBorder="1"/>
    <xf numFmtId="0" fontId="14" fillId="0" borderId="0" xfId="0" applyFont="1" applyFill="1" applyBorder="1"/>
    <xf numFmtId="0" fontId="14" fillId="0" borderId="6" xfId="0" applyFont="1" applyBorder="1"/>
    <xf numFmtId="0" fontId="14" fillId="0" borderId="7" xfId="0" applyFont="1" applyBorder="1"/>
    <xf numFmtId="0" fontId="14" fillId="6" borderId="21" xfId="0" applyFont="1" applyFill="1" applyBorder="1"/>
    <xf numFmtId="0" fontId="14" fillId="6" borderId="22" xfId="0" applyFont="1" applyFill="1" applyBorder="1"/>
    <xf numFmtId="10" fontId="5" fillId="0" borderId="7" xfId="1" applyNumberFormat="1" applyFont="1" applyBorder="1"/>
    <xf numFmtId="0" fontId="15" fillId="0" borderId="20" xfId="0" applyFont="1" applyBorder="1" applyAlignment="1">
      <alignment horizontal="center"/>
    </xf>
    <xf numFmtId="0" fontId="14" fillId="0" borderId="6" xfId="0" applyFont="1" applyFill="1" applyBorder="1" applyAlignment="1">
      <alignment horizontal="left" indent="2"/>
    </xf>
    <xf numFmtId="41" fontId="5" fillId="0" borderId="7" xfId="0" applyNumberFormat="1" applyFont="1" applyFill="1" applyBorder="1"/>
    <xf numFmtId="0" fontId="5" fillId="7" borderId="21" xfId="0" applyFont="1" applyFill="1" applyBorder="1"/>
    <xf numFmtId="0" fontId="5" fillId="7" borderId="22" xfId="0" applyFont="1" applyFill="1" applyBorder="1"/>
    <xf numFmtId="41" fontId="5" fillId="0" borderId="0" xfId="0" applyNumberFormat="1" applyFont="1" applyBorder="1"/>
    <xf numFmtId="41" fontId="5" fillId="0" borderId="7" xfId="0" applyNumberFormat="1" applyFont="1" applyBorder="1"/>
    <xf numFmtId="0" fontId="14" fillId="0" borderId="6" xfId="0" applyFont="1" applyFill="1" applyBorder="1"/>
    <xf numFmtId="41" fontId="5" fillId="0" borderId="8" xfId="0" applyNumberFormat="1" applyFont="1" applyFill="1" applyBorder="1"/>
    <xf numFmtId="0" fontId="14" fillId="0" borderId="6" xfId="0" applyFont="1" applyBorder="1" applyAlignment="1">
      <alignment horizontal="left" indent="3"/>
    </xf>
    <xf numFmtId="41" fontId="5" fillId="6" borderId="7" xfId="0" applyNumberFormat="1" applyFont="1" applyFill="1" applyBorder="1"/>
    <xf numFmtId="0" fontId="14" fillId="0" borderId="6" xfId="0" applyFont="1" applyBorder="1" applyAlignment="1">
      <alignment horizontal="left" indent="2"/>
    </xf>
    <xf numFmtId="41" fontId="14" fillId="6" borderId="7" xfId="0" applyNumberFormat="1" applyFont="1" applyFill="1" applyBorder="1"/>
    <xf numFmtId="43" fontId="5" fillId="0" borderId="7" xfId="0" applyNumberFormat="1" applyFont="1" applyBorder="1"/>
    <xf numFmtId="172" fontId="14" fillId="0" borderId="8" xfId="1" applyNumberFormat="1" applyFont="1" applyBorder="1"/>
    <xf numFmtId="0" fontId="14" fillId="0" borderId="6" xfId="0" applyFont="1" applyBorder="1" applyAlignment="1">
      <alignment horizontal="left" indent="4"/>
    </xf>
    <xf numFmtId="10" fontId="5" fillId="0" borderId="8" xfId="1" applyNumberFormat="1" applyFont="1" applyBorder="1"/>
    <xf numFmtId="0" fontId="14" fillId="0" borderId="9" xfId="0" applyFont="1" applyBorder="1"/>
    <xf numFmtId="0" fontId="14" fillId="0" borderId="1" xfId="0" applyFont="1" applyBorder="1"/>
    <xf numFmtId="43" fontId="5" fillId="6" borderId="8" xfId="0" applyNumberFormat="1" applyFont="1" applyFill="1" applyBorder="1"/>
    <xf numFmtId="10" fontId="5" fillId="0" borderId="7" xfId="1" applyNumberFormat="1" applyFont="1" applyFill="1" applyBorder="1"/>
    <xf numFmtId="41" fontId="5" fillId="6" borderId="8" xfId="0" applyNumberFormat="1" applyFont="1" applyFill="1" applyBorder="1"/>
    <xf numFmtId="0" fontId="14" fillId="0" borderId="9" xfId="0" applyFont="1" applyFill="1" applyBorder="1"/>
    <xf numFmtId="0" fontId="14" fillId="0" borderId="1" xfId="0" applyFont="1" applyFill="1" applyBorder="1"/>
    <xf numFmtId="10" fontId="5" fillId="0" borderId="8" xfId="1" applyNumberFormat="1" applyFont="1" applyFill="1" applyBorder="1"/>
    <xf numFmtId="0" fontId="5" fillId="0" borderId="7" xfId="0" applyFont="1" applyBorder="1"/>
    <xf numFmtId="0" fontId="5" fillId="0" borderId="7" xfId="0" applyFont="1" applyBorder="1" applyAlignment="1">
      <alignment horizontal="right"/>
    </xf>
    <xf numFmtId="41" fontId="5" fillId="6" borderId="22" xfId="0" applyNumberFormat="1" applyFont="1" applyFill="1" applyBorder="1"/>
    <xf numFmtId="0" fontId="14" fillId="0" borderId="9" xfId="0" applyFont="1" applyBorder="1" applyAlignment="1">
      <alignment horizontal="left" indent="2"/>
    </xf>
    <xf numFmtId="0" fontId="5" fillId="0" borderId="8" xfId="0" applyFont="1" applyBorder="1" applyAlignment="1">
      <alignment horizontal="right"/>
    </xf>
    <xf numFmtId="41" fontId="14" fillId="6" borderId="22" xfId="0" applyNumberFormat="1" applyFont="1" applyFill="1" applyBorder="1"/>
    <xf numFmtId="0" fontId="16" fillId="0" borderId="9" xfId="0" applyFont="1" applyBorder="1"/>
    <xf numFmtId="0" fontId="5" fillId="0" borderId="8" xfId="0" applyFont="1" applyBorder="1"/>
    <xf numFmtId="43" fontId="14" fillId="6" borderId="7" xfId="0" applyNumberFormat="1" applyFont="1" applyFill="1" applyBorder="1"/>
    <xf numFmtId="0" fontId="14" fillId="0" borderId="8" xfId="0" applyFont="1" applyBorder="1"/>
    <xf numFmtId="0" fontId="14" fillId="0" borderId="9" xfId="0" applyFont="1" applyBorder="1" applyAlignment="1">
      <alignment horizontal="center"/>
    </xf>
    <xf numFmtId="41" fontId="5" fillId="0" borderId="1" xfId="0" applyNumberFormat="1" applyFont="1" applyBorder="1"/>
    <xf numFmtId="0" fontId="14" fillId="0" borderId="20" xfId="0" applyFont="1" applyBorder="1" applyAlignment="1">
      <alignment horizontal="center" wrapText="1"/>
    </xf>
    <xf numFmtId="0" fontId="14" fillId="0" borderId="27" xfId="0" applyFont="1" applyBorder="1"/>
    <xf numFmtId="0" fontId="14" fillId="0" borderId="20" xfId="0" applyFont="1" applyBorder="1" applyAlignment="1">
      <alignment horizontal="center"/>
    </xf>
    <xf numFmtId="0" fontId="5" fillId="0" borderId="16" xfId="0" applyFont="1" applyBorder="1"/>
    <xf numFmtId="0" fontId="5" fillId="0" borderId="0" xfId="0" applyFont="1" applyBorder="1"/>
    <xf numFmtId="0" fontId="5" fillId="0" borderId="16" xfId="0" applyFont="1" applyBorder="1" applyAlignment="1">
      <alignment horizontal="center"/>
    </xf>
    <xf numFmtId="0" fontId="5" fillId="0" borderId="7" xfId="0" applyFont="1" applyBorder="1" applyAlignment="1">
      <alignment horizontal="center"/>
    </xf>
    <xf numFmtId="0" fontId="5" fillId="0" borderId="20" xfId="0" applyFont="1" applyBorder="1" applyAlignment="1">
      <alignment horizontal="center"/>
    </xf>
    <xf numFmtId="167" fontId="5" fillId="0" borderId="0" xfId="1" applyNumberFormat="1" applyFont="1" applyBorder="1"/>
    <xf numFmtId="11" fontId="5" fillId="0" borderId="0" xfId="0" applyNumberFormat="1" applyFont="1" applyBorder="1"/>
    <xf numFmtId="0" fontId="5" fillId="0" borderId="20" xfId="0" applyFont="1" applyBorder="1" applyAlignment="1">
      <alignment horizontal="center" wrapText="1"/>
    </xf>
    <xf numFmtId="0" fontId="14" fillId="0" borderId="16" xfId="0" applyFont="1" applyBorder="1"/>
    <xf numFmtId="166" fontId="5" fillId="0" borderId="0" xfId="0" applyNumberFormat="1" applyFont="1" applyBorder="1"/>
    <xf numFmtId="43" fontId="5" fillId="0" borderId="0" xfId="0" applyNumberFormat="1" applyFont="1" applyBorder="1"/>
    <xf numFmtId="0" fontId="14" fillId="4" borderId="16" xfId="0" applyFont="1" applyFill="1" applyBorder="1"/>
    <xf numFmtId="0" fontId="14" fillId="4" borderId="7" xfId="0" applyFont="1" applyFill="1" applyBorder="1"/>
    <xf numFmtId="166" fontId="5" fillId="0" borderId="1" xfId="0" applyNumberFormat="1" applyFont="1" applyBorder="1"/>
    <xf numFmtId="43" fontId="5" fillId="0" borderId="1" xfId="0" applyNumberFormat="1" applyFont="1" applyBorder="1"/>
    <xf numFmtId="0" fontId="14" fillId="4" borderId="17" xfId="0" applyFont="1" applyFill="1" applyBorder="1"/>
    <xf numFmtId="0" fontId="14" fillId="4" borderId="8" xfId="0" applyFont="1" applyFill="1" applyBorder="1"/>
    <xf numFmtId="0" fontId="5" fillId="0" borderId="0" xfId="0" applyFont="1" applyFill="1" applyBorder="1"/>
    <xf numFmtId="0" fontId="5" fillId="0" borderId="7" xfId="0"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4" fillId="0" borderId="16" xfId="0" applyFont="1" applyFill="1" applyBorder="1"/>
    <xf numFmtId="0" fontId="5" fillId="4" borderId="0" xfId="0" applyFont="1" applyFill="1" applyBorder="1"/>
    <xf numFmtId="0" fontId="5" fillId="4" borderId="7" xfId="0" applyFont="1" applyFill="1" applyBorder="1"/>
    <xf numFmtId="0" fontId="5" fillId="0" borderId="6" xfId="0" applyFont="1" applyBorder="1" applyAlignment="1">
      <alignment horizontal="center"/>
    </xf>
    <xf numFmtId="0" fontId="5" fillId="0" borderId="6" xfId="0" applyFont="1" applyBorder="1"/>
    <xf numFmtId="41" fontId="5" fillId="6" borderId="6" xfId="0" applyNumberFormat="1" applyFont="1" applyFill="1" applyBorder="1"/>
    <xf numFmtId="10" fontId="5" fillId="0" borderId="0" xfId="1" applyNumberFormat="1" applyFont="1" applyBorder="1"/>
    <xf numFmtId="0" fontId="5" fillId="0" borderId="6" xfId="0" applyFont="1" applyFill="1" applyBorder="1" applyAlignment="1">
      <alignment horizontal="center"/>
    </xf>
    <xf numFmtId="0" fontId="5" fillId="0" borderId="7" xfId="0" applyFont="1" applyFill="1" applyBorder="1" applyAlignment="1">
      <alignment horizontal="center"/>
    </xf>
    <xf numFmtId="0" fontId="14" fillId="0" borderId="0" xfId="0" applyFont="1" applyFill="1"/>
    <xf numFmtId="0" fontId="14" fillId="4" borderId="6" xfId="0" applyFont="1" applyFill="1" applyBorder="1"/>
    <xf numFmtId="165" fontId="5" fillId="0" borderId="0" xfId="0" applyNumberFormat="1" applyFont="1" applyBorder="1"/>
    <xf numFmtId="0" fontId="5" fillId="4" borderId="6" xfId="0" applyFont="1" applyFill="1" applyBorder="1"/>
    <xf numFmtId="0" fontId="14" fillId="4" borderId="9" xfId="0" applyFont="1" applyFill="1" applyBorder="1"/>
    <xf numFmtId="0" fontId="5" fillId="4" borderId="1" xfId="0" applyFont="1" applyFill="1" applyBorder="1"/>
    <xf numFmtId="165" fontId="5" fillId="0" borderId="1" xfId="0" applyNumberFormat="1" applyFont="1" applyBorder="1"/>
    <xf numFmtId="0" fontId="5" fillId="0" borderId="9" xfId="0" applyFont="1" applyBorder="1" applyAlignment="1">
      <alignment horizontal="center"/>
    </xf>
    <xf numFmtId="0" fontId="5" fillId="0" borderId="8" xfId="0" applyFont="1" applyBorder="1" applyAlignment="1">
      <alignment horizontal="center"/>
    </xf>
    <xf numFmtId="0" fontId="5" fillId="4" borderId="9" xfId="0" applyFont="1" applyFill="1" applyBorder="1"/>
    <xf numFmtId="0" fontId="5" fillId="4" borderId="8" xfId="0" applyFont="1" applyFill="1" applyBorder="1"/>
    <xf numFmtId="0" fontId="14" fillId="0" borderId="3" xfId="0" applyFont="1" applyBorder="1" applyAlignment="1">
      <alignment horizontal="center" wrapText="1"/>
    </xf>
    <xf numFmtId="0" fontId="16" fillId="0" borderId="0" xfId="0" applyFont="1" applyAlignment="1">
      <alignment horizontal="left" wrapText="1"/>
    </xf>
    <xf numFmtId="0" fontId="14" fillId="0" borderId="16" xfId="0" applyFont="1" applyBorder="1" applyAlignment="1">
      <alignment horizontal="center" wrapText="1"/>
    </xf>
    <xf numFmtId="0" fontId="15" fillId="0" borderId="10" xfId="0" applyFont="1" applyBorder="1"/>
    <xf numFmtId="0" fontId="14" fillId="0" borderId="13" xfId="0" applyFont="1" applyBorder="1"/>
    <xf numFmtId="43" fontId="5" fillId="0" borderId="16" xfId="0" applyNumberFormat="1" applyFont="1" applyBorder="1"/>
    <xf numFmtId="10" fontId="5" fillId="0" borderId="17" xfId="1" applyNumberFormat="1" applyFont="1" applyBorder="1"/>
    <xf numFmtId="0" fontId="15" fillId="0" borderId="10" xfId="0" applyFont="1" applyBorder="1" applyAlignment="1">
      <alignment horizontal="left"/>
    </xf>
    <xf numFmtId="10" fontId="18" fillId="0" borderId="13" xfId="1" applyNumberFormat="1" applyFont="1" applyBorder="1"/>
    <xf numFmtId="0" fontId="15" fillId="0" borderId="6" xfId="0" applyFont="1" applyBorder="1" applyAlignment="1">
      <alignment horizontal="left" indent="3"/>
    </xf>
    <xf numFmtId="0" fontId="14" fillId="0" borderId="6" xfId="0" applyFont="1" applyBorder="1" applyAlignment="1">
      <alignment horizontal="left" indent="5"/>
    </xf>
    <xf numFmtId="41" fontId="14" fillId="6" borderId="16" xfId="0" applyNumberFormat="1" applyFont="1" applyFill="1" applyBorder="1"/>
    <xf numFmtId="41" fontId="14" fillId="0" borderId="0" xfId="0" applyNumberFormat="1" applyFont="1" applyFill="1" applyBorder="1"/>
    <xf numFmtId="10" fontId="14" fillId="6" borderId="16" xfId="1" applyNumberFormat="1" applyFont="1" applyFill="1" applyBorder="1"/>
    <xf numFmtId="10" fontId="14" fillId="0" borderId="0" xfId="1" applyNumberFormat="1" applyFont="1" applyFill="1" applyBorder="1"/>
    <xf numFmtId="43" fontId="14" fillId="6" borderId="16" xfId="0" applyNumberFormat="1" applyFont="1" applyFill="1" applyBorder="1"/>
    <xf numFmtId="10" fontId="18" fillId="0" borderId="16" xfId="1" applyNumberFormat="1" applyFont="1" applyBorder="1"/>
    <xf numFmtId="0" fontId="14" fillId="0" borderId="6" xfId="0" applyFont="1" applyBorder="1" applyAlignment="1">
      <alignment horizontal="left" indent="6"/>
    </xf>
    <xf numFmtId="10" fontId="5" fillId="6" borderId="16" xfId="1" applyNumberFormat="1" applyFont="1" applyFill="1" applyBorder="1"/>
    <xf numFmtId="41" fontId="5" fillId="6" borderId="16" xfId="1" applyNumberFormat="1" applyFont="1" applyFill="1" applyBorder="1"/>
    <xf numFmtId="10" fontId="18" fillId="0" borderId="16" xfId="1" applyNumberFormat="1" applyFont="1" applyFill="1" applyBorder="1"/>
    <xf numFmtId="10" fontId="5" fillId="0" borderId="16" xfId="1" applyNumberFormat="1" applyFont="1" applyBorder="1"/>
    <xf numFmtId="41" fontId="5" fillId="0" borderId="16" xfId="0" applyNumberFormat="1" applyFont="1" applyBorder="1"/>
    <xf numFmtId="41" fontId="14" fillId="0" borderId="0" xfId="0" applyNumberFormat="1" applyFont="1"/>
    <xf numFmtId="41" fontId="14" fillId="0" borderId="16" xfId="0" applyNumberFormat="1" applyFont="1" applyBorder="1"/>
    <xf numFmtId="41" fontId="14" fillId="0" borderId="7" xfId="0" applyNumberFormat="1" applyFont="1" applyBorder="1"/>
    <xf numFmtId="41" fontId="5" fillId="6" borderId="16" xfId="0" applyNumberFormat="1" applyFont="1" applyFill="1" applyBorder="1"/>
    <xf numFmtId="0" fontId="5" fillId="4" borderId="16" xfId="0" applyFont="1" applyFill="1" applyBorder="1"/>
    <xf numFmtId="167" fontId="5" fillId="6" borderId="16" xfId="1" applyNumberFormat="1" applyFont="1" applyFill="1" applyBorder="1"/>
    <xf numFmtId="10" fontId="5" fillId="0" borderId="16" xfId="1" applyNumberFormat="1" applyFont="1" applyFill="1" applyBorder="1"/>
    <xf numFmtId="41" fontId="5" fillId="6" borderId="17" xfId="0" applyNumberFormat="1" applyFont="1" applyFill="1" applyBorder="1"/>
    <xf numFmtId="0" fontId="14" fillId="0" borderId="9" xfId="0" applyFont="1" applyBorder="1" applyAlignment="1">
      <alignment horizontal="left" indent="4"/>
    </xf>
    <xf numFmtId="43" fontId="5" fillId="6" borderId="17" xfId="0" applyNumberFormat="1" applyFont="1" applyFill="1" applyBorder="1"/>
    <xf numFmtId="43" fontId="14" fillId="0" borderId="13" xfId="0" applyNumberFormat="1" applyFont="1" applyBorder="1"/>
    <xf numFmtId="43" fontId="14" fillId="0" borderId="16" xfId="0" applyNumberFormat="1" applyFont="1" applyBorder="1"/>
    <xf numFmtId="0" fontId="14" fillId="0" borderId="16" xfId="0" applyFont="1" applyBorder="1" applyAlignment="1">
      <alignment horizontal="left" indent="4"/>
    </xf>
    <xf numFmtId="167" fontId="14" fillId="4" borderId="16" xfId="0" applyNumberFormat="1" applyFont="1" applyFill="1" applyBorder="1"/>
    <xf numFmtId="167" fontId="5" fillId="6" borderId="17" xfId="1" applyNumberFormat="1" applyFont="1" applyFill="1" applyBorder="1"/>
    <xf numFmtId="41" fontId="5" fillId="0" borderId="13" xfId="0" applyNumberFormat="1" applyFont="1" applyBorder="1"/>
    <xf numFmtId="0" fontId="5" fillId="0" borderId="6" xfId="0" applyNumberFormat="1" applyFont="1" applyFill="1" applyBorder="1" applyAlignment="1">
      <alignment horizontal="left" indent="6"/>
    </xf>
    <xf numFmtId="10" fontId="5" fillId="6" borderId="17" xfId="1" applyNumberFormat="1" applyFont="1" applyFill="1" applyBorder="1"/>
    <xf numFmtId="41" fontId="5" fillId="6" borderId="20" xfId="0" applyNumberFormat="1" applyFont="1" applyFill="1" applyBorder="1"/>
    <xf numFmtId="0" fontId="14" fillId="0" borderId="6" xfId="0" applyFont="1" applyBorder="1" applyAlignment="1">
      <alignment horizontal="center"/>
    </xf>
    <xf numFmtId="0" fontId="5" fillId="0" borderId="6" xfId="0" applyNumberFormat="1" applyFont="1" applyFill="1" applyBorder="1" applyAlignment="1">
      <alignment horizontal="left" indent="7"/>
    </xf>
    <xf numFmtId="0" fontId="5" fillId="0" borderId="6" xfId="0" applyNumberFormat="1" applyFont="1" applyFill="1" applyBorder="1" applyAlignment="1">
      <alignment horizontal="left" indent="8"/>
    </xf>
    <xf numFmtId="0" fontId="5" fillId="0" borderId="9" xfId="0" applyNumberFormat="1" applyFont="1" applyFill="1" applyBorder="1" applyAlignment="1">
      <alignment horizontal="left" indent="8"/>
    </xf>
    <xf numFmtId="0" fontId="5" fillId="0" borderId="9" xfId="0" applyNumberFormat="1" applyFont="1" applyFill="1" applyBorder="1" applyAlignment="1">
      <alignment horizontal="left" indent="6"/>
    </xf>
    <xf numFmtId="0" fontId="13" fillId="0" borderId="0" xfId="0" applyFont="1"/>
    <xf numFmtId="164" fontId="15" fillId="3" borderId="2" xfId="0" applyNumberFormat="1" applyFont="1" applyFill="1" applyBorder="1" applyAlignment="1">
      <alignment horizontal="center"/>
    </xf>
    <xf numFmtId="164" fontId="14" fillId="0" borderId="0" xfId="0" applyNumberFormat="1" applyFont="1" applyBorder="1" applyAlignment="1">
      <alignment horizontal="center"/>
    </xf>
    <xf numFmtId="0" fontId="15" fillId="3" borderId="3" xfId="0" applyFont="1" applyFill="1" applyBorder="1"/>
    <xf numFmtId="0" fontId="14" fillId="0" borderId="0" xfId="0" applyFont="1" applyAlignment="1">
      <alignment horizontal="left"/>
    </xf>
    <xf numFmtId="10" fontId="14" fillId="0" borderId="0" xfId="1" applyNumberFormat="1" applyFont="1"/>
    <xf numFmtId="0" fontId="15" fillId="0" borderId="0" xfId="0" applyFont="1"/>
    <xf numFmtId="168" fontId="14" fillId="0" borderId="0" xfId="0" applyNumberFormat="1" applyFont="1"/>
    <xf numFmtId="0" fontId="14" fillId="0" borderId="0" xfId="0" applyFont="1" applyAlignment="1">
      <alignment horizontal="left" indent="2"/>
    </xf>
    <xf numFmtId="43" fontId="14" fillId="0" borderId="1" xfId="0" applyNumberFormat="1" applyFont="1" applyBorder="1"/>
    <xf numFmtId="41" fontId="14" fillId="0" borderId="0" xfId="0" applyNumberFormat="1" applyFont="1" applyBorder="1"/>
    <xf numFmtId="41" fontId="14" fillId="0" borderId="1" xfId="0" applyNumberFormat="1" applyFont="1" applyBorder="1"/>
    <xf numFmtId="41" fontId="14" fillId="0" borderId="12" xfId="0" applyNumberFormat="1" applyFont="1" applyBorder="1"/>
    <xf numFmtId="0" fontId="14" fillId="0" borderId="0" xfId="0" applyFont="1" applyAlignment="1">
      <alignment horizontal="left" indent="3"/>
    </xf>
    <xf numFmtId="10" fontId="14" fillId="0" borderId="1" xfId="1" applyNumberFormat="1" applyFont="1" applyBorder="1"/>
    <xf numFmtId="167" fontId="14" fillId="0" borderId="1" xfId="1" applyNumberFormat="1" applyFont="1" applyBorder="1"/>
    <xf numFmtId="167" fontId="14" fillId="0" borderId="1" xfId="0" applyNumberFormat="1" applyFont="1" applyBorder="1"/>
    <xf numFmtId="41" fontId="14" fillId="0" borderId="18" xfId="0" applyNumberFormat="1" applyFont="1" applyBorder="1"/>
    <xf numFmtId="41" fontId="14" fillId="0" borderId="2" xfId="0" applyNumberFormat="1" applyFont="1" applyBorder="1"/>
    <xf numFmtId="0" fontId="15" fillId="0" borderId="0" xfId="0" applyFont="1" applyFill="1" applyBorder="1"/>
    <xf numFmtId="41" fontId="14" fillId="0" borderId="3" xfId="0" applyNumberFormat="1" applyFont="1" applyBorder="1"/>
    <xf numFmtId="0" fontId="14" fillId="0" borderId="0" xfId="0" applyFont="1" applyFill="1" applyBorder="1" applyAlignment="1">
      <alignment horizontal="left"/>
    </xf>
    <xf numFmtId="41" fontId="14" fillId="0" borderId="0" xfId="0" applyNumberFormat="1" applyFont="1" applyFill="1"/>
    <xf numFmtId="43" fontId="14" fillId="0" borderId="3" xfId="0" applyNumberFormat="1" applyFont="1" applyBorder="1"/>
    <xf numFmtId="0" fontId="14" fillId="0" borderId="0" xfId="0" applyFont="1" applyAlignment="1">
      <alignment horizontal="left" indent="4"/>
    </xf>
    <xf numFmtId="10" fontId="14" fillId="0" borderId="12" xfId="0" applyNumberFormat="1" applyFont="1" applyBorder="1"/>
    <xf numFmtId="10" fontId="14" fillId="0" borderId="1" xfId="0" applyNumberFormat="1" applyFont="1" applyBorder="1"/>
    <xf numFmtId="41" fontId="14" fillId="0" borderId="1" xfId="0" applyNumberFormat="1" applyFont="1" applyFill="1" applyBorder="1"/>
    <xf numFmtId="0" fontId="14" fillId="0" borderId="0" xfId="0" applyFont="1" applyFill="1" applyBorder="1" applyAlignment="1">
      <alignment horizontal="left" indent="2"/>
    </xf>
    <xf numFmtId="0" fontId="14" fillId="0" borderId="0" xfId="0" applyFont="1" applyFill="1" applyBorder="1" applyAlignment="1">
      <alignment horizontal="left" indent="4"/>
    </xf>
    <xf numFmtId="0" fontId="14" fillId="0" borderId="4" xfId="0" applyFont="1" applyBorder="1" applyAlignment="1">
      <alignment horizontal="center" wrapText="1"/>
    </xf>
    <xf numFmtId="0" fontId="14" fillId="0" borderId="2" xfId="0" applyFont="1" applyBorder="1" applyAlignment="1">
      <alignment horizontal="center" wrapText="1"/>
    </xf>
    <xf numFmtId="0" fontId="14" fillId="0" borderId="23" xfId="0" applyFont="1" applyBorder="1" applyAlignment="1">
      <alignment horizontal="center" wrapText="1"/>
    </xf>
    <xf numFmtId="167" fontId="14" fillId="4" borderId="9" xfId="1" applyNumberFormat="1" applyFont="1" applyFill="1" applyBorder="1"/>
    <xf numFmtId="41" fontId="14" fillId="4" borderId="1" xfId="0" applyNumberFormat="1" applyFont="1" applyFill="1" applyBorder="1"/>
    <xf numFmtId="0" fontId="14" fillId="4" borderId="1" xfId="0" applyFont="1" applyFill="1" applyBorder="1"/>
    <xf numFmtId="41" fontId="14" fillId="0" borderId="17" xfId="0" applyNumberFormat="1" applyFont="1" applyBorder="1"/>
    <xf numFmtId="0" fontId="14" fillId="0" borderId="0" xfId="0" applyFont="1" applyAlignment="1">
      <alignment horizontal="left" indent="6"/>
    </xf>
    <xf numFmtId="167" fontId="14" fillId="0" borderId="13" xfId="0" applyNumberFormat="1" applyFont="1" applyBorder="1"/>
    <xf numFmtId="167" fontId="14" fillId="0" borderId="0" xfId="1" applyNumberFormat="1" applyFont="1" applyBorder="1"/>
    <xf numFmtId="167" fontId="14" fillId="0" borderId="16" xfId="0" applyNumberFormat="1" applyFont="1" applyBorder="1"/>
    <xf numFmtId="167" fontId="14" fillId="0" borderId="17" xfId="0" applyNumberFormat="1" applyFont="1" applyBorder="1"/>
    <xf numFmtId="41" fontId="14" fillId="0" borderId="13" xfId="0" applyNumberFormat="1" applyFont="1" applyBorder="1"/>
    <xf numFmtId="0" fontId="14" fillId="0" borderId="0" xfId="0" applyFont="1" applyAlignment="1">
      <alignment horizontal="right"/>
    </xf>
    <xf numFmtId="167" fontId="14" fillId="0" borderId="0" xfId="1" applyNumberFormat="1" applyFont="1"/>
    <xf numFmtId="41" fontId="14" fillId="0" borderId="9" xfId="0" applyNumberFormat="1" applyFont="1" applyBorder="1"/>
    <xf numFmtId="0" fontId="14" fillId="0" borderId="0" xfId="0" applyFont="1" applyFill="1" applyAlignment="1">
      <alignment horizontal="right"/>
    </xf>
    <xf numFmtId="41" fontId="14" fillId="0" borderId="16" xfId="0" applyNumberFormat="1" applyFont="1" applyFill="1" applyBorder="1"/>
    <xf numFmtId="41" fontId="14" fillId="0" borderId="17" xfId="0" applyNumberFormat="1" applyFont="1" applyFill="1" applyBorder="1"/>
    <xf numFmtId="41" fontId="14" fillId="0" borderId="6" xfId="0" applyNumberFormat="1" applyFont="1" applyBorder="1"/>
    <xf numFmtId="41" fontId="15" fillId="0" borderId="10" xfId="0" applyNumberFormat="1" applyFont="1" applyFill="1" applyBorder="1"/>
    <xf numFmtId="41" fontId="14" fillId="0" borderId="11" xfId="0" applyNumberFormat="1" applyFont="1" applyFill="1" applyBorder="1"/>
    <xf numFmtId="0" fontId="14" fillId="0" borderId="3" xfId="0" applyFont="1" applyFill="1" applyBorder="1" applyAlignment="1">
      <alignment horizontal="center" wrapText="1"/>
    </xf>
    <xf numFmtId="41" fontId="14" fillId="0" borderId="12" xfId="0" applyNumberFormat="1" applyFont="1" applyFill="1" applyBorder="1"/>
    <xf numFmtId="167" fontId="14" fillId="4" borderId="1" xfId="1" applyNumberFormat="1" applyFont="1" applyFill="1" applyBorder="1"/>
    <xf numFmtId="167" fontId="14" fillId="4" borderId="17" xfId="1" applyNumberFormat="1" applyFont="1" applyFill="1" applyBorder="1"/>
    <xf numFmtId="166" fontId="14" fillId="0" borderId="0" xfId="0" applyNumberFormat="1" applyFont="1"/>
    <xf numFmtId="43" fontId="14" fillId="0" borderId="0" xfId="0" applyNumberFormat="1" applyFont="1"/>
    <xf numFmtId="166" fontId="14" fillId="0" borderId="0" xfId="0" applyNumberFormat="1" applyFont="1" applyBorder="1"/>
    <xf numFmtId="10" fontId="14" fillId="0" borderId="0" xfId="1" applyNumberFormat="1" applyFont="1" applyFill="1"/>
    <xf numFmtId="171" fontId="14" fillId="0" borderId="0" xfId="1" applyNumberFormat="1" applyFont="1" applyFill="1"/>
    <xf numFmtId="171" fontId="14" fillId="0" borderId="0" xfId="1" applyNumberFormat="1" applyFont="1" applyFill="1" applyBorder="1"/>
    <xf numFmtId="41" fontId="14" fillId="0" borderId="19" xfId="0" applyNumberFormat="1" applyFont="1" applyBorder="1"/>
    <xf numFmtId="43" fontId="14" fillId="0" borderId="0" xfId="1" applyNumberFormat="1" applyFont="1" applyFill="1"/>
    <xf numFmtId="169" fontId="5" fillId="0" borderId="0" xfId="0" applyNumberFormat="1" applyFont="1" applyAlignment="1">
      <alignment horizontal="left"/>
    </xf>
    <xf numFmtId="43" fontId="14" fillId="0" borderId="2" xfId="0" applyNumberFormat="1" applyFont="1" applyBorder="1"/>
    <xf numFmtId="0" fontId="15" fillId="3" borderId="9" xfId="0" applyFont="1" applyFill="1" applyBorder="1"/>
    <xf numFmtId="0" fontId="14" fillId="3" borderId="8" xfId="0" applyFont="1" applyFill="1" applyBorder="1"/>
    <xf numFmtId="0" fontId="14" fillId="3" borderId="1" xfId="0" applyFont="1" applyFill="1" applyBorder="1"/>
    <xf numFmtId="0" fontId="5" fillId="3" borderId="8" xfId="0" applyFont="1" applyFill="1" applyBorder="1"/>
    <xf numFmtId="0" fontId="15" fillId="3" borderId="6" xfId="0" applyFont="1" applyFill="1" applyBorder="1"/>
    <xf numFmtId="0" fontId="14" fillId="3" borderId="7" xfId="0" applyFont="1" applyFill="1" applyBorder="1"/>
    <xf numFmtId="0" fontId="14" fillId="0" borderId="7" xfId="0" applyFont="1" applyFill="1" applyBorder="1"/>
    <xf numFmtId="0" fontId="14" fillId="0" borderId="6" xfId="0" applyFont="1" applyBorder="1" applyAlignment="1">
      <alignment horizontal="left" wrapText="1" indent="5"/>
    </xf>
    <xf numFmtId="0" fontId="0" fillId="0" borderId="20" xfId="0" applyFont="1" applyFill="1" applyBorder="1" applyAlignment="1">
      <alignment wrapText="1"/>
    </xf>
    <xf numFmtId="41" fontId="14" fillId="0" borderId="23" xfId="0" applyNumberFormat="1" applyFont="1" applyBorder="1"/>
    <xf numFmtId="0" fontId="0" fillId="0" borderId="20" xfId="0" applyFill="1" applyBorder="1" applyAlignment="1">
      <alignment wrapText="1"/>
    </xf>
    <xf numFmtId="0" fontId="14" fillId="0" borderId="21" xfId="0" applyFont="1" applyBorder="1" applyAlignment="1">
      <alignment horizontal="left" indent="6"/>
    </xf>
    <xf numFmtId="0" fontId="5" fillId="0" borderId="6" xfId="0" applyNumberFormat="1" applyFont="1" applyFill="1" applyBorder="1" applyAlignment="1">
      <alignment horizontal="left" wrapText="1" indent="6"/>
    </xf>
    <xf numFmtId="41" fontId="14" fillId="0" borderId="20" xfId="0" applyNumberFormat="1" applyFont="1" applyBorder="1"/>
    <xf numFmtId="0" fontId="0" fillId="0" borderId="0" xfId="0" applyFont="1" applyAlignment="1">
      <alignment wrapText="1"/>
    </xf>
    <xf numFmtId="0" fontId="14" fillId="0" borderId="0" xfId="0" applyFont="1" applyFill="1" applyAlignment="1">
      <alignment horizontal="left" indent="2"/>
    </xf>
    <xf numFmtId="0" fontId="14" fillId="0" borderId="0" xfId="0" applyFont="1" applyFill="1" applyAlignment="1">
      <alignment horizontal="left" indent="4"/>
    </xf>
    <xf numFmtId="0" fontId="14" fillId="0" borderId="0" xfId="0" applyFont="1" applyFill="1" applyAlignment="1">
      <alignment horizontal="left" indent="6"/>
    </xf>
    <xf numFmtId="0" fontId="5" fillId="0" borderId="17" xfId="0" applyFont="1" applyBorder="1" applyAlignment="1">
      <alignment horizontal="center"/>
    </xf>
    <xf numFmtId="0" fontId="14" fillId="0" borderId="0" xfId="0" applyFont="1" applyFill="1" applyAlignment="1">
      <alignment horizontal="left" wrapText="1" indent="2"/>
    </xf>
    <xf numFmtId="0" fontId="0" fillId="0" borderId="20" xfId="0" applyBorder="1" applyAlignment="1">
      <alignment wrapText="1"/>
    </xf>
    <xf numFmtId="10" fontId="5" fillId="6" borderId="16" xfId="1" applyNumberFormat="1" applyFont="1" applyFill="1" applyBorder="1" applyAlignment="1">
      <alignment horizontal="right"/>
    </xf>
    <xf numFmtId="10" fontId="18" fillId="0" borderId="16" xfId="1" applyNumberFormat="1" applyFont="1" applyBorder="1" applyAlignment="1">
      <alignment horizontal="right"/>
    </xf>
    <xf numFmtId="10" fontId="14" fillId="0" borderId="3" xfId="0" applyNumberFormat="1" applyFont="1" applyBorder="1" applyAlignment="1">
      <alignment horizontal="right"/>
    </xf>
    <xf numFmtId="41" fontId="14" fillId="0" borderId="25" xfId="0" applyNumberFormat="1" applyFont="1" applyBorder="1"/>
    <xf numFmtId="0" fontId="14" fillId="0" borderId="0" xfId="0" applyFont="1" applyFill="1" applyAlignment="1">
      <alignment horizontal="left"/>
    </xf>
    <xf numFmtId="10" fontId="14" fillId="0" borderId="12" xfId="0" applyNumberFormat="1" applyFont="1" applyFill="1" applyBorder="1" applyAlignment="1">
      <alignment horizontal="right"/>
    </xf>
    <xf numFmtId="41" fontId="14" fillId="0" borderId="23" xfId="0" applyNumberFormat="1" applyFont="1" applyFill="1" applyBorder="1"/>
    <xf numFmtId="10" fontId="14" fillId="0" borderId="25" xfId="0" applyNumberFormat="1" applyFont="1" applyBorder="1"/>
    <xf numFmtId="10" fontId="5" fillId="8" borderId="16" xfId="1" applyNumberFormat="1" applyFont="1" applyFill="1" applyBorder="1"/>
    <xf numFmtId="41" fontId="5" fillId="0" borderId="16" xfId="0" applyNumberFormat="1" applyFont="1" applyFill="1" applyBorder="1"/>
    <xf numFmtId="41" fontId="14" fillId="0" borderId="2" xfId="0" applyNumberFormat="1" applyFont="1" applyFill="1" applyBorder="1"/>
    <xf numFmtId="0" fontId="15" fillId="0" borderId="0" xfId="0" applyFont="1" applyFill="1"/>
    <xf numFmtId="0" fontId="14" fillId="0" borderId="0" xfId="0" applyFont="1" applyAlignment="1">
      <alignment horizontal="left" wrapText="1"/>
    </xf>
    <xf numFmtId="0" fontId="14" fillId="0" borderId="0" xfId="0" applyFont="1" applyAlignment="1">
      <alignment horizontal="left" wrapText="1" indent="2"/>
    </xf>
    <xf numFmtId="0" fontId="15" fillId="4" borderId="0" xfId="0" applyFont="1" applyFill="1" applyBorder="1"/>
    <xf numFmtId="41" fontId="14" fillId="4" borderId="0" xfId="0" applyNumberFormat="1" applyFont="1" applyFill="1"/>
    <xf numFmtId="41" fontId="14" fillId="4" borderId="0" xfId="0" applyNumberFormat="1" applyFont="1" applyFill="1" applyBorder="1"/>
    <xf numFmtId="0" fontId="14" fillId="4" borderId="0" xfId="0" applyFont="1" applyFill="1" applyAlignment="1">
      <alignment horizontal="left"/>
    </xf>
    <xf numFmtId="10" fontId="14" fillId="4" borderId="12" xfId="0" applyNumberFormat="1" applyFont="1" applyFill="1" applyBorder="1"/>
    <xf numFmtId="41" fontId="14" fillId="4" borderId="23" xfId="0" applyNumberFormat="1" applyFont="1" applyFill="1" applyBorder="1"/>
    <xf numFmtId="0" fontId="14" fillId="4" borderId="0" xfId="0" applyFont="1" applyFill="1" applyBorder="1" applyAlignment="1">
      <alignment horizontal="left"/>
    </xf>
    <xf numFmtId="0" fontId="14" fillId="4" borderId="0" xfId="0" applyFont="1" applyFill="1" applyAlignment="1">
      <alignment horizontal="left" indent="2"/>
    </xf>
    <xf numFmtId="41" fontId="14" fillId="4" borderId="2" xfId="0" applyNumberFormat="1" applyFont="1" applyFill="1" applyBorder="1"/>
    <xf numFmtId="10" fontId="14" fillId="0" borderId="3" xfId="0" applyNumberFormat="1" applyFont="1" applyFill="1" applyBorder="1" applyAlignment="1">
      <alignment horizontal="right"/>
    </xf>
    <xf numFmtId="41" fontId="14" fillId="0" borderId="3" xfId="0" applyNumberFormat="1" applyFont="1" applyFill="1" applyBorder="1"/>
    <xf numFmtId="0" fontId="14" fillId="3" borderId="16" xfId="0" applyFont="1" applyFill="1" applyBorder="1" applyAlignment="1">
      <alignment horizontal="center" wrapText="1"/>
    </xf>
    <xf numFmtId="172" fontId="14" fillId="0" borderId="0" xfId="1" applyNumberFormat="1" applyFont="1"/>
    <xf numFmtId="0" fontId="0" fillId="0" borderId="20" xfId="0" applyFont="1" applyFill="1" applyBorder="1"/>
    <xf numFmtId="0" fontId="0" fillId="0" borderId="0" xfId="0" applyFont="1" applyFill="1"/>
    <xf numFmtId="41" fontId="14" fillId="0" borderId="20" xfId="0" applyNumberFormat="1" applyFont="1" applyFill="1" applyBorder="1"/>
    <xf numFmtId="0" fontId="15" fillId="0" borderId="21" xfId="0" applyFont="1" applyBorder="1"/>
    <xf numFmtId="0" fontId="14" fillId="0" borderId="23" xfId="0" applyFont="1" applyBorder="1"/>
    <xf numFmtId="0" fontId="14" fillId="0" borderId="22" xfId="0" applyFont="1" applyBorder="1"/>
    <xf numFmtId="167" fontId="14" fillId="4" borderId="8" xfId="1" applyNumberFormat="1" applyFont="1" applyFill="1" applyBorder="1"/>
    <xf numFmtId="10" fontId="14" fillId="0" borderId="1" xfId="0" applyNumberFormat="1" applyFont="1" applyFill="1" applyBorder="1"/>
    <xf numFmtId="0" fontId="14" fillId="0" borderId="21" xfId="0" applyFont="1" applyBorder="1" applyAlignment="1">
      <alignment horizontal="center" wrapText="1"/>
    </xf>
    <xf numFmtId="0" fontId="14" fillId="3" borderId="0" xfId="0" applyFont="1" applyFill="1" applyBorder="1" applyAlignment="1">
      <alignment horizontal="center" wrapText="1"/>
    </xf>
    <xf numFmtId="0" fontId="14" fillId="0" borderId="25" xfId="0" applyFont="1" applyBorder="1"/>
    <xf numFmtId="43" fontId="5" fillId="0" borderId="6" xfId="0" applyNumberFormat="1" applyFont="1" applyBorder="1"/>
    <xf numFmtId="10" fontId="5" fillId="0" borderId="9" xfId="1" applyNumberFormat="1" applyFont="1" applyBorder="1"/>
    <xf numFmtId="41" fontId="14" fillId="6" borderId="6" xfId="0" applyNumberFormat="1" applyFont="1" applyFill="1" applyBorder="1"/>
    <xf numFmtId="10" fontId="14" fillId="6" borderId="6" xfId="1" applyNumberFormat="1" applyFont="1" applyFill="1" applyBorder="1"/>
    <xf numFmtId="43" fontId="14" fillId="6" borderId="6" xfId="0" applyNumberFormat="1" applyFont="1" applyFill="1" applyBorder="1"/>
    <xf numFmtId="10" fontId="18" fillId="0" borderId="6" xfId="1" applyNumberFormat="1" applyFont="1" applyBorder="1"/>
    <xf numFmtId="10" fontId="5" fillId="6" borderId="6" xfId="1" applyNumberFormat="1" applyFont="1" applyFill="1" applyBorder="1"/>
    <xf numFmtId="10" fontId="5" fillId="0" borderId="6" xfId="1" applyNumberFormat="1" applyFont="1" applyFill="1" applyBorder="1"/>
    <xf numFmtId="41" fontId="5" fillId="6" borderId="6" xfId="1" applyNumberFormat="1" applyFont="1" applyFill="1" applyBorder="1"/>
    <xf numFmtId="10" fontId="18" fillId="0" borderId="6" xfId="1" applyNumberFormat="1" applyFont="1" applyFill="1" applyBorder="1"/>
    <xf numFmtId="10" fontId="5" fillId="8" borderId="6" xfId="1" applyNumberFormat="1" applyFont="1" applyFill="1" applyBorder="1"/>
    <xf numFmtId="167" fontId="5" fillId="6" borderId="6" xfId="1" applyNumberFormat="1" applyFont="1" applyFill="1" applyBorder="1"/>
    <xf numFmtId="41" fontId="5" fillId="0" borderId="6" xfId="0" applyNumberFormat="1" applyFont="1" applyBorder="1"/>
    <xf numFmtId="41" fontId="5" fillId="6" borderId="9" xfId="0" applyNumberFormat="1" applyFont="1" applyFill="1" applyBorder="1"/>
    <xf numFmtId="43" fontId="5" fillId="6" borderId="9" xfId="0" applyNumberFormat="1" applyFont="1" applyFill="1" applyBorder="1"/>
    <xf numFmtId="43" fontId="14" fillId="0" borderId="25" xfId="0" applyNumberFormat="1" applyFont="1" applyBorder="1"/>
    <xf numFmtId="43" fontId="14" fillId="0" borderId="0" xfId="0" applyNumberFormat="1" applyFont="1" applyBorder="1"/>
    <xf numFmtId="167" fontId="5" fillId="6" borderId="9" xfId="1" applyNumberFormat="1" applyFont="1" applyFill="1" applyBorder="1"/>
    <xf numFmtId="41" fontId="5" fillId="0" borderId="25" xfId="0" applyNumberFormat="1" applyFont="1" applyBorder="1"/>
    <xf numFmtId="41" fontId="5" fillId="6" borderId="0" xfId="0" applyNumberFormat="1" applyFont="1" applyFill="1" applyBorder="1"/>
    <xf numFmtId="41" fontId="5" fillId="0" borderId="0" xfId="0" applyNumberFormat="1" applyFont="1" applyFill="1" applyBorder="1"/>
    <xf numFmtId="41" fontId="5" fillId="6" borderId="1" xfId="0" applyNumberFormat="1" applyFont="1" applyFill="1" applyBorder="1"/>
    <xf numFmtId="10" fontId="5" fillId="6" borderId="1" xfId="1" applyNumberFormat="1" applyFont="1" applyFill="1" applyBorder="1"/>
    <xf numFmtId="10" fontId="5" fillId="6" borderId="0" xfId="1" applyNumberFormat="1" applyFont="1" applyFill="1" applyBorder="1"/>
    <xf numFmtId="41" fontId="5" fillId="6" borderId="23" xfId="0" applyNumberFormat="1" applyFont="1" applyFill="1" applyBorder="1"/>
    <xf numFmtId="41" fontId="14" fillId="0" borderId="7" xfId="0" applyNumberFormat="1" applyFont="1" applyFill="1" applyBorder="1"/>
    <xf numFmtId="10" fontId="14" fillId="0" borderId="7" xfId="1" applyNumberFormat="1" applyFont="1" applyFill="1" applyBorder="1"/>
    <xf numFmtId="43" fontId="14" fillId="0" borderId="7" xfId="0" applyNumberFormat="1" applyFont="1" applyFill="1" applyBorder="1"/>
    <xf numFmtId="10" fontId="18" fillId="0" borderId="7" xfId="1" applyNumberFormat="1" applyFont="1" applyFill="1" applyBorder="1"/>
    <xf numFmtId="41" fontId="5" fillId="0" borderId="7" xfId="1" applyNumberFormat="1" applyFont="1" applyFill="1" applyBorder="1"/>
    <xf numFmtId="0" fontId="14" fillId="0" borderId="6" xfId="0" applyFont="1" applyBorder="1" applyAlignment="1">
      <alignment wrapText="1"/>
    </xf>
    <xf numFmtId="0" fontId="14" fillId="0" borderId="7" xfId="0" applyFont="1" applyBorder="1" applyAlignment="1">
      <alignment wrapText="1"/>
    </xf>
    <xf numFmtId="0" fontId="15" fillId="0" borderId="6" xfId="0" applyFont="1" applyBorder="1" applyAlignment="1">
      <alignment horizontal="left"/>
    </xf>
    <xf numFmtId="0" fontId="5" fillId="0" borderId="16" xfId="0" applyFont="1" applyFill="1" applyBorder="1" applyAlignment="1">
      <alignment horizontal="center"/>
    </xf>
    <xf numFmtId="0" fontId="5" fillId="0" borderId="16" xfId="0" applyFont="1" applyFill="1" applyBorder="1"/>
    <xf numFmtId="0" fontId="14" fillId="0" borderId="6" xfId="0" applyFont="1" applyFill="1" applyBorder="1" applyAlignment="1">
      <alignment horizontal="left"/>
    </xf>
    <xf numFmtId="43" fontId="5" fillId="0" borderId="16" xfId="0" applyNumberFormat="1" applyFont="1" applyFill="1" applyBorder="1"/>
    <xf numFmtId="41" fontId="5" fillId="0" borderId="6" xfId="0" applyNumberFormat="1" applyFont="1" applyFill="1" applyBorder="1"/>
    <xf numFmtId="43" fontId="5" fillId="0" borderId="6" xfId="0" applyNumberFormat="1" applyFont="1" applyFill="1" applyBorder="1"/>
    <xf numFmtId="0" fontId="15" fillId="0" borderId="6" xfId="0" applyFont="1" applyFill="1" applyBorder="1" applyAlignment="1">
      <alignment horizontal="left" indent="2"/>
    </xf>
    <xf numFmtId="0" fontId="14" fillId="0" borderId="6" xfId="0" applyFont="1" applyFill="1" applyBorder="1" applyAlignment="1">
      <alignment horizontal="left" indent="4"/>
    </xf>
    <xf numFmtId="0" fontId="14" fillId="0" borderId="6" xfId="0" applyFont="1" applyFill="1" applyBorder="1" applyAlignment="1">
      <alignment horizontal="left" indent="6"/>
    </xf>
    <xf numFmtId="41" fontId="5" fillId="0" borderId="17" xfId="0" applyNumberFormat="1" applyFont="1" applyFill="1" applyBorder="1"/>
    <xf numFmtId="41" fontId="5" fillId="0" borderId="9" xfId="0" applyNumberFormat="1" applyFont="1" applyFill="1" applyBorder="1"/>
    <xf numFmtId="10" fontId="19" fillId="0" borderId="16" xfId="1" applyNumberFormat="1" applyFont="1" applyFill="1" applyBorder="1"/>
    <xf numFmtId="0" fontId="5" fillId="0" borderId="16" xfId="0" applyNumberFormat="1" applyFont="1" applyFill="1" applyBorder="1" applyAlignment="1">
      <alignment horizontal="right" wrapText="1"/>
    </xf>
    <xf numFmtId="41" fontId="5" fillId="0" borderId="16" xfId="0" applyNumberFormat="1" applyFont="1" applyFill="1" applyBorder="1" applyAlignment="1"/>
    <xf numFmtId="10" fontId="5" fillId="0" borderId="0" xfId="1" applyNumberFormat="1" applyFont="1" applyFill="1" applyBorder="1"/>
    <xf numFmtId="41" fontId="5" fillId="0" borderId="16" xfId="1" applyNumberFormat="1" applyFont="1" applyFill="1" applyBorder="1"/>
    <xf numFmtId="41" fontId="5" fillId="0" borderId="0" xfId="1" applyNumberFormat="1" applyFont="1" applyFill="1" applyBorder="1"/>
    <xf numFmtId="167" fontId="14" fillId="0" borderId="6" xfId="1" applyNumberFormat="1" applyFont="1" applyFill="1" applyBorder="1"/>
    <xf numFmtId="41" fontId="14" fillId="0" borderId="24" xfId="0" applyNumberFormat="1" applyFont="1" applyFill="1" applyBorder="1"/>
    <xf numFmtId="41" fontId="14" fillId="0" borderId="25" xfId="0" applyNumberFormat="1" applyFont="1" applyFill="1" applyBorder="1"/>
    <xf numFmtId="41" fontId="14" fillId="0" borderId="26" xfId="0" applyNumberFormat="1" applyFont="1" applyFill="1" applyBorder="1"/>
    <xf numFmtId="41" fontId="14" fillId="0" borderId="6" xfId="0" applyNumberFormat="1" applyFont="1" applyFill="1" applyBorder="1"/>
    <xf numFmtId="41" fontId="14" fillId="0" borderId="27" xfId="0" applyNumberFormat="1" applyFont="1" applyFill="1" applyBorder="1"/>
    <xf numFmtId="167" fontId="14" fillId="0" borderId="9" xfId="1" applyNumberFormat="1" applyFont="1" applyFill="1" applyBorder="1"/>
    <xf numFmtId="167" fontId="14" fillId="0" borderId="17" xfId="1" applyNumberFormat="1" applyFont="1" applyFill="1" applyBorder="1"/>
    <xf numFmtId="41" fontId="14" fillId="0" borderId="19" xfId="0" applyNumberFormat="1" applyFont="1" applyFill="1" applyBorder="1"/>
    <xf numFmtId="0" fontId="5" fillId="0" borderId="6" xfId="0" applyFont="1" applyFill="1" applyBorder="1"/>
    <xf numFmtId="0" fontId="14" fillId="0" borderId="17" xfId="0" applyFont="1" applyBorder="1" applyAlignment="1">
      <alignment horizontal="center" wrapText="1"/>
    </xf>
    <xf numFmtId="0" fontId="14" fillId="0" borderId="9" xfId="0" applyFont="1" applyBorder="1" applyAlignment="1">
      <alignment horizontal="center" wrapText="1"/>
    </xf>
    <xf numFmtId="0" fontId="14" fillId="2" borderId="23" xfId="0" applyFont="1" applyFill="1" applyBorder="1"/>
    <xf numFmtId="0" fontId="14" fillId="2" borderId="22" xfId="0" applyFont="1" applyFill="1" applyBorder="1"/>
    <xf numFmtId="0" fontId="14" fillId="0" borderId="0" xfId="0" applyFont="1" applyFill="1" applyAlignment="1">
      <alignment horizontal="left" wrapText="1"/>
    </xf>
    <xf numFmtId="41" fontId="14" fillId="0" borderId="18" xfId="0" applyNumberFormat="1" applyFont="1" applyFill="1" applyBorder="1"/>
    <xf numFmtId="0" fontId="5" fillId="0" borderId="6" xfId="0" applyFont="1" applyFill="1" applyBorder="1" applyAlignment="1">
      <alignment horizontal="center"/>
    </xf>
    <xf numFmtId="41" fontId="14" fillId="2" borderId="25" xfId="0" applyNumberFormat="1" applyFont="1" applyFill="1" applyBorder="1"/>
    <xf numFmtId="41" fontId="14" fillId="2" borderId="0" xfId="0" applyNumberFormat="1" applyFont="1" applyFill="1" applyBorder="1"/>
    <xf numFmtId="167" fontId="5" fillId="0" borderId="0" xfId="1" applyNumberFormat="1" applyFont="1" applyFill="1" applyBorder="1"/>
    <xf numFmtId="0" fontId="5" fillId="0" borderId="6" xfId="0" applyFont="1" applyFill="1" applyBorder="1" applyAlignment="1">
      <alignment horizontal="center"/>
    </xf>
    <xf numFmtId="0" fontId="14" fillId="0" borderId="6" xfId="0" applyFont="1" applyBorder="1" applyAlignment="1">
      <alignment horizontal="left" wrapText="1"/>
    </xf>
    <xf numFmtId="0" fontId="14" fillId="0" borderId="7" xfId="0" applyFont="1" applyBorder="1" applyAlignment="1">
      <alignment horizontal="left" wrapText="1"/>
    </xf>
    <xf numFmtId="0" fontId="14" fillId="0" borderId="9" xfId="0" applyFont="1" applyBorder="1" applyAlignment="1">
      <alignment horizontal="left" wrapText="1"/>
    </xf>
    <xf numFmtId="0" fontId="14" fillId="0" borderId="8" xfId="0" applyFont="1" applyBorder="1" applyAlignment="1">
      <alignment horizontal="left" wrapText="1"/>
    </xf>
    <xf numFmtId="0" fontId="14" fillId="0" borderId="6" xfId="0" applyFont="1" applyBorder="1" applyAlignment="1">
      <alignment horizontal="left"/>
    </xf>
    <xf numFmtId="0" fontId="14" fillId="0" borderId="7" xfId="0" applyFont="1" applyBorder="1" applyAlignment="1">
      <alignment horizontal="left"/>
    </xf>
    <xf numFmtId="0" fontId="14" fillId="0" borderId="6" xfId="0" applyFont="1" applyFill="1" applyBorder="1" applyAlignment="1">
      <alignment horizontal="left" wrapText="1"/>
    </xf>
    <xf numFmtId="0" fontId="14" fillId="0" borderId="7" xfId="0" applyFont="1" applyFill="1" applyBorder="1" applyAlignment="1">
      <alignment horizontal="left" wrapText="1"/>
    </xf>
    <xf numFmtId="0" fontId="14" fillId="0" borderId="9" xfId="0" applyFont="1" applyBorder="1" applyAlignment="1">
      <alignment horizontal="center" vertical="center"/>
    </xf>
    <xf numFmtId="0" fontId="14" fillId="0" borderId="8" xfId="0" applyFont="1" applyBorder="1" applyAlignment="1">
      <alignment horizontal="center" vertical="center"/>
    </xf>
    <xf numFmtId="0" fontId="20" fillId="0" borderId="24" xfId="0" applyFont="1" applyBorder="1" applyAlignment="1">
      <alignment horizontal="left" wrapText="1"/>
    </xf>
    <xf numFmtId="0" fontId="20" fillId="0" borderId="26" xfId="0" applyFont="1" applyBorder="1" applyAlignment="1">
      <alignment horizontal="left" wrapText="1"/>
    </xf>
    <xf numFmtId="0" fontId="14" fillId="0" borderId="9" xfId="0" applyFont="1" applyFill="1" applyBorder="1" applyAlignment="1">
      <alignment horizontal="left" wrapText="1"/>
    </xf>
    <xf numFmtId="0" fontId="14" fillId="0" borderId="8" xfId="0" applyFont="1" applyFill="1" applyBorder="1" applyAlignment="1">
      <alignment horizontal="left" wrapText="1"/>
    </xf>
    <xf numFmtId="0" fontId="14" fillId="0" borderId="6" xfId="0" applyFont="1" applyFill="1" applyBorder="1" applyAlignment="1">
      <alignment horizontal="left"/>
    </xf>
    <xf numFmtId="0" fontId="14" fillId="0" borderId="7" xfId="0" applyFont="1" applyFill="1" applyBorder="1" applyAlignment="1">
      <alignment horizontal="left"/>
    </xf>
    <xf numFmtId="0" fontId="14" fillId="0" borderId="6" xfId="0" applyFont="1" applyBorder="1" applyAlignment="1"/>
    <xf numFmtId="0" fontId="14" fillId="0" borderId="7" xfId="0" applyFont="1" applyBorder="1" applyAlignment="1"/>
    <xf numFmtId="0" fontId="14" fillId="0" borderId="9" xfId="0" applyFont="1" applyBorder="1" applyAlignment="1">
      <alignment horizontal="center" vertical="center" wrapText="1"/>
    </xf>
    <xf numFmtId="0" fontId="14" fillId="0" borderId="8" xfId="0" applyFont="1" applyBorder="1" applyAlignment="1">
      <alignment horizontal="center" vertical="center" wrapText="1"/>
    </xf>
    <xf numFmtId="37" fontId="14" fillId="6" borderId="6" xfId="0" applyNumberFormat="1" applyFont="1" applyFill="1" applyBorder="1" applyAlignment="1">
      <alignment horizontal="center"/>
    </xf>
    <xf numFmtId="37" fontId="14" fillId="6" borderId="0" xfId="0" applyNumberFormat="1" applyFont="1" applyFill="1" applyBorder="1" applyAlignment="1">
      <alignment horizontal="center"/>
    </xf>
    <xf numFmtId="10" fontId="5" fillId="0" borderId="6" xfId="1" applyNumberFormat="1" applyFont="1" applyFill="1" applyBorder="1" applyAlignment="1">
      <alignment horizontal="center"/>
    </xf>
    <xf numFmtId="10" fontId="5" fillId="0" borderId="0" xfId="1" applyNumberFormat="1" applyFont="1" applyFill="1" applyBorder="1" applyAlignment="1">
      <alignment horizontal="center"/>
    </xf>
    <xf numFmtId="0" fontId="5" fillId="0" borderId="9" xfId="0" applyFont="1" applyFill="1" applyBorder="1" applyAlignment="1">
      <alignment horizontal="center"/>
    </xf>
    <xf numFmtId="0" fontId="5" fillId="0" borderId="1" xfId="0" applyFont="1" applyFill="1" applyBorder="1" applyAlignment="1">
      <alignment horizontal="center"/>
    </xf>
    <xf numFmtId="0" fontId="5" fillId="0" borderId="6" xfId="0" applyFont="1" applyFill="1" applyBorder="1" applyAlignment="1">
      <alignment horizontal="center"/>
    </xf>
    <xf numFmtId="0" fontId="5" fillId="0" borderId="0" xfId="0" applyFont="1" applyFill="1" applyBorder="1" applyAlignment="1">
      <alignment horizontal="center"/>
    </xf>
    <xf numFmtId="0" fontId="14" fillId="0" borderId="6" xfId="0" applyFont="1" applyFill="1" applyBorder="1" applyAlignment="1">
      <alignment horizontal="center"/>
    </xf>
    <xf numFmtId="0" fontId="14" fillId="0" borderId="0" xfId="0" applyFont="1" applyFill="1" applyBorder="1" applyAlignment="1">
      <alignment horizontal="center"/>
    </xf>
    <xf numFmtId="37" fontId="14" fillId="6" borderId="9" xfId="0" applyNumberFormat="1" applyFont="1" applyFill="1" applyBorder="1" applyAlignment="1">
      <alignment horizontal="center"/>
    </xf>
    <xf numFmtId="37" fontId="14" fillId="6" borderId="1" xfId="0" applyNumberFormat="1" applyFont="1" applyFill="1" applyBorder="1" applyAlignment="1">
      <alignment horizontal="center"/>
    </xf>
    <xf numFmtId="37" fontId="14" fillId="0" borderId="6" xfId="0" applyNumberFormat="1" applyFont="1" applyFill="1" applyBorder="1" applyAlignment="1">
      <alignment horizontal="center"/>
    </xf>
    <xf numFmtId="37" fontId="14" fillId="0" borderId="0" xfId="0" applyNumberFormat="1" applyFont="1" applyFill="1" applyBorder="1" applyAlignment="1">
      <alignment horizontal="center"/>
    </xf>
    <xf numFmtId="37" fontId="14" fillId="0" borderId="7" xfId="0" applyNumberFormat="1" applyFont="1" applyFill="1" applyBorder="1" applyAlignment="1">
      <alignment horizontal="center"/>
    </xf>
    <xf numFmtId="0" fontId="14" fillId="0" borderId="21" xfId="0" applyFont="1" applyBorder="1" applyAlignment="1">
      <alignment horizontal="center"/>
    </xf>
    <xf numFmtId="0" fontId="14" fillId="0" borderId="22" xfId="0" applyFont="1" applyBorder="1" applyAlignment="1">
      <alignment horizontal="center"/>
    </xf>
    <xf numFmtId="0" fontId="14" fillId="0" borderId="24" xfId="0" applyFont="1" applyBorder="1" applyAlignment="1">
      <alignment horizontal="center"/>
    </xf>
    <xf numFmtId="0" fontId="14" fillId="0" borderId="25" xfId="0" applyFont="1" applyBorder="1" applyAlignment="1">
      <alignment horizontal="center"/>
    </xf>
    <xf numFmtId="0" fontId="14" fillId="0" borderId="6" xfId="0" applyFont="1" applyBorder="1" applyAlignment="1">
      <alignment horizontal="center"/>
    </xf>
    <xf numFmtId="0" fontId="14" fillId="0" borderId="0" xfId="0" applyFont="1" applyBorder="1" applyAlignment="1">
      <alignment horizontal="center"/>
    </xf>
    <xf numFmtId="41" fontId="5" fillId="0" borderId="24" xfId="0" applyNumberFormat="1" applyFont="1" applyFill="1" applyBorder="1" applyAlignment="1">
      <alignment horizontal="center"/>
    </xf>
    <xf numFmtId="41" fontId="5" fillId="0" borderId="25" xfId="0" applyNumberFormat="1" applyFont="1" applyFill="1" applyBorder="1" applyAlignment="1">
      <alignment horizontal="center"/>
    </xf>
    <xf numFmtId="41" fontId="5" fillId="0" borderId="6" xfId="0" applyNumberFormat="1" applyFont="1" applyFill="1" applyBorder="1" applyAlignment="1">
      <alignment horizontal="center"/>
    </xf>
    <xf numFmtId="41" fontId="5" fillId="0" borderId="0" xfId="0" applyNumberFormat="1" applyFont="1" applyFill="1" applyBorder="1" applyAlignment="1">
      <alignment horizontal="center"/>
    </xf>
    <xf numFmtId="0" fontId="14" fillId="0" borderId="24" xfId="0" applyFont="1" applyFill="1" applyBorder="1" applyAlignment="1">
      <alignment horizontal="center"/>
    </xf>
    <xf numFmtId="0" fontId="14" fillId="0" borderId="25" xfId="0" applyFont="1" applyFill="1" applyBorder="1" applyAlignment="1">
      <alignment horizontal="center"/>
    </xf>
    <xf numFmtId="10" fontId="14" fillId="0" borderId="6" xfId="1" applyNumberFormat="1" applyFont="1" applyFill="1" applyBorder="1" applyAlignment="1">
      <alignment horizontal="center"/>
    </xf>
    <xf numFmtId="10" fontId="14" fillId="0" borderId="0" xfId="1" applyNumberFormat="1" applyFont="1" applyFill="1" applyBorder="1" applyAlignment="1">
      <alignment horizontal="center"/>
    </xf>
    <xf numFmtId="37" fontId="5" fillId="0" borderId="6" xfId="0" applyNumberFormat="1" applyFont="1" applyFill="1" applyBorder="1" applyAlignment="1">
      <alignment horizontal="center"/>
    </xf>
    <xf numFmtId="37" fontId="5" fillId="0" borderId="0" xfId="0" applyNumberFormat="1" applyFont="1" applyFill="1" applyBorder="1" applyAlignment="1">
      <alignment horizontal="center"/>
    </xf>
    <xf numFmtId="10" fontId="5" fillId="0" borderId="9" xfId="1" applyNumberFormat="1" applyFont="1" applyFill="1" applyBorder="1" applyAlignment="1">
      <alignment horizontal="center"/>
    </xf>
    <xf numFmtId="10" fontId="5" fillId="0" borderId="1" xfId="1" applyNumberFormat="1" applyFont="1" applyFill="1" applyBorder="1" applyAlignment="1">
      <alignment horizontal="center"/>
    </xf>
  </cellXfs>
  <cellStyles count="3">
    <cellStyle name="Currency" xfId="2" builtinId="4"/>
    <cellStyle name="Normal" xfId="0" builtinId="0"/>
    <cellStyle name="Percent" xfId="1" builtinId="5"/>
  </cellStyles>
  <dxfs count="5">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0000"/>
      <color rgb="FF0000CC"/>
      <color rgb="FF0000FF"/>
      <color rgb="FF0099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
  <dimension ref="A1:P269"/>
  <sheetViews>
    <sheetView topLeftCell="A28" zoomScale="90" zoomScaleNormal="90" workbookViewId="0">
      <selection activeCell="L65" sqref="L65"/>
    </sheetView>
  </sheetViews>
  <sheetFormatPr defaultRowHeight="12.75"/>
  <cols>
    <col min="1" max="1" width="52.42578125" style="37" customWidth="1"/>
    <col min="2" max="2" width="15.28515625" style="37" customWidth="1"/>
    <col min="3" max="3" width="14.85546875" style="37" customWidth="1"/>
    <col min="4" max="4" width="18.7109375" style="37" customWidth="1"/>
    <col min="5" max="5" width="20.42578125" style="37" customWidth="1"/>
    <col min="6" max="11" width="25.85546875" style="37" customWidth="1"/>
    <col min="12" max="12" width="18" style="37" customWidth="1"/>
    <col min="13" max="250" width="13.7109375" style="37" customWidth="1"/>
    <col min="251" max="16384" width="9.140625" style="37"/>
  </cols>
  <sheetData>
    <row r="1" spans="1:15" ht="21">
      <c r="A1" s="34" t="s">
        <v>24</v>
      </c>
      <c r="B1" s="35"/>
      <c r="C1" s="35"/>
      <c r="D1" s="35"/>
      <c r="E1" s="35"/>
      <c r="F1" s="35"/>
      <c r="G1" s="35"/>
      <c r="H1" s="35"/>
      <c r="I1" s="35"/>
      <c r="J1" s="35"/>
      <c r="K1" s="35"/>
      <c r="L1" s="35"/>
      <c r="M1" s="36"/>
    </row>
    <row r="2" spans="1:15">
      <c r="A2" s="242" t="s">
        <v>23</v>
      </c>
      <c r="B2" s="243"/>
      <c r="C2" s="40"/>
      <c r="D2" s="242" t="s">
        <v>288</v>
      </c>
      <c r="E2" s="243"/>
      <c r="F2" s="40"/>
      <c r="G2" s="40"/>
      <c r="H2" s="242" t="s">
        <v>20</v>
      </c>
      <c r="I2" s="244"/>
      <c r="J2" s="245"/>
      <c r="K2" s="40"/>
      <c r="L2" s="246" t="s">
        <v>312</v>
      </c>
      <c r="M2" s="247"/>
      <c r="O2" s="42"/>
    </row>
    <row r="3" spans="1:15">
      <c r="A3" s="43" t="s">
        <v>334</v>
      </c>
      <c r="B3" s="44"/>
      <c r="C3" s="40"/>
      <c r="D3" s="45" t="s">
        <v>283</v>
      </c>
      <c r="E3" s="46"/>
      <c r="F3" s="40"/>
      <c r="G3" s="40"/>
      <c r="H3" s="43" t="s">
        <v>21</v>
      </c>
      <c r="I3" s="40"/>
      <c r="J3" s="47">
        <v>0.35</v>
      </c>
      <c r="K3" s="40"/>
      <c r="L3" s="48" t="s">
        <v>313</v>
      </c>
      <c r="M3" s="48" t="s">
        <v>314</v>
      </c>
      <c r="O3" s="42"/>
    </row>
    <row r="4" spans="1:15">
      <c r="A4" s="49" t="s">
        <v>328</v>
      </c>
      <c r="B4" s="50">
        <v>24000000</v>
      </c>
      <c r="C4" s="40"/>
      <c r="D4" s="51" t="s">
        <v>282</v>
      </c>
      <c r="E4" s="52"/>
      <c r="F4" s="40"/>
      <c r="G4" s="40"/>
      <c r="H4" s="43" t="s">
        <v>136</v>
      </c>
      <c r="I4" s="40"/>
      <c r="J4" s="47">
        <v>5.5E-2</v>
      </c>
      <c r="K4" s="40"/>
      <c r="L4" s="171">
        <v>1</v>
      </c>
      <c r="M4" s="50">
        <v>17000000</v>
      </c>
      <c r="O4" s="42"/>
    </row>
    <row r="5" spans="1:15">
      <c r="A5" s="49" t="s">
        <v>329</v>
      </c>
      <c r="B5" s="50">
        <v>8000000</v>
      </c>
      <c r="C5" s="40"/>
      <c r="D5" s="40"/>
      <c r="E5" s="40"/>
      <c r="F5" s="40"/>
      <c r="G5" s="40"/>
      <c r="H5" s="55" t="s">
        <v>22</v>
      </c>
      <c r="I5" s="42"/>
      <c r="J5" s="44"/>
      <c r="K5" s="40"/>
      <c r="L5" s="171">
        <f t="shared" ref="L5:L23" si="0">L4+1</f>
        <v>2</v>
      </c>
      <c r="M5" s="50">
        <f>M4*0.995</f>
        <v>16915000</v>
      </c>
      <c r="O5" s="42"/>
    </row>
    <row r="6" spans="1:15">
      <c r="A6" s="49" t="s">
        <v>330</v>
      </c>
      <c r="B6" s="56">
        <v>3500000</v>
      </c>
      <c r="C6" s="40"/>
      <c r="D6" s="38" t="s">
        <v>12</v>
      </c>
      <c r="E6" s="41"/>
      <c r="F6" s="39"/>
      <c r="G6" s="40"/>
      <c r="H6" s="57" t="s">
        <v>348</v>
      </c>
      <c r="I6" s="40"/>
      <c r="J6" s="58">
        <f>PreFinancingInstalledCostTotal</f>
        <v>40227150</v>
      </c>
      <c r="K6" s="40"/>
      <c r="L6" s="171">
        <f t="shared" si="0"/>
        <v>3</v>
      </c>
      <c r="M6" s="50">
        <f t="shared" ref="M6:M43" si="1">M5*0.995</f>
        <v>16830425</v>
      </c>
      <c r="O6" s="42"/>
    </row>
    <row r="7" spans="1:15">
      <c r="A7" s="59" t="s">
        <v>332</v>
      </c>
      <c r="B7" s="60">
        <f>GenerationEquipment+BOP+NetworkUpgrades</f>
        <v>35500000</v>
      </c>
      <c r="C7" s="40"/>
      <c r="D7" s="43" t="s">
        <v>13</v>
      </c>
      <c r="E7" s="40"/>
      <c r="F7" s="61">
        <v>10000</v>
      </c>
      <c r="G7" s="40"/>
      <c r="H7" s="57" t="s">
        <v>307</v>
      </c>
      <c r="I7" s="40"/>
      <c r="J7" s="62">
        <v>0.95</v>
      </c>
      <c r="K7" s="40"/>
      <c r="L7" s="171">
        <f t="shared" si="0"/>
        <v>4</v>
      </c>
      <c r="M7" s="50">
        <f t="shared" si="1"/>
        <v>16746272.875</v>
      </c>
      <c r="O7" s="42"/>
    </row>
    <row r="8" spans="1:15">
      <c r="A8" s="59" t="s">
        <v>333</v>
      </c>
      <c r="B8" s="44"/>
      <c r="C8" s="40"/>
      <c r="D8" s="43" t="s">
        <v>14</v>
      </c>
      <c r="E8" s="40"/>
      <c r="F8" s="47">
        <v>0.77</v>
      </c>
      <c r="G8" s="40"/>
      <c r="H8" s="57" t="s">
        <v>308</v>
      </c>
      <c r="I8" s="40"/>
      <c r="J8" s="58">
        <f>J6*J7</f>
        <v>38215792.5</v>
      </c>
      <c r="K8" s="40"/>
      <c r="L8" s="171">
        <f t="shared" si="0"/>
        <v>5</v>
      </c>
      <c r="M8" s="50">
        <f t="shared" si="1"/>
        <v>16662541.510624999</v>
      </c>
      <c r="O8" s="42"/>
    </row>
    <row r="9" spans="1:15">
      <c r="A9" s="63" t="s">
        <v>0</v>
      </c>
      <c r="B9" s="64">
        <v>0.01</v>
      </c>
      <c r="C9" s="40"/>
      <c r="D9" s="65" t="s">
        <v>15</v>
      </c>
      <c r="E9" s="66"/>
      <c r="F9" s="67">
        <f>CapacityDC*CapacityConversion</f>
        <v>7700</v>
      </c>
      <c r="G9" s="40"/>
      <c r="H9" s="57" t="s">
        <v>309</v>
      </c>
      <c r="I9" s="40"/>
      <c r="J9" s="68">
        <v>0.05</v>
      </c>
      <c r="K9" s="40"/>
      <c r="L9" s="171">
        <f t="shared" si="0"/>
        <v>6</v>
      </c>
      <c r="M9" s="50">
        <f t="shared" si="1"/>
        <v>16579228.803071873</v>
      </c>
      <c r="O9" s="40"/>
    </row>
    <row r="10" spans="1:15">
      <c r="A10" s="63" t="s">
        <v>1</v>
      </c>
      <c r="B10" s="69">
        <f>B7*B9</f>
        <v>355000</v>
      </c>
      <c r="C10" s="40"/>
      <c r="D10" s="40"/>
      <c r="E10" s="40"/>
      <c r="F10" s="40"/>
      <c r="G10" s="40"/>
      <c r="H10" s="57" t="s">
        <v>310</v>
      </c>
      <c r="I10" s="40"/>
      <c r="J10" s="68">
        <v>7.4999999999999997E-3</v>
      </c>
      <c r="K10" s="40"/>
      <c r="L10" s="171">
        <f t="shared" si="0"/>
        <v>7</v>
      </c>
      <c r="M10" s="50">
        <f t="shared" si="1"/>
        <v>16496332.659056515</v>
      </c>
      <c r="N10" s="40"/>
      <c r="O10" s="40"/>
    </row>
    <row r="11" spans="1:15">
      <c r="A11" s="59" t="s">
        <v>336</v>
      </c>
      <c r="B11" s="60">
        <f>B7+ContingencyCost</f>
        <v>35855000</v>
      </c>
      <c r="C11" s="40"/>
      <c r="D11" s="38" t="s">
        <v>17</v>
      </c>
      <c r="E11" s="41"/>
      <c r="F11" s="39"/>
      <c r="G11" s="40"/>
      <c r="H11" s="55" t="s">
        <v>2</v>
      </c>
      <c r="I11" s="42"/>
      <c r="J11" s="68">
        <v>5.5E-2</v>
      </c>
      <c r="K11" s="40"/>
      <c r="L11" s="171">
        <f t="shared" si="0"/>
        <v>8</v>
      </c>
      <c r="M11" s="50">
        <f t="shared" si="1"/>
        <v>16413850.995761232</v>
      </c>
    </row>
    <row r="12" spans="1:15">
      <c r="A12" s="43" t="s">
        <v>335</v>
      </c>
      <c r="B12" s="44"/>
      <c r="C12" s="42"/>
      <c r="D12" s="43" t="s">
        <v>19</v>
      </c>
      <c r="E12" s="40"/>
      <c r="F12" s="54">
        <v>30</v>
      </c>
      <c r="G12" s="40"/>
      <c r="H12" s="70" t="s">
        <v>392</v>
      </c>
      <c r="I12" s="71"/>
      <c r="J12" s="72">
        <v>5.0000000000000001E-3</v>
      </c>
      <c r="K12" s="40"/>
      <c r="L12" s="171">
        <f t="shared" si="0"/>
        <v>9</v>
      </c>
      <c r="M12" s="50">
        <f t="shared" si="1"/>
        <v>16331781.740782427</v>
      </c>
    </row>
    <row r="13" spans="1:15">
      <c r="A13" s="49" t="s">
        <v>456</v>
      </c>
      <c r="B13" s="50">
        <v>2000000</v>
      </c>
      <c r="C13" s="40"/>
      <c r="D13" s="43" t="s">
        <v>18</v>
      </c>
      <c r="E13" s="40"/>
      <c r="F13" s="47">
        <v>1.4999999999999999E-2</v>
      </c>
      <c r="G13" s="40"/>
      <c r="H13" s="40"/>
      <c r="I13" s="40"/>
      <c r="J13" s="40"/>
      <c r="K13" s="40"/>
      <c r="L13" s="171">
        <f t="shared" si="0"/>
        <v>10</v>
      </c>
      <c r="M13" s="50">
        <f t="shared" si="1"/>
        <v>16250122.832078515</v>
      </c>
    </row>
    <row r="14" spans="1:15">
      <c r="A14" s="49" t="s">
        <v>331</v>
      </c>
      <c r="B14" s="50">
        <v>200000</v>
      </c>
      <c r="C14" s="40"/>
      <c r="D14" s="43" t="s">
        <v>292</v>
      </c>
      <c r="E14" s="40"/>
      <c r="F14" s="68">
        <v>0.08</v>
      </c>
      <c r="G14" s="40"/>
      <c r="H14" s="38" t="s">
        <v>193</v>
      </c>
      <c r="I14" s="41"/>
      <c r="J14" s="39"/>
      <c r="K14" s="40"/>
      <c r="L14" s="171">
        <f t="shared" si="0"/>
        <v>11</v>
      </c>
      <c r="M14" s="50">
        <f t="shared" si="1"/>
        <v>16168872.217918122</v>
      </c>
    </row>
    <row r="15" spans="1:15">
      <c r="A15" s="49" t="s">
        <v>60</v>
      </c>
      <c r="B15" s="56">
        <v>75000</v>
      </c>
      <c r="C15" s="40"/>
      <c r="D15" s="65" t="s">
        <v>200</v>
      </c>
      <c r="E15" s="66"/>
      <c r="F15" s="72">
        <v>1.7500000000000002E-2</v>
      </c>
      <c r="G15" s="40"/>
      <c r="H15" s="43" t="s">
        <v>357</v>
      </c>
      <c r="I15" s="40"/>
      <c r="J15" s="44"/>
      <c r="K15" s="40"/>
      <c r="L15" s="171">
        <f t="shared" si="0"/>
        <v>12</v>
      </c>
      <c r="M15" s="50">
        <f t="shared" si="1"/>
        <v>16088027.856828531</v>
      </c>
    </row>
    <row r="16" spans="1:15">
      <c r="A16" s="59" t="s">
        <v>332</v>
      </c>
      <c r="B16" s="58">
        <f>DevCost+LandImprovements+Other</f>
        <v>2275000</v>
      </c>
      <c r="C16" s="40"/>
      <c r="G16" s="40"/>
      <c r="H16" s="59" t="s">
        <v>194</v>
      </c>
      <c r="I16" s="40"/>
      <c r="J16" s="61">
        <v>0.25</v>
      </c>
      <c r="K16" s="40"/>
      <c r="L16" s="171">
        <f t="shared" si="0"/>
        <v>13</v>
      </c>
      <c r="M16" s="50">
        <f t="shared" si="1"/>
        <v>16007587.717544388</v>
      </c>
    </row>
    <row r="17" spans="1:15">
      <c r="A17" s="49" t="s">
        <v>337</v>
      </c>
      <c r="B17" s="44"/>
      <c r="C17" s="40"/>
      <c r="D17" s="38" t="s">
        <v>4</v>
      </c>
      <c r="E17" s="41"/>
      <c r="F17" s="39"/>
      <c r="G17" s="40"/>
      <c r="H17" s="59" t="s">
        <v>362</v>
      </c>
      <c r="I17" s="40"/>
      <c r="J17" s="58">
        <f>MMCost*CapacityDC*1000</f>
        <v>2500000</v>
      </c>
      <c r="K17" s="40"/>
      <c r="L17" s="171">
        <f t="shared" si="0"/>
        <v>14</v>
      </c>
      <c r="M17" s="50">
        <f t="shared" si="1"/>
        <v>15927549.778956667</v>
      </c>
    </row>
    <row r="18" spans="1:15">
      <c r="A18" s="63" t="s">
        <v>338</v>
      </c>
      <c r="B18" s="47">
        <v>1</v>
      </c>
      <c r="C18" s="40"/>
      <c r="D18" s="43" t="s">
        <v>5</v>
      </c>
      <c r="E18" s="40"/>
      <c r="F18" s="44"/>
      <c r="G18" s="40"/>
      <c r="H18" s="59" t="s">
        <v>270</v>
      </c>
      <c r="I18" s="40"/>
      <c r="J18" s="54">
        <v>12</v>
      </c>
      <c r="K18" s="40"/>
      <c r="L18" s="171">
        <f t="shared" si="0"/>
        <v>15</v>
      </c>
      <c r="M18" s="50">
        <f t="shared" si="1"/>
        <v>15847912.030061884</v>
      </c>
    </row>
    <row r="19" spans="1:15">
      <c r="A19" s="63" t="s">
        <v>3</v>
      </c>
      <c r="B19" s="75">
        <f>(B11+B16)*J11*B18</f>
        <v>2097150</v>
      </c>
      <c r="C19" s="40"/>
      <c r="D19" s="49" t="s">
        <v>8</v>
      </c>
      <c r="E19" s="42"/>
      <c r="F19" s="54">
        <v>10000</v>
      </c>
      <c r="G19" s="40"/>
      <c r="H19" s="43" t="s">
        <v>358</v>
      </c>
      <c r="I19" s="40"/>
      <c r="J19" s="44"/>
      <c r="K19" s="40"/>
      <c r="L19" s="171">
        <f t="shared" si="0"/>
        <v>16</v>
      </c>
      <c r="M19" s="50">
        <f t="shared" si="1"/>
        <v>15768672.469911573</v>
      </c>
    </row>
    <row r="20" spans="1:15">
      <c r="A20" s="59" t="s">
        <v>339</v>
      </c>
      <c r="B20" s="78">
        <f>B16+SalesTaxTotal</f>
        <v>4372150</v>
      </c>
      <c r="C20" s="40"/>
      <c r="D20" s="49" t="s">
        <v>6</v>
      </c>
      <c r="E20" s="42"/>
      <c r="F20" s="47">
        <v>0.01</v>
      </c>
      <c r="G20" s="40"/>
      <c r="H20" s="59" t="s">
        <v>194</v>
      </c>
      <c r="I20" s="40"/>
      <c r="J20" s="61">
        <v>0.5</v>
      </c>
      <c r="K20" s="40"/>
      <c r="L20" s="171">
        <f t="shared" si="0"/>
        <v>17</v>
      </c>
      <c r="M20" s="50">
        <f t="shared" si="1"/>
        <v>15689829.107562015</v>
      </c>
    </row>
    <row r="21" spans="1:15">
      <c r="A21" s="43" t="s">
        <v>30</v>
      </c>
      <c r="B21" s="58">
        <f>TotalHardCosts+TotalSoftCosts</f>
        <v>40227150</v>
      </c>
      <c r="C21" s="40"/>
      <c r="D21" s="55" t="s">
        <v>7</v>
      </c>
      <c r="E21" s="42"/>
      <c r="F21" s="73"/>
      <c r="G21" s="40"/>
      <c r="H21" s="59" t="s">
        <v>362</v>
      </c>
      <c r="I21" s="40"/>
      <c r="J21" s="58">
        <f>MMCost2*CapacityDC*1000</f>
        <v>5000000</v>
      </c>
      <c r="K21" s="40"/>
      <c r="L21" s="171">
        <f t="shared" si="0"/>
        <v>18</v>
      </c>
      <c r="M21" s="50">
        <f t="shared" si="1"/>
        <v>15611379.962024204</v>
      </c>
    </row>
    <row r="22" spans="1:15">
      <c r="A22" s="43" t="s">
        <v>29</v>
      </c>
      <c r="B22" s="81">
        <f>PreFinancingInstalledCostTotal/(CapacityDC*1000)</f>
        <v>4.0227149999999998</v>
      </c>
      <c r="C22" s="40"/>
      <c r="D22" s="49" t="s">
        <v>50</v>
      </c>
      <c r="E22" s="42"/>
      <c r="F22" s="61">
        <v>22</v>
      </c>
      <c r="G22" s="40"/>
      <c r="H22" s="59" t="s">
        <v>270</v>
      </c>
      <c r="I22" s="40"/>
      <c r="J22" s="54">
        <v>15</v>
      </c>
      <c r="K22" s="40"/>
      <c r="L22" s="171">
        <f t="shared" si="0"/>
        <v>19</v>
      </c>
      <c r="M22" s="50">
        <f t="shared" si="1"/>
        <v>15533323.062214084</v>
      </c>
      <c r="N22" s="40"/>
      <c r="O22" s="40"/>
    </row>
    <row r="23" spans="1:15">
      <c r="A23" s="79" t="s">
        <v>16</v>
      </c>
      <c r="B23" s="82"/>
      <c r="C23" s="40"/>
      <c r="D23" s="49" t="s">
        <v>6</v>
      </c>
      <c r="E23" s="42"/>
      <c r="F23" s="47">
        <v>7.4999999999999997E-3</v>
      </c>
      <c r="G23" s="40"/>
      <c r="H23" s="43" t="s">
        <v>359</v>
      </c>
      <c r="I23" s="40"/>
      <c r="J23" s="44"/>
      <c r="K23" s="40"/>
      <c r="L23" s="171">
        <f t="shared" si="0"/>
        <v>20</v>
      </c>
      <c r="M23" s="50">
        <f t="shared" si="1"/>
        <v>15455656.446903013</v>
      </c>
      <c r="O23" s="40"/>
    </row>
    <row r="24" spans="1:15">
      <c r="A24" s="43"/>
      <c r="B24" s="40"/>
      <c r="C24" s="40"/>
      <c r="D24" s="55" t="s">
        <v>9</v>
      </c>
      <c r="E24" s="42"/>
      <c r="F24" s="73"/>
      <c r="G24" s="40"/>
      <c r="H24" s="59" t="s">
        <v>194</v>
      </c>
      <c r="I24" s="40"/>
      <c r="J24" s="61">
        <v>0.01</v>
      </c>
      <c r="K24" s="40"/>
      <c r="L24" s="171">
        <f t="shared" ref="L24:L43" si="2">L4+20</f>
        <v>21</v>
      </c>
      <c r="M24" s="50">
        <f t="shared" si="1"/>
        <v>15378378.164668497</v>
      </c>
      <c r="O24" s="40"/>
    </row>
    <row r="25" spans="1:15">
      <c r="C25" s="40"/>
      <c r="D25" s="59" t="s">
        <v>10</v>
      </c>
      <c r="E25" s="40"/>
      <c r="F25" s="61">
        <v>3.5</v>
      </c>
      <c r="G25" s="40"/>
      <c r="H25" s="59" t="s">
        <v>362</v>
      </c>
      <c r="I25" s="40"/>
      <c r="J25" s="58">
        <f>MMCost3*CapacityDC*1000</f>
        <v>100000</v>
      </c>
      <c r="K25" s="40"/>
      <c r="L25" s="171">
        <f t="shared" si="2"/>
        <v>22</v>
      </c>
      <c r="M25" s="50">
        <f t="shared" si="1"/>
        <v>15301486.273845155</v>
      </c>
      <c r="O25" s="40"/>
    </row>
    <row r="26" spans="1:15">
      <c r="C26" s="40"/>
      <c r="D26" s="59" t="s">
        <v>6</v>
      </c>
      <c r="E26" s="40"/>
      <c r="F26" s="47">
        <v>0</v>
      </c>
      <c r="G26" s="40"/>
      <c r="H26" s="59" t="s">
        <v>270</v>
      </c>
      <c r="I26" s="40"/>
      <c r="J26" s="54">
        <v>3</v>
      </c>
      <c r="K26" s="40"/>
      <c r="L26" s="171">
        <f t="shared" si="2"/>
        <v>23</v>
      </c>
      <c r="M26" s="50">
        <f t="shared" si="1"/>
        <v>15224978.842475928</v>
      </c>
      <c r="O26" s="42"/>
    </row>
    <row r="27" spans="1:15">
      <c r="C27" s="40"/>
      <c r="D27" s="79" t="s">
        <v>11</v>
      </c>
      <c r="E27" s="66"/>
      <c r="F27" s="80"/>
      <c r="G27" s="40"/>
      <c r="H27" s="43" t="s">
        <v>356</v>
      </c>
      <c r="I27" s="40"/>
      <c r="J27" s="73"/>
      <c r="K27" s="40"/>
      <c r="L27" s="171">
        <f t="shared" si="2"/>
        <v>24</v>
      </c>
      <c r="M27" s="50">
        <f t="shared" si="1"/>
        <v>15148853.948263548</v>
      </c>
      <c r="O27" s="40"/>
    </row>
    <row r="28" spans="1:15">
      <c r="C28" s="40"/>
      <c r="D28" s="40"/>
      <c r="E28" s="40"/>
      <c r="F28" s="40"/>
      <c r="G28" s="40"/>
      <c r="H28" s="59" t="s">
        <v>37</v>
      </c>
      <c r="I28" s="40"/>
      <c r="J28" s="74" t="s">
        <v>140</v>
      </c>
      <c r="K28" s="40"/>
      <c r="L28" s="171">
        <f t="shared" si="2"/>
        <v>25</v>
      </c>
      <c r="M28" s="50">
        <f t="shared" si="1"/>
        <v>15073109.678522231</v>
      </c>
      <c r="O28" s="40"/>
    </row>
    <row r="29" spans="1:15">
      <c r="A29" s="38" t="s">
        <v>32</v>
      </c>
      <c r="B29" s="41"/>
      <c r="C29" s="41"/>
      <c r="D29" s="41"/>
      <c r="E29" s="39"/>
      <c r="F29" s="40"/>
      <c r="G29" s="40"/>
      <c r="H29" s="76" t="s">
        <v>36</v>
      </c>
      <c r="I29" s="66"/>
      <c r="J29" s="77" t="s">
        <v>140</v>
      </c>
      <c r="K29" s="40"/>
      <c r="L29" s="171">
        <f t="shared" si="2"/>
        <v>26</v>
      </c>
      <c r="M29" s="50">
        <f t="shared" si="1"/>
        <v>14997744.13012962</v>
      </c>
      <c r="O29" s="40"/>
    </row>
    <row r="30" spans="1:15">
      <c r="A30" s="43" t="s">
        <v>33</v>
      </c>
      <c r="B30" s="40"/>
      <c r="C30" s="40"/>
      <c r="D30" s="407" t="s">
        <v>62</v>
      </c>
      <c r="E30" s="408"/>
      <c r="F30" s="40"/>
      <c r="G30" s="40"/>
      <c r="H30" s="40"/>
      <c r="I30" s="40"/>
      <c r="J30" s="40"/>
      <c r="K30" s="40"/>
      <c r="L30" s="171">
        <f t="shared" si="2"/>
        <v>27</v>
      </c>
      <c r="M30" s="50">
        <f t="shared" si="1"/>
        <v>14922755.409478972</v>
      </c>
      <c r="O30" s="40"/>
    </row>
    <row r="31" spans="1:15">
      <c r="A31" s="43"/>
      <c r="B31" s="40"/>
      <c r="C31" s="40"/>
      <c r="D31" s="85" t="s">
        <v>36</v>
      </c>
      <c r="E31" s="85" t="s">
        <v>37</v>
      </c>
      <c r="F31" s="40"/>
      <c r="G31" s="40"/>
      <c r="H31" s="38" t="s">
        <v>203</v>
      </c>
      <c r="I31" s="41"/>
      <c r="J31" s="39"/>
      <c r="K31" s="40"/>
      <c r="L31" s="171">
        <f t="shared" si="2"/>
        <v>28</v>
      </c>
      <c r="M31" s="50">
        <f t="shared" si="1"/>
        <v>14848141.632431576</v>
      </c>
      <c r="O31" s="40"/>
    </row>
    <row r="32" spans="1:15">
      <c r="A32" s="59" t="s">
        <v>35</v>
      </c>
      <c r="B32" s="40"/>
      <c r="C32" s="40"/>
      <c r="D32" s="86"/>
      <c r="E32" s="44"/>
      <c r="F32" s="40"/>
      <c r="G32" s="40"/>
      <c r="H32" s="55" t="s">
        <v>294</v>
      </c>
      <c r="I32" s="42"/>
      <c r="J32" s="47">
        <v>0.1</v>
      </c>
      <c r="K32" s="40"/>
      <c r="L32" s="171">
        <f t="shared" si="2"/>
        <v>29</v>
      </c>
      <c r="M32" s="50">
        <f t="shared" si="1"/>
        <v>14773900.924269417</v>
      </c>
      <c r="O32" s="40"/>
    </row>
    <row r="33" spans="1:16">
      <c r="A33" s="43"/>
      <c r="B33" s="87" t="s">
        <v>34</v>
      </c>
      <c r="C33" s="40"/>
      <c r="D33" s="88"/>
      <c r="E33" s="73"/>
      <c r="F33" s="40"/>
      <c r="G33" s="40"/>
      <c r="H33" s="70" t="s">
        <v>295</v>
      </c>
      <c r="I33" s="66"/>
      <c r="J33" s="69">
        <f>SalvageValue*PreFinancingInstalledCostTotal</f>
        <v>4022715</v>
      </c>
      <c r="K33" s="40"/>
      <c r="L33" s="171">
        <f t="shared" si="2"/>
        <v>30</v>
      </c>
      <c r="M33" s="50">
        <f t="shared" si="1"/>
        <v>14700031.41964807</v>
      </c>
      <c r="O33" s="40"/>
    </row>
    <row r="34" spans="1:16">
      <c r="A34" s="63" t="s">
        <v>36</v>
      </c>
      <c r="B34" s="53">
        <v>10000</v>
      </c>
      <c r="C34" s="89"/>
      <c r="D34" s="334" t="s">
        <v>67</v>
      </c>
      <c r="E34" s="117" t="s">
        <v>68</v>
      </c>
      <c r="F34" s="40"/>
      <c r="G34" s="40"/>
      <c r="H34" s="40"/>
      <c r="I34" s="40"/>
      <c r="J34" s="40"/>
      <c r="K34" s="40"/>
      <c r="L34" s="171">
        <f t="shared" si="2"/>
        <v>31</v>
      </c>
      <c r="M34" s="50">
        <f t="shared" si="1"/>
        <v>14626531.262549829</v>
      </c>
    </row>
    <row r="35" spans="1:16">
      <c r="A35" s="63" t="s">
        <v>37</v>
      </c>
      <c r="B35" s="53">
        <v>20000</v>
      </c>
      <c r="C35" s="89"/>
      <c r="D35" s="334" t="s">
        <v>68</v>
      </c>
      <c r="E35" s="117" t="s">
        <v>67</v>
      </c>
      <c r="F35" s="40"/>
      <c r="G35" s="40"/>
      <c r="H35" s="40"/>
      <c r="I35" s="40"/>
      <c r="J35" s="40"/>
      <c r="K35" s="40"/>
      <c r="L35" s="171">
        <f t="shared" si="2"/>
        <v>32</v>
      </c>
      <c r="M35" s="50">
        <f t="shared" si="1"/>
        <v>14553398.60623708</v>
      </c>
    </row>
    <row r="36" spans="1:16">
      <c r="A36" s="59" t="s">
        <v>40</v>
      </c>
      <c r="B36" s="89"/>
      <c r="C36" s="89"/>
      <c r="D36" s="335"/>
      <c r="E36" s="106"/>
      <c r="F36" s="40"/>
      <c r="G36" s="40"/>
      <c r="H36" s="40"/>
      <c r="I36" s="40"/>
      <c r="J36" s="40"/>
      <c r="K36" s="40"/>
      <c r="L36" s="171">
        <f t="shared" si="2"/>
        <v>33</v>
      </c>
      <c r="M36" s="50">
        <f t="shared" si="1"/>
        <v>14480631.613205895</v>
      </c>
    </row>
    <row r="37" spans="1:16">
      <c r="A37" s="43"/>
      <c r="B37" s="92" t="s">
        <v>41</v>
      </c>
      <c r="C37" s="92" t="s">
        <v>42</v>
      </c>
      <c r="D37" s="335"/>
      <c r="E37" s="106"/>
      <c r="F37" s="40"/>
      <c r="G37" s="40"/>
      <c r="H37" s="42"/>
      <c r="I37" s="42"/>
      <c r="J37" s="42"/>
      <c r="K37" s="40"/>
      <c r="L37" s="171">
        <f t="shared" si="2"/>
        <v>34</v>
      </c>
      <c r="M37" s="50">
        <f t="shared" si="1"/>
        <v>14408228.455139866</v>
      </c>
    </row>
    <row r="38" spans="1:16">
      <c r="A38" s="63" t="s">
        <v>36</v>
      </c>
      <c r="B38" s="370">
        <v>0</v>
      </c>
      <c r="C38" s="94">
        <v>9.9999999999999997E+98</v>
      </c>
      <c r="D38" s="334" t="s">
        <v>67</v>
      </c>
      <c r="E38" s="117" t="s">
        <v>68</v>
      </c>
      <c r="F38" s="40"/>
      <c r="G38" s="40"/>
      <c r="H38" s="42"/>
      <c r="I38" s="42"/>
      <c r="J38" s="42"/>
      <c r="K38" s="40"/>
      <c r="L38" s="171">
        <f t="shared" si="2"/>
        <v>35</v>
      </c>
      <c r="M38" s="50">
        <f t="shared" si="1"/>
        <v>14336187.312864168</v>
      </c>
    </row>
    <row r="39" spans="1:16">
      <c r="A39" s="63" t="s">
        <v>37</v>
      </c>
      <c r="B39" s="93">
        <v>0</v>
      </c>
      <c r="C39" s="94">
        <v>9.9999999999999997E+98</v>
      </c>
      <c r="D39" s="334" t="s">
        <v>68</v>
      </c>
      <c r="E39" s="117" t="s">
        <v>67</v>
      </c>
      <c r="F39" s="40"/>
      <c r="G39" s="40"/>
      <c r="H39" s="42"/>
      <c r="I39" s="42"/>
      <c r="J39" s="42"/>
      <c r="K39" s="40"/>
      <c r="L39" s="171">
        <f t="shared" si="2"/>
        <v>36</v>
      </c>
      <c r="M39" s="50">
        <f t="shared" si="1"/>
        <v>14264506.376299847</v>
      </c>
    </row>
    <row r="40" spans="1:16">
      <c r="A40" s="43" t="s">
        <v>38</v>
      </c>
      <c r="B40" s="89"/>
      <c r="C40" s="89"/>
      <c r="D40" s="335"/>
      <c r="E40" s="106"/>
      <c r="F40" s="40"/>
      <c r="G40" s="40"/>
      <c r="H40" s="42"/>
      <c r="I40" s="42"/>
      <c r="J40" s="42"/>
      <c r="K40" s="40"/>
      <c r="L40" s="171">
        <f t="shared" si="2"/>
        <v>37</v>
      </c>
      <c r="M40" s="50">
        <f t="shared" si="1"/>
        <v>14193183.844418347</v>
      </c>
    </row>
    <row r="41" spans="1:16">
      <c r="A41" s="43"/>
      <c r="B41" s="95" t="s">
        <v>43</v>
      </c>
      <c r="C41" s="95" t="s">
        <v>44</v>
      </c>
      <c r="D41" s="96"/>
      <c r="E41" s="44"/>
      <c r="F41" s="40"/>
      <c r="G41" s="40"/>
      <c r="H41" s="42"/>
      <c r="I41" s="42"/>
      <c r="J41" s="42"/>
      <c r="K41" s="40"/>
      <c r="L41" s="171">
        <f t="shared" si="2"/>
        <v>38</v>
      </c>
      <c r="M41" s="50">
        <f t="shared" si="1"/>
        <v>14122217.925196255</v>
      </c>
    </row>
    <row r="42" spans="1:16">
      <c r="A42" s="59" t="s">
        <v>36</v>
      </c>
      <c r="B42" s="97">
        <v>0</v>
      </c>
      <c r="C42" s="98">
        <v>10</v>
      </c>
      <c r="D42" s="99"/>
      <c r="E42" s="100"/>
      <c r="F42" s="40"/>
      <c r="G42" s="40"/>
      <c r="H42" s="42"/>
      <c r="I42" s="42"/>
      <c r="J42" s="42"/>
      <c r="K42" s="40"/>
      <c r="L42" s="171">
        <f t="shared" si="2"/>
        <v>39</v>
      </c>
      <c r="M42" s="50">
        <f t="shared" si="1"/>
        <v>14051606.835570274</v>
      </c>
    </row>
    <row r="43" spans="1:16">
      <c r="A43" s="76" t="s">
        <v>37</v>
      </c>
      <c r="B43" s="101">
        <v>0</v>
      </c>
      <c r="C43" s="102">
        <v>10</v>
      </c>
      <c r="D43" s="103"/>
      <c r="E43" s="104"/>
      <c r="F43" s="40"/>
      <c r="G43" s="40"/>
      <c r="H43" s="42"/>
      <c r="I43" s="42"/>
      <c r="J43" s="42"/>
      <c r="K43" s="40"/>
      <c r="L43" s="83">
        <f t="shared" si="2"/>
        <v>40</v>
      </c>
      <c r="M43" s="56">
        <f t="shared" si="1"/>
        <v>13981348.801392423</v>
      </c>
      <c r="P43" s="40"/>
    </row>
    <row r="44" spans="1:16">
      <c r="F44" s="40"/>
      <c r="G44" s="40"/>
      <c r="H44" s="42"/>
      <c r="I44" s="42"/>
      <c r="J44" s="42"/>
      <c r="K44" s="40"/>
      <c r="L44" s="40"/>
      <c r="M44" s="44"/>
      <c r="N44" s="40"/>
      <c r="O44" s="40"/>
      <c r="P44" s="40"/>
    </row>
    <row r="45" spans="1:16">
      <c r="A45" s="38" t="s">
        <v>57</v>
      </c>
      <c r="B45" s="41"/>
      <c r="C45" s="41"/>
      <c r="D45" s="41"/>
      <c r="E45" s="41"/>
      <c r="F45" s="41"/>
      <c r="G45" s="41"/>
      <c r="H45" s="41"/>
      <c r="I45" s="41"/>
      <c r="J45" s="41"/>
      <c r="K45" s="41"/>
      <c r="L45" s="41"/>
      <c r="M45" s="39"/>
      <c r="P45" s="40"/>
    </row>
    <row r="46" spans="1:16">
      <c r="A46" s="43"/>
      <c r="B46" s="40"/>
      <c r="C46" s="40"/>
      <c r="D46" s="40"/>
      <c r="E46" s="40"/>
      <c r="F46" s="40"/>
      <c r="G46" s="40"/>
      <c r="H46" s="40"/>
      <c r="I46" s="43" t="s">
        <v>61</v>
      </c>
      <c r="J46" s="44"/>
      <c r="K46" s="43" t="s">
        <v>62</v>
      </c>
      <c r="L46" s="44"/>
      <c r="M46" s="44"/>
      <c r="P46" s="40"/>
    </row>
    <row r="47" spans="1:16" ht="25.5">
      <c r="A47" s="43"/>
      <c r="B47" s="85" t="s">
        <v>35</v>
      </c>
      <c r="C47" s="85" t="s">
        <v>69</v>
      </c>
      <c r="D47" s="85" t="s">
        <v>43</v>
      </c>
      <c r="E47" s="85" t="s">
        <v>70</v>
      </c>
      <c r="F47" s="85" t="s">
        <v>42</v>
      </c>
      <c r="G47" s="85" t="s">
        <v>72</v>
      </c>
      <c r="H47" s="85" t="s">
        <v>39</v>
      </c>
      <c r="I47" s="85" t="s">
        <v>36</v>
      </c>
      <c r="J47" s="85" t="s">
        <v>37</v>
      </c>
      <c r="K47" s="85" t="s">
        <v>36</v>
      </c>
      <c r="L47" s="85" t="s">
        <v>37</v>
      </c>
      <c r="M47" s="85" t="s">
        <v>65</v>
      </c>
      <c r="P47" s="40"/>
    </row>
    <row r="48" spans="1:16">
      <c r="A48" s="43" t="s">
        <v>58</v>
      </c>
      <c r="B48" s="43"/>
      <c r="C48" s="89"/>
      <c r="D48" s="89"/>
      <c r="E48" s="89"/>
      <c r="F48" s="89"/>
      <c r="G48" s="89"/>
      <c r="H48" s="73"/>
      <c r="I48" s="43"/>
      <c r="J48" s="44"/>
      <c r="K48" s="43"/>
      <c r="L48" s="44"/>
      <c r="M48" s="96"/>
    </row>
    <row r="49" spans="1:14">
      <c r="A49" s="59" t="s">
        <v>66</v>
      </c>
      <c r="B49" s="55"/>
      <c r="C49" s="105"/>
      <c r="D49" s="105"/>
      <c r="E49" s="105"/>
      <c r="F49" s="105"/>
      <c r="G49" s="105"/>
      <c r="H49" s="106"/>
      <c r="I49" s="107"/>
      <c r="J49" s="108"/>
      <c r="K49" s="107"/>
      <c r="L49" s="108"/>
      <c r="M49" s="109"/>
    </row>
    <row r="50" spans="1:14">
      <c r="A50" s="63" t="s">
        <v>36</v>
      </c>
      <c r="B50" s="313">
        <v>1000</v>
      </c>
      <c r="C50" s="110"/>
      <c r="D50" s="110"/>
      <c r="E50" s="110"/>
      <c r="F50" s="110"/>
      <c r="G50" s="110"/>
      <c r="H50" s="111"/>
      <c r="I50" s="112" t="s">
        <v>67</v>
      </c>
      <c r="J50" s="91" t="s">
        <v>67</v>
      </c>
      <c r="K50" s="367" t="s">
        <v>67</v>
      </c>
      <c r="L50" s="117" t="s">
        <v>67</v>
      </c>
      <c r="M50" s="99"/>
    </row>
    <row r="51" spans="1:14">
      <c r="A51" s="63" t="s">
        <v>37</v>
      </c>
      <c r="B51" s="313">
        <v>2000</v>
      </c>
      <c r="C51" s="110"/>
      <c r="D51" s="110"/>
      <c r="E51" s="110"/>
      <c r="F51" s="110"/>
      <c r="G51" s="110"/>
      <c r="H51" s="111"/>
      <c r="I51" s="112" t="s">
        <v>67</v>
      </c>
      <c r="J51" s="91" t="s">
        <v>67</v>
      </c>
      <c r="K51" s="367" t="s">
        <v>67</v>
      </c>
      <c r="L51" s="117" t="s">
        <v>67</v>
      </c>
      <c r="M51" s="99"/>
    </row>
    <row r="52" spans="1:14">
      <c r="A52" s="63" t="s">
        <v>59</v>
      </c>
      <c r="B52" s="313">
        <v>500</v>
      </c>
      <c r="C52" s="110"/>
      <c r="D52" s="110"/>
      <c r="E52" s="110"/>
      <c r="F52" s="110"/>
      <c r="G52" s="110"/>
      <c r="H52" s="111"/>
      <c r="I52" s="112" t="s">
        <v>67</v>
      </c>
      <c r="J52" s="91" t="s">
        <v>67</v>
      </c>
      <c r="K52" s="116" t="s">
        <v>68</v>
      </c>
      <c r="L52" s="117" t="s">
        <v>68</v>
      </c>
      <c r="M52" s="99"/>
    </row>
    <row r="53" spans="1:14">
      <c r="A53" s="63" t="s">
        <v>60</v>
      </c>
      <c r="B53" s="313">
        <v>250</v>
      </c>
      <c r="C53" s="110"/>
      <c r="D53" s="110"/>
      <c r="E53" s="110"/>
      <c r="F53" s="110"/>
      <c r="G53" s="110"/>
      <c r="H53" s="111"/>
      <c r="I53" s="112" t="s">
        <v>67</v>
      </c>
      <c r="J53" s="91" t="s">
        <v>67</v>
      </c>
      <c r="K53" s="116" t="s">
        <v>68</v>
      </c>
      <c r="L53" s="117" t="s">
        <v>68</v>
      </c>
      <c r="M53" s="99"/>
    </row>
    <row r="54" spans="1:14">
      <c r="A54" s="49" t="s">
        <v>63</v>
      </c>
      <c r="B54" s="43"/>
      <c r="C54" s="89"/>
      <c r="D54" s="89"/>
      <c r="E54" s="89"/>
      <c r="F54" s="89"/>
      <c r="G54" s="89"/>
      <c r="H54" s="73"/>
      <c r="I54" s="113"/>
      <c r="J54" s="73"/>
      <c r="K54" s="360"/>
      <c r="L54" s="106"/>
      <c r="M54" s="96"/>
    </row>
    <row r="55" spans="1:14">
      <c r="A55" s="63" t="s">
        <v>36</v>
      </c>
      <c r="B55" s="114">
        <f>MIN(E55*PreFinancingInstalledCostTotal,F55)</f>
        <v>2011357.5</v>
      </c>
      <c r="C55" s="110"/>
      <c r="D55" s="110"/>
      <c r="E55" s="115">
        <v>0.05</v>
      </c>
      <c r="F55" s="94">
        <v>9.9999999999999997E+98</v>
      </c>
      <c r="G55" s="110"/>
      <c r="H55" s="111"/>
      <c r="I55" s="112" t="s">
        <v>67</v>
      </c>
      <c r="J55" s="91" t="s">
        <v>67</v>
      </c>
      <c r="K55" s="116" t="s">
        <v>68</v>
      </c>
      <c r="L55" s="117" t="s">
        <v>68</v>
      </c>
      <c r="M55" s="99"/>
    </row>
    <row r="56" spans="1:14">
      <c r="A56" s="63" t="s">
        <v>37</v>
      </c>
      <c r="B56" s="114">
        <f>MIN(E56*PreFinancingInstalledCostTotal,F56)</f>
        <v>4022715</v>
      </c>
      <c r="C56" s="110"/>
      <c r="D56" s="110"/>
      <c r="E56" s="115">
        <v>0.1</v>
      </c>
      <c r="F56" s="94">
        <v>9.9999999999999997E+98</v>
      </c>
      <c r="G56" s="110"/>
      <c r="H56" s="111"/>
      <c r="I56" s="112" t="s">
        <v>67</v>
      </c>
      <c r="J56" s="91" t="s">
        <v>67</v>
      </c>
      <c r="K56" s="116" t="s">
        <v>68</v>
      </c>
      <c r="L56" s="117" t="s">
        <v>68</v>
      </c>
      <c r="M56" s="99"/>
    </row>
    <row r="57" spans="1:14">
      <c r="A57" s="63" t="s">
        <v>59</v>
      </c>
      <c r="B57" s="114">
        <f>MIN(E57*PreFinancingInstalledCostTotal,F57)</f>
        <v>402271.5</v>
      </c>
      <c r="C57" s="110"/>
      <c r="D57" s="110"/>
      <c r="E57" s="115">
        <v>0.01</v>
      </c>
      <c r="F57" s="94">
        <v>9.9999999999999997E+98</v>
      </c>
      <c r="G57" s="110"/>
      <c r="H57" s="111"/>
      <c r="I57" s="112" t="s">
        <v>67</v>
      </c>
      <c r="J57" s="91" t="s">
        <v>67</v>
      </c>
      <c r="K57" s="116" t="s">
        <v>68</v>
      </c>
      <c r="L57" s="117" t="s">
        <v>68</v>
      </c>
      <c r="M57" s="99"/>
    </row>
    <row r="58" spans="1:14">
      <c r="A58" s="63" t="s">
        <v>60</v>
      </c>
      <c r="B58" s="114">
        <f>MIN(E58*PreFinancingInstalledCostTotal,F58)</f>
        <v>201135.75</v>
      </c>
      <c r="C58" s="110"/>
      <c r="D58" s="110"/>
      <c r="E58" s="115">
        <v>5.0000000000000001E-3</v>
      </c>
      <c r="F58" s="94">
        <v>9.9999999999999997E+98</v>
      </c>
      <c r="G58" s="110"/>
      <c r="H58" s="111"/>
      <c r="I58" s="112" t="s">
        <v>67</v>
      </c>
      <c r="J58" s="91" t="s">
        <v>67</v>
      </c>
      <c r="K58" s="116" t="s">
        <v>68</v>
      </c>
      <c r="L58" s="117" t="s">
        <v>68</v>
      </c>
      <c r="M58" s="99"/>
    </row>
    <row r="59" spans="1:14">
      <c r="A59" s="43" t="s">
        <v>64</v>
      </c>
      <c r="B59" s="43"/>
      <c r="C59" s="89"/>
      <c r="D59" s="89"/>
      <c r="E59" s="89"/>
      <c r="F59" s="89"/>
      <c r="G59" s="89"/>
      <c r="H59" s="73"/>
      <c r="I59" s="116"/>
      <c r="J59" s="117"/>
      <c r="K59" s="116"/>
      <c r="L59" s="117"/>
      <c r="M59" s="109"/>
      <c r="N59" s="118"/>
    </row>
    <row r="60" spans="1:14">
      <c r="A60" s="59" t="s">
        <v>36</v>
      </c>
      <c r="B60" s="114">
        <f>MIN(C60*CapacityDC*1000,F60)</f>
        <v>5000000</v>
      </c>
      <c r="C60" s="98">
        <v>0.5</v>
      </c>
      <c r="D60" s="110"/>
      <c r="E60" s="110"/>
      <c r="F60" s="94">
        <v>9.9999999999999997E+98</v>
      </c>
      <c r="G60" s="110"/>
      <c r="H60" s="111"/>
      <c r="I60" s="112" t="s">
        <v>67</v>
      </c>
      <c r="J60" s="91" t="s">
        <v>67</v>
      </c>
      <c r="K60" s="116" t="s">
        <v>68</v>
      </c>
      <c r="L60" s="117" t="s">
        <v>68</v>
      </c>
      <c r="M60" s="99"/>
    </row>
    <row r="61" spans="1:14">
      <c r="A61" s="59" t="s">
        <v>37</v>
      </c>
      <c r="B61" s="114">
        <f>MIN(C61*CapacityDC*1000,F61)</f>
        <v>2000000</v>
      </c>
      <c r="C61" s="98">
        <v>0.2</v>
      </c>
      <c r="D61" s="110"/>
      <c r="E61" s="110"/>
      <c r="F61" s="94">
        <v>9.9999999999999997E+98</v>
      </c>
      <c r="G61" s="110"/>
      <c r="H61" s="111"/>
      <c r="I61" s="112" t="s">
        <v>67</v>
      </c>
      <c r="J61" s="91" t="s">
        <v>67</v>
      </c>
      <c r="K61" s="116" t="s">
        <v>68</v>
      </c>
      <c r="L61" s="117" t="s">
        <v>68</v>
      </c>
      <c r="M61" s="99"/>
    </row>
    <row r="62" spans="1:14">
      <c r="A62" s="49" t="s">
        <v>59</v>
      </c>
      <c r="B62" s="114">
        <f>MIN(C62*CapacityDC*1000,F62)</f>
        <v>100000</v>
      </c>
      <c r="C62" s="98">
        <v>0.01</v>
      </c>
      <c r="D62" s="110"/>
      <c r="E62" s="110"/>
      <c r="F62" s="94">
        <v>9.9999999999999997E+98</v>
      </c>
      <c r="G62" s="110"/>
      <c r="H62" s="111"/>
      <c r="I62" s="112" t="s">
        <v>67</v>
      </c>
      <c r="J62" s="91" t="s">
        <v>67</v>
      </c>
      <c r="K62" s="116" t="s">
        <v>68</v>
      </c>
      <c r="L62" s="117" t="s">
        <v>68</v>
      </c>
      <c r="M62" s="99"/>
    </row>
    <row r="63" spans="1:14">
      <c r="A63" s="49" t="s">
        <v>60</v>
      </c>
      <c r="B63" s="114">
        <f>MIN(C63*CapacityDC*1000,F63)</f>
        <v>50000</v>
      </c>
      <c r="C63" s="98">
        <v>5.0000000000000001E-3</v>
      </c>
      <c r="D63" s="110"/>
      <c r="E63" s="110"/>
      <c r="F63" s="94">
        <v>9.9999999999999997E+98</v>
      </c>
      <c r="G63" s="110"/>
      <c r="H63" s="111"/>
      <c r="I63" s="112" t="s">
        <v>67</v>
      </c>
      <c r="J63" s="91" t="s">
        <v>67</v>
      </c>
      <c r="K63" s="116" t="s">
        <v>68</v>
      </c>
      <c r="L63" s="117" t="s">
        <v>68</v>
      </c>
      <c r="M63" s="99"/>
    </row>
    <row r="64" spans="1:14">
      <c r="A64" s="336" t="s">
        <v>495</v>
      </c>
      <c r="B64" s="121"/>
      <c r="C64" s="110"/>
      <c r="D64" s="110"/>
      <c r="E64" s="110"/>
      <c r="F64" s="110"/>
      <c r="G64" s="110"/>
      <c r="H64" s="111"/>
      <c r="I64" s="110"/>
      <c r="J64" s="110"/>
      <c r="K64" s="116"/>
      <c r="L64" s="117"/>
      <c r="M64" s="99"/>
    </row>
    <row r="65" spans="1:13">
      <c r="A65" s="49" t="s">
        <v>496</v>
      </c>
      <c r="B65" s="121"/>
      <c r="C65" s="110"/>
      <c r="D65" s="110"/>
      <c r="E65" s="110"/>
      <c r="F65" s="110"/>
      <c r="G65" s="110"/>
      <c r="H65" s="111"/>
      <c r="I65" s="110"/>
      <c r="J65" s="110"/>
      <c r="K65" s="371" t="s">
        <v>576</v>
      </c>
      <c r="L65" s="117" t="s">
        <v>576</v>
      </c>
      <c r="M65" s="99"/>
    </row>
    <row r="66" spans="1:13">
      <c r="A66" s="55" t="s">
        <v>71</v>
      </c>
      <c r="B66" s="43"/>
      <c r="C66" s="89"/>
      <c r="D66" s="89"/>
      <c r="E66" s="89"/>
      <c r="F66" s="89"/>
      <c r="G66" s="89"/>
      <c r="H66" s="73"/>
      <c r="I66" s="113"/>
      <c r="J66" s="73"/>
      <c r="K66" s="113"/>
      <c r="L66" s="73"/>
      <c r="M66" s="96"/>
    </row>
    <row r="67" spans="1:13">
      <c r="A67" s="59" t="s">
        <v>36</v>
      </c>
      <c r="B67" s="119"/>
      <c r="C67" s="110"/>
      <c r="D67" s="120">
        <v>0</v>
      </c>
      <c r="E67" s="110"/>
      <c r="F67" s="110"/>
      <c r="G67" s="53">
        <v>0</v>
      </c>
      <c r="H67" s="47">
        <v>0</v>
      </c>
      <c r="I67" s="112" t="s">
        <v>67</v>
      </c>
      <c r="J67" s="91" t="s">
        <v>67</v>
      </c>
      <c r="K67" s="121"/>
      <c r="L67" s="111"/>
      <c r="M67" s="90" t="s">
        <v>68</v>
      </c>
    </row>
    <row r="68" spans="1:13">
      <c r="A68" s="59" t="s">
        <v>37</v>
      </c>
      <c r="B68" s="119"/>
      <c r="C68" s="110"/>
      <c r="D68" s="120">
        <v>0</v>
      </c>
      <c r="E68" s="110"/>
      <c r="F68" s="110"/>
      <c r="G68" s="53">
        <v>0</v>
      </c>
      <c r="H68" s="47">
        <v>0</v>
      </c>
      <c r="I68" s="112" t="s">
        <v>67</v>
      </c>
      <c r="J68" s="91" t="s">
        <v>67</v>
      </c>
      <c r="K68" s="121"/>
      <c r="L68" s="111"/>
      <c r="M68" s="90" t="s">
        <v>68</v>
      </c>
    </row>
    <row r="69" spans="1:13">
      <c r="A69" s="59" t="s">
        <v>59</v>
      </c>
      <c r="B69" s="119"/>
      <c r="C69" s="110"/>
      <c r="D69" s="120">
        <v>0</v>
      </c>
      <c r="E69" s="110"/>
      <c r="F69" s="110"/>
      <c r="G69" s="53">
        <v>0</v>
      </c>
      <c r="H69" s="47">
        <v>0</v>
      </c>
      <c r="I69" s="112" t="s">
        <v>67</v>
      </c>
      <c r="J69" s="91" t="s">
        <v>67</v>
      </c>
      <c r="K69" s="121"/>
      <c r="L69" s="111"/>
      <c r="M69" s="90" t="s">
        <v>68</v>
      </c>
    </row>
    <row r="70" spans="1:13">
      <c r="A70" s="76" t="s">
        <v>60</v>
      </c>
      <c r="B70" s="122"/>
      <c r="C70" s="123"/>
      <c r="D70" s="124">
        <v>0</v>
      </c>
      <c r="E70" s="123"/>
      <c r="F70" s="123"/>
      <c r="G70" s="84">
        <v>0</v>
      </c>
      <c r="H70" s="64">
        <v>0</v>
      </c>
      <c r="I70" s="125" t="s">
        <v>67</v>
      </c>
      <c r="J70" s="126" t="s">
        <v>67</v>
      </c>
      <c r="K70" s="127"/>
      <c r="L70" s="128"/>
      <c r="M70" s="260" t="s">
        <v>68</v>
      </c>
    </row>
    <row r="72" spans="1:13" ht="21">
      <c r="A72" s="34" t="s">
        <v>276</v>
      </c>
      <c r="B72" s="35"/>
      <c r="C72" s="35"/>
      <c r="D72" s="35"/>
      <c r="E72" s="35"/>
      <c r="F72" s="363"/>
      <c r="G72" s="363"/>
      <c r="H72" s="363"/>
      <c r="I72" s="363"/>
      <c r="J72" s="363"/>
      <c r="K72" s="364"/>
    </row>
    <row r="73" spans="1:13" ht="25.5">
      <c r="B73" s="361" t="s">
        <v>25</v>
      </c>
      <c r="C73" s="361" t="s">
        <v>26</v>
      </c>
      <c r="D73" s="361" t="s">
        <v>27</v>
      </c>
      <c r="E73" s="362" t="s">
        <v>28</v>
      </c>
      <c r="F73" s="390" t="s">
        <v>508</v>
      </c>
      <c r="G73" s="391"/>
      <c r="H73" s="380" t="s">
        <v>537</v>
      </c>
      <c r="I73" s="381"/>
      <c r="J73" s="380" t="s">
        <v>538</v>
      </c>
      <c r="K73" s="381"/>
    </row>
    <row r="74" spans="1:13" ht="72.75" customHeight="1">
      <c r="A74" s="130" t="s">
        <v>289</v>
      </c>
      <c r="B74" s="131"/>
      <c r="C74" s="288"/>
      <c r="D74" s="288"/>
      <c r="E74" s="299"/>
      <c r="F74" s="382" t="s">
        <v>516</v>
      </c>
      <c r="G74" s="383"/>
      <c r="H74" s="382" t="s">
        <v>540</v>
      </c>
      <c r="I74" s="383"/>
      <c r="J74" s="382" t="s">
        <v>539</v>
      </c>
      <c r="K74" s="383"/>
    </row>
    <row r="75" spans="1:13">
      <c r="A75" s="132" t="s">
        <v>347</v>
      </c>
      <c r="B75" s="133"/>
      <c r="C75" s="133"/>
      <c r="D75" s="133"/>
      <c r="E75" s="300"/>
      <c r="F75" s="43"/>
      <c r="G75" s="44"/>
      <c r="H75" s="43"/>
      <c r="I75" s="44"/>
      <c r="J75" s="43"/>
      <c r="K75" s="44"/>
    </row>
    <row r="76" spans="1:13" ht="38.25" customHeight="1">
      <c r="A76" s="59" t="s">
        <v>45</v>
      </c>
      <c r="B76" s="134">
        <v>35.138429752066124</v>
      </c>
      <c r="C76" s="134">
        <v>34.753994881306902</v>
      </c>
      <c r="D76" s="134">
        <v>39.71625546381739</v>
      </c>
      <c r="E76" s="301">
        <v>23.476711718495089</v>
      </c>
      <c r="F76" s="43"/>
      <c r="G76" s="44"/>
      <c r="H76" s="372" t="s">
        <v>517</v>
      </c>
      <c r="I76" s="373"/>
      <c r="J76" s="372"/>
      <c r="K76" s="373"/>
    </row>
    <row r="77" spans="1:13">
      <c r="A77" s="76" t="s">
        <v>39</v>
      </c>
      <c r="B77" s="135">
        <v>0.01</v>
      </c>
      <c r="C77" s="135">
        <v>0.02</v>
      </c>
      <c r="D77" s="135">
        <v>0.01</v>
      </c>
      <c r="E77" s="302">
        <v>0.01</v>
      </c>
      <c r="F77" s="43"/>
      <c r="G77" s="44"/>
      <c r="H77" s="43"/>
      <c r="I77" s="44"/>
      <c r="J77" s="43"/>
      <c r="K77" s="44"/>
    </row>
    <row r="78" spans="1:13">
      <c r="A78" s="136" t="s">
        <v>239</v>
      </c>
      <c r="B78" s="133"/>
      <c r="C78" s="137"/>
      <c r="D78" s="133"/>
      <c r="E78" s="300"/>
      <c r="F78" s="43"/>
      <c r="G78" s="248"/>
      <c r="H78" s="43"/>
      <c r="I78" s="44"/>
      <c r="J78" s="43"/>
      <c r="K78" s="44"/>
    </row>
    <row r="79" spans="1:13">
      <c r="A79" s="138" t="s">
        <v>248</v>
      </c>
      <c r="B79" s="96"/>
      <c r="C79" s="96"/>
      <c r="D79" s="96"/>
      <c r="E79" s="40"/>
      <c r="F79" s="43"/>
      <c r="G79" s="248"/>
      <c r="H79" s="43"/>
      <c r="I79" s="44"/>
      <c r="J79" s="43"/>
      <c r="K79" s="44"/>
    </row>
    <row r="80" spans="1:13">
      <c r="A80" s="139" t="s">
        <v>235</v>
      </c>
      <c r="B80" s="140">
        <f>AEPFFlipTargetYear</f>
        <v>8</v>
      </c>
      <c r="C80" s="140">
        <f>LPFFlipTargetYear</f>
        <v>11</v>
      </c>
      <c r="D80" s="140">
        <f>SLReturnTargetYear</f>
        <v>20</v>
      </c>
      <c r="E80" s="303">
        <f>SOReturnTargetYear</f>
        <v>20</v>
      </c>
      <c r="F80" s="43"/>
      <c r="G80" s="326"/>
      <c r="H80" s="43"/>
      <c r="I80" s="44"/>
      <c r="J80" s="43"/>
      <c r="K80" s="44"/>
    </row>
    <row r="81" spans="1:11" ht="38.25">
      <c r="A81" s="249" t="s">
        <v>350</v>
      </c>
      <c r="B81" s="140">
        <f>'All Equity Partnership Flip'!B146</f>
        <v>13</v>
      </c>
      <c r="C81" s="140">
        <f>'Leveraged Partnership Flip'!B155</f>
        <v>12</v>
      </c>
      <c r="D81" s="140">
        <f>'Sale Leaseback'!B174</f>
        <v>24</v>
      </c>
      <c r="E81" s="303">
        <f>'Single Owner'!B116</f>
        <v>0</v>
      </c>
      <c r="F81" s="43"/>
      <c r="G81" s="326"/>
      <c r="H81" s="372" t="s">
        <v>519</v>
      </c>
      <c r="I81" s="373"/>
      <c r="J81" s="372"/>
      <c r="K81" s="373"/>
    </row>
    <row r="82" spans="1:11">
      <c r="A82" s="139" t="s">
        <v>429</v>
      </c>
      <c r="B82" s="142">
        <f>LOOKUP(B80,'All Equity Partnership Flip'!$C$2:$AP$2,'All Equity Partnership Flip'!$C$142:$AP$142)</f>
        <v>2.1299999999999999E-2</v>
      </c>
      <c r="C82" s="142">
        <f>LOOKUP(C80,'Leveraged Partnership Flip'!$C$2:$AP$2,'Leveraged Partnership Flip'!$C$151:$AP$151)</f>
        <v>9.4600000000000004E-2</v>
      </c>
      <c r="D82" s="142">
        <f>LOOKUP(D80,'Sale Leaseback'!$C$2:$AP$2,'Sale Leaseback'!$C$170:$AP$170)</f>
        <v>0.1356</v>
      </c>
      <c r="E82" s="304">
        <f>LOOKUP(E80,'Single Owner'!$C$2:$AP$2,'Single Owner'!$C$112:$AP$112)</f>
        <v>5.0200000000000002E-2</v>
      </c>
      <c r="F82" s="43"/>
      <c r="G82" s="327"/>
      <c r="H82" s="43"/>
      <c r="I82" s="44"/>
      <c r="J82" s="43"/>
      <c r="K82" s="44"/>
    </row>
    <row r="83" spans="1:11">
      <c r="A83" s="138" t="s">
        <v>251</v>
      </c>
      <c r="B83" s="144">
        <f>'All Equity Partnership Flip'!B112*100</f>
        <v>38.502711626931827</v>
      </c>
      <c r="C83" s="144">
        <f>'Leveraged Partnership Flip'!B121*100</f>
        <v>41.935374570911293</v>
      </c>
      <c r="D83" s="144">
        <f>'Sale Leaseback'!B134*100</f>
        <v>43.518835127656821</v>
      </c>
      <c r="E83" s="305">
        <f>'Single Owner'!B124*100</f>
        <v>25.724458025694162</v>
      </c>
      <c r="F83" s="43"/>
      <c r="G83" s="328"/>
      <c r="H83" s="43"/>
      <c r="I83" s="44"/>
      <c r="J83" s="43"/>
      <c r="K83" s="44"/>
    </row>
    <row r="84" spans="1:11">
      <c r="A84" s="333" t="s">
        <v>544</v>
      </c>
      <c r="B84" s="144"/>
      <c r="C84" s="144"/>
      <c r="D84" s="144"/>
      <c r="E84" s="305"/>
      <c r="F84" s="43"/>
      <c r="G84" s="328"/>
      <c r="H84" s="43"/>
      <c r="I84" s="44"/>
      <c r="J84" s="43"/>
      <c r="K84" s="44"/>
    </row>
    <row r="85" spans="1:11">
      <c r="A85" s="57" t="s">
        <v>545</v>
      </c>
      <c r="B85" s="404">
        <v>8</v>
      </c>
      <c r="C85" s="405"/>
      <c r="D85" s="405"/>
      <c r="E85" s="406"/>
      <c r="F85" s="43"/>
      <c r="G85" s="328"/>
      <c r="H85" s="43"/>
      <c r="I85" s="44"/>
      <c r="J85" s="43"/>
      <c r="K85" s="44"/>
    </row>
    <row r="86" spans="1:11">
      <c r="A86" s="57" t="s">
        <v>546</v>
      </c>
      <c r="B86" s="404">
        <v>25</v>
      </c>
      <c r="C86" s="405"/>
      <c r="D86" s="405"/>
      <c r="E86" s="406"/>
      <c r="F86" s="43"/>
      <c r="G86" s="328"/>
      <c r="H86" s="43"/>
      <c r="I86" s="44"/>
      <c r="J86" s="43"/>
      <c r="K86" s="44"/>
    </row>
    <row r="87" spans="1:11">
      <c r="A87" s="340" t="s">
        <v>504</v>
      </c>
      <c r="B87" s="145"/>
      <c r="C87" s="145"/>
      <c r="D87" s="145"/>
      <c r="E87" s="306"/>
      <c r="F87" s="43"/>
      <c r="G87" s="329"/>
      <c r="H87" s="43"/>
      <c r="I87" s="44"/>
      <c r="J87" s="43"/>
      <c r="K87" s="44"/>
    </row>
    <row r="88" spans="1:11">
      <c r="A88" s="341" t="str">
        <f>"IRR at Year - " &amp;TEXT(ReturnTime1,"general")</f>
        <v>IRR at Year - 8</v>
      </c>
      <c r="B88" s="145"/>
      <c r="C88" s="145"/>
      <c r="D88" s="145"/>
      <c r="E88" s="306"/>
      <c r="F88" s="55"/>
      <c r="G88" s="329"/>
      <c r="H88" s="55"/>
      <c r="I88" s="248"/>
      <c r="J88" s="43"/>
      <c r="K88" s="44"/>
    </row>
    <row r="89" spans="1:11">
      <c r="A89" s="342" t="s">
        <v>240</v>
      </c>
      <c r="B89" s="147">
        <f>LOOKUP(ReturnTime1,'All Equity Partnership Flip'!$C$2:$AP$2,'All Equity Partnership Flip'!$C$81:$AP$81)</f>
        <v>5.8000000000000003E-2</v>
      </c>
      <c r="C89" s="147">
        <f>LOOKUP(ReturnTime1,'Leveraged Partnership Flip'!$C$2:$AP$2,'Leveraged Partnership Flip'!$C$90:$AP$90)</f>
        <v>6.9500000000000006E-2</v>
      </c>
      <c r="D89" s="271"/>
      <c r="E89" s="307">
        <f ca="1">LOOKUP(ReturnTime1,'Single Owner'!$C$2:$AP$2,'Single Owner'!$B$90:$AP$90)</f>
        <v>0</v>
      </c>
      <c r="F89" s="43"/>
      <c r="G89" s="68"/>
      <c r="H89" s="43"/>
      <c r="I89" s="44"/>
      <c r="J89" s="43"/>
      <c r="K89" s="44"/>
    </row>
    <row r="90" spans="1:11">
      <c r="A90" s="342" t="s">
        <v>241</v>
      </c>
      <c r="B90" s="147">
        <f>LOOKUP(ReturnTime1,'All Equity Partnership Flip'!$C$2:$AP$2,'All Equity Partnership Flip'!$C$103:$AP$103)</f>
        <v>1.7100000000000001E-2</v>
      </c>
      <c r="C90" s="147">
        <f>LOOKUP(ReturnTime1,'Leveraged Partnership Flip'!$C$2:$AP$2,'Leveraged Partnership Flip'!$C$112:$AP$112)</f>
        <v>3.1399999999999997E-2</v>
      </c>
      <c r="D90" s="271"/>
      <c r="E90" s="307">
        <f>LOOKUP(ReturnTime1,'Single Owner'!$C$2:$AP$2,'Single Owner'!$C$112:$AP$112)</f>
        <v>0</v>
      </c>
      <c r="F90" s="43"/>
      <c r="G90" s="68"/>
      <c r="H90" s="43"/>
      <c r="I90" s="44"/>
      <c r="J90" s="43"/>
      <c r="K90" s="44"/>
    </row>
    <row r="91" spans="1:11" ht="14.25" customHeight="1">
      <c r="A91" s="341" t="str">
        <f>"IRR at Year - " &amp;TEXT(ReturnTime2,"general")</f>
        <v>IRR at Year - 25</v>
      </c>
      <c r="B91" s="145"/>
      <c r="C91" s="145"/>
      <c r="D91" s="145"/>
      <c r="E91" s="306"/>
      <c r="F91" s="43"/>
      <c r="G91" s="329"/>
      <c r="H91" s="331"/>
      <c r="I91" s="332"/>
      <c r="J91" s="331"/>
      <c r="K91" s="332"/>
    </row>
    <row r="92" spans="1:11">
      <c r="A92" s="342" t="s">
        <v>240</v>
      </c>
      <c r="B92" s="147">
        <f>LOOKUP(ReturnTime2,'All Equity Partnership Flip'!$C$2:$AP$2,'All Equity Partnership Flip'!$C$81:$AP$81)</f>
        <v>0.15840000000000001</v>
      </c>
      <c r="C92" s="147">
        <f>LOOKUP(ReturnTime2,'Leveraged Partnership Flip'!$C$2:$AP$2,'Leveraged Partnership Flip'!$C$90:$AP$90)</f>
        <v>0.22559999999999999</v>
      </c>
      <c r="D92" s="271"/>
      <c r="E92" s="307">
        <f ca="1">LOOKUP(ReturnTime2,'Single Owner'!$C$2:$AP$2,'Single Owner'!$B$90:$AP$90)</f>
        <v>8.4199999999999997E-2</v>
      </c>
      <c r="F92" s="43"/>
      <c r="G92" s="68"/>
      <c r="H92" s="43"/>
      <c r="I92" s="44"/>
      <c r="J92" s="43"/>
      <c r="K92" s="44"/>
    </row>
    <row r="93" spans="1:11">
      <c r="A93" s="342" t="s">
        <v>241</v>
      </c>
      <c r="B93" s="147">
        <f>LOOKUP(ReturnTime2,'All Equity Partnership Flip'!$C$2:$AP$2,'All Equity Partnership Flip'!$C$103:$AP$103)</f>
        <v>0.1177</v>
      </c>
      <c r="C93" s="147">
        <f>LOOKUP(ReturnTime2,'Leveraged Partnership Flip'!$C$2:$AP$2,'Leveraged Partnership Flip'!$C$112:$AP$112)</f>
        <v>0.1865</v>
      </c>
      <c r="D93" s="271"/>
      <c r="E93" s="307">
        <f>LOOKUP(ReturnTime2,'Single Owner'!$C$2:$AP$2,'Single Owner'!$C$112:$AP$112)</f>
        <v>6.5100000000000005E-2</v>
      </c>
      <c r="F93" s="43"/>
      <c r="G93" s="68"/>
      <c r="H93" s="43"/>
      <c r="I93" s="44"/>
      <c r="J93" s="43"/>
      <c r="K93" s="44"/>
    </row>
    <row r="94" spans="1:11">
      <c r="A94" s="341" t="str">
        <f>"NPV at Year - " &amp;TEXT(ReturnTime1,"general")</f>
        <v>NPV at Year - 8</v>
      </c>
      <c r="B94" s="158"/>
      <c r="C94" s="158"/>
      <c r="D94" s="158"/>
      <c r="E94" s="308"/>
      <c r="F94" s="43"/>
      <c r="G94" s="68"/>
      <c r="H94" s="43"/>
      <c r="I94" s="44"/>
      <c r="J94" s="43"/>
      <c r="K94" s="44"/>
    </row>
    <row r="95" spans="1:11">
      <c r="A95" s="342" t="s">
        <v>240</v>
      </c>
      <c r="B95" s="148">
        <f>LOOKUP(ReturnTime1,'All Equity Partnership Flip'!$C$2:$AP$2,'All Equity Partnership Flip'!$C$82:$AP$82)</f>
        <v>-2411572.8256632276</v>
      </c>
      <c r="C95" s="148">
        <f>LOOKUP(ReturnTime1,'Leveraged Partnership Flip'!$C$2:$AP$2,'Leveraged Partnership Flip'!$C$91:$AP$91)</f>
        <v>-392932.3440525718</v>
      </c>
      <c r="D95" s="271"/>
      <c r="E95" s="309">
        <f>LOOKUP(ReturnTime1,'Single Owner'!$C$2:$AP$2,'Single Owner'!$C$91:$AP$91)</f>
        <v>-11511377.615652628</v>
      </c>
      <c r="F95" s="43"/>
      <c r="G95" s="68"/>
      <c r="H95" s="43"/>
      <c r="I95" s="44"/>
      <c r="J95" s="43"/>
      <c r="K95" s="44"/>
    </row>
    <row r="96" spans="1:11">
      <c r="A96" s="342" t="s">
        <v>241</v>
      </c>
      <c r="B96" s="148">
        <f>LOOKUP(ReturnTime1,'All Equity Partnership Flip'!$C$2:$AP$2,'All Equity Partnership Flip'!$C$104:$AP$104)</f>
        <v>-6261180.9354268909</v>
      </c>
      <c r="C96" s="148">
        <f>LOOKUP(ReturnTime1,'Leveraged Partnership Flip'!$C$2:$AP$2,'Leveraged Partnership Flip'!$C$113:$AP$113)</f>
        <v>-1361643.2097467408</v>
      </c>
      <c r="D96" s="271"/>
      <c r="E96" s="309">
        <f>LOOKUP(ReturnTime1,'Single Owner'!$C$2:$AP$2,'Single Owner'!$C$114:$AP$114)</f>
        <v>-9544644.5748988502</v>
      </c>
      <c r="F96" s="43"/>
      <c r="G96" s="68"/>
      <c r="H96" s="43"/>
      <c r="I96" s="44"/>
      <c r="J96" s="43"/>
      <c r="K96" s="44"/>
    </row>
    <row r="97" spans="1:11">
      <c r="A97" s="341" t="str">
        <f>"NPV at Year - " &amp;TEXT(ReturnTime2,"general")</f>
        <v>NPV at Year - 25</v>
      </c>
      <c r="B97" s="145"/>
      <c r="C97" s="145"/>
      <c r="D97" s="145"/>
      <c r="E97" s="306"/>
      <c r="F97" s="43"/>
      <c r="G97" s="329"/>
      <c r="H97" s="43"/>
      <c r="I97" s="44"/>
      <c r="J97" s="43"/>
      <c r="K97" s="44"/>
    </row>
    <row r="98" spans="1:11">
      <c r="A98" s="342" t="s">
        <v>240</v>
      </c>
      <c r="B98" s="148">
        <f>LOOKUP(ReturnTime2,'All Equity Partnership Flip'!$C$2:$AP$2,'All Equity Partnership Flip'!$C$82:$AP$82)</f>
        <v>22312755.512308784</v>
      </c>
      <c r="C98" s="148">
        <f>LOOKUP(ReturnTime2,'Leveraged Partnership Flip'!$C$2:$AP$2,'Leveraged Partnership Flip'!$C$91:$AP$91)</f>
        <v>26189792.932545714</v>
      </c>
      <c r="D98" s="271"/>
      <c r="E98" s="309">
        <f>LOOKUP(ReturnTime2,'Single Owner'!$C$2:$AP$2,'Single Owner'!$C$91:$AP$91)</f>
        <v>1264479.7664484791</v>
      </c>
      <c r="F98" s="113"/>
      <c r="G98" s="330"/>
      <c r="H98" s="43"/>
      <c r="I98" s="44"/>
      <c r="J98" s="43"/>
      <c r="K98" s="44"/>
    </row>
    <row r="99" spans="1:11">
      <c r="A99" s="342" t="s">
        <v>241</v>
      </c>
      <c r="B99" s="148">
        <f>LOOKUP(ReturnTime2,'All Equity Partnership Flip'!$C$2:$AP$2,'All Equity Partnership Flip'!$C$104:$AP$104)</f>
        <v>8915427.0130194202</v>
      </c>
      <c r="C99" s="148">
        <f>LOOKUP(ReturnTime2,'Leveraged Partnership Flip'!$C$2:$AP$2,'Leveraged Partnership Flip'!$C$113:$AP$113)</f>
        <v>14171502.974835329</v>
      </c>
      <c r="D99" s="271"/>
      <c r="E99" s="309">
        <f>LOOKUP(ReturnTime2,'Single Owner'!$C$2:$AP$2,'Single Owner'!$C$114:$AP$114)</f>
        <v>-2186987.2837736793</v>
      </c>
      <c r="F99" s="113"/>
      <c r="G99" s="330"/>
      <c r="H99" s="43"/>
      <c r="I99" s="44"/>
      <c r="J99" s="43"/>
      <c r="K99" s="44"/>
    </row>
    <row r="100" spans="1:11">
      <c r="A100" s="340" t="s">
        <v>249</v>
      </c>
      <c r="B100" s="149"/>
      <c r="C100" s="149"/>
      <c r="D100" s="149"/>
      <c r="E100" s="310"/>
      <c r="F100" s="43"/>
      <c r="G100" s="329"/>
      <c r="H100" s="43"/>
      <c r="I100" s="44"/>
      <c r="J100" s="43"/>
      <c r="K100" s="44"/>
    </row>
    <row r="101" spans="1:11">
      <c r="A101" s="341" t="str">
        <f>"IRR at Year - " &amp;TEXT(ReturnTime1,"general")</f>
        <v>IRR at Year - 8</v>
      </c>
      <c r="B101" s="145"/>
      <c r="C101" s="145"/>
      <c r="D101" s="145"/>
      <c r="E101" s="306"/>
      <c r="F101" s="43"/>
      <c r="G101" s="248"/>
      <c r="H101" s="43"/>
      <c r="I101" s="44"/>
      <c r="J101" s="43"/>
      <c r="K101" s="44"/>
    </row>
    <row r="102" spans="1:11">
      <c r="A102" s="342" t="s">
        <v>240</v>
      </c>
      <c r="B102" s="147">
        <f>LOOKUP(ReturnTime1,'All Equity Partnership Flip'!$C$2:$AP$2,'All Equity Partnership Flip'!$C$120:$AP$120)</f>
        <v>7.0000000000000007E-2</v>
      </c>
      <c r="C102" s="147">
        <f>LOOKUP(ReturnTime1,'Leveraged Partnership Flip'!$C$2:$AP$2,'Leveraged Partnership Flip'!$C$129:$AP$129)</f>
        <v>6.9500000000000006E-2</v>
      </c>
      <c r="D102" s="147">
        <f>LOOKUP(ReturnTime1,'Sale Leaseback'!$C$2:$AP$2,'Sale Leaseback'!$C$145:$AP$145)</f>
        <v>8.0299999999999996E-2</v>
      </c>
      <c r="E102" s="311"/>
      <c r="F102" s="43"/>
      <c r="G102" s="68"/>
      <c r="H102" s="43"/>
      <c r="I102" s="44"/>
      <c r="J102" s="43"/>
      <c r="K102" s="44"/>
    </row>
    <row r="103" spans="1:11">
      <c r="A103" s="342" t="s">
        <v>241</v>
      </c>
      <c r="B103" s="147">
        <f>LOOKUP(ReturnTime1,'All Equity Partnership Flip'!$C$2:$AP$2,'All Equity Partnership Flip'!$C$142:$AP$142)</f>
        <v>2.1299999999999999E-2</v>
      </c>
      <c r="C103" s="147">
        <f>LOOKUP(ReturnTime1,'Leveraged Partnership Flip'!$C$2:$AP$2,'Leveraged Partnership Flip'!$C$151:$AP$151)</f>
        <v>3.1399999999999997E-2</v>
      </c>
      <c r="D103" s="147">
        <f>LOOKUP(ReturnTime1,'Sale Leaseback'!$C$2:$AP$2,'Sale Leaseback'!$C$170:$AP$170)</f>
        <v>5.1900000000000002E-2</v>
      </c>
      <c r="E103" s="311"/>
      <c r="F103" s="43"/>
      <c r="G103" s="68"/>
      <c r="H103" s="43"/>
      <c r="I103" s="44"/>
      <c r="J103" s="43"/>
      <c r="K103" s="44"/>
    </row>
    <row r="104" spans="1:11">
      <c r="A104" s="341" t="str">
        <f>"IRR at Year - " &amp;TEXT(ReturnTime2,"general")</f>
        <v>IRR at Year - 25</v>
      </c>
      <c r="B104" s="145"/>
      <c r="C104" s="145"/>
      <c r="D104" s="145"/>
      <c r="E104" s="306"/>
      <c r="F104" s="43"/>
      <c r="G104" s="68"/>
      <c r="H104" s="43"/>
      <c r="I104" s="44"/>
      <c r="J104" s="43"/>
      <c r="K104" s="44"/>
    </row>
    <row r="105" spans="1:11">
      <c r="A105" s="342" t="s">
        <v>240</v>
      </c>
      <c r="B105" s="147">
        <f>LOOKUP(ReturnTime2,'All Equity Partnership Flip'!$C$2:$AP$2,'All Equity Partnership Flip'!$C$120:$AP$120)</f>
        <v>0.151</v>
      </c>
      <c r="C105" s="147">
        <f>LOOKUP(ReturnTime2,'Leveraged Partnership Flip'!$C$2:$AP$2,'Leveraged Partnership Flip'!$C$129:$AP$129)</f>
        <v>0.18459999999999999</v>
      </c>
      <c r="D105" s="147">
        <f>LOOKUP(ReturnTime2,'Sale Leaseback'!$C$2:$AP$2,'Sale Leaseback'!$C$145:$AP$145)</f>
        <v>0.1731</v>
      </c>
      <c r="E105" s="311"/>
      <c r="F105" s="43"/>
      <c r="G105" s="330"/>
      <c r="H105" s="43"/>
      <c r="I105" s="44"/>
      <c r="J105" s="43"/>
      <c r="K105" s="44"/>
    </row>
    <row r="106" spans="1:11">
      <c r="A106" s="342" t="s">
        <v>241</v>
      </c>
      <c r="B106" s="147">
        <f>LOOKUP(ReturnTime2,'All Equity Partnership Flip'!$C$2:$AP$2,'All Equity Partnership Flip'!$C$142:$AP$142)</f>
        <v>9.9299999999999999E-2</v>
      </c>
      <c r="C106" s="147">
        <f>LOOKUP(ReturnTime2,'Leveraged Partnership Flip'!$C$2:$AP$2,'Leveraged Partnership Flip'!$C$151:$AP$151)</f>
        <v>0.1371</v>
      </c>
      <c r="D106" s="147">
        <f>LOOKUP(ReturnTime2,'Sale Leaseback'!$C$2:$AP$2,'Sale Leaseback'!$C$170:$AP$170)</f>
        <v>0.14119999999999999</v>
      </c>
      <c r="E106" s="311"/>
      <c r="F106" s="43"/>
      <c r="G106" s="330"/>
      <c r="H106" s="43"/>
      <c r="I106" s="44"/>
      <c r="J106" s="43"/>
      <c r="K106" s="44"/>
    </row>
    <row r="107" spans="1:11">
      <c r="A107" s="341" t="str">
        <f>"NPV at Year - " &amp;TEXT(ReturnTime1,"general")</f>
        <v>NPV at Year - 8</v>
      </c>
      <c r="B107" s="158"/>
      <c r="C107" s="158"/>
      <c r="D107" s="158"/>
      <c r="E107" s="308"/>
      <c r="F107" s="43"/>
      <c r="G107" s="330"/>
      <c r="H107" s="43"/>
      <c r="I107" s="44"/>
      <c r="J107" s="43"/>
      <c r="K107" s="44"/>
    </row>
    <row r="108" spans="1:11">
      <c r="A108" s="342" t="s">
        <v>240</v>
      </c>
      <c r="B108" s="148">
        <f>LOOKUP(ReturnTime1,'All Equity Partnership Flip'!$C$2:$AP$2,'All Equity Partnership Flip'!$C$121:$AP$121)</f>
        <v>-891940.15095289983</v>
      </c>
      <c r="C108" s="148">
        <f>LOOKUP(ReturnTime1,'Leveraged Partnership Flip'!$C$2:$AP$2,'Leveraged Partnership Flip'!$C$130:$AP$130)</f>
        <v>-385073.6971715223</v>
      </c>
      <c r="D108" s="148">
        <f>LOOKUP(ReturnTime1,'Sale Leaseback'!$C$2:$AP$2,'Sale Leaseback'!$C$146:$AP$146)</f>
        <v>33279.159452658147</v>
      </c>
      <c r="E108" s="311"/>
      <c r="F108" s="43"/>
      <c r="G108" s="330"/>
      <c r="H108" s="43"/>
      <c r="I108" s="44"/>
      <c r="J108" s="43"/>
      <c r="K108" s="44"/>
    </row>
    <row r="109" spans="1:11">
      <c r="A109" s="342" t="s">
        <v>241</v>
      </c>
      <c r="B109" s="148">
        <f>LOOKUP(ReturnTime1,'All Equity Partnership Flip'!$C$2:$AP$2,'All Equity Partnership Flip'!$C$144:$AP$144)</f>
        <v>-4703052.1796189193</v>
      </c>
      <c r="C109" s="148">
        <f>LOOKUP(ReturnTime1,'Leveraged Partnership Flip'!$C$2:$AP$2,'Leveraged Partnership Flip'!$C$153:$AP$153)</f>
        <v>-1334410.3455518046</v>
      </c>
      <c r="D109" s="148">
        <f>LOOKUP(ReturnTime1,'Sale Leaseback'!$C$2:$AP$2,'Sale Leaseback'!$C$172:$AP$172)</f>
        <v>-2856017.2577957213</v>
      </c>
      <c r="E109" s="311"/>
      <c r="F109" s="43"/>
      <c r="G109" s="330"/>
      <c r="H109" s="43"/>
      <c r="I109" s="44"/>
      <c r="J109" s="43"/>
      <c r="K109" s="44"/>
    </row>
    <row r="110" spans="1:11">
      <c r="A110" s="341" t="str">
        <f>"NPV at Year - " &amp;TEXT(ReturnTime2,"general")</f>
        <v>NPV at Year - 25</v>
      </c>
      <c r="B110" s="145"/>
      <c r="C110" s="145"/>
      <c r="D110" s="145"/>
      <c r="E110" s="306"/>
      <c r="F110" s="43"/>
      <c r="G110" s="330"/>
      <c r="H110" s="43"/>
      <c r="I110" s="44"/>
      <c r="J110" s="43"/>
      <c r="K110" s="44"/>
    </row>
    <row r="111" spans="1:11">
      <c r="A111" s="342" t="s">
        <v>240</v>
      </c>
      <c r="B111" s="148">
        <f>LOOKUP(ReturnTime2,'All Equity Partnership Flip'!$C$2:$AP$2,'All Equity Partnership Flip'!$C$121:$AP$121)</f>
        <v>11187038.125001702</v>
      </c>
      <c r="C111" s="148">
        <f>LOOKUP(ReturnTime2,'Leveraged Partnership Flip'!$C$2:$AP$2,'Leveraged Partnership Flip'!$C$130:$AP$130)</f>
        <v>9618061.3803588115</v>
      </c>
      <c r="D111" s="148">
        <f>LOOKUP(ReturnTime2,'Sale Leaseback'!$C$2:$AP$2,'Sale Leaseback'!$C$146:$AP$146)</f>
        <v>26249563.741838112</v>
      </c>
      <c r="E111" s="311"/>
      <c r="F111" s="43"/>
      <c r="G111" s="330"/>
      <c r="H111" s="43"/>
      <c r="I111" s="44"/>
      <c r="J111" s="43"/>
      <c r="K111" s="44"/>
    </row>
    <row r="112" spans="1:11">
      <c r="A112" s="342" t="s">
        <v>241</v>
      </c>
      <c r="B112" s="148">
        <f>LOOKUP(ReturnTime2,'All Equity Partnership Flip'!$C$2:$AP$2,'All Equity Partnership Flip'!$C$144:$AP$144)</f>
        <v>2575950.2211478613</v>
      </c>
      <c r="C112" s="148">
        <f>LOOKUP(ReturnTime2,'Leveraged Partnership Flip'!$C$2:$AP$2,'Leveraged Partnership Flip'!$C$153:$AP$153)</f>
        <v>3804060.3074689489</v>
      </c>
      <c r="D112" s="148">
        <f>LOOKUP(ReturnTime2,'Sale Leaseback'!$C$2:$AP$2,'Sale Leaseback'!$C$172:$AP$172)</f>
        <v>14636060.338904761</v>
      </c>
      <c r="E112" s="311"/>
      <c r="F112" s="43"/>
      <c r="G112" s="330"/>
      <c r="H112" s="43"/>
      <c r="I112" s="44"/>
      <c r="J112" s="43"/>
      <c r="K112" s="44"/>
    </row>
    <row r="113" spans="1:11">
      <c r="A113" s="340" t="s">
        <v>503</v>
      </c>
      <c r="B113" s="145"/>
      <c r="C113" s="145"/>
      <c r="D113" s="145"/>
      <c r="E113" s="306"/>
      <c r="F113" s="43"/>
      <c r="G113" s="329"/>
      <c r="H113" s="43"/>
      <c r="I113" s="44"/>
      <c r="J113" s="43"/>
      <c r="K113" s="44"/>
    </row>
    <row r="114" spans="1:11">
      <c r="A114" s="341" t="str">
        <f>"IRR at Year - " &amp;TEXT(ReturnTime1,"general")</f>
        <v>IRR at Year - 8</v>
      </c>
      <c r="B114" s="145"/>
      <c r="C114" s="145"/>
      <c r="D114" s="145"/>
      <c r="E114" s="306"/>
      <c r="F114" s="43"/>
      <c r="G114" s="329"/>
      <c r="H114" s="43"/>
      <c r="I114" s="44"/>
      <c r="J114" s="43"/>
      <c r="K114" s="44"/>
    </row>
    <row r="115" spans="1:11">
      <c r="A115" s="342" t="s">
        <v>240</v>
      </c>
      <c r="B115" s="263">
        <f>LOOKUP(ReturnTime1,'All Equity Partnership Flip'!$C$2:$AP$2,'All Equity Partnership Flip'!$C$161:$AP$161)</f>
        <v>6.1899999999999997E-2</v>
      </c>
      <c r="C115" s="263" t="str">
        <f>LOOKUP(ReturnTime1,'Leveraged Partnership Flip'!$C$2:$AP$2,'Leveraged Partnership Flip'!$C$163:$AP$163)</f>
        <v>N/A</v>
      </c>
      <c r="D115" s="263">
        <f>LOOKUP(ReturnTime1,'Sale Leaseback'!$C$2:$AP$2,'Sale Leaseback'!$C$186:$AP$186)</f>
        <v>0.1686</v>
      </c>
      <c r="E115" s="311"/>
      <c r="F115" s="43"/>
      <c r="G115" s="329"/>
      <c r="H115" s="43"/>
      <c r="I115" s="44"/>
      <c r="J115" s="43"/>
      <c r="K115" s="44"/>
    </row>
    <row r="116" spans="1:11">
      <c r="A116" s="342" t="s">
        <v>241</v>
      </c>
      <c r="B116" s="263">
        <f>LOOKUP(ReturnTime1,'All Equity Partnership Flip'!$C$2:$AP$2,'All Equity Partnership Flip'!$C$193:$AP$193)</f>
        <v>3.49E-2</v>
      </c>
      <c r="C116" s="263" t="str">
        <f>LOOKUP(ReturnTime1,'Leveraged Partnership Flip'!$C$2:$AP$2,'Leveraged Partnership Flip'!$C$194:$AP$194)</f>
        <v>N/A</v>
      </c>
      <c r="D116" s="263" t="str">
        <f>LOOKUP(ReturnTime1,'Sale Leaseback'!$C$2:$AP$2,'Sale Leaseback'!$C$212:$AP$212)</f>
        <v>N/A</v>
      </c>
      <c r="E116" s="311"/>
      <c r="F116" s="43"/>
      <c r="G116" s="329"/>
      <c r="H116" s="43"/>
      <c r="I116" s="44"/>
      <c r="J116" s="43"/>
      <c r="K116" s="44"/>
    </row>
    <row r="117" spans="1:11" ht="39.75" customHeight="1">
      <c r="A117" s="63" t="str">
        <f>"IRR at Year - " &amp;TEXT(ReturnTime2,"general")</f>
        <v>IRR at Year - 25</v>
      </c>
      <c r="B117" s="145"/>
      <c r="C117" s="264"/>
      <c r="D117" s="264"/>
      <c r="E117" s="306"/>
      <c r="F117" s="43"/>
      <c r="G117" s="248"/>
      <c r="H117" s="372" t="s">
        <v>518</v>
      </c>
      <c r="I117" s="373"/>
      <c r="J117" s="372"/>
      <c r="K117" s="373"/>
    </row>
    <row r="118" spans="1:11">
      <c r="A118" s="146" t="s">
        <v>240</v>
      </c>
      <c r="B118" s="263">
        <f>LOOKUP(ReturnTime2,'All Equity Partnership Flip'!$C$2:$AP$2,'All Equity Partnership Flip'!$C$161:$AP$161)</f>
        <v>0.1963</v>
      </c>
      <c r="C118" s="263" t="str">
        <f>LOOKUP(ReturnTime2,'Leveraged Partnership Flip'!$C$2:$AP$2,'Leveraged Partnership Flip'!$C$163:$AP$163)</f>
        <v>N/A</v>
      </c>
      <c r="D118" s="263">
        <f>LOOKUP(ReturnTime2,'Sale Leaseback'!$C$2:$AP$2,'Sale Leaseback'!$C$186:$AP$186)</f>
        <v>0.24179999999999999</v>
      </c>
      <c r="E118" s="311"/>
      <c r="F118" s="43"/>
      <c r="G118" s="68"/>
      <c r="H118" s="331"/>
      <c r="I118" s="332"/>
      <c r="J118" s="331"/>
      <c r="K118" s="332"/>
    </row>
    <row r="119" spans="1:11">
      <c r="A119" s="146" t="s">
        <v>241</v>
      </c>
      <c r="B119" s="263">
        <f>LOOKUP(ReturnTime2,'All Equity Partnership Flip'!$C$2:$AP$2,'All Equity Partnership Flip'!$C$193:$AP$193)</f>
        <v>0.16470000000000001</v>
      </c>
      <c r="C119" s="263" t="str">
        <f>LOOKUP(ReturnTime2,'Leveraged Partnership Flip'!$C$2:$AP$2,'Leveraged Partnership Flip'!$C$194:$AP$194)</f>
        <v>N/A</v>
      </c>
      <c r="D119" s="263" t="str">
        <f>LOOKUP(ReturnTime2,'Sale Leaseback'!$C$2:$AP$2,'Sale Leaseback'!$C$212:$AP$212)</f>
        <v>N/A</v>
      </c>
      <c r="E119" s="311"/>
      <c r="F119" s="43"/>
      <c r="G119" s="68"/>
      <c r="H119" s="43"/>
      <c r="I119" s="44"/>
      <c r="J119" s="43"/>
      <c r="K119" s="44"/>
    </row>
    <row r="120" spans="1:11">
      <c r="A120" s="63" t="str">
        <f>"NPV at Year - " &amp;TEXT(ReturnTime1,"general")</f>
        <v>NPV at Year - 8</v>
      </c>
      <c r="B120" s="158"/>
      <c r="C120" s="158"/>
      <c r="D120" s="158"/>
      <c r="E120" s="308"/>
      <c r="F120" s="43"/>
      <c r="G120" s="68"/>
      <c r="H120" s="43"/>
      <c r="I120" s="44"/>
      <c r="J120" s="43"/>
      <c r="K120" s="44"/>
    </row>
    <row r="121" spans="1:11">
      <c r="A121" s="146" t="s">
        <v>240</v>
      </c>
      <c r="B121" s="148">
        <f>LOOKUP(ReturnTime1,'All Equity Partnership Flip'!$C$2:$AP$2,'All Equity Partnership Flip'!$C$162:$AP$162)</f>
        <v>-312818.17471033521</v>
      </c>
      <c r="C121" s="148">
        <f>LOOKUP(ReturnTime1,'Leveraged Partnership Flip'!$C$2:$AP$2,'Leveraged Partnership Flip'!$C$164:$AP$164)</f>
        <v>1198955.8531189479</v>
      </c>
      <c r="D121" s="148">
        <f>LOOKUP(ReturnTime1,'Sale Leaseback'!$C$2:$AP$2,'Sale Leaseback'!$C$187:$AP$187)</f>
        <v>737613.63592740102</v>
      </c>
      <c r="E121" s="311"/>
      <c r="F121" s="43"/>
      <c r="G121" s="68"/>
      <c r="H121" s="43"/>
      <c r="I121" s="44"/>
      <c r="J121" s="43"/>
      <c r="K121" s="44"/>
    </row>
    <row r="122" spans="1:11">
      <c r="A122" s="146" t="s">
        <v>241</v>
      </c>
      <c r="B122" s="148">
        <f>LOOKUP(ReturnTime1,'All Equity Partnership Flip'!$C$2:$AP$2,'All Equity Partnership Flip'!$C$194:$AP$194)</f>
        <v>-782359.34226630628</v>
      </c>
      <c r="C122" s="148">
        <f>LOOKUP(ReturnTime1,'Leveraged Partnership Flip'!$C$2:$AP$2,'Leveraged Partnership Flip'!$C$195:$AP$195)</f>
        <v>748536.54934673151</v>
      </c>
      <c r="D122" s="148">
        <f>LOOKUP(ReturnTime1,'Sale Leaseback'!$C$2:$AP$2,'Sale Leaseback'!$C$213:$AP$213)</f>
        <v>-2280803.2377647152</v>
      </c>
      <c r="E122" s="311"/>
      <c r="F122" s="43"/>
      <c r="G122" s="68"/>
      <c r="H122" s="43"/>
      <c r="I122" s="44"/>
      <c r="J122" s="43"/>
      <c r="K122" s="44"/>
    </row>
    <row r="123" spans="1:11">
      <c r="A123" s="63" t="str">
        <f>"NPV at Year - " &amp;TEXT(ReturnTime2,"general")</f>
        <v>NPV at Year - 25</v>
      </c>
      <c r="B123" s="145"/>
      <c r="C123" s="145"/>
      <c r="D123" s="145"/>
      <c r="E123" s="306"/>
      <c r="F123" s="43"/>
      <c r="G123" s="68"/>
      <c r="H123" s="372"/>
      <c r="I123" s="373"/>
      <c r="J123" s="372"/>
      <c r="K123" s="373"/>
    </row>
    <row r="124" spans="1:11">
      <c r="A124" s="146" t="s">
        <v>240</v>
      </c>
      <c r="B124" s="148">
        <f>LOOKUP(ReturnTime2,'All Equity Partnership Flip'!$C$2:$AP$2,'All Equity Partnership Flip'!$C$162:$AP$162)</f>
        <v>12332531.887307063</v>
      </c>
      <c r="C124" s="148">
        <f>LOOKUP(ReturnTime2,'Leveraged Partnership Flip'!$C$2:$AP$2,'Leveraged Partnership Flip'!$C$164:$AP$164)</f>
        <v>17778546.052186891</v>
      </c>
      <c r="D124" s="148">
        <f>LOOKUP(ReturnTime2,'Sale Leaseback'!$C$2:$AP$2,'Sale Leaseback'!$C$187:$AP$187)</f>
        <v>3606656.9978483254</v>
      </c>
      <c r="E124" s="311"/>
      <c r="F124" s="43"/>
      <c r="G124" s="330"/>
      <c r="H124" s="43"/>
      <c r="I124" s="44"/>
      <c r="J124" s="43"/>
      <c r="K124" s="44"/>
    </row>
    <row r="125" spans="1:11">
      <c r="A125" s="146" t="s">
        <v>241</v>
      </c>
      <c r="B125" s="148">
        <f>LOOKUP(ReturnTime2,'All Equity Partnership Flip'!$C$2:$AP$2,'All Equity Partnership Flip'!$C$194:$AP$194)</f>
        <v>7115246.2054132223</v>
      </c>
      <c r="C125" s="148">
        <f>LOOKUP(ReturnTime2,'Leveraged Partnership Flip'!$C$2:$AP$2,'Leveraged Partnership Flip'!$C$195:$AP$195)</f>
        <v>11143212.080908041</v>
      </c>
      <c r="D125" s="148">
        <f>LOOKUP(ReturnTime2,'Sale Leaseback'!$C$2:$AP$2,'Sale Leaseback'!$C$213:$AP$213)</f>
        <v>-1970624.5425611907</v>
      </c>
      <c r="E125" s="311"/>
      <c r="F125" s="43"/>
      <c r="G125" s="330"/>
      <c r="H125" s="43"/>
      <c r="I125" s="44"/>
      <c r="J125" s="43"/>
      <c r="K125" s="44"/>
    </row>
    <row r="126" spans="1:11" ht="25.5">
      <c r="A126" s="253"/>
      <c r="B126" s="85" t="str">
        <f>B$73</f>
        <v>All Equity Partnership Flip</v>
      </c>
      <c r="C126" s="85" t="str">
        <f t="shared" ref="C126:E126" si="3">C$73</f>
        <v>Leveraged Partnership Flip</v>
      </c>
      <c r="D126" s="85" t="str">
        <f t="shared" si="3"/>
        <v>Sale Leaseback</v>
      </c>
      <c r="E126" s="298" t="str">
        <f t="shared" si="3"/>
        <v>Single Owner</v>
      </c>
      <c r="F126" s="43"/>
      <c r="G126" s="330"/>
      <c r="H126" s="43"/>
      <c r="I126" s="44"/>
      <c r="J126" s="43"/>
      <c r="K126" s="44"/>
    </row>
    <row r="127" spans="1:11">
      <c r="A127" s="132" t="s">
        <v>54</v>
      </c>
      <c r="B127" s="409"/>
      <c r="C127" s="410"/>
      <c r="D127" s="410"/>
      <c r="E127" s="410"/>
      <c r="F127" s="43"/>
      <c r="G127" s="330"/>
      <c r="H127" s="43"/>
      <c r="I127" s="44"/>
      <c r="J127" s="43"/>
      <c r="K127" s="44"/>
    </row>
    <row r="128" spans="1:11">
      <c r="A128" s="59" t="s">
        <v>85</v>
      </c>
      <c r="B128" s="411"/>
      <c r="C128" s="412"/>
      <c r="D128" s="412"/>
      <c r="E128" s="412"/>
      <c r="F128" s="55"/>
      <c r="G128" s="248"/>
      <c r="H128" s="55"/>
      <c r="I128" s="44"/>
      <c r="J128" s="55"/>
      <c r="K128" s="44"/>
    </row>
    <row r="129" spans="1:11" ht="24.75" customHeight="1">
      <c r="A129" s="63" t="s">
        <v>88</v>
      </c>
      <c r="B129" s="421">
        <v>10</v>
      </c>
      <c r="C129" s="422"/>
      <c r="D129" s="422"/>
      <c r="E129" s="422"/>
      <c r="F129" s="378" t="s">
        <v>509</v>
      </c>
      <c r="G129" s="379"/>
      <c r="H129" s="372"/>
      <c r="I129" s="373"/>
      <c r="J129" s="372"/>
      <c r="K129" s="373"/>
    </row>
    <row r="130" spans="1:11" ht="43.5" customHeight="1">
      <c r="A130" s="63" t="s">
        <v>90</v>
      </c>
      <c r="B130" s="423">
        <v>0.04</v>
      </c>
      <c r="C130" s="424"/>
      <c r="D130" s="424"/>
      <c r="E130" s="424"/>
      <c r="F130" s="378" t="s">
        <v>510</v>
      </c>
      <c r="G130" s="379"/>
      <c r="H130" s="372"/>
      <c r="I130" s="373"/>
      <c r="J130" s="372"/>
      <c r="K130" s="373"/>
    </row>
    <row r="131" spans="1:11">
      <c r="A131" s="63" t="s">
        <v>89</v>
      </c>
      <c r="B131" s="392">
        <f>PreFinancingInstalledCostTotal*(B130/12)*(B129/2)</f>
        <v>670452.5</v>
      </c>
      <c r="C131" s="393"/>
      <c r="D131" s="393"/>
      <c r="E131" s="393"/>
      <c r="F131" s="43"/>
      <c r="G131" s="154"/>
      <c r="H131" s="43"/>
      <c r="I131" s="44"/>
      <c r="J131" s="43"/>
      <c r="K131" s="44"/>
    </row>
    <row r="132" spans="1:11" ht="46.5" customHeight="1">
      <c r="A132" s="63" t="s">
        <v>92</v>
      </c>
      <c r="B132" s="394">
        <v>0.01</v>
      </c>
      <c r="C132" s="395"/>
      <c r="D132" s="395"/>
      <c r="E132" s="395"/>
      <c r="F132" s="372" t="s">
        <v>511</v>
      </c>
      <c r="G132" s="373"/>
      <c r="H132" s="372"/>
      <c r="I132" s="373"/>
      <c r="J132" s="372"/>
      <c r="K132" s="373"/>
    </row>
    <row r="133" spans="1:11">
      <c r="A133" s="63" t="s">
        <v>91</v>
      </c>
      <c r="B133" s="402">
        <f>B132*PreFinancingInstalledCostTotal</f>
        <v>402271.5</v>
      </c>
      <c r="C133" s="403"/>
      <c r="D133" s="403"/>
      <c r="E133" s="403"/>
      <c r="F133" s="43"/>
      <c r="G133" s="44"/>
      <c r="H133" s="43"/>
      <c r="I133" s="44"/>
      <c r="J133" s="43"/>
      <c r="K133" s="44"/>
    </row>
    <row r="134" spans="1:11">
      <c r="A134" s="63" t="s">
        <v>93</v>
      </c>
      <c r="B134" s="392">
        <f>B131+B133</f>
        <v>1072724</v>
      </c>
      <c r="C134" s="393"/>
      <c r="D134" s="393"/>
      <c r="E134" s="393"/>
      <c r="F134" s="43"/>
      <c r="G134" s="44"/>
      <c r="H134" s="43"/>
      <c r="I134" s="44"/>
      <c r="J134" s="43"/>
      <c r="K134" s="44"/>
    </row>
    <row r="135" spans="1:11">
      <c r="A135" s="59" t="s">
        <v>94</v>
      </c>
      <c r="B135" s="153"/>
      <c r="C135" s="153"/>
      <c r="D135" s="153"/>
      <c r="E135" s="186"/>
      <c r="F135" s="43"/>
      <c r="G135" s="44"/>
      <c r="H135" s="43"/>
      <c r="I135" s="44"/>
      <c r="J135" s="43"/>
      <c r="K135" s="44"/>
    </row>
    <row r="136" spans="1:11">
      <c r="A136" s="63" t="s">
        <v>95</v>
      </c>
      <c r="B136" s="99"/>
      <c r="C136" s="155">
        <f>'Leveraged Partnership Flip'!B613</f>
        <v>21034688.385035049</v>
      </c>
      <c r="D136" s="156"/>
      <c r="E136" s="114">
        <f>'Single Owner'!B539</f>
        <v>13320930.839249449</v>
      </c>
      <c r="F136" s="43"/>
      <c r="G136" s="44"/>
      <c r="H136" s="43"/>
      <c r="I136" s="44"/>
      <c r="J136" s="43"/>
      <c r="K136" s="44"/>
    </row>
    <row r="137" spans="1:11">
      <c r="A137" s="63" t="s">
        <v>96</v>
      </c>
      <c r="B137" s="99"/>
      <c r="C137" s="157">
        <f>LPFDebtAmount/LPFInstalledCostTotal</f>
        <v>0.47282896656190598</v>
      </c>
      <c r="D137" s="156"/>
      <c r="E137" s="312">
        <f>SODebtAmount/SOInstalledCostTotal</f>
        <v>0.31134955261231434</v>
      </c>
      <c r="F137" s="43"/>
      <c r="G137" s="44"/>
      <c r="H137" s="43"/>
      <c r="I137" s="44"/>
      <c r="J137" s="43"/>
      <c r="K137" s="44"/>
    </row>
    <row r="138" spans="1:11" ht="94.5" customHeight="1">
      <c r="A138" s="63" t="s">
        <v>97</v>
      </c>
      <c r="B138" s="99"/>
      <c r="C138" s="272">
        <v>10</v>
      </c>
      <c r="D138" s="156"/>
      <c r="E138" s="338">
        <v>15</v>
      </c>
      <c r="F138" s="378" t="s">
        <v>552</v>
      </c>
      <c r="G138" s="379"/>
      <c r="H138" s="372"/>
      <c r="I138" s="373"/>
      <c r="J138" s="372"/>
      <c r="K138" s="373"/>
    </row>
    <row r="139" spans="1:11" ht="81" customHeight="1">
      <c r="A139" s="63" t="s">
        <v>303</v>
      </c>
      <c r="B139" s="99"/>
      <c r="C139" s="158">
        <v>8.5000000000000006E-2</v>
      </c>
      <c r="D139" s="156"/>
      <c r="E139" s="308">
        <v>7.4999999999999997E-2</v>
      </c>
      <c r="F139" s="378" t="s">
        <v>553</v>
      </c>
      <c r="G139" s="379"/>
      <c r="H139" s="372"/>
      <c r="I139" s="373"/>
      <c r="J139" s="372"/>
      <c r="K139" s="373"/>
    </row>
    <row r="140" spans="1:11" ht="95.25" customHeight="1">
      <c r="A140" s="63" t="s">
        <v>114</v>
      </c>
      <c r="B140" s="99"/>
      <c r="C140" s="337">
        <v>1.5</v>
      </c>
      <c r="D140" s="156"/>
      <c r="E140" s="339">
        <v>1.35</v>
      </c>
      <c r="F140" s="378" t="s">
        <v>554</v>
      </c>
      <c r="G140" s="379"/>
      <c r="H140" s="372"/>
      <c r="I140" s="373"/>
      <c r="J140" s="372"/>
      <c r="K140" s="373"/>
    </row>
    <row r="141" spans="1:11">
      <c r="A141" s="63" t="s">
        <v>113</v>
      </c>
      <c r="B141" s="99"/>
      <c r="C141" s="151">
        <v>6</v>
      </c>
      <c r="D141" s="156"/>
      <c r="E141" s="313">
        <v>6</v>
      </c>
      <c r="F141" s="388" t="s">
        <v>512</v>
      </c>
      <c r="G141" s="389"/>
      <c r="H141" s="372"/>
      <c r="I141" s="373"/>
      <c r="J141" s="372"/>
      <c r="K141" s="373"/>
    </row>
    <row r="142" spans="1:11">
      <c r="A142" s="132" t="s">
        <v>80</v>
      </c>
      <c r="B142" s="133"/>
      <c r="C142" s="133"/>
      <c r="D142" s="133"/>
      <c r="E142" s="300"/>
      <c r="F142" s="43"/>
      <c r="G142" s="44"/>
      <c r="H142" s="43"/>
      <c r="I142" s="44"/>
      <c r="J142" s="43"/>
      <c r="K142" s="44"/>
    </row>
    <row r="143" spans="1:11">
      <c r="A143" s="59" t="s">
        <v>54</v>
      </c>
      <c r="B143" s="88"/>
      <c r="C143" s="88"/>
      <c r="D143" s="88"/>
      <c r="E143" s="89"/>
      <c r="F143" s="43"/>
      <c r="G143" s="44"/>
      <c r="H143" s="43"/>
      <c r="I143" s="44"/>
      <c r="J143" s="43"/>
      <c r="K143" s="44"/>
    </row>
    <row r="144" spans="1:11">
      <c r="A144" s="63" t="s">
        <v>387</v>
      </c>
      <c r="B144" s="88"/>
      <c r="C144" s="88"/>
      <c r="D144" s="88"/>
      <c r="E144" s="89"/>
      <c r="F144" s="43"/>
      <c r="G144" s="44"/>
      <c r="H144" s="43"/>
      <c r="I144" s="44"/>
      <c r="J144" s="43"/>
      <c r="K144" s="44"/>
    </row>
    <row r="145" spans="1:11" ht="60" customHeight="1">
      <c r="A145" s="146" t="s">
        <v>386</v>
      </c>
      <c r="B145" s="158">
        <v>0.03</v>
      </c>
      <c r="C145" s="158">
        <v>0.03</v>
      </c>
      <c r="D145" s="158">
        <v>0.03</v>
      </c>
      <c r="E145" s="121"/>
      <c r="F145" s="378" t="s">
        <v>555</v>
      </c>
      <c r="G145" s="379"/>
      <c r="H145" s="372"/>
      <c r="I145" s="373"/>
      <c r="J145" s="372" t="s">
        <v>523</v>
      </c>
      <c r="K145" s="373"/>
    </row>
    <row r="146" spans="1:11">
      <c r="A146" s="146" t="s">
        <v>35</v>
      </c>
      <c r="B146" s="155">
        <f>B145*PreFinancingInstalledCostTotal</f>
        <v>1206814.5</v>
      </c>
      <c r="C146" s="155">
        <f>C145*PreFinancingInstalledCostTotal</f>
        <v>1206814.5</v>
      </c>
      <c r="D146" s="155">
        <f>D145*PreFinancingInstalledCostTotal</f>
        <v>1206814.5</v>
      </c>
      <c r="E146" s="121"/>
      <c r="F146" s="55"/>
      <c r="G146" s="248"/>
      <c r="H146" s="43"/>
      <c r="I146" s="44"/>
      <c r="J146" s="43"/>
      <c r="K146" s="44"/>
    </row>
    <row r="147" spans="1:11" ht="47.25" customHeight="1">
      <c r="A147" s="63" t="s">
        <v>87</v>
      </c>
      <c r="B147" s="156"/>
      <c r="C147" s="272">
        <v>250000</v>
      </c>
      <c r="D147" s="156"/>
      <c r="E147" s="338">
        <v>200000</v>
      </c>
      <c r="F147" s="378" t="s">
        <v>562</v>
      </c>
      <c r="G147" s="379"/>
      <c r="H147" s="378"/>
      <c r="I147" s="379"/>
      <c r="J147" s="378"/>
      <c r="K147" s="379"/>
    </row>
    <row r="148" spans="1:11" ht="62.25" customHeight="1">
      <c r="A148" s="63" t="s">
        <v>83</v>
      </c>
      <c r="B148" s="272">
        <v>100000</v>
      </c>
      <c r="C148" s="272">
        <v>100000</v>
      </c>
      <c r="D148" s="272">
        <v>100000</v>
      </c>
      <c r="E148" s="121"/>
      <c r="F148" s="378" t="s">
        <v>548</v>
      </c>
      <c r="G148" s="379"/>
      <c r="H148" s="43"/>
      <c r="I148" s="44"/>
      <c r="J148" s="43"/>
      <c r="K148" s="44"/>
    </row>
    <row r="149" spans="1:11">
      <c r="A149" s="63" t="s">
        <v>84</v>
      </c>
      <c r="B149" s="156"/>
      <c r="C149" s="155">
        <f>'Leveraged Partnership Flip'!B631</f>
        <v>1480197.6101830259</v>
      </c>
      <c r="D149" s="156"/>
      <c r="E149" s="114">
        <f>'Single Owner'!B557</f>
        <v>934612.84921150713</v>
      </c>
      <c r="F149" s="55"/>
      <c r="G149" s="248"/>
      <c r="H149" s="43"/>
      <c r="I149" s="44"/>
      <c r="J149" s="43"/>
      <c r="K149" s="44"/>
    </row>
    <row r="150" spans="1:11">
      <c r="A150" s="63" t="s">
        <v>410</v>
      </c>
      <c r="B150" s="156"/>
      <c r="C150" s="156"/>
      <c r="D150" s="155">
        <f>'Sale Leaseback'!B644</f>
        <v>2852676.2422525855</v>
      </c>
      <c r="E150" s="121"/>
      <c r="F150" s="55"/>
      <c r="G150" s="248"/>
      <c r="H150" s="43"/>
      <c r="I150" s="44"/>
      <c r="J150" s="43"/>
      <c r="K150" s="44"/>
    </row>
    <row r="151" spans="1:11">
      <c r="A151" s="63" t="s">
        <v>85</v>
      </c>
      <c r="B151" s="155">
        <f>B134</f>
        <v>1072724</v>
      </c>
      <c r="C151" s="155">
        <f>B134</f>
        <v>1072724</v>
      </c>
      <c r="D151" s="155">
        <f>B134</f>
        <v>1072724</v>
      </c>
      <c r="E151" s="114">
        <f>B134</f>
        <v>1072724</v>
      </c>
      <c r="F151" s="55"/>
      <c r="G151" s="248"/>
      <c r="H151" s="43"/>
      <c r="I151" s="44"/>
      <c r="J151" s="43"/>
      <c r="K151" s="44"/>
    </row>
    <row r="152" spans="1:11" ht="63" customHeight="1">
      <c r="A152" s="341" t="s">
        <v>549</v>
      </c>
      <c r="B152" s="272">
        <v>350000</v>
      </c>
      <c r="C152" s="272">
        <v>150000</v>
      </c>
      <c r="D152" s="272">
        <v>350000</v>
      </c>
      <c r="E152" s="272">
        <v>350000</v>
      </c>
      <c r="F152" s="378" t="s">
        <v>556</v>
      </c>
      <c r="G152" s="379"/>
      <c r="H152" s="372"/>
      <c r="I152" s="373"/>
      <c r="J152" s="372"/>
      <c r="K152" s="373"/>
    </row>
    <row r="153" spans="1:11">
      <c r="A153" s="341" t="s">
        <v>452</v>
      </c>
      <c r="B153" s="343">
        <v>0</v>
      </c>
      <c r="C153" s="343">
        <v>0</v>
      </c>
      <c r="D153" s="343">
        <v>0</v>
      </c>
      <c r="E153" s="344">
        <v>0</v>
      </c>
      <c r="F153" s="378"/>
      <c r="G153" s="379"/>
      <c r="H153" s="372"/>
      <c r="I153" s="373"/>
      <c r="J153" s="372"/>
      <c r="K153" s="373"/>
    </row>
    <row r="154" spans="1:11">
      <c r="A154" s="63" t="s">
        <v>86</v>
      </c>
      <c r="B154" s="155">
        <f>SUM(B146:B153)</f>
        <v>2729538.5</v>
      </c>
      <c r="C154" s="155">
        <f t="shared" ref="C154:E154" si="4">SUM(C146:C153)</f>
        <v>4259736.1101830257</v>
      </c>
      <c r="D154" s="155">
        <f t="shared" si="4"/>
        <v>5582214.7422525855</v>
      </c>
      <c r="E154" s="114">
        <f t="shared" si="4"/>
        <v>2557336.849211507</v>
      </c>
      <c r="F154" s="55"/>
      <c r="G154" s="248"/>
      <c r="H154" s="43"/>
      <c r="I154" s="44"/>
      <c r="J154" s="43"/>
      <c r="K154" s="44"/>
    </row>
    <row r="155" spans="1:11">
      <c r="A155" s="59" t="s">
        <v>82</v>
      </c>
      <c r="B155" s="88"/>
      <c r="C155" s="88"/>
      <c r="D155" s="88"/>
      <c r="E155" s="113"/>
      <c r="F155" s="55"/>
      <c r="G155" s="248"/>
      <c r="H155" s="43"/>
      <c r="I155" s="44"/>
      <c r="J155" s="43"/>
      <c r="K155" s="44"/>
    </row>
    <row r="156" spans="1:11">
      <c r="A156" s="63" t="s">
        <v>334</v>
      </c>
      <c r="B156" s="155">
        <f>TotalHardCosts</f>
        <v>35855000</v>
      </c>
      <c r="C156" s="155">
        <f>TotalHardCosts</f>
        <v>35855000</v>
      </c>
      <c r="D156" s="155">
        <f>TotalHardCosts</f>
        <v>35855000</v>
      </c>
      <c r="E156" s="114">
        <f>TotalHardCosts</f>
        <v>35855000</v>
      </c>
      <c r="F156" s="55"/>
      <c r="G156" s="248"/>
      <c r="H156" s="43"/>
      <c r="I156" s="44"/>
      <c r="J156" s="43"/>
      <c r="K156" s="44"/>
    </row>
    <row r="157" spans="1:11">
      <c r="A157" s="63" t="s">
        <v>335</v>
      </c>
      <c r="B157" s="159">
        <f>TotalSoftCosts</f>
        <v>4372150</v>
      </c>
      <c r="C157" s="159">
        <f>TotalSoftCosts</f>
        <v>4372150</v>
      </c>
      <c r="D157" s="159">
        <f>TotalSoftCosts</f>
        <v>4372150</v>
      </c>
      <c r="E157" s="314">
        <f>TotalSoftCosts</f>
        <v>4372150</v>
      </c>
      <c r="F157" s="55"/>
      <c r="G157" s="248"/>
      <c r="H157" s="43"/>
      <c r="I157" s="44"/>
      <c r="J157" s="43"/>
      <c r="K157" s="44"/>
    </row>
    <row r="158" spans="1:11">
      <c r="A158" s="63" t="s">
        <v>81</v>
      </c>
      <c r="B158" s="155">
        <f>SUM(B156:B157)</f>
        <v>40227150</v>
      </c>
      <c r="C158" s="155">
        <f>SUM(C156:C157)</f>
        <v>40227150</v>
      </c>
      <c r="D158" s="155">
        <f>SUM(D156:D157)</f>
        <v>40227150</v>
      </c>
      <c r="E158" s="114">
        <f>SUM(E156:E157)</f>
        <v>40227150</v>
      </c>
      <c r="F158" s="55"/>
      <c r="G158" s="248"/>
      <c r="H158" s="43"/>
      <c r="I158" s="44"/>
      <c r="J158" s="43"/>
      <c r="K158" s="44"/>
    </row>
    <row r="159" spans="1:11">
      <c r="A159" s="63" t="s">
        <v>107</v>
      </c>
      <c r="B159" s="159">
        <f>B154</f>
        <v>2729538.5</v>
      </c>
      <c r="C159" s="159">
        <f t="shared" ref="C159:E159" si="5">C154</f>
        <v>4259736.1101830257</v>
      </c>
      <c r="D159" s="159">
        <f t="shared" si="5"/>
        <v>5582214.7422525855</v>
      </c>
      <c r="E159" s="314">
        <f t="shared" si="5"/>
        <v>2557336.849211507</v>
      </c>
      <c r="F159" s="55"/>
      <c r="G159" s="248"/>
      <c r="H159" s="43"/>
      <c r="I159" s="44"/>
      <c r="J159" s="43"/>
      <c r="K159" s="44"/>
    </row>
    <row r="160" spans="1:11" ht="39" customHeight="1">
      <c r="A160" s="63" t="s">
        <v>53</v>
      </c>
      <c r="B160" s="155">
        <f>SUM(B158:B159)</f>
        <v>42956688.5</v>
      </c>
      <c r="C160" s="155">
        <f t="shared" ref="C160:E160" si="6">SUM(C158:C159)</f>
        <v>44486886.110183023</v>
      </c>
      <c r="D160" s="155">
        <f t="shared" si="6"/>
        <v>45809364.742252588</v>
      </c>
      <c r="E160" s="114">
        <f t="shared" si="6"/>
        <v>42784486.849211507</v>
      </c>
      <c r="F160" s="55"/>
      <c r="G160" s="248"/>
      <c r="H160" s="372" t="s">
        <v>541</v>
      </c>
      <c r="I160" s="373"/>
      <c r="J160" s="55"/>
      <c r="K160" s="44"/>
    </row>
    <row r="161" spans="1:11">
      <c r="A161" s="160" t="s">
        <v>181</v>
      </c>
      <c r="B161" s="161">
        <f>B160/CapacityDC/1000</f>
        <v>4.2956688500000002</v>
      </c>
      <c r="C161" s="161">
        <f>C160/CapacityDC/1000</f>
        <v>4.4486886110183024</v>
      </c>
      <c r="D161" s="161">
        <f>D160/CapacityDC/1000</f>
        <v>4.5809364742252594</v>
      </c>
      <c r="E161" s="315">
        <f>E160/CapacityDC/1000</f>
        <v>4.2784486849211509</v>
      </c>
      <c r="F161" s="55"/>
      <c r="G161" s="248"/>
      <c r="H161" s="43"/>
      <c r="I161" s="44"/>
      <c r="J161" s="43"/>
      <c r="K161" s="44"/>
    </row>
    <row r="162" spans="1:11">
      <c r="A162" s="132" t="s">
        <v>176</v>
      </c>
      <c r="B162" s="162"/>
      <c r="C162" s="162"/>
      <c r="D162" s="162"/>
      <c r="E162" s="316"/>
      <c r="F162" s="55"/>
      <c r="G162" s="248"/>
      <c r="H162" s="43"/>
      <c r="I162" s="44"/>
      <c r="J162" s="43"/>
      <c r="K162" s="44"/>
    </row>
    <row r="163" spans="1:11">
      <c r="A163" s="59" t="s">
        <v>34</v>
      </c>
      <c r="B163" s="163"/>
      <c r="C163" s="163"/>
      <c r="D163" s="163"/>
      <c r="E163" s="317"/>
      <c r="F163" s="55"/>
      <c r="G163" s="248"/>
      <c r="H163" s="43"/>
      <c r="I163" s="44"/>
      <c r="J163" s="43"/>
      <c r="K163" s="44"/>
    </row>
    <row r="164" spans="1:11">
      <c r="A164" s="63" t="s">
        <v>177</v>
      </c>
      <c r="B164" s="155">
        <f>AEPFInstalledCostTotal-SUM(B166:B168)</f>
        <v>29165458.75</v>
      </c>
      <c r="C164" s="155">
        <f>LPFInstalledCostTotal-SUM(C165:C168)</f>
        <v>9660967.97514797</v>
      </c>
      <c r="D164" s="155">
        <f>SLInstalledCostTotal-SUM(D166:D168)</f>
        <v>32018134.992252588</v>
      </c>
      <c r="E164" s="114">
        <f>SOInstalledCostTotal-SUM(E165:E168)</f>
        <v>15672326.25996206</v>
      </c>
      <c r="F164" s="55"/>
      <c r="G164" s="328"/>
      <c r="H164" s="43"/>
      <c r="I164" s="44"/>
      <c r="J164" s="43"/>
      <c r="K164" s="44"/>
    </row>
    <row r="165" spans="1:11">
      <c r="A165" s="63" t="s">
        <v>98</v>
      </c>
      <c r="B165" s="99"/>
      <c r="C165" s="155">
        <f>LPFDebtAmount</f>
        <v>21034688.385035049</v>
      </c>
      <c r="D165" s="99"/>
      <c r="E165" s="114">
        <f>SODebtAmount</f>
        <v>13320930.839249449</v>
      </c>
      <c r="F165" s="55"/>
      <c r="G165" s="328"/>
      <c r="H165" s="43"/>
      <c r="I165" s="44"/>
      <c r="J165" s="43"/>
      <c r="K165" s="44"/>
    </row>
    <row r="166" spans="1:11">
      <c r="A166" s="63" t="s">
        <v>179</v>
      </c>
      <c r="B166" s="155">
        <f>IBIFedFixed+IBIStateFixed+IBIUtilityFixed+IBIOtherFixed</f>
        <v>3750</v>
      </c>
      <c r="C166" s="155">
        <f>IBIFedFixed+IBIStateFixed+IBIUtilityFixed+IBIOtherFixed</f>
        <v>3750</v>
      </c>
      <c r="D166" s="155">
        <f>IBIFedFixed+IBIStateFixed+IBIUtilityFixed+IBIOtherFixed</f>
        <v>3750</v>
      </c>
      <c r="E166" s="114">
        <f>IBIFedFixed+IBIStateFixed+IBIUtilityFixed+IBIOtherFixed</f>
        <v>3750</v>
      </c>
      <c r="F166" s="55"/>
      <c r="G166" s="248"/>
      <c r="H166" s="43"/>
      <c r="I166" s="44"/>
      <c r="J166" s="43"/>
      <c r="K166" s="44"/>
    </row>
    <row r="167" spans="1:11">
      <c r="A167" s="63" t="s">
        <v>178</v>
      </c>
      <c r="B167" s="155">
        <f>IBIFedPercent+IBIStatePercent+IBIUtilityPercent+IBIOtherPercent</f>
        <v>6637479.75</v>
      </c>
      <c r="C167" s="155">
        <f>IBIFedPercent+IBIStatePercent+IBIUtilityPercent+IBIOtherPercent</f>
        <v>6637479.75</v>
      </c>
      <c r="D167" s="155">
        <f>IBIFedPercent+IBIStatePercent+IBIUtilityPercent+IBIOtherPercent</f>
        <v>6637479.75</v>
      </c>
      <c r="E167" s="114">
        <f>IBIFedPercent+IBIStatePercent+IBIUtilityPercent+IBIOtherPercent</f>
        <v>6637479.75</v>
      </c>
      <c r="F167" s="55"/>
      <c r="G167" s="248"/>
      <c r="H167" s="43"/>
      <c r="I167" s="44"/>
      <c r="J167" s="43"/>
      <c r="K167" s="44"/>
    </row>
    <row r="168" spans="1:11">
      <c r="A168" s="63" t="s">
        <v>180</v>
      </c>
      <c r="B168" s="159">
        <f>CBIFed+CBIState+CBIUtility+CBIOther</f>
        <v>7150000</v>
      </c>
      <c r="C168" s="159">
        <f>CBIFed+CBIState+CBIUtility+CBIOther</f>
        <v>7150000</v>
      </c>
      <c r="D168" s="159">
        <f>CBIFed+CBIState+CBIUtility+CBIOther</f>
        <v>7150000</v>
      </c>
      <c r="E168" s="314">
        <f>CBIFed+CBIState+CBIUtility+CBIOther</f>
        <v>7150000</v>
      </c>
      <c r="F168" s="55"/>
      <c r="G168" s="248"/>
      <c r="H168" s="43"/>
      <c r="I168" s="44"/>
      <c r="J168" s="43"/>
      <c r="K168" s="44"/>
    </row>
    <row r="169" spans="1:11">
      <c r="A169" s="164" t="s">
        <v>53</v>
      </c>
      <c r="B169" s="159">
        <f>SUM(B164:B168)</f>
        <v>42956688.5</v>
      </c>
      <c r="C169" s="159">
        <f t="shared" ref="C169:E169" si="7">SUM(C164:C168)</f>
        <v>44486886.110183015</v>
      </c>
      <c r="D169" s="159">
        <f t="shared" si="7"/>
        <v>45809364.742252588</v>
      </c>
      <c r="E169" s="314">
        <f t="shared" si="7"/>
        <v>42784486.849211507</v>
      </c>
      <c r="F169" s="55"/>
      <c r="G169" s="248"/>
      <c r="H169" s="43"/>
      <c r="I169" s="44"/>
      <c r="J169" s="43"/>
      <c r="K169" s="44"/>
    </row>
    <row r="170" spans="1:11">
      <c r="A170" s="59" t="s">
        <v>277</v>
      </c>
      <c r="B170" s="151"/>
      <c r="C170" s="151"/>
      <c r="D170" s="151"/>
      <c r="E170" s="313"/>
      <c r="F170" s="55"/>
      <c r="G170" s="248"/>
      <c r="H170" s="43"/>
      <c r="I170" s="44"/>
      <c r="J170" s="43"/>
      <c r="K170" s="44"/>
    </row>
    <row r="171" spans="1:11" ht="45" customHeight="1">
      <c r="A171" s="63" t="s">
        <v>177</v>
      </c>
      <c r="B171" s="157">
        <f>B164/B$169</f>
        <v>0.6789503513521532</v>
      </c>
      <c r="C171" s="157">
        <f>C164/C$169</f>
        <v>0.21716440101516976</v>
      </c>
      <c r="D171" s="157">
        <f>D164/D$169</f>
        <v>0.69894300373740914</v>
      </c>
      <c r="E171" s="312">
        <f>E164/E$169</f>
        <v>0.36630861824280336</v>
      </c>
      <c r="F171" s="55"/>
      <c r="G171" s="248"/>
      <c r="H171" s="372" t="s">
        <v>520</v>
      </c>
      <c r="I171" s="373"/>
      <c r="J171" s="372"/>
      <c r="K171" s="373"/>
    </row>
    <row r="172" spans="1:11">
      <c r="A172" s="63" t="s">
        <v>98</v>
      </c>
      <c r="B172" s="165"/>
      <c r="C172" s="157">
        <f>C165/C$169</f>
        <v>0.47282896656190609</v>
      </c>
      <c r="D172" s="99"/>
      <c r="E172" s="312">
        <f>E165/E$169</f>
        <v>0.31134955261231434</v>
      </c>
      <c r="F172" s="55"/>
      <c r="G172" s="248"/>
      <c r="H172" s="43"/>
      <c r="I172" s="44"/>
      <c r="J172" s="43"/>
      <c r="K172" s="44"/>
    </row>
    <row r="173" spans="1:11">
      <c r="A173" s="63" t="s">
        <v>179</v>
      </c>
      <c r="B173" s="157">
        <f>B166/B$169</f>
        <v>8.7297231954925944E-5</v>
      </c>
      <c r="C173" s="157">
        <f>C166/C$169</f>
        <v>8.4294504018828765E-5</v>
      </c>
      <c r="D173" s="157">
        <f t="shared" ref="D173:E173" si="8">D166/D$169</f>
        <v>8.1860991111740115E-5</v>
      </c>
      <c r="E173" s="312">
        <f t="shared" si="8"/>
        <v>8.7648591257303126E-5</v>
      </c>
      <c r="F173" s="55"/>
      <c r="G173" s="248"/>
      <c r="H173" s="43"/>
      <c r="I173" s="44"/>
      <c r="J173" s="43"/>
      <c r="K173" s="44"/>
    </row>
    <row r="174" spans="1:11">
      <c r="A174" s="63" t="s">
        <v>178</v>
      </c>
      <c r="B174" s="157">
        <f>B167/B$169</f>
        <v>0.15451562915516637</v>
      </c>
      <c r="C174" s="157">
        <f>C167/C$169</f>
        <v>0.14920081692300521</v>
      </c>
      <c r="D174" s="157">
        <f t="shared" ref="D174:E174" si="9">D167/D$169</f>
        <v>0.144893512218428</v>
      </c>
      <c r="E174" s="312">
        <f t="shared" si="9"/>
        <v>0.15513753322303372</v>
      </c>
      <c r="F174" s="55"/>
      <c r="G174" s="248"/>
      <c r="H174" s="43"/>
      <c r="I174" s="44"/>
      <c r="J174" s="43"/>
      <c r="K174" s="44"/>
    </row>
    <row r="175" spans="1:11">
      <c r="A175" s="63" t="s">
        <v>180</v>
      </c>
      <c r="B175" s="166">
        <f>B168/B$169</f>
        <v>0.16644672226072549</v>
      </c>
      <c r="C175" s="166">
        <f>C168/C$169</f>
        <v>0.1607215209959002</v>
      </c>
      <c r="D175" s="166">
        <f t="shared" ref="D175:E175" si="10">D168/D$169</f>
        <v>0.15608162305305115</v>
      </c>
      <c r="E175" s="318">
        <f t="shared" si="10"/>
        <v>0.16711664733059128</v>
      </c>
      <c r="F175" s="55"/>
      <c r="G175" s="248"/>
      <c r="H175" s="43"/>
      <c r="I175" s="44"/>
      <c r="J175" s="43"/>
      <c r="K175" s="44"/>
    </row>
    <row r="176" spans="1:11">
      <c r="A176" s="160" t="s">
        <v>53</v>
      </c>
      <c r="B176" s="166">
        <f>SUM(B171:B175)</f>
        <v>1</v>
      </c>
      <c r="C176" s="166">
        <f t="shared" ref="C176:E176" si="11">SUM(C171:C175)</f>
        <v>1</v>
      </c>
      <c r="D176" s="166">
        <f>SUM(D171:D175)</f>
        <v>1</v>
      </c>
      <c r="E176" s="318">
        <f t="shared" si="11"/>
        <v>1</v>
      </c>
      <c r="F176" s="55"/>
      <c r="G176" s="248"/>
      <c r="H176" s="43"/>
      <c r="I176" s="44"/>
      <c r="J176" s="43"/>
      <c r="K176" s="44"/>
    </row>
    <row r="177" spans="1:11" ht="25.5">
      <c r="A177" s="253"/>
      <c r="B177" s="85" t="str">
        <f>B$73</f>
        <v>All Equity Partnership Flip</v>
      </c>
      <c r="C177" s="85" t="str">
        <f t="shared" ref="C177:E177" si="12">C$73</f>
        <v>Leveraged Partnership Flip</v>
      </c>
      <c r="D177" s="85" t="str">
        <f t="shared" si="12"/>
        <v>Sale Leaseback</v>
      </c>
      <c r="E177" s="298" t="str">
        <f t="shared" si="12"/>
        <v>Single Owner</v>
      </c>
      <c r="F177" s="55"/>
      <c r="G177" s="330"/>
      <c r="H177" s="43"/>
      <c r="I177" s="44"/>
      <c r="J177" s="43"/>
      <c r="K177" s="44"/>
    </row>
    <row r="178" spans="1:11">
      <c r="A178" s="136" t="s">
        <v>226</v>
      </c>
      <c r="B178" s="167"/>
      <c r="C178" s="167"/>
      <c r="D178" s="167"/>
      <c r="E178" s="319"/>
      <c r="F178" s="55"/>
      <c r="G178" s="248"/>
      <c r="H178" s="43"/>
      <c r="I178" s="44"/>
      <c r="J178" s="43"/>
      <c r="K178" s="44"/>
    </row>
    <row r="179" spans="1:11" ht="51.75" customHeight="1">
      <c r="A179" s="59" t="s">
        <v>214</v>
      </c>
      <c r="B179" s="151"/>
      <c r="C179" s="151"/>
      <c r="D179" s="151"/>
      <c r="E179" s="53"/>
      <c r="F179" s="55"/>
      <c r="G179" s="248"/>
      <c r="H179" s="372"/>
      <c r="I179" s="373"/>
      <c r="J179" s="372" t="s">
        <v>521</v>
      </c>
      <c r="K179" s="373"/>
    </row>
    <row r="180" spans="1:11">
      <c r="A180" s="63" t="s">
        <v>532</v>
      </c>
      <c r="B180" s="151"/>
      <c r="C180" s="151"/>
      <c r="D180" s="151"/>
      <c r="E180" s="53"/>
      <c r="F180" s="55"/>
      <c r="G180" s="248"/>
      <c r="H180" s="43"/>
      <c r="I180" s="44"/>
      <c r="J180" s="43"/>
      <c r="K180" s="44"/>
    </row>
    <row r="181" spans="1:11" ht="48" customHeight="1">
      <c r="A181" s="146" t="s">
        <v>227</v>
      </c>
      <c r="B181" s="158">
        <v>0.6</v>
      </c>
      <c r="C181" s="158">
        <v>0.98</v>
      </c>
      <c r="D181" s="345">
        <v>1</v>
      </c>
      <c r="E181" s="110"/>
      <c r="F181" s="378" t="s">
        <v>560</v>
      </c>
      <c r="G181" s="379"/>
      <c r="H181" s="372"/>
      <c r="I181" s="373"/>
      <c r="J181" s="372"/>
      <c r="K181" s="373"/>
    </row>
    <row r="182" spans="1:11">
      <c r="A182" s="146" t="s">
        <v>34</v>
      </c>
      <c r="B182" s="155">
        <f>B164*AEPFTEInvestment</f>
        <v>17499275.25</v>
      </c>
      <c r="C182" s="155">
        <f>C164*LPFTEInvestment</f>
        <v>9467748.61564501</v>
      </c>
      <c r="D182" s="155">
        <f>D158+D146+D148+D151+D153</f>
        <v>42606688.5</v>
      </c>
      <c r="E182" s="110"/>
      <c r="F182" s="55"/>
      <c r="G182" s="248"/>
      <c r="H182" s="43"/>
      <c r="I182" s="44"/>
      <c r="J182" s="43"/>
      <c r="K182" s="44"/>
    </row>
    <row r="183" spans="1:11">
      <c r="A183" s="63" t="s">
        <v>533</v>
      </c>
      <c r="B183" s="151"/>
      <c r="C183" s="151"/>
      <c r="D183" s="151"/>
      <c r="E183" s="53"/>
      <c r="F183" s="55"/>
      <c r="G183" s="248"/>
      <c r="H183" s="43"/>
      <c r="I183" s="44"/>
      <c r="J183" s="43"/>
      <c r="K183" s="44"/>
    </row>
    <row r="184" spans="1:11">
      <c r="A184" s="146" t="s">
        <v>227</v>
      </c>
      <c r="B184" s="147">
        <f>1-AEPFTEInvestment</f>
        <v>0.4</v>
      </c>
      <c r="C184" s="147">
        <f>1-LPFTEInvestment</f>
        <v>2.0000000000000018E-2</v>
      </c>
      <c r="D184" s="111"/>
      <c r="E184" s="115">
        <v>1</v>
      </c>
      <c r="F184" s="55"/>
      <c r="G184" s="248"/>
      <c r="H184" s="43"/>
      <c r="I184" s="44"/>
      <c r="J184" s="43"/>
      <c r="K184" s="44"/>
    </row>
    <row r="185" spans="1:11">
      <c r="A185" s="146" t="s">
        <v>34</v>
      </c>
      <c r="B185" s="155">
        <f>B184*B164</f>
        <v>11666183.5</v>
      </c>
      <c r="C185" s="155">
        <f>C184*C164</f>
        <v>193219.35950295956</v>
      </c>
      <c r="D185" s="155">
        <f>D150+D152</f>
        <v>3202676.2422525855</v>
      </c>
      <c r="E185" s="320">
        <f>E184*E164</f>
        <v>15672326.25996206</v>
      </c>
      <c r="F185" s="55"/>
      <c r="G185" s="248"/>
      <c r="H185" s="55"/>
      <c r="I185" s="44"/>
      <c r="J185" s="55"/>
      <c r="K185" s="44"/>
    </row>
    <row r="186" spans="1:11">
      <c r="A186" s="59" t="s">
        <v>399</v>
      </c>
      <c r="B186" s="272"/>
      <c r="C186" s="272"/>
      <c r="D186" s="272"/>
      <c r="E186" s="321"/>
      <c r="F186" s="55"/>
      <c r="G186" s="248"/>
      <c r="H186" s="55"/>
      <c r="I186" s="44"/>
      <c r="J186" s="55"/>
      <c r="K186" s="44"/>
    </row>
    <row r="187" spans="1:11" ht="81.75" customHeight="1">
      <c r="A187" s="146" t="s">
        <v>397</v>
      </c>
      <c r="B187" s="346" t="s">
        <v>551</v>
      </c>
      <c r="C187" s="111"/>
      <c r="D187" s="111"/>
      <c r="E187" s="110"/>
      <c r="F187" s="378" t="s">
        <v>524</v>
      </c>
      <c r="G187" s="379"/>
      <c r="H187" s="372"/>
      <c r="I187" s="373"/>
      <c r="J187" s="372"/>
      <c r="K187" s="373"/>
    </row>
    <row r="188" spans="1:11">
      <c r="A188" s="146" t="s">
        <v>398</v>
      </c>
      <c r="B188" s="347">
        <v>3</v>
      </c>
      <c r="C188" s="111"/>
      <c r="D188" s="111"/>
      <c r="E188" s="110"/>
      <c r="F188" s="378"/>
      <c r="G188" s="379"/>
      <c r="H188" s="372"/>
      <c r="I188" s="373"/>
      <c r="J188" s="372"/>
      <c r="K188" s="373"/>
    </row>
    <row r="189" spans="1:11">
      <c r="A189" s="146" t="s">
        <v>400</v>
      </c>
      <c r="B189" s="150"/>
      <c r="C189" s="111"/>
      <c r="D189" s="111"/>
      <c r="E189" s="110"/>
      <c r="F189" s="55"/>
      <c r="G189" s="248"/>
      <c r="H189" s="43"/>
      <c r="I189" s="44"/>
      <c r="J189" s="43"/>
      <c r="K189" s="44"/>
    </row>
    <row r="190" spans="1:11" ht="39" customHeight="1">
      <c r="A190" s="59" t="s">
        <v>229</v>
      </c>
      <c r="B190" s="151"/>
      <c r="C190" s="151"/>
      <c r="D190" s="151"/>
      <c r="E190" s="53"/>
      <c r="F190" s="55"/>
      <c r="G190" s="248"/>
      <c r="H190" s="43"/>
      <c r="I190" s="44"/>
      <c r="J190" s="43"/>
      <c r="K190" s="44"/>
    </row>
    <row r="191" spans="1:11">
      <c r="A191" s="63" t="s">
        <v>225</v>
      </c>
      <c r="B191" s="151"/>
      <c r="C191" s="151"/>
      <c r="D191" s="151"/>
      <c r="E191" s="53"/>
      <c r="F191" s="55"/>
      <c r="G191" s="248"/>
      <c r="H191" s="43"/>
      <c r="I191" s="44"/>
      <c r="J191" s="43"/>
      <c r="K191" s="44"/>
    </row>
    <row r="192" spans="1:11" ht="77.25" customHeight="1">
      <c r="A192" s="146" t="s">
        <v>230</v>
      </c>
      <c r="B192" s="158">
        <v>1</v>
      </c>
      <c r="C192" s="158">
        <v>0.98</v>
      </c>
      <c r="D192" s="111"/>
      <c r="E192" s="110"/>
      <c r="F192" s="378" t="s">
        <v>514</v>
      </c>
      <c r="G192" s="379"/>
      <c r="H192" s="372"/>
      <c r="I192" s="373"/>
      <c r="J192" s="372" t="s">
        <v>542</v>
      </c>
      <c r="K192" s="373"/>
    </row>
    <row r="193" spans="1:11" ht="82.5" customHeight="1">
      <c r="A193" s="146" t="s">
        <v>231</v>
      </c>
      <c r="B193" s="158">
        <v>0.1</v>
      </c>
      <c r="C193" s="158">
        <v>0.15</v>
      </c>
      <c r="D193" s="111"/>
      <c r="E193" s="110"/>
      <c r="F193" s="378" t="s">
        <v>563</v>
      </c>
      <c r="G193" s="379"/>
      <c r="H193" s="372"/>
      <c r="I193" s="373"/>
      <c r="J193" s="372"/>
      <c r="K193" s="373"/>
    </row>
    <row r="194" spans="1:11">
      <c r="A194" s="63" t="s">
        <v>228</v>
      </c>
      <c r="B194" s="151"/>
      <c r="C194" s="151"/>
      <c r="D194" s="54"/>
      <c r="E194" s="53"/>
      <c r="F194" s="55"/>
      <c r="G194" s="248"/>
      <c r="H194" s="43"/>
      <c r="I194" s="44"/>
      <c r="J194" s="43"/>
      <c r="K194" s="44"/>
    </row>
    <row r="195" spans="1:11">
      <c r="A195" s="146" t="s">
        <v>230</v>
      </c>
      <c r="B195" s="147">
        <f>1-B192</f>
        <v>0</v>
      </c>
      <c r="C195" s="147">
        <f t="shared" ref="C195" si="13">1-C192</f>
        <v>2.0000000000000018E-2</v>
      </c>
      <c r="D195" s="111"/>
      <c r="E195" s="110"/>
      <c r="F195" s="55"/>
      <c r="G195" s="248"/>
      <c r="H195" s="43"/>
      <c r="I195" s="44"/>
      <c r="J195" s="43"/>
      <c r="K195" s="44"/>
    </row>
    <row r="196" spans="1:11">
      <c r="A196" s="146" t="s">
        <v>231</v>
      </c>
      <c r="B196" s="147">
        <f>1-B193</f>
        <v>0.9</v>
      </c>
      <c r="C196" s="147">
        <f t="shared" ref="C196" si="14">1-C193</f>
        <v>0.85</v>
      </c>
      <c r="D196" s="111"/>
      <c r="E196" s="110"/>
      <c r="F196" s="55"/>
      <c r="G196" s="248"/>
      <c r="H196" s="43"/>
      <c r="I196" s="44"/>
      <c r="J196" s="43"/>
      <c r="K196" s="44"/>
    </row>
    <row r="197" spans="1:11">
      <c r="A197" s="59" t="s">
        <v>232</v>
      </c>
      <c r="B197" s="151"/>
      <c r="C197" s="151"/>
      <c r="D197" s="54"/>
      <c r="E197" s="53"/>
      <c r="F197" s="55"/>
      <c r="G197" s="248"/>
      <c r="H197" s="43"/>
      <c r="I197" s="44"/>
      <c r="J197" s="43"/>
      <c r="K197" s="44"/>
    </row>
    <row r="198" spans="1:11">
      <c r="A198" s="63" t="s">
        <v>225</v>
      </c>
      <c r="B198" s="151"/>
      <c r="C198" s="151"/>
      <c r="D198" s="54"/>
      <c r="E198" s="53"/>
      <c r="F198" s="55"/>
      <c r="G198" s="248"/>
      <c r="H198" s="43"/>
      <c r="I198" s="44"/>
      <c r="J198" s="43"/>
      <c r="K198" s="44"/>
    </row>
    <row r="199" spans="1:11" ht="55.5" customHeight="1">
      <c r="A199" s="146" t="s">
        <v>230</v>
      </c>
      <c r="B199" s="158">
        <v>0.99</v>
      </c>
      <c r="C199" s="158">
        <v>0.98</v>
      </c>
      <c r="D199" s="111"/>
      <c r="E199" s="110"/>
      <c r="F199" s="378" t="s">
        <v>515</v>
      </c>
      <c r="G199" s="379"/>
      <c r="H199" s="372"/>
      <c r="I199" s="373"/>
      <c r="J199" s="372"/>
      <c r="K199" s="373"/>
    </row>
    <row r="200" spans="1:11" ht="81" customHeight="1">
      <c r="A200" s="146" t="s">
        <v>231</v>
      </c>
      <c r="B200" s="158">
        <v>0.1</v>
      </c>
      <c r="C200" s="158">
        <v>0.15</v>
      </c>
      <c r="D200" s="111"/>
      <c r="E200" s="110"/>
      <c r="F200" s="378" t="s">
        <v>563</v>
      </c>
      <c r="G200" s="379"/>
      <c r="H200" s="372"/>
      <c r="I200" s="373"/>
      <c r="J200" s="372"/>
      <c r="K200" s="373"/>
    </row>
    <row r="201" spans="1:11">
      <c r="A201" s="341" t="s">
        <v>228</v>
      </c>
      <c r="B201" s="151"/>
      <c r="C201" s="151"/>
      <c r="D201" s="54"/>
      <c r="E201" s="53"/>
      <c r="F201" s="55"/>
      <c r="G201" s="248"/>
      <c r="H201" s="43"/>
      <c r="I201" s="44"/>
      <c r="J201" s="43"/>
      <c r="K201" s="44"/>
    </row>
    <row r="202" spans="1:11">
      <c r="A202" s="342" t="s">
        <v>230</v>
      </c>
      <c r="B202" s="147">
        <f>1-B199</f>
        <v>1.0000000000000009E-2</v>
      </c>
      <c r="C202" s="147">
        <f t="shared" ref="C202" si="15">1-C199</f>
        <v>2.0000000000000018E-2</v>
      </c>
      <c r="D202" s="111"/>
      <c r="E202" s="110"/>
      <c r="F202" s="55"/>
      <c r="G202" s="248"/>
      <c r="H202" s="43"/>
      <c r="I202" s="44"/>
      <c r="J202" s="43"/>
      <c r="K202" s="44"/>
    </row>
    <row r="203" spans="1:11">
      <c r="A203" s="342" t="s">
        <v>231</v>
      </c>
      <c r="B203" s="147">
        <f>1-B200</f>
        <v>0.9</v>
      </c>
      <c r="C203" s="147">
        <f t="shared" ref="C203" si="16">1-C200</f>
        <v>0.85</v>
      </c>
      <c r="D203" s="111"/>
      <c r="E203" s="110"/>
      <c r="F203" s="55"/>
      <c r="G203" s="248"/>
      <c r="H203" s="43"/>
      <c r="I203" s="44"/>
      <c r="J203" s="43"/>
      <c r="K203" s="44"/>
    </row>
    <row r="204" spans="1:11">
      <c r="A204" s="49" t="s">
        <v>407</v>
      </c>
      <c r="B204" s="156"/>
      <c r="C204" s="111"/>
      <c r="D204" s="106"/>
      <c r="E204" s="110"/>
      <c r="F204" s="55"/>
      <c r="G204" s="248"/>
      <c r="H204" s="43"/>
      <c r="I204" s="44"/>
      <c r="J204" s="43"/>
      <c r="K204" s="44"/>
    </row>
    <row r="205" spans="1:11">
      <c r="A205" s="341" t="s">
        <v>505</v>
      </c>
      <c r="B205" s="156"/>
      <c r="C205" s="111"/>
      <c r="D205" s="106"/>
      <c r="E205" s="110"/>
      <c r="F205" s="55"/>
      <c r="G205" s="248"/>
      <c r="H205" s="43"/>
      <c r="I205" s="44"/>
      <c r="J205" s="43"/>
      <c r="K205" s="44"/>
    </row>
    <row r="206" spans="1:11">
      <c r="A206" s="342" t="s">
        <v>409</v>
      </c>
      <c r="B206" s="156"/>
      <c r="C206" s="111"/>
      <c r="D206" s="337">
        <v>40</v>
      </c>
      <c r="E206" s="110"/>
      <c r="F206" s="378"/>
      <c r="G206" s="379"/>
      <c r="H206" s="372"/>
      <c r="I206" s="373"/>
      <c r="J206" s="372"/>
      <c r="K206" s="373"/>
    </row>
    <row r="207" spans="1:11">
      <c r="A207" s="342" t="s">
        <v>35</v>
      </c>
      <c r="B207" s="156"/>
      <c r="C207" s="111"/>
      <c r="D207" s="155">
        <f>D206*CapacityDC</f>
        <v>400000</v>
      </c>
      <c r="E207" s="110"/>
      <c r="F207" s="55"/>
      <c r="G207" s="248"/>
      <c r="H207" s="43"/>
      <c r="I207" s="44"/>
      <c r="J207" s="43"/>
      <c r="K207" s="44"/>
    </row>
    <row r="208" spans="1:11">
      <c r="A208" s="342" t="s">
        <v>404</v>
      </c>
      <c r="B208" s="156"/>
      <c r="C208" s="111"/>
      <c r="D208" s="158">
        <v>0.02</v>
      </c>
      <c r="E208" s="110"/>
      <c r="F208" s="378"/>
      <c r="G208" s="379"/>
      <c r="H208" s="43"/>
      <c r="I208" s="44"/>
      <c r="J208" s="43"/>
      <c r="K208" s="44"/>
    </row>
    <row r="209" spans="1:11">
      <c r="A209" s="341" t="s">
        <v>506</v>
      </c>
      <c r="B209" s="156"/>
      <c r="C209" s="111"/>
      <c r="D209" s="272">
        <v>7</v>
      </c>
      <c r="E209" s="110"/>
      <c r="F209" s="378"/>
      <c r="G209" s="379"/>
      <c r="H209" s="372"/>
      <c r="I209" s="373"/>
      <c r="J209" s="372"/>
      <c r="K209" s="373"/>
    </row>
    <row r="210" spans="1:11">
      <c r="A210" s="59" t="s">
        <v>234</v>
      </c>
      <c r="B210" s="150"/>
      <c r="C210" s="150"/>
      <c r="D210" s="106"/>
      <c r="E210" s="105"/>
      <c r="F210" s="55"/>
      <c r="G210" s="248"/>
      <c r="H210" s="43"/>
      <c r="I210" s="44"/>
      <c r="J210" s="43"/>
      <c r="K210" s="44"/>
    </row>
    <row r="211" spans="1:11" ht="64.5" customHeight="1">
      <c r="A211" s="63" t="s">
        <v>233</v>
      </c>
      <c r="B211" s="158">
        <v>8.5000000000000006E-2</v>
      </c>
      <c r="C211" s="158">
        <v>0.11</v>
      </c>
      <c r="D211" s="158">
        <v>0.14000000000000001</v>
      </c>
      <c r="E211" s="348">
        <v>0.1</v>
      </c>
      <c r="F211" s="378" t="s">
        <v>557</v>
      </c>
      <c r="G211" s="379"/>
      <c r="H211" s="372"/>
      <c r="I211" s="373"/>
      <c r="J211" s="372" t="s">
        <v>522</v>
      </c>
      <c r="K211" s="373"/>
    </row>
    <row r="212" spans="1:11" ht="54.75" customHeight="1">
      <c r="A212" s="63" t="s">
        <v>235</v>
      </c>
      <c r="B212" s="349">
        <v>8</v>
      </c>
      <c r="C212" s="349">
        <v>11</v>
      </c>
      <c r="D212" s="349">
        <v>20</v>
      </c>
      <c r="E212" s="350">
        <v>20</v>
      </c>
      <c r="F212" s="378" t="s">
        <v>525</v>
      </c>
      <c r="G212" s="379"/>
      <c r="H212" s="372"/>
      <c r="I212" s="373"/>
      <c r="J212" s="372"/>
      <c r="K212" s="373"/>
    </row>
    <row r="213" spans="1:11">
      <c r="A213" s="160" t="s">
        <v>236</v>
      </c>
      <c r="B213" s="159">
        <f>AnalysisPeriod</f>
        <v>30</v>
      </c>
      <c r="C213" s="159">
        <f>AnalysisPeriod</f>
        <v>30</v>
      </c>
      <c r="D213" s="159">
        <f>AnalysisPeriod</f>
        <v>30</v>
      </c>
      <c r="E213" s="322">
        <f>AnalysisPeriod</f>
        <v>30</v>
      </c>
      <c r="F213" s="55"/>
      <c r="G213" s="248"/>
      <c r="H213" s="43"/>
      <c r="I213" s="44"/>
      <c r="J213" s="43"/>
      <c r="K213" s="44"/>
    </row>
    <row r="214" spans="1:11" ht="13.5" customHeight="1">
      <c r="A214" s="132" t="s">
        <v>320</v>
      </c>
      <c r="B214" s="133"/>
      <c r="C214" s="133"/>
      <c r="D214" s="133"/>
      <c r="E214" s="300"/>
      <c r="F214" s="55"/>
      <c r="G214" s="248"/>
      <c r="H214" s="43"/>
      <c r="I214" s="44"/>
      <c r="J214" s="43"/>
      <c r="K214" s="44"/>
    </row>
    <row r="215" spans="1:11">
      <c r="A215" s="59" t="s">
        <v>317</v>
      </c>
      <c r="B215" s="88"/>
      <c r="C215" s="88"/>
      <c r="D215" s="88"/>
      <c r="E215" s="89"/>
      <c r="F215" s="55"/>
      <c r="G215" s="248"/>
      <c r="H215" s="43"/>
      <c r="I215" s="44"/>
      <c r="J215" s="43"/>
      <c r="K215" s="44"/>
    </row>
    <row r="216" spans="1:11">
      <c r="A216" s="63" t="s">
        <v>139</v>
      </c>
      <c r="B216" s="88"/>
      <c r="C216" s="88"/>
      <c r="D216" s="88"/>
      <c r="E216" s="89"/>
      <c r="F216" s="55"/>
      <c r="G216" s="248"/>
      <c r="H216" s="43"/>
      <c r="I216" s="44"/>
      <c r="J216" s="43"/>
      <c r="K216" s="44"/>
    </row>
    <row r="217" spans="1:11" ht="86.25" customHeight="1">
      <c r="A217" s="168" t="s">
        <v>140</v>
      </c>
      <c r="B217" s="158">
        <v>0.92</v>
      </c>
      <c r="C217" s="158">
        <v>0.89</v>
      </c>
      <c r="D217" s="158">
        <v>0.95</v>
      </c>
      <c r="E217" s="348">
        <v>0.9</v>
      </c>
      <c r="F217" s="378" t="s">
        <v>558</v>
      </c>
      <c r="G217" s="379"/>
      <c r="H217" s="372"/>
      <c r="I217" s="373"/>
      <c r="J217" s="372"/>
      <c r="K217" s="373"/>
    </row>
    <row r="218" spans="1:11">
      <c r="A218" s="168" t="s">
        <v>141</v>
      </c>
      <c r="B218" s="158">
        <v>1.4999999999999999E-2</v>
      </c>
      <c r="C218" s="158">
        <v>1.4999999999999999E-2</v>
      </c>
      <c r="D218" s="158">
        <v>1.4999999999999999E-2</v>
      </c>
      <c r="E218" s="348">
        <v>1.4999999999999999E-2</v>
      </c>
      <c r="F218" s="378"/>
      <c r="G218" s="379"/>
      <c r="H218" s="372"/>
      <c r="I218" s="373"/>
      <c r="J218" s="372"/>
      <c r="K218" s="373"/>
    </row>
    <row r="219" spans="1:11">
      <c r="A219" s="168" t="s">
        <v>142</v>
      </c>
      <c r="B219" s="158">
        <v>0</v>
      </c>
      <c r="C219" s="158">
        <v>0</v>
      </c>
      <c r="D219" s="158">
        <v>0</v>
      </c>
      <c r="E219" s="348">
        <v>0</v>
      </c>
      <c r="F219" s="378"/>
      <c r="G219" s="379"/>
      <c r="H219" s="372"/>
      <c r="I219" s="373"/>
      <c r="J219" s="372"/>
      <c r="K219" s="373"/>
    </row>
    <row r="220" spans="1:11">
      <c r="A220" s="168" t="s">
        <v>143</v>
      </c>
      <c r="B220" s="158">
        <v>1.4999999999999999E-2</v>
      </c>
      <c r="C220" s="158">
        <v>0.03</v>
      </c>
      <c r="D220" s="158">
        <v>1.4999999999999999E-2</v>
      </c>
      <c r="E220" s="348">
        <v>2.5000000000000001E-2</v>
      </c>
      <c r="F220" s="378"/>
      <c r="G220" s="379"/>
      <c r="H220" s="372"/>
      <c r="I220" s="373"/>
      <c r="J220" s="372"/>
      <c r="K220" s="373"/>
    </row>
    <row r="221" spans="1:11">
      <c r="A221" s="168" t="s">
        <v>144</v>
      </c>
      <c r="B221" s="158">
        <v>0.03</v>
      </c>
      <c r="C221" s="158">
        <v>0.03</v>
      </c>
      <c r="D221" s="158">
        <v>1.4999999999999999E-2</v>
      </c>
      <c r="E221" s="348">
        <v>2.5000000000000001E-2</v>
      </c>
      <c r="F221" s="386"/>
      <c r="G221" s="387"/>
      <c r="H221" s="376"/>
      <c r="I221" s="377"/>
      <c r="J221" s="376"/>
      <c r="K221" s="377"/>
    </row>
    <row r="222" spans="1:11">
      <c r="A222" s="168" t="s">
        <v>145</v>
      </c>
      <c r="B222" s="158">
        <v>5.0000000000000001E-3</v>
      </c>
      <c r="C222" s="158">
        <v>5.0000000000000001E-3</v>
      </c>
      <c r="D222" s="158">
        <v>5.0000000000000001E-3</v>
      </c>
      <c r="E222" s="348">
        <v>5.0000000000000001E-3</v>
      </c>
      <c r="F222" s="378"/>
      <c r="G222" s="379"/>
      <c r="H222" s="372"/>
      <c r="I222" s="373"/>
      <c r="J222" s="372"/>
      <c r="K222" s="373"/>
    </row>
    <row r="223" spans="1:11" ht="25.5">
      <c r="A223" s="254" t="s">
        <v>354</v>
      </c>
      <c r="B223" s="169">
        <f>1-SUM(B217:B222)</f>
        <v>1.4999999999999902E-2</v>
      </c>
      <c r="C223" s="169">
        <f t="shared" ref="C223:E223" si="17">1-SUM(C217:C222)</f>
        <v>2.9999999999999916E-2</v>
      </c>
      <c r="D223" s="169">
        <f t="shared" si="17"/>
        <v>0</v>
      </c>
      <c r="E223" s="323">
        <f t="shared" si="17"/>
        <v>2.9999999999999916E-2</v>
      </c>
      <c r="F223" s="55"/>
      <c r="G223" s="248"/>
      <c r="H223" s="43"/>
      <c r="I223" s="44"/>
      <c r="J223" s="43"/>
      <c r="K223" s="44"/>
    </row>
    <row r="224" spans="1:11">
      <c r="A224" s="168" t="s">
        <v>53</v>
      </c>
      <c r="B224" s="147">
        <f>SUM(B217:B223)</f>
        <v>1</v>
      </c>
      <c r="C224" s="147">
        <f t="shared" ref="C224:E224" si="18">SUM(C217:C223)</f>
        <v>1</v>
      </c>
      <c r="D224" s="147">
        <f t="shared" si="18"/>
        <v>1</v>
      </c>
      <c r="E224" s="324">
        <f t="shared" si="18"/>
        <v>1</v>
      </c>
      <c r="F224" s="55"/>
      <c r="G224" s="248"/>
      <c r="H224" s="43"/>
      <c r="I224" s="44"/>
      <c r="J224" s="43"/>
      <c r="K224" s="44"/>
    </row>
    <row r="225" spans="1:11">
      <c r="A225" s="63" t="s">
        <v>147</v>
      </c>
      <c r="B225" s="96"/>
      <c r="C225" s="96"/>
      <c r="D225" s="96"/>
      <c r="E225" s="40"/>
      <c r="F225" s="55"/>
      <c r="G225" s="248"/>
      <c r="H225" s="43"/>
      <c r="I225" s="44"/>
      <c r="J225" s="43"/>
      <c r="K225" s="44"/>
    </row>
    <row r="226" spans="1:11" ht="27.75" customHeight="1">
      <c r="A226" s="168" t="s">
        <v>140</v>
      </c>
      <c r="B226" s="155">
        <f t="shared" ref="B226:B232" si="19">AEPFInstalledCostTotal*B217</f>
        <v>39520153.420000002</v>
      </c>
      <c r="C226" s="155">
        <f t="shared" ref="C226:C232" si="20">LPFInstalledCostTotal*C217</f>
        <v>39593328.638062894</v>
      </c>
      <c r="D226" s="155">
        <f>$D$182*D217</f>
        <v>40476354.074999996</v>
      </c>
      <c r="E226" s="320">
        <f t="shared" ref="E226:E233" si="21">SOInstalledCostTotal*E217</f>
        <v>38506038.164290354</v>
      </c>
      <c r="F226" s="378" t="s">
        <v>561</v>
      </c>
      <c r="G226" s="379"/>
      <c r="H226" s="43"/>
      <c r="I226" s="44"/>
      <c r="J226" s="43"/>
      <c r="K226" s="44"/>
    </row>
    <row r="227" spans="1:11">
      <c r="A227" s="168" t="s">
        <v>141</v>
      </c>
      <c r="B227" s="155">
        <f t="shared" si="19"/>
        <v>644350.32750000001</v>
      </c>
      <c r="C227" s="155">
        <f t="shared" si="20"/>
        <v>667303.29165274533</v>
      </c>
      <c r="D227" s="155">
        <f t="shared" ref="D227:D232" si="22">$D$182*D218</f>
        <v>639100.32750000001</v>
      </c>
      <c r="E227" s="320">
        <f t="shared" si="21"/>
        <v>641767.30273817258</v>
      </c>
      <c r="F227" s="55"/>
      <c r="G227" s="248"/>
      <c r="H227" s="43"/>
      <c r="I227" s="44"/>
      <c r="J227" s="43"/>
      <c r="K227" s="44"/>
    </row>
    <row r="228" spans="1:11">
      <c r="A228" s="168" t="s">
        <v>142</v>
      </c>
      <c r="B228" s="155">
        <f t="shared" si="19"/>
        <v>0</v>
      </c>
      <c r="C228" s="155">
        <f t="shared" si="20"/>
        <v>0</v>
      </c>
      <c r="D228" s="155">
        <f t="shared" si="22"/>
        <v>0</v>
      </c>
      <c r="E228" s="320">
        <f t="shared" si="21"/>
        <v>0</v>
      </c>
      <c r="F228" s="55"/>
      <c r="G228" s="248"/>
      <c r="H228" s="43"/>
      <c r="I228" s="44"/>
      <c r="J228" s="43"/>
      <c r="K228" s="44"/>
    </row>
    <row r="229" spans="1:11">
      <c r="A229" s="168" t="s">
        <v>143</v>
      </c>
      <c r="B229" s="155">
        <f t="shared" si="19"/>
        <v>644350.32750000001</v>
      </c>
      <c r="C229" s="155">
        <f t="shared" si="20"/>
        <v>1334606.5833054907</v>
      </c>
      <c r="D229" s="155">
        <f t="shared" si="22"/>
        <v>639100.32750000001</v>
      </c>
      <c r="E229" s="320">
        <f t="shared" si="21"/>
        <v>1069612.1712302878</v>
      </c>
      <c r="F229" s="55"/>
      <c r="G229" s="248"/>
      <c r="H229" s="43"/>
      <c r="I229" s="44"/>
      <c r="J229" s="43"/>
      <c r="K229" s="44"/>
    </row>
    <row r="230" spans="1:11">
      <c r="A230" s="168" t="s">
        <v>144</v>
      </c>
      <c r="B230" s="155">
        <f t="shared" si="19"/>
        <v>1288700.655</v>
      </c>
      <c r="C230" s="155">
        <f t="shared" si="20"/>
        <v>1334606.5833054907</v>
      </c>
      <c r="D230" s="155">
        <f t="shared" si="22"/>
        <v>639100.32750000001</v>
      </c>
      <c r="E230" s="320">
        <f t="shared" si="21"/>
        <v>1069612.1712302878</v>
      </c>
      <c r="F230" s="55"/>
      <c r="G230" s="248"/>
      <c r="H230" s="43"/>
      <c r="I230" s="44"/>
      <c r="J230" s="43"/>
      <c r="K230" s="44"/>
    </row>
    <row r="231" spans="1:11">
      <c r="A231" s="168" t="s">
        <v>145</v>
      </c>
      <c r="B231" s="155">
        <f t="shared" si="19"/>
        <v>214783.4425</v>
      </c>
      <c r="C231" s="155">
        <f t="shared" si="20"/>
        <v>222434.43055091513</v>
      </c>
      <c r="D231" s="155">
        <f t="shared" si="22"/>
        <v>213033.4425</v>
      </c>
      <c r="E231" s="320">
        <f t="shared" si="21"/>
        <v>213922.43424605753</v>
      </c>
      <c r="F231" s="55"/>
      <c r="G231" s="248"/>
      <c r="H231" s="43"/>
      <c r="I231" s="44"/>
      <c r="J231" s="43"/>
      <c r="K231" s="44"/>
    </row>
    <row r="232" spans="1:11">
      <c r="A232" s="168" t="s">
        <v>146</v>
      </c>
      <c r="B232" s="159">
        <f t="shared" si="19"/>
        <v>644350.32749999582</v>
      </c>
      <c r="C232" s="159">
        <f t="shared" si="20"/>
        <v>1334606.5833054869</v>
      </c>
      <c r="D232" s="159">
        <f t="shared" si="22"/>
        <v>0</v>
      </c>
      <c r="E232" s="322">
        <f t="shared" si="21"/>
        <v>1283534.6054763417</v>
      </c>
      <c r="F232" s="55"/>
      <c r="G232" s="248"/>
      <c r="H232" s="43"/>
      <c r="I232" s="44"/>
      <c r="J232" s="43"/>
      <c r="K232" s="44"/>
    </row>
    <row r="233" spans="1:11">
      <c r="A233" s="146" t="s">
        <v>53</v>
      </c>
      <c r="B233" s="170">
        <f>SUM(B226:B232)</f>
        <v>42956688.5</v>
      </c>
      <c r="C233" s="170">
        <f>SUM(C226:C232)</f>
        <v>44486886.11018303</v>
      </c>
      <c r="D233" s="170">
        <f>SUM(D226:D232)</f>
        <v>42606688.5</v>
      </c>
      <c r="E233" s="325">
        <f t="shared" si="21"/>
        <v>42784486.849211507</v>
      </c>
      <c r="F233" s="55"/>
      <c r="G233" s="248"/>
      <c r="H233" s="55"/>
      <c r="I233" s="248"/>
      <c r="J233" s="55"/>
      <c r="K233" s="248"/>
    </row>
    <row r="234" spans="1:11" ht="116.25" customHeight="1">
      <c r="A234" s="132" t="s">
        <v>318</v>
      </c>
      <c r="B234" s="413"/>
      <c r="C234" s="414"/>
      <c r="D234" s="414"/>
      <c r="E234" s="414"/>
      <c r="F234" s="378" t="s">
        <v>564</v>
      </c>
      <c r="G234" s="379"/>
      <c r="H234" s="43"/>
      <c r="I234" s="44"/>
      <c r="J234" s="43"/>
      <c r="K234" s="44"/>
    </row>
    <row r="235" spans="1:11">
      <c r="A235" s="59" t="s">
        <v>321</v>
      </c>
      <c r="B235" s="415"/>
      <c r="C235" s="416"/>
      <c r="D235" s="416"/>
      <c r="E235" s="416"/>
      <c r="F235" s="55"/>
      <c r="G235" s="248"/>
      <c r="H235" s="43"/>
      <c r="I235" s="44"/>
      <c r="J235" s="43"/>
      <c r="K235" s="44"/>
    </row>
    <row r="236" spans="1:11">
      <c r="A236" s="63" t="s">
        <v>325</v>
      </c>
      <c r="B236" s="419">
        <v>0.05</v>
      </c>
      <c r="C236" s="420"/>
      <c r="D236" s="420"/>
      <c r="E236" s="420"/>
      <c r="F236" s="378"/>
      <c r="G236" s="379"/>
      <c r="H236" s="372"/>
      <c r="I236" s="373"/>
      <c r="J236" s="372"/>
      <c r="K236" s="373"/>
    </row>
    <row r="237" spans="1:11">
      <c r="A237" s="63" t="s">
        <v>322</v>
      </c>
      <c r="B237" s="400"/>
      <c r="C237" s="401"/>
      <c r="D237" s="401"/>
      <c r="E237" s="401"/>
      <c r="F237" s="55"/>
      <c r="G237" s="248"/>
      <c r="H237" s="43"/>
      <c r="I237" s="44"/>
      <c r="J237" s="43"/>
      <c r="K237" s="44"/>
    </row>
    <row r="238" spans="1:11">
      <c r="A238" s="172" t="s">
        <v>140</v>
      </c>
      <c r="B238" s="398" t="s">
        <v>67</v>
      </c>
      <c r="C238" s="399"/>
      <c r="D238" s="399"/>
      <c r="E238" s="399"/>
      <c r="F238" s="378"/>
      <c r="G238" s="379"/>
      <c r="H238" s="372"/>
      <c r="I238" s="373"/>
      <c r="J238" s="372"/>
      <c r="K238" s="373"/>
    </row>
    <row r="239" spans="1:11">
      <c r="A239" s="172" t="s">
        <v>141</v>
      </c>
      <c r="B239" s="398" t="s">
        <v>68</v>
      </c>
      <c r="C239" s="399"/>
      <c r="D239" s="399"/>
      <c r="E239" s="399"/>
      <c r="F239" s="378"/>
      <c r="G239" s="379"/>
      <c r="H239" s="372"/>
      <c r="I239" s="373"/>
      <c r="J239" s="372"/>
      <c r="K239" s="373"/>
    </row>
    <row r="240" spans="1:11">
      <c r="A240" s="172" t="s">
        <v>142</v>
      </c>
      <c r="B240" s="398" t="s">
        <v>68</v>
      </c>
      <c r="C240" s="399"/>
      <c r="D240" s="399"/>
      <c r="E240" s="399"/>
      <c r="F240" s="378"/>
      <c r="G240" s="379"/>
      <c r="H240" s="372"/>
      <c r="I240" s="373"/>
      <c r="J240" s="372"/>
      <c r="K240" s="373"/>
    </row>
    <row r="241" spans="1:11">
      <c r="A241" s="172" t="s">
        <v>143</v>
      </c>
      <c r="B241" s="398" t="s">
        <v>68</v>
      </c>
      <c r="C241" s="399"/>
      <c r="D241" s="399"/>
      <c r="E241" s="399"/>
      <c r="F241" s="378"/>
      <c r="G241" s="379"/>
      <c r="H241" s="372"/>
      <c r="I241" s="373"/>
      <c r="J241" s="372"/>
      <c r="K241" s="373"/>
    </row>
    <row r="242" spans="1:11">
      <c r="A242" s="172" t="s">
        <v>144</v>
      </c>
      <c r="B242" s="398" t="s">
        <v>68</v>
      </c>
      <c r="C242" s="399"/>
      <c r="D242" s="399"/>
      <c r="E242" s="399"/>
      <c r="F242" s="378"/>
      <c r="G242" s="379"/>
      <c r="H242" s="372"/>
      <c r="I242" s="373"/>
      <c r="J242" s="372"/>
      <c r="K242" s="373"/>
    </row>
    <row r="243" spans="1:11">
      <c r="A243" s="172" t="s">
        <v>145</v>
      </c>
      <c r="B243" s="398" t="s">
        <v>68</v>
      </c>
      <c r="C243" s="399"/>
      <c r="D243" s="399"/>
      <c r="E243" s="399"/>
      <c r="F243" s="378"/>
      <c r="G243" s="379"/>
      <c r="H243" s="372"/>
      <c r="I243" s="373"/>
      <c r="J243" s="372"/>
      <c r="K243" s="373"/>
    </row>
    <row r="244" spans="1:11">
      <c r="A244" s="59" t="s">
        <v>323</v>
      </c>
      <c r="B244" s="398"/>
      <c r="C244" s="399"/>
      <c r="D244" s="399"/>
      <c r="E244" s="399"/>
      <c r="F244" s="55"/>
      <c r="G244" s="248"/>
      <c r="H244" s="43"/>
      <c r="I244" s="44"/>
      <c r="J244" s="43"/>
      <c r="K244" s="44"/>
    </row>
    <row r="245" spans="1:11">
      <c r="A245" s="63" t="s">
        <v>323</v>
      </c>
      <c r="B245" s="419">
        <v>0.1</v>
      </c>
      <c r="C245" s="420"/>
      <c r="D245" s="420"/>
      <c r="E245" s="420"/>
      <c r="F245" s="378"/>
      <c r="G245" s="379"/>
      <c r="H245" s="43"/>
      <c r="I245" s="44"/>
      <c r="J245" s="43"/>
      <c r="K245" s="44"/>
    </row>
    <row r="246" spans="1:11">
      <c r="A246" s="63" t="s">
        <v>322</v>
      </c>
      <c r="B246" s="398"/>
      <c r="C246" s="399"/>
      <c r="D246" s="399"/>
      <c r="E246" s="399"/>
      <c r="F246" s="55"/>
      <c r="G246" s="248"/>
      <c r="H246" s="43"/>
      <c r="I246" s="44"/>
      <c r="J246" s="43"/>
      <c r="K246" s="44"/>
    </row>
    <row r="247" spans="1:11">
      <c r="A247" s="173" t="s">
        <v>140</v>
      </c>
      <c r="B247" s="398" t="s">
        <v>67</v>
      </c>
      <c r="C247" s="399"/>
      <c r="D247" s="399"/>
      <c r="E247" s="399"/>
      <c r="F247" s="378"/>
      <c r="G247" s="379"/>
      <c r="H247" s="372"/>
      <c r="I247" s="373"/>
      <c r="J247" s="372"/>
      <c r="K247" s="373"/>
    </row>
    <row r="248" spans="1:11">
      <c r="A248" s="173" t="s">
        <v>141</v>
      </c>
      <c r="B248" s="398" t="s">
        <v>68</v>
      </c>
      <c r="C248" s="399"/>
      <c r="D248" s="399"/>
      <c r="E248" s="399"/>
      <c r="F248" s="378"/>
      <c r="G248" s="379"/>
      <c r="H248" s="372"/>
      <c r="I248" s="373"/>
      <c r="J248" s="372"/>
      <c r="K248" s="373"/>
    </row>
    <row r="249" spans="1:11">
      <c r="A249" s="173" t="s">
        <v>142</v>
      </c>
      <c r="B249" s="398" t="s">
        <v>68</v>
      </c>
      <c r="C249" s="399"/>
      <c r="D249" s="399"/>
      <c r="E249" s="399"/>
      <c r="F249" s="378"/>
      <c r="G249" s="379"/>
      <c r="H249" s="372"/>
      <c r="I249" s="373"/>
      <c r="J249" s="372"/>
      <c r="K249" s="373"/>
    </row>
    <row r="250" spans="1:11">
      <c r="A250" s="173" t="s">
        <v>143</v>
      </c>
      <c r="B250" s="398" t="s">
        <v>68</v>
      </c>
      <c r="C250" s="399"/>
      <c r="D250" s="399"/>
      <c r="E250" s="399"/>
      <c r="F250" s="378"/>
      <c r="G250" s="379"/>
      <c r="H250" s="372"/>
      <c r="I250" s="373"/>
      <c r="J250" s="372"/>
      <c r="K250" s="373"/>
    </row>
    <row r="251" spans="1:11">
      <c r="A251" s="173" t="s">
        <v>144</v>
      </c>
      <c r="B251" s="398" t="s">
        <v>68</v>
      </c>
      <c r="C251" s="399"/>
      <c r="D251" s="399"/>
      <c r="E251" s="399"/>
      <c r="F251" s="378"/>
      <c r="G251" s="379"/>
      <c r="H251" s="372"/>
      <c r="I251" s="373"/>
      <c r="J251" s="372"/>
      <c r="K251" s="373"/>
    </row>
    <row r="252" spans="1:11">
      <c r="A252" s="174" t="s">
        <v>145</v>
      </c>
      <c r="B252" s="396" t="s">
        <v>68</v>
      </c>
      <c r="C252" s="397"/>
      <c r="D252" s="397"/>
      <c r="E252" s="397"/>
      <c r="F252" s="378"/>
      <c r="G252" s="379"/>
      <c r="H252" s="372"/>
      <c r="I252" s="373"/>
      <c r="J252" s="372"/>
      <c r="K252" s="373"/>
    </row>
    <row r="253" spans="1:11" ht="61.5" customHeight="1">
      <c r="A253" s="132" t="s">
        <v>33</v>
      </c>
      <c r="B253" s="417"/>
      <c r="C253" s="418"/>
      <c r="D253" s="418"/>
      <c r="E253" s="418"/>
      <c r="F253" s="55"/>
      <c r="G253" s="248"/>
      <c r="H253" s="43"/>
      <c r="I253" s="44"/>
      <c r="J253" s="372" t="s">
        <v>543</v>
      </c>
      <c r="K253" s="373"/>
    </row>
    <row r="254" spans="1:11">
      <c r="A254" s="59" t="s">
        <v>159</v>
      </c>
      <c r="B254" s="400"/>
      <c r="C254" s="401"/>
      <c r="D254" s="401"/>
      <c r="E254" s="401"/>
      <c r="F254" s="55"/>
      <c r="G254" s="248"/>
      <c r="H254" s="43"/>
      <c r="I254" s="44"/>
      <c r="J254" s="43"/>
      <c r="K254" s="44"/>
    </row>
    <row r="255" spans="1:11">
      <c r="A255" s="57" t="s">
        <v>278</v>
      </c>
      <c r="B255" s="400"/>
      <c r="C255" s="401"/>
      <c r="D255" s="401"/>
      <c r="E255" s="401"/>
      <c r="F255" s="55"/>
      <c r="G255" s="248"/>
      <c r="H255" s="43"/>
      <c r="I255" s="44"/>
      <c r="J255" s="43"/>
      <c r="K255" s="44"/>
    </row>
    <row r="256" spans="1:11">
      <c r="A256" s="168" t="s">
        <v>140</v>
      </c>
      <c r="B256" s="398" t="s">
        <v>67</v>
      </c>
      <c r="C256" s="399"/>
      <c r="D256" s="399"/>
      <c r="E256" s="399"/>
      <c r="F256" s="378"/>
      <c r="G256" s="379"/>
      <c r="H256" s="372"/>
      <c r="I256" s="373"/>
      <c r="J256" s="372"/>
      <c r="K256" s="373"/>
    </row>
    <row r="257" spans="1:11">
      <c r="A257" s="168" t="s">
        <v>141</v>
      </c>
      <c r="B257" s="398" t="s">
        <v>68</v>
      </c>
      <c r="C257" s="399"/>
      <c r="D257" s="399"/>
      <c r="E257" s="399"/>
      <c r="F257" s="378"/>
      <c r="G257" s="379"/>
      <c r="H257" s="372"/>
      <c r="I257" s="373"/>
      <c r="J257" s="372"/>
      <c r="K257" s="373"/>
    </row>
    <row r="258" spans="1:11">
      <c r="A258" s="168" t="s">
        <v>142</v>
      </c>
      <c r="B258" s="398" t="s">
        <v>68</v>
      </c>
      <c r="C258" s="399"/>
      <c r="D258" s="399"/>
      <c r="E258" s="399"/>
      <c r="F258" s="378"/>
      <c r="G258" s="379"/>
      <c r="H258" s="372"/>
      <c r="I258" s="373"/>
      <c r="J258" s="372"/>
      <c r="K258" s="373"/>
    </row>
    <row r="259" spans="1:11">
      <c r="A259" s="168" t="s">
        <v>143</v>
      </c>
      <c r="B259" s="398" t="s">
        <v>68</v>
      </c>
      <c r="C259" s="399"/>
      <c r="D259" s="399"/>
      <c r="E259" s="399"/>
      <c r="F259" s="378"/>
      <c r="G259" s="379"/>
      <c r="H259" s="372"/>
      <c r="I259" s="373"/>
      <c r="J259" s="372"/>
      <c r="K259" s="373"/>
    </row>
    <row r="260" spans="1:11">
      <c r="A260" s="168" t="s">
        <v>144</v>
      </c>
      <c r="B260" s="398" t="s">
        <v>68</v>
      </c>
      <c r="C260" s="399"/>
      <c r="D260" s="399"/>
      <c r="E260" s="399"/>
      <c r="F260" s="378"/>
      <c r="G260" s="379"/>
      <c r="H260" s="372"/>
      <c r="I260" s="373"/>
      <c r="J260" s="372"/>
      <c r="K260" s="373"/>
    </row>
    <row r="261" spans="1:11">
      <c r="A261" s="168" t="s">
        <v>145</v>
      </c>
      <c r="B261" s="398" t="s">
        <v>68</v>
      </c>
      <c r="C261" s="399"/>
      <c r="D261" s="399"/>
      <c r="E261" s="399"/>
      <c r="F261" s="378"/>
      <c r="G261" s="379"/>
      <c r="H261" s="372"/>
      <c r="I261" s="373"/>
      <c r="J261" s="372"/>
      <c r="K261" s="373"/>
    </row>
    <row r="262" spans="1:11">
      <c r="A262" s="59" t="s">
        <v>170</v>
      </c>
      <c r="B262" s="398"/>
      <c r="C262" s="399"/>
      <c r="D262" s="399"/>
      <c r="E262" s="399"/>
      <c r="F262" s="55"/>
      <c r="G262" s="248"/>
      <c r="H262" s="43"/>
      <c r="I262" s="44"/>
      <c r="J262" s="43"/>
      <c r="K262" s="44"/>
    </row>
    <row r="263" spans="1:11">
      <c r="A263" s="57" t="s">
        <v>278</v>
      </c>
      <c r="B263" s="398"/>
      <c r="C263" s="399"/>
      <c r="D263" s="399"/>
      <c r="E263" s="399"/>
      <c r="F263" s="55"/>
      <c r="G263" s="248"/>
      <c r="H263" s="43"/>
      <c r="I263" s="44"/>
      <c r="J263" s="43"/>
      <c r="K263" s="44"/>
    </row>
    <row r="264" spans="1:11" ht="65.25" customHeight="1">
      <c r="A264" s="168" t="s">
        <v>140</v>
      </c>
      <c r="B264" s="398" t="s">
        <v>67</v>
      </c>
      <c r="C264" s="399"/>
      <c r="D264" s="399"/>
      <c r="E264" s="399"/>
      <c r="F264" s="378" t="s">
        <v>559</v>
      </c>
      <c r="G264" s="379"/>
      <c r="H264" s="43"/>
      <c r="I264" s="44"/>
      <c r="J264" s="43"/>
      <c r="K264" s="44"/>
    </row>
    <row r="265" spans="1:11">
      <c r="A265" s="168" t="s">
        <v>141</v>
      </c>
      <c r="B265" s="398" t="s">
        <v>68</v>
      </c>
      <c r="C265" s="399"/>
      <c r="D265" s="399"/>
      <c r="E265" s="399"/>
      <c r="F265" s="378"/>
      <c r="G265" s="379"/>
      <c r="H265" s="372"/>
      <c r="I265" s="373"/>
      <c r="J265" s="372"/>
      <c r="K265" s="373"/>
    </row>
    <row r="266" spans="1:11">
      <c r="A266" s="168" t="s">
        <v>142</v>
      </c>
      <c r="B266" s="398" t="s">
        <v>68</v>
      </c>
      <c r="C266" s="399"/>
      <c r="D266" s="399"/>
      <c r="E266" s="399"/>
      <c r="F266" s="378"/>
      <c r="G266" s="379"/>
      <c r="H266" s="372"/>
      <c r="I266" s="373"/>
      <c r="J266" s="372"/>
      <c r="K266" s="373"/>
    </row>
    <row r="267" spans="1:11">
      <c r="A267" s="168" t="s">
        <v>143</v>
      </c>
      <c r="B267" s="398" t="s">
        <v>68</v>
      </c>
      <c r="C267" s="399"/>
      <c r="D267" s="399"/>
      <c r="E267" s="399"/>
      <c r="F267" s="378"/>
      <c r="G267" s="379"/>
      <c r="H267" s="372"/>
      <c r="I267" s="373"/>
      <c r="J267" s="372"/>
      <c r="K267" s="373"/>
    </row>
    <row r="268" spans="1:11">
      <c r="A268" s="168" t="s">
        <v>144</v>
      </c>
      <c r="B268" s="398" t="s">
        <v>68</v>
      </c>
      <c r="C268" s="399"/>
      <c r="D268" s="399"/>
      <c r="E268" s="399"/>
      <c r="F268" s="378"/>
      <c r="G268" s="379"/>
      <c r="H268" s="372"/>
      <c r="I268" s="373"/>
      <c r="J268" s="372"/>
      <c r="K268" s="373"/>
    </row>
    <row r="269" spans="1:11">
      <c r="A269" s="175" t="s">
        <v>145</v>
      </c>
      <c r="B269" s="396" t="s">
        <v>68</v>
      </c>
      <c r="C269" s="397"/>
      <c r="D269" s="397"/>
      <c r="E269" s="397"/>
      <c r="F269" s="384"/>
      <c r="G269" s="385"/>
      <c r="H269" s="374"/>
      <c r="I269" s="375"/>
      <c r="J269" s="374"/>
      <c r="K269" s="375"/>
    </row>
  </sheetData>
  <mergeCells count="229">
    <mergeCell ref="B85:E85"/>
    <mergeCell ref="B86:E86"/>
    <mergeCell ref="D30:E30"/>
    <mergeCell ref="B257:E257"/>
    <mergeCell ref="B258:E258"/>
    <mergeCell ref="B259:E259"/>
    <mergeCell ref="B260:E260"/>
    <mergeCell ref="B261:E261"/>
    <mergeCell ref="B252:E252"/>
    <mergeCell ref="B237:E237"/>
    <mergeCell ref="B246:E246"/>
    <mergeCell ref="B256:E256"/>
    <mergeCell ref="B243:E243"/>
    <mergeCell ref="B247:E247"/>
    <mergeCell ref="B127:E127"/>
    <mergeCell ref="B128:E128"/>
    <mergeCell ref="B234:E234"/>
    <mergeCell ref="B235:E235"/>
    <mergeCell ref="B253:E253"/>
    <mergeCell ref="B236:E236"/>
    <mergeCell ref="B245:E245"/>
    <mergeCell ref="B251:E251"/>
    <mergeCell ref="B129:E129"/>
    <mergeCell ref="B130:E130"/>
    <mergeCell ref="B131:E131"/>
    <mergeCell ref="B132:E132"/>
    <mergeCell ref="B269:E269"/>
    <mergeCell ref="B264:E264"/>
    <mergeCell ref="B265:E265"/>
    <mergeCell ref="B266:E266"/>
    <mergeCell ref="B267:E267"/>
    <mergeCell ref="B268:E268"/>
    <mergeCell ref="B254:E254"/>
    <mergeCell ref="B255:E255"/>
    <mergeCell ref="B262:E262"/>
    <mergeCell ref="B263:E263"/>
    <mergeCell ref="B133:E133"/>
    <mergeCell ref="B134:E134"/>
    <mergeCell ref="B248:E248"/>
    <mergeCell ref="B249:E249"/>
    <mergeCell ref="B250:E250"/>
    <mergeCell ref="B238:E238"/>
    <mergeCell ref="B239:E239"/>
    <mergeCell ref="B240:E240"/>
    <mergeCell ref="B241:E241"/>
    <mergeCell ref="B242:E242"/>
    <mergeCell ref="B244:E244"/>
    <mergeCell ref="F139:G139"/>
    <mergeCell ref="F140:G140"/>
    <mergeCell ref="F141:G141"/>
    <mergeCell ref="F145:G145"/>
    <mergeCell ref="F147:G147"/>
    <mergeCell ref="F73:G73"/>
    <mergeCell ref="F129:G129"/>
    <mergeCell ref="F130:G130"/>
    <mergeCell ref="F132:G132"/>
    <mergeCell ref="F138:G138"/>
    <mergeCell ref="F74:G74"/>
    <mergeCell ref="F264:G264"/>
    <mergeCell ref="H73:I73"/>
    <mergeCell ref="H129:I129"/>
    <mergeCell ref="H130:I130"/>
    <mergeCell ref="H132:I132"/>
    <mergeCell ref="H138:I138"/>
    <mergeCell ref="H139:I139"/>
    <mergeCell ref="H140:I140"/>
    <mergeCell ref="H141:I141"/>
    <mergeCell ref="H145:I145"/>
    <mergeCell ref="H147:I147"/>
    <mergeCell ref="H152:I152"/>
    <mergeCell ref="F153:G153"/>
    <mergeCell ref="H153:I153"/>
    <mergeCell ref="H181:I181"/>
    <mergeCell ref="F193:G193"/>
    <mergeCell ref="F199:G199"/>
    <mergeCell ref="F200:G200"/>
    <mergeCell ref="F211:G211"/>
    <mergeCell ref="F212:G212"/>
    <mergeCell ref="F148:G148"/>
    <mergeCell ref="F152:G152"/>
    <mergeCell ref="F181:G181"/>
    <mergeCell ref="F187:G187"/>
    <mergeCell ref="F206:G206"/>
    <mergeCell ref="F208:G208"/>
    <mergeCell ref="F209:G209"/>
    <mergeCell ref="H209:I209"/>
    <mergeCell ref="H187:I187"/>
    <mergeCell ref="F188:G188"/>
    <mergeCell ref="H188:I188"/>
    <mergeCell ref="H193:I193"/>
    <mergeCell ref="F217:G217"/>
    <mergeCell ref="F192:G192"/>
    <mergeCell ref="F240:G240"/>
    <mergeCell ref="F241:G241"/>
    <mergeCell ref="F221:G221"/>
    <mergeCell ref="F222:G222"/>
    <mergeCell ref="H218:I218"/>
    <mergeCell ref="H219:I219"/>
    <mergeCell ref="H220:I220"/>
    <mergeCell ref="H221:I221"/>
    <mergeCell ref="H222:I222"/>
    <mergeCell ref="F218:G218"/>
    <mergeCell ref="F219:G219"/>
    <mergeCell ref="F220:G220"/>
    <mergeCell ref="F234:G234"/>
    <mergeCell ref="F226:G226"/>
    <mergeCell ref="F250:G250"/>
    <mergeCell ref="F251:G251"/>
    <mergeCell ref="F252:G252"/>
    <mergeCell ref="H236:I236"/>
    <mergeCell ref="H238:I238"/>
    <mergeCell ref="H239:I239"/>
    <mergeCell ref="H240:I240"/>
    <mergeCell ref="H241:I241"/>
    <mergeCell ref="H242:I242"/>
    <mergeCell ref="H243:I243"/>
    <mergeCell ref="F243:G243"/>
    <mergeCell ref="H247:I247"/>
    <mergeCell ref="H248:I248"/>
    <mergeCell ref="H249:I249"/>
    <mergeCell ref="H250:I250"/>
    <mergeCell ref="H251:I251"/>
    <mergeCell ref="F242:G242"/>
    <mergeCell ref="F245:G245"/>
    <mergeCell ref="F247:G247"/>
    <mergeCell ref="F248:G248"/>
    <mergeCell ref="F249:G249"/>
    <mergeCell ref="F236:G236"/>
    <mergeCell ref="F238:G238"/>
    <mergeCell ref="F239:G239"/>
    <mergeCell ref="F260:G260"/>
    <mergeCell ref="F261:G261"/>
    <mergeCell ref="H256:I256"/>
    <mergeCell ref="H257:I257"/>
    <mergeCell ref="H258:I258"/>
    <mergeCell ref="H259:I259"/>
    <mergeCell ref="H260:I260"/>
    <mergeCell ref="H261:I261"/>
    <mergeCell ref="H252:I252"/>
    <mergeCell ref="F256:G256"/>
    <mergeCell ref="F257:G257"/>
    <mergeCell ref="F258:G258"/>
    <mergeCell ref="F259:G259"/>
    <mergeCell ref="H266:I266"/>
    <mergeCell ref="H267:I267"/>
    <mergeCell ref="H268:I268"/>
    <mergeCell ref="H269:I269"/>
    <mergeCell ref="F265:G265"/>
    <mergeCell ref="F266:G266"/>
    <mergeCell ref="F267:G267"/>
    <mergeCell ref="F268:G268"/>
    <mergeCell ref="F269:G269"/>
    <mergeCell ref="H171:I171"/>
    <mergeCell ref="H179:I179"/>
    <mergeCell ref="H192:I192"/>
    <mergeCell ref="H74:I74"/>
    <mergeCell ref="H76:I76"/>
    <mergeCell ref="H117:I117"/>
    <mergeCell ref="H123:I123"/>
    <mergeCell ref="H81:I81"/>
    <mergeCell ref="H265:I265"/>
    <mergeCell ref="H212:I212"/>
    <mergeCell ref="H217:I217"/>
    <mergeCell ref="H199:I199"/>
    <mergeCell ref="H200:I200"/>
    <mergeCell ref="H211:I211"/>
    <mergeCell ref="H206:I206"/>
    <mergeCell ref="J73:K73"/>
    <mergeCell ref="J74:K74"/>
    <mergeCell ref="J76:K76"/>
    <mergeCell ref="J81:K81"/>
    <mergeCell ref="J117:K117"/>
    <mergeCell ref="J123:K123"/>
    <mergeCell ref="J129:K129"/>
    <mergeCell ref="J130:K130"/>
    <mergeCell ref="J132:K132"/>
    <mergeCell ref="J138:K138"/>
    <mergeCell ref="J139:K139"/>
    <mergeCell ref="J140:K140"/>
    <mergeCell ref="J141:K141"/>
    <mergeCell ref="J145:K145"/>
    <mergeCell ref="J147:K147"/>
    <mergeCell ref="J152:K152"/>
    <mergeCell ref="J153:K153"/>
    <mergeCell ref="J171:K171"/>
    <mergeCell ref="J179:K179"/>
    <mergeCell ref="J181:K181"/>
    <mergeCell ref="J187:K187"/>
    <mergeCell ref="J188:K188"/>
    <mergeCell ref="J192:K192"/>
    <mergeCell ref="J193:K193"/>
    <mergeCell ref="J199:K199"/>
    <mergeCell ref="J200:K200"/>
    <mergeCell ref="J206:K206"/>
    <mergeCell ref="J247:K247"/>
    <mergeCell ref="J248:K248"/>
    <mergeCell ref="J209:K209"/>
    <mergeCell ref="J211:K211"/>
    <mergeCell ref="J212:K212"/>
    <mergeCell ref="J217:K217"/>
    <mergeCell ref="J218:K218"/>
    <mergeCell ref="J219:K219"/>
    <mergeCell ref="J220:K220"/>
    <mergeCell ref="J221:K221"/>
    <mergeCell ref="J222:K222"/>
    <mergeCell ref="J261:K261"/>
    <mergeCell ref="J265:K265"/>
    <mergeCell ref="J266:K266"/>
    <mergeCell ref="J267:K267"/>
    <mergeCell ref="J268:K268"/>
    <mergeCell ref="J269:K269"/>
    <mergeCell ref="H160:I160"/>
    <mergeCell ref="J253:K253"/>
    <mergeCell ref="J249:K249"/>
    <mergeCell ref="J250:K250"/>
    <mergeCell ref="J251:K251"/>
    <mergeCell ref="J252:K252"/>
    <mergeCell ref="J256:K256"/>
    <mergeCell ref="J257:K257"/>
    <mergeCell ref="J258:K258"/>
    <mergeCell ref="J259:K259"/>
    <mergeCell ref="J260:K260"/>
    <mergeCell ref="J236:K236"/>
    <mergeCell ref="J238:K238"/>
    <mergeCell ref="J239:K239"/>
    <mergeCell ref="J240:K240"/>
    <mergeCell ref="J241:K241"/>
    <mergeCell ref="J242:K242"/>
    <mergeCell ref="J243:K243"/>
  </mergeCells>
  <conditionalFormatting sqref="C81">
    <cfRule type="cellIs" dxfId="4" priority="5" operator="notEqual">
      <formula>$C$80</formula>
    </cfRule>
  </conditionalFormatting>
  <conditionalFormatting sqref="B223:E223">
    <cfRule type="cellIs" dxfId="3" priority="4" operator="lessThan">
      <formula>0</formula>
    </cfRule>
  </conditionalFormatting>
  <conditionalFormatting sqref="E81">
    <cfRule type="cellIs" dxfId="2" priority="3" operator="notEqual">
      <formula>$E$80</formula>
    </cfRule>
  </conditionalFormatting>
  <conditionalFormatting sqref="B81">
    <cfRule type="cellIs" dxfId="1" priority="2" operator="notEqual">
      <formula>$B$80</formula>
    </cfRule>
  </conditionalFormatting>
  <conditionalFormatting sqref="D81">
    <cfRule type="cellIs" dxfId="0" priority="1" operator="notEqual">
      <formula>$D$80</formula>
    </cfRule>
  </conditionalFormatting>
  <dataValidations count="7">
    <dataValidation type="list" allowBlank="1" showInputMessage="1" showErrorMessage="1" sqref="M67:M70 B238:B243 B264:B269 B247:B252 B256:B261 I67:J70 I50:L53 D34:E35 D38:E39 I55:L58 I60:L63">
      <formula1>"Yes,No"</formula1>
    </dataValidation>
    <dataValidation type="list" allowBlank="1" showInputMessage="1" showErrorMessage="1" sqref="K65:L65">
      <formula1>"5-Yr MACRS,Proportionally"</formula1>
    </dataValidation>
    <dataValidation type="list" allowBlank="1" showInputMessage="1" showErrorMessage="1" sqref="B188">
      <formula1>"1,2,3,4,5,6,7,8,9,10"</formula1>
    </dataValidation>
    <dataValidation type="list" allowBlank="1" showInputMessage="1" showErrorMessage="1" sqref="B187">
      <formula1>"Time, Full Capital Recovery"</formula1>
    </dataValidation>
    <dataValidation type="list" allowBlank="1" showInputMessage="1" showErrorMessage="1" sqref="D209 C141 E141">
      <formula1>"0,1,2,3,4,5,6,7,8,9,10,11,12"</formula1>
    </dataValidation>
    <dataValidation type="list" allowBlank="1" showInputMessage="1" showErrorMessage="1" sqref="J28:J29">
      <formula1>$A$217:$A$222</formula1>
    </dataValidation>
    <dataValidation type="whole" allowBlank="1" showInputMessage="1" showErrorMessage="1" sqref="B85:E86">
      <formula1>1</formula1>
      <formula2>40</formula2>
    </dataValidation>
  </dataValidations>
  <pageMargins left="0.5" right="0.5" top="0.5" bottom="0.75" header="0.3" footer="0.3"/>
  <pageSetup scale="73" pageOrder="overThenDown" orientation="landscape" horizontalDpi="4294967294" r:id="rId1"/>
  <headerFooter>
    <oddFooter>&amp;L&amp;F&amp;RPage &amp;Pof &amp;N</oddFooter>
  </headerFooter>
  <rowBreaks count="1" manualBreakCount="1">
    <brk id="44" max="14" man="1"/>
  </rowBreaks>
  <colBreaks count="1" manualBreakCount="1">
    <brk id="7" min="71" max="268" man="1"/>
  </colBreaks>
  <legacyDrawing r:id="rId2"/>
</worksheet>
</file>

<file path=xl/worksheets/sheet2.xml><?xml version="1.0" encoding="utf-8"?>
<worksheet xmlns="http://schemas.openxmlformats.org/spreadsheetml/2006/main" xmlns:r="http://schemas.openxmlformats.org/officeDocument/2006/relationships">
  <sheetPr codeName="Sheet8"/>
  <dimension ref="A1:AP701"/>
  <sheetViews>
    <sheetView zoomScale="95" zoomScaleNormal="95" workbookViewId="0">
      <pane xSplit="1" ySplit="2" topLeftCell="B106" activePane="bottomRight" state="frozen"/>
      <selection pane="topRight" activeCell="B1" sqref="B1"/>
      <selection pane="bottomLeft" activeCell="A3" sqref="A3"/>
      <selection pane="bottomRight" activeCell="H277" sqref="H277:H282"/>
    </sheetView>
  </sheetViews>
  <sheetFormatPr defaultRowHeight="12.75"/>
  <cols>
    <col min="1" max="1" width="39.42578125" style="37" customWidth="1"/>
    <col min="2" max="2" width="14.85546875" style="37" customWidth="1"/>
    <col min="3" max="3" width="12.5703125" style="37" customWidth="1"/>
    <col min="4" max="4" width="12.140625" style="37" bestFit="1" customWidth="1"/>
    <col min="5" max="10" width="12.7109375" style="37" customWidth="1"/>
    <col min="11" max="11" width="13.7109375" style="37" customWidth="1"/>
    <col min="12" max="12" width="12.42578125" style="37" customWidth="1"/>
    <col min="13" max="31" width="11.5703125" style="37" customWidth="1"/>
    <col min="32" max="32" width="11.42578125" style="37" customWidth="1"/>
    <col min="33" max="42" width="11.5703125" style="37" customWidth="1"/>
    <col min="43" max="16384" width="9.140625" style="37"/>
  </cols>
  <sheetData>
    <row r="1" spans="1:42" ht="21">
      <c r="A1" s="176" t="s">
        <v>25</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AEPFPPAPrice*(1+AEPFPPAPriceEsc)^B2</f>
        <v>35.138429752066124</v>
      </c>
      <c r="D11" s="185">
        <f t="shared" si="2"/>
        <v>35.489814049586784</v>
      </c>
      <c r="E11" s="185">
        <f t="shared" si="2"/>
        <v>35.844712190082653</v>
      </c>
      <c r="F11" s="185">
        <f t="shared" si="2"/>
        <v>36.203159311983477</v>
      </c>
      <c r="G11" s="185">
        <f t="shared" si="2"/>
        <v>36.565190905103314</v>
      </c>
      <c r="H11" s="185">
        <f t="shared" si="2"/>
        <v>36.930842814154346</v>
      </c>
      <c r="I11" s="185">
        <f t="shared" si="2"/>
        <v>37.300151242295897</v>
      </c>
      <c r="J11" s="185">
        <f t="shared" si="2"/>
        <v>37.673152754718842</v>
      </c>
      <c r="K11" s="185">
        <f t="shared" si="2"/>
        <v>38.049884282266042</v>
      </c>
      <c r="L11" s="185">
        <f t="shared" si="2"/>
        <v>38.430383125088703</v>
      </c>
      <c r="M11" s="185">
        <f t="shared" si="2"/>
        <v>38.814686956339592</v>
      </c>
      <c r="N11" s="185">
        <f t="shared" si="2"/>
        <v>39.202833825902978</v>
      </c>
      <c r="O11" s="185">
        <f t="shared" si="2"/>
        <v>39.594862164162009</v>
      </c>
      <c r="P11" s="185">
        <f t="shared" si="2"/>
        <v>39.990810785803632</v>
      </c>
      <c r="Q11" s="185">
        <f t="shared" si="2"/>
        <v>40.390718893661678</v>
      </c>
      <c r="R11" s="185">
        <f t="shared" si="2"/>
        <v>40.794626082598278</v>
      </c>
      <c r="S11" s="185">
        <f t="shared" si="2"/>
        <v>41.202572343424279</v>
      </c>
      <c r="T11" s="185">
        <f t="shared" si="2"/>
        <v>41.61459806685852</v>
      </c>
      <c r="U11" s="185">
        <f t="shared" si="2"/>
        <v>42.030744047527108</v>
      </c>
      <c r="V11" s="185">
        <f t="shared" si="2"/>
        <v>42.451051488002371</v>
      </c>
      <c r="W11" s="185">
        <f t="shared" si="2"/>
        <v>42.875562002882397</v>
      </c>
      <c r="X11" s="185">
        <f t="shared" si="2"/>
        <v>43.304317622911213</v>
      </c>
      <c r="Y11" s="185">
        <f t="shared" si="2"/>
        <v>43.73736079914034</v>
      </c>
      <c r="Z11" s="185">
        <f t="shared" si="2"/>
        <v>44.174734407131737</v>
      </c>
      <c r="AA11" s="185">
        <f t="shared" si="2"/>
        <v>44.616481751203061</v>
      </c>
      <c r="AB11" s="185">
        <f t="shared" si="2"/>
        <v>45.062646568715103</v>
      </c>
      <c r="AC11" s="185">
        <f t="shared" si="2"/>
        <v>45.513273034402246</v>
      </c>
      <c r="AD11" s="185">
        <f t="shared" si="2"/>
        <v>45.968405764746258</v>
      </c>
      <c r="AE11" s="185">
        <f t="shared" si="2"/>
        <v>46.428089822393723</v>
      </c>
      <c r="AF11" s="185">
        <f t="shared" si="2"/>
        <v>46.892370720617663</v>
      </c>
      <c r="AG11" s="185">
        <f t="shared" si="2"/>
        <v>47.36129442782385</v>
      </c>
      <c r="AH11" s="185">
        <f t="shared" si="2"/>
        <v>47.834907372102073</v>
      </c>
      <c r="AI11" s="185">
        <f t="shared" si="2"/>
        <v>48.3132564458231</v>
      </c>
      <c r="AJ11" s="185">
        <f t="shared" si="2"/>
        <v>48.796389010281338</v>
      </c>
      <c r="AK11" s="185">
        <f t="shared" si="2"/>
        <v>49.28435290038415</v>
      </c>
      <c r="AL11" s="185">
        <f t="shared" si="2"/>
        <v>49.777196429387985</v>
      </c>
      <c r="AM11" s="185">
        <f t="shared" si="2"/>
        <v>50.274968393681867</v>
      </c>
      <c r="AN11" s="185">
        <f t="shared" si="2"/>
        <v>50.777718077618687</v>
      </c>
      <c r="AO11" s="185">
        <f t="shared" si="2"/>
        <v>51.285495258394874</v>
      </c>
      <c r="AP11" s="185">
        <f t="shared" si="2"/>
        <v>51.798350210978811</v>
      </c>
    </row>
    <row r="12" spans="1:42">
      <c r="A12" s="184" t="s">
        <v>74</v>
      </c>
      <c r="C12" s="152">
        <f t="shared" ref="C12:AP12" si="3">C10*C11/100</f>
        <v>5973533.057851241</v>
      </c>
      <c r="D12" s="152">
        <f t="shared" si="3"/>
        <v>6003102.0464876043</v>
      </c>
      <c r="E12" s="152">
        <f t="shared" si="3"/>
        <v>6032817.4016177189</v>
      </c>
      <c r="F12" s="152">
        <f t="shared" si="3"/>
        <v>6062679.8477557255</v>
      </c>
      <c r="G12" s="152">
        <f t="shared" si="3"/>
        <v>6092690.1130021168</v>
      </c>
      <c r="H12" s="152">
        <f t="shared" si="3"/>
        <v>6122848.9290614761</v>
      </c>
      <c r="I12" s="152">
        <f t="shared" si="3"/>
        <v>6153157.0312603321</v>
      </c>
      <c r="J12" s="152">
        <f t="shared" si="3"/>
        <v>6183615.1585650686</v>
      </c>
      <c r="K12" s="152">
        <f t="shared" si="3"/>
        <v>6214224.0535999676</v>
      </c>
      <c r="L12" s="152">
        <f t="shared" si="3"/>
        <v>6244984.4626652887</v>
      </c>
      <c r="M12" s="152">
        <f t="shared" si="3"/>
        <v>6275897.1357554821</v>
      </c>
      <c r="N12" s="152">
        <f t="shared" si="3"/>
        <v>6306962.8265774688</v>
      </c>
      <c r="O12" s="152">
        <f t="shared" si="3"/>
        <v>6338182.2925690282</v>
      </c>
      <c r="P12" s="152">
        <f t="shared" si="3"/>
        <v>6369556.2949172445</v>
      </c>
      <c r="Q12" s="152">
        <f t="shared" si="3"/>
        <v>6401085.5985770868</v>
      </c>
      <c r="R12" s="152">
        <f t="shared" si="3"/>
        <v>6432770.97229004</v>
      </c>
      <c r="S12" s="152">
        <f t="shared" si="3"/>
        <v>6464613.1886028787</v>
      </c>
      <c r="T12" s="152">
        <f t="shared" si="3"/>
        <v>6496613.0238864627</v>
      </c>
      <c r="U12" s="152">
        <f t="shared" si="3"/>
        <v>6528771.258354702</v>
      </c>
      <c r="V12" s="152">
        <f t="shared" si="3"/>
        <v>6561088.6760835554</v>
      </c>
      <c r="W12" s="152">
        <f t="shared" si="3"/>
        <v>6593566.0650301697</v>
      </c>
      <c r="X12" s="152">
        <f t="shared" si="3"/>
        <v>6626204.2170520676</v>
      </c>
      <c r="Y12" s="152">
        <f t="shared" si="3"/>
        <v>6659003.927926477</v>
      </c>
      <c r="Z12" s="152">
        <f t="shared" si="3"/>
        <v>6691965.9973697122</v>
      </c>
      <c r="AA12" s="152">
        <f t="shared" si="3"/>
        <v>6725091.2290566936</v>
      </c>
      <c r="AB12" s="152">
        <f t="shared" si="3"/>
        <v>6758380.4306405261</v>
      </c>
      <c r="AC12" s="152">
        <f t="shared" si="3"/>
        <v>6791834.4137721956</v>
      </c>
      <c r="AD12" s="152">
        <f t="shared" si="3"/>
        <v>6825453.994120365</v>
      </c>
      <c r="AE12" s="152">
        <f t="shared" si="3"/>
        <v>6859239.991391262</v>
      </c>
      <c r="AF12" s="152">
        <f t="shared" si="3"/>
        <v>6893193.2293486483</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s="118" customFormat="1">
      <c r="A13" s="118" t="s">
        <v>405</v>
      </c>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row>
    <row r="14" spans="1:42" s="118" customFormat="1">
      <c r="A14" s="257" t="str">
        <f>'Inputs &amp; Results'!A60</f>
        <v>Federal</v>
      </c>
      <c r="C14" s="141">
        <f>C580</f>
        <v>0</v>
      </c>
      <c r="D14" s="141">
        <f t="shared" ref="D14:AP14" si="4">D580</f>
        <v>0</v>
      </c>
      <c r="E14" s="141">
        <f t="shared" si="4"/>
        <v>0</v>
      </c>
      <c r="F14" s="141">
        <f t="shared" si="4"/>
        <v>0</v>
      </c>
      <c r="G14" s="141">
        <f t="shared" si="4"/>
        <v>0</v>
      </c>
      <c r="H14" s="141">
        <f t="shared" si="4"/>
        <v>0</v>
      </c>
      <c r="I14" s="141">
        <f t="shared" si="4"/>
        <v>0</v>
      </c>
      <c r="J14" s="141">
        <f t="shared" si="4"/>
        <v>0</v>
      </c>
      <c r="K14" s="141">
        <f t="shared" si="4"/>
        <v>0</v>
      </c>
      <c r="L14" s="141">
        <f t="shared" si="4"/>
        <v>0</v>
      </c>
      <c r="M14" s="141">
        <f t="shared" si="4"/>
        <v>0</v>
      </c>
      <c r="N14" s="141">
        <f t="shared" si="4"/>
        <v>0</v>
      </c>
      <c r="O14" s="141">
        <f t="shared" si="4"/>
        <v>0</v>
      </c>
      <c r="P14" s="141">
        <f t="shared" si="4"/>
        <v>0</v>
      </c>
      <c r="Q14" s="141">
        <f t="shared" si="4"/>
        <v>0</v>
      </c>
      <c r="R14" s="141">
        <f t="shared" si="4"/>
        <v>0</v>
      </c>
      <c r="S14" s="141">
        <f t="shared" si="4"/>
        <v>0</v>
      </c>
      <c r="T14" s="141">
        <f t="shared" si="4"/>
        <v>0</v>
      </c>
      <c r="U14" s="141">
        <f t="shared" si="4"/>
        <v>0</v>
      </c>
      <c r="V14" s="141">
        <f t="shared" si="4"/>
        <v>0</v>
      </c>
      <c r="W14" s="141">
        <f t="shared" si="4"/>
        <v>0</v>
      </c>
      <c r="X14" s="141">
        <f t="shared" si="4"/>
        <v>0</v>
      </c>
      <c r="Y14" s="141">
        <f t="shared" si="4"/>
        <v>0</v>
      </c>
      <c r="Z14" s="141">
        <f t="shared" si="4"/>
        <v>0</v>
      </c>
      <c r="AA14" s="141">
        <f t="shared" si="4"/>
        <v>0</v>
      </c>
      <c r="AB14" s="141">
        <f t="shared" si="4"/>
        <v>0</v>
      </c>
      <c r="AC14" s="141">
        <f t="shared" si="4"/>
        <v>0</v>
      </c>
      <c r="AD14" s="141">
        <f t="shared" si="4"/>
        <v>0</v>
      </c>
      <c r="AE14" s="141">
        <f t="shared" si="4"/>
        <v>0</v>
      </c>
      <c r="AF14" s="141">
        <f t="shared" si="4"/>
        <v>0</v>
      </c>
      <c r="AG14" s="141">
        <f t="shared" si="4"/>
        <v>0</v>
      </c>
      <c r="AH14" s="141">
        <f t="shared" si="4"/>
        <v>0</v>
      </c>
      <c r="AI14" s="141">
        <f t="shared" si="4"/>
        <v>0</v>
      </c>
      <c r="AJ14" s="141">
        <f t="shared" si="4"/>
        <v>0</v>
      </c>
      <c r="AK14" s="141">
        <f t="shared" si="4"/>
        <v>0</v>
      </c>
      <c r="AL14" s="141">
        <f t="shared" si="4"/>
        <v>0</v>
      </c>
      <c r="AM14" s="141">
        <f t="shared" si="4"/>
        <v>0</v>
      </c>
      <c r="AN14" s="141">
        <f t="shared" si="4"/>
        <v>0</v>
      </c>
      <c r="AO14" s="141">
        <f t="shared" si="4"/>
        <v>0</v>
      </c>
      <c r="AP14" s="141">
        <f t="shared" si="4"/>
        <v>0</v>
      </c>
    </row>
    <row r="15" spans="1:42" s="118" customFormat="1">
      <c r="A15" s="257" t="str">
        <f>'Inputs &amp; Results'!A61</f>
        <v>State</v>
      </c>
      <c r="C15" s="141">
        <f>C584</f>
        <v>0</v>
      </c>
      <c r="D15" s="141">
        <f t="shared" ref="D15:AP15" si="5">D584</f>
        <v>0</v>
      </c>
      <c r="E15" s="141">
        <f t="shared" si="5"/>
        <v>0</v>
      </c>
      <c r="F15" s="141">
        <f t="shared" si="5"/>
        <v>0</v>
      </c>
      <c r="G15" s="141">
        <f t="shared" si="5"/>
        <v>0</v>
      </c>
      <c r="H15" s="141">
        <f t="shared" si="5"/>
        <v>0</v>
      </c>
      <c r="I15" s="141">
        <f t="shared" si="5"/>
        <v>0</v>
      </c>
      <c r="J15" s="141">
        <f t="shared" si="5"/>
        <v>0</v>
      </c>
      <c r="K15" s="141">
        <f t="shared" si="5"/>
        <v>0</v>
      </c>
      <c r="L15" s="141">
        <f t="shared" si="5"/>
        <v>0</v>
      </c>
      <c r="M15" s="141">
        <f t="shared" si="5"/>
        <v>0</v>
      </c>
      <c r="N15" s="141">
        <f t="shared" si="5"/>
        <v>0</v>
      </c>
      <c r="O15" s="141">
        <f t="shared" si="5"/>
        <v>0</v>
      </c>
      <c r="P15" s="141">
        <f t="shared" si="5"/>
        <v>0</v>
      </c>
      <c r="Q15" s="141">
        <f t="shared" si="5"/>
        <v>0</v>
      </c>
      <c r="R15" s="141">
        <f t="shared" si="5"/>
        <v>0</v>
      </c>
      <c r="S15" s="141">
        <f t="shared" si="5"/>
        <v>0</v>
      </c>
      <c r="T15" s="141">
        <f t="shared" si="5"/>
        <v>0</v>
      </c>
      <c r="U15" s="141">
        <f t="shared" si="5"/>
        <v>0</v>
      </c>
      <c r="V15" s="141">
        <f t="shared" si="5"/>
        <v>0</v>
      </c>
      <c r="W15" s="141">
        <f t="shared" si="5"/>
        <v>0</v>
      </c>
      <c r="X15" s="141">
        <f t="shared" si="5"/>
        <v>0</v>
      </c>
      <c r="Y15" s="141">
        <f t="shared" si="5"/>
        <v>0</v>
      </c>
      <c r="Z15" s="141">
        <f t="shared" si="5"/>
        <v>0</v>
      </c>
      <c r="AA15" s="141">
        <f t="shared" si="5"/>
        <v>0</v>
      </c>
      <c r="AB15" s="141">
        <f t="shared" si="5"/>
        <v>0</v>
      </c>
      <c r="AC15" s="141">
        <f t="shared" si="5"/>
        <v>0</v>
      </c>
      <c r="AD15" s="141">
        <f t="shared" si="5"/>
        <v>0</v>
      </c>
      <c r="AE15" s="141">
        <f t="shared" si="5"/>
        <v>0</v>
      </c>
      <c r="AF15" s="141">
        <f t="shared" si="5"/>
        <v>0</v>
      </c>
      <c r="AG15" s="141">
        <f t="shared" si="5"/>
        <v>0</v>
      </c>
      <c r="AH15" s="141">
        <f t="shared" si="5"/>
        <v>0</v>
      </c>
      <c r="AI15" s="141">
        <f t="shared" si="5"/>
        <v>0</v>
      </c>
      <c r="AJ15" s="141">
        <f t="shared" si="5"/>
        <v>0</v>
      </c>
      <c r="AK15" s="141">
        <f t="shared" si="5"/>
        <v>0</v>
      </c>
      <c r="AL15" s="141">
        <f t="shared" si="5"/>
        <v>0</v>
      </c>
      <c r="AM15" s="141">
        <f t="shared" si="5"/>
        <v>0</v>
      </c>
      <c r="AN15" s="141">
        <f t="shared" si="5"/>
        <v>0</v>
      </c>
      <c r="AO15" s="141">
        <f t="shared" si="5"/>
        <v>0</v>
      </c>
      <c r="AP15" s="141">
        <f t="shared" si="5"/>
        <v>0</v>
      </c>
    </row>
    <row r="16" spans="1:42" s="118" customFormat="1">
      <c r="A16" s="257" t="str">
        <f>'Inputs &amp; Results'!A62</f>
        <v>Utility</v>
      </c>
      <c r="C16" s="141">
        <f>C588</f>
        <v>0</v>
      </c>
      <c r="D16" s="141">
        <f t="shared" ref="D16:AP16" si="6">D588</f>
        <v>0</v>
      </c>
      <c r="E16" s="141">
        <f t="shared" si="6"/>
        <v>0</v>
      </c>
      <c r="F16" s="141">
        <f t="shared" si="6"/>
        <v>0</v>
      </c>
      <c r="G16" s="141">
        <f t="shared" si="6"/>
        <v>0</v>
      </c>
      <c r="H16" s="141">
        <f t="shared" si="6"/>
        <v>0</v>
      </c>
      <c r="I16" s="141">
        <f t="shared" si="6"/>
        <v>0</v>
      </c>
      <c r="J16" s="141">
        <f t="shared" si="6"/>
        <v>0</v>
      </c>
      <c r="K16" s="141">
        <f t="shared" si="6"/>
        <v>0</v>
      </c>
      <c r="L16" s="141">
        <f t="shared" si="6"/>
        <v>0</v>
      </c>
      <c r="M16" s="141">
        <f t="shared" si="6"/>
        <v>0</v>
      </c>
      <c r="N16" s="141">
        <f t="shared" si="6"/>
        <v>0</v>
      </c>
      <c r="O16" s="141">
        <f t="shared" si="6"/>
        <v>0</v>
      </c>
      <c r="P16" s="141">
        <f t="shared" si="6"/>
        <v>0</v>
      </c>
      <c r="Q16" s="141">
        <f t="shared" si="6"/>
        <v>0</v>
      </c>
      <c r="R16" s="141">
        <f t="shared" si="6"/>
        <v>0</v>
      </c>
      <c r="S16" s="141">
        <f t="shared" si="6"/>
        <v>0</v>
      </c>
      <c r="T16" s="141">
        <f t="shared" si="6"/>
        <v>0</v>
      </c>
      <c r="U16" s="141">
        <f t="shared" si="6"/>
        <v>0</v>
      </c>
      <c r="V16" s="141">
        <f t="shared" si="6"/>
        <v>0</v>
      </c>
      <c r="W16" s="141">
        <f t="shared" si="6"/>
        <v>0</v>
      </c>
      <c r="X16" s="141">
        <f t="shared" si="6"/>
        <v>0</v>
      </c>
      <c r="Y16" s="141">
        <f t="shared" si="6"/>
        <v>0</v>
      </c>
      <c r="Z16" s="141">
        <f t="shared" si="6"/>
        <v>0</v>
      </c>
      <c r="AA16" s="141">
        <f t="shared" si="6"/>
        <v>0</v>
      </c>
      <c r="AB16" s="141">
        <f t="shared" si="6"/>
        <v>0</v>
      </c>
      <c r="AC16" s="141">
        <f t="shared" si="6"/>
        <v>0</v>
      </c>
      <c r="AD16" s="141">
        <f t="shared" si="6"/>
        <v>0</v>
      </c>
      <c r="AE16" s="141">
        <f t="shared" si="6"/>
        <v>0</v>
      </c>
      <c r="AF16" s="141">
        <f t="shared" si="6"/>
        <v>0</v>
      </c>
      <c r="AG16" s="141">
        <f t="shared" si="6"/>
        <v>0</v>
      </c>
      <c r="AH16" s="141">
        <f t="shared" si="6"/>
        <v>0</v>
      </c>
      <c r="AI16" s="141">
        <f t="shared" si="6"/>
        <v>0</v>
      </c>
      <c r="AJ16" s="141">
        <f t="shared" si="6"/>
        <v>0</v>
      </c>
      <c r="AK16" s="141">
        <f t="shared" si="6"/>
        <v>0</v>
      </c>
      <c r="AL16" s="141">
        <f t="shared" si="6"/>
        <v>0</v>
      </c>
      <c r="AM16" s="141">
        <f t="shared" si="6"/>
        <v>0</v>
      </c>
      <c r="AN16" s="141">
        <f t="shared" si="6"/>
        <v>0</v>
      </c>
      <c r="AO16" s="141">
        <f t="shared" si="6"/>
        <v>0</v>
      </c>
      <c r="AP16" s="141">
        <f t="shared" si="6"/>
        <v>0</v>
      </c>
    </row>
    <row r="17" spans="1:42" s="118" customFormat="1">
      <c r="A17" s="257" t="str">
        <f>'Inputs &amp; Results'!A63</f>
        <v>Other</v>
      </c>
      <c r="C17" s="203">
        <f>C592</f>
        <v>0</v>
      </c>
      <c r="D17" s="203">
        <f t="shared" ref="D17:AP17" si="7">D592</f>
        <v>0</v>
      </c>
      <c r="E17" s="203">
        <f t="shared" si="7"/>
        <v>0</v>
      </c>
      <c r="F17" s="203">
        <f t="shared" si="7"/>
        <v>0</v>
      </c>
      <c r="G17" s="203">
        <f t="shared" si="7"/>
        <v>0</v>
      </c>
      <c r="H17" s="203">
        <f t="shared" si="7"/>
        <v>0</v>
      </c>
      <c r="I17" s="203">
        <f t="shared" si="7"/>
        <v>0</v>
      </c>
      <c r="J17" s="203">
        <f t="shared" si="7"/>
        <v>0</v>
      </c>
      <c r="K17" s="203">
        <f t="shared" si="7"/>
        <v>0</v>
      </c>
      <c r="L17" s="203">
        <f t="shared" si="7"/>
        <v>0</v>
      </c>
      <c r="M17" s="203">
        <f t="shared" si="7"/>
        <v>0</v>
      </c>
      <c r="N17" s="203">
        <f t="shared" si="7"/>
        <v>0</v>
      </c>
      <c r="O17" s="203">
        <f t="shared" si="7"/>
        <v>0</v>
      </c>
      <c r="P17" s="203">
        <f t="shared" si="7"/>
        <v>0</v>
      </c>
      <c r="Q17" s="203">
        <f t="shared" si="7"/>
        <v>0</v>
      </c>
      <c r="R17" s="203">
        <f t="shared" si="7"/>
        <v>0</v>
      </c>
      <c r="S17" s="203">
        <f t="shared" si="7"/>
        <v>0</v>
      </c>
      <c r="T17" s="203">
        <f t="shared" si="7"/>
        <v>0</v>
      </c>
      <c r="U17" s="203">
        <f t="shared" si="7"/>
        <v>0</v>
      </c>
      <c r="V17" s="203">
        <f t="shared" si="7"/>
        <v>0</v>
      </c>
      <c r="W17" s="203">
        <f t="shared" si="7"/>
        <v>0</v>
      </c>
      <c r="X17" s="203">
        <f t="shared" si="7"/>
        <v>0</v>
      </c>
      <c r="Y17" s="203">
        <f t="shared" si="7"/>
        <v>0</v>
      </c>
      <c r="Z17" s="203">
        <f t="shared" si="7"/>
        <v>0</v>
      </c>
      <c r="AA17" s="203">
        <f t="shared" si="7"/>
        <v>0</v>
      </c>
      <c r="AB17" s="203">
        <f t="shared" si="7"/>
        <v>0</v>
      </c>
      <c r="AC17" s="203">
        <f t="shared" si="7"/>
        <v>0</v>
      </c>
      <c r="AD17" s="203">
        <f t="shared" si="7"/>
        <v>0</v>
      </c>
      <c r="AE17" s="203">
        <f t="shared" si="7"/>
        <v>0</v>
      </c>
      <c r="AF17" s="203">
        <f t="shared" si="7"/>
        <v>0</v>
      </c>
      <c r="AG17" s="203">
        <f t="shared" si="7"/>
        <v>0</v>
      </c>
      <c r="AH17" s="203">
        <f t="shared" si="7"/>
        <v>0</v>
      </c>
      <c r="AI17" s="203">
        <f t="shared" si="7"/>
        <v>0</v>
      </c>
      <c r="AJ17" s="203">
        <f t="shared" si="7"/>
        <v>0</v>
      </c>
      <c r="AK17" s="203">
        <f t="shared" si="7"/>
        <v>0</v>
      </c>
      <c r="AL17" s="203">
        <f t="shared" si="7"/>
        <v>0</v>
      </c>
      <c r="AM17" s="203">
        <f t="shared" si="7"/>
        <v>0</v>
      </c>
      <c r="AN17" s="203">
        <f t="shared" si="7"/>
        <v>0</v>
      </c>
      <c r="AO17" s="203">
        <f t="shared" si="7"/>
        <v>0</v>
      </c>
      <c r="AP17" s="203">
        <f t="shared" si="7"/>
        <v>0</v>
      </c>
    </row>
    <row r="18" spans="1:42" s="118" customFormat="1">
      <c r="A18" s="257" t="s">
        <v>78</v>
      </c>
      <c r="C18" s="229">
        <f>SUM(C14:C17)</f>
        <v>0</v>
      </c>
      <c r="D18" s="229">
        <f t="shared" ref="D18:AP18" si="8">SUM(D14:D17)</f>
        <v>0</v>
      </c>
      <c r="E18" s="229">
        <f t="shared" si="8"/>
        <v>0</v>
      </c>
      <c r="F18" s="229">
        <f t="shared" si="8"/>
        <v>0</v>
      </c>
      <c r="G18" s="229">
        <f t="shared" si="8"/>
        <v>0</v>
      </c>
      <c r="H18" s="229">
        <f t="shared" si="8"/>
        <v>0</v>
      </c>
      <c r="I18" s="229">
        <f t="shared" si="8"/>
        <v>0</v>
      </c>
      <c r="J18" s="229">
        <f t="shared" si="8"/>
        <v>0</v>
      </c>
      <c r="K18" s="229">
        <f t="shared" si="8"/>
        <v>0</v>
      </c>
      <c r="L18" s="229">
        <f t="shared" si="8"/>
        <v>0</v>
      </c>
      <c r="M18" s="229">
        <f t="shared" si="8"/>
        <v>0</v>
      </c>
      <c r="N18" s="229">
        <f t="shared" si="8"/>
        <v>0</v>
      </c>
      <c r="O18" s="229">
        <f t="shared" si="8"/>
        <v>0</v>
      </c>
      <c r="P18" s="229">
        <f t="shared" si="8"/>
        <v>0</v>
      </c>
      <c r="Q18" s="229">
        <f t="shared" si="8"/>
        <v>0</v>
      </c>
      <c r="R18" s="229">
        <f t="shared" si="8"/>
        <v>0</v>
      </c>
      <c r="S18" s="229">
        <f t="shared" si="8"/>
        <v>0</v>
      </c>
      <c r="T18" s="229">
        <f t="shared" si="8"/>
        <v>0</v>
      </c>
      <c r="U18" s="229">
        <f t="shared" si="8"/>
        <v>0</v>
      </c>
      <c r="V18" s="229">
        <f t="shared" si="8"/>
        <v>0</v>
      </c>
      <c r="W18" s="229">
        <f t="shared" si="8"/>
        <v>0</v>
      </c>
      <c r="X18" s="229">
        <f t="shared" si="8"/>
        <v>0</v>
      </c>
      <c r="Y18" s="229">
        <f t="shared" si="8"/>
        <v>0</v>
      </c>
      <c r="Z18" s="229">
        <f t="shared" si="8"/>
        <v>0</v>
      </c>
      <c r="AA18" s="229">
        <f t="shared" si="8"/>
        <v>0</v>
      </c>
      <c r="AB18" s="229">
        <f t="shared" si="8"/>
        <v>0</v>
      </c>
      <c r="AC18" s="229">
        <f t="shared" si="8"/>
        <v>0</v>
      </c>
      <c r="AD18" s="229">
        <f t="shared" si="8"/>
        <v>0</v>
      </c>
      <c r="AE18" s="229">
        <f t="shared" si="8"/>
        <v>0</v>
      </c>
      <c r="AF18" s="229">
        <f t="shared" si="8"/>
        <v>0</v>
      </c>
      <c r="AG18" s="229">
        <f t="shared" si="8"/>
        <v>0</v>
      </c>
      <c r="AH18" s="229">
        <f t="shared" si="8"/>
        <v>0</v>
      </c>
      <c r="AI18" s="229">
        <f t="shared" si="8"/>
        <v>0</v>
      </c>
      <c r="AJ18" s="229">
        <f t="shared" si="8"/>
        <v>0</v>
      </c>
      <c r="AK18" s="229">
        <f t="shared" si="8"/>
        <v>0</v>
      </c>
      <c r="AL18" s="229">
        <f t="shared" si="8"/>
        <v>0</v>
      </c>
      <c r="AM18" s="229">
        <f t="shared" si="8"/>
        <v>0</v>
      </c>
      <c r="AN18" s="229">
        <f t="shared" si="8"/>
        <v>0</v>
      </c>
      <c r="AO18" s="229">
        <f t="shared" si="8"/>
        <v>0</v>
      </c>
      <c r="AP18" s="229">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5973533.057851241</v>
      </c>
      <c r="D20" s="152">
        <f t="shared" si="10"/>
        <v>6003102.0464876043</v>
      </c>
      <c r="E20" s="152">
        <f t="shared" si="10"/>
        <v>6032817.4016177189</v>
      </c>
      <c r="F20" s="152">
        <f t="shared" si="10"/>
        <v>6062679.8477557255</v>
      </c>
      <c r="G20" s="152">
        <f t="shared" si="10"/>
        <v>6092690.1130021168</v>
      </c>
      <c r="H20" s="152">
        <f t="shared" si="10"/>
        <v>6122848.9290614761</v>
      </c>
      <c r="I20" s="152">
        <f t="shared" si="10"/>
        <v>6153157.0312603321</v>
      </c>
      <c r="J20" s="152">
        <f t="shared" si="10"/>
        <v>6183615.1585650686</v>
      </c>
      <c r="K20" s="152">
        <f t="shared" si="10"/>
        <v>6214224.0535999676</v>
      </c>
      <c r="L20" s="152">
        <f t="shared" si="10"/>
        <v>6244984.4626652887</v>
      </c>
      <c r="M20" s="152">
        <f t="shared" si="10"/>
        <v>6275897.1357554821</v>
      </c>
      <c r="N20" s="152">
        <f t="shared" si="10"/>
        <v>6306962.8265774688</v>
      </c>
      <c r="O20" s="152">
        <f t="shared" si="10"/>
        <v>6338182.2925690282</v>
      </c>
      <c r="P20" s="152">
        <f t="shared" si="10"/>
        <v>6369556.2949172445</v>
      </c>
      <c r="Q20" s="152">
        <f t="shared" si="10"/>
        <v>6401085.5985770868</v>
      </c>
      <c r="R20" s="152">
        <f t="shared" si="10"/>
        <v>6432770.97229004</v>
      </c>
      <c r="S20" s="152">
        <f t="shared" si="10"/>
        <v>6464613.1886028787</v>
      </c>
      <c r="T20" s="152">
        <f t="shared" si="10"/>
        <v>6496613.0238864627</v>
      </c>
      <c r="U20" s="152">
        <f t="shared" si="10"/>
        <v>6528771.258354702</v>
      </c>
      <c r="V20" s="152">
        <f t="shared" si="10"/>
        <v>6561088.6760835554</v>
      </c>
      <c r="W20" s="152">
        <f t="shared" si="10"/>
        <v>6593566.0650301697</v>
      </c>
      <c r="X20" s="152">
        <f t="shared" si="10"/>
        <v>6626204.2170520676</v>
      </c>
      <c r="Y20" s="152">
        <f t="shared" si="10"/>
        <v>6659003.927926477</v>
      </c>
      <c r="Z20" s="152">
        <f t="shared" si="10"/>
        <v>6691965.9973697122</v>
      </c>
      <c r="AA20" s="152">
        <f t="shared" si="10"/>
        <v>6725091.2290566936</v>
      </c>
      <c r="AB20" s="152">
        <f t="shared" si="10"/>
        <v>6758380.4306405261</v>
      </c>
      <c r="AC20" s="152">
        <f t="shared" si="10"/>
        <v>6791834.4137721956</v>
      </c>
      <c r="AD20" s="152">
        <f t="shared" si="10"/>
        <v>6825453.994120365</v>
      </c>
      <c r="AE20" s="152">
        <f t="shared" si="10"/>
        <v>6859239.991391262</v>
      </c>
      <c r="AF20" s="152">
        <f t="shared" si="10"/>
        <v>10915908.229348648</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37">C23+C27+C31+C39+C40</f>
        <v>777254.19374999998</v>
      </c>
      <c r="D41" s="152">
        <f t="shared" si="37"/>
        <v>771730.84531250002</v>
      </c>
      <c r="E41" s="152">
        <f t="shared" si="37"/>
        <v>766376.23850343737</v>
      </c>
      <c r="F41" s="152">
        <f t="shared" si="37"/>
        <v>761193.77251473407</v>
      </c>
      <c r="G41" s="152">
        <f t="shared" si="37"/>
        <v>756186.91758800286</v>
      </c>
      <c r="H41" s="152">
        <f t="shared" si="37"/>
        <v>751359.21653930179</v>
      </c>
      <c r="I41" s="152">
        <f t="shared" si="37"/>
        <v>746714.28631722322</v>
      </c>
      <c r="J41" s="152">
        <f t="shared" si="37"/>
        <v>742255.81959505379</v>
      </c>
      <c r="K41" s="152">
        <f t="shared" si="37"/>
        <v>737987.58639776008</v>
      </c>
      <c r="L41" s="152">
        <f t="shared" si="37"/>
        <v>733913.4357645741</v>
      </c>
      <c r="M41" s="152">
        <f t="shared" si="37"/>
        <v>730037.29744796408</v>
      </c>
      <c r="N41" s="152">
        <f t="shared" si="37"/>
        <v>726363.18364979955</v>
      </c>
      <c r="O41" s="152">
        <f t="shared" si="37"/>
        <v>722895.19079553359</v>
      </c>
      <c r="P41" s="152">
        <f t="shared" si="37"/>
        <v>719637.50134724576</v>
      </c>
      <c r="Q41" s="152">
        <f t="shared" si="37"/>
        <v>716594.38565640873</v>
      </c>
      <c r="R41" s="152">
        <f t="shared" si="37"/>
        <v>713770.2038572568</v>
      </c>
      <c r="S41" s="152">
        <f t="shared" si="37"/>
        <v>711169.40780165966</v>
      </c>
      <c r="T41" s="152">
        <f t="shared" si="37"/>
        <v>708796.54303642223</v>
      </c>
      <c r="U41" s="152">
        <f t="shared" si="37"/>
        <v>706656.25082394935</v>
      </c>
      <c r="V41" s="152">
        <f t="shared" si="37"/>
        <v>704753.27020724164</v>
      </c>
      <c r="W41" s="152">
        <f t="shared" si="37"/>
        <v>703092.440120204</v>
      </c>
      <c r="X41" s="152">
        <f t="shared" si="37"/>
        <v>716009.62373177486</v>
      </c>
      <c r="Y41" s="152">
        <f t="shared" si="37"/>
        <v>729178.94408740243</v>
      </c>
      <c r="Z41" s="152">
        <f t="shared" si="37"/>
        <v>742605.55292392347</v>
      </c>
      <c r="AA41" s="152">
        <f t="shared" si="37"/>
        <v>756294.71078391466</v>
      </c>
      <c r="AB41" s="152">
        <f t="shared" si="37"/>
        <v>770251.78936812212</v>
      </c>
      <c r="AC41" s="152">
        <f t="shared" si="37"/>
        <v>784482.27393958764</v>
      </c>
      <c r="AD41" s="152">
        <f t="shared" si="37"/>
        <v>798991.765780624</v>
      </c>
      <c r="AE41" s="152">
        <f t="shared" si="37"/>
        <v>813785.98470381368</v>
      </c>
      <c r="AF41" s="152">
        <f t="shared" si="37"/>
        <v>828870.77161823248</v>
      </c>
      <c r="AG41" s="152">
        <f t="shared" si="37"/>
        <v>0</v>
      </c>
      <c r="AH41" s="152">
        <f t="shared" si="37"/>
        <v>0</v>
      </c>
      <c r="AI41" s="152">
        <f t="shared" si="37"/>
        <v>0</v>
      </c>
      <c r="AJ41" s="152">
        <f t="shared" si="37"/>
        <v>0</v>
      </c>
      <c r="AK41" s="152">
        <f t="shared" si="37"/>
        <v>0</v>
      </c>
      <c r="AL41" s="152">
        <f t="shared" si="37"/>
        <v>0</v>
      </c>
      <c r="AM41" s="152">
        <f t="shared" si="37"/>
        <v>0</v>
      </c>
      <c r="AN41" s="152">
        <f t="shared" si="37"/>
        <v>0</v>
      </c>
      <c r="AO41" s="152">
        <f t="shared" si="37"/>
        <v>0</v>
      </c>
      <c r="AP41" s="152">
        <f t="shared" si="37"/>
        <v>0</v>
      </c>
    </row>
    <row r="43" spans="1:42" ht="13.5" thickBot="1">
      <c r="A43" s="182" t="s">
        <v>116</v>
      </c>
      <c r="C43" s="193">
        <f t="shared" ref="C43:AP43" si="38">C20-C41</f>
        <v>5196278.8641012413</v>
      </c>
      <c r="D43" s="193">
        <f t="shared" si="38"/>
        <v>5231371.2011751039</v>
      </c>
      <c r="E43" s="193">
        <f t="shared" si="38"/>
        <v>5266441.1631142814</v>
      </c>
      <c r="F43" s="193">
        <f t="shared" si="38"/>
        <v>5301486.0752409911</v>
      </c>
      <c r="G43" s="193">
        <f t="shared" si="38"/>
        <v>5336503.1954141138</v>
      </c>
      <c r="H43" s="193">
        <f t="shared" si="38"/>
        <v>5371489.7125221742</v>
      </c>
      <c r="I43" s="193">
        <f t="shared" si="38"/>
        <v>5406442.7449431084</v>
      </c>
      <c r="J43" s="193">
        <f t="shared" si="38"/>
        <v>5441359.3389700148</v>
      </c>
      <c r="K43" s="193">
        <f t="shared" si="38"/>
        <v>5476236.4672022071</v>
      </c>
      <c r="L43" s="193">
        <f t="shared" si="38"/>
        <v>5511071.0269007143</v>
      </c>
      <c r="M43" s="193">
        <f t="shared" si="38"/>
        <v>5545859.8383075185</v>
      </c>
      <c r="N43" s="193">
        <f t="shared" si="38"/>
        <v>5580599.642927669</v>
      </c>
      <c r="O43" s="193">
        <f t="shared" si="38"/>
        <v>5615287.1017734949</v>
      </c>
      <c r="P43" s="193">
        <f t="shared" si="38"/>
        <v>5649918.7935699988</v>
      </c>
      <c r="Q43" s="193">
        <f t="shared" si="38"/>
        <v>5684491.2129206778</v>
      </c>
      <c r="R43" s="193">
        <f t="shared" si="38"/>
        <v>5719000.768432783</v>
      </c>
      <c r="S43" s="193">
        <f t="shared" si="38"/>
        <v>5753443.7808012189</v>
      </c>
      <c r="T43" s="193">
        <f t="shared" si="38"/>
        <v>5787816.4808500409</v>
      </c>
      <c r="U43" s="193">
        <f t="shared" si="38"/>
        <v>5822115.0075307526</v>
      </c>
      <c r="V43" s="193">
        <f t="shared" si="38"/>
        <v>5856335.4058763143</v>
      </c>
      <c r="W43" s="193">
        <f t="shared" si="38"/>
        <v>5890473.6249099653</v>
      </c>
      <c r="X43" s="193">
        <f t="shared" si="38"/>
        <v>5910194.5933202924</v>
      </c>
      <c r="Y43" s="193">
        <f t="shared" si="38"/>
        <v>5929824.9838390741</v>
      </c>
      <c r="Z43" s="193">
        <f t="shared" si="38"/>
        <v>5949360.4444457889</v>
      </c>
      <c r="AA43" s="193">
        <f t="shared" si="38"/>
        <v>5968796.518272779</v>
      </c>
      <c r="AB43" s="193">
        <f t="shared" si="38"/>
        <v>5988128.6412724042</v>
      </c>
      <c r="AC43" s="193">
        <f t="shared" si="38"/>
        <v>6007352.1398326084</v>
      </c>
      <c r="AD43" s="193">
        <f t="shared" si="38"/>
        <v>6026462.228339741</v>
      </c>
      <c r="AE43" s="193">
        <f t="shared" si="38"/>
        <v>6045454.0066874484</v>
      </c>
      <c r="AF43" s="193">
        <f t="shared" si="38"/>
        <v>10087037.457730416</v>
      </c>
      <c r="AG43" s="193">
        <f t="shared" si="38"/>
        <v>0</v>
      </c>
      <c r="AH43" s="193">
        <f t="shared" si="38"/>
        <v>0</v>
      </c>
      <c r="AI43" s="193">
        <f t="shared" si="38"/>
        <v>0</v>
      </c>
      <c r="AJ43" s="193">
        <f t="shared" si="38"/>
        <v>0</v>
      </c>
      <c r="AK43" s="193">
        <f t="shared" si="38"/>
        <v>0</v>
      </c>
      <c r="AL43" s="193">
        <f t="shared" si="38"/>
        <v>0</v>
      </c>
      <c r="AM43" s="193">
        <f t="shared" si="38"/>
        <v>0</v>
      </c>
      <c r="AN43" s="193">
        <f t="shared" si="38"/>
        <v>0</v>
      </c>
      <c r="AO43" s="193">
        <f t="shared" si="38"/>
        <v>0</v>
      </c>
      <c r="AP43" s="193">
        <f t="shared" si="38"/>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5196278.8641012413</v>
      </c>
      <c r="D47" s="152">
        <f t="shared" ref="D47:AP47" si="39">D43</f>
        <v>5231371.2011751039</v>
      </c>
      <c r="E47" s="152">
        <f t="shared" si="39"/>
        <v>5266441.1631142814</v>
      </c>
      <c r="F47" s="152">
        <f t="shared" si="39"/>
        <v>5301486.0752409911</v>
      </c>
      <c r="G47" s="152">
        <f t="shared" si="39"/>
        <v>5336503.1954141138</v>
      </c>
      <c r="H47" s="152">
        <f t="shared" si="39"/>
        <v>5371489.7125221742</v>
      </c>
      <c r="I47" s="152">
        <f t="shared" si="39"/>
        <v>5406442.7449431084</v>
      </c>
      <c r="J47" s="152">
        <f t="shared" si="39"/>
        <v>5441359.3389700148</v>
      </c>
      <c r="K47" s="152">
        <f t="shared" si="39"/>
        <v>5476236.4672022071</v>
      </c>
      <c r="L47" s="152">
        <f t="shared" si="39"/>
        <v>5511071.0269007143</v>
      </c>
      <c r="M47" s="152">
        <f t="shared" si="39"/>
        <v>5545859.8383075185</v>
      </c>
      <c r="N47" s="152">
        <f t="shared" si="39"/>
        <v>5580599.642927669</v>
      </c>
      <c r="O47" s="152">
        <f t="shared" si="39"/>
        <v>5615287.1017734949</v>
      </c>
      <c r="P47" s="152">
        <f t="shared" si="39"/>
        <v>5649918.7935699988</v>
      </c>
      <c r="Q47" s="152">
        <f t="shared" si="39"/>
        <v>5684491.2129206778</v>
      </c>
      <c r="R47" s="152">
        <f t="shared" si="39"/>
        <v>5719000.768432783</v>
      </c>
      <c r="S47" s="152">
        <f t="shared" si="39"/>
        <v>5753443.7808012189</v>
      </c>
      <c r="T47" s="152">
        <f t="shared" si="39"/>
        <v>5787816.4808500409</v>
      </c>
      <c r="U47" s="152">
        <f t="shared" si="39"/>
        <v>5822115.0075307526</v>
      </c>
      <c r="V47" s="152">
        <f t="shared" si="39"/>
        <v>5856335.4058763143</v>
      </c>
      <c r="W47" s="152">
        <f t="shared" si="39"/>
        <v>5890473.6249099653</v>
      </c>
      <c r="X47" s="152">
        <f t="shared" si="39"/>
        <v>5910194.5933202924</v>
      </c>
      <c r="Y47" s="152">
        <f t="shared" si="39"/>
        <v>5929824.9838390741</v>
      </c>
      <c r="Z47" s="152">
        <f t="shared" si="39"/>
        <v>5949360.4444457889</v>
      </c>
      <c r="AA47" s="152">
        <f t="shared" si="39"/>
        <v>5968796.518272779</v>
      </c>
      <c r="AB47" s="152">
        <f t="shared" si="39"/>
        <v>5988128.6412724042</v>
      </c>
      <c r="AC47" s="152">
        <f t="shared" si="39"/>
        <v>6007352.1398326084</v>
      </c>
      <c r="AD47" s="152">
        <f t="shared" si="39"/>
        <v>6026462.228339741</v>
      </c>
      <c r="AE47" s="152">
        <f t="shared" si="39"/>
        <v>6045454.0066874484</v>
      </c>
      <c r="AF47" s="152">
        <f t="shared" si="39"/>
        <v>10087037.457730416</v>
      </c>
      <c r="AG47" s="152">
        <f t="shared" si="39"/>
        <v>0</v>
      </c>
      <c r="AH47" s="152">
        <f t="shared" si="39"/>
        <v>0</v>
      </c>
      <c r="AI47" s="152">
        <f t="shared" si="39"/>
        <v>0</v>
      </c>
      <c r="AJ47" s="152">
        <f t="shared" si="39"/>
        <v>0</v>
      </c>
      <c r="AK47" s="152">
        <f t="shared" si="39"/>
        <v>0</v>
      </c>
      <c r="AL47" s="152">
        <f t="shared" si="39"/>
        <v>0</v>
      </c>
      <c r="AM47" s="152">
        <f t="shared" si="39"/>
        <v>0</v>
      </c>
      <c r="AN47" s="152">
        <f t="shared" si="39"/>
        <v>0</v>
      </c>
      <c r="AO47" s="152">
        <f t="shared" si="39"/>
        <v>0</v>
      </c>
      <c r="AP47" s="152">
        <f t="shared" si="39"/>
        <v>0</v>
      </c>
    </row>
    <row r="48" spans="1:42">
      <c r="A48" s="180" t="s">
        <v>129</v>
      </c>
      <c r="B48" s="187">
        <v>0</v>
      </c>
      <c r="C48" s="187">
        <f t="shared" ref="C48:AP48" si="40">C701</f>
        <v>6125.0000000000009</v>
      </c>
      <c r="D48" s="187">
        <f t="shared" si="40"/>
        <v>18205.811846654171</v>
      </c>
      <c r="E48" s="187">
        <f t="shared" si="40"/>
        <v>30286.623693308342</v>
      </c>
      <c r="F48" s="187">
        <f t="shared" si="40"/>
        <v>40564.541789962517</v>
      </c>
      <c r="G48" s="187">
        <f t="shared" si="40"/>
        <v>52672.804722215893</v>
      </c>
      <c r="H48" s="187">
        <f t="shared" si="40"/>
        <v>64781.067654469291</v>
      </c>
      <c r="I48" s="187">
        <f t="shared" si="40"/>
        <v>75004.083579925034</v>
      </c>
      <c r="J48" s="187">
        <f t="shared" si="40"/>
        <v>87141.051518759807</v>
      </c>
      <c r="K48" s="187">
        <f t="shared" si="40"/>
        <v>99278.01945759455</v>
      </c>
      <c r="L48" s="187">
        <f t="shared" si="40"/>
        <v>109443.62536988755</v>
      </c>
      <c r="M48" s="187">
        <f t="shared" si="40"/>
        <v>121610.60951335869</v>
      </c>
      <c r="N48" s="187">
        <f t="shared" si="40"/>
        <v>133777.59365682982</v>
      </c>
      <c r="O48" s="187">
        <f t="shared" si="40"/>
        <v>92347.901148577046</v>
      </c>
      <c r="P48" s="187">
        <f t="shared" si="40"/>
        <v>105386.37546337843</v>
      </c>
      <c r="Q48" s="187">
        <f t="shared" si="40"/>
        <v>118424.84977817982</v>
      </c>
      <c r="R48" s="187">
        <f t="shared" si="40"/>
        <v>21529.125128545482</v>
      </c>
      <c r="S48" s="187">
        <f t="shared" si="40"/>
        <v>36398.398355727615</v>
      </c>
      <c r="T48" s="187">
        <f t="shared" si="40"/>
        <v>51267.671582909745</v>
      </c>
      <c r="U48" s="187">
        <f t="shared" si="40"/>
        <v>63882.909231071135</v>
      </c>
      <c r="V48" s="187">
        <f t="shared" si="40"/>
        <v>78786.502685733882</v>
      </c>
      <c r="W48" s="187">
        <f t="shared" si="40"/>
        <v>93690.096140396621</v>
      </c>
      <c r="X48" s="187">
        <f t="shared" si="40"/>
        <v>106236.69333359678</v>
      </c>
      <c r="Y48" s="187">
        <f t="shared" si="40"/>
        <v>121176.17470796108</v>
      </c>
      <c r="Z48" s="187">
        <f t="shared" si="40"/>
        <v>136115.65608232541</v>
      </c>
      <c r="AA48" s="187">
        <f t="shared" si="40"/>
        <v>86973.976921940499</v>
      </c>
      <c r="AB48" s="187">
        <f t="shared" si="40"/>
        <v>96816.277141678642</v>
      </c>
      <c r="AC48" s="187">
        <f t="shared" si="40"/>
        <v>106658.57736141678</v>
      </c>
      <c r="AD48" s="187">
        <f t="shared" si="40"/>
        <v>113923.63589592067</v>
      </c>
      <c r="AE48" s="187">
        <f t="shared" si="40"/>
        <v>123805.1775197134</v>
      </c>
      <c r="AF48" s="187">
        <f t="shared" si="40"/>
        <v>133686.71914350611</v>
      </c>
      <c r="AG48" s="187">
        <f t="shared" si="40"/>
        <v>0</v>
      </c>
      <c r="AH48" s="187">
        <f t="shared" si="40"/>
        <v>0</v>
      </c>
      <c r="AI48" s="187">
        <f t="shared" si="40"/>
        <v>0</v>
      </c>
      <c r="AJ48" s="187">
        <f t="shared" si="40"/>
        <v>0</v>
      </c>
      <c r="AK48" s="187">
        <f t="shared" si="40"/>
        <v>0</v>
      </c>
      <c r="AL48" s="187">
        <f t="shared" si="40"/>
        <v>0</v>
      </c>
      <c r="AM48" s="187">
        <f t="shared" si="40"/>
        <v>0</v>
      </c>
      <c r="AN48" s="187">
        <f t="shared" si="40"/>
        <v>0</v>
      </c>
      <c r="AO48" s="187">
        <f t="shared" si="40"/>
        <v>0</v>
      </c>
      <c r="AP48" s="187">
        <f t="shared" si="40"/>
        <v>0</v>
      </c>
    </row>
    <row r="49" spans="1:42">
      <c r="A49" s="180" t="s">
        <v>53</v>
      </c>
      <c r="B49" s="152">
        <f>SUM(B47:B48)</f>
        <v>0</v>
      </c>
      <c r="C49" s="152">
        <f t="shared" ref="C49:AP49" si="41">SUM(C47:C48)</f>
        <v>5202403.8641012413</v>
      </c>
      <c r="D49" s="152">
        <f t="shared" si="41"/>
        <v>5249577.0130217578</v>
      </c>
      <c r="E49" s="152">
        <f t="shared" si="41"/>
        <v>5296727.7868075902</v>
      </c>
      <c r="F49" s="152">
        <f t="shared" si="41"/>
        <v>5342050.617030954</v>
      </c>
      <c r="G49" s="152">
        <f t="shared" si="41"/>
        <v>5389176.0001363298</v>
      </c>
      <c r="H49" s="152">
        <f t="shared" si="41"/>
        <v>5436270.7801766433</v>
      </c>
      <c r="I49" s="152">
        <f t="shared" si="41"/>
        <v>5481446.8285230333</v>
      </c>
      <c r="J49" s="152">
        <f t="shared" si="41"/>
        <v>5528500.3904887745</v>
      </c>
      <c r="K49" s="152">
        <f t="shared" si="41"/>
        <v>5575514.4866598016</v>
      </c>
      <c r="L49" s="152">
        <f t="shared" si="41"/>
        <v>5620514.6522706021</v>
      </c>
      <c r="M49" s="152">
        <f t="shared" si="41"/>
        <v>5667470.4478208777</v>
      </c>
      <c r="N49" s="152">
        <f t="shared" si="41"/>
        <v>5714377.2365844985</v>
      </c>
      <c r="O49" s="152">
        <f t="shared" si="41"/>
        <v>5707635.0029220721</v>
      </c>
      <c r="P49" s="152">
        <f t="shared" si="41"/>
        <v>5755305.1690333774</v>
      </c>
      <c r="Q49" s="152">
        <f t="shared" si="41"/>
        <v>5802916.0626988579</v>
      </c>
      <c r="R49" s="152">
        <f t="shared" si="41"/>
        <v>5740529.8935613288</v>
      </c>
      <c r="S49" s="152">
        <f t="shared" si="41"/>
        <v>5789842.1791569469</v>
      </c>
      <c r="T49" s="152">
        <f t="shared" si="41"/>
        <v>5839084.1524329502</v>
      </c>
      <c r="U49" s="152">
        <f t="shared" si="41"/>
        <v>5885997.9167618239</v>
      </c>
      <c r="V49" s="152">
        <f t="shared" si="41"/>
        <v>5935121.9085620483</v>
      </c>
      <c r="W49" s="152">
        <f t="shared" si="41"/>
        <v>5984163.7210503621</v>
      </c>
      <c r="X49" s="152">
        <f t="shared" si="41"/>
        <v>6016431.2866538893</v>
      </c>
      <c r="Y49" s="152">
        <f t="shared" si="41"/>
        <v>6051001.1585470354</v>
      </c>
      <c r="Z49" s="152">
        <f t="shared" si="41"/>
        <v>6085476.1005281145</v>
      </c>
      <c r="AA49" s="152">
        <f t="shared" si="41"/>
        <v>6055770.4951947192</v>
      </c>
      <c r="AB49" s="152">
        <f t="shared" si="41"/>
        <v>6084944.9184140833</v>
      </c>
      <c r="AC49" s="152">
        <f t="shared" si="41"/>
        <v>6114010.7171940254</v>
      </c>
      <c r="AD49" s="152">
        <f t="shared" si="41"/>
        <v>6140385.8642356619</v>
      </c>
      <c r="AE49" s="152">
        <f t="shared" si="41"/>
        <v>6169259.1842071619</v>
      </c>
      <c r="AF49" s="152">
        <f t="shared" si="41"/>
        <v>10220724.176873922</v>
      </c>
      <c r="AG49" s="152">
        <f t="shared" si="41"/>
        <v>0</v>
      </c>
      <c r="AH49" s="152">
        <f t="shared" si="41"/>
        <v>0</v>
      </c>
      <c r="AI49" s="152">
        <f t="shared" si="41"/>
        <v>0</v>
      </c>
      <c r="AJ49" s="152">
        <f t="shared" si="41"/>
        <v>0</v>
      </c>
      <c r="AK49" s="152">
        <f t="shared" si="41"/>
        <v>0</v>
      </c>
      <c r="AL49" s="152">
        <f t="shared" si="41"/>
        <v>0</v>
      </c>
      <c r="AM49" s="152">
        <f t="shared" si="41"/>
        <v>0</v>
      </c>
      <c r="AN49" s="152">
        <f t="shared" si="41"/>
        <v>0</v>
      </c>
      <c r="AO49" s="152">
        <f t="shared" si="41"/>
        <v>0</v>
      </c>
      <c r="AP49" s="152">
        <f t="shared" si="41"/>
        <v>0</v>
      </c>
    </row>
    <row r="50" spans="1:42">
      <c r="A50" s="180"/>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row>
    <row r="51" spans="1:42">
      <c r="A51" s="182" t="s">
        <v>182</v>
      </c>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row>
    <row r="52" spans="1:42">
      <c r="A52" s="180" t="s">
        <v>183</v>
      </c>
      <c r="B52" s="152">
        <f>-AEPFInstalledCostTotal+'Inputs &amp; Results'!B152</f>
        <v>-42606688.5</v>
      </c>
      <c r="C52" s="152">
        <v>0</v>
      </c>
      <c r="D52" s="152">
        <v>0</v>
      </c>
      <c r="E52" s="152">
        <v>0</v>
      </c>
      <c r="F52" s="152">
        <v>0</v>
      </c>
      <c r="G52" s="152">
        <v>0</v>
      </c>
      <c r="H52" s="152">
        <v>0</v>
      </c>
      <c r="I52" s="152">
        <v>0</v>
      </c>
      <c r="J52" s="152">
        <v>0</v>
      </c>
      <c r="K52" s="152">
        <v>0</v>
      </c>
      <c r="L52" s="152">
        <v>0</v>
      </c>
      <c r="M52" s="152">
        <v>0</v>
      </c>
      <c r="N52" s="152">
        <v>0</v>
      </c>
      <c r="O52" s="152">
        <v>0</v>
      </c>
      <c r="P52" s="152">
        <v>0</v>
      </c>
      <c r="Q52" s="152">
        <v>0</v>
      </c>
      <c r="R52" s="152">
        <v>0</v>
      </c>
      <c r="S52" s="152">
        <v>0</v>
      </c>
      <c r="T52" s="152">
        <v>0</v>
      </c>
      <c r="U52" s="152">
        <v>0</v>
      </c>
      <c r="V52" s="152">
        <v>0</v>
      </c>
      <c r="W52" s="152">
        <v>0</v>
      </c>
      <c r="X52" s="152">
        <v>0</v>
      </c>
      <c r="Y52" s="152">
        <v>0</v>
      </c>
      <c r="Z52" s="152">
        <v>0</v>
      </c>
      <c r="AA52" s="152">
        <v>0</v>
      </c>
      <c r="AB52" s="152">
        <v>0</v>
      </c>
      <c r="AC52" s="152">
        <v>0</v>
      </c>
      <c r="AD52" s="152">
        <v>0</v>
      </c>
      <c r="AE52" s="152">
        <v>0</v>
      </c>
      <c r="AF52" s="152">
        <v>0</v>
      </c>
      <c r="AG52" s="152">
        <v>0</v>
      </c>
      <c r="AH52" s="152">
        <v>0</v>
      </c>
      <c r="AI52" s="152">
        <v>0</v>
      </c>
      <c r="AJ52" s="152">
        <v>0</v>
      </c>
      <c r="AK52" s="152">
        <v>0</v>
      </c>
      <c r="AL52" s="152">
        <v>0</v>
      </c>
      <c r="AM52" s="152">
        <v>0</v>
      </c>
      <c r="AN52" s="152">
        <v>0</v>
      </c>
      <c r="AO52" s="152">
        <v>0</v>
      </c>
      <c r="AP52" s="152">
        <v>0</v>
      </c>
    </row>
    <row r="53" spans="1:42">
      <c r="A53" s="180" t="s">
        <v>184</v>
      </c>
      <c r="B53" s="152"/>
      <c r="C53" s="152"/>
      <c r="D53" s="152"/>
      <c r="E53" s="152"/>
      <c r="F53" s="152"/>
      <c r="G53" s="152"/>
      <c r="H53" s="152"/>
      <c r="I53" s="152"/>
      <c r="J53" s="152"/>
      <c r="K53" s="152"/>
      <c r="L53" s="152"/>
      <c r="M53" s="152"/>
      <c r="N53" s="152"/>
      <c r="O53" s="152"/>
      <c r="P53" s="152"/>
      <c r="Q53" s="152"/>
      <c r="R53" s="152"/>
      <c r="S53" s="152"/>
      <c r="T53" s="152"/>
      <c r="U53" s="152"/>
      <c r="V53" s="152"/>
      <c r="W53" s="152"/>
      <c r="X53" s="152"/>
      <c r="Y53" s="152"/>
      <c r="Z53" s="152"/>
      <c r="AA53" s="152"/>
      <c r="AB53" s="152"/>
      <c r="AC53" s="152"/>
      <c r="AD53" s="152"/>
      <c r="AE53" s="152"/>
      <c r="AF53" s="152"/>
      <c r="AG53" s="152"/>
      <c r="AH53" s="152"/>
      <c r="AI53" s="152"/>
      <c r="AJ53" s="152"/>
      <c r="AK53" s="152"/>
      <c r="AL53" s="152"/>
      <c r="AM53" s="152"/>
      <c r="AN53" s="152"/>
      <c r="AO53" s="152"/>
      <c r="AP53" s="152"/>
    </row>
    <row r="54" spans="1:42">
      <c r="A54" s="184" t="s">
        <v>191</v>
      </c>
      <c r="B54" s="152">
        <f t="shared" ref="B54:AP54" si="42">-B599-B600</f>
        <v>-350000</v>
      </c>
      <c r="C54" s="152">
        <f t="shared" si="42"/>
        <v>0</v>
      </c>
      <c r="D54" s="152">
        <f t="shared" si="42"/>
        <v>0</v>
      </c>
      <c r="E54" s="152">
        <f t="shared" si="42"/>
        <v>0</v>
      </c>
      <c r="F54" s="152">
        <f t="shared" si="42"/>
        <v>0</v>
      </c>
      <c r="G54" s="152">
        <f t="shared" si="42"/>
        <v>0</v>
      </c>
      <c r="H54" s="152">
        <f t="shared" si="42"/>
        <v>0</v>
      </c>
      <c r="I54" s="152">
        <f t="shared" si="42"/>
        <v>0</v>
      </c>
      <c r="J54" s="152">
        <f t="shared" si="42"/>
        <v>0</v>
      </c>
      <c r="K54" s="152">
        <f t="shared" si="42"/>
        <v>0</v>
      </c>
      <c r="L54" s="152">
        <f t="shared" si="42"/>
        <v>0</v>
      </c>
      <c r="M54" s="152">
        <f t="shared" si="42"/>
        <v>0</v>
      </c>
      <c r="N54" s="152">
        <f t="shared" si="42"/>
        <v>0</v>
      </c>
      <c r="O54" s="152">
        <f t="shared" si="42"/>
        <v>0</v>
      </c>
      <c r="P54" s="152">
        <f t="shared" si="42"/>
        <v>0</v>
      </c>
      <c r="Q54" s="152">
        <f t="shared" si="42"/>
        <v>0</v>
      </c>
      <c r="R54" s="152">
        <f t="shared" si="42"/>
        <v>0</v>
      </c>
      <c r="S54" s="152">
        <f t="shared" si="42"/>
        <v>0</v>
      </c>
      <c r="T54" s="152">
        <f t="shared" si="42"/>
        <v>0</v>
      </c>
      <c r="U54" s="152">
        <f t="shared" si="42"/>
        <v>0</v>
      </c>
      <c r="V54" s="152">
        <f t="shared" si="42"/>
        <v>0</v>
      </c>
      <c r="W54" s="152">
        <f t="shared" si="42"/>
        <v>0</v>
      </c>
      <c r="X54" s="152">
        <f t="shared" si="42"/>
        <v>0</v>
      </c>
      <c r="Y54" s="152">
        <f t="shared" si="42"/>
        <v>0</v>
      </c>
      <c r="Z54" s="152">
        <f t="shared" si="42"/>
        <v>0</v>
      </c>
      <c r="AA54" s="152">
        <f t="shared" si="42"/>
        <v>0</v>
      </c>
      <c r="AB54" s="152">
        <f t="shared" si="42"/>
        <v>0</v>
      </c>
      <c r="AC54" s="152">
        <f t="shared" si="42"/>
        <v>0</v>
      </c>
      <c r="AD54" s="152">
        <f t="shared" si="42"/>
        <v>0</v>
      </c>
      <c r="AE54" s="152">
        <f t="shared" si="42"/>
        <v>0</v>
      </c>
      <c r="AF54" s="152">
        <f t="shared" si="42"/>
        <v>350000</v>
      </c>
      <c r="AG54" s="152">
        <f t="shared" si="42"/>
        <v>0</v>
      </c>
      <c r="AH54" s="152">
        <f t="shared" si="42"/>
        <v>0</v>
      </c>
      <c r="AI54" s="152">
        <f t="shared" si="42"/>
        <v>0</v>
      </c>
      <c r="AJ54" s="152">
        <f t="shared" si="42"/>
        <v>0</v>
      </c>
      <c r="AK54" s="152">
        <f t="shared" si="42"/>
        <v>0</v>
      </c>
      <c r="AL54" s="152">
        <f t="shared" si="42"/>
        <v>0</v>
      </c>
      <c r="AM54" s="152">
        <f t="shared" si="42"/>
        <v>0</v>
      </c>
      <c r="AN54" s="152">
        <f t="shared" si="42"/>
        <v>0</v>
      </c>
      <c r="AO54" s="152">
        <f t="shared" si="42"/>
        <v>0</v>
      </c>
      <c r="AP54" s="152">
        <f t="shared" si="42"/>
        <v>0</v>
      </c>
    </row>
    <row r="55" spans="1:42">
      <c r="A55" s="184" t="s">
        <v>357</v>
      </c>
      <c r="B55" s="186">
        <f>-B605-B606</f>
        <v>0</v>
      </c>
      <c r="C55" s="186">
        <f t="shared" ref="C55:AP55" si="43">-C605-C606</f>
        <v>-245406.02862510949</v>
      </c>
      <c r="D55" s="186">
        <f t="shared" si="43"/>
        <v>-245406.02862510949</v>
      </c>
      <c r="E55" s="186">
        <f t="shared" si="43"/>
        <v>-245406.02862510949</v>
      </c>
      <c r="F55" s="186">
        <f t="shared" si="43"/>
        <v>-245406.02862510949</v>
      </c>
      <c r="G55" s="186">
        <f t="shared" si="43"/>
        <v>-245406.02862510949</v>
      </c>
      <c r="H55" s="186">
        <f t="shared" si="43"/>
        <v>-245406.02862510949</v>
      </c>
      <c r="I55" s="186">
        <f t="shared" si="43"/>
        <v>-245406.02862510949</v>
      </c>
      <c r="J55" s="186">
        <f t="shared" si="43"/>
        <v>-245406.02862510949</v>
      </c>
      <c r="K55" s="186">
        <f t="shared" si="43"/>
        <v>-245406.02862510949</v>
      </c>
      <c r="L55" s="186">
        <f t="shared" si="43"/>
        <v>-245406.02862510949</v>
      </c>
      <c r="M55" s="186">
        <f t="shared" si="43"/>
        <v>-245406.02862510949</v>
      </c>
      <c r="N55" s="186">
        <f t="shared" si="43"/>
        <v>2699466.3148762044</v>
      </c>
      <c r="O55" s="186">
        <f t="shared" si="43"/>
        <v>-293411.90721039008</v>
      </c>
      <c r="P55" s="186">
        <f t="shared" si="43"/>
        <v>-293411.90721039008</v>
      </c>
      <c r="Q55" s="186">
        <f t="shared" si="43"/>
        <v>-293411.90721039008</v>
      </c>
      <c r="R55" s="186">
        <f t="shared" si="43"/>
        <v>-293411.90721039008</v>
      </c>
      <c r="S55" s="186">
        <f t="shared" si="43"/>
        <v>-293411.90721039008</v>
      </c>
      <c r="T55" s="186">
        <f t="shared" si="43"/>
        <v>-293411.90721039008</v>
      </c>
      <c r="U55" s="186">
        <f t="shared" si="43"/>
        <v>-293411.90721039008</v>
      </c>
      <c r="V55" s="186">
        <f t="shared" si="43"/>
        <v>-293411.90721039008</v>
      </c>
      <c r="W55" s="186">
        <f t="shared" si="43"/>
        <v>-293411.90721039008</v>
      </c>
      <c r="X55" s="186">
        <f t="shared" si="43"/>
        <v>-293411.90721039008</v>
      </c>
      <c r="Y55" s="186">
        <f t="shared" si="43"/>
        <v>-293411.90721039008</v>
      </c>
      <c r="Z55" s="186">
        <f t="shared" si="43"/>
        <v>3227530.9793142909</v>
      </c>
      <c r="AA55" s="186">
        <f t="shared" si="43"/>
        <v>0</v>
      </c>
      <c r="AB55" s="186">
        <f t="shared" si="43"/>
        <v>0</v>
      </c>
      <c r="AC55" s="186">
        <f t="shared" si="43"/>
        <v>0</v>
      </c>
      <c r="AD55" s="186">
        <f t="shared" si="43"/>
        <v>0</v>
      </c>
      <c r="AE55" s="186">
        <f t="shared" si="43"/>
        <v>0</v>
      </c>
      <c r="AF55" s="186">
        <f t="shared" si="43"/>
        <v>0</v>
      </c>
      <c r="AG55" s="186">
        <f t="shared" si="43"/>
        <v>0</v>
      </c>
      <c r="AH55" s="186">
        <f t="shared" si="43"/>
        <v>0</v>
      </c>
      <c r="AI55" s="186">
        <f t="shared" si="43"/>
        <v>0</v>
      </c>
      <c r="AJ55" s="186">
        <f t="shared" si="43"/>
        <v>0</v>
      </c>
      <c r="AK55" s="186">
        <f t="shared" si="43"/>
        <v>0</v>
      </c>
      <c r="AL55" s="186">
        <f t="shared" si="43"/>
        <v>0</v>
      </c>
      <c r="AM55" s="186">
        <f t="shared" si="43"/>
        <v>0</v>
      </c>
      <c r="AN55" s="186">
        <f t="shared" si="43"/>
        <v>0</v>
      </c>
      <c r="AO55" s="186">
        <f t="shared" si="43"/>
        <v>0</v>
      </c>
      <c r="AP55" s="186">
        <f t="shared" si="43"/>
        <v>0</v>
      </c>
    </row>
    <row r="56" spans="1:42">
      <c r="A56" s="184" t="s">
        <v>358</v>
      </c>
      <c r="B56" s="186">
        <f>-B637-B638</f>
        <v>0</v>
      </c>
      <c r="C56" s="186">
        <f t="shared" ref="C56:AP56" si="44">-C637-C638</f>
        <v>-410585.24356465257</v>
      </c>
      <c r="D56" s="186">
        <f t="shared" si="44"/>
        <v>-410585.24356465257</v>
      </c>
      <c r="E56" s="186">
        <f t="shared" si="44"/>
        <v>-410585.24356465257</v>
      </c>
      <c r="F56" s="186">
        <f t="shared" si="44"/>
        <v>-410585.24356465257</v>
      </c>
      <c r="G56" s="186">
        <f t="shared" si="44"/>
        <v>-410585.24356465257</v>
      </c>
      <c r="H56" s="186">
        <f t="shared" si="44"/>
        <v>-410585.24356465257</v>
      </c>
      <c r="I56" s="186">
        <f t="shared" si="44"/>
        <v>-410585.24356465257</v>
      </c>
      <c r="J56" s="186">
        <f t="shared" si="44"/>
        <v>-410585.24356465257</v>
      </c>
      <c r="K56" s="186">
        <f t="shared" si="44"/>
        <v>-410585.24356465257</v>
      </c>
      <c r="L56" s="186">
        <f t="shared" si="44"/>
        <v>-410585.24356465257</v>
      </c>
      <c r="M56" s="186">
        <f t="shared" si="44"/>
        <v>-410585.24356465257</v>
      </c>
      <c r="N56" s="186">
        <f t="shared" si="44"/>
        <v>-410585.24356465257</v>
      </c>
      <c r="O56" s="186">
        <f t="shared" si="44"/>
        <v>-410585.24356465257</v>
      </c>
      <c r="P56" s="186">
        <f t="shared" si="44"/>
        <v>-410585.24356465257</v>
      </c>
      <c r="Q56" s="186">
        <f t="shared" si="44"/>
        <v>5748193.4099051366</v>
      </c>
      <c r="R56" s="186">
        <f t="shared" si="44"/>
        <v>-513326.83759962226</v>
      </c>
      <c r="S56" s="186">
        <f t="shared" si="44"/>
        <v>-513326.83759962226</v>
      </c>
      <c r="T56" s="186">
        <f t="shared" si="44"/>
        <v>-513326.83759962226</v>
      </c>
      <c r="U56" s="186">
        <f t="shared" si="44"/>
        <v>-513326.83759962226</v>
      </c>
      <c r="V56" s="186">
        <f t="shared" si="44"/>
        <v>-513326.83759962226</v>
      </c>
      <c r="W56" s="186">
        <f t="shared" si="44"/>
        <v>-513326.83759962226</v>
      </c>
      <c r="X56" s="186">
        <f t="shared" si="44"/>
        <v>-513326.83759962226</v>
      </c>
      <c r="Y56" s="186">
        <f t="shared" si="44"/>
        <v>-513326.83759962226</v>
      </c>
      <c r="Z56" s="186">
        <f t="shared" si="44"/>
        <v>-513326.83759962226</v>
      </c>
      <c r="AA56" s="186">
        <f t="shared" si="44"/>
        <v>-513326.83759962226</v>
      </c>
      <c r="AB56" s="186">
        <f t="shared" si="44"/>
        <v>-513326.83759962226</v>
      </c>
      <c r="AC56" s="186">
        <f t="shared" si="44"/>
        <v>-513326.83759962226</v>
      </c>
      <c r="AD56" s="186">
        <f t="shared" si="44"/>
        <v>-513326.83759962226</v>
      </c>
      <c r="AE56" s="186">
        <f t="shared" si="44"/>
        <v>-513326.83759962226</v>
      </c>
      <c r="AF56" s="186">
        <f t="shared" si="44"/>
        <v>7186575.726394712</v>
      </c>
      <c r="AG56" s="186">
        <f t="shared" si="44"/>
        <v>0</v>
      </c>
      <c r="AH56" s="186">
        <f t="shared" si="44"/>
        <v>0</v>
      </c>
      <c r="AI56" s="186">
        <f t="shared" si="44"/>
        <v>0</v>
      </c>
      <c r="AJ56" s="186">
        <f t="shared" si="44"/>
        <v>0</v>
      </c>
      <c r="AK56" s="186">
        <f t="shared" si="44"/>
        <v>0</v>
      </c>
      <c r="AL56" s="186">
        <f t="shared" si="44"/>
        <v>0</v>
      </c>
      <c r="AM56" s="186">
        <f t="shared" si="44"/>
        <v>0</v>
      </c>
      <c r="AN56" s="186">
        <f t="shared" si="44"/>
        <v>0</v>
      </c>
      <c r="AO56" s="186">
        <f t="shared" si="44"/>
        <v>0</v>
      </c>
      <c r="AP56" s="186">
        <f t="shared" si="44"/>
        <v>0</v>
      </c>
    </row>
    <row r="57" spans="1:42">
      <c r="A57" s="184" t="s">
        <v>359</v>
      </c>
      <c r="B57" s="187">
        <f>-B669-B670</f>
        <v>0</v>
      </c>
      <c r="C57" s="187">
        <f t="shared" ref="C57:AP57" si="45">-C669-C670</f>
        <v>-34340.833333333321</v>
      </c>
      <c r="D57" s="187">
        <f t="shared" si="45"/>
        <v>-34340.833333333321</v>
      </c>
      <c r="E57" s="187">
        <f t="shared" si="45"/>
        <v>68681.666666666657</v>
      </c>
      <c r="F57" s="187">
        <f t="shared" si="45"/>
        <v>-35909.466796145811</v>
      </c>
      <c r="G57" s="187">
        <f t="shared" si="45"/>
        <v>-35909.466796145811</v>
      </c>
      <c r="H57" s="187">
        <f t="shared" si="45"/>
        <v>71818.933592291607</v>
      </c>
      <c r="I57" s="187">
        <f t="shared" si="45"/>
        <v>-37549.752886510192</v>
      </c>
      <c r="J57" s="187">
        <f t="shared" si="45"/>
        <v>-37549.752886510192</v>
      </c>
      <c r="K57" s="187">
        <f t="shared" si="45"/>
        <v>75099.505773020384</v>
      </c>
      <c r="L57" s="187">
        <f t="shared" si="45"/>
        <v>-39264.96458001752</v>
      </c>
      <c r="M57" s="187">
        <f t="shared" si="45"/>
        <v>-39264.96458001752</v>
      </c>
      <c r="N57" s="187">
        <f t="shared" si="45"/>
        <v>78529.929160035041</v>
      </c>
      <c r="O57" s="187">
        <f t="shared" si="45"/>
        <v>-41058.524356465256</v>
      </c>
      <c r="P57" s="187">
        <f t="shared" si="45"/>
        <v>-41058.524356465256</v>
      </c>
      <c r="Q57" s="187">
        <f t="shared" si="45"/>
        <v>82117.048712930526</v>
      </c>
      <c r="R57" s="187">
        <f t="shared" si="45"/>
        <v>-42934.011028966495</v>
      </c>
      <c r="S57" s="187">
        <f t="shared" si="45"/>
        <v>-42934.011028966495</v>
      </c>
      <c r="T57" s="187">
        <f t="shared" si="45"/>
        <v>85868.022057932976</v>
      </c>
      <c r="U57" s="187">
        <f t="shared" si="45"/>
        <v>-44895.166885001738</v>
      </c>
      <c r="V57" s="187">
        <f t="shared" si="45"/>
        <v>-44895.166885001738</v>
      </c>
      <c r="W57" s="187">
        <f t="shared" si="45"/>
        <v>89790.33377000349</v>
      </c>
      <c r="X57" s="187">
        <f t="shared" si="45"/>
        <v>-46945.90515366241</v>
      </c>
      <c r="Y57" s="187">
        <f t="shared" si="45"/>
        <v>-46945.90515366241</v>
      </c>
      <c r="Z57" s="187">
        <f t="shared" si="45"/>
        <v>93891.810307324835</v>
      </c>
      <c r="AA57" s="187">
        <f t="shared" si="45"/>
        <v>-49090.317813985828</v>
      </c>
      <c r="AB57" s="187">
        <f t="shared" si="45"/>
        <v>-49090.317813985828</v>
      </c>
      <c r="AC57" s="187">
        <f t="shared" si="45"/>
        <v>98180.635627971642</v>
      </c>
      <c r="AD57" s="187">
        <f t="shared" si="45"/>
        <v>-51332.68375996223</v>
      </c>
      <c r="AE57" s="187">
        <f t="shared" si="45"/>
        <v>-51332.68375996223</v>
      </c>
      <c r="AF57" s="187">
        <f t="shared" si="45"/>
        <v>102665.36751992445</v>
      </c>
      <c r="AG57" s="187">
        <f t="shared" si="45"/>
        <v>0</v>
      </c>
      <c r="AH57" s="187">
        <f t="shared" si="45"/>
        <v>0</v>
      </c>
      <c r="AI57" s="187">
        <f t="shared" si="45"/>
        <v>0</v>
      </c>
      <c r="AJ57" s="187">
        <f t="shared" si="45"/>
        <v>0</v>
      </c>
      <c r="AK57" s="187">
        <f t="shared" si="45"/>
        <v>0</v>
      </c>
      <c r="AL57" s="187">
        <f t="shared" si="45"/>
        <v>0</v>
      </c>
      <c r="AM57" s="187">
        <f t="shared" si="45"/>
        <v>0</v>
      </c>
      <c r="AN57" s="187">
        <f t="shared" si="45"/>
        <v>0</v>
      </c>
      <c r="AO57" s="187">
        <f t="shared" si="45"/>
        <v>0</v>
      </c>
      <c r="AP57" s="187">
        <f t="shared" si="45"/>
        <v>0</v>
      </c>
    </row>
    <row r="58" spans="1:42">
      <c r="A58" s="184" t="s">
        <v>53</v>
      </c>
      <c r="B58" s="152">
        <f t="shared" ref="B58:AP58" si="46">SUM(B54:B57)</f>
        <v>-350000</v>
      </c>
      <c r="C58" s="152">
        <f t="shared" si="46"/>
        <v>-690332.10552309547</v>
      </c>
      <c r="D58" s="152">
        <f t="shared" si="46"/>
        <v>-690332.10552309547</v>
      </c>
      <c r="E58" s="152">
        <f t="shared" si="46"/>
        <v>-587309.60552309547</v>
      </c>
      <c r="F58" s="152">
        <f t="shared" si="46"/>
        <v>-691900.73898590787</v>
      </c>
      <c r="G58" s="152">
        <f t="shared" si="46"/>
        <v>-691900.73898590787</v>
      </c>
      <c r="H58" s="152">
        <f t="shared" si="46"/>
        <v>-584172.33859747043</v>
      </c>
      <c r="I58" s="152">
        <f t="shared" si="46"/>
        <v>-693541.02507627232</v>
      </c>
      <c r="J58" s="152">
        <f t="shared" si="46"/>
        <v>-693541.02507627232</v>
      </c>
      <c r="K58" s="152">
        <f t="shared" si="46"/>
        <v>-580891.76641674177</v>
      </c>
      <c r="L58" s="152">
        <f t="shared" si="46"/>
        <v>-695256.23676977959</v>
      </c>
      <c r="M58" s="152">
        <f t="shared" si="46"/>
        <v>-695256.23676977959</v>
      </c>
      <c r="N58" s="152">
        <f t="shared" si="46"/>
        <v>2367411.0004715868</v>
      </c>
      <c r="O58" s="152">
        <f t="shared" si="46"/>
        <v>-745055.6751315078</v>
      </c>
      <c r="P58" s="152">
        <f t="shared" si="46"/>
        <v>-745055.6751315078</v>
      </c>
      <c r="Q58" s="152">
        <f t="shared" si="46"/>
        <v>5536898.5514076771</v>
      </c>
      <c r="R58" s="152">
        <f t="shared" si="46"/>
        <v>-849672.75583897892</v>
      </c>
      <c r="S58" s="152">
        <f t="shared" si="46"/>
        <v>-849672.75583897892</v>
      </c>
      <c r="T58" s="152">
        <f t="shared" si="46"/>
        <v>-720870.72275207937</v>
      </c>
      <c r="U58" s="152">
        <f t="shared" si="46"/>
        <v>-851633.9116950141</v>
      </c>
      <c r="V58" s="152">
        <f t="shared" si="46"/>
        <v>-851633.9116950141</v>
      </c>
      <c r="W58" s="152">
        <f t="shared" si="46"/>
        <v>-716948.41104000888</v>
      </c>
      <c r="X58" s="152">
        <f t="shared" si="46"/>
        <v>-853684.64996367483</v>
      </c>
      <c r="Y58" s="152">
        <f t="shared" si="46"/>
        <v>-853684.64996367483</v>
      </c>
      <c r="Z58" s="152">
        <f t="shared" si="46"/>
        <v>2808095.9520219937</v>
      </c>
      <c r="AA58" s="152">
        <f t="shared" si="46"/>
        <v>-562417.15541360807</v>
      </c>
      <c r="AB58" s="152">
        <f t="shared" si="46"/>
        <v>-562417.15541360807</v>
      </c>
      <c r="AC58" s="152">
        <f t="shared" si="46"/>
        <v>-415146.20197165059</v>
      </c>
      <c r="AD58" s="152">
        <f t="shared" si="46"/>
        <v>-564659.52135958453</v>
      </c>
      <c r="AE58" s="152">
        <f t="shared" si="46"/>
        <v>-564659.52135958453</v>
      </c>
      <c r="AF58" s="152">
        <f t="shared" si="46"/>
        <v>7639241.0939146364</v>
      </c>
      <c r="AG58" s="152">
        <f t="shared" si="46"/>
        <v>0</v>
      </c>
      <c r="AH58" s="152">
        <f t="shared" si="46"/>
        <v>0</v>
      </c>
      <c r="AI58" s="152">
        <f t="shared" si="46"/>
        <v>0</v>
      </c>
      <c r="AJ58" s="152">
        <f t="shared" si="46"/>
        <v>0</v>
      </c>
      <c r="AK58" s="152">
        <f t="shared" si="46"/>
        <v>0</v>
      </c>
      <c r="AL58" s="152">
        <f t="shared" si="46"/>
        <v>0</v>
      </c>
      <c r="AM58" s="152">
        <f t="shared" si="46"/>
        <v>0</v>
      </c>
      <c r="AN58" s="152">
        <f t="shared" si="46"/>
        <v>0</v>
      </c>
      <c r="AO58" s="152">
        <f t="shared" si="46"/>
        <v>0</v>
      </c>
      <c r="AP58" s="152">
        <f t="shared" si="46"/>
        <v>0</v>
      </c>
    </row>
    <row r="59" spans="1:42">
      <c r="A59" s="180" t="s">
        <v>202</v>
      </c>
    </row>
    <row r="60" spans="1:42">
      <c r="A60" s="184" t="s">
        <v>365</v>
      </c>
      <c r="B60" s="186">
        <f>B606</f>
        <v>0</v>
      </c>
      <c r="C60" s="186">
        <f t="shared" ref="C60:AP60" si="47">C606</f>
        <v>0</v>
      </c>
      <c r="D60" s="186">
        <f t="shared" si="47"/>
        <v>0</v>
      </c>
      <c r="E60" s="186">
        <f t="shared" si="47"/>
        <v>0</v>
      </c>
      <c r="F60" s="186">
        <f t="shared" si="47"/>
        <v>0</v>
      </c>
      <c r="G60" s="186">
        <f t="shared" si="47"/>
        <v>0</v>
      </c>
      <c r="H60" s="186">
        <f t="shared" si="47"/>
        <v>0</v>
      </c>
      <c r="I60" s="186">
        <f t="shared" si="47"/>
        <v>0</v>
      </c>
      <c r="J60" s="186">
        <f t="shared" si="47"/>
        <v>0</v>
      </c>
      <c r="K60" s="186">
        <f t="shared" si="47"/>
        <v>0</v>
      </c>
      <c r="L60" s="186">
        <f t="shared" si="47"/>
        <v>0</v>
      </c>
      <c r="M60" s="186">
        <f t="shared" si="47"/>
        <v>0</v>
      </c>
      <c r="N60" s="186">
        <f t="shared" si="47"/>
        <v>-2944872.3435013141</v>
      </c>
      <c r="O60" s="186">
        <f t="shared" si="47"/>
        <v>0</v>
      </c>
      <c r="P60" s="186">
        <f t="shared" si="47"/>
        <v>0</v>
      </c>
      <c r="Q60" s="186">
        <f t="shared" si="47"/>
        <v>0</v>
      </c>
      <c r="R60" s="186">
        <f t="shared" si="47"/>
        <v>0</v>
      </c>
      <c r="S60" s="186">
        <f t="shared" si="47"/>
        <v>0</v>
      </c>
      <c r="T60" s="186">
        <f t="shared" si="47"/>
        <v>0</v>
      </c>
      <c r="U60" s="186">
        <f t="shared" si="47"/>
        <v>0</v>
      </c>
      <c r="V60" s="186">
        <f t="shared" si="47"/>
        <v>0</v>
      </c>
      <c r="W60" s="186">
        <f t="shared" si="47"/>
        <v>0</v>
      </c>
      <c r="X60" s="186">
        <f t="shared" si="47"/>
        <v>0</v>
      </c>
      <c r="Y60" s="186">
        <f t="shared" si="47"/>
        <v>0</v>
      </c>
      <c r="Z60" s="186">
        <f t="shared" si="47"/>
        <v>-3520942.886524681</v>
      </c>
      <c r="AA60" s="186">
        <f t="shared" si="47"/>
        <v>0</v>
      </c>
      <c r="AB60" s="186">
        <f t="shared" si="47"/>
        <v>0</v>
      </c>
      <c r="AC60" s="186">
        <f t="shared" si="47"/>
        <v>0</v>
      </c>
      <c r="AD60" s="186">
        <f t="shared" si="47"/>
        <v>0</v>
      </c>
      <c r="AE60" s="186">
        <f t="shared" si="47"/>
        <v>0</v>
      </c>
      <c r="AF60" s="186">
        <f t="shared" si="47"/>
        <v>0</v>
      </c>
      <c r="AG60" s="186">
        <f t="shared" si="47"/>
        <v>0</v>
      </c>
      <c r="AH60" s="186">
        <f t="shared" si="47"/>
        <v>0</v>
      </c>
      <c r="AI60" s="186">
        <f t="shared" si="47"/>
        <v>0</v>
      </c>
      <c r="AJ60" s="186">
        <f t="shared" si="47"/>
        <v>0</v>
      </c>
      <c r="AK60" s="186">
        <f t="shared" si="47"/>
        <v>0</v>
      </c>
      <c r="AL60" s="186">
        <f t="shared" si="47"/>
        <v>0</v>
      </c>
      <c r="AM60" s="186">
        <f t="shared" si="47"/>
        <v>0</v>
      </c>
      <c r="AN60" s="186">
        <f t="shared" si="47"/>
        <v>0</v>
      </c>
      <c r="AO60" s="186">
        <f t="shared" si="47"/>
        <v>0</v>
      </c>
      <c r="AP60" s="186">
        <f t="shared" si="47"/>
        <v>0</v>
      </c>
    </row>
    <row r="61" spans="1:42">
      <c r="A61" s="184" t="s">
        <v>366</v>
      </c>
      <c r="B61" s="186">
        <f>B638</f>
        <v>0</v>
      </c>
      <c r="C61" s="186">
        <f t="shared" ref="C61:AP61" si="48">C638</f>
        <v>0</v>
      </c>
      <c r="D61" s="186">
        <f t="shared" si="48"/>
        <v>0</v>
      </c>
      <c r="E61" s="186">
        <f t="shared" si="48"/>
        <v>0</v>
      </c>
      <c r="F61" s="186">
        <f t="shared" si="48"/>
        <v>0</v>
      </c>
      <c r="G61" s="186">
        <f t="shared" si="48"/>
        <v>0</v>
      </c>
      <c r="H61" s="186">
        <f t="shared" si="48"/>
        <v>0</v>
      </c>
      <c r="I61" s="186">
        <f t="shared" si="48"/>
        <v>0</v>
      </c>
      <c r="J61" s="186">
        <f t="shared" si="48"/>
        <v>0</v>
      </c>
      <c r="K61" s="186">
        <f t="shared" si="48"/>
        <v>0</v>
      </c>
      <c r="L61" s="186">
        <f t="shared" si="48"/>
        <v>0</v>
      </c>
      <c r="M61" s="186">
        <f t="shared" si="48"/>
        <v>0</v>
      </c>
      <c r="N61" s="186">
        <f t="shared" si="48"/>
        <v>0</v>
      </c>
      <c r="O61" s="186">
        <f t="shared" si="48"/>
        <v>0</v>
      </c>
      <c r="P61" s="186">
        <f t="shared" si="48"/>
        <v>0</v>
      </c>
      <c r="Q61" s="186">
        <f t="shared" si="48"/>
        <v>-6158778.6534697888</v>
      </c>
      <c r="R61" s="186">
        <f t="shared" si="48"/>
        <v>0</v>
      </c>
      <c r="S61" s="186">
        <f t="shared" si="48"/>
        <v>0</v>
      </c>
      <c r="T61" s="186">
        <f t="shared" si="48"/>
        <v>0</v>
      </c>
      <c r="U61" s="186">
        <f t="shared" si="48"/>
        <v>0</v>
      </c>
      <c r="V61" s="186">
        <f t="shared" si="48"/>
        <v>0</v>
      </c>
      <c r="W61" s="186">
        <f t="shared" si="48"/>
        <v>0</v>
      </c>
      <c r="X61" s="186">
        <f t="shared" si="48"/>
        <v>0</v>
      </c>
      <c r="Y61" s="186">
        <f t="shared" si="48"/>
        <v>0</v>
      </c>
      <c r="Z61" s="186">
        <f t="shared" si="48"/>
        <v>0</v>
      </c>
      <c r="AA61" s="186">
        <f t="shared" si="48"/>
        <v>0</v>
      </c>
      <c r="AB61" s="186">
        <f t="shared" si="48"/>
        <v>0</v>
      </c>
      <c r="AC61" s="186">
        <f t="shared" si="48"/>
        <v>0</v>
      </c>
      <c r="AD61" s="186">
        <f t="shared" si="48"/>
        <v>0</v>
      </c>
      <c r="AE61" s="186">
        <f t="shared" si="48"/>
        <v>0</v>
      </c>
      <c r="AF61" s="186">
        <f t="shared" si="48"/>
        <v>-7699902.5639943341</v>
      </c>
      <c r="AG61" s="186">
        <f t="shared" si="48"/>
        <v>0</v>
      </c>
      <c r="AH61" s="186">
        <f t="shared" si="48"/>
        <v>0</v>
      </c>
      <c r="AI61" s="186">
        <f t="shared" si="48"/>
        <v>0</v>
      </c>
      <c r="AJ61" s="186">
        <f t="shared" si="48"/>
        <v>0</v>
      </c>
      <c r="AK61" s="186">
        <f t="shared" si="48"/>
        <v>0</v>
      </c>
      <c r="AL61" s="186">
        <f t="shared" si="48"/>
        <v>0</v>
      </c>
      <c r="AM61" s="186">
        <f t="shared" si="48"/>
        <v>0</v>
      </c>
      <c r="AN61" s="186">
        <f t="shared" si="48"/>
        <v>0</v>
      </c>
      <c r="AO61" s="186">
        <f t="shared" si="48"/>
        <v>0</v>
      </c>
      <c r="AP61" s="186">
        <f t="shared" si="48"/>
        <v>0</v>
      </c>
    </row>
    <row r="62" spans="1:42">
      <c r="A62" s="184" t="s">
        <v>367</v>
      </c>
      <c r="B62" s="187">
        <f>B670</f>
        <v>0</v>
      </c>
      <c r="C62" s="187">
        <f t="shared" ref="C62:AP62" si="49">C670</f>
        <v>0</v>
      </c>
      <c r="D62" s="187">
        <f t="shared" si="49"/>
        <v>0</v>
      </c>
      <c r="E62" s="187">
        <f t="shared" si="49"/>
        <v>-103022.49999999997</v>
      </c>
      <c r="F62" s="187">
        <f t="shared" si="49"/>
        <v>0</v>
      </c>
      <c r="G62" s="187">
        <f t="shared" si="49"/>
        <v>0</v>
      </c>
      <c r="H62" s="187">
        <f t="shared" si="49"/>
        <v>-107728.40038843743</v>
      </c>
      <c r="I62" s="187">
        <f t="shared" si="49"/>
        <v>0</v>
      </c>
      <c r="J62" s="187">
        <f t="shared" si="49"/>
        <v>0</v>
      </c>
      <c r="K62" s="187">
        <f t="shared" si="49"/>
        <v>-112649.25865953058</v>
      </c>
      <c r="L62" s="187">
        <f t="shared" si="49"/>
        <v>0</v>
      </c>
      <c r="M62" s="187">
        <f t="shared" si="49"/>
        <v>0</v>
      </c>
      <c r="N62" s="187">
        <f t="shared" si="49"/>
        <v>-117794.89374005256</v>
      </c>
      <c r="O62" s="187">
        <f t="shared" si="49"/>
        <v>0</v>
      </c>
      <c r="P62" s="187">
        <f t="shared" si="49"/>
        <v>0</v>
      </c>
      <c r="Q62" s="187">
        <f t="shared" si="49"/>
        <v>-123175.57306939577</v>
      </c>
      <c r="R62" s="187">
        <f t="shared" si="49"/>
        <v>0</v>
      </c>
      <c r="S62" s="187">
        <f t="shared" si="49"/>
        <v>0</v>
      </c>
      <c r="T62" s="187">
        <f t="shared" si="49"/>
        <v>-128802.03308689948</v>
      </c>
      <c r="U62" s="187">
        <f t="shared" si="49"/>
        <v>0</v>
      </c>
      <c r="V62" s="187">
        <f t="shared" si="49"/>
        <v>0</v>
      </c>
      <c r="W62" s="187">
        <f t="shared" si="49"/>
        <v>-134685.50065500522</v>
      </c>
      <c r="X62" s="187">
        <f t="shared" si="49"/>
        <v>0</v>
      </c>
      <c r="Y62" s="187">
        <f t="shared" si="49"/>
        <v>0</v>
      </c>
      <c r="Z62" s="187">
        <f t="shared" si="49"/>
        <v>-140837.71546098724</v>
      </c>
      <c r="AA62" s="187">
        <f t="shared" si="49"/>
        <v>0</v>
      </c>
      <c r="AB62" s="187">
        <f t="shared" si="49"/>
        <v>0</v>
      </c>
      <c r="AC62" s="187">
        <f t="shared" si="49"/>
        <v>-147270.95344195748</v>
      </c>
      <c r="AD62" s="187">
        <f t="shared" si="49"/>
        <v>0</v>
      </c>
      <c r="AE62" s="187">
        <f t="shared" si="49"/>
        <v>0</v>
      </c>
      <c r="AF62" s="187">
        <f t="shared" si="49"/>
        <v>-153998.05127988668</v>
      </c>
      <c r="AG62" s="187">
        <f t="shared" si="49"/>
        <v>0</v>
      </c>
      <c r="AH62" s="187">
        <f t="shared" si="49"/>
        <v>0</v>
      </c>
      <c r="AI62" s="187">
        <f t="shared" si="49"/>
        <v>0</v>
      </c>
      <c r="AJ62" s="187">
        <f t="shared" si="49"/>
        <v>0</v>
      </c>
      <c r="AK62" s="187">
        <f t="shared" si="49"/>
        <v>0</v>
      </c>
      <c r="AL62" s="187">
        <f t="shared" si="49"/>
        <v>0</v>
      </c>
      <c r="AM62" s="187">
        <f t="shared" si="49"/>
        <v>0</v>
      </c>
      <c r="AN62" s="187">
        <f t="shared" si="49"/>
        <v>0</v>
      </c>
      <c r="AO62" s="187">
        <f t="shared" si="49"/>
        <v>0</v>
      </c>
      <c r="AP62" s="187">
        <f t="shared" si="49"/>
        <v>0</v>
      </c>
    </row>
    <row r="63" spans="1:42">
      <c r="A63" s="184" t="s">
        <v>53</v>
      </c>
      <c r="B63" s="251">
        <f>SUM(B60:B62)</f>
        <v>0</v>
      </c>
      <c r="C63" s="251">
        <f t="shared" ref="C63:AP63" si="50">SUM(C60:C62)</f>
        <v>0</v>
      </c>
      <c r="D63" s="251">
        <f t="shared" si="50"/>
        <v>0</v>
      </c>
      <c r="E63" s="251">
        <f t="shared" si="50"/>
        <v>-103022.49999999997</v>
      </c>
      <c r="F63" s="251">
        <f t="shared" si="50"/>
        <v>0</v>
      </c>
      <c r="G63" s="251">
        <f t="shared" si="50"/>
        <v>0</v>
      </c>
      <c r="H63" s="251">
        <f t="shared" si="50"/>
        <v>-107728.40038843743</v>
      </c>
      <c r="I63" s="251">
        <f t="shared" si="50"/>
        <v>0</v>
      </c>
      <c r="J63" s="251">
        <f t="shared" si="50"/>
        <v>0</v>
      </c>
      <c r="K63" s="251">
        <f t="shared" si="50"/>
        <v>-112649.25865953058</v>
      </c>
      <c r="L63" s="251">
        <f t="shared" si="50"/>
        <v>0</v>
      </c>
      <c r="M63" s="251">
        <f t="shared" si="50"/>
        <v>0</v>
      </c>
      <c r="N63" s="251">
        <f t="shared" si="50"/>
        <v>-3062667.2372413664</v>
      </c>
      <c r="O63" s="251">
        <f t="shared" si="50"/>
        <v>0</v>
      </c>
      <c r="P63" s="251">
        <f t="shared" si="50"/>
        <v>0</v>
      </c>
      <c r="Q63" s="251">
        <f t="shared" si="50"/>
        <v>-6281954.2265391843</v>
      </c>
      <c r="R63" s="251">
        <f t="shared" si="50"/>
        <v>0</v>
      </c>
      <c r="S63" s="251">
        <f t="shared" si="50"/>
        <v>0</v>
      </c>
      <c r="T63" s="251">
        <f t="shared" si="50"/>
        <v>-128802.03308689948</v>
      </c>
      <c r="U63" s="251">
        <f t="shared" si="50"/>
        <v>0</v>
      </c>
      <c r="V63" s="251">
        <f t="shared" si="50"/>
        <v>0</v>
      </c>
      <c r="W63" s="251">
        <f t="shared" si="50"/>
        <v>-134685.50065500522</v>
      </c>
      <c r="X63" s="251">
        <f t="shared" si="50"/>
        <v>0</v>
      </c>
      <c r="Y63" s="251">
        <f t="shared" si="50"/>
        <v>0</v>
      </c>
      <c r="Z63" s="251">
        <f t="shared" si="50"/>
        <v>-3661780.6019856683</v>
      </c>
      <c r="AA63" s="251">
        <f t="shared" si="50"/>
        <v>0</v>
      </c>
      <c r="AB63" s="251">
        <f t="shared" si="50"/>
        <v>0</v>
      </c>
      <c r="AC63" s="251">
        <f t="shared" si="50"/>
        <v>-147270.95344195748</v>
      </c>
      <c r="AD63" s="251">
        <f t="shared" si="50"/>
        <v>0</v>
      </c>
      <c r="AE63" s="251">
        <f t="shared" si="50"/>
        <v>0</v>
      </c>
      <c r="AF63" s="251">
        <f t="shared" si="50"/>
        <v>-7853900.6152742207</v>
      </c>
      <c r="AG63" s="251">
        <f t="shared" si="50"/>
        <v>0</v>
      </c>
      <c r="AH63" s="251">
        <f t="shared" si="50"/>
        <v>0</v>
      </c>
      <c r="AI63" s="251">
        <f t="shared" si="50"/>
        <v>0</v>
      </c>
      <c r="AJ63" s="251">
        <f t="shared" si="50"/>
        <v>0</v>
      </c>
      <c r="AK63" s="251">
        <f t="shared" si="50"/>
        <v>0</v>
      </c>
      <c r="AL63" s="251">
        <f t="shared" si="50"/>
        <v>0</v>
      </c>
      <c r="AM63" s="251">
        <f t="shared" si="50"/>
        <v>0</v>
      </c>
      <c r="AN63" s="251">
        <f t="shared" si="50"/>
        <v>0</v>
      </c>
      <c r="AO63" s="251">
        <f t="shared" si="50"/>
        <v>0</v>
      </c>
      <c r="AP63" s="251">
        <f t="shared" si="50"/>
        <v>0</v>
      </c>
    </row>
    <row r="64" spans="1:42">
      <c r="A64" s="180" t="s">
        <v>53</v>
      </c>
      <c r="B64" s="152">
        <f t="shared" ref="B64:AP64" si="51">B52+B58+B63</f>
        <v>-42956688.5</v>
      </c>
      <c r="C64" s="152">
        <f t="shared" si="51"/>
        <v>-690332.10552309547</v>
      </c>
      <c r="D64" s="152">
        <f t="shared" si="51"/>
        <v>-690332.10552309547</v>
      </c>
      <c r="E64" s="152">
        <f t="shared" si="51"/>
        <v>-690332.10552309547</v>
      </c>
      <c r="F64" s="152">
        <f t="shared" si="51"/>
        <v>-691900.73898590787</v>
      </c>
      <c r="G64" s="152">
        <f t="shared" si="51"/>
        <v>-691900.73898590787</v>
      </c>
      <c r="H64" s="152">
        <f t="shared" si="51"/>
        <v>-691900.73898590787</v>
      </c>
      <c r="I64" s="152">
        <f t="shared" si="51"/>
        <v>-693541.02507627232</v>
      </c>
      <c r="J64" s="152">
        <f t="shared" si="51"/>
        <v>-693541.02507627232</v>
      </c>
      <c r="K64" s="152">
        <f t="shared" si="51"/>
        <v>-693541.02507627232</v>
      </c>
      <c r="L64" s="152">
        <f t="shared" si="51"/>
        <v>-695256.23676977959</v>
      </c>
      <c r="M64" s="152">
        <f t="shared" si="51"/>
        <v>-695256.23676977959</v>
      </c>
      <c r="N64" s="152">
        <f t="shared" si="51"/>
        <v>-695256.23676977959</v>
      </c>
      <c r="O64" s="152">
        <f t="shared" si="51"/>
        <v>-745055.6751315078</v>
      </c>
      <c r="P64" s="152">
        <f t="shared" si="51"/>
        <v>-745055.6751315078</v>
      </c>
      <c r="Q64" s="152">
        <f t="shared" si="51"/>
        <v>-745055.67513150722</v>
      </c>
      <c r="R64" s="152">
        <f t="shared" si="51"/>
        <v>-849672.75583897892</v>
      </c>
      <c r="S64" s="152">
        <f t="shared" si="51"/>
        <v>-849672.75583897892</v>
      </c>
      <c r="T64" s="152">
        <f t="shared" si="51"/>
        <v>-849672.7558389788</v>
      </c>
      <c r="U64" s="152">
        <f t="shared" si="51"/>
        <v>-851633.9116950141</v>
      </c>
      <c r="V64" s="152">
        <f t="shared" si="51"/>
        <v>-851633.9116950141</v>
      </c>
      <c r="W64" s="152">
        <f t="shared" si="51"/>
        <v>-851633.9116950141</v>
      </c>
      <c r="X64" s="152">
        <f t="shared" si="51"/>
        <v>-853684.64996367483</v>
      </c>
      <c r="Y64" s="152">
        <f t="shared" si="51"/>
        <v>-853684.64996367483</v>
      </c>
      <c r="Z64" s="152">
        <f t="shared" si="51"/>
        <v>-853684.6499636746</v>
      </c>
      <c r="AA64" s="152">
        <f t="shared" si="51"/>
        <v>-562417.15541360807</v>
      </c>
      <c r="AB64" s="152">
        <f t="shared" si="51"/>
        <v>-562417.15541360807</v>
      </c>
      <c r="AC64" s="152">
        <f t="shared" si="51"/>
        <v>-562417.15541360807</v>
      </c>
      <c r="AD64" s="152">
        <f t="shared" si="51"/>
        <v>-564659.52135958453</v>
      </c>
      <c r="AE64" s="152">
        <f t="shared" si="51"/>
        <v>-564659.52135958453</v>
      </c>
      <c r="AF64" s="152">
        <f t="shared" si="51"/>
        <v>-214659.52135958429</v>
      </c>
      <c r="AG64" s="152">
        <f t="shared" si="51"/>
        <v>0</v>
      </c>
      <c r="AH64" s="152">
        <f t="shared" si="51"/>
        <v>0</v>
      </c>
      <c r="AI64" s="152">
        <f t="shared" si="51"/>
        <v>0</v>
      </c>
      <c r="AJ64" s="152">
        <f t="shared" si="51"/>
        <v>0</v>
      </c>
      <c r="AK64" s="152">
        <f t="shared" si="51"/>
        <v>0</v>
      </c>
      <c r="AL64" s="152">
        <f t="shared" si="51"/>
        <v>0</v>
      </c>
      <c r="AM64" s="152">
        <f t="shared" si="51"/>
        <v>0</v>
      </c>
      <c r="AN64" s="152">
        <f t="shared" si="51"/>
        <v>0</v>
      </c>
      <c r="AO64" s="152">
        <f t="shared" si="51"/>
        <v>0</v>
      </c>
      <c r="AP64" s="152">
        <f t="shared" si="51"/>
        <v>0</v>
      </c>
    </row>
    <row r="65" spans="1:42">
      <c r="A65" s="180"/>
      <c r="B65" s="152"/>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row>
    <row r="66" spans="1:42">
      <c r="A66" s="182" t="s">
        <v>186</v>
      </c>
      <c r="B66" s="152"/>
      <c r="C66" s="152"/>
      <c r="D66" s="152"/>
      <c r="E66" s="152"/>
      <c r="F66" s="152"/>
      <c r="G66" s="152"/>
      <c r="H66" s="152"/>
      <c r="I66" s="152"/>
      <c r="J66" s="152"/>
      <c r="K66" s="152"/>
      <c r="L66" s="152"/>
      <c r="M66" s="152"/>
      <c r="N66" s="152"/>
      <c r="O66" s="152"/>
      <c r="P66" s="152"/>
      <c r="Q66" s="152"/>
      <c r="R66" s="152"/>
      <c r="S66" s="152"/>
      <c r="T66" s="152"/>
      <c r="U66" s="152"/>
      <c r="V66" s="152"/>
      <c r="W66" s="152"/>
      <c r="X66" s="152"/>
      <c r="Y66" s="152"/>
      <c r="Z66" s="152"/>
      <c r="AA66" s="152"/>
      <c r="AB66" s="152"/>
      <c r="AC66" s="152"/>
      <c r="AD66" s="152"/>
      <c r="AE66" s="152"/>
      <c r="AF66" s="152"/>
      <c r="AG66" s="152"/>
      <c r="AH66" s="152"/>
      <c r="AI66" s="152"/>
      <c r="AJ66" s="152"/>
      <c r="AK66" s="152"/>
      <c r="AL66" s="152"/>
      <c r="AM66" s="152"/>
      <c r="AN66" s="152"/>
      <c r="AO66" s="152"/>
      <c r="AP66" s="152"/>
    </row>
    <row r="67" spans="1:42">
      <c r="A67" s="180" t="s">
        <v>204</v>
      </c>
      <c r="B67" s="152"/>
      <c r="C67" s="152"/>
      <c r="D67" s="152"/>
      <c r="E67" s="152"/>
      <c r="F67" s="152"/>
      <c r="G67" s="152"/>
      <c r="H67" s="152"/>
      <c r="I67" s="152"/>
      <c r="J67" s="152"/>
      <c r="K67" s="152"/>
      <c r="L67" s="152"/>
      <c r="M67" s="152"/>
      <c r="N67" s="152"/>
      <c r="O67" s="152"/>
      <c r="P67" s="152"/>
      <c r="Q67" s="152"/>
      <c r="R67" s="152"/>
      <c r="S67" s="152"/>
      <c r="T67" s="152"/>
      <c r="U67" s="152"/>
      <c r="V67" s="152"/>
      <c r="W67" s="152"/>
      <c r="X67" s="152"/>
      <c r="Y67" s="152"/>
      <c r="Z67" s="152"/>
      <c r="AA67" s="152"/>
      <c r="AB67" s="152"/>
      <c r="AC67" s="152"/>
      <c r="AD67" s="152"/>
      <c r="AE67" s="152"/>
      <c r="AF67" s="152"/>
      <c r="AG67" s="152"/>
      <c r="AH67" s="152"/>
      <c r="AI67" s="152"/>
      <c r="AJ67" s="152"/>
      <c r="AK67" s="152"/>
      <c r="AL67" s="152"/>
      <c r="AM67" s="152"/>
      <c r="AN67" s="152"/>
      <c r="AO67" s="152"/>
      <c r="AP67" s="152"/>
    </row>
    <row r="68" spans="1:42">
      <c r="A68" s="184" t="s">
        <v>205</v>
      </c>
      <c r="B68" s="152">
        <f>'Inputs &amp; Results'!B166+'Inputs &amp; Results'!B167</f>
        <v>6641229.75</v>
      </c>
      <c r="C68" s="152">
        <v>0</v>
      </c>
      <c r="D68" s="152">
        <v>0</v>
      </c>
      <c r="E68" s="152">
        <v>0</v>
      </c>
      <c r="F68" s="152">
        <v>0</v>
      </c>
      <c r="G68" s="152">
        <v>0</v>
      </c>
      <c r="H68" s="152">
        <v>0</v>
      </c>
      <c r="I68" s="152">
        <v>0</v>
      </c>
      <c r="J68" s="152">
        <v>0</v>
      </c>
      <c r="K68" s="152">
        <v>0</v>
      </c>
      <c r="L68" s="152">
        <v>0</v>
      </c>
      <c r="M68" s="152">
        <v>0</v>
      </c>
      <c r="N68" s="152">
        <v>0</v>
      </c>
      <c r="O68" s="152">
        <v>0</v>
      </c>
      <c r="P68" s="152">
        <v>0</v>
      </c>
      <c r="Q68" s="152">
        <v>0</v>
      </c>
      <c r="R68" s="152">
        <v>0</v>
      </c>
      <c r="S68" s="152">
        <v>0</v>
      </c>
      <c r="T68" s="152">
        <v>0</v>
      </c>
      <c r="U68" s="152">
        <v>0</v>
      </c>
      <c r="V68" s="152">
        <v>0</v>
      </c>
      <c r="W68" s="152">
        <v>0</v>
      </c>
      <c r="X68" s="152">
        <v>0</v>
      </c>
      <c r="Y68" s="152">
        <v>0</v>
      </c>
      <c r="Z68" s="152">
        <v>0</v>
      </c>
      <c r="AA68" s="152">
        <v>0</v>
      </c>
      <c r="AB68" s="152">
        <v>0</v>
      </c>
      <c r="AC68" s="152">
        <v>0</v>
      </c>
      <c r="AD68" s="152">
        <v>0</v>
      </c>
      <c r="AE68" s="152">
        <v>0</v>
      </c>
      <c r="AF68" s="152">
        <v>0</v>
      </c>
      <c r="AG68" s="152">
        <v>0</v>
      </c>
      <c r="AH68" s="152">
        <v>0</v>
      </c>
      <c r="AI68" s="152">
        <v>0</v>
      </c>
      <c r="AJ68" s="152">
        <v>0</v>
      </c>
      <c r="AK68" s="152">
        <v>0</v>
      </c>
      <c r="AL68" s="152">
        <v>0</v>
      </c>
      <c r="AM68" s="152">
        <v>0</v>
      </c>
      <c r="AN68" s="152">
        <v>0</v>
      </c>
      <c r="AO68" s="152">
        <v>0</v>
      </c>
      <c r="AP68" s="152">
        <v>0</v>
      </c>
    </row>
    <row r="69" spans="1:42">
      <c r="A69" s="184" t="s">
        <v>180</v>
      </c>
      <c r="B69" s="187">
        <f>'Inputs &amp; Results'!B168</f>
        <v>7150000</v>
      </c>
      <c r="C69" s="187">
        <v>0</v>
      </c>
      <c r="D69" s="187">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row>
    <row r="70" spans="1:42">
      <c r="A70" s="184" t="s">
        <v>53</v>
      </c>
      <c r="B70" s="152">
        <f>SUM(B68:B69)</f>
        <v>13791229.75</v>
      </c>
      <c r="C70" s="152">
        <f t="shared" ref="C70:AP70" si="52">SUM(C68:C69)</f>
        <v>0</v>
      </c>
      <c r="D70" s="152">
        <f t="shared" si="52"/>
        <v>0</v>
      </c>
      <c r="E70" s="152">
        <f t="shared" si="52"/>
        <v>0</v>
      </c>
      <c r="F70" s="152">
        <f t="shared" si="52"/>
        <v>0</v>
      </c>
      <c r="G70" s="152">
        <f t="shared" si="52"/>
        <v>0</v>
      </c>
      <c r="H70" s="152">
        <f t="shared" si="52"/>
        <v>0</v>
      </c>
      <c r="I70" s="152">
        <f t="shared" si="52"/>
        <v>0</v>
      </c>
      <c r="J70" s="152">
        <f t="shared" si="52"/>
        <v>0</v>
      </c>
      <c r="K70" s="152">
        <f t="shared" si="52"/>
        <v>0</v>
      </c>
      <c r="L70" s="152">
        <f t="shared" si="52"/>
        <v>0</v>
      </c>
      <c r="M70" s="152">
        <f t="shared" si="52"/>
        <v>0</v>
      </c>
      <c r="N70" s="152">
        <f t="shared" si="52"/>
        <v>0</v>
      </c>
      <c r="O70" s="152">
        <f t="shared" si="52"/>
        <v>0</v>
      </c>
      <c r="P70" s="152">
        <f t="shared" si="52"/>
        <v>0</v>
      </c>
      <c r="Q70" s="152">
        <f t="shared" si="52"/>
        <v>0</v>
      </c>
      <c r="R70" s="152">
        <f t="shared" si="52"/>
        <v>0</v>
      </c>
      <c r="S70" s="152">
        <f t="shared" si="52"/>
        <v>0</v>
      </c>
      <c r="T70" s="152">
        <f t="shared" si="52"/>
        <v>0</v>
      </c>
      <c r="U70" s="152">
        <f t="shared" si="52"/>
        <v>0</v>
      </c>
      <c r="V70" s="152">
        <f t="shared" si="52"/>
        <v>0</v>
      </c>
      <c r="W70" s="152">
        <f t="shared" si="52"/>
        <v>0</v>
      </c>
      <c r="X70" s="152">
        <f t="shared" si="52"/>
        <v>0</v>
      </c>
      <c r="Y70" s="152">
        <f t="shared" si="52"/>
        <v>0</v>
      </c>
      <c r="Z70" s="152">
        <f t="shared" si="52"/>
        <v>0</v>
      </c>
      <c r="AA70" s="152">
        <f t="shared" si="52"/>
        <v>0</v>
      </c>
      <c r="AB70" s="152">
        <f t="shared" si="52"/>
        <v>0</v>
      </c>
      <c r="AC70" s="152">
        <f t="shared" si="52"/>
        <v>0</v>
      </c>
      <c r="AD70" s="152">
        <f t="shared" si="52"/>
        <v>0</v>
      </c>
      <c r="AE70" s="152">
        <f t="shared" si="52"/>
        <v>0</v>
      </c>
      <c r="AF70" s="152">
        <f t="shared" si="52"/>
        <v>0</v>
      </c>
      <c r="AG70" s="152">
        <f t="shared" si="52"/>
        <v>0</v>
      </c>
      <c r="AH70" s="152">
        <f t="shared" si="52"/>
        <v>0</v>
      </c>
      <c r="AI70" s="152">
        <f t="shared" si="52"/>
        <v>0</v>
      </c>
      <c r="AJ70" s="152">
        <f t="shared" si="52"/>
        <v>0</v>
      </c>
      <c r="AK70" s="152">
        <f t="shared" si="52"/>
        <v>0</v>
      </c>
      <c r="AL70" s="152">
        <f t="shared" si="52"/>
        <v>0</v>
      </c>
      <c r="AM70" s="152">
        <f t="shared" si="52"/>
        <v>0</v>
      </c>
      <c r="AN70" s="152">
        <f t="shared" si="52"/>
        <v>0</v>
      </c>
      <c r="AO70" s="152">
        <f t="shared" si="52"/>
        <v>0</v>
      </c>
      <c r="AP70" s="152">
        <f t="shared" si="52"/>
        <v>0</v>
      </c>
    </row>
    <row r="71" spans="1:42">
      <c r="A71" s="180" t="s">
        <v>375</v>
      </c>
      <c r="B71" s="187">
        <f>'Inputs &amp; Results'!$B$164</f>
        <v>29165458.75</v>
      </c>
      <c r="C71" s="152">
        <v>0</v>
      </c>
      <c r="D71" s="152">
        <v>0</v>
      </c>
      <c r="E71" s="152">
        <v>0</v>
      </c>
      <c r="F71" s="152">
        <v>0</v>
      </c>
      <c r="G71" s="152">
        <v>0</v>
      </c>
      <c r="H71" s="152">
        <v>0</v>
      </c>
      <c r="I71" s="152">
        <v>0</v>
      </c>
      <c r="J71" s="152">
        <v>0</v>
      </c>
      <c r="K71" s="152">
        <v>0</v>
      </c>
      <c r="L71" s="152">
        <v>0</v>
      </c>
      <c r="M71" s="152">
        <v>0</v>
      </c>
      <c r="N71" s="152">
        <v>0</v>
      </c>
      <c r="O71" s="152">
        <v>0</v>
      </c>
      <c r="P71" s="152">
        <v>0</v>
      </c>
      <c r="Q71" s="152">
        <v>0</v>
      </c>
      <c r="R71" s="152">
        <v>0</v>
      </c>
      <c r="S71" s="152">
        <v>0</v>
      </c>
      <c r="T71" s="152">
        <v>0</v>
      </c>
      <c r="U71" s="152">
        <v>0</v>
      </c>
      <c r="V71" s="152">
        <v>0</v>
      </c>
      <c r="W71" s="152">
        <v>0</v>
      </c>
      <c r="X71" s="152">
        <v>0</v>
      </c>
      <c r="Y71" s="152">
        <v>0</v>
      </c>
      <c r="Z71" s="152">
        <v>0</v>
      </c>
      <c r="AA71" s="152">
        <v>0</v>
      </c>
      <c r="AB71" s="152">
        <v>0</v>
      </c>
      <c r="AC71" s="152">
        <v>0</v>
      </c>
      <c r="AD71" s="152">
        <v>0</v>
      </c>
      <c r="AE71" s="152">
        <v>0</v>
      </c>
      <c r="AF71" s="152">
        <v>0</v>
      </c>
      <c r="AG71" s="152">
        <v>0</v>
      </c>
      <c r="AH71" s="152">
        <v>0</v>
      </c>
      <c r="AI71" s="152">
        <v>0</v>
      </c>
      <c r="AJ71" s="152">
        <v>0</v>
      </c>
      <c r="AK71" s="152">
        <v>0</v>
      </c>
      <c r="AL71" s="152">
        <v>0</v>
      </c>
      <c r="AM71" s="152">
        <v>0</v>
      </c>
      <c r="AN71" s="152">
        <v>0</v>
      </c>
      <c r="AO71" s="152">
        <v>0</v>
      </c>
      <c r="AP71" s="152">
        <v>0</v>
      </c>
    </row>
    <row r="72" spans="1:42">
      <c r="A72" s="180" t="s">
        <v>53</v>
      </c>
      <c r="B72" s="187">
        <f t="shared" ref="B72:AP72" si="53">SUM(B70:B71)</f>
        <v>42956688.5</v>
      </c>
      <c r="C72" s="194">
        <f t="shared" si="53"/>
        <v>0</v>
      </c>
      <c r="D72" s="194">
        <f t="shared" si="53"/>
        <v>0</v>
      </c>
      <c r="E72" s="194">
        <f t="shared" si="53"/>
        <v>0</v>
      </c>
      <c r="F72" s="194">
        <f t="shared" si="53"/>
        <v>0</v>
      </c>
      <c r="G72" s="194">
        <f t="shared" si="53"/>
        <v>0</v>
      </c>
      <c r="H72" s="194">
        <f t="shared" si="53"/>
        <v>0</v>
      </c>
      <c r="I72" s="194">
        <f t="shared" si="53"/>
        <v>0</v>
      </c>
      <c r="J72" s="194">
        <f t="shared" si="53"/>
        <v>0</v>
      </c>
      <c r="K72" s="194">
        <f t="shared" si="53"/>
        <v>0</v>
      </c>
      <c r="L72" s="194">
        <f t="shared" si="53"/>
        <v>0</v>
      </c>
      <c r="M72" s="194">
        <f t="shared" si="53"/>
        <v>0</v>
      </c>
      <c r="N72" s="194">
        <f t="shared" si="53"/>
        <v>0</v>
      </c>
      <c r="O72" s="194">
        <f t="shared" si="53"/>
        <v>0</v>
      </c>
      <c r="P72" s="194">
        <f t="shared" si="53"/>
        <v>0</v>
      </c>
      <c r="Q72" s="194">
        <f t="shared" si="53"/>
        <v>0</v>
      </c>
      <c r="R72" s="194">
        <f t="shared" si="53"/>
        <v>0</v>
      </c>
      <c r="S72" s="194">
        <f t="shared" si="53"/>
        <v>0</v>
      </c>
      <c r="T72" s="194">
        <f t="shared" si="53"/>
        <v>0</v>
      </c>
      <c r="U72" s="194">
        <f t="shared" si="53"/>
        <v>0</v>
      </c>
      <c r="V72" s="194">
        <f t="shared" si="53"/>
        <v>0</v>
      </c>
      <c r="W72" s="194">
        <f t="shared" si="53"/>
        <v>0</v>
      </c>
      <c r="X72" s="194">
        <f t="shared" si="53"/>
        <v>0</v>
      </c>
      <c r="Y72" s="194">
        <f t="shared" si="53"/>
        <v>0</v>
      </c>
      <c r="Z72" s="194">
        <f t="shared" si="53"/>
        <v>0</v>
      </c>
      <c r="AA72" s="194">
        <f t="shared" si="53"/>
        <v>0</v>
      </c>
      <c r="AB72" s="194">
        <f t="shared" si="53"/>
        <v>0</v>
      </c>
      <c r="AC72" s="194">
        <f t="shared" si="53"/>
        <v>0</v>
      </c>
      <c r="AD72" s="194">
        <f t="shared" si="53"/>
        <v>0</v>
      </c>
      <c r="AE72" s="194">
        <f t="shared" si="53"/>
        <v>0</v>
      </c>
      <c r="AF72" s="194">
        <f t="shared" si="53"/>
        <v>0</v>
      </c>
      <c r="AG72" s="194">
        <f t="shared" si="53"/>
        <v>0</v>
      </c>
      <c r="AH72" s="194">
        <f t="shared" si="53"/>
        <v>0</v>
      </c>
      <c r="AI72" s="194">
        <f t="shared" si="53"/>
        <v>0</v>
      </c>
      <c r="AJ72" s="194">
        <f t="shared" si="53"/>
        <v>0</v>
      </c>
      <c r="AK72" s="194">
        <f t="shared" si="53"/>
        <v>0</v>
      </c>
      <c r="AL72" s="194">
        <f t="shared" si="53"/>
        <v>0</v>
      </c>
      <c r="AM72" s="194">
        <f t="shared" si="53"/>
        <v>0</v>
      </c>
      <c r="AN72" s="194">
        <f t="shared" si="53"/>
        <v>0</v>
      </c>
      <c r="AO72" s="194">
        <f t="shared" si="53"/>
        <v>0</v>
      </c>
      <c r="AP72" s="194">
        <f t="shared" si="53"/>
        <v>0</v>
      </c>
    </row>
    <row r="73" spans="1:42" ht="13.5" thickBot="1">
      <c r="A73" s="182" t="s">
        <v>188</v>
      </c>
      <c r="B73" s="193">
        <f t="shared" ref="B73:AP73" si="54">B49+B64+B72</f>
        <v>0</v>
      </c>
      <c r="C73" s="193">
        <f t="shared" si="54"/>
        <v>4512071.7585781459</v>
      </c>
      <c r="D73" s="193">
        <f t="shared" si="54"/>
        <v>4559244.9074986624</v>
      </c>
      <c r="E73" s="193">
        <f t="shared" si="54"/>
        <v>4606395.6812844947</v>
      </c>
      <c r="F73" s="193">
        <f t="shared" si="54"/>
        <v>4650149.8780450458</v>
      </c>
      <c r="G73" s="193">
        <f t="shared" si="54"/>
        <v>4697275.2611504216</v>
      </c>
      <c r="H73" s="193">
        <f t="shared" si="54"/>
        <v>4744370.0411907351</v>
      </c>
      <c r="I73" s="193">
        <f t="shared" si="54"/>
        <v>4787905.8034467613</v>
      </c>
      <c r="J73" s="193">
        <f t="shared" si="54"/>
        <v>4834959.3654125025</v>
      </c>
      <c r="K73" s="193">
        <f t="shared" si="54"/>
        <v>4881973.4615835296</v>
      </c>
      <c r="L73" s="193">
        <f t="shared" si="54"/>
        <v>4925258.4155008225</v>
      </c>
      <c r="M73" s="193">
        <f t="shared" si="54"/>
        <v>4972214.2110510981</v>
      </c>
      <c r="N73" s="193">
        <f t="shared" si="54"/>
        <v>5019120.999814719</v>
      </c>
      <c r="O73" s="193">
        <f t="shared" si="54"/>
        <v>4962579.3277905639</v>
      </c>
      <c r="P73" s="193">
        <f t="shared" si="54"/>
        <v>5010249.4939018693</v>
      </c>
      <c r="Q73" s="193">
        <f t="shared" si="54"/>
        <v>5057860.3875673506</v>
      </c>
      <c r="R73" s="193">
        <f t="shared" si="54"/>
        <v>4890857.1377223497</v>
      </c>
      <c r="S73" s="193">
        <f t="shared" si="54"/>
        <v>4940169.4233179679</v>
      </c>
      <c r="T73" s="193">
        <f t="shared" si="54"/>
        <v>4989411.3965939712</v>
      </c>
      <c r="U73" s="193">
        <f t="shared" si="54"/>
        <v>5034364.0050668102</v>
      </c>
      <c r="V73" s="193">
        <f t="shared" si="54"/>
        <v>5083487.9968670346</v>
      </c>
      <c r="W73" s="193">
        <f t="shared" si="54"/>
        <v>5132529.8093553483</v>
      </c>
      <c r="X73" s="193">
        <f t="shared" si="54"/>
        <v>5162746.6366902143</v>
      </c>
      <c r="Y73" s="193">
        <f t="shared" si="54"/>
        <v>5197316.5085833604</v>
      </c>
      <c r="Z73" s="193">
        <f t="shared" si="54"/>
        <v>5231791.4505644403</v>
      </c>
      <c r="AA73" s="193">
        <f t="shared" si="54"/>
        <v>5493353.3397811111</v>
      </c>
      <c r="AB73" s="193">
        <f t="shared" si="54"/>
        <v>5522527.7630004752</v>
      </c>
      <c r="AC73" s="193">
        <f t="shared" si="54"/>
        <v>5551593.5617804173</v>
      </c>
      <c r="AD73" s="193">
        <f t="shared" si="54"/>
        <v>5575726.3428760776</v>
      </c>
      <c r="AE73" s="193">
        <f t="shared" si="54"/>
        <v>5604599.6628475776</v>
      </c>
      <c r="AF73" s="193">
        <f t="shared" si="54"/>
        <v>10006064.655514337</v>
      </c>
      <c r="AG73" s="193">
        <f t="shared" si="54"/>
        <v>0</v>
      </c>
      <c r="AH73" s="193">
        <f t="shared" si="54"/>
        <v>0</v>
      </c>
      <c r="AI73" s="193">
        <f t="shared" si="54"/>
        <v>0</v>
      </c>
      <c r="AJ73" s="193">
        <f t="shared" si="54"/>
        <v>0</v>
      </c>
      <c r="AK73" s="193">
        <f t="shared" si="54"/>
        <v>0</v>
      </c>
      <c r="AL73" s="193">
        <f t="shared" si="54"/>
        <v>0</v>
      </c>
      <c r="AM73" s="193">
        <f t="shared" si="54"/>
        <v>0</v>
      </c>
      <c r="AN73" s="193">
        <f t="shared" si="54"/>
        <v>0</v>
      </c>
      <c r="AO73" s="193">
        <f t="shared" si="54"/>
        <v>0</v>
      </c>
      <c r="AP73" s="193">
        <f t="shared" si="54"/>
        <v>0</v>
      </c>
    </row>
    <row r="74" spans="1:42" ht="13.5" thickTop="1">
      <c r="B74" s="152"/>
      <c r="C74" s="152"/>
      <c r="D74" s="152"/>
      <c r="E74" s="152"/>
      <c r="F74" s="152"/>
      <c r="G74" s="186"/>
      <c r="H74" s="186"/>
      <c r="I74" s="186"/>
      <c r="J74" s="186"/>
      <c r="K74" s="186"/>
      <c r="L74" s="186"/>
      <c r="M74" s="186"/>
      <c r="N74" s="186"/>
      <c r="O74" s="186"/>
      <c r="P74" s="186"/>
      <c r="Q74" s="186"/>
      <c r="R74" s="186"/>
      <c r="S74" s="186"/>
      <c r="T74" s="186"/>
      <c r="U74" s="186"/>
      <c r="V74" s="186"/>
      <c r="W74" s="186"/>
      <c r="X74" s="186"/>
      <c r="Y74" s="186"/>
      <c r="Z74" s="186"/>
      <c r="AA74" s="186"/>
      <c r="AB74" s="186"/>
      <c r="AC74" s="186"/>
      <c r="AD74" s="186"/>
      <c r="AE74" s="186"/>
      <c r="AF74" s="186"/>
      <c r="AG74" s="186"/>
      <c r="AH74" s="186"/>
      <c r="AI74" s="186"/>
      <c r="AJ74" s="186"/>
      <c r="AK74" s="186"/>
      <c r="AL74" s="186"/>
      <c r="AM74" s="186"/>
      <c r="AN74" s="186"/>
      <c r="AO74" s="186"/>
      <c r="AP74" s="186"/>
    </row>
    <row r="75" spans="1:42">
      <c r="A75" s="179" t="s">
        <v>246</v>
      </c>
      <c r="B75" s="152"/>
      <c r="C75" s="152"/>
      <c r="D75" s="152"/>
      <c r="E75" s="152"/>
      <c r="F75" s="152"/>
      <c r="G75" s="186"/>
      <c r="H75" s="186"/>
      <c r="I75" s="186"/>
      <c r="J75" s="186"/>
      <c r="K75" s="186"/>
      <c r="L75" s="186"/>
      <c r="M75" s="186"/>
      <c r="N75" s="186"/>
      <c r="O75" s="186"/>
      <c r="P75" s="186"/>
      <c r="Q75" s="186"/>
      <c r="R75" s="186"/>
      <c r="S75" s="186"/>
      <c r="T75" s="186"/>
      <c r="U75" s="186"/>
      <c r="V75" s="186"/>
      <c r="W75" s="186"/>
      <c r="X75" s="186"/>
      <c r="Y75" s="186"/>
      <c r="Z75" s="186"/>
      <c r="AA75" s="186"/>
      <c r="AB75" s="186"/>
      <c r="AC75" s="186"/>
      <c r="AD75" s="186"/>
      <c r="AE75" s="186"/>
      <c r="AF75" s="186"/>
      <c r="AG75" s="186"/>
      <c r="AH75" s="186"/>
      <c r="AI75" s="186"/>
      <c r="AJ75" s="186"/>
      <c r="AK75" s="186"/>
      <c r="AL75" s="186"/>
      <c r="AM75" s="186"/>
      <c r="AN75" s="186"/>
      <c r="AO75" s="186"/>
      <c r="AP75" s="186"/>
    </row>
    <row r="76" spans="1:42">
      <c r="A76" s="195" t="s">
        <v>213</v>
      </c>
      <c r="B76" s="152"/>
      <c r="C76" s="152"/>
      <c r="D76" s="152"/>
      <c r="E76" s="152"/>
      <c r="F76" s="152"/>
      <c r="G76" s="186"/>
      <c r="H76" s="186"/>
      <c r="I76" s="186"/>
      <c r="J76" s="186"/>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row>
    <row r="77" spans="1:42">
      <c r="A77" s="180" t="s">
        <v>214</v>
      </c>
      <c r="B77" s="186">
        <f>-B71</f>
        <v>-29165458.75</v>
      </c>
      <c r="C77" s="186">
        <f t="shared" ref="C77:AP77" si="55">-C71</f>
        <v>0</v>
      </c>
      <c r="D77" s="186">
        <f t="shared" si="55"/>
        <v>0</v>
      </c>
      <c r="E77" s="186">
        <f t="shared" si="55"/>
        <v>0</v>
      </c>
      <c r="F77" s="186">
        <f t="shared" si="55"/>
        <v>0</v>
      </c>
      <c r="G77" s="186">
        <f t="shared" si="55"/>
        <v>0</v>
      </c>
      <c r="H77" s="186">
        <f t="shared" si="55"/>
        <v>0</v>
      </c>
      <c r="I77" s="186">
        <f t="shared" si="55"/>
        <v>0</v>
      </c>
      <c r="J77" s="186">
        <f t="shared" si="55"/>
        <v>0</v>
      </c>
      <c r="K77" s="186">
        <f t="shared" si="55"/>
        <v>0</v>
      </c>
      <c r="L77" s="186">
        <f t="shared" si="55"/>
        <v>0</v>
      </c>
      <c r="M77" s="186">
        <f t="shared" si="55"/>
        <v>0</v>
      </c>
      <c r="N77" s="186">
        <f t="shared" si="55"/>
        <v>0</v>
      </c>
      <c r="O77" s="186">
        <f t="shared" si="55"/>
        <v>0</v>
      </c>
      <c r="P77" s="186">
        <f t="shared" si="55"/>
        <v>0</v>
      </c>
      <c r="Q77" s="186">
        <f t="shared" si="55"/>
        <v>0</v>
      </c>
      <c r="R77" s="186">
        <f t="shared" si="55"/>
        <v>0</v>
      </c>
      <c r="S77" s="186">
        <f t="shared" si="55"/>
        <v>0</v>
      </c>
      <c r="T77" s="186">
        <f t="shared" si="55"/>
        <v>0</v>
      </c>
      <c r="U77" s="186">
        <f t="shared" si="55"/>
        <v>0</v>
      </c>
      <c r="V77" s="186">
        <f t="shared" si="55"/>
        <v>0</v>
      </c>
      <c r="W77" s="186">
        <f t="shared" si="55"/>
        <v>0</v>
      </c>
      <c r="X77" s="186">
        <f t="shared" si="55"/>
        <v>0</v>
      </c>
      <c r="Y77" s="186">
        <f t="shared" si="55"/>
        <v>0</v>
      </c>
      <c r="Z77" s="186">
        <f t="shared" si="55"/>
        <v>0</v>
      </c>
      <c r="AA77" s="186">
        <f t="shared" si="55"/>
        <v>0</v>
      </c>
      <c r="AB77" s="186">
        <f t="shared" si="55"/>
        <v>0</v>
      </c>
      <c r="AC77" s="186">
        <f t="shared" si="55"/>
        <v>0</v>
      </c>
      <c r="AD77" s="186">
        <f t="shared" si="55"/>
        <v>0</v>
      </c>
      <c r="AE77" s="186">
        <f t="shared" si="55"/>
        <v>0</v>
      </c>
      <c r="AF77" s="186">
        <f t="shared" si="55"/>
        <v>0</v>
      </c>
      <c r="AG77" s="186">
        <f t="shared" si="55"/>
        <v>0</v>
      </c>
      <c r="AH77" s="186">
        <f t="shared" si="55"/>
        <v>0</v>
      </c>
      <c r="AI77" s="186">
        <f t="shared" si="55"/>
        <v>0</v>
      </c>
      <c r="AJ77" s="186">
        <f t="shared" si="55"/>
        <v>0</v>
      </c>
      <c r="AK77" s="186">
        <f t="shared" si="55"/>
        <v>0</v>
      </c>
      <c r="AL77" s="186">
        <f t="shared" si="55"/>
        <v>0</v>
      </c>
      <c r="AM77" s="186">
        <f t="shared" si="55"/>
        <v>0</v>
      </c>
      <c r="AN77" s="186">
        <f t="shared" si="55"/>
        <v>0</v>
      </c>
      <c r="AO77" s="186">
        <f t="shared" si="55"/>
        <v>0</v>
      </c>
      <c r="AP77" s="186">
        <f t="shared" si="55"/>
        <v>0</v>
      </c>
    </row>
    <row r="78" spans="1:42">
      <c r="A78" s="180" t="s">
        <v>215</v>
      </c>
      <c r="B78" s="187">
        <f>B73</f>
        <v>0</v>
      </c>
      <c r="C78" s="187">
        <f t="shared" ref="C78:AP78" si="56">C73</f>
        <v>4512071.7585781459</v>
      </c>
      <c r="D78" s="187">
        <f t="shared" si="56"/>
        <v>4559244.9074986624</v>
      </c>
      <c r="E78" s="187">
        <f t="shared" si="56"/>
        <v>4606395.6812844947</v>
      </c>
      <c r="F78" s="187">
        <f t="shared" si="56"/>
        <v>4650149.8780450458</v>
      </c>
      <c r="G78" s="187">
        <f t="shared" si="56"/>
        <v>4697275.2611504216</v>
      </c>
      <c r="H78" s="187">
        <f t="shared" si="56"/>
        <v>4744370.0411907351</v>
      </c>
      <c r="I78" s="187">
        <f t="shared" si="56"/>
        <v>4787905.8034467613</v>
      </c>
      <c r="J78" s="187">
        <f t="shared" si="56"/>
        <v>4834959.3654125025</v>
      </c>
      <c r="K78" s="187">
        <f t="shared" si="56"/>
        <v>4881973.4615835296</v>
      </c>
      <c r="L78" s="187">
        <f t="shared" si="56"/>
        <v>4925258.4155008225</v>
      </c>
      <c r="M78" s="187">
        <f t="shared" si="56"/>
        <v>4972214.2110510981</v>
      </c>
      <c r="N78" s="187">
        <f t="shared" si="56"/>
        <v>5019120.999814719</v>
      </c>
      <c r="O78" s="187">
        <f t="shared" si="56"/>
        <v>4962579.3277905639</v>
      </c>
      <c r="P78" s="187">
        <f t="shared" si="56"/>
        <v>5010249.4939018693</v>
      </c>
      <c r="Q78" s="187">
        <f t="shared" si="56"/>
        <v>5057860.3875673506</v>
      </c>
      <c r="R78" s="187">
        <f t="shared" si="56"/>
        <v>4890857.1377223497</v>
      </c>
      <c r="S78" s="187">
        <f t="shared" si="56"/>
        <v>4940169.4233179679</v>
      </c>
      <c r="T78" s="187">
        <f t="shared" si="56"/>
        <v>4989411.3965939712</v>
      </c>
      <c r="U78" s="187">
        <f t="shared" si="56"/>
        <v>5034364.0050668102</v>
      </c>
      <c r="V78" s="187">
        <f t="shared" si="56"/>
        <v>5083487.9968670346</v>
      </c>
      <c r="W78" s="187">
        <f t="shared" si="56"/>
        <v>5132529.8093553483</v>
      </c>
      <c r="X78" s="187">
        <f t="shared" si="56"/>
        <v>5162746.6366902143</v>
      </c>
      <c r="Y78" s="187">
        <f t="shared" si="56"/>
        <v>5197316.5085833604</v>
      </c>
      <c r="Z78" s="187">
        <f t="shared" si="56"/>
        <v>5231791.4505644403</v>
      </c>
      <c r="AA78" s="187">
        <f t="shared" si="56"/>
        <v>5493353.3397811111</v>
      </c>
      <c r="AB78" s="187">
        <f t="shared" si="56"/>
        <v>5522527.7630004752</v>
      </c>
      <c r="AC78" s="187">
        <f t="shared" si="56"/>
        <v>5551593.5617804173</v>
      </c>
      <c r="AD78" s="187">
        <f t="shared" si="56"/>
        <v>5575726.3428760776</v>
      </c>
      <c r="AE78" s="187">
        <f t="shared" si="56"/>
        <v>5604599.6628475776</v>
      </c>
      <c r="AF78" s="187">
        <f t="shared" si="56"/>
        <v>10006064.655514337</v>
      </c>
      <c r="AG78" s="187">
        <f t="shared" si="56"/>
        <v>0</v>
      </c>
      <c r="AH78" s="187">
        <f t="shared" si="56"/>
        <v>0</v>
      </c>
      <c r="AI78" s="187">
        <f t="shared" si="56"/>
        <v>0</v>
      </c>
      <c r="AJ78" s="187">
        <f t="shared" si="56"/>
        <v>0</v>
      </c>
      <c r="AK78" s="187">
        <f t="shared" si="56"/>
        <v>0</v>
      </c>
      <c r="AL78" s="187">
        <f t="shared" si="56"/>
        <v>0</v>
      </c>
      <c r="AM78" s="187">
        <f t="shared" si="56"/>
        <v>0</v>
      </c>
      <c r="AN78" s="187">
        <f t="shared" si="56"/>
        <v>0</v>
      </c>
      <c r="AO78" s="187">
        <f t="shared" si="56"/>
        <v>0</v>
      </c>
      <c r="AP78" s="187">
        <f t="shared" si="56"/>
        <v>0</v>
      </c>
    </row>
    <row r="79" spans="1:42">
      <c r="A79" s="180" t="s">
        <v>53</v>
      </c>
      <c r="B79" s="152">
        <f>SUM(B77:B78)</f>
        <v>-29165458.75</v>
      </c>
      <c r="C79" s="152">
        <f t="shared" ref="C79:AP79" si="57">SUM(C77:C78)</f>
        <v>4512071.7585781459</v>
      </c>
      <c r="D79" s="152">
        <f t="shared" si="57"/>
        <v>4559244.9074986624</v>
      </c>
      <c r="E79" s="152">
        <f t="shared" si="57"/>
        <v>4606395.6812844947</v>
      </c>
      <c r="F79" s="152">
        <f t="shared" si="57"/>
        <v>4650149.8780450458</v>
      </c>
      <c r="G79" s="152">
        <f t="shared" si="57"/>
        <v>4697275.2611504216</v>
      </c>
      <c r="H79" s="152">
        <f t="shared" si="57"/>
        <v>4744370.0411907351</v>
      </c>
      <c r="I79" s="152">
        <f t="shared" si="57"/>
        <v>4787905.8034467613</v>
      </c>
      <c r="J79" s="152">
        <f t="shared" si="57"/>
        <v>4834959.3654125025</v>
      </c>
      <c r="K79" s="152">
        <f t="shared" si="57"/>
        <v>4881973.4615835296</v>
      </c>
      <c r="L79" s="152">
        <f t="shared" si="57"/>
        <v>4925258.4155008225</v>
      </c>
      <c r="M79" s="152">
        <f t="shared" si="57"/>
        <v>4972214.2110510981</v>
      </c>
      <c r="N79" s="152">
        <f t="shared" si="57"/>
        <v>5019120.999814719</v>
      </c>
      <c r="O79" s="152">
        <f t="shared" si="57"/>
        <v>4962579.3277905639</v>
      </c>
      <c r="P79" s="152">
        <f t="shared" si="57"/>
        <v>5010249.4939018693</v>
      </c>
      <c r="Q79" s="152">
        <f t="shared" si="57"/>
        <v>5057860.3875673506</v>
      </c>
      <c r="R79" s="152">
        <f t="shared" si="57"/>
        <v>4890857.1377223497</v>
      </c>
      <c r="S79" s="152">
        <f t="shared" si="57"/>
        <v>4940169.4233179679</v>
      </c>
      <c r="T79" s="152">
        <f t="shared" si="57"/>
        <v>4989411.3965939712</v>
      </c>
      <c r="U79" s="152">
        <f t="shared" si="57"/>
        <v>5034364.0050668102</v>
      </c>
      <c r="V79" s="152">
        <f t="shared" si="57"/>
        <v>5083487.9968670346</v>
      </c>
      <c r="W79" s="152">
        <f t="shared" si="57"/>
        <v>5132529.8093553483</v>
      </c>
      <c r="X79" s="152">
        <f t="shared" si="57"/>
        <v>5162746.6366902143</v>
      </c>
      <c r="Y79" s="152">
        <f t="shared" si="57"/>
        <v>5197316.5085833604</v>
      </c>
      <c r="Z79" s="152">
        <f t="shared" si="57"/>
        <v>5231791.4505644403</v>
      </c>
      <c r="AA79" s="152">
        <f t="shared" si="57"/>
        <v>5493353.3397811111</v>
      </c>
      <c r="AB79" s="152">
        <f t="shared" si="57"/>
        <v>5522527.7630004752</v>
      </c>
      <c r="AC79" s="152">
        <f t="shared" si="57"/>
        <v>5551593.5617804173</v>
      </c>
      <c r="AD79" s="152">
        <f t="shared" si="57"/>
        <v>5575726.3428760776</v>
      </c>
      <c r="AE79" s="152">
        <f t="shared" si="57"/>
        <v>5604599.6628475776</v>
      </c>
      <c r="AF79" s="152">
        <f t="shared" si="57"/>
        <v>10006064.655514337</v>
      </c>
      <c r="AG79" s="152">
        <f t="shared" si="57"/>
        <v>0</v>
      </c>
      <c r="AH79" s="152">
        <f t="shared" si="57"/>
        <v>0</v>
      </c>
      <c r="AI79" s="152">
        <f t="shared" si="57"/>
        <v>0</v>
      </c>
      <c r="AJ79" s="152">
        <f t="shared" si="57"/>
        <v>0</v>
      </c>
      <c r="AK79" s="152">
        <f t="shared" si="57"/>
        <v>0</v>
      </c>
      <c r="AL79" s="152">
        <f t="shared" si="57"/>
        <v>0</v>
      </c>
      <c r="AM79" s="152">
        <f t="shared" si="57"/>
        <v>0</v>
      </c>
      <c r="AN79" s="152">
        <f t="shared" si="57"/>
        <v>0</v>
      </c>
      <c r="AO79" s="152">
        <f t="shared" si="57"/>
        <v>0</v>
      </c>
      <c r="AP79" s="152">
        <f t="shared" si="57"/>
        <v>0</v>
      </c>
    </row>
    <row r="80" spans="1:42">
      <c r="A80" s="180"/>
      <c r="B80" s="152"/>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152"/>
      <c r="AC80" s="152"/>
      <c r="AD80" s="152"/>
      <c r="AE80" s="152"/>
      <c r="AF80" s="152"/>
      <c r="AG80" s="152"/>
      <c r="AH80" s="152"/>
      <c r="AI80" s="152"/>
      <c r="AJ80" s="152"/>
      <c r="AK80" s="152"/>
      <c r="AL80" s="152"/>
      <c r="AM80" s="152"/>
      <c r="AN80" s="152"/>
      <c r="AO80" s="152"/>
      <c r="AP80" s="152"/>
    </row>
    <row r="81" spans="1:42">
      <c r="A81" s="180" t="s">
        <v>401</v>
      </c>
      <c r="B81" s="201">
        <f>ROUND(IF(ISERROR(IRR($B79:B$79)),0,IRR($B79:B$79)),4)</f>
        <v>0</v>
      </c>
      <c r="C81" s="201">
        <f>ROUND(IF(ISERROR(IRR($B79:C$79)),0,IRR($B79:C$79)),4)</f>
        <v>0</v>
      </c>
      <c r="D81" s="201">
        <f>ROUND(IF(ISERROR(IRR($B79:D$79)),0,IRR($B79:D$79)),4)</f>
        <v>0</v>
      </c>
      <c r="E81" s="201">
        <f>ROUND(IF(ISERROR(IRR($B79:E$79)),0,IRR($B79:E$79)),4)</f>
        <v>-0.29980000000000001</v>
      </c>
      <c r="F81" s="201">
        <f>ROUND(IF(ISERROR(IRR($B79:F$79)),0,IRR($B79:F$79)),4)</f>
        <v>-0.1623</v>
      </c>
      <c r="G81" s="201">
        <f>ROUND(IF(ISERROR(IRR($B79:G$79)),0,IRR($B79:G$79)),4)</f>
        <v>-7.3499999999999996E-2</v>
      </c>
      <c r="H81" s="201">
        <f>ROUND(IF(ISERROR(IRR($B79:H$79)),0,IRR($B79:H$79)),4)</f>
        <v>-1.37E-2</v>
      </c>
      <c r="I81" s="201">
        <f>ROUND(IF(ISERROR(IRR($B79:I$79)),0,IRR($B79:I$79)),4)</f>
        <v>2.8000000000000001E-2</v>
      </c>
      <c r="J81" s="201">
        <f>ROUND(IF(ISERROR(IRR($B79:J$79)),0,IRR($B79:J$79)),4)</f>
        <v>5.8000000000000003E-2</v>
      </c>
      <c r="K81" s="201">
        <f>ROUND(IF(ISERROR(IRR($B79:K$79)),0,IRR($B79:K$79)),4)</f>
        <v>8.0199999999999994E-2</v>
      </c>
      <c r="L81" s="201">
        <f>ROUND(IF(ISERROR(IRR($B79:L$79)),0,IRR($B79:L$79)),4)</f>
        <v>9.7000000000000003E-2</v>
      </c>
      <c r="M81" s="201">
        <f>ROUND(IF(ISERROR(IRR($B79:M$79)),0,IRR($B79:M$79)),4)</f>
        <v>0.1099</v>
      </c>
      <c r="N81" s="201">
        <f>ROUND(IF(ISERROR(IRR($B79:N$79)),0,IRR($B79:N$79)),4)</f>
        <v>0.11990000000000001</v>
      </c>
      <c r="O81" s="201">
        <f>ROUND(IF(ISERROR(IRR($B79:O$79)),0,IRR($B79:O$79)),4)</f>
        <v>0.12759999999999999</v>
      </c>
      <c r="P81" s="201">
        <f>ROUND(IF(ISERROR(IRR($B79:P$79)),0,IRR($B79:P$79)),4)</f>
        <v>0.13389999999999999</v>
      </c>
      <c r="Q81" s="201">
        <f>ROUND(IF(ISERROR(IRR($B79:Q$79)),0,IRR($B79:Q$79)),4)</f>
        <v>0.1389</v>
      </c>
      <c r="R81" s="201">
        <f>ROUND(IF(ISERROR(IRR($B79:R$79)),0,IRR($B79:R$79)),4)</f>
        <v>0.14280000000000001</v>
      </c>
      <c r="S81" s="201">
        <f>ROUND(IF(ISERROR(IRR($B79:S$79)),0,IRR($B79:S$79)),4)</f>
        <v>0.14599999999999999</v>
      </c>
      <c r="T81" s="201">
        <f>ROUND(IF(ISERROR(IRR($B79:T$79)),0,IRR($B79:T$79)),4)</f>
        <v>0.1487</v>
      </c>
      <c r="U81" s="201">
        <f>ROUND(IF(ISERROR(IRR($B79:U$79)),0,IRR($B79:U$79)),4)</f>
        <v>0.15090000000000001</v>
      </c>
      <c r="V81" s="201">
        <f>ROUND(IF(ISERROR(IRR($B79:V$79)),0,IRR($B79:V$79)),4)</f>
        <v>0.15279999999999999</v>
      </c>
      <c r="W81" s="201">
        <f>ROUND(IF(ISERROR(IRR($B79:W$79)),0,IRR($B79:W$79)),4)</f>
        <v>0.15429999999999999</v>
      </c>
      <c r="X81" s="201">
        <f>ROUND(IF(ISERROR(IRR($B79:X$79)),0,IRR($B79:X$79)),4)</f>
        <v>0.15559999999999999</v>
      </c>
      <c r="Y81" s="201">
        <f>ROUND(IF(ISERROR(IRR($B79:Y$79)),0,IRR($B79:Y$79)),4)</f>
        <v>0.15670000000000001</v>
      </c>
      <c r="Z81" s="201">
        <f>ROUND(IF(ISERROR(IRR($B79:Z$79)),0,IRR($B79:Z$79)),4)</f>
        <v>0.15759999999999999</v>
      </c>
      <c r="AA81" s="201">
        <f>ROUND(IF(ISERROR(IRR($B79:AA$79)),0,IRR($B79:AA$79)),4)</f>
        <v>0.15840000000000001</v>
      </c>
      <c r="AB81" s="201">
        <f>ROUND(IF(ISERROR(IRR($B79:AB$79)),0,IRR($B79:AB$79)),4)</f>
        <v>0.15909999999999999</v>
      </c>
      <c r="AC81" s="201">
        <f>ROUND(IF(ISERROR(IRR($B79:AC$79)),0,IRR($B79:AC$79)),4)</f>
        <v>0.15970000000000001</v>
      </c>
      <c r="AD81" s="201">
        <f>ROUND(IF(ISERROR(IRR($B79:AD$79)),0,IRR($B79:AD$79)),4)</f>
        <v>0.16020000000000001</v>
      </c>
      <c r="AE81" s="201">
        <f>ROUND(IF(ISERROR(IRR($B79:AE$79)),0,IRR($B79:AE$79)),4)</f>
        <v>0.16059999999999999</v>
      </c>
      <c r="AF81" s="201">
        <f>ROUND(IF(ISERROR(IRR($B79:AF$79)),0,IRR($B79:AF$79)),4)</f>
        <v>0.1613</v>
      </c>
      <c r="AG81" s="201">
        <f>ROUND(IF(ISERROR(IRR($B79:AG$79)),0,IRR($B79:AG$79)),4)</f>
        <v>0.1613</v>
      </c>
      <c r="AH81" s="201">
        <f>ROUND(IF(ISERROR(IRR($B79:AH$79)),0,IRR($B79:AH$79)),4)</f>
        <v>0.1613</v>
      </c>
      <c r="AI81" s="201">
        <f>ROUND(IF(ISERROR(IRR($B79:AI$79)),0,IRR($B79:AI$79)),4)</f>
        <v>0.1613</v>
      </c>
      <c r="AJ81" s="201">
        <f>ROUND(IF(ISERROR(IRR($B79:AJ$79)),0,IRR($B79:AJ$79)),4)</f>
        <v>0.1613</v>
      </c>
      <c r="AK81" s="201">
        <f>ROUND(IF(ISERROR(IRR($B79:AK$79)),0,IRR($B79:AK$79)),4)</f>
        <v>0.1613</v>
      </c>
      <c r="AL81" s="201">
        <f>ROUND(IF(ISERROR(IRR($B79:AL$79)),0,IRR($B79:AL$79)),4)</f>
        <v>0.1613</v>
      </c>
      <c r="AM81" s="201">
        <f>ROUND(IF(ISERROR(IRR($B79:AM$79)),0,IRR($B79:AM$79)),4)</f>
        <v>0.1613</v>
      </c>
      <c r="AN81" s="201">
        <f>ROUND(IF(ISERROR(IRR($B79:AN$79)),0,IRR($B79:AN$79)),4)</f>
        <v>0.1613</v>
      </c>
      <c r="AO81" s="201">
        <f>ROUND(IF(ISERROR(IRR($B79:AO$79)),0,IRR($B79:AO$79)),4)</f>
        <v>0.1613</v>
      </c>
      <c r="AP81" s="201">
        <f>ROUND(IF(ISERROR(IRR($B79:AP$79)),0,IRR($B79:AP$79)),4)</f>
        <v>0.1613</v>
      </c>
    </row>
    <row r="82" spans="1:42">
      <c r="A82" s="180" t="s">
        <v>402</v>
      </c>
      <c r="B82" s="251">
        <f>B79</f>
        <v>-29165458.75</v>
      </c>
      <c r="C82" s="251">
        <f>NPV(DiscountRate,$C79:C79)+$B$79</f>
        <v>-24987614.529094309</v>
      </c>
      <c r="D82" s="251">
        <f>NPV(DiscountRate,$C79:D79)+$B$79</f>
        <v>-21078796.878632493</v>
      </c>
      <c r="E82" s="251">
        <f>NPV(DiscountRate,$C79:E79)+$B$79</f>
        <v>-17422091.471932791</v>
      </c>
      <c r="F82" s="251">
        <f>NPV(DiscountRate,$C79:F79)+$B$79</f>
        <v>-14004092.491591895</v>
      </c>
      <c r="G82" s="251">
        <f>NPV(DiscountRate,$C79:G79)+$B$79</f>
        <v>-10807205.877010584</v>
      </c>
      <c r="H82" s="251">
        <f>NPV(DiscountRate,$C79:H79)+$B$79</f>
        <v>-7817447.9783580378</v>
      </c>
      <c r="I82" s="251">
        <f>NPV(DiscountRate,$C79:I79)+$B$79</f>
        <v>-5023750.9286270216</v>
      </c>
      <c r="J82" s="251">
        <f>NPV(DiscountRate,$C79:J79)+$B$79</f>
        <v>-2411572.8256632276</v>
      </c>
      <c r="K82" s="251">
        <f>NPV(DiscountRate,$C79:K79)+$B$79</f>
        <v>30629.356057126075</v>
      </c>
      <c r="L82" s="251">
        <f>NPV(DiscountRate,$C79:L79)+$B$79</f>
        <v>2311976.9812513962</v>
      </c>
      <c r="M82" s="251">
        <f>NPV(DiscountRate,$C79:M79)+$B$79</f>
        <v>4444474.4293263927</v>
      </c>
      <c r="N82" s="251">
        <f>NPV(DiscountRate,$C79:N79)+$B$79</f>
        <v>6437636.4346618429</v>
      </c>
      <c r="O82" s="251">
        <f>NPV(DiscountRate,$C79:O79)+$B$79</f>
        <v>8262366.5545116663</v>
      </c>
      <c r="P82" s="251">
        <f>NPV(DiscountRate,$C79:P79)+$B$79</f>
        <v>9968161.3146947473</v>
      </c>
      <c r="Q82" s="251">
        <f>NPV(DiscountRate,$C79:Q79)+$B$79</f>
        <v>11562609.846750915</v>
      </c>
      <c r="R82" s="251">
        <f>NPV(DiscountRate,$C79:R79)+$B$79</f>
        <v>12990204.423454791</v>
      </c>
      <c r="S82" s="251">
        <f>NPV(DiscountRate,$C79:S79)+$B$79</f>
        <v>14325378.833457462</v>
      </c>
      <c r="T82" s="251">
        <f>NPV(DiscountRate,$C79:T79)+$B$79</f>
        <v>15573974.191315867</v>
      </c>
      <c r="U82" s="251">
        <f>NPV(DiscountRate,$C79:U79)+$B$79</f>
        <v>16740497.065838985</v>
      </c>
      <c r="V82" s="251">
        <f>NPV(DiscountRate,$C79:V79)+$B$79</f>
        <v>17831150.302926846</v>
      </c>
      <c r="W82" s="251">
        <f>NPV(DiscountRate,$C79:W79)+$B$79</f>
        <v>18850756.849264875</v>
      </c>
      <c r="X82" s="251">
        <f>NPV(DiscountRate,$C79:X79)+$B$79</f>
        <v>19800395.083303973</v>
      </c>
      <c r="Y82" s="251">
        <f>NPV(DiscountRate,$C79:Y79)+$B$79</f>
        <v>20685577.522010662</v>
      </c>
      <c r="Z82" s="251">
        <f>NPV(DiscountRate,$C79:Z79)+$B$79</f>
        <v>21510627.566687591</v>
      </c>
      <c r="AA82" s="251">
        <f>NPV(DiscountRate,$C79:AA79)+$B$79</f>
        <v>22312755.512308784</v>
      </c>
      <c r="AB82" s="251">
        <f>NPV(DiscountRate,$C79:AB79)+$B$79</f>
        <v>23059411.006546497</v>
      </c>
      <c r="AC82" s="251">
        <f>NPV(DiscountRate,$C79:AC79)+$B$79</f>
        <v>23754397.341268025</v>
      </c>
      <c r="AD82" s="251">
        <f>NPV(DiscountRate,$C79:AD79)+$B$79</f>
        <v>24400700.527198225</v>
      </c>
      <c r="AE82" s="251">
        <f>NPV(DiscountRate,$C79:AE79)+$B$79</f>
        <v>25002228.304861799</v>
      </c>
      <c r="AF82" s="251">
        <f>NPV(DiscountRate,$C79:AF79)+$B$79</f>
        <v>25996604.319647655</v>
      </c>
      <c r="AG82" s="251">
        <f>NPV(DiscountRate,$C79:AG79)+$B$79</f>
        <v>25996604.319647655</v>
      </c>
      <c r="AH82" s="251">
        <f>NPV(DiscountRate,$C79:AH79)+$B$79</f>
        <v>25996604.319647655</v>
      </c>
      <c r="AI82" s="251">
        <f>NPV(DiscountRate,$C79:AI79)+$B$79</f>
        <v>25996604.319647655</v>
      </c>
      <c r="AJ82" s="251">
        <f>NPV(DiscountRate,$C79:AJ79)+$B$79</f>
        <v>25996604.319647655</v>
      </c>
      <c r="AK82" s="251">
        <f>NPV(DiscountRate,$C79:AK79)+$B$79</f>
        <v>25996604.319647655</v>
      </c>
      <c r="AL82" s="251">
        <f>NPV(DiscountRate,$C79:AL79)+$B$79</f>
        <v>25996604.319647655</v>
      </c>
      <c r="AM82" s="251">
        <f>NPV(DiscountRate,$C79:AM79)+$B$79</f>
        <v>25996604.319647655</v>
      </c>
      <c r="AN82" s="251">
        <f>NPV(DiscountRate,$C79:AN79)+$B$79</f>
        <v>25996604.319647655</v>
      </c>
      <c r="AO82" s="251">
        <f>NPV(DiscountRate,$C79:AO79)+$B$79</f>
        <v>25996604.319647655</v>
      </c>
      <c r="AP82" s="251">
        <f>NPV(DiscountRate,$C79:AP79)+$B$79</f>
        <v>25996604.319647655</v>
      </c>
    </row>
    <row r="83" spans="1:42">
      <c r="A83" s="180"/>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95" t="s">
        <v>218</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s="118" customFormat="1">
      <c r="A85" s="197" t="s">
        <v>219</v>
      </c>
      <c r="B85" s="198"/>
      <c r="C85" s="198"/>
      <c r="D85" s="198"/>
      <c r="E85" s="198"/>
      <c r="F85" s="198"/>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141"/>
      <c r="AK85" s="141"/>
      <c r="AL85" s="141"/>
      <c r="AM85" s="141"/>
      <c r="AN85" s="141"/>
      <c r="AO85" s="141"/>
      <c r="AP85" s="141"/>
    </row>
    <row r="86" spans="1:42">
      <c r="A86" s="184" t="s">
        <v>214</v>
      </c>
      <c r="B86" s="186">
        <f>B77</f>
        <v>-29165458.75</v>
      </c>
      <c r="C86" s="186">
        <f t="shared" ref="C86:AP87" si="58">C77</f>
        <v>0</v>
      </c>
      <c r="D86" s="186">
        <f t="shared" si="58"/>
        <v>0</v>
      </c>
      <c r="E86" s="186">
        <f t="shared" si="58"/>
        <v>0</v>
      </c>
      <c r="F86" s="186">
        <f t="shared" si="58"/>
        <v>0</v>
      </c>
      <c r="G86" s="186">
        <f t="shared" si="58"/>
        <v>0</v>
      </c>
      <c r="H86" s="186">
        <f t="shared" si="58"/>
        <v>0</v>
      </c>
      <c r="I86" s="186">
        <f t="shared" si="58"/>
        <v>0</v>
      </c>
      <c r="J86" s="186">
        <f t="shared" si="58"/>
        <v>0</v>
      </c>
      <c r="K86" s="186">
        <f t="shared" si="58"/>
        <v>0</v>
      </c>
      <c r="L86" s="186">
        <f t="shared" si="58"/>
        <v>0</v>
      </c>
      <c r="M86" s="186">
        <f t="shared" si="58"/>
        <v>0</v>
      </c>
      <c r="N86" s="186">
        <f t="shared" si="58"/>
        <v>0</v>
      </c>
      <c r="O86" s="186">
        <f t="shared" si="58"/>
        <v>0</v>
      </c>
      <c r="P86" s="186">
        <f t="shared" si="58"/>
        <v>0</v>
      </c>
      <c r="Q86" s="186">
        <f t="shared" si="58"/>
        <v>0</v>
      </c>
      <c r="R86" s="186">
        <f t="shared" si="58"/>
        <v>0</v>
      </c>
      <c r="S86" s="186">
        <f t="shared" si="58"/>
        <v>0</v>
      </c>
      <c r="T86" s="186">
        <f t="shared" si="58"/>
        <v>0</v>
      </c>
      <c r="U86" s="186">
        <f t="shared" si="58"/>
        <v>0</v>
      </c>
      <c r="V86" s="186">
        <f t="shared" si="58"/>
        <v>0</v>
      </c>
      <c r="W86" s="186">
        <f t="shared" si="58"/>
        <v>0</v>
      </c>
      <c r="X86" s="186">
        <f t="shared" si="58"/>
        <v>0</v>
      </c>
      <c r="Y86" s="186">
        <f t="shared" si="58"/>
        <v>0</v>
      </c>
      <c r="Z86" s="186">
        <f t="shared" si="58"/>
        <v>0</v>
      </c>
      <c r="AA86" s="186">
        <f t="shared" si="58"/>
        <v>0</v>
      </c>
      <c r="AB86" s="186">
        <f t="shared" si="58"/>
        <v>0</v>
      </c>
      <c r="AC86" s="186">
        <f t="shared" si="58"/>
        <v>0</v>
      </c>
      <c r="AD86" s="186">
        <f t="shared" si="58"/>
        <v>0</v>
      </c>
      <c r="AE86" s="186">
        <f t="shared" si="58"/>
        <v>0</v>
      </c>
      <c r="AF86" s="186">
        <f t="shared" si="58"/>
        <v>0</v>
      </c>
      <c r="AG86" s="186">
        <f t="shared" si="58"/>
        <v>0</v>
      </c>
      <c r="AH86" s="186">
        <f t="shared" si="58"/>
        <v>0</v>
      </c>
      <c r="AI86" s="186">
        <f t="shared" si="58"/>
        <v>0</v>
      </c>
      <c r="AJ86" s="186">
        <f t="shared" si="58"/>
        <v>0</v>
      </c>
      <c r="AK86" s="186">
        <f t="shared" si="58"/>
        <v>0</v>
      </c>
      <c r="AL86" s="186">
        <f t="shared" si="58"/>
        <v>0</v>
      </c>
      <c r="AM86" s="186">
        <f t="shared" si="58"/>
        <v>0</v>
      </c>
      <c r="AN86" s="186">
        <f t="shared" si="58"/>
        <v>0</v>
      </c>
      <c r="AO86" s="186">
        <f t="shared" si="58"/>
        <v>0</v>
      </c>
      <c r="AP86" s="186">
        <f t="shared" si="58"/>
        <v>0</v>
      </c>
    </row>
    <row r="87" spans="1:42">
      <c r="A87" s="184" t="s">
        <v>215</v>
      </c>
      <c r="B87" s="187">
        <f>B78</f>
        <v>0</v>
      </c>
      <c r="C87" s="187">
        <f t="shared" si="58"/>
        <v>4512071.7585781459</v>
      </c>
      <c r="D87" s="187">
        <f t="shared" si="58"/>
        <v>4559244.9074986624</v>
      </c>
      <c r="E87" s="187">
        <f t="shared" si="58"/>
        <v>4606395.6812844947</v>
      </c>
      <c r="F87" s="187">
        <f t="shared" si="58"/>
        <v>4650149.8780450458</v>
      </c>
      <c r="G87" s="187">
        <f t="shared" si="58"/>
        <v>4697275.2611504216</v>
      </c>
      <c r="H87" s="187">
        <f t="shared" si="58"/>
        <v>4744370.0411907351</v>
      </c>
      <c r="I87" s="187">
        <f t="shared" si="58"/>
        <v>4787905.8034467613</v>
      </c>
      <c r="J87" s="187">
        <f t="shared" si="58"/>
        <v>4834959.3654125025</v>
      </c>
      <c r="K87" s="187">
        <f t="shared" si="58"/>
        <v>4881973.4615835296</v>
      </c>
      <c r="L87" s="187">
        <f t="shared" si="58"/>
        <v>4925258.4155008225</v>
      </c>
      <c r="M87" s="187">
        <f t="shared" si="58"/>
        <v>4972214.2110510981</v>
      </c>
      <c r="N87" s="187">
        <f t="shared" si="58"/>
        <v>5019120.999814719</v>
      </c>
      <c r="O87" s="187">
        <f t="shared" si="58"/>
        <v>4962579.3277905639</v>
      </c>
      <c r="P87" s="187">
        <f t="shared" si="58"/>
        <v>5010249.4939018693</v>
      </c>
      <c r="Q87" s="187">
        <f t="shared" si="58"/>
        <v>5057860.3875673506</v>
      </c>
      <c r="R87" s="187">
        <f t="shared" si="58"/>
        <v>4890857.1377223497</v>
      </c>
      <c r="S87" s="187">
        <f t="shared" si="58"/>
        <v>4940169.4233179679</v>
      </c>
      <c r="T87" s="187">
        <f t="shared" si="58"/>
        <v>4989411.3965939712</v>
      </c>
      <c r="U87" s="187">
        <f t="shared" si="58"/>
        <v>5034364.0050668102</v>
      </c>
      <c r="V87" s="187">
        <f t="shared" si="58"/>
        <v>5083487.9968670346</v>
      </c>
      <c r="W87" s="187">
        <f t="shared" si="58"/>
        <v>5132529.8093553483</v>
      </c>
      <c r="X87" s="187">
        <f t="shared" si="58"/>
        <v>5162746.6366902143</v>
      </c>
      <c r="Y87" s="187">
        <f t="shared" si="58"/>
        <v>5197316.5085833604</v>
      </c>
      <c r="Z87" s="187">
        <f t="shared" si="58"/>
        <v>5231791.4505644403</v>
      </c>
      <c r="AA87" s="187">
        <f t="shared" si="58"/>
        <v>5493353.3397811111</v>
      </c>
      <c r="AB87" s="187">
        <f t="shared" si="58"/>
        <v>5522527.7630004752</v>
      </c>
      <c r="AC87" s="187">
        <f t="shared" si="58"/>
        <v>5551593.5617804173</v>
      </c>
      <c r="AD87" s="187">
        <f t="shared" si="58"/>
        <v>5575726.3428760776</v>
      </c>
      <c r="AE87" s="187">
        <f t="shared" si="58"/>
        <v>5604599.6628475776</v>
      </c>
      <c r="AF87" s="187">
        <f t="shared" si="58"/>
        <v>10006064.655514337</v>
      </c>
      <c r="AG87" s="187">
        <f t="shared" si="58"/>
        <v>0</v>
      </c>
      <c r="AH87" s="187">
        <f t="shared" si="58"/>
        <v>0</v>
      </c>
      <c r="AI87" s="187">
        <f t="shared" si="58"/>
        <v>0</v>
      </c>
      <c r="AJ87" s="187">
        <f t="shared" si="58"/>
        <v>0</v>
      </c>
      <c r="AK87" s="187">
        <f t="shared" si="58"/>
        <v>0</v>
      </c>
      <c r="AL87" s="187">
        <f t="shared" si="58"/>
        <v>0</v>
      </c>
      <c r="AM87" s="187">
        <f t="shared" si="58"/>
        <v>0</v>
      </c>
      <c r="AN87" s="187">
        <f t="shared" si="58"/>
        <v>0</v>
      </c>
      <c r="AO87" s="187">
        <f t="shared" si="58"/>
        <v>0</v>
      </c>
      <c r="AP87" s="187">
        <f t="shared" si="58"/>
        <v>0</v>
      </c>
    </row>
    <row r="88" spans="1:42">
      <c r="A88" s="184" t="s">
        <v>220</v>
      </c>
      <c r="B88" s="152">
        <f>SUM(B86:B87)</f>
        <v>-29165458.75</v>
      </c>
      <c r="C88" s="152">
        <f t="shared" ref="C88:AP88" si="59">SUM(C86:C87)</f>
        <v>4512071.7585781459</v>
      </c>
      <c r="D88" s="152">
        <f t="shared" si="59"/>
        <v>4559244.9074986624</v>
      </c>
      <c r="E88" s="152">
        <f t="shared" si="59"/>
        <v>4606395.6812844947</v>
      </c>
      <c r="F88" s="152">
        <f t="shared" si="59"/>
        <v>4650149.8780450458</v>
      </c>
      <c r="G88" s="152">
        <f t="shared" si="59"/>
        <v>4697275.2611504216</v>
      </c>
      <c r="H88" s="152">
        <f t="shared" si="59"/>
        <v>4744370.0411907351</v>
      </c>
      <c r="I88" s="152">
        <f t="shared" si="59"/>
        <v>4787905.8034467613</v>
      </c>
      <c r="J88" s="152">
        <f t="shared" si="59"/>
        <v>4834959.3654125025</v>
      </c>
      <c r="K88" s="152">
        <f t="shared" si="59"/>
        <v>4881973.4615835296</v>
      </c>
      <c r="L88" s="152">
        <f t="shared" si="59"/>
        <v>4925258.4155008225</v>
      </c>
      <c r="M88" s="152">
        <f t="shared" si="59"/>
        <v>4972214.2110510981</v>
      </c>
      <c r="N88" s="152">
        <f t="shared" si="59"/>
        <v>5019120.999814719</v>
      </c>
      <c r="O88" s="152">
        <f t="shared" si="59"/>
        <v>4962579.3277905639</v>
      </c>
      <c r="P88" s="152">
        <f t="shared" si="59"/>
        <v>5010249.4939018693</v>
      </c>
      <c r="Q88" s="152">
        <f t="shared" si="59"/>
        <v>5057860.3875673506</v>
      </c>
      <c r="R88" s="152">
        <f t="shared" si="59"/>
        <v>4890857.1377223497</v>
      </c>
      <c r="S88" s="152">
        <f t="shared" si="59"/>
        <v>4940169.4233179679</v>
      </c>
      <c r="T88" s="152">
        <f t="shared" si="59"/>
        <v>4989411.3965939712</v>
      </c>
      <c r="U88" s="152">
        <f t="shared" si="59"/>
        <v>5034364.0050668102</v>
      </c>
      <c r="V88" s="152">
        <f t="shared" si="59"/>
        <v>5083487.9968670346</v>
      </c>
      <c r="W88" s="152">
        <f t="shared" si="59"/>
        <v>5132529.8093553483</v>
      </c>
      <c r="X88" s="152">
        <f t="shared" si="59"/>
        <v>5162746.6366902143</v>
      </c>
      <c r="Y88" s="152">
        <f t="shared" si="59"/>
        <v>5197316.5085833604</v>
      </c>
      <c r="Z88" s="152">
        <f t="shared" si="59"/>
        <v>5231791.4505644403</v>
      </c>
      <c r="AA88" s="152">
        <f t="shared" si="59"/>
        <v>5493353.3397811111</v>
      </c>
      <c r="AB88" s="152">
        <f t="shared" si="59"/>
        <v>5522527.7630004752</v>
      </c>
      <c r="AC88" s="152">
        <f t="shared" si="59"/>
        <v>5551593.5617804173</v>
      </c>
      <c r="AD88" s="152">
        <f t="shared" si="59"/>
        <v>5575726.3428760776</v>
      </c>
      <c r="AE88" s="152">
        <f t="shared" si="59"/>
        <v>5604599.6628475776</v>
      </c>
      <c r="AF88" s="152">
        <f t="shared" si="59"/>
        <v>10006064.655514337</v>
      </c>
      <c r="AG88" s="152">
        <f t="shared" si="59"/>
        <v>0</v>
      </c>
      <c r="AH88" s="152">
        <f t="shared" si="59"/>
        <v>0</v>
      </c>
      <c r="AI88" s="152">
        <f t="shared" si="59"/>
        <v>0</v>
      </c>
      <c r="AJ88" s="152">
        <f t="shared" si="59"/>
        <v>0</v>
      </c>
      <c r="AK88" s="152">
        <f t="shared" si="59"/>
        <v>0</v>
      </c>
      <c r="AL88" s="152">
        <f t="shared" si="59"/>
        <v>0</v>
      </c>
      <c r="AM88" s="152">
        <f t="shared" si="59"/>
        <v>0</v>
      </c>
      <c r="AN88" s="152">
        <f t="shared" si="59"/>
        <v>0</v>
      </c>
      <c r="AO88" s="152">
        <f t="shared" si="59"/>
        <v>0</v>
      </c>
      <c r="AP88" s="152">
        <f t="shared" si="59"/>
        <v>0</v>
      </c>
    </row>
    <row r="89" spans="1:42">
      <c r="A89" s="180" t="s">
        <v>33</v>
      </c>
      <c r="B89" s="152"/>
      <c r="C89" s="152"/>
      <c r="D89" s="152"/>
      <c r="E89" s="152"/>
      <c r="F89" s="152"/>
      <c r="G89" s="186"/>
      <c r="H89" s="186"/>
      <c r="I89" s="186"/>
      <c r="J89" s="186"/>
      <c r="K89" s="186"/>
      <c r="L89" s="186"/>
      <c r="M89" s="186"/>
      <c r="N89" s="186"/>
      <c r="O89" s="186"/>
      <c r="P89" s="186"/>
      <c r="Q89" s="186"/>
      <c r="R89" s="186"/>
      <c r="S89" s="186"/>
      <c r="T89" s="186"/>
      <c r="U89" s="186"/>
      <c r="V89" s="186"/>
      <c r="W89" s="186"/>
      <c r="X89" s="186"/>
      <c r="Y89" s="186"/>
      <c r="Z89" s="186"/>
      <c r="AA89" s="186"/>
      <c r="AB89" s="186"/>
      <c r="AC89" s="186"/>
      <c r="AD89" s="186"/>
      <c r="AE89" s="186"/>
      <c r="AF89" s="186"/>
      <c r="AG89" s="186"/>
      <c r="AH89" s="186"/>
      <c r="AI89" s="186"/>
      <c r="AJ89" s="186"/>
      <c r="AK89" s="186"/>
      <c r="AL89" s="186"/>
      <c r="AM89" s="186"/>
      <c r="AN89" s="186"/>
      <c r="AO89" s="186"/>
      <c r="AP89" s="186"/>
    </row>
    <row r="90" spans="1:42">
      <c r="A90" s="184" t="s">
        <v>37</v>
      </c>
      <c r="B90" s="152">
        <v>0</v>
      </c>
      <c r="C90" s="152">
        <f>I284+K284</f>
        <v>20000</v>
      </c>
      <c r="D90" s="152">
        <v>0</v>
      </c>
      <c r="E90" s="152">
        <v>0</v>
      </c>
      <c r="F90" s="152">
        <v>0</v>
      </c>
      <c r="G90" s="152">
        <v>0</v>
      </c>
      <c r="H90" s="152">
        <v>0</v>
      </c>
      <c r="I90" s="152">
        <v>0</v>
      </c>
      <c r="J90" s="152">
        <v>0</v>
      </c>
      <c r="K90" s="152">
        <v>0</v>
      </c>
      <c r="L90" s="152">
        <v>0</v>
      </c>
      <c r="M90" s="152">
        <v>0</v>
      </c>
      <c r="N90" s="152">
        <v>0</v>
      </c>
      <c r="O90" s="152">
        <v>0</v>
      </c>
      <c r="P90" s="152">
        <v>0</v>
      </c>
      <c r="Q90" s="152">
        <v>0</v>
      </c>
      <c r="R90" s="152">
        <v>0</v>
      </c>
      <c r="S90" s="152">
        <v>0</v>
      </c>
      <c r="T90" s="152">
        <v>0</v>
      </c>
      <c r="U90" s="152">
        <v>0</v>
      </c>
      <c r="V90" s="152">
        <v>0</v>
      </c>
      <c r="W90" s="152">
        <v>0</v>
      </c>
      <c r="X90" s="152">
        <v>0</v>
      </c>
      <c r="Y90" s="152">
        <v>0</v>
      </c>
      <c r="Z90" s="152">
        <v>0</v>
      </c>
      <c r="AA90" s="152">
        <v>0</v>
      </c>
      <c r="AB90" s="152">
        <v>0</v>
      </c>
      <c r="AC90" s="152">
        <v>0</v>
      </c>
      <c r="AD90" s="152">
        <v>0</v>
      </c>
      <c r="AE90" s="152">
        <v>0</v>
      </c>
      <c r="AF90" s="152">
        <v>0</v>
      </c>
      <c r="AG90" s="152">
        <v>0</v>
      </c>
      <c r="AH90" s="152">
        <v>0</v>
      </c>
      <c r="AI90" s="152">
        <v>0</v>
      </c>
      <c r="AJ90" s="152">
        <v>0</v>
      </c>
      <c r="AK90" s="152">
        <v>0</v>
      </c>
      <c r="AL90" s="152">
        <v>0</v>
      </c>
      <c r="AM90" s="152">
        <v>0</v>
      </c>
      <c r="AN90" s="152">
        <v>0</v>
      </c>
      <c r="AO90" s="152">
        <v>0</v>
      </c>
      <c r="AP90" s="152">
        <v>0</v>
      </c>
    </row>
    <row r="91" spans="1:42">
      <c r="A91" s="184" t="s">
        <v>36</v>
      </c>
      <c r="B91" s="187">
        <v>0</v>
      </c>
      <c r="C91" s="187">
        <f>I418+K418</f>
        <v>10000</v>
      </c>
      <c r="D91" s="187">
        <v>0</v>
      </c>
      <c r="E91" s="187">
        <v>0</v>
      </c>
      <c r="F91" s="187">
        <v>0</v>
      </c>
      <c r="G91" s="187">
        <v>0</v>
      </c>
      <c r="H91" s="187">
        <v>0</v>
      </c>
      <c r="I91" s="187">
        <v>0</v>
      </c>
      <c r="J91" s="187">
        <v>0</v>
      </c>
      <c r="K91" s="187">
        <v>0</v>
      </c>
      <c r="L91" s="187">
        <v>0</v>
      </c>
      <c r="M91" s="187">
        <v>0</v>
      </c>
      <c r="N91" s="187">
        <v>0</v>
      </c>
      <c r="O91" s="187">
        <v>0</v>
      </c>
      <c r="P91" s="187">
        <v>0</v>
      </c>
      <c r="Q91" s="187">
        <v>0</v>
      </c>
      <c r="R91" s="187">
        <v>0</v>
      </c>
      <c r="S91" s="187">
        <v>0</v>
      </c>
      <c r="T91" s="187">
        <v>0</v>
      </c>
      <c r="U91" s="187">
        <v>0</v>
      </c>
      <c r="V91" s="187">
        <v>0</v>
      </c>
      <c r="W91" s="187">
        <v>0</v>
      </c>
      <c r="X91" s="187">
        <v>0</v>
      </c>
      <c r="Y91" s="187">
        <v>0</v>
      </c>
      <c r="Z91" s="187">
        <v>0</v>
      </c>
      <c r="AA91" s="187">
        <v>0</v>
      </c>
      <c r="AB91" s="187">
        <v>0</v>
      </c>
      <c r="AC91" s="187">
        <v>0</v>
      </c>
      <c r="AD91" s="187">
        <v>0</v>
      </c>
      <c r="AE91" s="187">
        <v>0</v>
      </c>
      <c r="AF91" s="187">
        <v>0</v>
      </c>
      <c r="AG91" s="187">
        <v>0</v>
      </c>
      <c r="AH91" s="187">
        <v>0</v>
      </c>
      <c r="AI91" s="187">
        <v>0</v>
      </c>
      <c r="AJ91" s="187">
        <v>0</v>
      </c>
      <c r="AK91" s="187">
        <v>0</v>
      </c>
      <c r="AL91" s="187">
        <v>0</v>
      </c>
      <c r="AM91" s="187">
        <v>0</v>
      </c>
      <c r="AN91" s="187">
        <v>0</v>
      </c>
      <c r="AO91" s="187">
        <v>0</v>
      </c>
      <c r="AP91" s="187">
        <v>0</v>
      </c>
    </row>
    <row r="92" spans="1:42">
      <c r="A92" s="184" t="s">
        <v>53</v>
      </c>
      <c r="B92" s="152">
        <f>SUM(B90:B91)</f>
        <v>0</v>
      </c>
      <c r="C92" s="152">
        <f>SUM(C90:C91)</f>
        <v>30000</v>
      </c>
      <c r="D92" s="152">
        <f>SUM(D90:D91)</f>
        <v>0</v>
      </c>
      <c r="E92" s="152">
        <f t="shared" ref="E92:AP92" si="60">SUM(E90:E91)</f>
        <v>0</v>
      </c>
      <c r="F92" s="152">
        <f t="shared" si="60"/>
        <v>0</v>
      </c>
      <c r="G92" s="152">
        <f t="shared" si="60"/>
        <v>0</v>
      </c>
      <c r="H92" s="152">
        <f t="shared" si="60"/>
        <v>0</v>
      </c>
      <c r="I92" s="152">
        <f t="shared" si="60"/>
        <v>0</v>
      </c>
      <c r="J92" s="152">
        <f t="shared" si="60"/>
        <v>0</v>
      </c>
      <c r="K92" s="152">
        <f t="shared" si="60"/>
        <v>0</v>
      </c>
      <c r="L92" s="152">
        <f t="shared" si="60"/>
        <v>0</v>
      </c>
      <c r="M92" s="152">
        <f t="shared" si="60"/>
        <v>0</v>
      </c>
      <c r="N92" s="152">
        <f t="shared" si="60"/>
        <v>0</v>
      </c>
      <c r="O92" s="152">
        <f t="shared" si="60"/>
        <v>0</v>
      </c>
      <c r="P92" s="152">
        <f t="shared" si="60"/>
        <v>0</v>
      </c>
      <c r="Q92" s="152">
        <f t="shared" si="60"/>
        <v>0</v>
      </c>
      <c r="R92" s="152">
        <f t="shared" si="60"/>
        <v>0</v>
      </c>
      <c r="S92" s="152">
        <f t="shared" si="60"/>
        <v>0</v>
      </c>
      <c r="T92" s="152">
        <f t="shared" si="60"/>
        <v>0</v>
      </c>
      <c r="U92" s="152">
        <f t="shared" si="60"/>
        <v>0</v>
      </c>
      <c r="V92" s="152">
        <f t="shared" si="60"/>
        <v>0</v>
      </c>
      <c r="W92" s="152">
        <f t="shared" si="60"/>
        <v>0</v>
      </c>
      <c r="X92" s="152">
        <f t="shared" si="60"/>
        <v>0</v>
      </c>
      <c r="Y92" s="152">
        <f t="shared" si="60"/>
        <v>0</v>
      </c>
      <c r="Z92" s="152">
        <f t="shared" si="60"/>
        <v>0</v>
      </c>
      <c r="AA92" s="152">
        <f t="shared" si="60"/>
        <v>0</v>
      </c>
      <c r="AB92" s="152">
        <f t="shared" si="60"/>
        <v>0</v>
      </c>
      <c r="AC92" s="152">
        <f t="shared" si="60"/>
        <v>0</v>
      </c>
      <c r="AD92" s="152">
        <f t="shared" si="60"/>
        <v>0</v>
      </c>
      <c r="AE92" s="152">
        <f t="shared" si="60"/>
        <v>0</v>
      </c>
      <c r="AF92" s="152">
        <f t="shared" si="60"/>
        <v>0</v>
      </c>
      <c r="AG92" s="152">
        <f t="shared" si="60"/>
        <v>0</v>
      </c>
      <c r="AH92" s="152">
        <f t="shared" si="60"/>
        <v>0</v>
      </c>
      <c r="AI92" s="152">
        <f t="shared" si="60"/>
        <v>0</v>
      </c>
      <c r="AJ92" s="152">
        <f t="shared" si="60"/>
        <v>0</v>
      </c>
      <c r="AK92" s="152">
        <f t="shared" si="60"/>
        <v>0</v>
      </c>
      <c r="AL92" s="152">
        <f t="shared" si="60"/>
        <v>0</v>
      </c>
      <c r="AM92" s="152">
        <f t="shared" si="60"/>
        <v>0</v>
      </c>
      <c r="AN92" s="152">
        <f t="shared" si="60"/>
        <v>0</v>
      </c>
      <c r="AO92" s="152">
        <f t="shared" si="60"/>
        <v>0</v>
      </c>
      <c r="AP92" s="152">
        <f t="shared" si="60"/>
        <v>0</v>
      </c>
    </row>
    <row r="93" spans="1:42">
      <c r="A93" s="180" t="s">
        <v>38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c r="A94" s="184" t="s">
        <v>37</v>
      </c>
      <c r="B94" s="152">
        <f>B548</f>
        <v>0</v>
      </c>
      <c r="C94" s="152">
        <f t="shared" ref="C94:AO94" si="61">C548</f>
        <v>0</v>
      </c>
      <c r="D94" s="152">
        <f t="shared" si="61"/>
        <v>0</v>
      </c>
      <c r="E94" s="152">
        <f t="shared" si="61"/>
        <v>0</v>
      </c>
      <c r="F94" s="152">
        <f t="shared" si="61"/>
        <v>0</v>
      </c>
      <c r="G94" s="152">
        <f t="shared" si="61"/>
        <v>0</v>
      </c>
      <c r="H94" s="152">
        <f t="shared" si="61"/>
        <v>0</v>
      </c>
      <c r="I94" s="152">
        <f t="shared" si="61"/>
        <v>0</v>
      </c>
      <c r="J94" s="152">
        <f t="shared" si="61"/>
        <v>0</v>
      </c>
      <c r="K94" s="152">
        <f t="shared" si="61"/>
        <v>0</v>
      </c>
      <c r="L94" s="152">
        <f t="shared" si="61"/>
        <v>0</v>
      </c>
      <c r="M94" s="152">
        <f t="shared" si="61"/>
        <v>0</v>
      </c>
      <c r="N94" s="152">
        <f t="shared" si="61"/>
        <v>0</v>
      </c>
      <c r="O94" s="152">
        <f t="shared" si="61"/>
        <v>0</v>
      </c>
      <c r="P94" s="152">
        <f t="shared" si="61"/>
        <v>0</v>
      </c>
      <c r="Q94" s="152">
        <f t="shared" si="61"/>
        <v>0</v>
      </c>
      <c r="R94" s="152">
        <f t="shared" si="61"/>
        <v>0</v>
      </c>
      <c r="S94" s="152">
        <f t="shared" si="61"/>
        <v>0</v>
      </c>
      <c r="T94" s="152">
        <f t="shared" si="61"/>
        <v>0</v>
      </c>
      <c r="U94" s="152">
        <f t="shared" si="61"/>
        <v>0</v>
      </c>
      <c r="V94" s="152">
        <f t="shared" si="61"/>
        <v>0</v>
      </c>
      <c r="W94" s="152">
        <f t="shared" si="61"/>
        <v>0</v>
      </c>
      <c r="X94" s="152">
        <f t="shared" si="61"/>
        <v>0</v>
      </c>
      <c r="Y94" s="152">
        <f t="shared" si="61"/>
        <v>0</v>
      </c>
      <c r="Z94" s="152">
        <f t="shared" si="61"/>
        <v>0</v>
      </c>
      <c r="AA94" s="152">
        <f t="shared" si="61"/>
        <v>0</v>
      </c>
      <c r="AB94" s="152">
        <f t="shared" si="61"/>
        <v>0</v>
      </c>
      <c r="AC94" s="152">
        <f t="shared" si="61"/>
        <v>0</v>
      </c>
      <c r="AD94" s="152">
        <f t="shared" si="61"/>
        <v>0</v>
      </c>
      <c r="AE94" s="152">
        <f t="shared" si="61"/>
        <v>0</v>
      </c>
      <c r="AF94" s="152">
        <f t="shared" si="61"/>
        <v>0</v>
      </c>
      <c r="AG94" s="152">
        <f t="shared" si="61"/>
        <v>0</v>
      </c>
      <c r="AH94" s="152">
        <f t="shared" si="61"/>
        <v>0</v>
      </c>
      <c r="AI94" s="152">
        <f t="shared" si="61"/>
        <v>0</v>
      </c>
      <c r="AJ94" s="152">
        <f t="shared" si="61"/>
        <v>0</v>
      </c>
      <c r="AK94" s="152">
        <f t="shared" si="61"/>
        <v>0</v>
      </c>
      <c r="AL94" s="152">
        <f t="shared" si="61"/>
        <v>0</v>
      </c>
      <c r="AM94" s="152">
        <f t="shared" si="61"/>
        <v>0</v>
      </c>
      <c r="AN94" s="152">
        <f t="shared" si="61"/>
        <v>0</v>
      </c>
      <c r="AO94" s="152">
        <f t="shared" si="61"/>
        <v>0</v>
      </c>
      <c r="AP94" s="152">
        <f>AP548</f>
        <v>0</v>
      </c>
    </row>
    <row r="95" spans="1:42">
      <c r="A95" s="184" t="s">
        <v>36</v>
      </c>
      <c r="B95" s="187">
        <f>B554</f>
        <v>0</v>
      </c>
      <c r="C95" s="187">
        <f t="shared" ref="C95:AO95" si="62">C554</f>
        <v>0</v>
      </c>
      <c r="D95" s="187">
        <f t="shared" si="62"/>
        <v>0</v>
      </c>
      <c r="E95" s="187">
        <f t="shared" si="62"/>
        <v>0</v>
      </c>
      <c r="F95" s="187">
        <f t="shared" si="62"/>
        <v>0</v>
      </c>
      <c r="G95" s="187">
        <f t="shared" si="62"/>
        <v>0</v>
      </c>
      <c r="H95" s="187">
        <f t="shared" si="62"/>
        <v>0</v>
      </c>
      <c r="I95" s="187">
        <f t="shared" si="62"/>
        <v>0</v>
      </c>
      <c r="J95" s="187">
        <f t="shared" si="62"/>
        <v>0</v>
      </c>
      <c r="K95" s="187">
        <f t="shared" si="62"/>
        <v>0</v>
      </c>
      <c r="L95" s="187">
        <f t="shared" si="62"/>
        <v>0</v>
      </c>
      <c r="M95" s="187">
        <f t="shared" si="62"/>
        <v>0</v>
      </c>
      <c r="N95" s="187">
        <f t="shared" si="62"/>
        <v>0</v>
      </c>
      <c r="O95" s="187">
        <f t="shared" si="62"/>
        <v>0</v>
      </c>
      <c r="P95" s="187">
        <f t="shared" si="62"/>
        <v>0</v>
      </c>
      <c r="Q95" s="187">
        <f t="shared" si="62"/>
        <v>0</v>
      </c>
      <c r="R95" s="187">
        <f t="shared" si="62"/>
        <v>0</v>
      </c>
      <c r="S95" s="187">
        <f t="shared" si="62"/>
        <v>0</v>
      </c>
      <c r="T95" s="187">
        <f t="shared" si="62"/>
        <v>0</v>
      </c>
      <c r="U95" s="187">
        <f t="shared" si="62"/>
        <v>0</v>
      </c>
      <c r="V95" s="187">
        <f t="shared" si="62"/>
        <v>0</v>
      </c>
      <c r="W95" s="187">
        <f t="shared" si="62"/>
        <v>0</v>
      </c>
      <c r="X95" s="187">
        <f t="shared" si="62"/>
        <v>0</v>
      </c>
      <c r="Y95" s="187">
        <f t="shared" si="62"/>
        <v>0</v>
      </c>
      <c r="Z95" s="187">
        <f t="shared" si="62"/>
        <v>0</v>
      </c>
      <c r="AA95" s="187">
        <f t="shared" si="62"/>
        <v>0</v>
      </c>
      <c r="AB95" s="187">
        <f t="shared" si="62"/>
        <v>0</v>
      </c>
      <c r="AC95" s="187">
        <f t="shared" si="62"/>
        <v>0</v>
      </c>
      <c r="AD95" s="187">
        <f t="shared" si="62"/>
        <v>0</v>
      </c>
      <c r="AE95" s="187">
        <f t="shared" si="62"/>
        <v>0</v>
      </c>
      <c r="AF95" s="187">
        <f t="shared" si="62"/>
        <v>0</v>
      </c>
      <c r="AG95" s="187">
        <f t="shared" si="62"/>
        <v>0</v>
      </c>
      <c r="AH95" s="187">
        <f t="shared" si="62"/>
        <v>0</v>
      </c>
      <c r="AI95" s="187">
        <f t="shared" si="62"/>
        <v>0</v>
      </c>
      <c r="AJ95" s="187">
        <f t="shared" si="62"/>
        <v>0</v>
      </c>
      <c r="AK95" s="187">
        <f t="shared" si="62"/>
        <v>0</v>
      </c>
      <c r="AL95" s="187">
        <f t="shared" si="62"/>
        <v>0</v>
      </c>
      <c r="AM95" s="187">
        <f t="shared" si="62"/>
        <v>0</v>
      </c>
      <c r="AN95" s="187">
        <f t="shared" si="62"/>
        <v>0</v>
      </c>
      <c r="AO95" s="187">
        <f t="shared" si="62"/>
        <v>0</v>
      </c>
      <c r="AP95" s="187">
        <f>AP554</f>
        <v>0</v>
      </c>
    </row>
    <row r="96" spans="1:42">
      <c r="A96" s="184" t="s">
        <v>53</v>
      </c>
      <c r="B96" s="152">
        <f>SUM(B94:B95)</f>
        <v>0</v>
      </c>
      <c r="C96" s="152">
        <f>SUM(C94:C95)</f>
        <v>0</v>
      </c>
      <c r="D96" s="152">
        <f>SUM(D94:D95)</f>
        <v>0</v>
      </c>
      <c r="E96" s="152">
        <f t="shared" ref="E96:AP96" si="63">SUM(E94:E95)</f>
        <v>0</v>
      </c>
      <c r="F96" s="152">
        <f t="shared" si="63"/>
        <v>0</v>
      </c>
      <c r="G96" s="152">
        <f t="shared" si="63"/>
        <v>0</v>
      </c>
      <c r="H96" s="152">
        <f t="shared" si="63"/>
        <v>0</v>
      </c>
      <c r="I96" s="152">
        <f t="shared" si="63"/>
        <v>0</v>
      </c>
      <c r="J96" s="152">
        <f t="shared" si="63"/>
        <v>0</v>
      </c>
      <c r="K96" s="152">
        <f t="shared" si="63"/>
        <v>0</v>
      </c>
      <c r="L96" s="152">
        <f t="shared" si="63"/>
        <v>0</v>
      </c>
      <c r="M96" s="152">
        <f t="shared" si="63"/>
        <v>0</v>
      </c>
      <c r="N96" s="152">
        <f t="shared" si="63"/>
        <v>0</v>
      </c>
      <c r="O96" s="152">
        <f t="shared" si="63"/>
        <v>0</v>
      </c>
      <c r="P96" s="152">
        <f t="shared" si="63"/>
        <v>0</v>
      </c>
      <c r="Q96" s="152">
        <f t="shared" si="63"/>
        <v>0</v>
      </c>
      <c r="R96" s="152">
        <f t="shared" si="63"/>
        <v>0</v>
      </c>
      <c r="S96" s="152">
        <f t="shared" si="63"/>
        <v>0</v>
      </c>
      <c r="T96" s="152">
        <f t="shared" si="63"/>
        <v>0</v>
      </c>
      <c r="U96" s="152">
        <f t="shared" si="63"/>
        <v>0</v>
      </c>
      <c r="V96" s="152">
        <f t="shared" si="63"/>
        <v>0</v>
      </c>
      <c r="W96" s="152">
        <f t="shared" si="63"/>
        <v>0</v>
      </c>
      <c r="X96" s="152">
        <f t="shared" si="63"/>
        <v>0</v>
      </c>
      <c r="Y96" s="152">
        <f t="shared" si="63"/>
        <v>0</v>
      </c>
      <c r="Z96" s="152">
        <f t="shared" si="63"/>
        <v>0</v>
      </c>
      <c r="AA96" s="152">
        <f t="shared" si="63"/>
        <v>0</v>
      </c>
      <c r="AB96" s="152">
        <f t="shared" si="63"/>
        <v>0</v>
      </c>
      <c r="AC96" s="152">
        <f t="shared" si="63"/>
        <v>0</v>
      </c>
      <c r="AD96" s="152">
        <f t="shared" si="63"/>
        <v>0</v>
      </c>
      <c r="AE96" s="152">
        <f t="shared" si="63"/>
        <v>0</v>
      </c>
      <c r="AF96" s="152">
        <f t="shared" si="63"/>
        <v>0</v>
      </c>
      <c r="AG96" s="152">
        <f t="shared" si="63"/>
        <v>0</v>
      </c>
      <c r="AH96" s="152">
        <f t="shared" si="63"/>
        <v>0</v>
      </c>
      <c r="AI96" s="152">
        <f t="shared" si="63"/>
        <v>0</v>
      </c>
      <c r="AJ96" s="152">
        <f t="shared" si="63"/>
        <v>0</v>
      </c>
      <c r="AK96" s="152">
        <f t="shared" si="63"/>
        <v>0</v>
      </c>
      <c r="AL96" s="152">
        <f t="shared" si="63"/>
        <v>0</v>
      </c>
      <c r="AM96" s="152">
        <f t="shared" si="63"/>
        <v>0</v>
      </c>
      <c r="AN96" s="152">
        <f t="shared" si="63"/>
        <v>0</v>
      </c>
      <c r="AO96" s="152">
        <f t="shared" si="63"/>
        <v>0</v>
      </c>
      <c r="AP96" s="152">
        <f t="shared" si="63"/>
        <v>0</v>
      </c>
    </row>
    <row r="97" spans="1:42">
      <c r="A97" s="180" t="s">
        <v>223</v>
      </c>
      <c r="B97" s="152"/>
      <c r="C97" s="152"/>
      <c r="D97" s="152"/>
      <c r="E97" s="152"/>
      <c r="F97" s="152"/>
      <c r="G97" s="152"/>
      <c r="H97" s="152"/>
      <c r="I97" s="152"/>
      <c r="J97" s="152"/>
      <c r="K97" s="152"/>
      <c r="L97" s="152"/>
      <c r="M97" s="152"/>
      <c r="N97" s="152"/>
      <c r="O97" s="152"/>
      <c r="P97" s="152"/>
      <c r="Q97" s="152"/>
      <c r="R97" s="152"/>
      <c r="S97" s="152"/>
      <c r="T97" s="152"/>
      <c r="U97" s="152"/>
      <c r="V97" s="152"/>
      <c r="W97" s="152"/>
      <c r="X97" s="152"/>
      <c r="Y97" s="152"/>
      <c r="Z97" s="152"/>
      <c r="AA97" s="152"/>
      <c r="AB97" s="152"/>
      <c r="AC97" s="152"/>
      <c r="AD97" s="152"/>
      <c r="AE97" s="152"/>
      <c r="AF97" s="152"/>
      <c r="AG97" s="152"/>
      <c r="AH97" s="152"/>
      <c r="AI97" s="152"/>
      <c r="AJ97" s="152"/>
      <c r="AK97" s="152"/>
      <c r="AL97" s="152"/>
      <c r="AM97" s="152"/>
      <c r="AN97" s="152"/>
      <c r="AO97" s="152"/>
      <c r="AP97" s="152"/>
    </row>
    <row r="98" spans="1:42">
      <c r="A98" s="184" t="s">
        <v>37</v>
      </c>
      <c r="B98" s="152">
        <f>B233</f>
        <v>0</v>
      </c>
      <c r="C98" s="152">
        <f>C233</f>
        <v>-518279.91934220085</v>
      </c>
      <c r="D98" s="152">
        <f t="shared" ref="D98:AP98" si="64">D233</f>
        <v>381410.22563167708</v>
      </c>
      <c r="E98" s="152">
        <f t="shared" si="64"/>
        <v>115389.66545437754</v>
      </c>
      <c r="F98" s="152">
        <f t="shared" si="64"/>
        <v>-45258.680729789703</v>
      </c>
      <c r="G98" s="152">
        <f t="shared" si="64"/>
        <v>-48848.737564281604</v>
      </c>
      <c r="H98" s="152">
        <f t="shared" si="64"/>
        <v>-169837.9089111455</v>
      </c>
      <c r="I98" s="152">
        <f t="shared" si="64"/>
        <v>-290629.26264490653</v>
      </c>
      <c r="J98" s="152">
        <f t="shared" si="64"/>
        <v>-294305.53569855815</v>
      </c>
      <c r="K98" s="152">
        <f t="shared" si="64"/>
        <v>-296426.50133234804</v>
      </c>
      <c r="L98" s="152">
        <f t="shared" si="64"/>
        <v>-298165.11318739166</v>
      </c>
      <c r="M98" s="152">
        <f t="shared" si="64"/>
        <v>-301874.92844244803</v>
      </c>
      <c r="N98" s="152">
        <f t="shared" si="64"/>
        <v>-271589.66410940303</v>
      </c>
      <c r="O98" s="152">
        <f t="shared" si="64"/>
        <v>-250998.14963857405</v>
      </c>
      <c r="P98" s="152">
        <f t="shared" si="64"/>
        <v>-275545.14682991098</v>
      </c>
      <c r="Q98" s="152">
        <f t="shared" si="64"/>
        <v>-222348.74089751978</v>
      </c>
      <c r="R98" s="152">
        <f t="shared" si="64"/>
        <v>-179689.27758458458</v>
      </c>
      <c r="S98" s="152">
        <f t="shared" si="64"/>
        <v>-238554.52688594509</v>
      </c>
      <c r="T98" s="152">
        <f t="shared" si="64"/>
        <v>-276083.51751265151</v>
      </c>
      <c r="U98" s="152">
        <f t="shared" si="64"/>
        <v>-277813.68113236607</v>
      </c>
      <c r="V98" s="152">
        <f t="shared" si="64"/>
        <v>-301323.49798398628</v>
      </c>
      <c r="W98" s="152">
        <f t="shared" si="64"/>
        <v>-324756.5113416987</v>
      </c>
      <c r="X98" s="152">
        <f t="shared" si="64"/>
        <v>-327414.26654619462</v>
      </c>
      <c r="Y98" s="152">
        <f t="shared" si="64"/>
        <v>-330671.84026574821</v>
      </c>
      <c r="Z98" s="152">
        <f t="shared" si="64"/>
        <v>-293265.33184845129</v>
      </c>
      <c r="AA98" s="152">
        <f t="shared" si="64"/>
        <v>-267463.7715820091</v>
      </c>
      <c r="AB98" s="152">
        <f t="shared" si="64"/>
        <v>-295273.9839631283</v>
      </c>
      <c r="AC98" s="152">
        <f t="shared" si="64"/>
        <v>-311146.6673370261</v>
      </c>
      <c r="AD98" s="152">
        <f t="shared" si="64"/>
        <v>-311625.31213159923</v>
      </c>
      <c r="AE98" s="152">
        <f t="shared" si="64"/>
        <v>-325850.65318935364</v>
      </c>
      <c r="AF98" s="152">
        <f t="shared" si="64"/>
        <v>-474510.91447243851</v>
      </c>
      <c r="AG98" s="152">
        <f t="shared" si="64"/>
        <v>0</v>
      </c>
      <c r="AH98" s="152">
        <f t="shared" si="64"/>
        <v>0</v>
      </c>
      <c r="AI98" s="152">
        <f t="shared" si="64"/>
        <v>0</v>
      </c>
      <c r="AJ98" s="152">
        <f t="shared" si="64"/>
        <v>0</v>
      </c>
      <c r="AK98" s="152">
        <f t="shared" si="64"/>
        <v>0</v>
      </c>
      <c r="AL98" s="152">
        <f t="shared" si="64"/>
        <v>0</v>
      </c>
      <c r="AM98" s="152">
        <f t="shared" si="64"/>
        <v>0</v>
      </c>
      <c r="AN98" s="152">
        <f t="shared" si="64"/>
        <v>0</v>
      </c>
      <c r="AO98" s="152">
        <f t="shared" si="64"/>
        <v>0</v>
      </c>
      <c r="AP98" s="152">
        <f t="shared" si="64"/>
        <v>0</v>
      </c>
    </row>
    <row r="99" spans="1:42">
      <c r="A99" s="184" t="s">
        <v>36</v>
      </c>
      <c r="B99" s="187">
        <f>B271</f>
        <v>0</v>
      </c>
      <c r="C99" s="187">
        <f>C271</f>
        <v>-2570156.8216187791</v>
      </c>
      <c r="D99" s="187">
        <f t="shared" ref="D99:AP99" si="65">D271</f>
        <v>2072926.3431694037</v>
      </c>
      <c r="E99" s="187">
        <f t="shared" si="65"/>
        <v>561469.8526730797</v>
      </c>
      <c r="F99" s="187">
        <f t="shared" si="65"/>
        <v>-351634.22950159141</v>
      </c>
      <c r="G99" s="187">
        <f t="shared" si="65"/>
        <v>-373223.52582901315</v>
      </c>
      <c r="H99" s="187">
        <f t="shared" si="65"/>
        <v>-1061075.915599385</v>
      </c>
      <c r="I99" s="187">
        <f t="shared" si="65"/>
        <v>-1747738.7021782333</v>
      </c>
      <c r="J99" s="187">
        <f t="shared" si="65"/>
        <v>-1769846.4714963292</v>
      </c>
      <c r="K99" s="187">
        <f t="shared" si="65"/>
        <v>-1782601.187557711</v>
      </c>
      <c r="L99" s="187">
        <f t="shared" si="65"/>
        <v>-1793056.5670314508</v>
      </c>
      <c r="M99" s="187">
        <f t="shared" si="65"/>
        <v>-1815366.0469516304</v>
      </c>
      <c r="N99" s="187">
        <f t="shared" si="65"/>
        <v>-1633241.4800760918</v>
      </c>
      <c r="O99" s="187">
        <f t="shared" si="65"/>
        <v>-1509411.5998719702</v>
      </c>
      <c r="P99" s="187">
        <f t="shared" si="65"/>
        <v>-1657028.3147998739</v>
      </c>
      <c r="Q99" s="187">
        <f t="shared" si="65"/>
        <v>-1337124.4736700847</v>
      </c>
      <c r="R99" s="187">
        <f t="shared" si="65"/>
        <v>-1080585.9738382064</v>
      </c>
      <c r="S99" s="187">
        <f t="shared" si="65"/>
        <v>-1434580.1775913879</v>
      </c>
      <c r="T99" s="187">
        <f t="shared" si="65"/>
        <v>-1660265.880314718</v>
      </c>
      <c r="U99" s="187">
        <f t="shared" si="65"/>
        <v>-1670670.455173274</v>
      </c>
      <c r="V99" s="187">
        <f t="shared" si="65"/>
        <v>-1812049.9446946082</v>
      </c>
      <c r="W99" s="187">
        <f t="shared" si="65"/>
        <v>-1952967.5659321244</v>
      </c>
      <c r="X99" s="187">
        <f t="shared" si="65"/>
        <v>-1968950.339275525</v>
      </c>
      <c r="Y99" s="187">
        <f t="shared" si="65"/>
        <v>-1988540.2030526586</v>
      </c>
      <c r="Z99" s="187">
        <f t="shared" si="65"/>
        <v>-1763591.0637977319</v>
      </c>
      <c r="AA99" s="187">
        <f t="shared" si="65"/>
        <v>-1608429.8627409001</v>
      </c>
      <c r="AB99" s="187">
        <f t="shared" si="65"/>
        <v>-1775670.3671964488</v>
      </c>
      <c r="AC99" s="187">
        <f t="shared" si="65"/>
        <v>-1871122.9131222067</v>
      </c>
      <c r="AD99" s="187">
        <f t="shared" si="65"/>
        <v>-1874001.3088641169</v>
      </c>
      <c r="AE99" s="187">
        <f t="shared" si="65"/>
        <v>-1959547.3371341585</v>
      </c>
      <c r="AF99" s="187">
        <f t="shared" si="65"/>
        <v>-2853536.0902138008</v>
      </c>
      <c r="AG99" s="187">
        <f t="shared" si="65"/>
        <v>0</v>
      </c>
      <c r="AH99" s="187">
        <f t="shared" si="65"/>
        <v>0</v>
      </c>
      <c r="AI99" s="187">
        <f t="shared" si="65"/>
        <v>0</v>
      </c>
      <c r="AJ99" s="187">
        <f t="shared" si="65"/>
        <v>0</v>
      </c>
      <c r="AK99" s="187">
        <f t="shared" si="65"/>
        <v>0</v>
      </c>
      <c r="AL99" s="187">
        <f t="shared" si="65"/>
        <v>0</v>
      </c>
      <c r="AM99" s="187">
        <f t="shared" si="65"/>
        <v>0</v>
      </c>
      <c r="AN99" s="187">
        <f t="shared" si="65"/>
        <v>0</v>
      </c>
      <c r="AO99" s="187">
        <f t="shared" si="65"/>
        <v>0</v>
      </c>
      <c r="AP99" s="187">
        <f t="shared" si="65"/>
        <v>0</v>
      </c>
    </row>
    <row r="100" spans="1:42">
      <c r="A100" s="184" t="s">
        <v>53</v>
      </c>
      <c r="B100" s="194">
        <f>SUM(B98:B99)</f>
        <v>0</v>
      </c>
      <c r="C100" s="194">
        <f>SUM(C98:C99)</f>
        <v>-3088436.7409609798</v>
      </c>
      <c r="D100" s="194">
        <f>SUM(D98:D99)</f>
        <v>2454336.5688010808</v>
      </c>
      <c r="E100" s="194">
        <f t="shared" ref="E100:AP100" si="66">SUM(E98:E99)</f>
        <v>676859.51812745724</v>
      </c>
      <c r="F100" s="194">
        <f t="shared" si="66"/>
        <v>-396892.91023138113</v>
      </c>
      <c r="G100" s="194">
        <f t="shared" si="66"/>
        <v>-422072.26339329476</v>
      </c>
      <c r="H100" s="194">
        <f t="shared" si="66"/>
        <v>-1230913.8245105306</v>
      </c>
      <c r="I100" s="194">
        <f t="shared" si="66"/>
        <v>-2038367.9648231398</v>
      </c>
      <c r="J100" s="194">
        <f t="shared" si="66"/>
        <v>-2064152.0071948874</v>
      </c>
      <c r="K100" s="194">
        <f t="shared" si="66"/>
        <v>-2079027.688890059</v>
      </c>
      <c r="L100" s="194">
        <f t="shared" si="66"/>
        <v>-2091221.6802188423</v>
      </c>
      <c r="M100" s="194">
        <f t="shared" si="66"/>
        <v>-2117240.9753940785</v>
      </c>
      <c r="N100" s="194">
        <f t="shared" si="66"/>
        <v>-1904831.1441854949</v>
      </c>
      <c r="O100" s="194">
        <f t="shared" si="66"/>
        <v>-1760409.7495105444</v>
      </c>
      <c r="P100" s="194">
        <f t="shared" si="66"/>
        <v>-1932573.4616297849</v>
      </c>
      <c r="Q100" s="194">
        <f t="shared" si="66"/>
        <v>-1559473.2145676045</v>
      </c>
      <c r="R100" s="194">
        <f t="shared" si="66"/>
        <v>-1260275.251422791</v>
      </c>
      <c r="S100" s="194">
        <f t="shared" si="66"/>
        <v>-1673134.704477333</v>
      </c>
      <c r="T100" s="194">
        <f t="shared" si="66"/>
        <v>-1936349.3978273696</v>
      </c>
      <c r="U100" s="194">
        <f t="shared" si="66"/>
        <v>-1948484.13630564</v>
      </c>
      <c r="V100" s="194">
        <f t="shared" si="66"/>
        <v>-2113373.4426785945</v>
      </c>
      <c r="W100" s="194">
        <f t="shared" si="66"/>
        <v>-2277724.0772738233</v>
      </c>
      <c r="X100" s="194">
        <f t="shared" si="66"/>
        <v>-2296364.6058217194</v>
      </c>
      <c r="Y100" s="194">
        <f t="shared" si="66"/>
        <v>-2319212.0433184067</v>
      </c>
      <c r="Z100" s="194">
        <f t="shared" si="66"/>
        <v>-2056856.3956461833</v>
      </c>
      <c r="AA100" s="194">
        <f t="shared" si="66"/>
        <v>-1875893.6343229092</v>
      </c>
      <c r="AB100" s="194">
        <f t="shared" si="66"/>
        <v>-2070944.3511595773</v>
      </c>
      <c r="AC100" s="194">
        <f t="shared" si="66"/>
        <v>-2182269.5804592329</v>
      </c>
      <c r="AD100" s="194">
        <f t="shared" si="66"/>
        <v>-2185626.6209957162</v>
      </c>
      <c r="AE100" s="194">
        <f t="shared" si="66"/>
        <v>-2285397.9903235119</v>
      </c>
      <c r="AF100" s="194">
        <f t="shared" si="66"/>
        <v>-3328047.0046862392</v>
      </c>
      <c r="AG100" s="194">
        <f t="shared" si="66"/>
        <v>0</v>
      </c>
      <c r="AH100" s="194">
        <f t="shared" si="66"/>
        <v>0</v>
      </c>
      <c r="AI100" s="194">
        <f t="shared" si="66"/>
        <v>0</v>
      </c>
      <c r="AJ100" s="194">
        <f t="shared" si="66"/>
        <v>0</v>
      </c>
      <c r="AK100" s="194">
        <f t="shared" si="66"/>
        <v>0</v>
      </c>
      <c r="AL100" s="194">
        <f t="shared" si="66"/>
        <v>0</v>
      </c>
      <c r="AM100" s="194">
        <f t="shared" si="66"/>
        <v>0</v>
      </c>
      <c r="AN100" s="194">
        <f t="shared" si="66"/>
        <v>0</v>
      </c>
      <c r="AO100" s="194">
        <f t="shared" si="66"/>
        <v>0</v>
      </c>
      <c r="AP100" s="194">
        <f t="shared" si="66"/>
        <v>0</v>
      </c>
    </row>
    <row r="101" spans="1:42">
      <c r="A101" s="180" t="s">
        <v>53</v>
      </c>
      <c r="B101" s="152">
        <f>B88+B92+B96+B100</f>
        <v>-29165458.75</v>
      </c>
      <c r="C101" s="152">
        <f t="shared" ref="C101:AP101" si="67">C88+C92+C96+C100</f>
        <v>1453635.017617166</v>
      </c>
      <c r="D101" s="152">
        <f t="shared" si="67"/>
        <v>7013581.4762997432</v>
      </c>
      <c r="E101" s="152">
        <f t="shared" si="67"/>
        <v>5283255.1994119519</v>
      </c>
      <c r="F101" s="152">
        <f t="shared" si="67"/>
        <v>4253256.967813665</v>
      </c>
      <c r="G101" s="152">
        <f t="shared" si="67"/>
        <v>4275202.9977571266</v>
      </c>
      <c r="H101" s="152">
        <f t="shared" si="67"/>
        <v>3513456.2166802045</v>
      </c>
      <c r="I101" s="152">
        <f t="shared" si="67"/>
        <v>2749537.8386236215</v>
      </c>
      <c r="J101" s="152">
        <f t="shared" si="67"/>
        <v>2770807.3582176152</v>
      </c>
      <c r="K101" s="152">
        <f t="shared" si="67"/>
        <v>2802945.7726934706</v>
      </c>
      <c r="L101" s="152">
        <f t="shared" si="67"/>
        <v>2834036.7352819801</v>
      </c>
      <c r="M101" s="152">
        <f t="shared" si="67"/>
        <v>2854973.2356570195</v>
      </c>
      <c r="N101" s="152">
        <f t="shared" si="67"/>
        <v>3114289.8556292243</v>
      </c>
      <c r="O101" s="152">
        <f t="shared" si="67"/>
        <v>3202169.5782800196</v>
      </c>
      <c r="P101" s="152">
        <f t="shared" si="67"/>
        <v>3077676.0322720846</v>
      </c>
      <c r="Q101" s="152">
        <f t="shared" si="67"/>
        <v>3498387.1729997462</v>
      </c>
      <c r="R101" s="152">
        <f t="shared" si="67"/>
        <v>3630581.8862995589</v>
      </c>
      <c r="S101" s="152">
        <f t="shared" si="67"/>
        <v>3267034.7188406349</v>
      </c>
      <c r="T101" s="152">
        <f t="shared" si="67"/>
        <v>3053061.9987666016</v>
      </c>
      <c r="U101" s="152">
        <f t="shared" si="67"/>
        <v>3085879.8687611702</v>
      </c>
      <c r="V101" s="152">
        <f t="shared" si="67"/>
        <v>2970114.5541884401</v>
      </c>
      <c r="W101" s="152">
        <f t="shared" si="67"/>
        <v>2854805.732081525</v>
      </c>
      <c r="X101" s="152">
        <f t="shared" si="67"/>
        <v>2866382.0308684949</v>
      </c>
      <c r="Y101" s="152">
        <f t="shared" si="67"/>
        <v>2878104.4652649537</v>
      </c>
      <c r="Z101" s="152">
        <f t="shared" si="67"/>
        <v>3174935.0549182571</v>
      </c>
      <c r="AA101" s="152">
        <f t="shared" si="67"/>
        <v>3617459.7054582019</v>
      </c>
      <c r="AB101" s="152">
        <f t="shared" si="67"/>
        <v>3451583.411840898</v>
      </c>
      <c r="AC101" s="152">
        <f t="shared" si="67"/>
        <v>3369323.9813211844</v>
      </c>
      <c r="AD101" s="152">
        <f t="shared" si="67"/>
        <v>3390099.7218803614</v>
      </c>
      <c r="AE101" s="152">
        <f t="shared" si="67"/>
        <v>3319201.6725240657</v>
      </c>
      <c r="AF101" s="152">
        <f t="shared" si="67"/>
        <v>6678017.6508280979</v>
      </c>
      <c r="AG101" s="152">
        <f t="shared" si="67"/>
        <v>0</v>
      </c>
      <c r="AH101" s="152">
        <f t="shared" si="67"/>
        <v>0</v>
      </c>
      <c r="AI101" s="152">
        <f t="shared" si="67"/>
        <v>0</v>
      </c>
      <c r="AJ101" s="152">
        <f t="shared" si="67"/>
        <v>0</v>
      </c>
      <c r="AK101" s="152">
        <f t="shared" si="67"/>
        <v>0</v>
      </c>
      <c r="AL101" s="152">
        <f t="shared" si="67"/>
        <v>0</v>
      </c>
      <c r="AM101" s="152">
        <f t="shared" si="67"/>
        <v>0</v>
      </c>
      <c r="AN101" s="152">
        <f t="shared" si="67"/>
        <v>0</v>
      </c>
      <c r="AO101" s="152">
        <f t="shared" si="67"/>
        <v>0</v>
      </c>
      <c r="AP101" s="152">
        <f t="shared" si="67"/>
        <v>0</v>
      </c>
    </row>
    <row r="102" spans="1:42">
      <c r="A102" s="184"/>
      <c r="B102" s="152"/>
      <c r="C102" s="152"/>
      <c r="D102" s="152"/>
      <c r="E102" s="152"/>
      <c r="F102" s="152"/>
      <c r="G102" s="152"/>
      <c r="H102" s="152"/>
      <c r="I102" s="152"/>
      <c r="J102" s="152"/>
      <c r="K102" s="152"/>
      <c r="L102" s="152"/>
      <c r="M102" s="152"/>
      <c r="N102" s="152"/>
      <c r="O102" s="152"/>
      <c r="P102" s="152"/>
      <c r="Q102" s="152"/>
      <c r="R102" s="152"/>
      <c r="S102" s="152"/>
      <c r="T102" s="152"/>
      <c r="U102" s="152"/>
      <c r="V102" s="152"/>
      <c r="W102" s="152"/>
      <c r="X102" s="152"/>
      <c r="Y102" s="152"/>
      <c r="Z102" s="152"/>
      <c r="AA102" s="152"/>
      <c r="AB102" s="152"/>
      <c r="AC102" s="152"/>
      <c r="AD102" s="152"/>
      <c r="AE102" s="152"/>
      <c r="AF102" s="152"/>
      <c r="AG102" s="152"/>
      <c r="AH102" s="152"/>
      <c r="AI102" s="152"/>
      <c r="AJ102" s="152"/>
      <c r="AK102" s="152"/>
      <c r="AL102" s="152"/>
      <c r="AM102" s="152"/>
      <c r="AN102" s="152"/>
      <c r="AO102" s="152"/>
      <c r="AP102" s="152"/>
    </row>
    <row r="103" spans="1:42">
      <c r="A103" s="180" t="s">
        <v>401</v>
      </c>
      <c r="B103" s="201">
        <f>ROUND(IF(ISERROR(IRR($B101:B101)),0,IRR($B101:B101)),4)</f>
        <v>0</v>
      </c>
      <c r="C103" s="201">
        <f>ROUND(IF(ISERROR(IRR($B101:C101)),0,IRR($B101:C101)),4)</f>
        <v>0</v>
      </c>
      <c r="D103" s="201">
        <f>ROUND(IF(ISERROR(IRR($B101:D101)),0,IRR($B101:D101)),4)</f>
        <v>0</v>
      </c>
      <c r="E103" s="201">
        <f>ROUND(IF(ISERROR(IRR($B101:E101)),0,IRR($B101:E101)),4)</f>
        <v>-0.27450000000000002</v>
      </c>
      <c r="F103" s="201">
        <f>ROUND(IF(ISERROR(IRR($B101:F101)),0,IRR($B101:F101)),4)</f>
        <v>-0.16039999999999999</v>
      </c>
      <c r="G103" s="201">
        <f>ROUND(IF(ISERROR(IRR($B101:G101)),0,IRR($B101:G101)),4)</f>
        <v>-8.09E-2</v>
      </c>
      <c r="H103" s="201">
        <f>ROUND(IF(ISERROR(IRR($B101:H101)),0,IRR($B101:H101)),4)</f>
        <v>-3.39E-2</v>
      </c>
      <c r="I103" s="201">
        <f>ROUND(IF(ISERROR(IRR($B101:I101)),0,IRR($B101:I101)),4)</f>
        <v>-5.5999999999999999E-3</v>
      </c>
      <c r="J103" s="201">
        <f>ROUND(IF(ISERROR(IRR($B101:J101)),0,IRR($B101:J101)),4)</f>
        <v>1.7100000000000001E-2</v>
      </c>
      <c r="K103" s="201">
        <f>ROUND(IF(ISERROR(IRR($B101:K101)),0,IRR($B101:K101)),4)</f>
        <v>3.5299999999999998E-2</v>
      </c>
      <c r="L103" s="201">
        <f>ROUND(IF(ISERROR(IRR($B101:L101)),0,IRR($B101:L101)),4)</f>
        <v>4.99E-2</v>
      </c>
      <c r="M103" s="201">
        <f>ROUND(IF(ISERROR(IRR($B101:M101)),0,IRR($B101:M101)),4)</f>
        <v>6.1699999999999998E-2</v>
      </c>
      <c r="N103" s="201">
        <f>ROUND(IF(ISERROR(IRR($B101:N101)),0,IRR($B101:N101)),4)</f>
        <v>7.2099999999999997E-2</v>
      </c>
      <c r="O103" s="201">
        <f>ROUND(IF(ISERROR(IRR($B101:O101)),0,IRR($B101:O101)),4)</f>
        <v>8.0600000000000005E-2</v>
      </c>
      <c r="P103" s="201">
        <f>ROUND(IF(ISERROR(IRR($B101:P101)),0,IRR($B101:P101)),4)</f>
        <v>8.7300000000000003E-2</v>
      </c>
      <c r="Q103" s="201">
        <f>ROUND(IF(ISERROR(IRR($B101:Q101)),0,IRR($B101:Q101)),4)</f>
        <v>9.35E-2</v>
      </c>
      <c r="R103" s="201">
        <f>ROUND(IF(ISERROR(IRR($B101:R101)),0,IRR($B101:R101)),4)</f>
        <v>9.8799999999999999E-2</v>
      </c>
      <c r="S103" s="201">
        <f>ROUND(IF(ISERROR(IRR($B101:S101)),0,IRR($B101:S101)),4)</f>
        <v>0.1027</v>
      </c>
      <c r="T103" s="201">
        <f>ROUND(IF(ISERROR(IRR($B101:T101)),0,IRR($B101:T101)),4)</f>
        <v>0.10580000000000001</v>
      </c>
      <c r="U103" s="201">
        <f>ROUND(IF(ISERROR(IRR($B101:U101)),0,IRR($B101:U101)),4)</f>
        <v>0.1084</v>
      </c>
      <c r="V103" s="201">
        <f>ROUND(IF(ISERROR(IRR($B101:V101)),0,IRR($B101:V101)),4)</f>
        <v>0.1106</v>
      </c>
      <c r="W103" s="201">
        <f>ROUND(IF(ISERROR(IRR($B101:W101)),0,IRR($B101:W101)),4)</f>
        <v>0.1123</v>
      </c>
      <c r="X103" s="201">
        <f>ROUND(IF(ISERROR(IRR($B101:X101)),0,IRR($B101:X101)),4)</f>
        <v>0.1139</v>
      </c>
      <c r="Y103" s="201">
        <f>ROUND(IF(ISERROR(IRR($B101:Y101)),0,IRR($B101:Y101)),4)</f>
        <v>0.1152</v>
      </c>
      <c r="Z103" s="201">
        <f>ROUND(IF(ISERROR(IRR($B101:Z101)),0,IRR($B101:Z101)),4)</f>
        <v>0.1164</v>
      </c>
      <c r="AA103" s="201">
        <f>ROUND(IF(ISERROR(IRR($B101:AA101)),0,IRR($B101:AA101)),4)</f>
        <v>0.1177</v>
      </c>
      <c r="AB103" s="201">
        <f>ROUND(IF(ISERROR(IRR($B101:AB101)),0,IRR($B101:AB101)),4)</f>
        <v>0.1187</v>
      </c>
      <c r="AC103" s="201">
        <f>ROUND(IF(ISERROR(IRR($B101:AC101)),0,IRR($B101:AC101)),4)</f>
        <v>0.1195</v>
      </c>
      <c r="AD103" s="201">
        <f>ROUND(IF(ISERROR(IRR($B101:AD101)),0,IRR($B101:AD101)),4)</f>
        <v>0.1203</v>
      </c>
      <c r="AE103" s="201">
        <f>ROUND(IF(ISERROR(IRR($B101:AE101)),0,IRR($B101:AE101)),4)</f>
        <v>0.12089999999999999</v>
      </c>
      <c r="AF103" s="201">
        <f>ROUND(IF(ISERROR(IRR($B101:AF101)),0,IRR($B101:AF101)),4)</f>
        <v>0.122</v>
      </c>
      <c r="AG103" s="201">
        <f>ROUND(IF(ISERROR(IRR($B101:AG101)),0,IRR($B101:AG101)),4)</f>
        <v>0.122</v>
      </c>
      <c r="AH103" s="201">
        <f>ROUND(IF(ISERROR(IRR($B101:AH101)),0,IRR($B101:AH101)),4)</f>
        <v>0.122</v>
      </c>
      <c r="AI103" s="201">
        <f>ROUND(IF(ISERROR(IRR($B101:AI101)),0,IRR($B101:AI101)),4)</f>
        <v>0.122</v>
      </c>
      <c r="AJ103" s="201">
        <f>ROUND(IF(ISERROR(IRR($B101:AJ101)),0,IRR($B101:AJ101)),4)</f>
        <v>0.122</v>
      </c>
      <c r="AK103" s="201">
        <f>ROUND(IF(ISERROR(IRR($B101:AK101)),0,IRR($B101:AK101)),4)</f>
        <v>0.122</v>
      </c>
      <c r="AL103" s="201">
        <f>ROUND(IF(ISERROR(IRR($B101:AL101)),0,IRR($B101:AL101)),4)</f>
        <v>0.122</v>
      </c>
      <c r="AM103" s="201">
        <f>ROUND(IF(ISERROR(IRR($B101:AM101)),0,IRR($B101:AM101)),4)</f>
        <v>0.122</v>
      </c>
      <c r="AN103" s="201">
        <f>ROUND(IF(ISERROR(IRR($B101:AN101)),0,IRR($B101:AN101)),4)</f>
        <v>0.122</v>
      </c>
      <c r="AO103" s="201">
        <f>ROUND(IF(ISERROR(IRR($B101:AO101)),0,IRR($B101:AO101)),4)</f>
        <v>0.122</v>
      </c>
      <c r="AP103" s="201">
        <f>ROUND(IF(ISERROR(IRR($B101:AP101)),0,IRR($B101:AP101)),4)</f>
        <v>0.122</v>
      </c>
    </row>
    <row r="104" spans="1:42">
      <c r="A104" s="180" t="s">
        <v>402</v>
      </c>
      <c r="B104" s="251">
        <f>B101</f>
        <v>-29165458.75</v>
      </c>
      <c r="C104" s="251">
        <f>NPV(DiscountRate,$C101:C101)+$B101</f>
        <v>-27819500.400354475</v>
      </c>
      <c r="D104" s="251">
        <f>NPV(DiscountRate,$C101:D101)+$B101</f>
        <v>-21806484.731373213</v>
      </c>
      <c r="E104" s="251">
        <f>NPV(DiscountRate,$C101:E101)+$B101</f>
        <v>-17612466.416542564</v>
      </c>
      <c r="F104" s="251">
        <f>NPV(DiscountRate,$C101:F101)+$B101</f>
        <v>-14486195.573584996</v>
      </c>
      <c r="G104" s="251">
        <f>NPV(DiscountRate,$C101:G101)+$B101</f>
        <v>-11576564.249403168</v>
      </c>
      <c r="H104" s="251">
        <f>NPV(DiscountRate,$C101:H101)+$B101</f>
        <v>-9362490.8562676758</v>
      </c>
      <c r="I104" s="251">
        <f>NPV(DiscountRate,$C101:I101)+$B101</f>
        <v>-7758161.936020989</v>
      </c>
      <c r="J104" s="251">
        <f>NPV(DiscountRate,$C101:J101)+$B101</f>
        <v>-6261180.9354268909</v>
      </c>
      <c r="K104" s="251">
        <f>NPV(DiscountRate,$C101:K101)+$B101</f>
        <v>-4859010.2077114955</v>
      </c>
      <c r="L104" s="251">
        <f>NPV(DiscountRate,$C101:L101)+$B101</f>
        <v>-3546302.8469360992</v>
      </c>
      <c r="M104" s="251">
        <f>NPV(DiscountRate,$C101:M101)+$B101</f>
        <v>-2321853.7622949965</v>
      </c>
      <c r="N104" s="251">
        <f>NPV(DiscountRate,$C101:N101)+$B101</f>
        <v>-1085126.4122129939</v>
      </c>
      <c r="O104" s="251">
        <f>NPV(DiscountRate,$C101:O101)+$B101</f>
        <v>92304.696169067174</v>
      </c>
      <c r="P104" s="251">
        <f>NPV(DiscountRate,$C101:P101)+$B101</f>
        <v>1140133.4830948636</v>
      </c>
      <c r="Q104" s="251">
        <f>NPV(DiscountRate,$C101:Q101)+$B101</f>
        <v>2242971.0201421082</v>
      </c>
      <c r="R104" s="251">
        <f>NPV(DiscountRate,$C101:R101)+$B101</f>
        <v>3302703.2644526139</v>
      </c>
      <c r="S104" s="251">
        <f>NPV(DiscountRate,$C101:S101)+$B101</f>
        <v>4185681.3122493178</v>
      </c>
      <c r="T104" s="251">
        <f>NPV(DiscountRate,$C101:T101)+$B101</f>
        <v>4949707.1132718995</v>
      </c>
      <c r="U104" s="251">
        <f>NPV(DiscountRate,$C101:U101)+$B101</f>
        <v>5664742.7069074288</v>
      </c>
      <c r="V104" s="251">
        <f>NPV(DiscountRate,$C101:V101)+$B101</f>
        <v>6301975.4602932632</v>
      </c>
      <c r="W104" s="251">
        <f>NPV(DiscountRate,$C101:W101)+$B101</f>
        <v>6869099.0272422582</v>
      </c>
      <c r="X104" s="251">
        <f>NPV(DiscountRate,$C101:X101)+$B101</f>
        <v>7396342.7913523689</v>
      </c>
      <c r="Y104" s="251">
        <f>NPV(DiscountRate,$C101:Y101)+$B101</f>
        <v>7886527.9715714976</v>
      </c>
      <c r="Z104" s="251">
        <f>NPV(DiscountRate,$C101:Z101)+$B101</f>
        <v>8387213.1257215217</v>
      </c>
      <c r="AA104" s="251">
        <f>NPV(DiscountRate,$C101:AA101)+$B101</f>
        <v>8915427.0130194202</v>
      </c>
      <c r="AB104" s="251">
        <f>NPV(DiscountRate,$C101:AB101)+$B101</f>
        <v>9382087.1782316193</v>
      </c>
      <c r="AC104" s="251">
        <f>NPV(DiscountRate,$C101:AC101)+$B101</f>
        <v>9803882.1274131611</v>
      </c>
      <c r="AD104" s="251">
        <f>NPV(DiscountRate,$C101:AD101)+$B101</f>
        <v>10196841.199673191</v>
      </c>
      <c r="AE104" s="251">
        <f>NPV(DiscountRate,$C101:AE101)+$B101</f>
        <v>10553082.880756296</v>
      </c>
      <c r="AF104" s="251">
        <f>NPV(DiscountRate,$C101:AF101)+$B101</f>
        <v>11216726.461616084</v>
      </c>
      <c r="AG104" s="251">
        <f>NPV(DiscountRate,$C101:AG101)+$B101</f>
        <v>11216726.461616084</v>
      </c>
      <c r="AH104" s="251">
        <f>NPV(DiscountRate,$C101:AH101)+$B101</f>
        <v>11216726.461616084</v>
      </c>
      <c r="AI104" s="251">
        <f>NPV(DiscountRate,$C101:AI101)+$B101</f>
        <v>11216726.461616084</v>
      </c>
      <c r="AJ104" s="251">
        <f>NPV(DiscountRate,$C101:AJ101)+$B101</f>
        <v>11216726.461616084</v>
      </c>
      <c r="AK104" s="251">
        <f>NPV(DiscountRate,$C101:AK101)+$B101</f>
        <v>11216726.461616084</v>
      </c>
      <c r="AL104" s="251">
        <f>NPV(DiscountRate,$C101:AL101)+$B101</f>
        <v>11216726.461616084</v>
      </c>
      <c r="AM104" s="251">
        <f>NPV(DiscountRate,$C101:AM101)+$B101</f>
        <v>11216726.461616084</v>
      </c>
      <c r="AN104" s="251">
        <f>NPV(DiscountRate,$C101:AN101)+$B101</f>
        <v>11216726.461616084</v>
      </c>
      <c r="AO104" s="251">
        <f>NPV(DiscountRate,$C101:AO101)+$B101</f>
        <v>11216726.461616084</v>
      </c>
      <c r="AP104" s="251">
        <f>NPV(DiscountRate,$C101:AP101)+$B101</f>
        <v>11216726.461616084</v>
      </c>
    </row>
    <row r="105" spans="1:42">
      <c r="A105" s="184"/>
      <c r="B105" s="152"/>
      <c r="C105" s="152"/>
      <c r="D105" s="152"/>
      <c r="E105" s="152"/>
      <c r="F105" s="152"/>
      <c r="G105" s="152"/>
      <c r="H105" s="152"/>
      <c r="I105" s="152"/>
      <c r="J105" s="152"/>
      <c r="K105" s="152"/>
      <c r="L105" s="152"/>
      <c r="M105" s="152"/>
      <c r="N105" s="152"/>
      <c r="O105" s="152"/>
      <c r="P105" s="152"/>
      <c r="Q105" s="152"/>
      <c r="R105" s="152"/>
      <c r="S105" s="152"/>
      <c r="T105" s="152"/>
      <c r="U105" s="152"/>
      <c r="V105" s="152"/>
      <c r="W105" s="152"/>
      <c r="X105" s="152"/>
      <c r="Y105" s="152"/>
      <c r="Z105" s="152"/>
      <c r="AA105" s="152"/>
      <c r="AB105" s="152"/>
      <c r="AC105" s="152"/>
      <c r="AD105" s="152"/>
      <c r="AE105" s="152"/>
      <c r="AF105" s="152"/>
      <c r="AG105" s="152"/>
      <c r="AH105" s="152"/>
      <c r="AI105" s="152"/>
      <c r="AJ105" s="152"/>
      <c r="AK105" s="152"/>
      <c r="AL105" s="152"/>
      <c r="AM105" s="152"/>
      <c r="AN105" s="152"/>
      <c r="AO105" s="152"/>
      <c r="AP105" s="152"/>
    </row>
    <row r="106" spans="1:42">
      <c r="A106" s="179" t="s">
        <v>250</v>
      </c>
      <c r="B106" s="152"/>
      <c r="C106" s="152"/>
      <c r="D106" s="152"/>
      <c r="E106" s="152"/>
      <c r="F106" s="152"/>
      <c r="G106" s="186"/>
      <c r="H106" s="186"/>
      <c r="I106" s="186"/>
      <c r="J106" s="186"/>
      <c r="K106" s="186"/>
      <c r="L106" s="186"/>
      <c r="M106" s="186"/>
      <c r="N106" s="186"/>
      <c r="O106" s="186"/>
      <c r="P106" s="186"/>
      <c r="Q106" s="186"/>
      <c r="R106" s="186"/>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row>
    <row r="107" spans="1:42">
      <c r="A107" s="180" t="s">
        <v>438</v>
      </c>
      <c r="B107" s="196">
        <f>SUM(C107:AP107)</f>
        <v>192683126.8651886</v>
      </c>
      <c r="C107" s="152">
        <f t="shared" ref="C107:AP107" si="68">C12</f>
        <v>5973533.057851241</v>
      </c>
      <c r="D107" s="152">
        <f t="shared" si="68"/>
        <v>6003102.0464876043</v>
      </c>
      <c r="E107" s="152">
        <f t="shared" si="68"/>
        <v>6032817.4016177189</v>
      </c>
      <c r="F107" s="152">
        <f t="shared" si="68"/>
        <v>6062679.8477557255</v>
      </c>
      <c r="G107" s="152">
        <f t="shared" si="68"/>
        <v>6092690.1130021168</v>
      </c>
      <c r="H107" s="152">
        <f t="shared" si="68"/>
        <v>6122848.9290614761</v>
      </c>
      <c r="I107" s="152">
        <f t="shared" si="68"/>
        <v>6153157.0312603321</v>
      </c>
      <c r="J107" s="152">
        <f t="shared" si="68"/>
        <v>6183615.1585650686</v>
      </c>
      <c r="K107" s="152">
        <f t="shared" si="68"/>
        <v>6214224.0535999676</v>
      </c>
      <c r="L107" s="152">
        <f t="shared" si="68"/>
        <v>6244984.4626652887</v>
      </c>
      <c r="M107" s="152">
        <f t="shared" si="68"/>
        <v>6275897.1357554821</v>
      </c>
      <c r="N107" s="152">
        <f t="shared" si="68"/>
        <v>6306962.8265774688</v>
      </c>
      <c r="O107" s="152">
        <f t="shared" si="68"/>
        <v>6338182.2925690282</v>
      </c>
      <c r="P107" s="152">
        <f t="shared" si="68"/>
        <v>6369556.2949172445</v>
      </c>
      <c r="Q107" s="152">
        <f t="shared" si="68"/>
        <v>6401085.5985770868</v>
      </c>
      <c r="R107" s="152">
        <f t="shared" si="68"/>
        <v>6432770.97229004</v>
      </c>
      <c r="S107" s="152">
        <f t="shared" si="68"/>
        <v>6464613.1886028787</v>
      </c>
      <c r="T107" s="152">
        <f t="shared" si="68"/>
        <v>6496613.0238864627</v>
      </c>
      <c r="U107" s="152">
        <f t="shared" si="68"/>
        <v>6528771.258354702</v>
      </c>
      <c r="V107" s="152">
        <f t="shared" si="68"/>
        <v>6561088.6760835554</v>
      </c>
      <c r="W107" s="152">
        <f t="shared" si="68"/>
        <v>6593566.0650301697</v>
      </c>
      <c r="X107" s="152">
        <f t="shared" si="68"/>
        <v>6626204.2170520676</v>
      </c>
      <c r="Y107" s="152">
        <f t="shared" si="68"/>
        <v>6659003.927926477</v>
      </c>
      <c r="Z107" s="152">
        <f t="shared" si="68"/>
        <v>6691965.9973697122</v>
      </c>
      <c r="AA107" s="152">
        <f t="shared" si="68"/>
        <v>6725091.2290566936</v>
      </c>
      <c r="AB107" s="152">
        <f t="shared" si="68"/>
        <v>6758380.4306405261</v>
      </c>
      <c r="AC107" s="152">
        <f t="shared" si="68"/>
        <v>6791834.4137721956</v>
      </c>
      <c r="AD107" s="152">
        <f t="shared" si="68"/>
        <v>6825453.994120365</v>
      </c>
      <c r="AE107" s="152">
        <f t="shared" si="68"/>
        <v>6859239.991391262</v>
      </c>
      <c r="AF107" s="152">
        <f t="shared" si="68"/>
        <v>6893193.2293486483</v>
      </c>
      <c r="AG107" s="152">
        <f t="shared" si="68"/>
        <v>0</v>
      </c>
      <c r="AH107" s="152">
        <f t="shared" si="68"/>
        <v>0</v>
      </c>
      <c r="AI107" s="152">
        <f t="shared" si="68"/>
        <v>0</v>
      </c>
      <c r="AJ107" s="152">
        <f t="shared" si="68"/>
        <v>0</v>
      </c>
      <c r="AK107" s="152">
        <f t="shared" si="68"/>
        <v>0</v>
      </c>
      <c r="AL107" s="152">
        <f t="shared" si="68"/>
        <v>0</v>
      </c>
      <c r="AM107" s="152">
        <f t="shared" si="68"/>
        <v>0</v>
      </c>
      <c r="AN107" s="152">
        <f t="shared" si="68"/>
        <v>0</v>
      </c>
      <c r="AO107" s="152">
        <f t="shared" si="68"/>
        <v>0</v>
      </c>
      <c r="AP107" s="152">
        <f t="shared" si="68"/>
        <v>0</v>
      </c>
    </row>
    <row r="108" spans="1:42">
      <c r="A108" s="180" t="s">
        <v>127</v>
      </c>
      <c r="B108" s="196">
        <f>SUM(C108:AP108)</f>
        <v>474693747.49003303</v>
      </c>
      <c r="C108" s="152">
        <f t="shared" ref="C108:AP108" si="69">C5</f>
        <v>17000000</v>
      </c>
      <c r="D108" s="152">
        <f t="shared" si="69"/>
        <v>16915000</v>
      </c>
      <c r="E108" s="152">
        <f t="shared" si="69"/>
        <v>16830425</v>
      </c>
      <c r="F108" s="152">
        <f t="shared" si="69"/>
        <v>16746272.875</v>
      </c>
      <c r="G108" s="152">
        <f t="shared" si="69"/>
        <v>16662541.510624999</v>
      </c>
      <c r="H108" s="152">
        <f t="shared" si="69"/>
        <v>16579228.803071873</v>
      </c>
      <c r="I108" s="152">
        <f t="shared" si="69"/>
        <v>16496332.659056515</v>
      </c>
      <c r="J108" s="152">
        <f t="shared" si="69"/>
        <v>16413850.995761232</v>
      </c>
      <c r="K108" s="152">
        <f t="shared" si="69"/>
        <v>16331781.740782427</v>
      </c>
      <c r="L108" s="152">
        <f t="shared" si="69"/>
        <v>16250122.832078515</v>
      </c>
      <c r="M108" s="152">
        <f t="shared" si="69"/>
        <v>16168872.217918122</v>
      </c>
      <c r="N108" s="152">
        <f t="shared" si="69"/>
        <v>16088027.856828531</v>
      </c>
      <c r="O108" s="152">
        <f t="shared" si="69"/>
        <v>16007587.717544388</v>
      </c>
      <c r="P108" s="152">
        <f t="shared" si="69"/>
        <v>15927549.778956667</v>
      </c>
      <c r="Q108" s="152">
        <f t="shared" si="69"/>
        <v>15847912.030061884</v>
      </c>
      <c r="R108" s="152">
        <f t="shared" si="69"/>
        <v>15768672.469911573</v>
      </c>
      <c r="S108" s="152">
        <f t="shared" si="69"/>
        <v>15689829.107562015</v>
      </c>
      <c r="T108" s="152">
        <f t="shared" si="69"/>
        <v>15611379.962024204</v>
      </c>
      <c r="U108" s="152">
        <f t="shared" si="69"/>
        <v>15533323.062214084</v>
      </c>
      <c r="V108" s="152">
        <f t="shared" si="69"/>
        <v>15455656.446903013</v>
      </c>
      <c r="W108" s="152">
        <f t="shared" si="69"/>
        <v>15378378.164668497</v>
      </c>
      <c r="X108" s="152">
        <f t="shared" si="69"/>
        <v>15301486.273845155</v>
      </c>
      <c r="Y108" s="152">
        <f t="shared" si="69"/>
        <v>15224978.842475928</v>
      </c>
      <c r="Z108" s="152">
        <f t="shared" si="69"/>
        <v>15148853.948263548</v>
      </c>
      <c r="AA108" s="152">
        <f t="shared" si="69"/>
        <v>15073109.678522231</v>
      </c>
      <c r="AB108" s="152">
        <f t="shared" si="69"/>
        <v>14997744.13012962</v>
      </c>
      <c r="AC108" s="152">
        <f t="shared" si="69"/>
        <v>14922755.409478972</v>
      </c>
      <c r="AD108" s="152">
        <f t="shared" si="69"/>
        <v>14848141.632431576</v>
      </c>
      <c r="AE108" s="152">
        <f t="shared" si="69"/>
        <v>14773900.924269417</v>
      </c>
      <c r="AF108" s="152">
        <f t="shared" si="69"/>
        <v>14700031.41964807</v>
      </c>
      <c r="AG108" s="152">
        <f t="shared" si="69"/>
        <v>0</v>
      </c>
      <c r="AH108" s="152">
        <f t="shared" si="69"/>
        <v>0</v>
      </c>
      <c r="AI108" s="152">
        <f t="shared" si="69"/>
        <v>0</v>
      </c>
      <c r="AJ108" s="152">
        <f t="shared" si="69"/>
        <v>0</v>
      </c>
      <c r="AK108" s="152">
        <f t="shared" si="69"/>
        <v>0</v>
      </c>
      <c r="AL108" s="152">
        <f t="shared" si="69"/>
        <v>0</v>
      </c>
      <c r="AM108" s="152">
        <f t="shared" si="69"/>
        <v>0</v>
      </c>
      <c r="AN108" s="152">
        <f t="shared" si="69"/>
        <v>0</v>
      </c>
      <c r="AO108" s="152">
        <f t="shared" si="69"/>
        <v>0</v>
      </c>
      <c r="AP108" s="152">
        <f t="shared" si="69"/>
        <v>0</v>
      </c>
    </row>
    <row r="109" spans="1:42">
      <c r="B109" s="152"/>
      <c r="C109" s="152"/>
      <c r="D109" s="152"/>
      <c r="E109" s="152"/>
      <c r="F109" s="152"/>
      <c r="G109" s="186"/>
      <c r="H109" s="186"/>
      <c r="I109" s="186"/>
      <c r="J109" s="186"/>
      <c r="K109" s="186"/>
      <c r="L109" s="186"/>
      <c r="M109" s="186"/>
      <c r="N109" s="186"/>
      <c r="O109" s="186"/>
      <c r="P109" s="186"/>
      <c r="Q109" s="186"/>
      <c r="R109" s="186"/>
      <c r="S109" s="186"/>
      <c r="T109" s="186"/>
      <c r="U109" s="186"/>
      <c r="V109" s="186"/>
      <c r="W109" s="186"/>
      <c r="X109" s="186"/>
      <c r="Y109" s="186"/>
      <c r="Z109" s="186"/>
      <c r="AA109" s="186"/>
      <c r="AB109" s="186"/>
      <c r="AC109" s="186"/>
      <c r="AD109" s="186"/>
      <c r="AE109" s="186"/>
      <c r="AF109" s="186"/>
      <c r="AG109" s="186"/>
      <c r="AH109" s="186"/>
      <c r="AI109" s="186"/>
      <c r="AJ109" s="186"/>
      <c r="AK109" s="186"/>
      <c r="AL109" s="186"/>
      <c r="AM109" s="186"/>
      <c r="AN109" s="186"/>
      <c r="AO109" s="186"/>
      <c r="AP109" s="186"/>
    </row>
    <row r="110" spans="1:42">
      <c r="A110" s="37" t="s">
        <v>436</v>
      </c>
      <c r="B110" s="196">
        <f>NPV(DiscountRate,C107:AP107)</f>
        <v>70421252.732133195</v>
      </c>
      <c r="C110" s="152"/>
      <c r="D110" s="152"/>
      <c r="E110" s="152"/>
      <c r="F110" s="152"/>
      <c r="G110" s="186"/>
      <c r="H110" s="186"/>
      <c r="I110" s="186"/>
      <c r="J110" s="186"/>
      <c r="K110" s="186"/>
      <c r="L110" s="186"/>
      <c r="M110" s="186"/>
      <c r="N110" s="186"/>
      <c r="O110" s="186"/>
      <c r="P110" s="186"/>
      <c r="Q110" s="186"/>
      <c r="R110" s="186"/>
      <c r="S110" s="186"/>
      <c r="T110" s="186"/>
      <c r="U110" s="186"/>
      <c r="V110" s="186"/>
      <c r="W110" s="186"/>
      <c r="X110" s="186"/>
      <c r="Y110" s="186"/>
      <c r="Z110" s="186"/>
      <c r="AA110" s="186"/>
      <c r="AB110" s="186"/>
      <c r="AC110" s="186"/>
      <c r="AD110" s="186"/>
      <c r="AE110" s="186"/>
      <c r="AF110" s="186"/>
      <c r="AG110" s="186"/>
      <c r="AH110" s="186"/>
      <c r="AI110" s="186"/>
      <c r="AJ110" s="186"/>
      <c r="AK110" s="186"/>
      <c r="AL110" s="186"/>
      <c r="AM110" s="186"/>
      <c r="AN110" s="186"/>
      <c r="AO110" s="186"/>
      <c r="AP110" s="186"/>
    </row>
    <row r="111" spans="1:42">
      <c r="A111" s="37" t="s">
        <v>437</v>
      </c>
      <c r="B111" s="196">
        <f>NPV(DiscountRate,C108:AP108)</f>
        <v>182899462.80790007</v>
      </c>
      <c r="C111" s="152"/>
      <c r="D111" s="152"/>
      <c r="E111" s="152"/>
      <c r="F111" s="152"/>
      <c r="G111" s="186"/>
      <c r="H111" s="186"/>
      <c r="I111" s="186"/>
      <c r="J111" s="186"/>
      <c r="K111" s="186"/>
      <c r="L111" s="186"/>
      <c r="M111" s="186"/>
      <c r="N111" s="186"/>
      <c r="O111" s="186"/>
      <c r="P111" s="186"/>
      <c r="Q111" s="186"/>
      <c r="R111" s="186"/>
      <c r="S111" s="186"/>
      <c r="T111" s="186"/>
      <c r="U111" s="186"/>
      <c r="V111" s="186"/>
      <c r="W111" s="186"/>
      <c r="X111" s="186"/>
      <c r="Y111" s="186"/>
      <c r="Z111" s="186"/>
      <c r="AA111" s="186"/>
      <c r="AB111" s="186"/>
      <c r="AC111" s="186"/>
      <c r="AD111" s="186"/>
      <c r="AE111" s="186"/>
      <c r="AF111" s="186"/>
      <c r="AG111" s="186"/>
      <c r="AH111" s="186"/>
      <c r="AI111" s="186"/>
      <c r="AJ111" s="186"/>
      <c r="AK111" s="186"/>
      <c r="AL111" s="186"/>
      <c r="AM111" s="186"/>
      <c r="AN111" s="186"/>
      <c r="AO111" s="186"/>
      <c r="AP111" s="186"/>
    </row>
    <row r="112" spans="1:42">
      <c r="A112" s="37" t="s">
        <v>374</v>
      </c>
      <c r="B112" s="199">
        <f>B110/B111</f>
        <v>0.38502711626931829</v>
      </c>
      <c r="C112" s="152"/>
      <c r="D112" s="152"/>
      <c r="E112" s="152"/>
      <c r="F112" s="152"/>
      <c r="G112" s="186"/>
      <c r="H112" s="186"/>
      <c r="I112" s="186"/>
      <c r="J112" s="186"/>
      <c r="K112" s="186"/>
      <c r="L112" s="186"/>
      <c r="M112" s="186"/>
      <c r="N112" s="186"/>
      <c r="O112" s="186"/>
      <c r="P112" s="186"/>
      <c r="Q112" s="186"/>
      <c r="R112" s="186"/>
      <c r="S112" s="186"/>
      <c r="T112" s="186"/>
      <c r="U112" s="186"/>
      <c r="V112" s="186"/>
      <c r="W112" s="186"/>
      <c r="X112" s="186"/>
      <c r="Y112" s="186"/>
      <c r="Z112" s="186"/>
      <c r="AA112" s="186"/>
      <c r="AB112" s="186"/>
      <c r="AC112" s="186"/>
      <c r="AD112" s="186"/>
      <c r="AE112" s="186"/>
      <c r="AF112" s="186"/>
      <c r="AG112" s="186"/>
      <c r="AH112" s="186"/>
      <c r="AI112" s="186"/>
      <c r="AJ112" s="186"/>
      <c r="AK112" s="186"/>
      <c r="AL112" s="186"/>
      <c r="AM112" s="186"/>
      <c r="AN112" s="186"/>
      <c r="AO112" s="186"/>
      <c r="AP112" s="186"/>
    </row>
    <row r="113" spans="1:42">
      <c r="B113" s="152"/>
      <c r="C113" s="152"/>
      <c r="D113" s="152"/>
      <c r="E113" s="152"/>
      <c r="F113" s="152"/>
      <c r="G113" s="186"/>
      <c r="H113" s="186"/>
      <c r="I113" s="186"/>
      <c r="J113" s="186"/>
      <c r="K113" s="186"/>
      <c r="L113" s="186"/>
      <c r="M113" s="186"/>
      <c r="N113" s="186"/>
      <c r="O113" s="186"/>
      <c r="P113" s="186"/>
      <c r="Q113" s="186"/>
      <c r="R113" s="186"/>
      <c r="S113" s="186"/>
      <c r="T113" s="186"/>
      <c r="U113" s="186"/>
      <c r="V113" s="186"/>
      <c r="W113" s="186"/>
      <c r="X113" s="186"/>
      <c r="Y113" s="186"/>
      <c r="Z113" s="186"/>
      <c r="AA113" s="186"/>
      <c r="AB113" s="186"/>
      <c r="AC113" s="186"/>
      <c r="AD113" s="186"/>
      <c r="AE113" s="186"/>
      <c r="AF113" s="186"/>
      <c r="AG113" s="186"/>
      <c r="AH113" s="186"/>
      <c r="AI113" s="186"/>
      <c r="AJ113" s="186"/>
      <c r="AK113" s="186"/>
      <c r="AL113" s="186"/>
      <c r="AM113" s="186"/>
      <c r="AN113" s="186"/>
      <c r="AO113" s="186"/>
      <c r="AP113" s="186"/>
    </row>
    <row r="114" spans="1:42">
      <c r="A114" s="179" t="s">
        <v>247</v>
      </c>
      <c r="B114" s="152"/>
      <c r="C114" s="152"/>
      <c r="D114" s="152"/>
      <c r="E114" s="152"/>
      <c r="F114" s="152"/>
      <c r="G114" s="186"/>
      <c r="H114" s="186"/>
      <c r="I114" s="186"/>
      <c r="J114" s="186"/>
      <c r="K114" s="186"/>
      <c r="L114" s="186"/>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c r="AM114" s="186"/>
      <c r="AN114" s="186"/>
      <c r="AO114" s="186"/>
      <c r="AP114" s="186"/>
    </row>
    <row r="115" spans="1:42" s="118" customFormat="1">
      <c r="A115" s="195" t="s">
        <v>243</v>
      </c>
      <c r="B115" s="198"/>
      <c r="C115" s="198"/>
      <c r="D115" s="198"/>
      <c r="E115" s="198"/>
      <c r="F115" s="198"/>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141"/>
      <c r="AL115" s="141"/>
      <c r="AM115" s="141"/>
      <c r="AN115" s="141"/>
      <c r="AO115" s="141"/>
      <c r="AP115" s="141"/>
    </row>
    <row r="116" spans="1:42">
      <c r="A116" s="180" t="s">
        <v>214</v>
      </c>
      <c r="B116" s="186">
        <f>B125</f>
        <v>-17499275.25</v>
      </c>
      <c r="C116" s="186">
        <f t="shared" ref="C116:AP117" si="70">C125</f>
        <v>0</v>
      </c>
      <c r="D116" s="186">
        <f t="shared" si="70"/>
        <v>0</v>
      </c>
      <c r="E116" s="186">
        <f t="shared" si="70"/>
        <v>0</v>
      </c>
      <c r="F116" s="186">
        <f t="shared" si="70"/>
        <v>0</v>
      </c>
      <c r="G116" s="186">
        <f t="shared" si="70"/>
        <v>0</v>
      </c>
      <c r="H116" s="186">
        <f t="shared" si="70"/>
        <v>0</v>
      </c>
      <c r="I116" s="186">
        <f t="shared" si="70"/>
        <v>0</v>
      </c>
      <c r="J116" s="186">
        <f t="shared" si="70"/>
        <v>0</v>
      </c>
      <c r="K116" s="186">
        <f t="shared" si="70"/>
        <v>0</v>
      </c>
      <c r="L116" s="186">
        <f t="shared" si="70"/>
        <v>0</v>
      </c>
      <c r="M116" s="186">
        <f t="shared" si="70"/>
        <v>0</v>
      </c>
      <c r="N116" s="186">
        <f t="shared" si="70"/>
        <v>0</v>
      </c>
      <c r="O116" s="186">
        <f t="shared" si="70"/>
        <v>0</v>
      </c>
      <c r="P116" s="186">
        <f t="shared" si="70"/>
        <v>0</v>
      </c>
      <c r="Q116" s="186">
        <f t="shared" si="70"/>
        <v>0</v>
      </c>
      <c r="R116" s="186">
        <f t="shared" si="70"/>
        <v>0</v>
      </c>
      <c r="S116" s="186">
        <f t="shared" si="70"/>
        <v>0</v>
      </c>
      <c r="T116" s="186">
        <f t="shared" si="70"/>
        <v>0</v>
      </c>
      <c r="U116" s="186">
        <f t="shared" si="70"/>
        <v>0</v>
      </c>
      <c r="V116" s="186">
        <f t="shared" si="70"/>
        <v>0</v>
      </c>
      <c r="W116" s="186">
        <f t="shared" si="70"/>
        <v>0</v>
      </c>
      <c r="X116" s="186">
        <f t="shared" si="70"/>
        <v>0</v>
      </c>
      <c r="Y116" s="186">
        <f t="shared" si="70"/>
        <v>0</v>
      </c>
      <c r="Z116" s="186">
        <f t="shared" si="70"/>
        <v>0</v>
      </c>
      <c r="AA116" s="186">
        <f t="shared" si="70"/>
        <v>0</v>
      </c>
      <c r="AB116" s="186">
        <f t="shared" si="70"/>
        <v>0</v>
      </c>
      <c r="AC116" s="186">
        <f t="shared" si="70"/>
        <v>0</v>
      </c>
      <c r="AD116" s="186">
        <f t="shared" si="70"/>
        <v>0</v>
      </c>
      <c r="AE116" s="186">
        <f t="shared" si="70"/>
        <v>0</v>
      </c>
      <c r="AF116" s="186">
        <f t="shared" si="70"/>
        <v>0</v>
      </c>
      <c r="AG116" s="186">
        <f t="shared" si="70"/>
        <v>0</v>
      </c>
      <c r="AH116" s="186">
        <f t="shared" si="70"/>
        <v>0</v>
      </c>
      <c r="AI116" s="186">
        <f t="shared" si="70"/>
        <v>0</v>
      </c>
      <c r="AJ116" s="186">
        <f t="shared" si="70"/>
        <v>0</v>
      </c>
      <c r="AK116" s="186">
        <f t="shared" si="70"/>
        <v>0</v>
      </c>
      <c r="AL116" s="186">
        <f t="shared" si="70"/>
        <v>0</v>
      </c>
      <c r="AM116" s="186">
        <f t="shared" si="70"/>
        <v>0</v>
      </c>
      <c r="AN116" s="186">
        <f t="shared" si="70"/>
        <v>0</v>
      </c>
      <c r="AO116" s="186">
        <f t="shared" si="70"/>
        <v>0</v>
      </c>
      <c r="AP116" s="186">
        <f t="shared" si="70"/>
        <v>0</v>
      </c>
    </row>
    <row r="117" spans="1:42">
      <c r="A117" s="180" t="s">
        <v>215</v>
      </c>
      <c r="B117" s="187">
        <f>B126</f>
        <v>0</v>
      </c>
      <c r="C117" s="187">
        <f t="shared" si="70"/>
        <v>0</v>
      </c>
      <c r="D117" s="187">
        <f t="shared" si="70"/>
        <v>0</v>
      </c>
      <c r="E117" s="187">
        <f t="shared" si="70"/>
        <v>2011528.8473613029</v>
      </c>
      <c r="F117" s="187">
        <f t="shared" si="70"/>
        <v>4650149.8780450458</v>
      </c>
      <c r="G117" s="187">
        <f t="shared" si="70"/>
        <v>4697275.2611504216</v>
      </c>
      <c r="H117" s="187">
        <f t="shared" si="70"/>
        <v>4744370.0411907351</v>
      </c>
      <c r="I117" s="187">
        <f t="shared" si="70"/>
        <v>4787905.8034467613</v>
      </c>
      <c r="J117" s="187">
        <f t="shared" si="70"/>
        <v>4834959.3654125025</v>
      </c>
      <c r="K117" s="187">
        <f t="shared" si="70"/>
        <v>4881973.4615835296</v>
      </c>
      <c r="L117" s="187">
        <f t="shared" si="70"/>
        <v>4925258.4155008225</v>
      </c>
      <c r="M117" s="187">
        <f t="shared" si="70"/>
        <v>4972214.2110510981</v>
      </c>
      <c r="N117" s="187">
        <f t="shared" si="70"/>
        <v>5019120.999814719</v>
      </c>
      <c r="O117" s="187">
        <f t="shared" si="70"/>
        <v>4962579.3277905639</v>
      </c>
      <c r="P117" s="187">
        <f t="shared" si="70"/>
        <v>501024.94939018693</v>
      </c>
      <c r="Q117" s="187">
        <f t="shared" si="70"/>
        <v>505786.0387567351</v>
      </c>
      <c r="R117" s="187">
        <f t="shared" si="70"/>
        <v>489085.71377223497</v>
      </c>
      <c r="S117" s="187">
        <f t="shared" si="70"/>
        <v>494016.9423317968</v>
      </c>
      <c r="T117" s="187">
        <f t="shared" si="70"/>
        <v>498941.13965939713</v>
      </c>
      <c r="U117" s="187">
        <f t="shared" si="70"/>
        <v>503436.40050668106</v>
      </c>
      <c r="V117" s="187">
        <f t="shared" si="70"/>
        <v>508348.79968670348</v>
      </c>
      <c r="W117" s="187">
        <f t="shared" si="70"/>
        <v>513252.98093553487</v>
      </c>
      <c r="X117" s="187">
        <f t="shared" si="70"/>
        <v>516274.66366902145</v>
      </c>
      <c r="Y117" s="187">
        <f t="shared" si="70"/>
        <v>519731.65085833607</v>
      </c>
      <c r="Z117" s="187">
        <f t="shared" si="70"/>
        <v>523179.14505644405</v>
      </c>
      <c r="AA117" s="187">
        <f t="shared" si="70"/>
        <v>549335.33397811116</v>
      </c>
      <c r="AB117" s="187">
        <f t="shared" si="70"/>
        <v>552252.77630004752</v>
      </c>
      <c r="AC117" s="187">
        <f t="shared" si="70"/>
        <v>555159.35617804178</v>
      </c>
      <c r="AD117" s="187">
        <f t="shared" si="70"/>
        <v>557572.63428760774</v>
      </c>
      <c r="AE117" s="187">
        <f t="shared" si="70"/>
        <v>560459.96628475783</v>
      </c>
      <c r="AF117" s="187">
        <f t="shared" si="70"/>
        <v>1000606.4655514337</v>
      </c>
      <c r="AG117" s="187">
        <f t="shared" si="70"/>
        <v>0</v>
      </c>
      <c r="AH117" s="187">
        <f t="shared" si="70"/>
        <v>0</v>
      </c>
      <c r="AI117" s="187">
        <f t="shared" si="70"/>
        <v>0</v>
      </c>
      <c r="AJ117" s="187">
        <f t="shared" si="70"/>
        <v>0</v>
      </c>
      <c r="AK117" s="187">
        <f t="shared" si="70"/>
        <v>0</v>
      </c>
      <c r="AL117" s="187">
        <f t="shared" si="70"/>
        <v>0</v>
      </c>
      <c r="AM117" s="187">
        <f t="shared" si="70"/>
        <v>0</v>
      </c>
      <c r="AN117" s="187">
        <f t="shared" si="70"/>
        <v>0</v>
      </c>
      <c r="AO117" s="187">
        <f t="shared" si="70"/>
        <v>0</v>
      </c>
      <c r="AP117" s="187">
        <f t="shared" si="70"/>
        <v>0</v>
      </c>
    </row>
    <row r="118" spans="1:42">
      <c r="A118" s="180" t="s">
        <v>53</v>
      </c>
      <c r="B118" s="152">
        <f>SUM(B116:B117)</f>
        <v>-17499275.25</v>
      </c>
      <c r="C118" s="152">
        <f t="shared" ref="C118:AP118" si="71">SUM(C116:C117)</f>
        <v>0</v>
      </c>
      <c r="D118" s="152">
        <f t="shared" si="71"/>
        <v>0</v>
      </c>
      <c r="E118" s="152">
        <f t="shared" si="71"/>
        <v>2011528.8473613029</v>
      </c>
      <c r="F118" s="152">
        <f t="shared" si="71"/>
        <v>4650149.8780450458</v>
      </c>
      <c r="G118" s="152">
        <f t="shared" si="71"/>
        <v>4697275.2611504216</v>
      </c>
      <c r="H118" s="152">
        <f t="shared" si="71"/>
        <v>4744370.0411907351</v>
      </c>
      <c r="I118" s="152">
        <f t="shared" si="71"/>
        <v>4787905.8034467613</v>
      </c>
      <c r="J118" s="152">
        <f t="shared" si="71"/>
        <v>4834959.3654125025</v>
      </c>
      <c r="K118" s="152">
        <f t="shared" si="71"/>
        <v>4881973.4615835296</v>
      </c>
      <c r="L118" s="152">
        <f t="shared" si="71"/>
        <v>4925258.4155008225</v>
      </c>
      <c r="M118" s="152">
        <f t="shared" si="71"/>
        <v>4972214.2110510981</v>
      </c>
      <c r="N118" s="152">
        <f t="shared" si="71"/>
        <v>5019120.999814719</v>
      </c>
      <c r="O118" s="152">
        <f t="shared" si="71"/>
        <v>4962579.3277905639</v>
      </c>
      <c r="P118" s="152">
        <f t="shared" si="71"/>
        <v>501024.94939018693</v>
      </c>
      <c r="Q118" s="152">
        <f t="shared" si="71"/>
        <v>505786.0387567351</v>
      </c>
      <c r="R118" s="152">
        <f t="shared" si="71"/>
        <v>489085.71377223497</v>
      </c>
      <c r="S118" s="152">
        <f t="shared" si="71"/>
        <v>494016.9423317968</v>
      </c>
      <c r="T118" s="152">
        <f t="shared" si="71"/>
        <v>498941.13965939713</v>
      </c>
      <c r="U118" s="152">
        <f t="shared" si="71"/>
        <v>503436.40050668106</v>
      </c>
      <c r="V118" s="152">
        <f t="shared" si="71"/>
        <v>508348.79968670348</v>
      </c>
      <c r="W118" s="152">
        <f t="shared" si="71"/>
        <v>513252.98093553487</v>
      </c>
      <c r="X118" s="152">
        <f t="shared" si="71"/>
        <v>516274.66366902145</v>
      </c>
      <c r="Y118" s="152">
        <f t="shared" si="71"/>
        <v>519731.65085833607</v>
      </c>
      <c r="Z118" s="152">
        <f t="shared" si="71"/>
        <v>523179.14505644405</v>
      </c>
      <c r="AA118" s="152">
        <f t="shared" si="71"/>
        <v>549335.33397811116</v>
      </c>
      <c r="AB118" s="152">
        <f t="shared" si="71"/>
        <v>552252.77630004752</v>
      </c>
      <c r="AC118" s="152">
        <f t="shared" si="71"/>
        <v>555159.35617804178</v>
      </c>
      <c r="AD118" s="152">
        <f t="shared" si="71"/>
        <v>557572.63428760774</v>
      </c>
      <c r="AE118" s="152">
        <f t="shared" si="71"/>
        <v>560459.96628475783</v>
      </c>
      <c r="AF118" s="152">
        <f t="shared" si="71"/>
        <v>1000606.4655514337</v>
      </c>
      <c r="AG118" s="152">
        <f t="shared" si="71"/>
        <v>0</v>
      </c>
      <c r="AH118" s="152">
        <f t="shared" si="71"/>
        <v>0</v>
      </c>
      <c r="AI118" s="152">
        <f t="shared" si="71"/>
        <v>0</v>
      </c>
      <c r="AJ118" s="152">
        <f t="shared" si="71"/>
        <v>0</v>
      </c>
      <c r="AK118" s="152">
        <f t="shared" si="71"/>
        <v>0</v>
      </c>
      <c r="AL118" s="152">
        <f t="shared" si="71"/>
        <v>0</v>
      </c>
      <c r="AM118" s="152">
        <f t="shared" si="71"/>
        <v>0</v>
      </c>
      <c r="AN118" s="152">
        <f t="shared" si="71"/>
        <v>0</v>
      </c>
      <c r="AO118" s="152">
        <f t="shared" si="71"/>
        <v>0</v>
      </c>
      <c r="AP118" s="152">
        <f t="shared" si="71"/>
        <v>0</v>
      </c>
    </row>
    <row r="119" spans="1:42">
      <c r="A119" s="180"/>
      <c r="B119" s="152"/>
      <c r="C119" s="152"/>
      <c r="D119" s="152"/>
      <c r="E119" s="152"/>
      <c r="F119" s="152"/>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c r="AM119" s="186"/>
      <c r="AN119" s="186"/>
      <c r="AO119" s="186"/>
      <c r="AP119" s="186"/>
    </row>
    <row r="120" spans="1:42">
      <c r="A120" s="180" t="s">
        <v>401</v>
      </c>
      <c r="B120" s="201">
        <f>ROUND(IF(ISERROR(IRR($B118:B118)),0,IRR($B118:B118)),4)</f>
        <v>0</v>
      </c>
      <c r="C120" s="201">
        <f>ROUND(IF(ISERROR(IRR($B118:C118)),0,IRR($B118:C118)),4)</f>
        <v>0</v>
      </c>
      <c r="D120" s="201">
        <f>ROUND(IF(ISERROR(IRR($B118:D118)),0,IRR($B118:D118)),4)</f>
        <v>0</v>
      </c>
      <c r="E120" s="201">
        <f>ROUND(IF(ISERROR(IRR($B118:E118)),0,IRR($B118:E118)),4)</f>
        <v>0</v>
      </c>
      <c r="F120" s="201">
        <f>ROUND(IF(ISERROR(IRR($B118:F118)),0,IRR($B118:F118)),4)</f>
        <v>-0.22839999999999999</v>
      </c>
      <c r="G120" s="201">
        <f>ROUND(IF(ISERROR(IRR($B118:G118)),0,IRR($B118:G118)),4)</f>
        <v>-9.64E-2</v>
      </c>
      <c r="H120" s="201">
        <f>ROUND(IF(ISERROR(IRR($B118:H118)),0,IRR($B118:H118)),4)</f>
        <v>-1.7299999999999999E-2</v>
      </c>
      <c r="I120" s="201">
        <f>ROUND(IF(ISERROR(IRR($B118:I118)),0,IRR($B118:I118)),4)</f>
        <v>3.44E-2</v>
      </c>
      <c r="J120" s="201">
        <f>ROUND(IF(ISERROR(IRR($B118:J118)),0,IRR($B118:J118)),4)</f>
        <v>7.0000000000000007E-2</v>
      </c>
      <c r="K120" s="201">
        <f>ROUND(IF(ISERROR(IRR($B118:K118)),0,IRR($B118:K118)),4)</f>
        <v>9.5399999999999999E-2</v>
      </c>
      <c r="L120" s="201">
        <f>ROUND(IF(ISERROR(IRR($B118:L118)),0,IRR($B118:L118)),4)</f>
        <v>0.114</v>
      </c>
      <c r="M120" s="201">
        <f>ROUND(IF(ISERROR(IRR($B118:M118)),0,IRR($B118:M118)),4)</f>
        <v>0.128</v>
      </c>
      <c r="N120" s="201">
        <f>ROUND(IF(ISERROR(IRR($B118:N118)),0,IRR($B118:N118)),4)</f>
        <v>0.13880000000000001</v>
      </c>
      <c r="O120" s="201">
        <f>ROUND(IF(ISERROR(IRR($B118:O118)),0,IRR($B118:O118)),4)</f>
        <v>0.1469</v>
      </c>
      <c r="P120" s="201">
        <f>ROUND(IF(ISERROR(IRR($B118:P118)),0,IRR($B118:P118)),4)</f>
        <v>0.14760000000000001</v>
      </c>
      <c r="Q120" s="201">
        <f>ROUND(IF(ISERROR(IRR($B118:Q118)),0,IRR($B118:Q118)),4)</f>
        <v>0.1482</v>
      </c>
      <c r="R120" s="201">
        <f>ROUND(IF(ISERROR(IRR($B118:R118)),0,IRR($B118:R118)),4)</f>
        <v>0.1487</v>
      </c>
      <c r="S120" s="201">
        <f>ROUND(IF(ISERROR(IRR($B118:S118)),0,IRR($B118:S118)),4)</f>
        <v>0.14910000000000001</v>
      </c>
      <c r="T120" s="201">
        <f>ROUND(IF(ISERROR(IRR($B118:T118)),0,IRR($B118:T118)),4)</f>
        <v>0.14940000000000001</v>
      </c>
      <c r="U120" s="201">
        <f>ROUND(IF(ISERROR(IRR($B118:U118)),0,IRR($B118:U118)),4)</f>
        <v>0.14979999999999999</v>
      </c>
      <c r="V120" s="201">
        <f>ROUND(IF(ISERROR(IRR($B118:V118)),0,IRR($B118:V118)),4)</f>
        <v>0.15010000000000001</v>
      </c>
      <c r="W120" s="201">
        <f>ROUND(IF(ISERROR(IRR($B118:W118)),0,IRR($B118:W118)),4)</f>
        <v>0.15029999999999999</v>
      </c>
      <c r="X120" s="201">
        <f>ROUND(IF(ISERROR(IRR($B118:X118)),0,IRR($B118:X118)),4)</f>
        <v>0.15049999999999999</v>
      </c>
      <c r="Y120" s="201">
        <f>ROUND(IF(ISERROR(IRR($B118:Y118)),0,IRR($B118:Y118)),4)</f>
        <v>0.1507</v>
      </c>
      <c r="Z120" s="201">
        <f>ROUND(IF(ISERROR(IRR($B118:Z118)),0,IRR($B118:Z118)),4)</f>
        <v>0.15090000000000001</v>
      </c>
      <c r="AA120" s="201">
        <f>ROUND(IF(ISERROR(IRR($B118:AA118)),0,IRR($B118:AA118)),4)</f>
        <v>0.151</v>
      </c>
      <c r="AB120" s="201">
        <f>ROUND(IF(ISERROR(IRR($B118:AB118)),0,IRR($B118:AB118)),4)</f>
        <v>0.15110000000000001</v>
      </c>
      <c r="AC120" s="201">
        <f>ROUND(IF(ISERROR(IRR($B118:AC118)),0,IRR($B118:AC118)),4)</f>
        <v>0.1512</v>
      </c>
      <c r="AD120" s="201">
        <f>ROUND(IF(ISERROR(IRR($B118:AD118)),0,IRR($B118:AD118)),4)</f>
        <v>0.15129999999999999</v>
      </c>
      <c r="AE120" s="201">
        <f>ROUND(IF(ISERROR(IRR($B118:AE118)),0,IRR($B118:AE118)),4)</f>
        <v>0.15140000000000001</v>
      </c>
      <c r="AF120" s="201">
        <f>ROUND(IF(ISERROR(IRR($B118:AF118)),0,IRR($B118:AF118)),4)</f>
        <v>0.1515</v>
      </c>
      <c r="AG120" s="201">
        <f>ROUND(IF(ISERROR(IRR($B118:AG118)),0,IRR($B118:AG118)),4)</f>
        <v>0.1515</v>
      </c>
      <c r="AH120" s="201">
        <f>ROUND(IF(ISERROR(IRR($B118:AH118)),0,IRR($B118:AH118)),4)</f>
        <v>0.1515</v>
      </c>
      <c r="AI120" s="201">
        <f>ROUND(IF(ISERROR(IRR($B118:AI118)),0,IRR($B118:AI118)),4)</f>
        <v>0.1515</v>
      </c>
      <c r="AJ120" s="201">
        <f>ROUND(IF(ISERROR(IRR($B118:AJ118)),0,IRR($B118:AJ118)),4)</f>
        <v>0.1515</v>
      </c>
      <c r="AK120" s="201">
        <f>ROUND(IF(ISERROR(IRR($B118:AK118)),0,IRR($B118:AK118)),4)</f>
        <v>0.1515</v>
      </c>
      <c r="AL120" s="201">
        <f>ROUND(IF(ISERROR(IRR($B118:AL118)),0,IRR($B118:AL118)),4)</f>
        <v>0.1515</v>
      </c>
      <c r="AM120" s="201">
        <f>ROUND(IF(ISERROR(IRR($B118:AM118)),0,IRR($B118:AM118)),4)</f>
        <v>0.1515</v>
      </c>
      <c r="AN120" s="201">
        <f>ROUND(IF(ISERROR(IRR($B118:AN118)),0,IRR($B118:AN118)),4)</f>
        <v>0.1515</v>
      </c>
      <c r="AO120" s="201">
        <f>ROUND(IF(ISERROR(IRR($B118:AO118)),0,IRR($B118:AO118)),4)</f>
        <v>0.1515</v>
      </c>
      <c r="AP120" s="201">
        <f>ROUND(IF(ISERROR(IRR($B118:AP118)),0,IRR($B118:AP118)),4)</f>
        <v>0.1515</v>
      </c>
    </row>
    <row r="121" spans="1:42">
      <c r="A121" s="180" t="s">
        <v>402</v>
      </c>
      <c r="B121" s="251">
        <f>B118</f>
        <v>-17499275.25</v>
      </c>
      <c r="C121" s="251">
        <f>NPV(DiscountRate,$C118:C118)+$B$118</f>
        <v>-17499275.25</v>
      </c>
      <c r="D121" s="251">
        <f>NPV(DiscountRate,$C118:D118)+$B$118</f>
        <v>-17499275.25</v>
      </c>
      <c r="E121" s="251">
        <f>NPV(DiscountRate,$C118:E118)+$B$118</f>
        <v>-15902458.797222458</v>
      </c>
      <c r="F121" s="251">
        <f>NPV(DiscountRate,$C118:F118)+$B$118</f>
        <v>-12484459.816881564</v>
      </c>
      <c r="G121" s="251">
        <f>NPV(DiscountRate,$C118:G118)+$B$118</f>
        <v>-9287573.2023002524</v>
      </c>
      <c r="H121" s="251">
        <f>NPV(DiscountRate,$C118:H118)+$B$118</f>
        <v>-6297815.3036477081</v>
      </c>
      <c r="I121" s="251">
        <f>NPV(DiscountRate,$C118:I118)+$B$118</f>
        <v>-3504118.2539166939</v>
      </c>
      <c r="J121" s="251">
        <f>NPV(DiscountRate,$C118:J118)+$B$118</f>
        <v>-891940.15095289983</v>
      </c>
      <c r="K121" s="251">
        <f>NPV(DiscountRate,$C118:K118)+$B$118</f>
        <v>1550262.0307674557</v>
      </c>
      <c r="L121" s="251">
        <f>NPV(DiscountRate,$C118:L118)+$B$118</f>
        <v>3831609.6559617259</v>
      </c>
      <c r="M121" s="251">
        <f>NPV(DiscountRate,$C118:M118)+$B$118</f>
        <v>5964107.1040367223</v>
      </c>
      <c r="N121" s="251">
        <f>NPV(DiscountRate,$C118:N118)+$B$118</f>
        <v>7957269.1093721688</v>
      </c>
      <c r="O121" s="251">
        <f>NPV(DiscountRate,$C118:O118)+$B$118</f>
        <v>9781999.2292219885</v>
      </c>
      <c r="P121" s="251">
        <f>NPV(DiscountRate,$C118:P118)+$B$118</f>
        <v>9952578.7052402981</v>
      </c>
      <c r="Q121" s="251">
        <f>NPV(DiscountRate,$C118:Q118)+$B$118</f>
        <v>10112023.558445916</v>
      </c>
      <c r="R121" s="251">
        <f>NPV(DiscountRate,$C118:R118)+$B$118</f>
        <v>10254783.016116302</v>
      </c>
      <c r="S121" s="251">
        <f>NPV(DiscountRate,$C118:S118)+$B$118</f>
        <v>10388300.45711657</v>
      </c>
      <c r="T121" s="251">
        <f>NPV(DiscountRate,$C118:T118)+$B$118</f>
        <v>10513159.992902409</v>
      </c>
      <c r="U121" s="251">
        <f>NPV(DiscountRate,$C118:U118)+$B$118</f>
        <v>10629812.280354723</v>
      </c>
      <c r="V121" s="251">
        <f>NPV(DiscountRate,$C118:V118)+$B$118</f>
        <v>10738877.604063507</v>
      </c>
      <c r="W121" s="251">
        <f>NPV(DiscountRate,$C118:W118)+$B$118</f>
        <v>10840838.258697312</v>
      </c>
      <c r="X121" s="251">
        <f>NPV(DiscountRate,$C118:X118)+$B$118</f>
        <v>10935802.082101222</v>
      </c>
      <c r="Y121" s="251">
        <f>NPV(DiscountRate,$C118:Y118)+$B$118</f>
        <v>11024320.32597189</v>
      </c>
      <c r="Z121" s="251">
        <f>NPV(DiscountRate,$C118:Z118)+$B$118</f>
        <v>11106825.330439582</v>
      </c>
      <c r="AA121" s="251">
        <f>NPV(DiscountRate,$C118:AA118)+$B$118</f>
        <v>11187038.125001702</v>
      </c>
      <c r="AB121" s="251">
        <f>NPV(DiscountRate,$C118:AB118)+$B$118</f>
        <v>11261703.674425472</v>
      </c>
      <c r="AC121" s="251">
        <f>NPV(DiscountRate,$C118:AC118)+$B$118</f>
        <v>11331202.307897624</v>
      </c>
      <c r="AD121" s="251">
        <f>NPV(DiscountRate,$C118:AD118)+$B$118</f>
        <v>11395832.626490645</v>
      </c>
      <c r="AE121" s="251">
        <f>NPV(DiscountRate,$C118:AE118)+$B$118</f>
        <v>11455985.404257003</v>
      </c>
      <c r="AF121" s="251">
        <f>NPV(DiscountRate,$C118:AF118)+$B$118</f>
        <v>11555423.005735587</v>
      </c>
      <c r="AG121" s="251">
        <f>NPV(DiscountRate,$C118:AG118)+$B$118</f>
        <v>11555423.005735587</v>
      </c>
      <c r="AH121" s="251">
        <f>NPV(DiscountRate,$C118:AH118)+$B$118</f>
        <v>11555423.005735587</v>
      </c>
      <c r="AI121" s="251">
        <f>NPV(DiscountRate,$C118:AI118)+$B$118</f>
        <v>11555423.005735587</v>
      </c>
      <c r="AJ121" s="251">
        <f>NPV(DiscountRate,$C118:AJ118)+$B$118</f>
        <v>11555423.005735587</v>
      </c>
      <c r="AK121" s="251">
        <f>NPV(DiscountRate,$C118:AK118)+$B$118</f>
        <v>11555423.005735587</v>
      </c>
      <c r="AL121" s="251">
        <f>NPV(DiscountRate,$C118:AL118)+$B$118</f>
        <v>11555423.005735587</v>
      </c>
      <c r="AM121" s="251">
        <f>NPV(DiscountRate,$C118:AM118)+$B$118</f>
        <v>11555423.005735587</v>
      </c>
      <c r="AN121" s="251">
        <f>NPV(DiscountRate,$C118:AN118)+$B$118</f>
        <v>11555423.005735587</v>
      </c>
      <c r="AO121" s="251">
        <f>NPV(DiscountRate,$C118:AO118)+$B$118</f>
        <v>11555423.005735587</v>
      </c>
      <c r="AP121" s="251">
        <f>NPV(DiscountRate,$C118:AP118)+$B$118</f>
        <v>11555423.005735587</v>
      </c>
    </row>
    <row r="122" spans="1:42">
      <c r="A122" s="180"/>
      <c r="B122" s="152"/>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182" t="s">
        <v>242</v>
      </c>
      <c r="B123" s="152"/>
      <c r="C123" s="181"/>
      <c r="D123" s="181"/>
      <c r="E123" s="181"/>
      <c r="F123" s="181"/>
      <c r="G123" s="181"/>
      <c r="H123" s="181"/>
      <c r="I123" s="181"/>
      <c r="J123" s="181"/>
      <c r="K123" s="181"/>
      <c r="L123" s="181"/>
      <c r="M123" s="181"/>
      <c r="N123" s="181"/>
      <c r="O123" s="181"/>
      <c r="P123" s="181"/>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s="118" customFormat="1">
      <c r="A124" s="197" t="s">
        <v>219</v>
      </c>
      <c r="B124" s="198"/>
      <c r="C124" s="198"/>
      <c r="D124" s="198"/>
      <c r="E124" s="198"/>
      <c r="F124" s="198"/>
      <c r="G124" s="143"/>
      <c r="H124" s="143"/>
      <c r="I124" s="143"/>
      <c r="J124" s="143"/>
      <c r="K124" s="143"/>
      <c r="L124" s="143"/>
      <c r="M124" s="143"/>
      <c r="N124" s="143"/>
      <c r="O124" s="143"/>
      <c r="P124" s="143"/>
      <c r="Q124" s="143"/>
      <c r="R124" s="141"/>
      <c r="S124" s="141"/>
      <c r="T124" s="141"/>
      <c r="U124" s="141"/>
      <c r="V124" s="141"/>
      <c r="W124" s="141"/>
      <c r="X124" s="141"/>
      <c r="Y124" s="141"/>
      <c r="Z124" s="141"/>
      <c r="AA124" s="141"/>
      <c r="AB124" s="141"/>
      <c r="AC124" s="141"/>
      <c r="AD124" s="141"/>
      <c r="AE124" s="141"/>
      <c r="AF124" s="141"/>
      <c r="AG124" s="141"/>
      <c r="AH124" s="141"/>
      <c r="AI124" s="141"/>
      <c r="AJ124" s="141"/>
      <c r="AK124" s="141"/>
      <c r="AL124" s="141"/>
      <c r="AM124" s="141"/>
      <c r="AN124" s="141"/>
      <c r="AO124" s="141"/>
      <c r="AP124" s="141"/>
    </row>
    <row r="125" spans="1:42">
      <c r="A125" s="184" t="s">
        <v>214</v>
      </c>
      <c r="B125" s="141">
        <f>-'Inputs &amp; Results'!$B$182</f>
        <v>-17499275.25</v>
      </c>
      <c r="C125" s="186">
        <v>0</v>
      </c>
      <c r="D125" s="186">
        <v>0</v>
      </c>
      <c r="E125" s="186">
        <v>0</v>
      </c>
      <c r="F125" s="186">
        <v>0</v>
      </c>
      <c r="G125" s="186">
        <v>0</v>
      </c>
      <c r="H125" s="186">
        <v>0</v>
      </c>
      <c r="I125" s="186">
        <v>0</v>
      </c>
      <c r="J125" s="186">
        <v>0</v>
      </c>
      <c r="K125" s="186">
        <v>0</v>
      </c>
      <c r="L125" s="186">
        <v>0</v>
      </c>
      <c r="M125" s="186">
        <v>0</v>
      </c>
      <c r="N125" s="186">
        <v>0</v>
      </c>
      <c r="O125" s="186">
        <v>0</v>
      </c>
      <c r="P125" s="186">
        <v>0</v>
      </c>
      <c r="Q125" s="186">
        <v>0</v>
      </c>
      <c r="R125" s="186">
        <v>0</v>
      </c>
      <c r="S125" s="186">
        <v>0</v>
      </c>
      <c r="T125" s="186">
        <v>0</v>
      </c>
      <c r="U125" s="186">
        <v>0</v>
      </c>
      <c r="V125" s="186">
        <v>0</v>
      </c>
      <c r="W125" s="186">
        <v>0</v>
      </c>
      <c r="X125" s="186">
        <v>0</v>
      </c>
      <c r="Y125" s="186">
        <v>0</v>
      </c>
      <c r="Z125" s="186">
        <v>0</v>
      </c>
      <c r="AA125" s="186">
        <v>0</v>
      </c>
      <c r="AB125" s="186">
        <v>0</v>
      </c>
      <c r="AC125" s="186">
        <v>0</v>
      </c>
      <c r="AD125" s="186">
        <v>0</v>
      </c>
      <c r="AE125" s="186">
        <v>0</v>
      </c>
      <c r="AF125" s="186">
        <v>0</v>
      </c>
      <c r="AG125" s="186">
        <v>0</v>
      </c>
      <c r="AH125" s="186">
        <v>0</v>
      </c>
      <c r="AI125" s="186">
        <v>0</v>
      </c>
      <c r="AJ125" s="186">
        <v>0</v>
      </c>
      <c r="AK125" s="186">
        <v>0</v>
      </c>
      <c r="AL125" s="186">
        <v>0</v>
      </c>
      <c r="AM125" s="186">
        <v>0</v>
      </c>
      <c r="AN125" s="186">
        <v>0</v>
      </c>
      <c r="AO125" s="186">
        <v>0</v>
      </c>
      <c r="AP125" s="186">
        <v>0</v>
      </c>
    </row>
    <row r="126" spans="1:42">
      <c r="A126" s="184" t="s">
        <v>215</v>
      </c>
      <c r="B126" s="187">
        <v>0</v>
      </c>
      <c r="C126" s="187">
        <f t="shared" ref="C126:AP126" si="72">IF(B$143&lt;AEPFFlipTarget,AEPFTEPreFlipCash*(C87+C151),AEPFTEPostFlipCash*(C87+C151))</f>
        <v>0</v>
      </c>
      <c r="D126" s="187">
        <f t="shared" si="72"/>
        <v>0</v>
      </c>
      <c r="E126" s="187">
        <f t="shared" si="72"/>
        <v>2011528.8473613029</v>
      </c>
      <c r="F126" s="187">
        <f t="shared" si="72"/>
        <v>4650149.8780450458</v>
      </c>
      <c r="G126" s="187">
        <f t="shared" si="72"/>
        <v>4697275.2611504216</v>
      </c>
      <c r="H126" s="187">
        <f t="shared" si="72"/>
        <v>4744370.0411907351</v>
      </c>
      <c r="I126" s="187">
        <f t="shared" si="72"/>
        <v>4787905.8034467613</v>
      </c>
      <c r="J126" s="187">
        <f t="shared" si="72"/>
        <v>4834959.3654125025</v>
      </c>
      <c r="K126" s="187">
        <f t="shared" si="72"/>
        <v>4881973.4615835296</v>
      </c>
      <c r="L126" s="187">
        <f t="shared" si="72"/>
        <v>4925258.4155008225</v>
      </c>
      <c r="M126" s="187">
        <f t="shared" si="72"/>
        <v>4972214.2110510981</v>
      </c>
      <c r="N126" s="187">
        <f t="shared" si="72"/>
        <v>5019120.999814719</v>
      </c>
      <c r="O126" s="187">
        <f t="shared" si="72"/>
        <v>4962579.3277905639</v>
      </c>
      <c r="P126" s="187">
        <f t="shared" si="72"/>
        <v>501024.94939018693</v>
      </c>
      <c r="Q126" s="187">
        <f t="shared" si="72"/>
        <v>505786.0387567351</v>
      </c>
      <c r="R126" s="187">
        <f t="shared" si="72"/>
        <v>489085.71377223497</v>
      </c>
      <c r="S126" s="187">
        <f t="shared" si="72"/>
        <v>494016.9423317968</v>
      </c>
      <c r="T126" s="187">
        <f t="shared" si="72"/>
        <v>498941.13965939713</v>
      </c>
      <c r="U126" s="187">
        <f t="shared" si="72"/>
        <v>503436.40050668106</v>
      </c>
      <c r="V126" s="187">
        <f t="shared" si="72"/>
        <v>508348.79968670348</v>
      </c>
      <c r="W126" s="187">
        <f t="shared" si="72"/>
        <v>513252.98093553487</v>
      </c>
      <c r="X126" s="187">
        <f t="shared" si="72"/>
        <v>516274.66366902145</v>
      </c>
      <c r="Y126" s="187">
        <f t="shared" si="72"/>
        <v>519731.65085833607</v>
      </c>
      <c r="Z126" s="187">
        <f t="shared" si="72"/>
        <v>523179.14505644405</v>
      </c>
      <c r="AA126" s="187">
        <f t="shared" si="72"/>
        <v>549335.33397811116</v>
      </c>
      <c r="AB126" s="187">
        <f t="shared" si="72"/>
        <v>552252.77630004752</v>
      </c>
      <c r="AC126" s="187">
        <f t="shared" si="72"/>
        <v>555159.35617804178</v>
      </c>
      <c r="AD126" s="187">
        <f t="shared" si="72"/>
        <v>557572.63428760774</v>
      </c>
      <c r="AE126" s="187">
        <f t="shared" si="72"/>
        <v>560459.96628475783</v>
      </c>
      <c r="AF126" s="187">
        <f t="shared" si="72"/>
        <v>1000606.4655514337</v>
      </c>
      <c r="AG126" s="187">
        <f t="shared" si="72"/>
        <v>0</v>
      </c>
      <c r="AH126" s="187">
        <f t="shared" si="72"/>
        <v>0</v>
      </c>
      <c r="AI126" s="187">
        <f t="shared" si="72"/>
        <v>0</v>
      </c>
      <c r="AJ126" s="187">
        <f t="shared" si="72"/>
        <v>0</v>
      </c>
      <c r="AK126" s="187">
        <f t="shared" si="72"/>
        <v>0</v>
      </c>
      <c r="AL126" s="187">
        <f t="shared" si="72"/>
        <v>0</v>
      </c>
      <c r="AM126" s="187">
        <f t="shared" si="72"/>
        <v>0</v>
      </c>
      <c r="AN126" s="187">
        <f t="shared" si="72"/>
        <v>0</v>
      </c>
      <c r="AO126" s="187">
        <f t="shared" si="72"/>
        <v>0</v>
      </c>
      <c r="AP126" s="187">
        <f t="shared" si="72"/>
        <v>0</v>
      </c>
    </row>
    <row r="127" spans="1:42">
      <c r="A127" s="184" t="s">
        <v>220</v>
      </c>
      <c r="B127" s="152">
        <f>SUM(B125:B126)</f>
        <v>-17499275.25</v>
      </c>
      <c r="C127" s="152">
        <f t="shared" ref="C127:AP127" si="73">SUM(C125:C126)</f>
        <v>0</v>
      </c>
      <c r="D127" s="152">
        <f t="shared" si="73"/>
        <v>0</v>
      </c>
      <c r="E127" s="152">
        <f t="shared" si="73"/>
        <v>2011528.8473613029</v>
      </c>
      <c r="F127" s="152">
        <f t="shared" si="73"/>
        <v>4650149.8780450458</v>
      </c>
      <c r="G127" s="152">
        <f t="shared" si="73"/>
        <v>4697275.2611504216</v>
      </c>
      <c r="H127" s="152">
        <f t="shared" si="73"/>
        <v>4744370.0411907351</v>
      </c>
      <c r="I127" s="152">
        <f t="shared" si="73"/>
        <v>4787905.8034467613</v>
      </c>
      <c r="J127" s="152">
        <f t="shared" si="73"/>
        <v>4834959.3654125025</v>
      </c>
      <c r="K127" s="152">
        <f t="shared" si="73"/>
        <v>4881973.4615835296</v>
      </c>
      <c r="L127" s="152">
        <f t="shared" si="73"/>
        <v>4925258.4155008225</v>
      </c>
      <c r="M127" s="152">
        <f t="shared" si="73"/>
        <v>4972214.2110510981</v>
      </c>
      <c r="N127" s="152">
        <f t="shared" si="73"/>
        <v>5019120.999814719</v>
      </c>
      <c r="O127" s="152">
        <f t="shared" si="73"/>
        <v>4962579.3277905639</v>
      </c>
      <c r="P127" s="152">
        <f t="shared" si="73"/>
        <v>501024.94939018693</v>
      </c>
      <c r="Q127" s="152">
        <f t="shared" si="73"/>
        <v>505786.0387567351</v>
      </c>
      <c r="R127" s="152">
        <f t="shared" si="73"/>
        <v>489085.71377223497</v>
      </c>
      <c r="S127" s="152">
        <f t="shared" si="73"/>
        <v>494016.9423317968</v>
      </c>
      <c r="T127" s="152">
        <f t="shared" si="73"/>
        <v>498941.13965939713</v>
      </c>
      <c r="U127" s="152">
        <f t="shared" si="73"/>
        <v>503436.40050668106</v>
      </c>
      <c r="V127" s="152">
        <f t="shared" si="73"/>
        <v>508348.79968670348</v>
      </c>
      <c r="W127" s="152">
        <f t="shared" si="73"/>
        <v>513252.98093553487</v>
      </c>
      <c r="X127" s="152">
        <f t="shared" si="73"/>
        <v>516274.66366902145</v>
      </c>
      <c r="Y127" s="152">
        <f t="shared" si="73"/>
        <v>519731.65085833607</v>
      </c>
      <c r="Z127" s="152">
        <f t="shared" si="73"/>
        <v>523179.14505644405</v>
      </c>
      <c r="AA127" s="152">
        <f t="shared" si="73"/>
        <v>549335.33397811116</v>
      </c>
      <c r="AB127" s="152">
        <f t="shared" si="73"/>
        <v>552252.77630004752</v>
      </c>
      <c r="AC127" s="152">
        <f t="shared" si="73"/>
        <v>555159.35617804178</v>
      </c>
      <c r="AD127" s="152">
        <f t="shared" si="73"/>
        <v>557572.63428760774</v>
      </c>
      <c r="AE127" s="152">
        <f t="shared" si="73"/>
        <v>560459.96628475783</v>
      </c>
      <c r="AF127" s="152">
        <f t="shared" si="73"/>
        <v>1000606.4655514337</v>
      </c>
      <c r="AG127" s="152">
        <f t="shared" si="73"/>
        <v>0</v>
      </c>
      <c r="AH127" s="152">
        <f t="shared" si="73"/>
        <v>0</v>
      </c>
      <c r="AI127" s="152">
        <f t="shared" si="73"/>
        <v>0</v>
      </c>
      <c r="AJ127" s="152">
        <f t="shared" si="73"/>
        <v>0</v>
      </c>
      <c r="AK127" s="152">
        <f t="shared" si="73"/>
        <v>0</v>
      </c>
      <c r="AL127" s="152">
        <f t="shared" si="73"/>
        <v>0</v>
      </c>
      <c r="AM127" s="152">
        <f t="shared" si="73"/>
        <v>0</v>
      </c>
      <c r="AN127" s="152">
        <f t="shared" si="73"/>
        <v>0</v>
      </c>
      <c r="AO127" s="152">
        <f t="shared" si="73"/>
        <v>0</v>
      </c>
      <c r="AP127" s="152">
        <f t="shared" si="73"/>
        <v>0</v>
      </c>
    </row>
    <row r="128" spans="1:42">
      <c r="A128" s="180" t="s">
        <v>33</v>
      </c>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4" t="s">
        <v>37</v>
      </c>
      <c r="B129" s="152">
        <v>0</v>
      </c>
      <c r="C129" s="152">
        <f t="shared" ref="C129:AP129" si="74">IF(B$143&lt;AEPFFlipTarget,AEPFTEPreFlipTax*C90,AEPFTEPostFlipTax*C90)</f>
        <v>19800</v>
      </c>
      <c r="D129" s="152">
        <f t="shared" si="74"/>
        <v>0</v>
      </c>
      <c r="E129" s="152">
        <f t="shared" si="74"/>
        <v>0</v>
      </c>
      <c r="F129" s="152">
        <f t="shared" si="74"/>
        <v>0</v>
      </c>
      <c r="G129" s="152">
        <f t="shared" si="74"/>
        <v>0</v>
      </c>
      <c r="H129" s="152">
        <f t="shared" si="74"/>
        <v>0</v>
      </c>
      <c r="I129" s="152">
        <f t="shared" si="74"/>
        <v>0</v>
      </c>
      <c r="J129" s="152">
        <f t="shared" si="74"/>
        <v>0</v>
      </c>
      <c r="K129" s="152">
        <f t="shared" si="74"/>
        <v>0</v>
      </c>
      <c r="L129" s="152">
        <f t="shared" si="74"/>
        <v>0</v>
      </c>
      <c r="M129" s="152">
        <f t="shared" si="74"/>
        <v>0</v>
      </c>
      <c r="N129" s="152">
        <f t="shared" si="74"/>
        <v>0</v>
      </c>
      <c r="O129" s="152">
        <f t="shared" si="74"/>
        <v>0</v>
      </c>
      <c r="P129" s="152">
        <f t="shared" si="74"/>
        <v>0</v>
      </c>
      <c r="Q129" s="152">
        <f t="shared" si="74"/>
        <v>0</v>
      </c>
      <c r="R129" s="152">
        <f t="shared" si="74"/>
        <v>0</v>
      </c>
      <c r="S129" s="152">
        <f t="shared" si="74"/>
        <v>0</v>
      </c>
      <c r="T129" s="152">
        <f t="shared" si="74"/>
        <v>0</v>
      </c>
      <c r="U129" s="152">
        <f t="shared" si="74"/>
        <v>0</v>
      </c>
      <c r="V129" s="152">
        <f t="shared" si="74"/>
        <v>0</v>
      </c>
      <c r="W129" s="152">
        <f t="shared" si="74"/>
        <v>0</v>
      </c>
      <c r="X129" s="152">
        <f t="shared" si="74"/>
        <v>0</v>
      </c>
      <c r="Y129" s="152">
        <f t="shared" si="74"/>
        <v>0</v>
      </c>
      <c r="Z129" s="152">
        <f t="shared" si="74"/>
        <v>0</v>
      </c>
      <c r="AA129" s="152">
        <f t="shared" si="74"/>
        <v>0</v>
      </c>
      <c r="AB129" s="152">
        <f t="shared" si="74"/>
        <v>0</v>
      </c>
      <c r="AC129" s="152">
        <f t="shared" si="74"/>
        <v>0</v>
      </c>
      <c r="AD129" s="152">
        <f t="shared" si="74"/>
        <v>0</v>
      </c>
      <c r="AE129" s="152">
        <f t="shared" si="74"/>
        <v>0</v>
      </c>
      <c r="AF129" s="152">
        <f t="shared" si="74"/>
        <v>0</v>
      </c>
      <c r="AG129" s="152">
        <f t="shared" si="74"/>
        <v>0</v>
      </c>
      <c r="AH129" s="152">
        <f t="shared" si="74"/>
        <v>0</v>
      </c>
      <c r="AI129" s="152">
        <f t="shared" si="74"/>
        <v>0</v>
      </c>
      <c r="AJ129" s="152">
        <f t="shared" si="74"/>
        <v>0</v>
      </c>
      <c r="AK129" s="152">
        <f t="shared" si="74"/>
        <v>0</v>
      </c>
      <c r="AL129" s="152">
        <f t="shared" si="74"/>
        <v>0</v>
      </c>
      <c r="AM129" s="152">
        <f t="shared" si="74"/>
        <v>0</v>
      </c>
      <c r="AN129" s="152">
        <f t="shared" si="74"/>
        <v>0</v>
      </c>
      <c r="AO129" s="152">
        <f t="shared" si="74"/>
        <v>0</v>
      </c>
      <c r="AP129" s="152">
        <f t="shared" si="74"/>
        <v>0</v>
      </c>
    </row>
    <row r="130" spans="1:42">
      <c r="A130" s="184" t="s">
        <v>36</v>
      </c>
      <c r="B130" s="187">
        <v>0</v>
      </c>
      <c r="C130" s="187">
        <f t="shared" ref="C130:AP130" si="75">IF(B$143&lt;AEPFFlipTarget,AEPFTEPreFlipTax*C91,AEPFTEPostFlipTax*C91)</f>
        <v>9900</v>
      </c>
      <c r="D130" s="187">
        <f t="shared" si="75"/>
        <v>0</v>
      </c>
      <c r="E130" s="187">
        <f t="shared" si="75"/>
        <v>0</v>
      </c>
      <c r="F130" s="187">
        <f t="shared" si="75"/>
        <v>0</v>
      </c>
      <c r="G130" s="187">
        <f t="shared" si="75"/>
        <v>0</v>
      </c>
      <c r="H130" s="187">
        <f t="shared" si="75"/>
        <v>0</v>
      </c>
      <c r="I130" s="187">
        <f t="shared" si="75"/>
        <v>0</v>
      </c>
      <c r="J130" s="187">
        <f t="shared" si="75"/>
        <v>0</v>
      </c>
      <c r="K130" s="187">
        <f t="shared" si="75"/>
        <v>0</v>
      </c>
      <c r="L130" s="187">
        <f t="shared" si="75"/>
        <v>0</v>
      </c>
      <c r="M130" s="187">
        <f t="shared" si="75"/>
        <v>0</v>
      </c>
      <c r="N130" s="187">
        <f t="shared" si="75"/>
        <v>0</v>
      </c>
      <c r="O130" s="187">
        <f t="shared" si="75"/>
        <v>0</v>
      </c>
      <c r="P130" s="187">
        <f t="shared" si="75"/>
        <v>0</v>
      </c>
      <c r="Q130" s="187">
        <f t="shared" si="75"/>
        <v>0</v>
      </c>
      <c r="R130" s="187">
        <f t="shared" si="75"/>
        <v>0</v>
      </c>
      <c r="S130" s="187">
        <f t="shared" si="75"/>
        <v>0</v>
      </c>
      <c r="T130" s="187">
        <f t="shared" si="75"/>
        <v>0</v>
      </c>
      <c r="U130" s="187">
        <f t="shared" si="75"/>
        <v>0</v>
      </c>
      <c r="V130" s="187">
        <f t="shared" si="75"/>
        <v>0</v>
      </c>
      <c r="W130" s="187">
        <f t="shared" si="75"/>
        <v>0</v>
      </c>
      <c r="X130" s="187">
        <f t="shared" si="75"/>
        <v>0</v>
      </c>
      <c r="Y130" s="187">
        <f t="shared" si="75"/>
        <v>0</v>
      </c>
      <c r="Z130" s="187">
        <f t="shared" si="75"/>
        <v>0</v>
      </c>
      <c r="AA130" s="187">
        <f t="shared" si="75"/>
        <v>0</v>
      </c>
      <c r="AB130" s="187">
        <f t="shared" si="75"/>
        <v>0</v>
      </c>
      <c r="AC130" s="187">
        <f t="shared" si="75"/>
        <v>0</v>
      </c>
      <c r="AD130" s="187">
        <f t="shared" si="75"/>
        <v>0</v>
      </c>
      <c r="AE130" s="187">
        <f t="shared" si="75"/>
        <v>0</v>
      </c>
      <c r="AF130" s="187">
        <f t="shared" si="75"/>
        <v>0</v>
      </c>
      <c r="AG130" s="187">
        <f t="shared" si="75"/>
        <v>0</v>
      </c>
      <c r="AH130" s="187">
        <f t="shared" si="75"/>
        <v>0</v>
      </c>
      <c r="AI130" s="187">
        <f t="shared" si="75"/>
        <v>0</v>
      </c>
      <c r="AJ130" s="187">
        <f t="shared" si="75"/>
        <v>0</v>
      </c>
      <c r="AK130" s="187">
        <f t="shared" si="75"/>
        <v>0</v>
      </c>
      <c r="AL130" s="187">
        <f t="shared" si="75"/>
        <v>0</v>
      </c>
      <c r="AM130" s="187">
        <f t="shared" si="75"/>
        <v>0</v>
      </c>
      <c r="AN130" s="187">
        <f t="shared" si="75"/>
        <v>0</v>
      </c>
      <c r="AO130" s="187">
        <f t="shared" si="75"/>
        <v>0</v>
      </c>
      <c r="AP130" s="187">
        <f t="shared" si="75"/>
        <v>0</v>
      </c>
    </row>
    <row r="131" spans="1:42">
      <c r="A131" s="184" t="s">
        <v>53</v>
      </c>
      <c r="B131" s="152">
        <f>SUM(B129:B130)</f>
        <v>0</v>
      </c>
      <c r="C131" s="152">
        <f>SUM(C129:C130)</f>
        <v>29700</v>
      </c>
      <c r="D131" s="152">
        <f>SUM(D129:D130)</f>
        <v>0</v>
      </c>
      <c r="E131" s="152">
        <f t="shared" ref="E131:AP131" si="76">SUM(E129:E130)</f>
        <v>0</v>
      </c>
      <c r="F131" s="152">
        <f t="shared" si="76"/>
        <v>0</v>
      </c>
      <c r="G131" s="152">
        <f t="shared" si="76"/>
        <v>0</v>
      </c>
      <c r="H131" s="152">
        <f t="shared" si="76"/>
        <v>0</v>
      </c>
      <c r="I131" s="152">
        <f t="shared" si="76"/>
        <v>0</v>
      </c>
      <c r="J131" s="152">
        <f t="shared" si="76"/>
        <v>0</v>
      </c>
      <c r="K131" s="152">
        <f t="shared" si="76"/>
        <v>0</v>
      </c>
      <c r="L131" s="152">
        <f t="shared" si="76"/>
        <v>0</v>
      </c>
      <c r="M131" s="152">
        <f t="shared" si="76"/>
        <v>0</v>
      </c>
      <c r="N131" s="152">
        <f t="shared" si="76"/>
        <v>0</v>
      </c>
      <c r="O131" s="152">
        <f t="shared" si="76"/>
        <v>0</v>
      </c>
      <c r="P131" s="152">
        <f t="shared" si="76"/>
        <v>0</v>
      </c>
      <c r="Q131" s="152">
        <f t="shared" si="76"/>
        <v>0</v>
      </c>
      <c r="R131" s="152">
        <f t="shared" si="76"/>
        <v>0</v>
      </c>
      <c r="S131" s="152">
        <f t="shared" si="76"/>
        <v>0</v>
      </c>
      <c r="T131" s="152">
        <f t="shared" si="76"/>
        <v>0</v>
      </c>
      <c r="U131" s="152">
        <f t="shared" si="76"/>
        <v>0</v>
      </c>
      <c r="V131" s="152">
        <f t="shared" si="76"/>
        <v>0</v>
      </c>
      <c r="W131" s="152">
        <f t="shared" si="76"/>
        <v>0</v>
      </c>
      <c r="X131" s="152">
        <f t="shared" si="76"/>
        <v>0</v>
      </c>
      <c r="Y131" s="152">
        <f t="shared" si="76"/>
        <v>0</v>
      </c>
      <c r="Z131" s="152">
        <f t="shared" si="76"/>
        <v>0</v>
      </c>
      <c r="AA131" s="152">
        <f t="shared" si="76"/>
        <v>0</v>
      </c>
      <c r="AB131" s="152">
        <f t="shared" si="76"/>
        <v>0</v>
      </c>
      <c r="AC131" s="152">
        <f t="shared" si="76"/>
        <v>0</v>
      </c>
      <c r="AD131" s="152">
        <f t="shared" si="76"/>
        <v>0</v>
      </c>
      <c r="AE131" s="152">
        <f t="shared" si="76"/>
        <v>0</v>
      </c>
      <c r="AF131" s="152">
        <f t="shared" si="76"/>
        <v>0</v>
      </c>
      <c r="AG131" s="152">
        <f t="shared" si="76"/>
        <v>0</v>
      </c>
      <c r="AH131" s="152">
        <f t="shared" si="76"/>
        <v>0</v>
      </c>
      <c r="AI131" s="152">
        <f t="shared" si="76"/>
        <v>0</v>
      </c>
      <c r="AJ131" s="152">
        <f t="shared" si="76"/>
        <v>0</v>
      </c>
      <c r="AK131" s="152">
        <f t="shared" si="76"/>
        <v>0</v>
      </c>
      <c r="AL131" s="152">
        <f t="shared" si="76"/>
        <v>0</v>
      </c>
      <c r="AM131" s="152">
        <f t="shared" si="76"/>
        <v>0</v>
      </c>
      <c r="AN131" s="152">
        <f t="shared" si="76"/>
        <v>0</v>
      </c>
      <c r="AO131" s="152">
        <f t="shared" si="76"/>
        <v>0</v>
      </c>
      <c r="AP131" s="152">
        <f t="shared" si="76"/>
        <v>0</v>
      </c>
    </row>
    <row r="132" spans="1:42">
      <c r="A132" s="180" t="s">
        <v>38</v>
      </c>
      <c r="B132" s="152"/>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c r="A133" s="184" t="s">
        <v>37</v>
      </c>
      <c r="B133" s="152">
        <f>B572</f>
        <v>0</v>
      </c>
      <c r="C133" s="152">
        <f t="shared" ref="C133:AP133" si="77">IF(B$143&lt;AEPFFlipTarget,AEPFTEPreFlipTax*C94,AEPFTEPostFlipTax*C94)</f>
        <v>0</v>
      </c>
      <c r="D133" s="152">
        <f t="shared" si="77"/>
        <v>0</v>
      </c>
      <c r="E133" s="152">
        <f t="shared" si="77"/>
        <v>0</v>
      </c>
      <c r="F133" s="152">
        <f t="shared" si="77"/>
        <v>0</v>
      </c>
      <c r="G133" s="152">
        <f t="shared" si="77"/>
        <v>0</v>
      </c>
      <c r="H133" s="152">
        <f t="shared" si="77"/>
        <v>0</v>
      </c>
      <c r="I133" s="152">
        <f t="shared" si="77"/>
        <v>0</v>
      </c>
      <c r="J133" s="152">
        <f t="shared" si="77"/>
        <v>0</v>
      </c>
      <c r="K133" s="152">
        <f t="shared" si="77"/>
        <v>0</v>
      </c>
      <c r="L133" s="152">
        <f t="shared" si="77"/>
        <v>0</v>
      </c>
      <c r="M133" s="152">
        <f t="shared" si="77"/>
        <v>0</v>
      </c>
      <c r="N133" s="152">
        <f t="shared" si="77"/>
        <v>0</v>
      </c>
      <c r="O133" s="152">
        <f t="shared" si="77"/>
        <v>0</v>
      </c>
      <c r="P133" s="152">
        <f t="shared" si="77"/>
        <v>0</v>
      </c>
      <c r="Q133" s="152">
        <f t="shared" si="77"/>
        <v>0</v>
      </c>
      <c r="R133" s="152">
        <f t="shared" si="77"/>
        <v>0</v>
      </c>
      <c r="S133" s="152">
        <f t="shared" si="77"/>
        <v>0</v>
      </c>
      <c r="T133" s="152">
        <f t="shared" si="77"/>
        <v>0</v>
      </c>
      <c r="U133" s="152">
        <f t="shared" si="77"/>
        <v>0</v>
      </c>
      <c r="V133" s="152">
        <f t="shared" si="77"/>
        <v>0</v>
      </c>
      <c r="W133" s="152">
        <f t="shared" si="77"/>
        <v>0</v>
      </c>
      <c r="X133" s="152">
        <f t="shared" si="77"/>
        <v>0</v>
      </c>
      <c r="Y133" s="152">
        <f t="shared" si="77"/>
        <v>0</v>
      </c>
      <c r="Z133" s="152">
        <f t="shared" si="77"/>
        <v>0</v>
      </c>
      <c r="AA133" s="152">
        <f t="shared" si="77"/>
        <v>0</v>
      </c>
      <c r="AB133" s="152">
        <f t="shared" si="77"/>
        <v>0</v>
      </c>
      <c r="AC133" s="152">
        <f t="shared" si="77"/>
        <v>0</v>
      </c>
      <c r="AD133" s="152">
        <f t="shared" si="77"/>
        <v>0</v>
      </c>
      <c r="AE133" s="152">
        <f t="shared" si="77"/>
        <v>0</v>
      </c>
      <c r="AF133" s="152">
        <f t="shared" si="77"/>
        <v>0</v>
      </c>
      <c r="AG133" s="152">
        <f t="shared" si="77"/>
        <v>0</v>
      </c>
      <c r="AH133" s="152">
        <f t="shared" si="77"/>
        <v>0</v>
      </c>
      <c r="AI133" s="152">
        <f t="shared" si="77"/>
        <v>0</v>
      </c>
      <c r="AJ133" s="152">
        <f t="shared" si="77"/>
        <v>0</v>
      </c>
      <c r="AK133" s="152">
        <f t="shared" si="77"/>
        <v>0</v>
      </c>
      <c r="AL133" s="152">
        <f t="shared" si="77"/>
        <v>0</v>
      </c>
      <c r="AM133" s="152">
        <f t="shared" si="77"/>
        <v>0</v>
      </c>
      <c r="AN133" s="152">
        <f t="shared" si="77"/>
        <v>0</v>
      </c>
      <c r="AO133" s="152">
        <f t="shared" si="77"/>
        <v>0</v>
      </c>
      <c r="AP133" s="152">
        <f t="shared" si="77"/>
        <v>0</v>
      </c>
    </row>
    <row r="134" spans="1:42">
      <c r="A134" s="184" t="s">
        <v>36</v>
      </c>
      <c r="B134" s="187">
        <f>B578</f>
        <v>0</v>
      </c>
      <c r="C134" s="187">
        <f t="shared" ref="C134:AP134" si="78">IF(B$143&lt;AEPFFlipTarget,AEPFTEPreFlipTax*C95,AEPFTEPostFlipTax*C95)</f>
        <v>0</v>
      </c>
      <c r="D134" s="187">
        <f t="shared" si="78"/>
        <v>0</v>
      </c>
      <c r="E134" s="187">
        <f t="shared" si="78"/>
        <v>0</v>
      </c>
      <c r="F134" s="187">
        <f t="shared" si="78"/>
        <v>0</v>
      </c>
      <c r="G134" s="187">
        <f t="shared" si="78"/>
        <v>0</v>
      </c>
      <c r="H134" s="187">
        <f t="shared" si="78"/>
        <v>0</v>
      </c>
      <c r="I134" s="187">
        <f t="shared" si="78"/>
        <v>0</v>
      </c>
      <c r="J134" s="187">
        <f t="shared" si="78"/>
        <v>0</v>
      </c>
      <c r="K134" s="187">
        <f t="shared" si="78"/>
        <v>0</v>
      </c>
      <c r="L134" s="187">
        <f t="shared" si="78"/>
        <v>0</v>
      </c>
      <c r="M134" s="187">
        <f t="shared" si="78"/>
        <v>0</v>
      </c>
      <c r="N134" s="187">
        <f t="shared" si="78"/>
        <v>0</v>
      </c>
      <c r="O134" s="187">
        <f t="shared" si="78"/>
        <v>0</v>
      </c>
      <c r="P134" s="187">
        <f t="shared" si="78"/>
        <v>0</v>
      </c>
      <c r="Q134" s="187">
        <f t="shared" si="78"/>
        <v>0</v>
      </c>
      <c r="R134" s="187">
        <f t="shared" si="78"/>
        <v>0</v>
      </c>
      <c r="S134" s="187">
        <f t="shared" si="78"/>
        <v>0</v>
      </c>
      <c r="T134" s="187">
        <f t="shared" si="78"/>
        <v>0</v>
      </c>
      <c r="U134" s="187">
        <f t="shared" si="78"/>
        <v>0</v>
      </c>
      <c r="V134" s="187">
        <f t="shared" si="78"/>
        <v>0</v>
      </c>
      <c r="W134" s="187">
        <f t="shared" si="78"/>
        <v>0</v>
      </c>
      <c r="X134" s="187">
        <f t="shared" si="78"/>
        <v>0</v>
      </c>
      <c r="Y134" s="187">
        <f t="shared" si="78"/>
        <v>0</v>
      </c>
      <c r="Z134" s="187">
        <f t="shared" si="78"/>
        <v>0</v>
      </c>
      <c r="AA134" s="187">
        <f t="shared" si="78"/>
        <v>0</v>
      </c>
      <c r="AB134" s="187">
        <f t="shared" si="78"/>
        <v>0</v>
      </c>
      <c r="AC134" s="187">
        <f t="shared" si="78"/>
        <v>0</v>
      </c>
      <c r="AD134" s="187">
        <f t="shared" si="78"/>
        <v>0</v>
      </c>
      <c r="AE134" s="187">
        <f t="shared" si="78"/>
        <v>0</v>
      </c>
      <c r="AF134" s="187">
        <f t="shared" si="78"/>
        <v>0</v>
      </c>
      <c r="AG134" s="187">
        <f t="shared" si="78"/>
        <v>0</v>
      </c>
      <c r="AH134" s="187">
        <f t="shared" si="78"/>
        <v>0</v>
      </c>
      <c r="AI134" s="187">
        <f t="shared" si="78"/>
        <v>0</v>
      </c>
      <c r="AJ134" s="187">
        <f t="shared" si="78"/>
        <v>0</v>
      </c>
      <c r="AK134" s="187">
        <f t="shared" si="78"/>
        <v>0</v>
      </c>
      <c r="AL134" s="187">
        <f t="shared" si="78"/>
        <v>0</v>
      </c>
      <c r="AM134" s="187">
        <f t="shared" si="78"/>
        <v>0</v>
      </c>
      <c r="AN134" s="187">
        <f t="shared" si="78"/>
        <v>0</v>
      </c>
      <c r="AO134" s="187">
        <f t="shared" si="78"/>
        <v>0</v>
      </c>
      <c r="AP134" s="187">
        <f t="shared" si="78"/>
        <v>0</v>
      </c>
    </row>
    <row r="135" spans="1:42">
      <c r="A135" s="184" t="s">
        <v>53</v>
      </c>
      <c r="B135" s="152">
        <f>SUM(B133:B134)</f>
        <v>0</v>
      </c>
      <c r="C135" s="152">
        <f>SUM(C133:C134)</f>
        <v>0</v>
      </c>
      <c r="D135" s="152">
        <f>SUM(D133:D134)</f>
        <v>0</v>
      </c>
      <c r="E135" s="152">
        <f t="shared" ref="E135:AP135" si="79">SUM(E133:E134)</f>
        <v>0</v>
      </c>
      <c r="F135" s="152">
        <f t="shared" si="79"/>
        <v>0</v>
      </c>
      <c r="G135" s="152">
        <f t="shared" si="79"/>
        <v>0</v>
      </c>
      <c r="H135" s="152">
        <f t="shared" si="79"/>
        <v>0</v>
      </c>
      <c r="I135" s="152">
        <f t="shared" si="79"/>
        <v>0</v>
      </c>
      <c r="J135" s="152">
        <f t="shared" si="79"/>
        <v>0</v>
      </c>
      <c r="K135" s="152">
        <f t="shared" si="79"/>
        <v>0</v>
      </c>
      <c r="L135" s="152">
        <f t="shared" si="79"/>
        <v>0</v>
      </c>
      <c r="M135" s="152">
        <f t="shared" si="79"/>
        <v>0</v>
      </c>
      <c r="N135" s="152">
        <f t="shared" si="79"/>
        <v>0</v>
      </c>
      <c r="O135" s="152">
        <f t="shared" si="79"/>
        <v>0</v>
      </c>
      <c r="P135" s="152">
        <f t="shared" si="79"/>
        <v>0</v>
      </c>
      <c r="Q135" s="152">
        <f t="shared" si="79"/>
        <v>0</v>
      </c>
      <c r="R135" s="152">
        <f t="shared" si="79"/>
        <v>0</v>
      </c>
      <c r="S135" s="152">
        <f t="shared" si="79"/>
        <v>0</v>
      </c>
      <c r="T135" s="152">
        <f t="shared" si="79"/>
        <v>0</v>
      </c>
      <c r="U135" s="152">
        <f t="shared" si="79"/>
        <v>0</v>
      </c>
      <c r="V135" s="152">
        <f t="shared" si="79"/>
        <v>0</v>
      </c>
      <c r="W135" s="152">
        <f t="shared" si="79"/>
        <v>0</v>
      </c>
      <c r="X135" s="152">
        <f t="shared" si="79"/>
        <v>0</v>
      </c>
      <c r="Y135" s="152">
        <f t="shared" si="79"/>
        <v>0</v>
      </c>
      <c r="Z135" s="152">
        <f t="shared" si="79"/>
        <v>0</v>
      </c>
      <c r="AA135" s="152">
        <f t="shared" si="79"/>
        <v>0</v>
      </c>
      <c r="AB135" s="152">
        <f t="shared" si="79"/>
        <v>0</v>
      </c>
      <c r="AC135" s="152">
        <f t="shared" si="79"/>
        <v>0</v>
      </c>
      <c r="AD135" s="152">
        <f t="shared" si="79"/>
        <v>0</v>
      </c>
      <c r="AE135" s="152">
        <f t="shared" si="79"/>
        <v>0</v>
      </c>
      <c r="AF135" s="152">
        <f t="shared" si="79"/>
        <v>0</v>
      </c>
      <c r="AG135" s="152">
        <f t="shared" si="79"/>
        <v>0</v>
      </c>
      <c r="AH135" s="152">
        <f t="shared" si="79"/>
        <v>0</v>
      </c>
      <c r="AI135" s="152">
        <f t="shared" si="79"/>
        <v>0</v>
      </c>
      <c r="AJ135" s="152">
        <f t="shared" si="79"/>
        <v>0</v>
      </c>
      <c r="AK135" s="152">
        <f t="shared" si="79"/>
        <v>0</v>
      </c>
      <c r="AL135" s="152">
        <f t="shared" si="79"/>
        <v>0</v>
      </c>
      <c r="AM135" s="152">
        <f t="shared" si="79"/>
        <v>0</v>
      </c>
      <c r="AN135" s="152">
        <f t="shared" si="79"/>
        <v>0</v>
      </c>
      <c r="AO135" s="152">
        <f t="shared" si="79"/>
        <v>0</v>
      </c>
      <c r="AP135" s="152">
        <f t="shared" si="79"/>
        <v>0</v>
      </c>
    </row>
    <row r="136" spans="1:42">
      <c r="A136" s="180" t="s">
        <v>428</v>
      </c>
      <c r="B136" s="152"/>
      <c r="C136" s="152"/>
      <c r="D136" s="152"/>
      <c r="E136" s="152"/>
      <c r="F136" s="152"/>
      <c r="G136" s="152"/>
      <c r="H136" s="152"/>
      <c r="I136" s="152"/>
      <c r="J136" s="152"/>
      <c r="K136" s="152"/>
      <c r="L136" s="152"/>
      <c r="M136" s="152"/>
      <c r="N136" s="152"/>
      <c r="O136" s="152"/>
      <c r="P136" s="152"/>
      <c r="Q136" s="152"/>
      <c r="R136" s="152"/>
      <c r="S136" s="152"/>
      <c r="T136" s="152"/>
      <c r="U136" s="152"/>
      <c r="V136" s="152"/>
      <c r="W136" s="152"/>
      <c r="X136" s="152"/>
      <c r="Y136" s="152"/>
      <c r="Z136" s="152"/>
      <c r="AA136" s="152"/>
      <c r="AB136" s="152"/>
      <c r="AC136" s="152"/>
      <c r="AD136" s="152"/>
      <c r="AE136" s="152"/>
      <c r="AF136" s="152"/>
      <c r="AG136" s="152"/>
      <c r="AH136" s="152"/>
      <c r="AI136" s="152"/>
      <c r="AJ136" s="152"/>
      <c r="AK136" s="152"/>
      <c r="AL136" s="152"/>
      <c r="AM136" s="152"/>
      <c r="AN136" s="152"/>
      <c r="AO136" s="152"/>
      <c r="AP136" s="152"/>
    </row>
    <row r="137" spans="1:42">
      <c r="A137" s="184" t="s">
        <v>37</v>
      </c>
      <c r="B137" s="152">
        <v>0</v>
      </c>
      <c r="C137" s="152">
        <f t="shared" ref="C137:AP137" si="80">IF(B$143&lt;AEPFFlipTarget,AEPFTEPreFlipTax*C98,AEPFTEPostFlipTax*C98)</f>
        <v>-513097.12014877883</v>
      </c>
      <c r="D137" s="152">
        <f t="shared" si="80"/>
        <v>377596.12337536033</v>
      </c>
      <c r="E137" s="152">
        <f t="shared" si="80"/>
        <v>114235.76879983376</v>
      </c>
      <c r="F137" s="152">
        <f t="shared" si="80"/>
        <v>-44806.093922491804</v>
      </c>
      <c r="G137" s="152">
        <f t="shared" si="80"/>
        <v>-48360.250188638791</v>
      </c>
      <c r="H137" s="152">
        <f t="shared" si="80"/>
        <v>-168139.52982203403</v>
      </c>
      <c r="I137" s="152">
        <f t="shared" si="80"/>
        <v>-287722.97001845745</v>
      </c>
      <c r="J137" s="152">
        <f t="shared" si="80"/>
        <v>-291362.48034157255</v>
      </c>
      <c r="K137" s="152">
        <f t="shared" si="80"/>
        <v>-293462.23631902458</v>
      </c>
      <c r="L137" s="152">
        <f t="shared" si="80"/>
        <v>-295183.46205551777</v>
      </c>
      <c r="M137" s="152">
        <f t="shared" si="80"/>
        <v>-298856.17915802356</v>
      </c>
      <c r="N137" s="152">
        <f t="shared" si="80"/>
        <v>-268873.76746830903</v>
      </c>
      <c r="O137" s="152">
        <f t="shared" si="80"/>
        <v>-248488.16814218831</v>
      </c>
      <c r="P137" s="152">
        <f t="shared" si="80"/>
        <v>-27554.514682991099</v>
      </c>
      <c r="Q137" s="152">
        <f t="shared" si="80"/>
        <v>-22234.874089751978</v>
      </c>
      <c r="R137" s="152">
        <f t="shared" si="80"/>
        <v>-17968.92775845846</v>
      </c>
      <c r="S137" s="152">
        <f t="shared" si="80"/>
        <v>-23855.452688594509</v>
      </c>
      <c r="T137" s="152">
        <f t="shared" si="80"/>
        <v>-27608.351751265152</v>
      </c>
      <c r="U137" s="152">
        <f t="shared" si="80"/>
        <v>-27781.368113236607</v>
      </c>
      <c r="V137" s="152">
        <f t="shared" si="80"/>
        <v>-30132.349798398631</v>
      </c>
      <c r="W137" s="152">
        <f t="shared" si="80"/>
        <v>-32475.651134169872</v>
      </c>
      <c r="X137" s="152">
        <f t="shared" si="80"/>
        <v>-32741.426654619463</v>
      </c>
      <c r="Y137" s="152">
        <f t="shared" si="80"/>
        <v>-33067.184026574825</v>
      </c>
      <c r="Z137" s="152">
        <f t="shared" si="80"/>
        <v>-29326.533184845131</v>
      </c>
      <c r="AA137" s="152">
        <f t="shared" si="80"/>
        <v>-26746.37715820091</v>
      </c>
      <c r="AB137" s="152">
        <f t="shared" si="80"/>
        <v>-29527.39839631283</v>
      </c>
      <c r="AC137" s="152">
        <f t="shared" si="80"/>
        <v>-31114.666733702612</v>
      </c>
      <c r="AD137" s="152">
        <f t="shared" si="80"/>
        <v>-31162.531213159924</v>
      </c>
      <c r="AE137" s="152">
        <f t="shared" si="80"/>
        <v>-32585.065318935365</v>
      </c>
      <c r="AF137" s="152">
        <f t="shared" si="80"/>
        <v>-47451.091447243853</v>
      </c>
      <c r="AG137" s="152">
        <f t="shared" si="80"/>
        <v>0</v>
      </c>
      <c r="AH137" s="152">
        <f t="shared" si="80"/>
        <v>0</v>
      </c>
      <c r="AI137" s="152">
        <f t="shared" si="80"/>
        <v>0</v>
      </c>
      <c r="AJ137" s="152">
        <f t="shared" si="80"/>
        <v>0</v>
      </c>
      <c r="AK137" s="152">
        <f t="shared" si="80"/>
        <v>0</v>
      </c>
      <c r="AL137" s="152">
        <f t="shared" si="80"/>
        <v>0</v>
      </c>
      <c r="AM137" s="152">
        <f t="shared" si="80"/>
        <v>0</v>
      </c>
      <c r="AN137" s="152">
        <f t="shared" si="80"/>
        <v>0</v>
      </c>
      <c r="AO137" s="152">
        <f t="shared" si="80"/>
        <v>0</v>
      </c>
      <c r="AP137" s="152">
        <f t="shared" si="80"/>
        <v>0</v>
      </c>
    </row>
    <row r="138" spans="1:42">
      <c r="A138" s="184" t="s">
        <v>36</v>
      </c>
      <c r="B138" s="187">
        <v>0</v>
      </c>
      <c r="C138" s="187">
        <f t="shared" ref="C138:AP138" si="81">IF(B$143&lt;AEPFFlipTarget,AEPFTEPreFlipTax*C99,AEPFTEPostFlipTax*C99)</f>
        <v>-2544455.2534025912</v>
      </c>
      <c r="D138" s="187">
        <f t="shared" si="81"/>
        <v>2052197.0797377096</v>
      </c>
      <c r="E138" s="187">
        <f t="shared" si="81"/>
        <v>555855.15414634894</v>
      </c>
      <c r="F138" s="187">
        <f t="shared" si="81"/>
        <v>-348117.88720657548</v>
      </c>
      <c r="G138" s="187">
        <f t="shared" si="81"/>
        <v>-369491.29057072301</v>
      </c>
      <c r="H138" s="187">
        <f t="shared" si="81"/>
        <v>-1050465.1564433912</v>
      </c>
      <c r="I138" s="187">
        <f t="shared" si="81"/>
        <v>-1730261.315156451</v>
      </c>
      <c r="J138" s="187">
        <f t="shared" si="81"/>
        <v>-1752148.006781366</v>
      </c>
      <c r="K138" s="187">
        <f t="shared" si="81"/>
        <v>-1764775.175682134</v>
      </c>
      <c r="L138" s="187">
        <f t="shared" si="81"/>
        <v>-1775126.0013611363</v>
      </c>
      <c r="M138" s="187">
        <f t="shared" si="81"/>
        <v>-1797212.386482114</v>
      </c>
      <c r="N138" s="187">
        <f t="shared" si="81"/>
        <v>-1616909.0652753308</v>
      </c>
      <c r="O138" s="187">
        <f t="shared" si="81"/>
        <v>-1494317.4838732504</v>
      </c>
      <c r="P138" s="187">
        <f t="shared" si="81"/>
        <v>-165702.83147998739</v>
      </c>
      <c r="Q138" s="187">
        <f t="shared" si="81"/>
        <v>-133712.44736700848</v>
      </c>
      <c r="R138" s="187">
        <f t="shared" si="81"/>
        <v>-108058.59738382064</v>
      </c>
      <c r="S138" s="187">
        <f t="shared" si="81"/>
        <v>-143458.01775913881</v>
      </c>
      <c r="T138" s="187">
        <f t="shared" si="81"/>
        <v>-166026.58803147182</v>
      </c>
      <c r="U138" s="187">
        <f t="shared" si="81"/>
        <v>-167067.04551732741</v>
      </c>
      <c r="V138" s="187">
        <f t="shared" si="81"/>
        <v>-181204.99446946083</v>
      </c>
      <c r="W138" s="187">
        <f t="shared" si="81"/>
        <v>-195296.75659321246</v>
      </c>
      <c r="X138" s="187">
        <f t="shared" si="81"/>
        <v>-196895.03392755252</v>
      </c>
      <c r="Y138" s="187">
        <f t="shared" si="81"/>
        <v>-198854.02030526588</v>
      </c>
      <c r="Z138" s="187">
        <f t="shared" si="81"/>
        <v>-176359.10637977321</v>
      </c>
      <c r="AA138" s="187">
        <f t="shared" si="81"/>
        <v>-160842.98627409001</v>
      </c>
      <c r="AB138" s="187">
        <f t="shared" si="81"/>
        <v>-177567.03671964491</v>
      </c>
      <c r="AC138" s="187">
        <f t="shared" si="81"/>
        <v>-187112.29131222068</v>
      </c>
      <c r="AD138" s="187">
        <f t="shared" si="81"/>
        <v>-187400.1308864117</v>
      </c>
      <c r="AE138" s="187">
        <f t="shared" si="81"/>
        <v>-195954.73371341586</v>
      </c>
      <c r="AF138" s="187">
        <f t="shared" si="81"/>
        <v>-285353.60902138008</v>
      </c>
      <c r="AG138" s="187">
        <f t="shared" si="81"/>
        <v>0</v>
      </c>
      <c r="AH138" s="187">
        <f t="shared" si="81"/>
        <v>0</v>
      </c>
      <c r="AI138" s="187">
        <f t="shared" si="81"/>
        <v>0</v>
      </c>
      <c r="AJ138" s="187">
        <f t="shared" si="81"/>
        <v>0</v>
      </c>
      <c r="AK138" s="187">
        <f t="shared" si="81"/>
        <v>0</v>
      </c>
      <c r="AL138" s="187">
        <f t="shared" si="81"/>
        <v>0</v>
      </c>
      <c r="AM138" s="187">
        <f t="shared" si="81"/>
        <v>0</v>
      </c>
      <c r="AN138" s="187">
        <f t="shared" si="81"/>
        <v>0</v>
      </c>
      <c r="AO138" s="187">
        <f t="shared" si="81"/>
        <v>0</v>
      </c>
      <c r="AP138" s="187">
        <f t="shared" si="81"/>
        <v>0</v>
      </c>
    </row>
    <row r="139" spans="1:42">
      <c r="A139" s="184" t="s">
        <v>53</v>
      </c>
      <c r="B139" s="194">
        <f>SUM(B137:B138)</f>
        <v>0</v>
      </c>
      <c r="C139" s="194">
        <f>SUM(C137:C138)</f>
        <v>-3057552.3735513701</v>
      </c>
      <c r="D139" s="194">
        <f>SUM(D137:D138)</f>
        <v>2429793.2031130698</v>
      </c>
      <c r="E139" s="194">
        <f t="shared" ref="E139:AP139" si="82">SUM(E137:E138)</f>
        <v>670090.92294618266</v>
      </c>
      <c r="F139" s="194">
        <f t="shared" si="82"/>
        <v>-392923.98112906731</v>
      </c>
      <c r="G139" s="194">
        <f t="shared" si="82"/>
        <v>-417851.54075936181</v>
      </c>
      <c r="H139" s="194">
        <f t="shared" si="82"/>
        <v>-1218604.6862654253</v>
      </c>
      <c r="I139" s="194">
        <f t="shared" si="82"/>
        <v>-2017984.2851749083</v>
      </c>
      <c r="J139" s="194">
        <f t="shared" si="82"/>
        <v>-2043510.4871229385</v>
      </c>
      <c r="K139" s="194">
        <f t="shared" si="82"/>
        <v>-2058237.4120011586</v>
      </c>
      <c r="L139" s="194">
        <f t="shared" si="82"/>
        <v>-2070309.4634166542</v>
      </c>
      <c r="M139" s="194">
        <f t="shared" si="82"/>
        <v>-2096068.5656401375</v>
      </c>
      <c r="N139" s="194">
        <f t="shared" si="82"/>
        <v>-1885782.8327436398</v>
      </c>
      <c r="O139" s="194">
        <f t="shared" si="82"/>
        <v>-1742805.6520154388</v>
      </c>
      <c r="P139" s="194">
        <f t="shared" si="82"/>
        <v>-193257.3461629785</v>
      </c>
      <c r="Q139" s="194">
        <f t="shared" si="82"/>
        <v>-155947.32145676046</v>
      </c>
      <c r="R139" s="194">
        <f t="shared" si="82"/>
        <v>-126027.5251422791</v>
      </c>
      <c r="S139" s="194">
        <f t="shared" si="82"/>
        <v>-167313.4704477333</v>
      </c>
      <c r="T139" s="194">
        <f t="shared" si="82"/>
        <v>-193634.93978273697</v>
      </c>
      <c r="U139" s="194">
        <f t="shared" si="82"/>
        <v>-194848.41363056403</v>
      </c>
      <c r="V139" s="194">
        <f t="shared" si="82"/>
        <v>-211337.34426785947</v>
      </c>
      <c r="W139" s="194">
        <f t="shared" si="82"/>
        <v>-227772.40772738232</v>
      </c>
      <c r="X139" s="194">
        <f t="shared" si="82"/>
        <v>-229636.46058217197</v>
      </c>
      <c r="Y139" s="194">
        <f t="shared" si="82"/>
        <v>-231921.20433184071</v>
      </c>
      <c r="Z139" s="194">
        <f t="shared" si="82"/>
        <v>-205685.63956461835</v>
      </c>
      <c r="AA139" s="194">
        <f t="shared" si="82"/>
        <v>-187589.36343229093</v>
      </c>
      <c r="AB139" s="194">
        <f t="shared" si="82"/>
        <v>-207094.43511595775</v>
      </c>
      <c r="AC139" s="194">
        <f t="shared" si="82"/>
        <v>-218226.9580459233</v>
      </c>
      <c r="AD139" s="194">
        <f t="shared" si="82"/>
        <v>-218562.66209957164</v>
      </c>
      <c r="AE139" s="194">
        <f t="shared" si="82"/>
        <v>-228539.79903235123</v>
      </c>
      <c r="AF139" s="194">
        <f t="shared" si="82"/>
        <v>-332804.70046862395</v>
      </c>
      <c r="AG139" s="194">
        <f t="shared" si="82"/>
        <v>0</v>
      </c>
      <c r="AH139" s="194">
        <f t="shared" si="82"/>
        <v>0</v>
      </c>
      <c r="AI139" s="194">
        <f t="shared" si="82"/>
        <v>0</v>
      </c>
      <c r="AJ139" s="194">
        <f t="shared" si="82"/>
        <v>0</v>
      </c>
      <c r="AK139" s="194">
        <f t="shared" si="82"/>
        <v>0</v>
      </c>
      <c r="AL139" s="194">
        <f t="shared" si="82"/>
        <v>0</v>
      </c>
      <c r="AM139" s="194">
        <f t="shared" si="82"/>
        <v>0</v>
      </c>
      <c r="AN139" s="194">
        <f t="shared" si="82"/>
        <v>0</v>
      </c>
      <c r="AO139" s="194">
        <f t="shared" si="82"/>
        <v>0</v>
      </c>
      <c r="AP139" s="194">
        <f t="shared" si="82"/>
        <v>0</v>
      </c>
    </row>
    <row r="140" spans="1:42">
      <c r="A140" s="180" t="s">
        <v>53</v>
      </c>
      <c r="B140" s="152">
        <f>B127+B131+B135+B139</f>
        <v>-17499275.25</v>
      </c>
      <c r="C140" s="152">
        <f t="shared" ref="C140:AP140" si="83">C127+C131+C135+C139</f>
        <v>-3027852.3735513701</v>
      </c>
      <c r="D140" s="152">
        <f t="shared" si="83"/>
        <v>2429793.2031130698</v>
      </c>
      <c r="E140" s="152">
        <f t="shared" si="83"/>
        <v>2681619.7703074855</v>
      </c>
      <c r="F140" s="152">
        <f t="shared" si="83"/>
        <v>4257225.8969159788</v>
      </c>
      <c r="G140" s="152">
        <f t="shared" si="83"/>
        <v>4279423.7203910593</v>
      </c>
      <c r="H140" s="152">
        <f t="shared" si="83"/>
        <v>3525765.3549253098</v>
      </c>
      <c r="I140" s="152">
        <f t="shared" si="83"/>
        <v>2769921.5182718532</v>
      </c>
      <c r="J140" s="152">
        <f t="shared" si="83"/>
        <v>2791448.878289564</v>
      </c>
      <c r="K140" s="152">
        <f t="shared" si="83"/>
        <v>2823736.049582371</v>
      </c>
      <c r="L140" s="152">
        <f t="shared" si="83"/>
        <v>2854948.9520841683</v>
      </c>
      <c r="M140" s="152">
        <f t="shared" si="83"/>
        <v>2876145.6454109605</v>
      </c>
      <c r="N140" s="152">
        <f t="shared" si="83"/>
        <v>3133338.1670710789</v>
      </c>
      <c r="O140" s="152">
        <f t="shared" si="83"/>
        <v>3219773.6757751252</v>
      </c>
      <c r="P140" s="152">
        <f t="shared" si="83"/>
        <v>307767.60322720843</v>
      </c>
      <c r="Q140" s="152">
        <f t="shared" si="83"/>
        <v>349838.71729997464</v>
      </c>
      <c r="R140" s="152">
        <f t="shared" si="83"/>
        <v>363058.18862995587</v>
      </c>
      <c r="S140" s="152">
        <f t="shared" si="83"/>
        <v>326703.4718840635</v>
      </c>
      <c r="T140" s="152">
        <f t="shared" si="83"/>
        <v>305306.19987666013</v>
      </c>
      <c r="U140" s="152">
        <f t="shared" si="83"/>
        <v>308587.98687611707</v>
      </c>
      <c r="V140" s="152">
        <f t="shared" si="83"/>
        <v>297011.45541884401</v>
      </c>
      <c r="W140" s="152">
        <f t="shared" si="83"/>
        <v>285480.57320815255</v>
      </c>
      <c r="X140" s="152">
        <f t="shared" si="83"/>
        <v>286638.20308684948</v>
      </c>
      <c r="Y140" s="152">
        <f t="shared" si="83"/>
        <v>287810.44652649539</v>
      </c>
      <c r="Z140" s="152">
        <f t="shared" si="83"/>
        <v>317493.50549182569</v>
      </c>
      <c r="AA140" s="152">
        <f t="shared" si="83"/>
        <v>361745.97054582019</v>
      </c>
      <c r="AB140" s="152">
        <f t="shared" si="83"/>
        <v>345158.34118408978</v>
      </c>
      <c r="AC140" s="152">
        <f t="shared" si="83"/>
        <v>336932.39813211851</v>
      </c>
      <c r="AD140" s="152">
        <f t="shared" si="83"/>
        <v>339009.97218803607</v>
      </c>
      <c r="AE140" s="152">
        <f t="shared" si="83"/>
        <v>331920.16725240659</v>
      </c>
      <c r="AF140" s="152">
        <f t="shared" si="83"/>
        <v>667801.76508280984</v>
      </c>
      <c r="AG140" s="152">
        <f t="shared" si="83"/>
        <v>0</v>
      </c>
      <c r="AH140" s="152">
        <f t="shared" si="83"/>
        <v>0</v>
      </c>
      <c r="AI140" s="152">
        <f t="shared" si="83"/>
        <v>0</v>
      </c>
      <c r="AJ140" s="152">
        <f t="shared" si="83"/>
        <v>0</v>
      </c>
      <c r="AK140" s="152">
        <f t="shared" si="83"/>
        <v>0</v>
      </c>
      <c r="AL140" s="152">
        <f t="shared" si="83"/>
        <v>0</v>
      </c>
      <c r="AM140" s="152">
        <f t="shared" si="83"/>
        <v>0</v>
      </c>
      <c r="AN140" s="152">
        <f t="shared" si="83"/>
        <v>0</v>
      </c>
      <c r="AO140" s="152">
        <f t="shared" si="83"/>
        <v>0</v>
      </c>
      <c r="AP140" s="152">
        <f t="shared" si="83"/>
        <v>0</v>
      </c>
    </row>
    <row r="141" spans="1:42">
      <c r="A141" s="200"/>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152"/>
      <c r="AD141" s="152"/>
      <c r="AE141" s="152"/>
      <c r="AF141" s="152"/>
      <c r="AG141" s="152"/>
      <c r="AH141" s="152"/>
      <c r="AI141" s="152"/>
      <c r="AJ141" s="152"/>
      <c r="AK141" s="152"/>
      <c r="AL141" s="152"/>
      <c r="AM141" s="152"/>
      <c r="AN141" s="152"/>
      <c r="AO141" s="152"/>
      <c r="AP141" s="152"/>
    </row>
    <row r="142" spans="1:42">
      <c r="A142" s="180" t="s">
        <v>401</v>
      </c>
      <c r="B142" s="201">
        <f>ROUND(IF(ISERROR(IRR($B$140:B140)),0,IRR($B$140:B140)),4)</f>
        <v>0</v>
      </c>
      <c r="C142" s="201">
        <f>ROUND(IF(ISERROR(IRR($B$140:C140)),0,IRR($B$140:C140)),4)</f>
        <v>0</v>
      </c>
      <c r="D142" s="201">
        <f>ROUND(IF(ISERROR(IRR($B$140:D140)),0,IRR($B$140:D140)),4)</f>
        <v>0</v>
      </c>
      <c r="E142" s="201">
        <f>ROUND(IF(ISERROR(IRR($B$140:E140)),0,IRR($B$140:E140)),4)</f>
        <v>0</v>
      </c>
      <c r="F142" s="201">
        <f>ROUND(IF(ISERROR(IRR($B$140:F140)),0,IRR($B$140:F140)),4)</f>
        <v>-0.22270000000000001</v>
      </c>
      <c r="G142" s="201">
        <f>ROUND(IF(ISERROR(IRR($B$140:G140)),0,IRR($B$140:G140)),4)</f>
        <v>-0.1052</v>
      </c>
      <c r="H142" s="201">
        <f>ROUND(IF(ISERROR(IRR($B$140:H140)),0,IRR($B$140:H140)),4)</f>
        <v>-4.2500000000000003E-2</v>
      </c>
      <c r="I142" s="201">
        <f>ROUND(IF(ISERROR(IRR($B$140:I140)),0,IRR($B$140:I140)),4)</f>
        <v>-6.4000000000000003E-3</v>
      </c>
      <c r="J142" s="201">
        <f>ROUND(IF(ISERROR(IRR($B$140:J140)),0,IRR($B$140:J140)),4)</f>
        <v>2.1299999999999999E-2</v>
      </c>
      <c r="K142" s="201">
        <f>ROUND(IF(ISERROR(IRR($B$140:K140)),0,IRR($B$140:K140)),4)</f>
        <v>4.2900000000000001E-2</v>
      </c>
      <c r="L142" s="201">
        <f>ROUND(IF(ISERROR(IRR($B$140:L140)),0,IRR($B$140:L140)),4)</f>
        <v>5.9700000000000003E-2</v>
      </c>
      <c r="M142" s="201">
        <f>ROUND(IF(ISERROR(IRR($B$140:M140)),0,IRR($B$140:M140)),4)</f>
        <v>7.2999999999999995E-2</v>
      </c>
      <c r="N142" s="201">
        <f>ROUND(IF(ISERROR(IRR($B$140:N140)),0,IRR($B$140:N140)),4)</f>
        <v>8.4400000000000003E-2</v>
      </c>
      <c r="O142" s="201">
        <f>ROUND(IF(ISERROR(IRR($B$140:O140)),0,IRR($B$140:O140)),4)</f>
        <v>9.3700000000000006E-2</v>
      </c>
      <c r="P142" s="201">
        <f>ROUND(IF(ISERROR(IRR($B$140:P140)),0,IRR($B$140:P140)),4)</f>
        <v>9.4500000000000001E-2</v>
      </c>
      <c r="Q142" s="201">
        <f>ROUND(IF(ISERROR(IRR($B$140:Q140)),0,IRR($B$140:Q140)),4)</f>
        <v>9.5200000000000007E-2</v>
      </c>
      <c r="R142" s="201">
        <f>ROUND(IF(ISERROR(IRR($B$140:R140)),0,IRR($B$140:R140)),4)</f>
        <v>9.5899999999999999E-2</v>
      </c>
      <c r="S142" s="201">
        <f>ROUND(IF(ISERROR(IRR($B$140:S140)),0,IRR($B$140:S140)),4)</f>
        <v>9.6500000000000002E-2</v>
      </c>
      <c r="T142" s="201">
        <f>ROUND(IF(ISERROR(IRR($B$140:T140)),0,IRR($B$140:T140)),4)</f>
        <v>9.7000000000000003E-2</v>
      </c>
      <c r="U142" s="201">
        <f>ROUND(IF(ISERROR(IRR($B$140:U140)),0,IRR($B$140:U140)),4)</f>
        <v>9.7500000000000003E-2</v>
      </c>
      <c r="V142" s="201">
        <f>ROUND(IF(ISERROR(IRR($B$140:V140)),0,IRR($B$140:V140)),4)</f>
        <v>9.7799999999999998E-2</v>
      </c>
      <c r="W142" s="201">
        <f>ROUND(IF(ISERROR(IRR($B$140:W140)),0,IRR($B$140:W140)),4)</f>
        <v>9.8199999999999996E-2</v>
      </c>
      <c r="X142" s="201">
        <f>ROUND(IF(ISERROR(IRR($B$140:X140)),0,IRR($B$140:X140)),4)</f>
        <v>9.8500000000000004E-2</v>
      </c>
      <c r="Y142" s="201">
        <f>ROUND(IF(ISERROR(IRR($B$140:Y140)),0,IRR($B$140:Y140)),4)</f>
        <v>9.8799999999999999E-2</v>
      </c>
      <c r="Z142" s="201">
        <f>ROUND(IF(ISERROR(IRR($B$140:Z140)),0,IRR($B$140:Z140)),4)</f>
        <v>9.9000000000000005E-2</v>
      </c>
      <c r="AA142" s="201">
        <f>ROUND(IF(ISERROR(IRR($B$140:AA140)),0,IRR($B$140:AA140)),4)</f>
        <v>9.9299999999999999E-2</v>
      </c>
      <c r="AB142" s="201">
        <f>ROUND(IF(ISERROR(IRR($B$140:AB140)),0,IRR($B$140:AB140)),4)</f>
        <v>9.9599999999999994E-2</v>
      </c>
      <c r="AC142" s="201">
        <f>ROUND(IF(ISERROR(IRR($B$140:AC140)),0,IRR($B$140:AC140)),4)</f>
        <v>9.98E-2</v>
      </c>
      <c r="AD142" s="201">
        <f>ROUND(IF(ISERROR(IRR($B$140:AD140)),0,IRR($B$140:AD140)),4)</f>
        <v>0.1</v>
      </c>
      <c r="AE142" s="201">
        <f>ROUND(IF(ISERROR(IRR($B$140:AE140)),0,IRR($B$140:AE140)),4)</f>
        <v>0.10009999999999999</v>
      </c>
      <c r="AF142" s="201">
        <f>ROUND(IF(ISERROR(IRR($B$140:AF140)),0,IRR($B$140:AF140)),4)</f>
        <v>0.1004</v>
      </c>
      <c r="AG142" s="201">
        <f>ROUND(IF(ISERROR(IRR($B$140:AG140)),0,IRR($B$140:AG140)),4)</f>
        <v>0.1004</v>
      </c>
      <c r="AH142" s="201">
        <f>ROUND(IF(ISERROR(IRR($B$140:AH140)),0,IRR($B$140:AH140)),4)</f>
        <v>0.1004</v>
      </c>
      <c r="AI142" s="201">
        <f>ROUND(IF(ISERROR(IRR($B$140:AI140)),0,IRR($B$140:AI140)),4)</f>
        <v>0.1004</v>
      </c>
      <c r="AJ142" s="201">
        <f>ROUND(IF(ISERROR(IRR($B$140:AJ140)),0,IRR($B$140:AJ140)),4)</f>
        <v>0.1004</v>
      </c>
      <c r="AK142" s="201">
        <f>ROUND(IF(ISERROR(IRR($B$140:AK140)),0,IRR($B$140:AK140)),4)</f>
        <v>0.1004</v>
      </c>
      <c r="AL142" s="201">
        <f>ROUND(IF(ISERROR(IRR($B$140:AL140)),0,IRR($B$140:AL140)),4)</f>
        <v>0.1004</v>
      </c>
      <c r="AM142" s="201">
        <f>ROUND(IF(ISERROR(IRR($B$140:AM140)),0,IRR($B$140:AM140)),4)</f>
        <v>0.1004</v>
      </c>
      <c r="AN142" s="201">
        <f>ROUND(IF(ISERROR(IRR($B$140:AN140)),0,IRR($B$140:AN140)),4)</f>
        <v>0.1004</v>
      </c>
      <c r="AO142" s="201">
        <f>ROUND(IF(ISERROR(IRR($B$140:AO140)),0,IRR($B$140:AO140)),4)</f>
        <v>0.1004</v>
      </c>
      <c r="AP142" s="201">
        <f>ROUND(IF(ISERROR(IRR($B$140:AP140)),0,IRR($B$140:AP140)),4)</f>
        <v>0.1004</v>
      </c>
    </row>
    <row r="143" spans="1:42">
      <c r="A143" s="180" t="s">
        <v>237</v>
      </c>
      <c r="B143" s="202">
        <f>MAX($B$142:B142)</f>
        <v>0</v>
      </c>
      <c r="C143" s="202">
        <f>MAX($B$142:C142)</f>
        <v>0</v>
      </c>
      <c r="D143" s="202">
        <f>MAX($B$142:D142)</f>
        <v>0</v>
      </c>
      <c r="E143" s="202">
        <f>MAX($B$142:E142)</f>
        <v>0</v>
      </c>
      <c r="F143" s="202">
        <f>MAX($B$142:F142)</f>
        <v>0</v>
      </c>
      <c r="G143" s="202">
        <f>MAX($B$142:G142)</f>
        <v>0</v>
      </c>
      <c r="H143" s="202">
        <f>MAX($B$142:H142)</f>
        <v>0</v>
      </c>
      <c r="I143" s="202">
        <f>MAX($B$142:I142)</f>
        <v>0</v>
      </c>
      <c r="J143" s="202">
        <f>MAX($B$142:J142)</f>
        <v>2.1299999999999999E-2</v>
      </c>
      <c r="K143" s="202">
        <f>MAX($B$142:K142)</f>
        <v>4.2900000000000001E-2</v>
      </c>
      <c r="L143" s="202">
        <f>MAX($B$142:L142)</f>
        <v>5.9700000000000003E-2</v>
      </c>
      <c r="M143" s="202">
        <f>MAX($B$142:M142)</f>
        <v>7.2999999999999995E-2</v>
      </c>
      <c r="N143" s="202">
        <f>MAX($B$142:N142)</f>
        <v>8.4400000000000003E-2</v>
      </c>
      <c r="O143" s="202">
        <f>MAX($B$142:O142)</f>
        <v>9.3700000000000006E-2</v>
      </c>
      <c r="P143" s="202">
        <f>MAX($B$142:P142)</f>
        <v>9.4500000000000001E-2</v>
      </c>
      <c r="Q143" s="202">
        <f>MAX($B$142:Q142)</f>
        <v>9.5200000000000007E-2</v>
      </c>
      <c r="R143" s="202">
        <f>MAX($B$142:R142)</f>
        <v>9.5899999999999999E-2</v>
      </c>
      <c r="S143" s="202">
        <f>MAX($B$142:S142)</f>
        <v>9.6500000000000002E-2</v>
      </c>
      <c r="T143" s="202">
        <f>MAX($B$142:T142)</f>
        <v>9.7000000000000003E-2</v>
      </c>
      <c r="U143" s="202">
        <f>MAX($B$142:U142)</f>
        <v>9.7500000000000003E-2</v>
      </c>
      <c r="V143" s="202">
        <f>MAX($B$142:V142)</f>
        <v>9.7799999999999998E-2</v>
      </c>
      <c r="W143" s="202">
        <f>MAX($B$142:W142)</f>
        <v>9.8199999999999996E-2</v>
      </c>
      <c r="X143" s="202">
        <f>MAX($B$142:X142)</f>
        <v>9.8500000000000004E-2</v>
      </c>
      <c r="Y143" s="202">
        <f>MAX($B$142:Y142)</f>
        <v>9.8799999999999999E-2</v>
      </c>
      <c r="Z143" s="202">
        <f>MAX($B$142:Z142)</f>
        <v>9.9000000000000005E-2</v>
      </c>
      <c r="AA143" s="202">
        <f>MAX($B$142:AA142)</f>
        <v>9.9299999999999999E-2</v>
      </c>
      <c r="AB143" s="202">
        <f>MAX($B$142:AB142)</f>
        <v>9.9599999999999994E-2</v>
      </c>
      <c r="AC143" s="202">
        <f>MAX($B$142:AC142)</f>
        <v>9.98E-2</v>
      </c>
      <c r="AD143" s="202">
        <f>MAX($B$142:AD142)</f>
        <v>0.1</v>
      </c>
      <c r="AE143" s="202">
        <f>MAX($B$142:AE142)</f>
        <v>0.10009999999999999</v>
      </c>
      <c r="AF143" s="202">
        <f>MAX($B$142:AF142)</f>
        <v>0.1004</v>
      </c>
      <c r="AG143" s="202">
        <f>MAX($B$142:AG142)</f>
        <v>0.1004</v>
      </c>
      <c r="AH143" s="202">
        <f>MAX($B$142:AH142)</f>
        <v>0.1004</v>
      </c>
      <c r="AI143" s="202">
        <f>MAX($B$142:AI142)</f>
        <v>0.1004</v>
      </c>
      <c r="AJ143" s="202">
        <f>MAX($B$142:AJ142)</f>
        <v>0.1004</v>
      </c>
      <c r="AK143" s="202">
        <f>MAX($B$142:AK142)</f>
        <v>0.1004</v>
      </c>
      <c r="AL143" s="202">
        <f>MAX($B$142:AL142)</f>
        <v>0.1004</v>
      </c>
      <c r="AM143" s="202">
        <f>MAX($B$142:AM142)</f>
        <v>0.1004</v>
      </c>
      <c r="AN143" s="202">
        <f>MAX($B$142:AN142)</f>
        <v>0.1004</v>
      </c>
      <c r="AO143" s="202">
        <f>MAX($B$142:AO142)</f>
        <v>0.1004</v>
      </c>
      <c r="AP143" s="202">
        <f>MAX($B$142:AP142)</f>
        <v>0.1004</v>
      </c>
    </row>
    <row r="144" spans="1:42">
      <c r="A144" s="180" t="s">
        <v>402</v>
      </c>
      <c r="B144" s="251">
        <f>B140</f>
        <v>-17499275.25</v>
      </c>
      <c r="C144" s="251">
        <f>NPV(DiscountRate,$C140:C140)+$B140</f>
        <v>-20302842.262547564</v>
      </c>
      <c r="D144" s="251">
        <f>NPV(DiscountRate,$C140:D140)+$B140</f>
        <v>-18219686.224213313</v>
      </c>
      <c r="E144" s="251">
        <f>NPV(DiscountRate,$C140:E140)+$B140</f>
        <v>-16090929.992386131</v>
      </c>
      <c r="F144" s="251">
        <f>NPV(DiscountRate,$C140:F140)+$B140</f>
        <v>-12961741.868054731</v>
      </c>
      <c r="G144" s="251">
        <f>NPV(DiscountRate,$C140:G140)+$B140</f>
        <v>-10049237.990968905</v>
      </c>
      <c r="H144" s="251">
        <f>NPV(DiscountRate,$C140:H140)+$B140</f>
        <v>-7827407.752778247</v>
      </c>
      <c r="I144" s="251">
        <f>NPV(DiscountRate,$C140:I140)+$B140</f>
        <v>-6211185.1512367148</v>
      </c>
      <c r="J144" s="251">
        <f>NPV(DiscountRate,$C140:J140)+$B140</f>
        <v>-4703052.1796189193</v>
      </c>
      <c r="K144" s="251">
        <f>NPV(DiscountRate,$C140:K140)+$B140</f>
        <v>-3290481.137363473</v>
      </c>
      <c r="L144" s="251">
        <f>NPV(DiscountRate,$C140:L140)+$B140</f>
        <v>-1968087.3739438914</v>
      </c>
      <c r="M144" s="251">
        <f>NPV(DiscountRate,$C140:M140)+$B140</f>
        <v>-734557.80566845089</v>
      </c>
      <c r="N144" s="251">
        <f>NPV(DiscountRate,$C140:N140)+$B140</f>
        <v>509733.89096608758</v>
      </c>
      <c r="O144" s="251">
        <f>NPV(DiscountRate,$C140:O140)+$B140</f>
        <v>1693637.9894628264</v>
      </c>
      <c r="P144" s="251">
        <f>NPV(DiscountRate,$C140:P140)+$B140</f>
        <v>1798420.8681554087</v>
      </c>
      <c r="Q144" s="251">
        <f>NPV(DiscountRate,$C140:Q140)+$B140</f>
        <v>1908704.6218601316</v>
      </c>
      <c r="R144" s="251">
        <f>NPV(DiscountRate,$C140:R140)+$B140</f>
        <v>2014677.8462911844</v>
      </c>
      <c r="S144" s="251">
        <f>NPV(DiscountRate,$C140:S140)+$B140</f>
        <v>2102975.6510708518</v>
      </c>
      <c r="T144" s="251">
        <f>NPV(DiscountRate,$C140:T140)+$B140</f>
        <v>2179378.2311731093</v>
      </c>
      <c r="U144" s="251">
        <f>NPV(DiscountRate,$C140:U140)+$B140</f>
        <v>2250881.7905366644</v>
      </c>
      <c r="V144" s="251">
        <f>NPV(DiscountRate,$C140:V140)+$B140</f>
        <v>2314605.0658752471</v>
      </c>
      <c r="W144" s="251">
        <f>NPV(DiscountRate,$C140:W140)+$B140</f>
        <v>2371317.4225701466</v>
      </c>
      <c r="X144" s="251">
        <f>NPV(DiscountRate,$C140:X140)+$B140</f>
        <v>2424041.7989811562</v>
      </c>
      <c r="Y144" s="251">
        <f>NPV(DiscountRate,$C140:Y140)+$B140</f>
        <v>2473060.3170030713</v>
      </c>
      <c r="Z144" s="251">
        <f>NPV(DiscountRate,$C140:Z140)+$B140</f>
        <v>2523128.832418073</v>
      </c>
      <c r="AA144" s="251">
        <f>NPV(DiscountRate,$C140:AA140)+$B140</f>
        <v>2575950.2211478613</v>
      </c>
      <c r="AB144" s="251">
        <f>NPV(DiscountRate,$C140:AB140)+$B140</f>
        <v>2622616.2376690805</v>
      </c>
      <c r="AC144" s="251">
        <f>NPV(DiscountRate,$C140:AC140)+$B140</f>
        <v>2664795.7325872369</v>
      </c>
      <c r="AD144" s="251">
        <f>NPV(DiscountRate,$C140:AD140)+$B140</f>
        <v>2704091.6398132369</v>
      </c>
      <c r="AE144" s="251">
        <f>NPV(DiscountRate,$C140:AE140)+$B140</f>
        <v>2739715.8079215474</v>
      </c>
      <c r="AF144" s="251">
        <f>NPV(DiscountRate,$C140:AF140)+$B140</f>
        <v>2806080.1660075299</v>
      </c>
      <c r="AG144" s="251">
        <f>NPV(DiscountRate,$C140:AG140)+$B140</f>
        <v>2806080.1660075299</v>
      </c>
      <c r="AH144" s="251">
        <f>NPV(DiscountRate,$C140:AH140)+$B140</f>
        <v>2806080.1660075299</v>
      </c>
      <c r="AI144" s="251">
        <f>NPV(DiscountRate,$C140:AI140)+$B140</f>
        <v>2806080.1660075299</v>
      </c>
      <c r="AJ144" s="251">
        <f>NPV(DiscountRate,$C140:AJ140)+$B140</f>
        <v>2806080.1660075299</v>
      </c>
      <c r="AK144" s="251">
        <f>NPV(DiscountRate,$C140:AK140)+$B140</f>
        <v>2806080.1660075299</v>
      </c>
      <c r="AL144" s="251">
        <f>NPV(DiscountRate,$C140:AL140)+$B140</f>
        <v>2806080.1660075299</v>
      </c>
      <c r="AM144" s="251">
        <f>NPV(DiscountRate,$C140:AM140)+$B140</f>
        <v>2806080.1660075299</v>
      </c>
      <c r="AN144" s="251">
        <f>NPV(DiscountRate,$C140:AN140)+$B140</f>
        <v>2806080.1660075299</v>
      </c>
      <c r="AO144" s="251">
        <f>NPV(DiscountRate,$C140:AO140)+$B140</f>
        <v>2806080.1660075299</v>
      </c>
      <c r="AP144" s="251">
        <f>NPV(DiscountRate,$C140:AP140)+$B140</f>
        <v>2806080.1660075299</v>
      </c>
    </row>
    <row r="145" spans="1:42">
      <c r="A145" s="180"/>
      <c r="B145" s="152"/>
      <c r="C145" s="152"/>
      <c r="D145" s="152"/>
      <c r="E145" s="152"/>
      <c r="F145" s="152"/>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row>
    <row r="146" spans="1:42">
      <c r="A146" s="37" t="s">
        <v>349</v>
      </c>
      <c r="B146" s="196">
        <f>SUM(C146:AP146)</f>
        <v>13</v>
      </c>
      <c r="C146" s="152">
        <f t="shared" ref="C146:AP146" si="84">IF(AND(B143&lt;AEPFFlipTarget,C143&gt;=AEPFFlipTarget),C$2,0)</f>
        <v>0</v>
      </c>
      <c r="D146" s="152">
        <f t="shared" si="84"/>
        <v>0</v>
      </c>
      <c r="E146" s="152">
        <f t="shared" si="84"/>
        <v>0</v>
      </c>
      <c r="F146" s="152">
        <f t="shared" si="84"/>
        <v>0</v>
      </c>
      <c r="G146" s="152">
        <f t="shared" si="84"/>
        <v>0</v>
      </c>
      <c r="H146" s="152">
        <f t="shared" si="84"/>
        <v>0</v>
      </c>
      <c r="I146" s="152">
        <f t="shared" si="84"/>
        <v>0</v>
      </c>
      <c r="J146" s="152">
        <f t="shared" si="84"/>
        <v>0</v>
      </c>
      <c r="K146" s="152">
        <f t="shared" si="84"/>
        <v>0</v>
      </c>
      <c r="L146" s="152">
        <f t="shared" si="84"/>
        <v>0</v>
      </c>
      <c r="M146" s="152">
        <f t="shared" si="84"/>
        <v>0</v>
      </c>
      <c r="N146" s="152">
        <f t="shared" si="84"/>
        <v>0</v>
      </c>
      <c r="O146" s="152">
        <f t="shared" si="84"/>
        <v>13</v>
      </c>
      <c r="P146" s="152">
        <f t="shared" si="84"/>
        <v>0</v>
      </c>
      <c r="Q146" s="152">
        <f t="shared" si="84"/>
        <v>0</v>
      </c>
      <c r="R146" s="152">
        <f t="shared" si="84"/>
        <v>0</v>
      </c>
      <c r="S146" s="152">
        <f t="shared" si="84"/>
        <v>0</v>
      </c>
      <c r="T146" s="152">
        <f t="shared" si="84"/>
        <v>0</v>
      </c>
      <c r="U146" s="152">
        <f t="shared" si="84"/>
        <v>0</v>
      </c>
      <c r="V146" s="152">
        <f t="shared" si="84"/>
        <v>0</v>
      </c>
      <c r="W146" s="152">
        <f t="shared" si="84"/>
        <v>0</v>
      </c>
      <c r="X146" s="152">
        <f t="shared" si="84"/>
        <v>0</v>
      </c>
      <c r="Y146" s="152">
        <f t="shared" si="84"/>
        <v>0</v>
      </c>
      <c r="Z146" s="152">
        <f t="shared" si="84"/>
        <v>0</v>
      </c>
      <c r="AA146" s="152">
        <f t="shared" si="84"/>
        <v>0</v>
      </c>
      <c r="AB146" s="152">
        <f t="shared" si="84"/>
        <v>0</v>
      </c>
      <c r="AC146" s="152">
        <f t="shared" si="84"/>
        <v>0</v>
      </c>
      <c r="AD146" s="152">
        <f t="shared" si="84"/>
        <v>0</v>
      </c>
      <c r="AE146" s="152">
        <f t="shared" si="84"/>
        <v>0</v>
      </c>
      <c r="AF146" s="152">
        <f t="shared" si="84"/>
        <v>0</v>
      </c>
      <c r="AG146" s="152">
        <f t="shared" si="84"/>
        <v>0</v>
      </c>
      <c r="AH146" s="152">
        <f t="shared" si="84"/>
        <v>0</v>
      </c>
      <c r="AI146" s="152">
        <f t="shared" si="84"/>
        <v>0</v>
      </c>
      <c r="AJ146" s="152">
        <f t="shared" si="84"/>
        <v>0</v>
      </c>
      <c r="AK146" s="152">
        <f t="shared" si="84"/>
        <v>0</v>
      </c>
      <c r="AL146" s="152">
        <f t="shared" si="84"/>
        <v>0</v>
      </c>
      <c r="AM146" s="152">
        <f t="shared" si="84"/>
        <v>0</v>
      </c>
      <c r="AN146" s="152">
        <f t="shared" si="84"/>
        <v>0</v>
      </c>
      <c r="AO146" s="152">
        <f t="shared" si="84"/>
        <v>0</v>
      </c>
      <c r="AP146" s="152">
        <f t="shared" si="84"/>
        <v>0</v>
      </c>
    </row>
    <row r="147" spans="1:42">
      <c r="B147" s="152"/>
      <c r="C147" s="152"/>
      <c r="D147" s="152"/>
      <c r="E147" s="152"/>
      <c r="F147" s="152"/>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row>
    <row r="148" spans="1:42" s="118" customFormat="1">
      <c r="A148" s="195" t="s">
        <v>396</v>
      </c>
      <c r="B148" s="198"/>
      <c r="C148" s="235"/>
      <c r="D148" s="235"/>
      <c r="E148" s="235"/>
      <c r="F148" s="235"/>
      <c r="G148" s="235"/>
      <c r="H148" s="235"/>
      <c r="I148" s="235"/>
      <c r="J148" s="235"/>
      <c r="K148" s="235"/>
      <c r="L148" s="235"/>
      <c r="M148" s="235"/>
      <c r="N148" s="141"/>
      <c r="O148" s="141"/>
      <c r="P148" s="141"/>
      <c r="Q148" s="141"/>
      <c r="R148" s="141"/>
      <c r="S148" s="141"/>
      <c r="T148" s="141"/>
      <c r="U148" s="141"/>
      <c r="V148" s="141"/>
      <c r="W148" s="141"/>
      <c r="X148" s="141"/>
      <c r="Y148" s="141"/>
      <c r="Z148" s="141"/>
      <c r="AA148" s="141"/>
      <c r="AB148" s="141"/>
      <c r="AC148" s="141"/>
      <c r="AD148" s="141"/>
      <c r="AE148" s="141"/>
      <c r="AF148" s="141"/>
      <c r="AG148" s="141"/>
      <c r="AH148" s="141"/>
      <c r="AI148" s="141"/>
      <c r="AJ148" s="141"/>
      <c r="AK148" s="141"/>
      <c r="AL148" s="141"/>
      <c r="AM148" s="141"/>
      <c r="AN148" s="141"/>
      <c r="AO148" s="141"/>
      <c r="AP148" s="141"/>
    </row>
    <row r="149" spans="1:42" s="118" customFormat="1">
      <c r="A149" s="42" t="s">
        <v>99</v>
      </c>
      <c r="B149" s="198">
        <v>0</v>
      </c>
      <c r="C149" s="198">
        <f>B152</f>
        <v>11666183.5</v>
      </c>
      <c r="D149" s="198">
        <f t="shared" ref="D149:AP149" si="85">C152</f>
        <v>7154111.7414218541</v>
      </c>
      <c r="E149" s="198">
        <f t="shared" si="85"/>
        <v>2594866.8339231918</v>
      </c>
      <c r="F149" s="198">
        <f t="shared" si="85"/>
        <v>0</v>
      </c>
      <c r="G149" s="198">
        <f t="shared" si="85"/>
        <v>0</v>
      </c>
      <c r="H149" s="198">
        <f t="shared" si="85"/>
        <v>0</v>
      </c>
      <c r="I149" s="198">
        <f t="shared" si="85"/>
        <v>0</v>
      </c>
      <c r="J149" s="198">
        <f t="shared" si="85"/>
        <v>0</v>
      </c>
      <c r="K149" s="198">
        <f t="shared" si="85"/>
        <v>0</v>
      </c>
      <c r="L149" s="198">
        <f t="shared" si="85"/>
        <v>0</v>
      </c>
      <c r="M149" s="198">
        <f t="shared" si="85"/>
        <v>0</v>
      </c>
      <c r="N149" s="198">
        <f t="shared" si="85"/>
        <v>0</v>
      </c>
      <c r="O149" s="198">
        <f t="shared" si="85"/>
        <v>0</v>
      </c>
      <c r="P149" s="198">
        <f t="shared" si="85"/>
        <v>0</v>
      </c>
      <c r="Q149" s="198">
        <f t="shared" si="85"/>
        <v>0</v>
      </c>
      <c r="R149" s="198">
        <f t="shared" si="85"/>
        <v>0</v>
      </c>
      <c r="S149" s="198">
        <f t="shared" si="85"/>
        <v>0</v>
      </c>
      <c r="T149" s="198">
        <f t="shared" si="85"/>
        <v>0</v>
      </c>
      <c r="U149" s="198">
        <f t="shared" si="85"/>
        <v>0</v>
      </c>
      <c r="V149" s="198">
        <f t="shared" si="85"/>
        <v>0</v>
      </c>
      <c r="W149" s="198">
        <f t="shared" si="85"/>
        <v>0</v>
      </c>
      <c r="X149" s="198">
        <f t="shared" si="85"/>
        <v>0</v>
      </c>
      <c r="Y149" s="198">
        <f t="shared" si="85"/>
        <v>0</v>
      </c>
      <c r="Z149" s="198">
        <f t="shared" si="85"/>
        <v>0</v>
      </c>
      <c r="AA149" s="198">
        <f t="shared" si="85"/>
        <v>0</v>
      </c>
      <c r="AB149" s="198">
        <f t="shared" si="85"/>
        <v>0</v>
      </c>
      <c r="AC149" s="198">
        <f t="shared" si="85"/>
        <v>0</v>
      </c>
      <c r="AD149" s="198">
        <f t="shared" si="85"/>
        <v>0</v>
      </c>
      <c r="AE149" s="198">
        <f t="shared" si="85"/>
        <v>0</v>
      </c>
      <c r="AF149" s="198">
        <f t="shared" si="85"/>
        <v>0</v>
      </c>
      <c r="AG149" s="198">
        <f t="shared" si="85"/>
        <v>0</v>
      </c>
      <c r="AH149" s="198">
        <f t="shared" si="85"/>
        <v>0</v>
      </c>
      <c r="AI149" s="198">
        <f t="shared" si="85"/>
        <v>0</v>
      </c>
      <c r="AJ149" s="198">
        <f t="shared" si="85"/>
        <v>0</v>
      </c>
      <c r="AK149" s="198">
        <f t="shared" si="85"/>
        <v>0</v>
      </c>
      <c r="AL149" s="198">
        <f t="shared" si="85"/>
        <v>0</v>
      </c>
      <c r="AM149" s="198">
        <f t="shared" si="85"/>
        <v>0</v>
      </c>
      <c r="AN149" s="198">
        <f t="shared" si="85"/>
        <v>0</v>
      </c>
      <c r="AO149" s="198">
        <f t="shared" si="85"/>
        <v>0</v>
      </c>
      <c r="AP149" s="198">
        <f t="shared" si="85"/>
        <v>0</v>
      </c>
    </row>
    <row r="150" spans="1:42" s="118" customFormat="1">
      <c r="A150" s="42" t="s">
        <v>432</v>
      </c>
      <c r="B150" s="198">
        <f>-B155</f>
        <v>11666183.5</v>
      </c>
      <c r="C150" s="198">
        <v>0</v>
      </c>
      <c r="D150" s="198">
        <v>0</v>
      </c>
      <c r="E150" s="198">
        <v>0</v>
      </c>
      <c r="F150" s="198">
        <v>0</v>
      </c>
      <c r="G150" s="198">
        <v>0</v>
      </c>
      <c r="H150" s="198">
        <v>0</v>
      </c>
      <c r="I150" s="198">
        <v>0</v>
      </c>
      <c r="J150" s="198">
        <v>0</v>
      </c>
      <c r="K150" s="198">
        <v>0</v>
      </c>
      <c r="L150" s="198">
        <v>0</v>
      </c>
      <c r="M150" s="198">
        <v>0</v>
      </c>
      <c r="N150" s="198">
        <v>0</v>
      </c>
      <c r="O150" s="198">
        <v>0</v>
      </c>
      <c r="P150" s="198">
        <v>0</v>
      </c>
      <c r="Q150" s="198">
        <v>0</v>
      </c>
      <c r="R150" s="198">
        <v>0</v>
      </c>
      <c r="S150" s="198">
        <v>0</v>
      </c>
      <c r="T150" s="198">
        <v>0</v>
      </c>
      <c r="U150" s="198">
        <v>0</v>
      </c>
      <c r="V150" s="198">
        <v>0</v>
      </c>
      <c r="W150" s="198">
        <v>0</v>
      </c>
      <c r="X150" s="198">
        <v>0</v>
      </c>
      <c r="Y150" s="198">
        <v>0</v>
      </c>
      <c r="Z150" s="198">
        <v>0</v>
      </c>
      <c r="AA150" s="198">
        <v>0</v>
      </c>
      <c r="AB150" s="198">
        <v>0</v>
      </c>
      <c r="AC150" s="198">
        <v>0</v>
      </c>
      <c r="AD150" s="198">
        <v>0</v>
      </c>
      <c r="AE150" s="198">
        <v>0</v>
      </c>
      <c r="AF150" s="198">
        <v>0</v>
      </c>
      <c r="AG150" s="198">
        <v>0</v>
      </c>
      <c r="AH150" s="198">
        <v>0</v>
      </c>
      <c r="AI150" s="198">
        <v>0</v>
      </c>
      <c r="AJ150" s="198">
        <v>0</v>
      </c>
      <c r="AK150" s="198">
        <v>0</v>
      </c>
      <c r="AL150" s="198">
        <v>0</v>
      </c>
      <c r="AM150" s="198">
        <v>0</v>
      </c>
      <c r="AN150" s="198">
        <v>0</v>
      </c>
      <c r="AO150" s="198">
        <v>0</v>
      </c>
      <c r="AP150" s="198">
        <v>0</v>
      </c>
    </row>
    <row r="151" spans="1:42" s="118" customFormat="1">
      <c r="A151" s="42" t="s">
        <v>433</v>
      </c>
      <c r="B151" s="203">
        <f t="shared" ref="B151:AP151" si="86">-IF(B78&lt;0,0,MIN(B149+B150,B78))*IF(CapitalRecoveryMethod="Time",IF(B2&lt;=CapitalRecoveryDuration,1,0),1)</f>
        <v>0</v>
      </c>
      <c r="C151" s="203">
        <f t="shared" si="86"/>
        <v>-4512071.7585781459</v>
      </c>
      <c r="D151" s="203">
        <f t="shared" si="86"/>
        <v>-4559244.9074986624</v>
      </c>
      <c r="E151" s="203">
        <f t="shared" si="86"/>
        <v>-2594866.8339231918</v>
      </c>
      <c r="F151" s="203">
        <f t="shared" si="86"/>
        <v>0</v>
      </c>
      <c r="G151" s="203">
        <f t="shared" si="86"/>
        <v>0</v>
      </c>
      <c r="H151" s="203">
        <f t="shared" si="86"/>
        <v>0</v>
      </c>
      <c r="I151" s="203">
        <f t="shared" si="86"/>
        <v>0</v>
      </c>
      <c r="J151" s="203">
        <f t="shared" si="86"/>
        <v>0</v>
      </c>
      <c r="K151" s="203">
        <f t="shared" si="86"/>
        <v>0</v>
      </c>
      <c r="L151" s="203">
        <f t="shared" si="86"/>
        <v>0</v>
      </c>
      <c r="M151" s="203">
        <f t="shared" si="86"/>
        <v>0</v>
      </c>
      <c r="N151" s="203">
        <f t="shared" si="86"/>
        <v>0</v>
      </c>
      <c r="O151" s="203">
        <f t="shared" si="86"/>
        <v>0</v>
      </c>
      <c r="P151" s="203">
        <f t="shared" si="86"/>
        <v>0</v>
      </c>
      <c r="Q151" s="203">
        <f t="shared" si="86"/>
        <v>0</v>
      </c>
      <c r="R151" s="203">
        <f t="shared" si="86"/>
        <v>0</v>
      </c>
      <c r="S151" s="203">
        <f t="shared" si="86"/>
        <v>0</v>
      </c>
      <c r="T151" s="203">
        <f t="shared" si="86"/>
        <v>0</v>
      </c>
      <c r="U151" s="203">
        <f t="shared" si="86"/>
        <v>0</v>
      </c>
      <c r="V151" s="203">
        <f t="shared" si="86"/>
        <v>0</v>
      </c>
      <c r="W151" s="203">
        <f t="shared" si="86"/>
        <v>0</v>
      </c>
      <c r="X151" s="203">
        <f t="shared" si="86"/>
        <v>0</v>
      </c>
      <c r="Y151" s="203">
        <f t="shared" si="86"/>
        <v>0</v>
      </c>
      <c r="Z151" s="203">
        <f t="shared" si="86"/>
        <v>0</v>
      </c>
      <c r="AA151" s="203">
        <f t="shared" si="86"/>
        <v>0</v>
      </c>
      <c r="AB151" s="203">
        <f t="shared" si="86"/>
        <v>0</v>
      </c>
      <c r="AC151" s="203">
        <f t="shared" si="86"/>
        <v>0</v>
      </c>
      <c r="AD151" s="203">
        <f t="shared" si="86"/>
        <v>0</v>
      </c>
      <c r="AE151" s="203">
        <f t="shared" si="86"/>
        <v>0</v>
      </c>
      <c r="AF151" s="203">
        <f t="shared" si="86"/>
        <v>0</v>
      </c>
      <c r="AG151" s="203">
        <f t="shared" si="86"/>
        <v>0</v>
      </c>
      <c r="AH151" s="203">
        <f t="shared" si="86"/>
        <v>0</v>
      </c>
      <c r="AI151" s="203">
        <f t="shared" si="86"/>
        <v>0</v>
      </c>
      <c r="AJ151" s="203">
        <f t="shared" si="86"/>
        <v>0</v>
      </c>
      <c r="AK151" s="203">
        <f t="shared" si="86"/>
        <v>0</v>
      </c>
      <c r="AL151" s="203">
        <f t="shared" si="86"/>
        <v>0</v>
      </c>
      <c r="AM151" s="203">
        <f t="shared" si="86"/>
        <v>0</v>
      </c>
      <c r="AN151" s="203">
        <f t="shared" si="86"/>
        <v>0</v>
      </c>
      <c r="AO151" s="203">
        <f t="shared" si="86"/>
        <v>0</v>
      </c>
      <c r="AP151" s="203">
        <f t="shared" si="86"/>
        <v>0</v>
      </c>
    </row>
    <row r="152" spans="1:42" s="118" customFormat="1">
      <c r="A152" s="42" t="s">
        <v>102</v>
      </c>
      <c r="B152" s="198">
        <f t="shared" ref="B152:AP152" si="87">SUM(B149:B151)</f>
        <v>11666183.5</v>
      </c>
      <c r="C152" s="198">
        <f t="shared" si="87"/>
        <v>7154111.7414218541</v>
      </c>
      <c r="D152" s="198">
        <f t="shared" si="87"/>
        <v>2594866.8339231918</v>
      </c>
      <c r="E152" s="198">
        <f t="shared" si="87"/>
        <v>0</v>
      </c>
      <c r="F152" s="198">
        <f t="shared" si="87"/>
        <v>0</v>
      </c>
      <c r="G152" s="198">
        <f t="shared" si="87"/>
        <v>0</v>
      </c>
      <c r="H152" s="198">
        <f t="shared" si="87"/>
        <v>0</v>
      </c>
      <c r="I152" s="198">
        <f t="shared" si="87"/>
        <v>0</v>
      </c>
      <c r="J152" s="198">
        <f t="shared" si="87"/>
        <v>0</v>
      </c>
      <c r="K152" s="198">
        <f t="shared" si="87"/>
        <v>0</v>
      </c>
      <c r="L152" s="198">
        <f t="shared" si="87"/>
        <v>0</v>
      </c>
      <c r="M152" s="198">
        <f t="shared" si="87"/>
        <v>0</v>
      </c>
      <c r="N152" s="198">
        <f t="shared" si="87"/>
        <v>0</v>
      </c>
      <c r="O152" s="198">
        <f t="shared" si="87"/>
        <v>0</v>
      </c>
      <c r="P152" s="198">
        <f t="shared" si="87"/>
        <v>0</v>
      </c>
      <c r="Q152" s="198">
        <f t="shared" si="87"/>
        <v>0</v>
      </c>
      <c r="R152" s="198">
        <f t="shared" si="87"/>
        <v>0</v>
      </c>
      <c r="S152" s="198">
        <f t="shared" si="87"/>
        <v>0</v>
      </c>
      <c r="T152" s="198">
        <f t="shared" si="87"/>
        <v>0</v>
      </c>
      <c r="U152" s="198">
        <f t="shared" si="87"/>
        <v>0</v>
      </c>
      <c r="V152" s="198">
        <f t="shared" si="87"/>
        <v>0</v>
      </c>
      <c r="W152" s="198">
        <f t="shared" si="87"/>
        <v>0</v>
      </c>
      <c r="X152" s="198">
        <f t="shared" si="87"/>
        <v>0</v>
      </c>
      <c r="Y152" s="198">
        <f t="shared" si="87"/>
        <v>0</v>
      </c>
      <c r="Z152" s="198">
        <f t="shared" si="87"/>
        <v>0</v>
      </c>
      <c r="AA152" s="198">
        <f t="shared" si="87"/>
        <v>0</v>
      </c>
      <c r="AB152" s="198">
        <f t="shared" si="87"/>
        <v>0</v>
      </c>
      <c r="AC152" s="198">
        <f t="shared" si="87"/>
        <v>0</v>
      </c>
      <c r="AD152" s="198">
        <f t="shared" si="87"/>
        <v>0</v>
      </c>
      <c r="AE152" s="198">
        <f t="shared" si="87"/>
        <v>0</v>
      </c>
      <c r="AF152" s="198">
        <f t="shared" si="87"/>
        <v>0</v>
      </c>
      <c r="AG152" s="198">
        <f t="shared" si="87"/>
        <v>0</v>
      </c>
      <c r="AH152" s="198">
        <f t="shared" si="87"/>
        <v>0</v>
      </c>
      <c r="AI152" s="198">
        <f t="shared" si="87"/>
        <v>0</v>
      </c>
      <c r="AJ152" s="198">
        <f t="shared" si="87"/>
        <v>0</v>
      </c>
      <c r="AK152" s="198">
        <f t="shared" si="87"/>
        <v>0</v>
      </c>
      <c r="AL152" s="198">
        <f t="shared" si="87"/>
        <v>0</v>
      </c>
      <c r="AM152" s="198">
        <f t="shared" si="87"/>
        <v>0</v>
      </c>
      <c r="AN152" s="198">
        <f t="shared" si="87"/>
        <v>0</v>
      </c>
      <c r="AO152" s="198">
        <f t="shared" si="87"/>
        <v>0</v>
      </c>
      <c r="AP152" s="198">
        <f t="shared" si="87"/>
        <v>0</v>
      </c>
    </row>
    <row r="153" spans="1:42">
      <c r="B153" s="152"/>
      <c r="C153" s="152"/>
      <c r="D153" s="152"/>
      <c r="E153" s="152"/>
      <c r="F153" s="152"/>
      <c r="G153" s="186"/>
      <c r="H153" s="186"/>
      <c r="I153" s="186"/>
      <c r="J153" s="186"/>
      <c r="K153" s="186"/>
      <c r="L153" s="186"/>
      <c r="M153" s="186"/>
      <c r="N153" s="186"/>
      <c r="O153" s="186"/>
      <c r="P153" s="186"/>
      <c r="Q153" s="186"/>
      <c r="R153" s="186"/>
      <c r="S153" s="186"/>
      <c r="T153" s="186"/>
      <c r="U153" s="186"/>
      <c r="V153" s="186"/>
      <c r="W153" s="186"/>
      <c r="X153" s="186"/>
      <c r="Y153" s="186"/>
      <c r="Z153" s="186"/>
      <c r="AA153" s="186"/>
      <c r="AB153" s="186"/>
      <c r="AC153" s="186"/>
      <c r="AD153" s="186"/>
      <c r="AE153" s="186"/>
      <c r="AF153" s="186"/>
      <c r="AG153" s="186"/>
      <c r="AH153" s="186"/>
      <c r="AI153" s="186"/>
      <c r="AJ153" s="186"/>
      <c r="AK153" s="186"/>
      <c r="AL153" s="186"/>
      <c r="AM153" s="186"/>
      <c r="AN153" s="186"/>
      <c r="AO153" s="186"/>
      <c r="AP153" s="186"/>
    </row>
    <row r="154" spans="1:42" s="118" customFormat="1">
      <c r="A154" s="195" t="s">
        <v>244</v>
      </c>
      <c r="B154" s="198"/>
      <c r="C154" s="198"/>
      <c r="D154" s="198"/>
      <c r="E154" s="198"/>
      <c r="F154" s="198"/>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s="141"/>
      <c r="AO154" s="141"/>
      <c r="AP154" s="141"/>
    </row>
    <row r="155" spans="1:42">
      <c r="A155" s="180" t="s">
        <v>214</v>
      </c>
      <c r="B155" s="186">
        <f t="shared" ref="B155:AP155" si="88">B86-B116</f>
        <v>-11666183.5</v>
      </c>
      <c r="C155" s="186">
        <f t="shared" si="88"/>
        <v>0</v>
      </c>
      <c r="D155" s="186">
        <f t="shared" si="88"/>
        <v>0</v>
      </c>
      <c r="E155" s="186">
        <f t="shared" si="88"/>
        <v>0</v>
      </c>
      <c r="F155" s="186">
        <f t="shared" si="88"/>
        <v>0</v>
      </c>
      <c r="G155" s="186">
        <f t="shared" si="88"/>
        <v>0</v>
      </c>
      <c r="H155" s="186">
        <f t="shared" si="88"/>
        <v>0</v>
      </c>
      <c r="I155" s="186">
        <f t="shared" si="88"/>
        <v>0</v>
      </c>
      <c r="J155" s="186">
        <f t="shared" si="88"/>
        <v>0</v>
      </c>
      <c r="K155" s="186">
        <f t="shared" si="88"/>
        <v>0</v>
      </c>
      <c r="L155" s="186">
        <f t="shared" si="88"/>
        <v>0</v>
      </c>
      <c r="M155" s="186">
        <f t="shared" si="88"/>
        <v>0</v>
      </c>
      <c r="N155" s="186">
        <f t="shared" si="88"/>
        <v>0</v>
      </c>
      <c r="O155" s="186">
        <f t="shared" si="88"/>
        <v>0</v>
      </c>
      <c r="P155" s="186">
        <f t="shared" si="88"/>
        <v>0</v>
      </c>
      <c r="Q155" s="186">
        <f t="shared" si="88"/>
        <v>0</v>
      </c>
      <c r="R155" s="186">
        <f t="shared" si="88"/>
        <v>0</v>
      </c>
      <c r="S155" s="186">
        <f t="shared" si="88"/>
        <v>0</v>
      </c>
      <c r="T155" s="186">
        <f t="shared" si="88"/>
        <v>0</v>
      </c>
      <c r="U155" s="186">
        <f t="shared" si="88"/>
        <v>0</v>
      </c>
      <c r="V155" s="186">
        <f t="shared" si="88"/>
        <v>0</v>
      </c>
      <c r="W155" s="186">
        <f t="shared" si="88"/>
        <v>0</v>
      </c>
      <c r="X155" s="186">
        <f t="shared" si="88"/>
        <v>0</v>
      </c>
      <c r="Y155" s="186">
        <f t="shared" si="88"/>
        <v>0</v>
      </c>
      <c r="Z155" s="186">
        <f t="shared" si="88"/>
        <v>0</v>
      </c>
      <c r="AA155" s="186">
        <f t="shared" si="88"/>
        <v>0</v>
      </c>
      <c r="AB155" s="186">
        <f t="shared" si="88"/>
        <v>0</v>
      </c>
      <c r="AC155" s="186">
        <f t="shared" si="88"/>
        <v>0</v>
      </c>
      <c r="AD155" s="186">
        <f t="shared" si="88"/>
        <v>0</v>
      </c>
      <c r="AE155" s="186">
        <f t="shared" si="88"/>
        <v>0</v>
      </c>
      <c r="AF155" s="186">
        <f t="shared" si="88"/>
        <v>0</v>
      </c>
      <c r="AG155" s="186">
        <f t="shared" si="88"/>
        <v>0</v>
      </c>
      <c r="AH155" s="186">
        <f t="shared" si="88"/>
        <v>0</v>
      </c>
      <c r="AI155" s="186">
        <f t="shared" si="88"/>
        <v>0</v>
      </c>
      <c r="AJ155" s="186">
        <f t="shared" si="88"/>
        <v>0</v>
      </c>
      <c r="AK155" s="186">
        <f t="shared" si="88"/>
        <v>0</v>
      </c>
      <c r="AL155" s="186">
        <f t="shared" si="88"/>
        <v>0</v>
      </c>
      <c r="AM155" s="186">
        <f t="shared" si="88"/>
        <v>0</v>
      </c>
      <c r="AN155" s="186">
        <f t="shared" si="88"/>
        <v>0</v>
      </c>
      <c r="AO155" s="186">
        <f t="shared" si="88"/>
        <v>0</v>
      </c>
      <c r="AP155" s="186">
        <f t="shared" si="88"/>
        <v>0</v>
      </c>
    </row>
    <row r="156" spans="1:42">
      <c r="A156" s="180" t="s">
        <v>387</v>
      </c>
      <c r="B156" s="186">
        <f>'Inputs &amp; Results'!C146</f>
        <v>1206814.5</v>
      </c>
      <c r="C156" s="186"/>
      <c r="D156" s="186"/>
      <c r="E156" s="186"/>
      <c r="F156" s="186"/>
      <c r="G156" s="186"/>
      <c r="H156" s="186"/>
      <c r="I156" s="186"/>
      <c r="J156" s="186"/>
      <c r="K156" s="186"/>
      <c r="L156" s="186"/>
      <c r="M156" s="186"/>
      <c r="N156" s="186"/>
      <c r="O156" s="186"/>
      <c r="P156" s="186"/>
      <c r="Q156" s="186"/>
      <c r="R156" s="186"/>
      <c r="S156" s="186"/>
      <c r="T156" s="186"/>
      <c r="U156" s="186"/>
      <c r="V156" s="186"/>
      <c r="W156" s="186"/>
      <c r="X156" s="186"/>
      <c r="Y156" s="186"/>
      <c r="Z156" s="186"/>
      <c r="AA156" s="186"/>
      <c r="AB156" s="186"/>
      <c r="AC156" s="186"/>
      <c r="AD156" s="186"/>
      <c r="AE156" s="186"/>
      <c r="AF156" s="186"/>
      <c r="AG156" s="186"/>
      <c r="AH156" s="186"/>
      <c r="AI156" s="186"/>
      <c r="AJ156" s="186"/>
      <c r="AK156" s="186"/>
      <c r="AL156" s="186"/>
      <c r="AM156" s="186"/>
      <c r="AN156" s="186"/>
      <c r="AO156" s="186"/>
      <c r="AP156" s="186"/>
    </row>
    <row r="157" spans="1:42">
      <c r="A157" s="275" t="s">
        <v>434</v>
      </c>
      <c r="B157" s="186"/>
      <c r="C157" s="186">
        <f t="shared" ref="C157:AP157" si="89">-C151</f>
        <v>4512071.7585781459</v>
      </c>
      <c r="D157" s="186">
        <f t="shared" si="89"/>
        <v>4559244.9074986624</v>
      </c>
      <c r="E157" s="186">
        <f t="shared" si="89"/>
        <v>2594866.8339231918</v>
      </c>
      <c r="F157" s="186">
        <f t="shared" si="89"/>
        <v>0</v>
      </c>
      <c r="G157" s="186">
        <f t="shared" si="89"/>
        <v>0</v>
      </c>
      <c r="H157" s="186">
        <f t="shared" si="89"/>
        <v>0</v>
      </c>
      <c r="I157" s="186">
        <f t="shared" si="89"/>
        <v>0</v>
      </c>
      <c r="J157" s="186">
        <f t="shared" si="89"/>
        <v>0</v>
      </c>
      <c r="K157" s="186">
        <f t="shared" si="89"/>
        <v>0</v>
      </c>
      <c r="L157" s="186">
        <f t="shared" si="89"/>
        <v>0</v>
      </c>
      <c r="M157" s="186">
        <f t="shared" si="89"/>
        <v>0</v>
      </c>
      <c r="N157" s="186">
        <f t="shared" si="89"/>
        <v>0</v>
      </c>
      <c r="O157" s="186">
        <f t="shared" si="89"/>
        <v>0</v>
      </c>
      <c r="P157" s="186">
        <f t="shared" si="89"/>
        <v>0</v>
      </c>
      <c r="Q157" s="186">
        <f t="shared" si="89"/>
        <v>0</v>
      </c>
      <c r="R157" s="186">
        <f t="shared" si="89"/>
        <v>0</v>
      </c>
      <c r="S157" s="186">
        <f t="shared" si="89"/>
        <v>0</v>
      </c>
      <c r="T157" s="186">
        <f t="shared" si="89"/>
        <v>0</v>
      </c>
      <c r="U157" s="186">
        <f t="shared" si="89"/>
        <v>0</v>
      </c>
      <c r="V157" s="186">
        <f t="shared" si="89"/>
        <v>0</v>
      </c>
      <c r="W157" s="186">
        <f t="shared" si="89"/>
        <v>0</v>
      </c>
      <c r="X157" s="186">
        <f t="shared" si="89"/>
        <v>0</v>
      </c>
      <c r="Y157" s="186">
        <f t="shared" si="89"/>
        <v>0</v>
      </c>
      <c r="Z157" s="186">
        <f t="shared" si="89"/>
        <v>0</v>
      </c>
      <c r="AA157" s="186">
        <f t="shared" si="89"/>
        <v>0</v>
      </c>
      <c r="AB157" s="186">
        <f t="shared" si="89"/>
        <v>0</v>
      </c>
      <c r="AC157" s="186">
        <f t="shared" si="89"/>
        <v>0</v>
      </c>
      <c r="AD157" s="186">
        <f t="shared" si="89"/>
        <v>0</v>
      </c>
      <c r="AE157" s="186">
        <f t="shared" si="89"/>
        <v>0</v>
      </c>
      <c r="AF157" s="186">
        <f t="shared" si="89"/>
        <v>0</v>
      </c>
      <c r="AG157" s="186">
        <f t="shared" si="89"/>
        <v>0</v>
      </c>
      <c r="AH157" s="186">
        <f t="shared" si="89"/>
        <v>0</v>
      </c>
      <c r="AI157" s="186">
        <f t="shared" si="89"/>
        <v>0</v>
      </c>
      <c r="AJ157" s="186">
        <f t="shared" si="89"/>
        <v>0</v>
      </c>
      <c r="AK157" s="186">
        <f t="shared" si="89"/>
        <v>0</v>
      </c>
      <c r="AL157" s="186">
        <f t="shared" si="89"/>
        <v>0</v>
      </c>
      <c r="AM157" s="186">
        <f t="shared" si="89"/>
        <v>0</v>
      </c>
      <c r="AN157" s="186">
        <f t="shared" si="89"/>
        <v>0</v>
      </c>
      <c r="AO157" s="186">
        <f t="shared" si="89"/>
        <v>0</v>
      </c>
      <c r="AP157" s="186">
        <f t="shared" si="89"/>
        <v>0</v>
      </c>
    </row>
    <row r="158" spans="1:42" ht="25.5">
      <c r="A158" s="275" t="s">
        <v>435</v>
      </c>
      <c r="B158" s="187"/>
      <c r="C158" s="187">
        <f t="shared" ref="C158:AP158" si="90">C78+C151-C117</f>
        <v>0</v>
      </c>
      <c r="D158" s="187">
        <f t="shared" si="90"/>
        <v>0</v>
      </c>
      <c r="E158" s="187">
        <f t="shared" si="90"/>
        <v>0</v>
      </c>
      <c r="F158" s="187">
        <f t="shared" si="90"/>
        <v>0</v>
      </c>
      <c r="G158" s="187">
        <f t="shared" si="90"/>
        <v>0</v>
      </c>
      <c r="H158" s="187">
        <f t="shared" si="90"/>
        <v>0</v>
      </c>
      <c r="I158" s="187">
        <f t="shared" si="90"/>
        <v>0</v>
      </c>
      <c r="J158" s="187">
        <f t="shared" si="90"/>
        <v>0</v>
      </c>
      <c r="K158" s="187">
        <f t="shared" si="90"/>
        <v>0</v>
      </c>
      <c r="L158" s="187">
        <f t="shared" si="90"/>
        <v>0</v>
      </c>
      <c r="M158" s="187">
        <f t="shared" si="90"/>
        <v>0</v>
      </c>
      <c r="N158" s="187">
        <f t="shared" si="90"/>
        <v>0</v>
      </c>
      <c r="O158" s="187">
        <f t="shared" si="90"/>
        <v>0</v>
      </c>
      <c r="P158" s="187">
        <f t="shared" si="90"/>
        <v>4509224.5445116824</v>
      </c>
      <c r="Q158" s="187">
        <f t="shared" si="90"/>
        <v>4552074.3488106159</v>
      </c>
      <c r="R158" s="187">
        <f t="shared" si="90"/>
        <v>4401771.4239501152</v>
      </c>
      <c r="S158" s="187">
        <f t="shared" si="90"/>
        <v>4446152.4809861714</v>
      </c>
      <c r="T158" s="187">
        <f t="shared" si="90"/>
        <v>4490470.2569345739</v>
      </c>
      <c r="U158" s="187">
        <f t="shared" si="90"/>
        <v>4530927.6045601293</v>
      </c>
      <c r="V158" s="187">
        <f t="shared" si="90"/>
        <v>4575139.1971803308</v>
      </c>
      <c r="W158" s="187">
        <f t="shared" si="90"/>
        <v>4619276.8284198139</v>
      </c>
      <c r="X158" s="187">
        <f t="shared" si="90"/>
        <v>4646471.9730211925</v>
      </c>
      <c r="Y158" s="187">
        <f t="shared" si="90"/>
        <v>4677584.8577250242</v>
      </c>
      <c r="Z158" s="187">
        <f t="shared" si="90"/>
        <v>4708612.3055079961</v>
      </c>
      <c r="AA158" s="187">
        <f t="shared" si="90"/>
        <v>4944018.0058030002</v>
      </c>
      <c r="AB158" s="187">
        <f t="shared" si="90"/>
        <v>4970274.9867004277</v>
      </c>
      <c r="AC158" s="187">
        <f t="shared" si="90"/>
        <v>4996434.2056023758</v>
      </c>
      <c r="AD158" s="187">
        <f t="shared" si="90"/>
        <v>5018153.7085884698</v>
      </c>
      <c r="AE158" s="187">
        <f t="shared" si="90"/>
        <v>5044139.6965628201</v>
      </c>
      <c r="AF158" s="187">
        <f t="shared" si="90"/>
        <v>9005458.189962903</v>
      </c>
      <c r="AG158" s="187">
        <f t="shared" si="90"/>
        <v>0</v>
      </c>
      <c r="AH158" s="187">
        <f t="shared" si="90"/>
        <v>0</v>
      </c>
      <c r="AI158" s="187">
        <f t="shared" si="90"/>
        <v>0</v>
      </c>
      <c r="AJ158" s="187">
        <f t="shared" si="90"/>
        <v>0</v>
      </c>
      <c r="AK158" s="187">
        <f t="shared" si="90"/>
        <v>0</v>
      </c>
      <c r="AL158" s="187">
        <f t="shared" si="90"/>
        <v>0</v>
      </c>
      <c r="AM158" s="187">
        <f t="shared" si="90"/>
        <v>0</v>
      </c>
      <c r="AN158" s="187">
        <f t="shared" si="90"/>
        <v>0</v>
      </c>
      <c r="AO158" s="187">
        <f t="shared" si="90"/>
        <v>0</v>
      </c>
      <c r="AP158" s="187">
        <f t="shared" si="90"/>
        <v>0</v>
      </c>
    </row>
    <row r="159" spans="1:42">
      <c r="A159" s="180" t="s">
        <v>53</v>
      </c>
      <c r="B159" s="152">
        <f>SUM(B155:B158)</f>
        <v>-10459369</v>
      </c>
      <c r="C159" s="152">
        <f t="shared" ref="C159:AP159" si="91">SUM(C155:C158)</f>
        <v>4512071.7585781459</v>
      </c>
      <c r="D159" s="152">
        <f t="shared" si="91"/>
        <v>4559244.9074986624</v>
      </c>
      <c r="E159" s="152">
        <f t="shared" si="91"/>
        <v>2594866.8339231918</v>
      </c>
      <c r="F159" s="152">
        <f t="shared" si="91"/>
        <v>0</v>
      </c>
      <c r="G159" s="152">
        <f t="shared" si="91"/>
        <v>0</v>
      </c>
      <c r="H159" s="152">
        <f t="shared" si="91"/>
        <v>0</v>
      </c>
      <c r="I159" s="152">
        <f t="shared" si="91"/>
        <v>0</v>
      </c>
      <c r="J159" s="152">
        <f t="shared" si="91"/>
        <v>0</v>
      </c>
      <c r="K159" s="152">
        <f t="shared" si="91"/>
        <v>0</v>
      </c>
      <c r="L159" s="152">
        <f t="shared" si="91"/>
        <v>0</v>
      </c>
      <c r="M159" s="152">
        <f t="shared" si="91"/>
        <v>0</v>
      </c>
      <c r="N159" s="152">
        <f t="shared" si="91"/>
        <v>0</v>
      </c>
      <c r="O159" s="152">
        <f t="shared" si="91"/>
        <v>0</v>
      </c>
      <c r="P159" s="152">
        <f t="shared" si="91"/>
        <v>4509224.5445116824</v>
      </c>
      <c r="Q159" s="152">
        <f t="shared" si="91"/>
        <v>4552074.3488106159</v>
      </c>
      <c r="R159" s="152">
        <f t="shared" si="91"/>
        <v>4401771.4239501152</v>
      </c>
      <c r="S159" s="152">
        <f t="shared" si="91"/>
        <v>4446152.4809861714</v>
      </c>
      <c r="T159" s="152">
        <f t="shared" si="91"/>
        <v>4490470.2569345739</v>
      </c>
      <c r="U159" s="152">
        <f t="shared" si="91"/>
        <v>4530927.6045601293</v>
      </c>
      <c r="V159" s="152">
        <f t="shared" si="91"/>
        <v>4575139.1971803308</v>
      </c>
      <c r="W159" s="152">
        <f t="shared" si="91"/>
        <v>4619276.8284198139</v>
      </c>
      <c r="X159" s="152">
        <f t="shared" si="91"/>
        <v>4646471.9730211925</v>
      </c>
      <c r="Y159" s="152">
        <f t="shared" si="91"/>
        <v>4677584.8577250242</v>
      </c>
      <c r="Z159" s="152">
        <f t="shared" si="91"/>
        <v>4708612.3055079961</v>
      </c>
      <c r="AA159" s="152">
        <f t="shared" si="91"/>
        <v>4944018.0058030002</v>
      </c>
      <c r="AB159" s="152">
        <f t="shared" si="91"/>
        <v>4970274.9867004277</v>
      </c>
      <c r="AC159" s="152">
        <f t="shared" si="91"/>
        <v>4996434.2056023758</v>
      </c>
      <c r="AD159" s="152">
        <f t="shared" si="91"/>
        <v>5018153.7085884698</v>
      </c>
      <c r="AE159" s="152">
        <f t="shared" si="91"/>
        <v>5044139.6965628201</v>
      </c>
      <c r="AF159" s="152">
        <f t="shared" si="91"/>
        <v>9005458.189962903</v>
      </c>
      <c r="AG159" s="152">
        <f t="shared" si="91"/>
        <v>0</v>
      </c>
      <c r="AH159" s="152">
        <f t="shared" si="91"/>
        <v>0</v>
      </c>
      <c r="AI159" s="152">
        <f t="shared" si="91"/>
        <v>0</v>
      </c>
      <c r="AJ159" s="152">
        <f t="shared" si="91"/>
        <v>0</v>
      </c>
      <c r="AK159" s="152">
        <f t="shared" si="91"/>
        <v>0</v>
      </c>
      <c r="AL159" s="152">
        <f t="shared" si="91"/>
        <v>0</v>
      </c>
      <c r="AM159" s="152">
        <f t="shared" si="91"/>
        <v>0</v>
      </c>
      <c r="AN159" s="152">
        <f t="shared" si="91"/>
        <v>0</v>
      </c>
      <c r="AO159" s="152">
        <f t="shared" si="91"/>
        <v>0</v>
      </c>
      <c r="AP159" s="152">
        <f t="shared" si="91"/>
        <v>0</v>
      </c>
    </row>
    <row r="160" spans="1:42">
      <c r="A160" s="180"/>
      <c r="B160" s="152"/>
      <c r="C160" s="152"/>
      <c r="D160" s="152"/>
      <c r="E160" s="152"/>
      <c r="F160" s="152"/>
      <c r="G160" s="186"/>
      <c r="H160" s="186"/>
      <c r="I160" s="186"/>
      <c r="J160" s="186"/>
      <c r="K160" s="186"/>
      <c r="L160" s="186"/>
      <c r="M160" s="186"/>
      <c r="N160" s="186"/>
      <c r="O160" s="186"/>
      <c r="P160" s="186"/>
      <c r="Q160" s="186"/>
      <c r="R160" s="186"/>
      <c r="S160" s="186"/>
      <c r="T160" s="186"/>
      <c r="U160" s="186"/>
      <c r="V160" s="186"/>
      <c r="W160" s="186"/>
      <c r="X160" s="186"/>
      <c r="Y160" s="186"/>
      <c r="Z160" s="186"/>
      <c r="AA160" s="186"/>
      <c r="AB160" s="186"/>
      <c r="AC160" s="186"/>
      <c r="AD160" s="186"/>
      <c r="AE160" s="186"/>
      <c r="AF160" s="186"/>
      <c r="AG160" s="186"/>
      <c r="AH160" s="186"/>
      <c r="AI160" s="186"/>
      <c r="AJ160" s="186"/>
      <c r="AK160" s="186"/>
      <c r="AL160" s="186"/>
      <c r="AM160" s="186"/>
      <c r="AN160" s="186"/>
      <c r="AO160" s="186"/>
      <c r="AP160" s="186"/>
    </row>
    <row r="161" spans="1:42" s="118" customFormat="1">
      <c r="A161" s="180" t="s">
        <v>401</v>
      </c>
      <c r="B161" s="268" t="str">
        <f>IF(ISERROR(IRR($B159:B159)),"N/A",ROUND(IRR($B159:B159),4))</f>
        <v>N/A</v>
      </c>
      <c r="C161" s="268" t="str">
        <f>IF(ISERROR(IRR($B159:C159)),"N/A",ROUND(IRR($B159:C159),4))</f>
        <v>N/A</v>
      </c>
      <c r="D161" s="268">
        <f>IF(ISERROR(IRR($B159:D159)),"N/A",ROUND(IRR($B159:D159),4))</f>
        <v>-8.9700000000000002E-2</v>
      </c>
      <c r="E161" s="268">
        <f>IF(ISERROR(IRR($B159:E159)),"N/A",ROUND(IRR($B159:E159),4))</f>
        <v>6.1899999999999997E-2</v>
      </c>
      <c r="F161" s="268">
        <f>IF(ISERROR(IRR($B159:F159)),"N/A",ROUND(IRR($B159:F159),4))</f>
        <v>6.1899999999999997E-2</v>
      </c>
      <c r="G161" s="268">
        <f>IF(ISERROR(IRR($B159:G159)),"N/A",ROUND(IRR($B159:G159),4))</f>
        <v>6.1899999999999997E-2</v>
      </c>
      <c r="H161" s="268">
        <f>IF(ISERROR(IRR($B159:H159)),"N/A",ROUND(IRR($B159:H159),4))</f>
        <v>6.1899999999999997E-2</v>
      </c>
      <c r="I161" s="268">
        <f>IF(ISERROR(IRR($B159:I159)),"N/A",ROUND(IRR($B159:I159),4))</f>
        <v>6.1899999999999997E-2</v>
      </c>
      <c r="J161" s="268">
        <f>IF(ISERROR(IRR($B159:J159)),"N/A",ROUND(IRR($B159:J159),4))</f>
        <v>6.1899999999999997E-2</v>
      </c>
      <c r="K161" s="268">
        <f>IF(ISERROR(IRR($B159:K159)),"N/A",ROUND(IRR($B159:K159),4))</f>
        <v>6.1899999999999997E-2</v>
      </c>
      <c r="L161" s="268">
        <f>IF(ISERROR(IRR($B159:L159)),"N/A",ROUND(IRR($B159:L159),4))</f>
        <v>6.1899999999999997E-2</v>
      </c>
      <c r="M161" s="268">
        <f>IF(ISERROR(IRR($B159:M159)),"N/A",ROUND(IRR($B159:M159),4))</f>
        <v>6.1899999999999997E-2</v>
      </c>
      <c r="N161" s="268">
        <f>IF(ISERROR(IRR($B159:N159)),"N/A",ROUND(IRR($B159:N159),4))</f>
        <v>6.1899999999999997E-2</v>
      </c>
      <c r="O161" s="268">
        <f>IF(ISERROR(IRR($B159:O159)),"N/A",ROUND(IRR($B159:O159),4))</f>
        <v>6.1899999999999997E-2</v>
      </c>
      <c r="P161" s="268">
        <f>IF(ISERROR(IRR($B159:P159)),"N/A",ROUND(IRR($B159:P159),4))</f>
        <v>0.11899999999999999</v>
      </c>
      <c r="Q161" s="268">
        <f>IF(ISERROR(IRR($B159:Q159)),"N/A",ROUND(IRR($B159:Q159),4))</f>
        <v>0.14380000000000001</v>
      </c>
      <c r="R161" s="268">
        <f>IF(ISERROR(IRR($B159:R159)),"N/A",ROUND(IRR($B159:R159),4))</f>
        <v>0.15840000000000001</v>
      </c>
      <c r="S161" s="268">
        <f>IF(ISERROR(IRR($B159:S159)),"N/A",ROUND(IRR($B159:S159),4))</f>
        <v>0.16839999999999999</v>
      </c>
      <c r="T161" s="268">
        <f>IF(ISERROR(IRR($B159:T159)),"N/A",ROUND(IRR($B159:T159),4))</f>
        <v>0.1757</v>
      </c>
      <c r="U161" s="268">
        <f>IF(ISERROR(IRR($B159:U159)),"N/A",ROUND(IRR($B159:U159),4))</f>
        <v>0.1812</v>
      </c>
      <c r="V161" s="268">
        <f>IF(ISERROR(IRR($B159:V159)),"N/A",ROUND(IRR($B159:V159),4))</f>
        <v>0.18540000000000001</v>
      </c>
      <c r="W161" s="268">
        <f>IF(ISERROR(IRR($B159:W159)),"N/A",ROUND(IRR($B159:W159),4))</f>
        <v>0.18870000000000001</v>
      </c>
      <c r="X161" s="268">
        <f>IF(ISERROR(IRR($B159:X159)),"N/A",ROUND(IRR($B159:X159),4))</f>
        <v>0.19120000000000001</v>
      </c>
      <c r="Y161" s="268">
        <f>IF(ISERROR(IRR($B159:Y159)),"N/A",ROUND(IRR($B159:Y159),4))</f>
        <v>0.1933</v>
      </c>
      <c r="Z161" s="268">
        <f>IF(ISERROR(IRR($B159:Z159)),"N/A",ROUND(IRR($B159:Z159),4))</f>
        <v>0.19489999999999999</v>
      </c>
      <c r="AA161" s="268">
        <f>IF(ISERROR(IRR($B159:AA159)),"N/A",ROUND(IRR($B159:AA159),4))</f>
        <v>0.1963</v>
      </c>
      <c r="AB161" s="268">
        <f>IF(ISERROR(IRR($B159:AB159)),"N/A",ROUND(IRR($B159:AB159),4))</f>
        <v>0.19739999999999999</v>
      </c>
      <c r="AC161" s="268">
        <f>IF(ISERROR(IRR($B159:AC159)),"N/A",ROUND(IRR($B159:AC159),4))</f>
        <v>0.1983</v>
      </c>
      <c r="AD161" s="268">
        <f>IF(ISERROR(IRR($B159:AD159)),"N/A",ROUND(IRR($B159:AD159),4))</f>
        <v>0.1991</v>
      </c>
      <c r="AE161" s="268">
        <f>IF(ISERROR(IRR($B159:AE159)),"N/A",ROUND(IRR($B159:AE159),4))</f>
        <v>0.19969999999999999</v>
      </c>
      <c r="AF161" s="268">
        <f>IF(ISERROR(IRR($B159:AF159)),"N/A",ROUND(IRR($B159:AF159),4))</f>
        <v>0.20050000000000001</v>
      </c>
      <c r="AG161" s="268">
        <f>IF(ISERROR(IRR($B159:AG159)),"N/A",ROUND(IRR($B159:AG159),4))</f>
        <v>0.20050000000000001</v>
      </c>
      <c r="AH161" s="268">
        <f>IF(ISERROR(IRR($B159:AH159)),"N/A",ROUND(IRR($B159:AH159),4))</f>
        <v>0.20050000000000001</v>
      </c>
      <c r="AI161" s="268">
        <f>IF(ISERROR(IRR($B159:AI159)),"N/A",ROUND(IRR($B159:AI159),4))</f>
        <v>0.20050000000000001</v>
      </c>
      <c r="AJ161" s="268">
        <f>IF(ISERROR(IRR($B159:AJ159)),"N/A",ROUND(IRR($B159:AJ159),4))</f>
        <v>0.20050000000000001</v>
      </c>
      <c r="AK161" s="268">
        <f>IF(ISERROR(IRR($B159:AK159)),"N/A",ROUND(IRR($B159:AK159),4))</f>
        <v>0.20050000000000001</v>
      </c>
      <c r="AL161" s="268">
        <f>IF(ISERROR(IRR($B159:AL159)),"N/A",ROUND(IRR($B159:AL159),4))</f>
        <v>0.20050000000000001</v>
      </c>
      <c r="AM161" s="268">
        <f>IF(ISERROR(IRR($B159:AM159)),"N/A",ROUND(IRR($B159:AM159),4))</f>
        <v>0.20050000000000001</v>
      </c>
      <c r="AN161" s="268">
        <f>IF(ISERROR(IRR($B159:AN159)),"N/A",ROUND(IRR($B159:AN159),4))</f>
        <v>0.20050000000000001</v>
      </c>
      <c r="AO161" s="268">
        <f>IF(ISERROR(IRR($B159:AO159)),"N/A",ROUND(IRR($B159:AO159),4))</f>
        <v>0.20050000000000001</v>
      </c>
      <c r="AP161" s="268">
        <f>IF(ISERROR(IRR($B159:AP159)),"N/A",ROUND(IRR($B159:AP159),4))</f>
        <v>0.20050000000000001</v>
      </c>
    </row>
    <row r="162" spans="1:42" s="118" customFormat="1">
      <c r="A162" s="180" t="s">
        <v>402</v>
      </c>
      <c r="B162" s="269">
        <f>B159</f>
        <v>-10459369</v>
      </c>
      <c r="C162" s="269">
        <f>NPV(DiscountRate,$C159:C159)+$B159</f>
        <v>-6281524.7790943095</v>
      </c>
      <c r="D162" s="269">
        <f>NPV(DiscountRate,$C159:D159)+$B159</f>
        <v>-2372707.1286324942</v>
      </c>
      <c r="E162" s="269">
        <f>NPV(DiscountRate,$C159:E159)+$B159</f>
        <v>-312818.17471033521</v>
      </c>
      <c r="F162" s="269">
        <f>NPV(DiscountRate,$C159:F159)+$B159</f>
        <v>-312818.17471033521</v>
      </c>
      <c r="G162" s="269">
        <f>NPV(DiscountRate,$C159:G159)+$B159</f>
        <v>-312818.17471033521</v>
      </c>
      <c r="H162" s="269">
        <f>NPV(DiscountRate,$C159:H159)+$B159</f>
        <v>-312818.17471033521</v>
      </c>
      <c r="I162" s="269">
        <f>NPV(DiscountRate,$C159:I159)+$B159</f>
        <v>-312818.17471033521</v>
      </c>
      <c r="J162" s="269">
        <f>NPV(DiscountRate,$C159:J159)+$B159</f>
        <v>-312818.17471033521</v>
      </c>
      <c r="K162" s="269">
        <f>NPV(DiscountRate,$C159:K159)+$B159</f>
        <v>-312818.17471033521</v>
      </c>
      <c r="L162" s="269">
        <f>NPV(DiscountRate,$C159:L159)+$B159</f>
        <v>-312818.17471033521</v>
      </c>
      <c r="M162" s="269">
        <f>NPV(DiscountRate,$C159:M159)+$B159</f>
        <v>-312818.17471033521</v>
      </c>
      <c r="N162" s="269">
        <f>NPV(DiscountRate,$C159:N159)+$B159</f>
        <v>-312818.17471033521</v>
      </c>
      <c r="O162" s="269">
        <f>NPV(DiscountRate,$C159:O159)+$B159</f>
        <v>-312818.17471033521</v>
      </c>
      <c r="P162" s="269">
        <f>NPV(DiscountRate,$C159:P159)+$B159</f>
        <v>1222397.1094544381</v>
      </c>
      <c r="Q162" s="269">
        <f>NPV(DiscountRate,$C159:Q159)+$B159</f>
        <v>2657400.7883049902</v>
      </c>
      <c r="R162" s="269">
        <f>NPV(DiscountRate,$C159:R159)+$B159</f>
        <v>3942235.9073384777</v>
      </c>
      <c r="S162" s="269">
        <f>NPV(DiscountRate,$C159:S159)+$B159</f>
        <v>5143892.8763408791</v>
      </c>
      <c r="T162" s="269">
        <f>NPV(DiscountRate,$C159:T159)+$B159</f>
        <v>6267628.698413441</v>
      </c>
      <c r="U162" s="269">
        <f>NPV(DiscountRate,$C159:U159)+$B159</f>
        <v>7317499.2854842469</v>
      </c>
      <c r="V162" s="269">
        <f>NPV(DiscountRate,$C159:V159)+$B159</f>
        <v>8299087.1988633201</v>
      </c>
      <c r="W162" s="269">
        <f>NPV(DiscountRate,$C159:W159)+$B159</f>
        <v>9216733.0905675478</v>
      </c>
      <c r="X162" s="269">
        <f>NPV(DiscountRate,$C159:X159)+$B159</f>
        <v>10071407.50120274</v>
      </c>
      <c r="Y162" s="269">
        <f>NPV(DiscountRate,$C159:Y159)+$B159</f>
        <v>10868071.696038753</v>
      </c>
      <c r="Z162" s="269">
        <f>NPV(DiscountRate,$C159:Z159)+$B159</f>
        <v>11610616.73624799</v>
      </c>
      <c r="AA162" s="269">
        <f>NPV(DiscountRate,$C159:AA159)+$B159</f>
        <v>12332531.887307063</v>
      </c>
      <c r="AB162" s="269">
        <f>NPV(DiscountRate,$C159:AB159)+$B159</f>
        <v>13004521.832121003</v>
      </c>
      <c r="AC162" s="269">
        <f>NPV(DiscountRate,$C159:AC159)+$B159</f>
        <v>13630009.533370379</v>
      </c>
      <c r="AD162" s="269">
        <f>NPV(DiscountRate,$C159:AD159)+$B159</f>
        <v>14211682.400707562</v>
      </c>
      <c r="AE162" s="269">
        <f>NPV(DiscountRate,$C159:AE159)+$B159</f>
        <v>14753057.400604773</v>
      </c>
      <c r="AF162" s="269">
        <f>NPV(DiscountRate,$C159:AF159)+$B159</f>
        <v>15647995.813912049</v>
      </c>
      <c r="AG162" s="269">
        <f>NPV(DiscountRate,$C159:AG159)+$B159</f>
        <v>15647995.813912049</v>
      </c>
      <c r="AH162" s="269">
        <f>NPV(DiscountRate,$C159:AH159)+$B159</f>
        <v>15647995.813912049</v>
      </c>
      <c r="AI162" s="269">
        <f>NPV(DiscountRate,$C159:AI159)+$B159</f>
        <v>15647995.813912049</v>
      </c>
      <c r="AJ162" s="269">
        <f>NPV(DiscountRate,$C159:AJ159)+$B159</f>
        <v>15647995.813912049</v>
      </c>
      <c r="AK162" s="269">
        <f>NPV(DiscountRate,$C159:AK159)+$B159</f>
        <v>15647995.813912049</v>
      </c>
      <c r="AL162" s="269">
        <f>NPV(DiscountRate,$C159:AL159)+$B159</f>
        <v>15647995.813912049</v>
      </c>
      <c r="AM162" s="269">
        <f>NPV(DiscountRate,$C159:AM159)+$B159</f>
        <v>15647995.813912049</v>
      </c>
      <c r="AN162" s="269">
        <f>NPV(DiscountRate,$C159:AN159)+$B159</f>
        <v>15647995.813912049</v>
      </c>
      <c r="AO162" s="269">
        <f>NPV(DiscountRate,$C159:AO159)+$B159</f>
        <v>15647995.813912049</v>
      </c>
      <c r="AP162" s="269">
        <f>NPV(DiscountRate,$C159:AP159)+$B159</f>
        <v>15647995.813912049</v>
      </c>
    </row>
    <row r="163" spans="1:42">
      <c r="A163" s="180"/>
      <c r="B163" s="152"/>
      <c r="C163" s="152"/>
      <c r="D163" s="152"/>
      <c r="E163" s="152"/>
      <c r="F163" s="152"/>
      <c r="G163" s="186"/>
      <c r="H163" s="186"/>
      <c r="I163" s="186"/>
      <c r="J163" s="186"/>
      <c r="K163" s="186"/>
      <c r="L163" s="186"/>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c r="AM163" s="186"/>
      <c r="AN163" s="186"/>
      <c r="AO163" s="186"/>
      <c r="AP163" s="186"/>
    </row>
    <row r="164" spans="1:42">
      <c r="A164" s="180"/>
      <c r="B164" s="152"/>
      <c r="C164" s="152"/>
      <c r="D164" s="152"/>
      <c r="E164" s="152"/>
      <c r="F164" s="152"/>
      <c r="G164" s="186"/>
      <c r="H164" s="186"/>
      <c r="I164" s="186"/>
      <c r="J164" s="186"/>
      <c r="K164" s="186"/>
      <c r="L164" s="186"/>
      <c r="M164" s="186"/>
      <c r="N164" s="186"/>
      <c r="O164" s="186"/>
      <c r="P164" s="186"/>
      <c r="Q164" s="186"/>
      <c r="R164" s="186"/>
      <c r="S164" s="186"/>
      <c r="T164" s="186"/>
      <c r="U164" s="186"/>
      <c r="V164" s="186"/>
      <c r="W164" s="186"/>
      <c r="X164" s="186"/>
      <c r="Y164" s="186"/>
      <c r="Z164" s="186"/>
      <c r="AA164" s="186"/>
      <c r="AB164" s="186"/>
      <c r="AC164" s="186"/>
      <c r="AD164" s="186"/>
      <c r="AE164" s="186"/>
      <c r="AF164" s="186"/>
      <c r="AG164" s="186"/>
      <c r="AH164" s="186"/>
      <c r="AI164" s="186"/>
      <c r="AJ164" s="186"/>
      <c r="AK164" s="186"/>
      <c r="AL164" s="186"/>
      <c r="AM164" s="186"/>
      <c r="AN164" s="186"/>
      <c r="AO164" s="186"/>
      <c r="AP164" s="186"/>
    </row>
    <row r="165" spans="1:42">
      <c r="A165" s="180" t="s">
        <v>216</v>
      </c>
      <c r="B165" s="265">
        <f>IF(ISERROR(IRR(B159:AP159)),"N/A",IRR(B159:AP159))</f>
        <v>0.20053689418703843</v>
      </c>
      <c r="C165" s="152"/>
      <c r="D165" s="152"/>
      <c r="E165" s="152"/>
      <c r="F165" s="152"/>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c r="AM165" s="186"/>
      <c r="AN165" s="186"/>
      <c r="AO165" s="186"/>
      <c r="AP165" s="186"/>
    </row>
    <row r="166" spans="1:42">
      <c r="A166" s="180" t="s">
        <v>217</v>
      </c>
      <c r="B166" s="196">
        <f>NPV(DiscountRate,$C159:$AP159)+B159</f>
        <v>15647995.813912049</v>
      </c>
      <c r="C166" s="152"/>
      <c r="D166" s="152"/>
      <c r="E166" s="152"/>
      <c r="F166" s="152"/>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row>
    <row r="167" spans="1:42" s="118" customFormat="1">
      <c r="A167" s="42"/>
      <c r="B167" s="198"/>
      <c r="C167" s="198"/>
      <c r="D167" s="198"/>
      <c r="E167" s="198"/>
      <c r="F167" s="198"/>
      <c r="G167" s="141"/>
      <c r="H167" s="141"/>
      <c r="I167" s="141"/>
      <c r="J167" s="141"/>
      <c r="K167" s="141"/>
      <c r="L167" s="141"/>
      <c r="M167" s="141"/>
      <c r="N167" s="141"/>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141"/>
      <c r="AK167" s="141"/>
      <c r="AL167" s="141"/>
      <c r="AM167" s="141"/>
      <c r="AN167" s="141"/>
      <c r="AO167" s="141"/>
      <c r="AP167" s="141"/>
    </row>
    <row r="168" spans="1:42">
      <c r="A168" s="182" t="s">
        <v>245</v>
      </c>
      <c r="B168" s="152"/>
      <c r="C168" s="152"/>
      <c r="D168" s="152"/>
      <c r="E168" s="152"/>
      <c r="F168" s="152"/>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row>
    <row r="169" spans="1:42" s="118" customFormat="1">
      <c r="A169" s="197" t="s">
        <v>219</v>
      </c>
      <c r="B169" s="198"/>
      <c r="C169" s="198"/>
      <c r="D169" s="198"/>
      <c r="E169" s="198"/>
      <c r="F169" s="198"/>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row>
    <row r="170" spans="1:42">
      <c r="A170" s="184" t="s">
        <v>214</v>
      </c>
      <c r="B170" s="186">
        <f t="shared" ref="B170:AP170" si="92">B86-B125</f>
        <v>-11666183.5</v>
      </c>
      <c r="C170" s="186">
        <f t="shared" si="92"/>
        <v>0</v>
      </c>
      <c r="D170" s="186">
        <f t="shared" si="92"/>
        <v>0</v>
      </c>
      <c r="E170" s="186">
        <f t="shared" si="92"/>
        <v>0</v>
      </c>
      <c r="F170" s="186">
        <f t="shared" si="92"/>
        <v>0</v>
      </c>
      <c r="G170" s="186">
        <f t="shared" si="92"/>
        <v>0</v>
      </c>
      <c r="H170" s="186">
        <f t="shared" si="92"/>
        <v>0</v>
      </c>
      <c r="I170" s="186">
        <f t="shared" si="92"/>
        <v>0</v>
      </c>
      <c r="J170" s="186">
        <f t="shared" si="92"/>
        <v>0</v>
      </c>
      <c r="K170" s="186">
        <f t="shared" si="92"/>
        <v>0</v>
      </c>
      <c r="L170" s="186">
        <f t="shared" si="92"/>
        <v>0</v>
      </c>
      <c r="M170" s="186">
        <f t="shared" si="92"/>
        <v>0</v>
      </c>
      <c r="N170" s="186">
        <f t="shared" si="92"/>
        <v>0</v>
      </c>
      <c r="O170" s="186">
        <f t="shared" si="92"/>
        <v>0</v>
      </c>
      <c r="P170" s="186">
        <f t="shared" si="92"/>
        <v>0</v>
      </c>
      <c r="Q170" s="186">
        <f t="shared" si="92"/>
        <v>0</v>
      </c>
      <c r="R170" s="186">
        <f t="shared" si="92"/>
        <v>0</v>
      </c>
      <c r="S170" s="186">
        <f t="shared" si="92"/>
        <v>0</v>
      </c>
      <c r="T170" s="186">
        <f t="shared" si="92"/>
        <v>0</v>
      </c>
      <c r="U170" s="186">
        <f t="shared" si="92"/>
        <v>0</v>
      </c>
      <c r="V170" s="186">
        <f t="shared" si="92"/>
        <v>0</v>
      </c>
      <c r="W170" s="186">
        <f t="shared" si="92"/>
        <v>0</v>
      </c>
      <c r="X170" s="186">
        <f t="shared" si="92"/>
        <v>0</v>
      </c>
      <c r="Y170" s="186">
        <f t="shared" si="92"/>
        <v>0</v>
      </c>
      <c r="Z170" s="186">
        <f t="shared" si="92"/>
        <v>0</v>
      </c>
      <c r="AA170" s="186">
        <f t="shared" si="92"/>
        <v>0</v>
      </c>
      <c r="AB170" s="186">
        <f t="shared" si="92"/>
        <v>0</v>
      </c>
      <c r="AC170" s="186">
        <f t="shared" si="92"/>
        <v>0</v>
      </c>
      <c r="AD170" s="186">
        <f t="shared" si="92"/>
        <v>0</v>
      </c>
      <c r="AE170" s="186">
        <f t="shared" si="92"/>
        <v>0</v>
      </c>
      <c r="AF170" s="186">
        <f t="shared" si="92"/>
        <v>0</v>
      </c>
      <c r="AG170" s="186">
        <f t="shared" si="92"/>
        <v>0</v>
      </c>
      <c r="AH170" s="186">
        <f t="shared" si="92"/>
        <v>0</v>
      </c>
      <c r="AI170" s="186">
        <f t="shared" si="92"/>
        <v>0</v>
      </c>
      <c r="AJ170" s="186">
        <f t="shared" si="92"/>
        <v>0</v>
      </c>
      <c r="AK170" s="186">
        <f t="shared" si="92"/>
        <v>0</v>
      </c>
      <c r="AL170" s="186">
        <f t="shared" si="92"/>
        <v>0</v>
      </c>
      <c r="AM170" s="186">
        <f t="shared" si="92"/>
        <v>0</v>
      </c>
      <c r="AN170" s="186">
        <f t="shared" si="92"/>
        <v>0</v>
      </c>
      <c r="AO170" s="186">
        <f t="shared" si="92"/>
        <v>0</v>
      </c>
      <c r="AP170" s="186">
        <f t="shared" si="92"/>
        <v>0</v>
      </c>
    </row>
    <row r="171" spans="1:42">
      <c r="A171" s="184" t="s">
        <v>387</v>
      </c>
      <c r="B171" s="186">
        <f>'Inputs &amp; Results'!B146</f>
        <v>1206814.5</v>
      </c>
      <c r="C171" s="186"/>
      <c r="D171" s="186"/>
      <c r="E171" s="186"/>
      <c r="F171" s="186"/>
      <c r="G171" s="186"/>
      <c r="H171" s="186"/>
      <c r="I171" s="186"/>
      <c r="J171" s="186"/>
      <c r="K171" s="186"/>
      <c r="L171" s="186"/>
      <c r="M171" s="186"/>
      <c r="N171" s="186"/>
      <c r="O171" s="186"/>
      <c r="P171" s="186"/>
      <c r="Q171" s="186"/>
      <c r="R171" s="186"/>
      <c r="S171" s="186"/>
      <c r="T171" s="186"/>
      <c r="U171" s="186"/>
      <c r="V171" s="186"/>
      <c r="W171" s="186"/>
      <c r="X171" s="186"/>
      <c r="Y171" s="186"/>
      <c r="Z171" s="186"/>
      <c r="AA171" s="186"/>
      <c r="AB171" s="186"/>
      <c r="AC171" s="186"/>
      <c r="AD171" s="186"/>
      <c r="AE171" s="186"/>
      <c r="AF171" s="186"/>
      <c r="AG171" s="186"/>
      <c r="AH171" s="186"/>
      <c r="AI171" s="186"/>
      <c r="AJ171" s="186"/>
      <c r="AK171" s="186"/>
      <c r="AL171" s="186"/>
      <c r="AM171" s="186"/>
      <c r="AN171" s="186"/>
      <c r="AO171" s="186"/>
      <c r="AP171" s="186"/>
    </row>
    <row r="172" spans="1:42">
      <c r="A172" s="184" t="s">
        <v>434</v>
      </c>
      <c r="B172" s="186">
        <f>B157</f>
        <v>0</v>
      </c>
      <c r="C172" s="186">
        <f t="shared" ref="C172:L172" si="93">C157</f>
        <v>4512071.7585781459</v>
      </c>
      <c r="D172" s="186">
        <f t="shared" si="93"/>
        <v>4559244.9074986624</v>
      </c>
      <c r="E172" s="186">
        <f t="shared" si="93"/>
        <v>2594866.8339231918</v>
      </c>
      <c r="F172" s="186">
        <f t="shared" si="93"/>
        <v>0</v>
      </c>
      <c r="G172" s="186">
        <f t="shared" si="93"/>
        <v>0</v>
      </c>
      <c r="H172" s="186">
        <f t="shared" si="93"/>
        <v>0</v>
      </c>
      <c r="I172" s="186">
        <f t="shared" si="93"/>
        <v>0</v>
      </c>
      <c r="J172" s="186">
        <f t="shared" si="93"/>
        <v>0</v>
      </c>
      <c r="K172" s="186">
        <f t="shared" si="93"/>
        <v>0</v>
      </c>
      <c r="L172" s="186">
        <f t="shared" si="93"/>
        <v>0</v>
      </c>
      <c r="M172" s="186">
        <f t="shared" ref="M172:AP172" si="94">M157</f>
        <v>0</v>
      </c>
      <c r="N172" s="186">
        <f t="shared" si="94"/>
        <v>0</v>
      </c>
      <c r="O172" s="186">
        <f t="shared" si="94"/>
        <v>0</v>
      </c>
      <c r="P172" s="186">
        <f t="shared" si="94"/>
        <v>0</v>
      </c>
      <c r="Q172" s="186">
        <f t="shared" si="94"/>
        <v>0</v>
      </c>
      <c r="R172" s="186">
        <f t="shared" si="94"/>
        <v>0</v>
      </c>
      <c r="S172" s="186">
        <f t="shared" si="94"/>
        <v>0</v>
      </c>
      <c r="T172" s="186">
        <f t="shared" si="94"/>
        <v>0</v>
      </c>
      <c r="U172" s="186">
        <f t="shared" si="94"/>
        <v>0</v>
      </c>
      <c r="V172" s="186">
        <f t="shared" si="94"/>
        <v>0</v>
      </c>
      <c r="W172" s="186">
        <f t="shared" si="94"/>
        <v>0</v>
      </c>
      <c r="X172" s="186">
        <f t="shared" si="94"/>
        <v>0</v>
      </c>
      <c r="Y172" s="186">
        <f t="shared" si="94"/>
        <v>0</v>
      </c>
      <c r="Z172" s="186">
        <f t="shared" si="94"/>
        <v>0</v>
      </c>
      <c r="AA172" s="186">
        <f t="shared" si="94"/>
        <v>0</v>
      </c>
      <c r="AB172" s="186">
        <f t="shared" si="94"/>
        <v>0</v>
      </c>
      <c r="AC172" s="186">
        <f t="shared" si="94"/>
        <v>0</v>
      </c>
      <c r="AD172" s="186">
        <f t="shared" si="94"/>
        <v>0</v>
      </c>
      <c r="AE172" s="186">
        <f t="shared" si="94"/>
        <v>0</v>
      </c>
      <c r="AF172" s="186">
        <f t="shared" si="94"/>
        <v>0</v>
      </c>
      <c r="AG172" s="186">
        <f t="shared" si="94"/>
        <v>0</v>
      </c>
      <c r="AH172" s="186">
        <f t="shared" si="94"/>
        <v>0</v>
      </c>
      <c r="AI172" s="186">
        <f t="shared" si="94"/>
        <v>0</v>
      </c>
      <c r="AJ172" s="186">
        <f t="shared" si="94"/>
        <v>0</v>
      </c>
      <c r="AK172" s="186">
        <f t="shared" si="94"/>
        <v>0</v>
      </c>
      <c r="AL172" s="186">
        <f t="shared" si="94"/>
        <v>0</v>
      </c>
      <c r="AM172" s="186">
        <f t="shared" si="94"/>
        <v>0</v>
      </c>
      <c r="AN172" s="186">
        <f t="shared" si="94"/>
        <v>0</v>
      </c>
      <c r="AO172" s="186">
        <f t="shared" si="94"/>
        <v>0</v>
      </c>
      <c r="AP172" s="186">
        <f t="shared" si="94"/>
        <v>0</v>
      </c>
    </row>
    <row r="173" spans="1:42" ht="38.25">
      <c r="A173" s="276" t="s">
        <v>435</v>
      </c>
      <c r="B173" s="187">
        <f>B158</f>
        <v>0</v>
      </c>
      <c r="C173" s="187">
        <f t="shared" ref="C173:L173" si="95">C158</f>
        <v>0</v>
      </c>
      <c r="D173" s="187">
        <f t="shared" si="95"/>
        <v>0</v>
      </c>
      <c r="E173" s="187">
        <f t="shared" si="95"/>
        <v>0</v>
      </c>
      <c r="F173" s="187">
        <f t="shared" si="95"/>
        <v>0</v>
      </c>
      <c r="G173" s="187">
        <f t="shared" si="95"/>
        <v>0</v>
      </c>
      <c r="H173" s="187">
        <f t="shared" si="95"/>
        <v>0</v>
      </c>
      <c r="I173" s="187">
        <f t="shared" si="95"/>
        <v>0</v>
      </c>
      <c r="J173" s="187">
        <f t="shared" si="95"/>
        <v>0</v>
      </c>
      <c r="K173" s="187">
        <f t="shared" si="95"/>
        <v>0</v>
      </c>
      <c r="L173" s="187">
        <f t="shared" si="95"/>
        <v>0</v>
      </c>
      <c r="M173" s="187">
        <f t="shared" ref="M173:AP173" si="96">M158</f>
        <v>0</v>
      </c>
      <c r="N173" s="187">
        <f t="shared" si="96"/>
        <v>0</v>
      </c>
      <c r="O173" s="187">
        <f t="shared" si="96"/>
        <v>0</v>
      </c>
      <c r="P173" s="187">
        <f t="shared" si="96"/>
        <v>4509224.5445116824</v>
      </c>
      <c r="Q173" s="187">
        <f t="shared" si="96"/>
        <v>4552074.3488106159</v>
      </c>
      <c r="R173" s="187">
        <f t="shared" si="96"/>
        <v>4401771.4239501152</v>
      </c>
      <c r="S173" s="187">
        <f t="shared" si="96"/>
        <v>4446152.4809861714</v>
      </c>
      <c r="T173" s="187">
        <f t="shared" si="96"/>
        <v>4490470.2569345739</v>
      </c>
      <c r="U173" s="187">
        <f t="shared" si="96"/>
        <v>4530927.6045601293</v>
      </c>
      <c r="V173" s="187">
        <f t="shared" si="96"/>
        <v>4575139.1971803308</v>
      </c>
      <c r="W173" s="187">
        <f t="shared" si="96"/>
        <v>4619276.8284198139</v>
      </c>
      <c r="X173" s="187">
        <f t="shared" si="96"/>
        <v>4646471.9730211925</v>
      </c>
      <c r="Y173" s="187">
        <f t="shared" si="96"/>
        <v>4677584.8577250242</v>
      </c>
      <c r="Z173" s="187">
        <f t="shared" si="96"/>
        <v>4708612.3055079961</v>
      </c>
      <c r="AA173" s="187">
        <f t="shared" si="96"/>
        <v>4944018.0058030002</v>
      </c>
      <c r="AB173" s="187">
        <f t="shared" si="96"/>
        <v>4970274.9867004277</v>
      </c>
      <c r="AC173" s="187">
        <f t="shared" si="96"/>
        <v>4996434.2056023758</v>
      </c>
      <c r="AD173" s="187">
        <f t="shared" si="96"/>
        <v>5018153.7085884698</v>
      </c>
      <c r="AE173" s="187">
        <f t="shared" si="96"/>
        <v>5044139.6965628201</v>
      </c>
      <c r="AF173" s="187">
        <f t="shared" si="96"/>
        <v>9005458.189962903</v>
      </c>
      <c r="AG173" s="187">
        <f t="shared" si="96"/>
        <v>0</v>
      </c>
      <c r="AH173" s="187">
        <f t="shared" si="96"/>
        <v>0</v>
      </c>
      <c r="AI173" s="187">
        <f t="shared" si="96"/>
        <v>0</v>
      </c>
      <c r="AJ173" s="187">
        <f t="shared" si="96"/>
        <v>0</v>
      </c>
      <c r="AK173" s="187">
        <f t="shared" si="96"/>
        <v>0</v>
      </c>
      <c r="AL173" s="187">
        <f t="shared" si="96"/>
        <v>0</v>
      </c>
      <c r="AM173" s="187">
        <f t="shared" si="96"/>
        <v>0</v>
      </c>
      <c r="AN173" s="187">
        <f t="shared" si="96"/>
        <v>0</v>
      </c>
      <c r="AO173" s="187">
        <f t="shared" si="96"/>
        <v>0</v>
      </c>
      <c r="AP173" s="187">
        <f t="shared" si="96"/>
        <v>0</v>
      </c>
    </row>
    <row r="174" spans="1:42">
      <c r="A174" s="184" t="s">
        <v>220</v>
      </c>
      <c r="B174" s="152">
        <f>SUM(B170:B173)</f>
        <v>-10459369</v>
      </c>
      <c r="C174" s="152">
        <f t="shared" ref="C174:AP174" si="97">SUM(C170:C173)</f>
        <v>4512071.7585781459</v>
      </c>
      <c r="D174" s="152">
        <f t="shared" si="97"/>
        <v>4559244.9074986624</v>
      </c>
      <c r="E174" s="152">
        <f t="shared" si="97"/>
        <v>2594866.8339231918</v>
      </c>
      <c r="F174" s="152">
        <f t="shared" si="97"/>
        <v>0</v>
      </c>
      <c r="G174" s="152">
        <f t="shared" si="97"/>
        <v>0</v>
      </c>
      <c r="H174" s="152">
        <f t="shared" si="97"/>
        <v>0</v>
      </c>
      <c r="I174" s="152">
        <f t="shared" si="97"/>
        <v>0</v>
      </c>
      <c r="J174" s="152">
        <f t="shared" si="97"/>
        <v>0</v>
      </c>
      <c r="K174" s="152">
        <f t="shared" si="97"/>
        <v>0</v>
      </c>
      <c r="L174" s="152">
        <f t="shared" si="97"/>
        <v>0</v>
      </c>
      <c r="M174" s="152">
        <f t="shared" si="97"/>
        <v>0</v>
      </c>
      <c r="N174" s="152">
        <f t="shared" si="97"/>
        <v>0</v>
      </c>
      <c r="O174" s="152">
        <f t="shared" si="97"/>
        <v>0</v>
      </c>
      <c r="P174" s="152">
        <f t="shared" si="97"/>
        <v>4509224.5445116824</v>
      </c>
      <c r="Q174" s="152">
        <f t="shared" si="97"/>
        <v>4552074.3488106159</v>
      </c>
      <c r="R174" s="152">
        <f t="shared" si="97"/>
        <v>4401771.4239501152</v>
      </c>
      <c r="S174" s="152">
        <f t="shared" si="97"/>
        <v>4446152.4809861714</v>
      </c>
      <c r="T174" s="152">
        <f t="shared" si="97"/>
        <v>4490470.2569345739</v>
      </c>
      <c r="U174" s="152">
        <f t="shared" si="97"/>
        <v>4530927.6045601293</v>
      </c>
      <c r="V174" s="152">
        <f t="shared" si="97"/>
        <v>4575139.1971803308</v>
      </c>
      <c r="W174" s="152">
        <f t="shared" si="97"/>
        <v>4619276.8284198139</v>
      </c>
      <c r="X174" s="152">
        <f t="shared" si="97"/>
        <v>4646471.9730211925</v>
      </c>
      <c r="Y174" s="152">
        <f t="shared" si="97"/>
        <v>4677584.8577250242</v>
      </c>
      <c r="Z174" s="152">
        <f t="shared" si="97"/>
        <v>4708612.3055079961</v>
      </c>
      <c r="AA174" s="152">
        <f t="shared" si="97"/>
        <v>4944018.0058030002</v>
      </c>
      <c r="AB174" s="152">
        <f t="shared" si="97"/>
        <v>4970274.9867004277</v>
      </c>
      <c r="AC174" s="152">
        <f t="shared" si="97"/>
        <v>4996434.2056023758</v>
      </c>
      <c r="AD174" s="152">
        <f t="shared" si="97"/>
        <v>5018153.7085884698</v>
      </c>
      <c r="AE174" s="152">
        <f t="shared" si="97"/>
        <v>5044139.6965628201</v>
      </c>
      <c r="AF174" s="152">
        <f t="shared" si="97"/>
        <v>9005458.189962903</v>
      </c>
      <c r="AG174" s="152">
        <f t="shared" si="97"/>
        <v>0</v>
      </c>
      <c r="AH174" s="152">
        <f t="shared" si="97"/>
        <v>0</v>
      </c>
      <c r="AI174" s="152">
        <f t="shared" si="97"/>
        <v>0</v>
      </c>
      <c r="AJ174" s="152">
        <f t="shared" si="97"/>
        <v>0</v>
      </c>
      <c r="AK174" s="152">
        <f t="shared" si="97"/>
        <v>0</v>
      </c>
      <c r="AL174" s="152">
        <f t="shared" si="97"/>
        <v>0</v>
      </c>
      <c r="AM174" s="152">
        <f t="shared" si="97"/>
        <v>0</v>
      </c>
      <c r="AN174" s="152">
        <f t="shared" si="97"/>
        <v>0</v>
      </c>
      <c r="AO174" s="152">
        <f t="shared" si="97"/>
        <v>0</v>
      </c>
      <c r="AP174" s="152">
        <f t="shared" si="97"/>
        <v>0</v>
      </c>
    </row>
    <row r="175" spans="1:42">
      <c r="A175" s="180" t="s">
        <v>33</v>
      </c>
      <c r="B175" s="152"/>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c r="A176" s="184" t="s">
        <v>37</v>
      </c>
      <c r="B176" s="186">
        <f t="shared" ref="B176:AP176" si="98">B90-B129</f>
        <v>0</v>
      </c>
      <c r="C176" s="186">
        <f t="shared" si="98"/>
        <v>200</v>
      </c>
      <c r="D176" s="186">
        <f t="shared" si="98"/>
        <v>0</v>
      </c>
      <c r="E176" s="186">
        <f t="shared" si="98"/>
        <v>0</v>
      </c>
      <c r="F176" s="186">
        <f t="shared" si="98"/>
        <v>0</v>
      </c>
      <c r="G176" s="186">
        <f t="shared" si="98"/>
        <v>0</v>
      </c>
      <c r="H176" s="186">
        <f t="shared" si="98"/>
        <v>0</v>
      </c>
      <c r="I176" s="186">
        <f t="shared" si="98"/>
        <v>0</v>
      </c>
      <c r="J176" s="186">
        <f t="shared" si="98"/>
        <v>0</v>
      </c>
      <c r="K176" s="186">
        <f t="shared" si="98"/>
        <v>0</v>
      </c>
      <c r="L176" s="186">
        <f t="shared" si="98"/>
        <v>0</v>
      </c>
      <c r="M176" s="186">
        <f t="shared" si="98"/>
        <v>0</v>
      </c>
      <c r="N176" s="186">
        <f t="shared" si="98"/>
        <v>0</v>
      </c>
      <c r="O176" s="186">
        <f t="shared" si="98"/>
        <v>0</v>
      </c>
      <c r="P176" s="186">
        <f t="shared" si="98"/>
        <v>0</v>
      </c>
      <c r="Q176" s="186">
        <f t="shared" si="98"/>
        <v>0</v>
      </c>
      <c r="R176" s="186">
        <f t="shared" si="98"/>
        <v>0</v>
      </c>
      <c r="S176" s="186">
        <f t="shared" si="98"/>
        <v>0</v>
      </c>
      <c r="T176" s="186">
        <f t="shared" si="98"/>
        <v>0</v>
      </c>
      <c r="U176" s="186">
        <f t="shared" si="98"/>
        <v>0</v>
      </c>
      <c r="V176" s="186">
        <f t="shared" si="98"/>
        <v>0</v>
      </c>
      <c r="W176" s="186">
        <f t="shared" si="98"/>
        <v>0</v>
      </c>
      <c r="X176" s="186">
        <f t="shared" si="98"/>
        <v>0</v>
      </c>
      <c r="Y176" s="186">
        <f t="shared" si="98"/>
        <v>0</v>
      </c>
      <c r="Z176" s="186">
        <f t="shared" si="98"/>
        <v>0</v>
      </c>
      <c r="AA176" s="186">
        <f t="shared" si="98"/>
        <v>0</v>
      </c>
      <c r="AB176" s="186">
        <f t="shared" si="98"/>
        <v>0</v>
      </c>
      <c r="AC176" s="186">
        <f t="shared" si="98"/>
        <v>0</v>
      </c>
      <c r="AD176" s="186">
        <f t="shared" si="98"/>
        <v>0</v>
      </c>
      <c r="AE176" s="186">
        <f t="shared" si="98"/>
        <v>0</v>
      </c>
      <c r="AF176" s="186">
        <f t="shared" si="98"/>
        <v>0</v>
      </c>
      <c r="AG176" s="186">
        <f t="shared" si="98"/>
        <v>0</v>
      </c>
      <c r="AH176" s="186">
        <f t="shared" si="98"/>
        <v>0</v>
      </c>
      <c r="AI176" s="186">
        <f t="shared" si="98"/>
        <v>0</v>
      </c>
      <c r="AJ176" s="186">
        <f t="shared" si="98"/>
        <v>0</v>
      </c>
      <c r="AK176" s="186">
        <f t="shared" si="98"/>
        <v>0</v>
      </c>
      <c r="AL176" s="186">
        <f t="shared" si="98"/>
        <v>0</v>
      </c>
      <c r="AM176" s="186">
        <f t="shared" si="98"/>
        <v>0</v>
      </c>
      <c r="AN176" s="186">
        <f t="shared" si="98"/>
        <v>0</v>
      </c>
      <c r="AO176" s="186">
        <f t="shared" si="98"/>
        <v>0</v>
      </c>
      <c r="AP176" s="186">
        <f t="shared" si="98"/>
        <v>0</v>
      </c>
    </row>
    <row r="177" spans="1:42">
      <c r="A177" s="184" t="s">
        <v>36</v>
      </c>
      <c r="B177" s="187">
        <f t="shared" ref="B177:AP177" si="99">B91-B130</f>
        <v>0</v>
      </c>
      <c r="C177" s="187">
        <f t="shared" si="99"/>
        <v>100</v>
      </c>
      <c r="D177" s="187">
        <f t="shared" si="99"/>
        <v>0</v>
      </c>
      <c r="E177" s="187">
        <f t="shared" si="99"/>
        <v>0</v>
      </c>
      <c r="F177" s="187">
        <f t="shared" si="99"/>
        <v>0</v>
      </c>
      <c r="G177" s="187">
        <f t="shared" si="99"/>
        <v>0</v>
      </c>
      <c r="H177" s="187">
        <f t="shared" si="99"/>
        <v>0</v>
      </c>
      <c r="I177" s="187">
        <f t="shared" si="99"/>
        <v>0</v>
      </c>
      <c r="J177" s="187">
        <f t="shared" si="99"/>
        <v>0</v>
      </c>
      <c r="K177" s="187">
        <f t="shared" si="99"/>
        <v>0</v>
      </c>
      <c r="L177" s="187">
        <f t="shared" si="99"/>
        <v>0</v>
      </c>
      <c r="M177" s="187">
        <f t="shared" si="99"/>
        <v>0</v>
      </c>
      <c r="N177" s="187">
        <f t="shared" si="99"/>
        <v>0</v>
      </c>
      <c r="O177" s="187">
        <f t="shared" si="99"/>
        <v>0</v>
      </c>
      <c r="P177" s="187">
        <f t="shared" si="99"/>
        <v>0</v>
      </c>
      <c r="Q177" s="187">
        <f t="shared" si="99"/>
        <v>0</v>
      </c>
      <c r="R177" s="187">
        <f t="shared" si="99"/>
        <v>0</v>
      </c>
      <c r="S177" s="187">
        <f t="shared" si="99"/>
        <v>0</v>
      </c>
      <c r="T177" s="187">
        <f t="shared" si="99"/>
        <v>0</v>
      </c>
      <c r="U177" s="187">
        <f t="shared" si="99"/>
        <v>0</v>
      </c>
      <c r="V177" s="187">
        <f t="shared" si="99"/>
        <v>0</v>
      </c>
      <c r="W177" s="187">
        <f t="shared" si="99"/>
        <v>0</v>
      </c>
      <c r="X177" s="187">
        <f t="shared" si="99"/>
        <v>0</v>
      </c>
      <c r="Y177" s="187">
        <f t="shared" si="99"/>
        <v>0</v>
      </c>
      <c r="Z177" s="187">
        <f t="shared" si="99"/>
        <v>0</v>
      </c>
      <c r="AA177" s="187">
        <f t="shared" si="99"/>
        <v>0</v>
      </c>
      <c r="AB177" s="187">
        <f t="shared" si="99"/>
        <v>0</v>
      </c>
      <c r="AC177" s="187">
        <f t="shared" si="99"/>
        <v>0</v>
      </c>
      <c r="AD177" s="187">
        <f t="shared" si="99"/>
        <v>0</v>
      </c>
      <c r="AE177" s="187">
        <f t="shared" si="99"/>
        <v>0</v>
      </c>
      <c r="AF177" s="187">
        <f t="shared" si="99"/>
        <v>0</v>
      </c>
      <c r="AG177" s="187">
        <f t="shared" si="99"/>
        <v>0</v>
      </c>
      <c r="AH177" s="187">
        <f t="shared" si="99"/>
        <v>0</v>
      </c>
      <c r="AI177" s="187">
        <f t="shared" si="99"/>
        <v>0</v>
      </c>
      <c r="AJ177" s="187">
        <f t="shared" si="99"/>
        <v>0</v>
      </c>
      <c r="AK177" s="187">
        <f t="shared" si="99"/>
        <v>0</v>
      </c>
      <c r="AL177" s="187">
        <f t="shared" si="99"/>
        <v>0</v>
      </c>
      <c r="AM177" s="187">
        <f t="shared" si="99"/>
        <v>0</v>
      </c>
      <c r="AN177" s="187">
        <f t="shared" si="99"/>
        <v>0</v>
      </c>
      <c r="AO177" s="187">
        <f t="shared" si="99"/>
        <v>0</v>
      </c>
      <c r="AP177" s="187">
        <f t="shared" si="99"/>
        <v>0</v>
      </c>
    </row>
    <row r="178" spans="1:42">
      <c r="A178" s="184" t="s">
        <v>53</v>
      </c>
      <c r="B178" s="152">
        <f>SUM(B176:B177)</f>
        <v>0</v>
      </c>
      <c r="C178" s="152">
        <f>SUM(C176:C177)</f>
        <v>300</v>
      </c>
      <c r="D178" s="152">
        <f>SUM(D176:D177)</f>
        <v>0</v>
      </c>
      <c r="E178" s="152">
        <f t="shared" ref="E178:AP178" si="100">SUM(E176:E177)</f>
        <v>0</v>
      </c>
      <c r="F178" s="152">
        <f t="shared" si="100"/>
        <v>0</v>
      </c>
      <c r="G178" s="152">
        <f t="shared" si="100"/>
        <v>0</v>
      </c>
      <c r="H178" s="152">
        <f t="shared" si="100"/>
        <v>0</v>
      </c>
      <c r="I178" s="152">
        <f t="shared" si="100"/>
        <v>0</v>
      </c>
      <c r="J178" s="152">
        <f t="shared" si="100"/>
        <v>0</v>
      </c>
      <c r="K178" s="152">
        <f t="shared" si="100"/>
        <v>0</v>
      </c>
      <c r="L178" s="152">
        <f t="shared" si="100"/>
        <v>0</v>
      </c>
      <c r="M178" s="152">
        <f t="shared" si="100"/>
        <v>0</v>
      </c>
      <c r="N178" s="152">
        <f t="shared" si="100"/>
        <v>0</v>
      </c>
      <c r="O178" s="152">
        <f t="shared" si="100"/>
        <v>0</v>
      </c>
      <c r="P178" s="152">
        <f t="shared" si="100"/>
        <v>0</v>
      </c>
      <c r="Q178" s="152">
        <f t="shared" si="100"/>
        <v>0</v>
      </c>
      <c r="R178" s="152">
        <f t="shared" si="100"/>
        <v>0</v>
      </c>
      <c r="S178" s="152">
        <f t="shared" si="100"/>
        <v>0</v>
      </c>
      <c r="T178" s="152">
        <f t="shared" si="100"/>
        <v>0</v>
      </c>
      <c r="U178" s="152">
        <f t="shared" si="100"/>
        <v>0</v>
      </c>
      <c r="V178" s="152">
        <f t="shared" si="100"/>
        <v>0</v>
      </c>
      <c r="W178" s="152">
        <f t="shared" si="100"/>
        <v>0</v>
      </c>
      <c r="X178" s="152">
        <f t="shared" si="100"/>
        <v>0</v>
      </c>
      <c r="Y178" s="152">
        <f t="shared" si="100"/>
        <v>0</v>
      </c>
      <c r="Z178" s="152">
        <f t="shared" si="100"/>
        <v>0</v>
      </c>
      <c r="AA178" s="152">
        <f t="shared" si="100"/>
        <v>0</v>
      </c>
      <c r="AB178" s="152">
        <f t="shared" si="100"/>
        <v>0</v>
      </c>
      <c r="AC178" s="152">
        <f t="shared" si="100"/>
        <v>0</v>
      </c>
      <c r="AD178" s="152">
        <f t="shared" si="100"/>
        <v>0</v>
      </c>
      <c r="AE178" s="152">
        <f t="shared" si="100"/>
        <v>0</v>
      </c>
      <c r="AF178" s="152">
        <f t="shared" si="100"/>
        <v>0</v>
      </c>
      <c r="AG178" s="152">
        <f t="shared" si="100"/>
        <v>0</v>
      </c>
      <c r="AH178" s="152">
        <f t="shared" si="100"/>
        <v>0</v>
      </c>
      <c r="AI178" s="152">
        <f t="shared" si="100"/>
        <v>0</v>
      </c>
      <c r="AJ178" s="152">
        <f t="shared" si="100"/>
        <v>0</v>
      </c>
      <c r="AK178" s="152">
        <f t="shared" si="100"/>
        <v>0</v>
      </c>
      <c r="AL178" s="152">
        <f t="shared" si="100"/>
        <v>0</v>
      </c>
      <c r="AM178" s="152">
        <f t="shared" si="100"/>
        <v>0</v>
      </c>
      <c r="AN178" s="152">
        <f t="shared" si="100"/>
        <v>0</v>
      </c>
      <c r="AO178" s="152">
        <f t="shared" si="100"/>
        <v>0</v>
      </c>
      <c r="AP178" s="152">
        <f t="shared" si="100"/>
        <v>0</v>
      </c>
    </row>
    <row r="179" spans="1:42">
      <c r="A179" s="180" t="s">
        <v>38</v>
      </c>
      <c r="B179" s="152"/>
      <c r="C179" s="152"/>
      <c r="D179" s="152"/>
      <c r="E179" s="152"/>
      <c r="F179" s="152"/>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row>
    <row r="180" spans="1:42">
      <c r="A180" s="184" t="s">
        <v>37</v>
      </c>
      <c r="B180" s="186">
        <f t="shared" ref="B180:AP180" si="101">B94-B133</f>
        <v>0</v>
      </c>
      <c r="C180" s="186">
        <f t="shared" si="101"/>
        <v>0</v>
      </c>
      <c r="D180" s="186">
        <f t="shared" si="101"/>
        <v>0</v>
      </c>
      <c r="E180" s="186">
        <f t="shared" si="101"/>
        <v>0</v>
      </c>
      <c r="F180" s="186">
        <f t="shared" si="101"/>
        <v>0</v>
      </c>
      <c r="G180" s="186">
        <f t="shared" si="101"/>
        <v>0</v>
      </c>
      <c r="H180" s="186">
        <f t="shared" si="101"/>
        <v>0</v>
      </c>
      <c r="I180" s="186">
        <f t="shared" si="101"/>
        <v>0</v>
      </c>
      <c r="J180" s="186">
        <f t="shared" si="101"/>
        <v>0</v>
      </c>
      <c r="K180" s="186">
        <f t="shared" si="101"/>
        <v>0</v>
      </c>
      <c r="L180" s="186">
        <f t="shared" si="101"/>
        <v>0</v>
      </c>
      <c r="M180" s="186">
        <f t="shared" si="101"/>
        <v>0</v>
      </c>
      <c r="N180" s="186">
        <f t="shared" si="101"/>
        <v>0</v>
      </c>
      <c r="O180" s="186">
        <f t="shared" si="101"/>
        <v>0</v>
      </c>
      <c r="P180" s="186">
        <f t="shared" si="101"/>
        <v>0</v>
      </c>
      <c r="Q180" s="186">
        <f t="shared" si="101"/>
        <v>0</v>
      </c>
      <c r="R180" s="186">
        <f t="shared" si="101"/>
        <v>0</v>
      </c>
      <c r="S180" s="186">
        <f t="shared" si="101"/>
        <v>0</v>
      </c>
      <c r="T180" s="186">
        <f t="shared" si="101"/>
        <v>0</v>
      </c>
      <c r="U180" s="186">
        <f t="shared" si="101"/>
        <v>0</v>
      </c>
      <c r="V180" s="186">
        <f t="shared" si="101"/>
        <v>0</v>
      </c>
      <c r="W180" s="186">
        <f t="shared" si="101"/>
        <v>0</v>
      </c>
      <c r="X180" s="186">
        <f t="shared" si="101"/>
        <v>0</v>
      </c>
      <c r="Y180" s="186">
        <f t="shared" si="101"/>
        <v>0</v>
      </c>
      <c r="Z180" s="186">
        <f t="shared" si="101"/>
        <v>0</v>
      </c>
      <c r="AA180" s="186">
        <f t="shared" si="101"/>
        <v>0</v>
      </c>
      <c r="AB180" s="186">
        <f t="shared" si="101"/>
        <v>0</v>
      </c>
      <c r="AC180" s="186">
        <f t="shared" si="101"/>
        <v>0</v>
      </c>
      <c r="AD180" s="186">
        <f t="shared" si="101"/>
        <v>0</v>
      </c>
      <c r="AE180" s="186">
        <f t="shared" si="101"/>
        <v>0</v>
      </c>
      <c r="AF180" s="186">
        <f t="shared" si="101"/>
        <v>0</v>
      </c>
      <c r="AG180" s="186">
        <f t="shared" si="101"/>
        <v>0</v>
      </c>
      <c r="AH180" s="186">
        <f t="shared" si="101"/>
        <v>0</v>
      </c>
      <c r="AI180" s="186">
        <f t="shared" si="101"/>
        <v>0</v>
      </c>
      <c r="AJ180" s="186">
        <f t="shared" si="101"/>
        <v>0</v>
      </c>
      <c r="AK180" s="186">
        <f t="shared" si="101"/>
        <v>0</v>
      </c>
      <c r="AL180" s="186">
        <f t="shared" si="101"/>
        <v>0</v>
      </c>
      <c r="AM180" s="186">
        <f t="shared" si="101"/>
        <v>0</v>
      </c>
      <c r="AN180" s="186">
        <f t="shared" si="101"/>
        <v>0</v>
      </c>
      <c r="AO180" s="186">
        <f t="shared" si="101"/>
        <v>0</v>
      </c>
      <c r="AP180" s="186">
        <f t="shared" si="101"/>
        <v>0</v>
      </c>
    </row>
    <row r="181" spans="1:42">
      <c r="A181" s="184" t="s">
        <v>36</v>
      </c>
      <c r="B181" s="187">
        <f t="shared" ref="B181:AP181" si="102">B95-B134</f>
        <v>0</v>
      </c>
      <c r="C181" s="187">
        <f t="shared" si="102"/>
        <v>0</v>
      </c>
      <c r="D181" s="187">
        <f t="shared" si="102"/>
        <v>0</v>
      </c>
      <c r="E181" s="187">
        <f t="shared" si="102"/>
        <v>0</v>
      </c>
      <c r="F181" s="187">
        <f t="shared" si="102"/>
        <v>0</v>
      </c>
      <c r="G181" s="187">
        <f t="shared" si="102"/>
        <v>0</v>
      </c>
      <c r="H181" s="187">
        <f t="shared" si="102"/>
        <v>0</v>
      </c>
      <c r="I181" s="187">
        <f t="shared" si="102"/>
        <v>0</v>
      </c>
      <c r="J181" s="187">
        <f t="shared" si="102"/>
        <v>0</v>
      </c>
      <c r="K181" s="187">
        <f t="shared" si="102"/>
        <v>0</v>
      </c>
      <c r="L181" s="187">
        <f t="shared" si="102"/>
        <v>0</v>
      </c>
      <c r="M181" s="187">
        <f t="shared" si="102"/>
        <v>0</v>
      </c>
      <c r="N181" s="187">
        <f t="shared" si="102"/>
        <v>0</v>
      </c>
      <c r="O181" s="187">
        <f t="shared" si="102"/>
        <v>0</v>
      </c>
      <c r="P181" s="187">
        <f t="shared" si="102"/>
        <v>0</v>
      </c>
      <c r="Q181" s="187">
        <f t="shared" si="102"/>
        <v>0</v>
      </c>
      <c r="R181" s="187">
        <f t="shared" si="102"/>
        <v>0</v>
      </c>
      <c r="S181" s="187">
        <f t="shared" si="102"/>
        <v>0</v>
      </c>
      <c r="T181" s="187">
        <f t="shared" si="102"/>
        <v>0</v>
      </c>
      <c r="U181" s="187">
        <f t="shared" si="102"/>
        <v>0</v>
      </c>
      <c r="V181" s="187">
        <f t="shared" si="102"/>
        <v>0</v>
      </c>
      <c r="W181" s="187">
        <f t="shared" si="102"/>
        <v>0</v>
      </c>
      <c r="X181" s="187">
        <f t="shared" si="102"/>
        <v>0</v>
      </c>
      <c r="Y181" s="187">
        <f t="shared" si="102"/>
        <v>0</v>
      </c>
      <c r="Z181" s="187">
        <f t="shared" si="102"/>
        <v>0</v>
      </c>
      <c r="AA181" s="187">
        <f t="shared" si="102"/>
        <v>0</v>
      </c>
      <c r="AB181" s="187">
        <f t="shared" si="102"/>
        <v>0</v>
      </c>
      <c r="AC181" s="187">
        <f t="shared" si="102"/>
        <v>0</v>
      </c>
      <c r="AD181" s="187">
        <f t="shared" si="102"/>
        <v>0</v>
      </c>
      <c r="AE181" s="187">
        <f t="shared" si="102"/>
        <v>0</v>
      </c>
      <c r="AF181" s="187">
        <f t="shared" si="102"/>
        <v>0</v>
      </c>
      <c r="AG181" s="187">
        <f t="shared" si="102"/>
        <v>0</v>
      </c>
      <c r="AH181" s="187">
        <f t="shared" si="102"/>
        <v>0</v>
      </c>
      <c r="AI181" s="187">
        <f t="shared" si="102"/>
        <v>0</v>
      </c>
      <c r="AJ181" s="187">
        <f t="shared" si="102"/>
        <v>0</v>
      </c>
      <c r="AK181" s="187">
        <f t="shared" si="102"/>
        <v>0</v>
      </c>
      <c r="AL181" s="187">
        <f t="shared" si="102"/>
        <v>0</v>
      </c>
      <c r="AM181" s="187">
        <f t="shared" si="102"/>
        <v>0</v>
      </c>
      <c r="AN181" s="187">
        <f t="shared" si="102"/>
        <v>0</v>
      </c>
      <c r="AO181" s="187">
        <f t="shared" si="102"/>
        <v>0</v>
      </c>
      <c r="AP181" s="187">
        <f t="shared" si="102"/>
        <v>0</v>
      </c>
    </row>
    <row r="182" spans="1:42">
      <c r="A182" s="184" t="s">
        <v>53</v>
      </c>
      <c r="B182" s="152">
        <f>SUM(B180:B181)</f>
        <v>0</v>
      </c>
      <c r="C182" s="152">
        <f>SUM(C180:C181)</f>
        <v>0</v>
      </c>
      <c r="D182" s="152">
        <f>SUM(D180:D181)</f>
        <v>0</v>
      </c>
      <c r="E182" s="152">
        <f t="shared" ref="E182:AP182" si="103">SUM(E180:E181)</f>
        <v>0</v>
      </c>
      <c r="F182" s="152">
        <f t="shared" si="103"/>
        <v>0</v>
      </c>
      <c r="G182" s="152">
        <f t="shared" si="103"/>
        <v>0</v>
      </c>
      <c r="H182" s="152">
        <f t="shared" si="103"/>
        <v>0</v>
      </c>
      <c r="I182" s="152">
        <f t="shared" si="103"/>
        <v>0</v>
      </c>
      <c r="J182" s="152">
        <f t="shared" si="103"/>
        <v>0</v>
      </c>
      <c r="K182" s="152">
        <f t="shared" si="103"/>
        <v>0</v>
      </c>
      <c r="L182" s="152">
        <f t="shared" si="103"/>
        <v>0</v>
      </c>
      <c r="M182" s="152">
        <f t="shared" si="103"/>
        <v>0</v>
      </c>
      <c r="N182" s="152">
        <f t="shared" si="103"/>
        <v>0</v>
      </c>
      <c r="O182" s="152">
        <f t="shared" si="103"/>
        <v>0</v>
      </c>
      <c r="P182" s="152">
        <f t="shared" si="103"/>
        <v>0</v>
      </c>
      <c r="Q182" s="152">
        <f t="shared" si="103"/>
        <v>0</v>
      </c>
      <c r="R182" s="152">
        <f t="shared" si="103"/>
        <v>0</v>
      </c>
      <c r="S182" s="152">
        <f t="shared" si="103"/>
        <v>0</v>
      </c>
      <c r="T182" s="152">
        <f t="shared" si="103"/>
        <v>0</v>
      </c>
      <c r="U182" s="152">
        <f t="shared" si="103"/>
        <v>0</v>
      </c>
      <c r="V182" s="152">
        <f t="shared" si="103"/>
        <v>0</v>
      </c>
      <c r="W182" s="152">
        <f t="shared" si="103"/>
        <v>0</v>
      </c>
      <c r="X182" s="152">
        <f t="shared" si="103"/>
        <v>0</v>
      </c>
      <c r="Y182" s="152">
        <f t="shared" si="103"/>
        <v>0</v>
      </c>
      <c r="Z182" s="152">
        <f t="shared" si="103"/>
        <v>0</v>
      </c>
      <c r="AA182" s="152">
        <f t="shared" si="103"/>
        <v>0</v>
      </c>
      <c r="AB182" s="152">
        <f t="shared" si="103"/>
        <v>0</v>
      </c>
      <c r="AC182" s="152">
        <f t="shared" si="103"/>
        <v>0</v>
      </c>
      <c r="AD182" s="152">
        <f t="shared" si="103"/>
        <v>0</v>
      </c>
      <c r="AE182" s="152">
        <f t="shared" si="103"/>
        <v>0</v>
      </c>
      <c r="AF182" s="152">
        <f t="shared" si="103"/>
        <v>0</v>
      </c>
      <c r="AG182" s="152">
        <f t="shared" si="103"/>
        <v>0</v>
      </c>
      <c r="AH182" s="152">
        <f t="shared" si="103"/>
        <v>0</v>
      </c>
      <c r="AI182" s="152">
        <f t="shared" si="103"/>
        <v>0</v>
      </c>
      <c r="AJ182" s="152">
        <f t="shared" si="103"/>
        <v>0</v>
      </c>
      <c r="AK182" s="152">
        <f t="shared" si="103"/>
        <v>0</v>
      </c>
      <c r="AL182" s="152">
        <f t="shared" si="103"/>
        <v>0</v>
      </c>
      <c r="AM182" s="152">
        <f t="shared" si="103"/>
        <v>0</v>
      </c>
      <c r="AN182" s="152">
        <f t="shared" si="103"/>
        <v>0</v>
      </c>
      <c r="AO182" s="152">
        <f t="shared" si="103"/>
        <v>0</v>
      </c>
      <c r="AP182" s="152">
        <f t="shared" si="103"/>
        <v>0</v>
      </c>
    </row>
    <row r="183" spans="1:42">
      <c r="A183" s="180" t="s">
        <v>388</v>
      </c>
      <c r="B183" s="152"/>
      <c r="C183" s="152"/>
      <c r="D183" s="152"/>
      <c r="E183" s="152"/>
      <c r="F183" s="152"/>
      <c r="G183" s="152"/>
      <c r="H183" s="152"/>
      <c r="I183" s="152"/>
      <c r="J183" s="152"/>
      <c r="K183" s="152"/>
      <c r="L183" s="152"/>
      <c r="M183" s="152"/>
      <c r="N183" s="152"/>
      <c r="O183" s="152"/>
      <c r="P183" s="152"/>
      <c r="Q183" s="152"/>
      <c r="R183" s="152"/>
      <c r="S183" s="152"/>
      <c r="T183" s="152"/>
      <c r="U183" s="152"/>
      <c r="V183" s="152"/>
      <c r="W183" s="152"/>
      <c r="X183" s="152"/>
      <c r="Y183" s="152"/>
      <c r="Z183" s="152"/>
      <c r="AA183" s="152"/>
      <c r="AB183" s="152"/>
      <c r="AC183" s="152"/>
      <c r="AD183" s="152"/>
      <c r="AE183" s="152"/>
      <c r="AF183" s="152"/>
      <c r="AG183" s="152"/>
      <c r="AH183" s="152"/>
      <c r="AI183" s="152"/>
      <c r="AJ183" s="152"/>
      <c r="AK183" s="152"/>
      <c r="AL183" s="152"/>
      <c r="AM183" s="152"/>
      <c r="AN183" s="152"/>
      <c r="AO183" s="152"/>
      <c r="AP183" s="152"/>
    </row>
    <row r="184" spans="1:42">
      <c r="A184" s="184" t="s">
        <v>37</v>
      </c>
      <c r="B184" s="186">
        <v>0</v>
      </c>
      <c r="C184" s="186">
        <f>B171*-StateTax</f>
        <v>-66374.797500000001</v>
      </c>
      <c r="D184" s="186">
        <v>0</v>
      </c>
      <c r="E184" s="186">
        <v>0</v>
      </c>
      <c r="F184" s="186">
        <v>0</v>
      </c>
      <c r="G184" s="186">
        <v>0</v>
      </c>
      <c r="H184" s="186">
        <v>0</v>
      </c>
      <c r="I184" s="186">
        <v>0</v>
      </c>
      <c r="J184" s="186">
        <v>0</v>
      </c>
      <c r="K184" s="186">
        <v>0</v>
      </c>
      <c r="L184" s="186">
        <v>0</v>
      </c>
      <c r="M184" s="186">
        <v>0</v>
      </c>
      <c r="N184" s="186">
        <v>0</v>
      </c>
      <c r="O184" s="186">
        <v>0</v>
      </c>
      <c r="P184" s="186">
        <v>0</v>
      </c>
      <c r="Q184" s="186">
        <v>0</v>
      </c>
      <c r="R184" s="186">
        <v>0</v>
      </c>
      <c r="S184" s="186">
        <v>0</v>
      </c>
      <c r="T184" s="186">
        <v>0</v>
      </c>
      <c r="U184" s="186">
        <v>0</v>
      </c>
      <c r="V184" s="186">
        <v>0</v>
      </c>
      <c r="W184" s="186">
        <v>0</v>
      </c>
      <c r="X184" s="186">
        <v>0</v>
      </c>
      <c r="Y184" s="186">
        <v>0</v>
      </c>
      <c r="Z184" s="186">
        <v>0</v>
      </c>
      <c r="AA184" s="186">
        <v>0</v>
      </c>
      <c r="AB184" s="186">
        <v>0</v>
      </c>
      <c r="AC184" s="186">
        <v>0</v>
      </c>
      <c r="AD184" s="186">
        <v>0</v>
      </c>
      <c r="AE184" s="186">
        <v>0</v>
      </c>
      <c r="AF184" s="186">
        <v>0</v>
      </c>
      <c r="AG184" s="186">
        <v>0</v>
      </c>
      <c r="AH184" s="186">
        <v>0</v>
      </c>
      <c r="AI184" s="186">
        <v>0</v>
      </c>
      <c r="AJ184" s="186">
        <v>0</v>
      </c>
      <c r="AK184" s="186">
        <v>0</v>
      </c>
      <c r="AL184" s="186">
        <v>0</v>
      </c>
      <c r="AM184" s="186">
        <v>0</v>
      </c>
      <c r="AN184" s="186">
        <v>0</v>
      </c>
      <c r="AO184" s="186">
        <v>0</v>
      </c>
      <c r="AP184" s="186">
        <v>0</v>
      </c>
    </row>
    <row r="185" spans="1:42">
      <c r="A185" s="184" t="s">
        <v>36</v>
      </c>
      <c r="B185" s="187">
        <v>0</v>
      </c>
      <c r="C185" s="187">
        <f>(B171+C184)*-FedTax</f>
        <v>-399153.89587499993</v>
      </c>
      <c r="D185" s="187">
        <v>0</v>
      </c>
      <c r="E185" s="187">
        <v>0</v>
      </c>
      <c r="F185" s="187">
        <v>0</v>
      </c>
      <c r="G185" s="187">
        <v>0</v>
      </c>
      <c r="H185" s="187">
        <v>0</v>
      </c>
      <c r="I185" s="187">
        <v>0</v>
      </c>
      <c r="J185" s="187">
        <v>0</v>
      </c>
      <c r="K185" s="187">
        <v>0</v>
      </c>
      <c r="L185" s="187">
        <v>0</v>
      </c>
      <c r="M185" s="187">
        <v>0</v>
      </c>
      <c r="N185" s="187">
        <v>0</v>
      </c>
      <c r="O185" s="187">
        <v>0</v>
      </c>
      <c r="P185" s="187">
        <v>0</v>
      </c>
      <c r="Q185" s="187">
        <v>0</v>
      </c>
      <c r="R185" s="187">
        <v>0</v>
      </c>
      <c r="S185" s="187">
        <v>0</v>
      </c>
      <c r="T185" s="187">
        <v>0</v>
      </c>
      <c r="U185" s="187">
        <v>0</v>
      </c>
      <c r="V185" s="187">
        <v>0</v>
      </c>
      <c r="W185" s="187">
        <v>0</v>
      </c>
      <c r="X185" s="187">
        <v>0</v>
      </c>
      <c r="Y185" s="187">
        <v>0</v>
      </c>
      <c r="Z185" s="187">
        <v>0</v>
      </c>
      <c r="AA185" s="187">
        <v>0</v>
      </c>
      <c r="AB185" s="187">
        <v>0</v>
      </c>
      <c r="AC185" s="187">
        <v>0</v>
      </c>
      <c r="AD185" s="187">
        <v>0</v>
      </c>
      <c r="AE185" s="187">
        <v>0</v>
      </c>
      <c r="AF185" s="187">
        <v>0</v>
      </c>
      <c r="AG185" s="187">
        <v>0</v>
      </c>
      <c r="AH185" s="187">
        <v>0</v>
      </c>
      <c r="AI185" s="187">
        <v>0</v>
      </c>
      <c r="AJ185" s="187">
        <v>0</v>
      </c>
      <c r="AK185" s="187">
        <v>0</v>
      </c>
      <c r="AL185" s="187">
        <v>0</v>
      </c>
      <c r="AM185" s="187">
        <v>0</v>
      </c>
      <c r="AN185" s="187">
        <v>0</v>
      </c>
      <c r="AO185" s="187">
        <v>0</v>
      </c>
      <c r="AP185" s="187">
        <v>0</v>
      </c>
    </row>
    <row r="186" spans="1:42">
      <c r="A186" s="184" t="s">
        <v>53</v>
      </c>
      <c r="B186" s="266">
        <f>SUM(B184:B185)</f>
        <v>0</v>
      </c>
      <c r="C186" s="266">
        <f>SUM(C184:C185)</f>
        <v>-465528.69337499992</v>
      </c>
      <c r="D186" s="266">
        <f>SUM(D184:D185)</f>
        <v>0</v>
      </c>
      <c r="E186" s="266">
        <f t="shared" ref="E186:AP186" si="104">SUM(E184:E185)</f>
        <v>0</v>
      </c>
      <c r="F186" s="266">
        <f t="shared" si="104"/>
        <v>0</v>
      </c>
      <c r="G186" s="266">
        <f t="shared" si="104"/>
        <v>0</v>
      </c>
      <c r="H186" s="266">
        <f t="shared" si="104"/>
        <v>0</v>
      </c>
      <c r="I186" s="266">
        <f t="shared" si="104"/>
        <v>0</v>
      </c>
      <c r="J186" s="266">
        <f t="shared" si="104"/>
        <v>0</v>
      </c>
      <c r="K186" s="266">
        <f t="shared" si="104"/>
        <v>0</v>
      </c>
      <c r="L186" s="266">
        <f t="shared" si="104"/>
        <v>0</v>
      </c>
      <c r="M186" s="266">
        <f t="shared" si="104"/>
        <v>0</v>
      </c>
      <c r="N186" s="266">
        <f t="shared" si="104"/>
        <v>0</v>
      </c>
      <c r="O186" s="266">
        <f t="shared" si="104"/>
        <v>0</v>
      </c>
      <c r="P186" s="266">
        <f t="shared" si="104"/>
        <v>0</v>
      </c>
      <c r="Q186" s="266">
        <f t="shared" si="104"/>
        <v>0</v>
      </c>
      <c r="R186" s="266">
        <f t="shared" si="104"/>
        <v>0</v>
      </c>
      <c r="S186" s="266">
        <f t="shared" si="104"/>
        <v>0</v>
      </c>
      <c r="T186" s="266">
        <f t="shared" si="104"/>
        <v>0</v>
      </c>
      <c r="U186" s="266">
        <f t="shared" si="104"/>
        <v>0</v>
      </c>
      <c r="V186" s="266">
        <f t="shared" si="104"/>
        <v>0</v>
      </c>
      <c r="W186" s="266">
        <f t="shared" si="104"/>
        <v>0</v>
      </c>
      <c r="X186" s="266">
        <f t="shared" si="104"/>
        <v>0</v>
      </c>
      <c r="Y186" s="266">
        <f t="shared" si="104"/>
        <v>0</v>
      </c>
      <c r="Z186" s="266">
        <f t="shared" si="104"/>
        <v>0</v>
      </c>
      <c r="AA186" s="266">
        <f t="shared" si="104"/>
        <v>0</v>
      </c>
      <c r="AB186" s="266">
        <f t="shared" si="104"/>
        <v>0</v>
      </c>
      <c r="AC186" s="266">
        <f t="shared" si="104"/>
        <v>0</v>
      </c>
      <c r="AD186" s="266">
        <f t="shared" si="104"/>
        <v>0</v>
      </c>
      <c r="AE186" s="266">
        <f t="shared" si="104"/>
        <v>0</v>
      </c>
      <c r="AF186" s="266">
        <f t="shared" si="104"/>
        <v>0</v>
      </c>
      <c r="AG186" s="266">
        <f t="shared" si="104"/>
        <v>0</v>
      </c>
      <c r="AH186" s="266">
        <f t="shared" si="104"/>
        <v>0</v>
      </c>
      <c r="AI186" s="266">
        <f t="shared" si="104"/>
        <v>0</v>
      </c>
      <c r="AJ186" s="266">
        <f t="shared" si="104"/>
        <v>0</v>
      </c>
      <c r="AK186" s="266">
        <f t="shared" si="104"/>
        <v>0</v>
      </c>
      <c r="AL186" s="266">
        <f t="shared" si="104"/>
        <v>0</v>
      </c>
      <c r="AM186" s="266">
        <f t="shared" si="104"/>
        <v>0</v>
      </c>
      <c r="AN186" s="266">
        <f t="shared" si="104"/>
        <v>0</v>
      </c>
      <c r="AO186" s="266">
        <f t="shared" si="104"/>
        <v>0</v>
      </c>
      <c r="AP186" s="266">
        <f t="shared" si="104"/>
        <v>0</v>
      </c>
    </row>
    <row r="187" spans="1:42">
      <c r="A187" s="180" t="s">
        <v>428</v>
      </c>
      <c r="B187" s="152"/>
      <c r="C187" s="152"/>
      <c r="D187" s="152"/>
      <c r="E187" s="152"/>
      <c r="F187" s="152"/>
      <c r="G187" s="152"/>
      <c r="H187" s="152"/>
      <c r="I187" s="152"/>
      <c r="J187" s="152"/>
      <c r="K187" s="152"/>
      <c r="L187" s="152"/>
      <c r="M187" s="152"/>
      <c r="N187" s="152"/>
      <c r="O187" s="152"/>
      <c r="P187" s="152"/>
      <c r="Q187" s="152"/>
      <c r="R187" s="152"/>
      <c r="S187" s="152"/>
      <c r="T187" s="152"/>
      <c r="U187" s="152"/>
      <c r="V187" s="152"/>
      <c r="W187" s="152"/>
      <c r="X187" s="152"/>
      <c r="Y187" s="152"/>
      <c r="Z187" s="152"/>
      <c r="AA187" s="152"/>
      <c r="AB187" s="152"/>
      <c r="AC187" s="152"/>
      <c r="AD187" s="152"/>
      <c r="AE187" s="152"/>
      <c r="AF187" s="152"/>
      <c r="AG187" s="152"/>
      <c r="AH187" s="152"/>
      <c r="AI187" s="152"/>
      <c r="AJ187" s="152"/>
      <c r="AK187" s="152"/>
      <c r="AL187" s="152"/>
      <c r="AM187" s="152"/>
      <c r="AN187" s="152"/>
      <c r="AO187" s="152"/>
      <c r="AP187" s="152"/>
    </row>
    <row r="188" spans="1:42">
      <c r="A188" s="184" t="s">
        <v>37</v>
      </c>
      <c r="B188" s="186">
        <f t="shared" ref="B188:AP188" si="105">B98-B137</f>
        <v>0</v>
      </c>
      <c r="C188" s="186">
        <f t="shared" si="105"/>
        <v>-5182.799193422019</v>
      </c>
      <c r="D188" s="186">
        <f t="shared" si="105"/>
        <v>3814.1022563167498</v>
      </c>
      <c r="E188" s="186">
        <f t="shared" si="105"/>
        <v>1153.8966545437725</v>
      </c>
      <c r="F188" s="186">
        <f t="shared" si="105"/>
        <v>-452.58680729789921</v>
      </c>
      <c r="G188" s="186">
        <f t="shared" si="105"/>
        <v>-488.48737564281328</v>
      </c>
      <c r="H188" s="186">
        <f t="shared" si="105"/>
        <v>-1698.3790891114622</v>
      </c>
      <c r="I188" s="186">
        <f t="shared" si="105"/>
        <v>-2906.2926264490816</v>
      </c>
      <c r="J188" s="186">
        <f t="shared" si="105"/>
        <v>-2943.0553569855983</v>
      </c>
      <c r="K188" s="186">
        <f t="shared" si="105"/>
        <v>-2964.2650133234565</v>
      </c>
      <c r="L188" s="186">
        <f t="shared" si="105"/>
        <v>-2981.6511318738922</v>
      </c>
      <c r="M188" s="186">
        <f t="shared" si="105"/>
        <v>-3018.7492844244698</v>
      </c>
      <c r="N188" s="186">
        <f t="shared" si="105"/>
        <v>-2715.8966410940047</v>
      </c>
      <c r="O188" s="186">
        <f t="shared" si="105"/>
        <v>-2509.9814963857352</v>
      </c>
      <c r="P188" s="186">
        <f t="shared" si="105"/>
        <v>-247990.63214691987</v>
      </c>
      <c r="Q188" s="186">
        <f t="shared" si="105"/>
        <v>-200113.8668077678</v>
      </c>
      <c r="R188" s="186">
        <f t="shared" si="105"/>
        <v>-161720.34982612613</v>
      </c>
      <c r="S188" s="186">
        <f t="shared" si="105"/>
        <v>-214699.07419735059</v>
      </c>
      <c r="T188" s="186">
        <f t="shared" si="105"/>
        <v>-248475.16576138636</v>
      </c>
      <c r="U188" s="186">
        <f t="shared" si="105"/>
        <v>-250032.31301912945</v>
      </c>
      <c r="V188" s="186">
        <f t="shared" si="105"/>
        <v>-271191.14818558766</v>
      </c>
      <c r="W188" s="186">
        <f t="shared" si="105"/>
        <v>-292280.86020752881</v>
      </c>
      <c r="X188" s="186">
        <f t="shared" si="105"/>
        <v>-294672.83989157516</v>
      </c>
      <c r="Y188" s="186">
        <f t="shared" si="105"/>
        <v>-297604.65623917338</v>
      </c>
      <c r="Z188" s="186">
        <f t="shared" si="105"/>
        <v>-263938.79866360617</v>
      </c>
      <c r="AA188" s="186">
        <f t="shared" si="105"/>
        <v>-240717.39442380817</v>
      </c>
      <c r="AB188" s="186">
        <f t="shared" si="105"/>
        <v>-265746.58556681545</v>
      </c>
      <c r="AC188" s="186">
        <f t="shared" si="105"/>
        <v>-280032.00060332351</v>
      </c>
      <c r="AD188" s="186">
        <f t="shared" si="105"/>
        <v>-280462.78091843933</v>
      </c>
      <c r="AE188" s="186">
        <f t="shared" si="105"/>
        <v>-293265.58787041827</v>
      </c>
      <c r="AF188" s="186">
        <f t="shared" si="105"/>
        <v>-427059.82302519464</v>
      </c>
      <c r="AG188" s="186">
        <f t="shared" si="105"/>
        <v>0</v>
      </c>
      <c r="AH188" s="186">
        <f t="shared" si="105"/>
        <v>0</v>
      </c>
      <c r="AI188" s="186">
        <f t="shared" si="105"/>
        <v>0</v>
      </c>
      <c r="AJ188" s="186">
        <f t="shared" si="105"/>
        <v>0</v>
      </c>
      <c r="AK188" s="186">
        <f t="shared" si="105"/>
        <v>0</v>
      </c>
      <c r="AL188" s="186">
        <f t="shared" si="105"/>
        <v>0</v>
      </c>
      <c r="AM188" s="186">
        <f t="shared" si="105"/>
        <v>0</v>
      </c>
      <c r="AN188" s="186">
        <f t="shared" si="105"/>
        <v>0</v>
      </c>
      <c r="AO188" s="186">
        <f t="shared" si="105"/>
        <v>0</v>
      </c>
      <c r="AP188" s="186">
        <f t="shared" si="105"/>
        <v>0</v>
      </c>
    </row>
    <row r="189" spans="1:42">
      <c r="A189" s="184" t="s">
        <v>36</v>
      </c>
      <c r="B189" s="187">
        <f t="shared" ref="B189:AP189" si="106">B99-B138</f>
        <v>0</v>
      </c>
      <c r="C189" s="187">
        <f t="shared" si="106"/>
        <v>-25701.568216187879</v>
      </c>
      <c r="D189" s="187">
        <f t="shared" si="106"/>
        <v>20729.263431694126</v>
      </c>
      <c r="E189" s="187">
        <f t="shared" si="106"/>
        <v>5614.6985267307609</v>
      </c>
      <c r="F189" s="187">
        <f t="shared" si="106"/>
        <v>-3516.3422950159293</v>
      </c>
      <c r="G189" s="187">
        <f t="shared" si="106"/>
        <v>-3732.2352582901367</v>
      </c>
      <c r="H189" s="187">
        <f t="shared" si="106"/>
        <v>-10610.759155993816</v>
      </c>
      <c r="I189" s="187">
        <f t="shared" si="106"/>
        <v>-17477.387021782342</v>
      </c>
      <c r="J189" s="187">
        <f t="shared" si="106"/>
        <v>-17698.464714963222</v>
      </c>
      <c r="K189" s="187">
        <f t="shared" si="106"/>
        <v>-17826.011875577038</v>
      </c>
      <c r="L189" s="187">
        <f t="shared" si="106"/>
        <v>-17930.565670314478</v>
      </c>
      <c r="M189" s="187">
        <f t="shared" si="106"/>
        <v>-18153.660469516413</v>
      </c>
      <c r="N189" s="187">
        <f t="shared" si="106"/>
        <v>-16332.414800761035</v>
      </c>
      <c r="O189" s="187">
        <f t="shared" si="106"/>
        <v>-15094.115998719819</v>
      </c>
      <c r="P189" s="187">
        <f t="shared" si="106"/>
        <v>-1491325.4833198865</v>
      </c>
      <c r="Q189" s="187">
        <f t="shared" si="106"/>
        <v>-1203412.0263030762</v>
      </c>
      <c r="R189" s="187">
        <f t="shared" si="106"/>
        <v>-972527.3764543857</v>
      </c>
      <c r="S189" s="187">
        <f t="shared" si="106"/>
        <v>-1291122.1598322492</v>
      </c>
      <c r="T189" s="187">
        <f t="shared" si="106"/>
        <v>-1494239.2922832463</v>
      </c>
      <c r="U189" s="187">
        <f t="shared" si="106"/>
        <v>-1503603.4096559465</v>
      </c>
      <c r="V189" s="187">
        <f t="shared" si="106"/>
        <v>-1630844.9502251474</v>
      </c>
      <c r="W189" s="187">
        <f t="shared" si="106"/>
        <v>-1757670.8093389119</v>
      </c>
      <c r="X189" s="187">
        <f t="shared" si="106"/>
        <v>-1772055.3053479725</v>
      </c>
      <c r="Y189" s="187">
        <f t="shared" si="106"/>
        <v>-1789686.1827473927</v>
      </c>
      <c r="Z189" s="187">
        <f t="shared" si="106"/>
        <v>-1587231.9574179586</v>
      </c>
      <c r="AA189" s="187">
        <f t="shared" si="106"/>
        <v>-1447586.8764668102</v>
      </c>
      <c r="AB189" s="187">
        <f t="shared" si="106"/>
        <v>-1598103.3304768039</v>
      </c>
      <c r="AC189" s="187">
        <f t="shared" si="106"/>
        <v>-1684010.621809986</v>
      </c>
      <c r="AD189" s="187">
        <f t="shared" si="106"/>
        <v>-1686601.1779777051</v>
      </c>
      <c r="AE189" s="187">
        <f t="shared" si="106"/>
        <v>-1763592.6034207426</v>
      </c>
      <c r="AF189" s="187">
        <f t="shared" si="106"/>
        <v>-2568182.4811924207</v>
      </c>
      <c r="AG189" s="187">
        <f t="shared" si="106"/>
        <v>0</v>
      </c>
      <c r="AH189" s="187">
        <f t="shared" si="106"/>
        <v>0</v>
      </c>
      <c r="AI189" s="187">
        <f t="shared" si="106"/>
        <v>0</v>
      </c>
      <c r="AJ189" s="187">
        <f t="shared" si="106"/>
        <v>0</v>
      </c>
      <c r="AK189" s="187">
        <f t="shared" si="106"/>
        <v>0</v>
      </c>
      <c r="AL189" s="187">
        <f t="shared" si="106"/>
        <v>0</v>
      </c>
      <c r="AM189" s="187">
        <f t="shared" si="106"/>
        <v>0</v>
      </c>
      <c r="AN189" s="187">
        <f t="shared" si="106"/>
        <v>0</v>
      </c>
      <c r="AO189" s="187">
        <f t="shared" si="106"/>
        <v>0</v>
      </c>
      <c r="AP189" s="187">
        <f t="shared" si="106"/>
        <v>0</v>
      </c>
    </row>
    <row r="190" spans="1:42">
      <c r="A190" s="184" t="s">
        <v>53</v>
      </c>
      <c r="B190" s="194">
        <f>SUM(B188:B189)</f>
        <v>0</v>
      </c>
      <c r="C190" s="194">
        <f>SUM(C188:C189)</f>
        <v>-30884.367409609898</v>
      </c>
      <c r="D190" s="194">
        <f>SUM(D188:D189)</f>
        <v>24543.365688010876</v>
      </c>
      <c r="E190" s="194">
        <f t="shared" ref="E190:AP190" si="107">SUM(E188:E189)</f>
        <v>6768.5951812745334</v>
      </c>
      <c r="F190" s="194">
        <f t="shared" si="107"/>
        <v>-3968.9291023138285</v>
      </c>
      <c r="G190" s="194">
        <f t="shared" si="107"/>
        <v>-4220.72263393295</v>
      </c>
      <c r="H190" s="194">
        <f t="shared" si="107"/>
        <v>-12309.138245105278</v>
      </c>
      <c r="I190" s="194">
        <f t="shared" si="107"/>
        <v>-20383.679648231424</v>
      </c>
      <c r="J190" s="194">
        <f t="shared" si="107"/>
        <v>-20641.52007194882</v>
      </c>
      <c r="K190" s="194">
        <f t="shared" si="107"/>
        <v>-20790.276888900495</v>
      </c>
      <c r="L190" s="194">
        <f t="shared" si="107"/>
        <v>-20912.21680218837</v>
      </c>
      <c r="M190" s="194">
        <f t="shared" si="107"/>
        <v>-21172.409753940883</v>
      </c>
      <c r="N190" s="194">
        <f t="shared" si="107"/>
        <v>-19048.311441855039</v>
      </c>
      <c r="O190" s="194">
        <f t="shared" si="107"/>
        <v>-17604.097495105554</v>
      </c>
      <c r="P190" s="194">
        <f t="shared" si="107"/>
        <v>-1739316.1154668063</v>
      </c>
      <c r="Q190" s="194">
        <f t="shared" si="107"/>
        <v>-1403525.8931108441</v>
      </c>
      <c r="R190" s="194">
        <f t="shared" si="107"/>
        <v>-1134247.7262805118</v>
      </c>
      <c r="S190" s="194">
        <f t="shared" si="107"/>
        <v>-1505821.2340295997</v>
      </c>
      <c r="T190" s="194">
        <f t="shared" si="107"/>
        <v>-1742714.4580446326</v>
      </c>
      <c r="U190" s="194">
        <f t="shared" si="107"/>
        <v>-1753635.722675076</v>
      </c>
      <c r="V190" s="194">
        <f t="shared" si="107"/>
        <v>-1902036.0984107351</v>
      </c>
      <c r="W190" s="194">
        <f t="shared" si="107"/>
        <v>-2049951.6695464407</v>
      </c>
      <c r="X190" s="194">
        <f t="shared" si="107"/>
        <v>-2066728.1452395478</v>
      </c>
      <c r="Y190" s="194">
        <f t="shared" si="107"/>
        <v>-2087290.8389865661</v>
      </c>
      <c r="Z190" s="194">
        <f t="shared" si="107"/>
        <v>-1851170.7560815648</v>
      </c>
      <c r="AA190" s="194">
        <f t="shared" si="107"/>
        <v>-1688304.2708906184</v>
      </c>
      <c r="AB190" s="194">
        <f t="shared" si="107"/>
        <v>-1863849.9160436194</v>
      </c>
      <c r="AC190" s="194">
        <f t="shared" si="107"/>
        <v>-1964042.6224133095</v>
      </c>
      <c r="AD190" s="194">
        <f t="shared" si="107"/>
        <v>-1967063.9588961445</v>
      </c>
      <c r="AE190" s="194">
        <f t="shared" si="107"/>
        <v>-2056858.1912911609</v>
      </c>
      <c r="AF190" s="194">
        <f t="shared" si="107"/>
        <v>-2995242.3042176152</v>
      </c>
      <c r="AG190" s="194">
        <f t="shared" si="107"/>
        <v>0</v>
      </c>
      <c r="AH190" s="194">
        <f t="shared" si="107"/>
        <v>0</v>
      </c>
      <c r="AI190" s="194">
        <f t="shared" si="107"/>
        <v>0</v>
      </c>
      <c r="AJ190" s="194">
        <f t="shared" si="107"/>
        <v>0</v>
      </c>
      <c r="AK190" s="194">
        <f t="shared" si="107"/>
        <v>0</v>
      </c>
      <c r="AL190" s="194">
        <f t="shared" si="107"/>
        <v>0</v>
      </c>
      <c r="AM190" s="194">
        <f t="shared" si="107"/>
        <v>0</v>
      </c>
      <c r="AN190" s="194">
        <f t="shared" si="107"/>
        <v>0</v>
      </c>
      <c r="AO190" s="194">
        <f t="shared" si="107"/>
        <v>0</v>
      </c>
      <c r="AP190" s="194">
        <f t="shared" si="107"/>
        <v>0</v>
      </c>
    </row>
    <row r="191" spans="1:42">
      <c r="A191" s="180" t="s">
        <v>53</v>
      </c>
      <c r="B191" s="152">
        <f>B174+B178+B182+B186+B190</f>
        <v>-10459369</v>
      </c>
      <c r="C191" s="152">
        <f t="shared" ref="C191:AP191" si="108">C174+C178+C182+C186+C190</f>
        <v>4015958.6977935364</v>
      </c>
      <c r="D191" s="152">
        <f t="shared" si="108"/>
        <v>4583788.2731866734</v>
      </c>
      <c r="E191" s="152">
        <f t="shared" si="108"/>
        <v>2601635.4291044665</v>
      </c>
      <c r="F191" s="152">
        <f t="shared" si="108"/>
        <v>-3968.9291023138285</v>
      </c>
      <c r="G191" s="152">
        <f t="shared" si="108"/>
        <v>-4220.72263393295</v>
      </c>
      <c r="H191" s="152">
        <f t="shared" si="108"/>
        <v>-12309.138245105278</v>
      </c>
      <c r="I191" s="152">
        <f t="shared" si="108"/>
        <v>-20383.679648231424</v>
      </c>
      <c r="J191" s="152">
        <f t="shared" si="108"/>
        <v>-20641.52007194882</v>
      </c>
      <c r="K191" s="152">
        <f t="shared" si="108"/>
        <v>-20790.276888900495</v>
      </c>
      <c r="L191" s="152">
        <f t="shared" si="108"/>
        <v>-20912.21680218837</v>
      </c>
      <c r="M191" s="152">
        <f t="shared" si="108"/>
        <v>-21172.409753940883</v>
      </c>
      <c r="N191" s="152">
        <f t="shared" si="108"/>
        <v>-19048.311441855039</v>
      </c>
      <c r="O191" s="152">
        <f t="shared" si="108"/>
        <v>-17604.097495105554</v>
      </c>
      <c r="P191" s="152">
        <f t="shared" si="108"/>
        <v>2769908.4290448762</v>
      </c>
      <c r="Q191" s="152">
        <f t="shared" si="108"/>
        <v>3148548.4556997716</v>
      </c>
      <c r="R191" s="152">
        <f t="shared" si="108"/>
        <v>3267523.6976696034</v>
      </c>
      <c r="S191" s="152">
        <f t="shared" si="108"/>
        <v>2940331.2469565719</v>
      </c>
      <c r="T191" s="152">
        <f t="shared" si="108"/>
        <v>2747755.7988899415</v>
      </c>
      <c r="U191" s="152">
        <f t="shared" si="108"/>
        <v>2777291.8818850536</v>
      </c>
      <c r="V191" s="152">
        <f t="shared" si="108"/>
        <v>2673103.0987695958</v>
      </c>
      <c r="W191" s="152">
        <f t="shared" si="108"/>
        <v>2569325.1588733732</v>
      </c>
      <c r="X191" s="152">
        <f t="shared" si="108"/>
        <v>2579743.8277816446</v>
      </c>
      <c r="Y191" s="152">
        <f t="shared" si="108"/>
        <v>2590294.0187384579</v>
      </c>
      <c r="Z191" s="152">
        <f t="shared" si="108"/>
        <v>2857441.5494264313</v>
      </c>
      <c r="AA191" s="152">
        <f t="shared" si="108"/>
        <v>3255713.7349123815</v>
      </c>
      <c r="AB191" s="152">
        <f t="shared" si="108"/>
        <v>3106425.0706568081</v>
      </c>
      <c r="AC191" s="152">
        <f t="shared" si="108"/>
        <v>3032391.5831890665</v>
      </c>
      <c r="AD191" s="152">
        <f t="shared" si="108"/>
        <v>3051089.7496923255</v>
      </c>
      <c r="AE191" s="152">
        <f t="shared" si="108"/>
        <v>2987281.5052716592</v>
      </c>
      <c r="AF191" s="152">
        <f t="shared" si="108"/>
        <v>6010215.8857452879</v>
      </c>
      <c r="AG191" s="152">
        <f t="shared" si="108"/>
        <v>0</v>
      </c>
      <c r="AH191" s="152">
        <f t="shared" si="108"/>
        <v>0</v>
      </c>
      <c r="AI191" s="152">
        <f t="shared" si="108"/>
        <v>0</v>
      </c>
      <c r="AJ191" s="152">
        <f t="shared" si="108"/>
        <v>0</v>
      </c>
      <c r="AK191" s="152">
        <f t="shared" si="108"/>
        <v>0</v>
      </c>
      <c r="AL191" s="152">
        <f t="shared" si="108"/>
        <v>0</v>
      </c>
      <c r="AM191" s="152">
        <f t="shared" si="108"/>
        <v>0</v>
      </c>
      <c r="AN191" s="152">
        <f t="shared" si="108"/>
        <v>0</v>
      </c>
      <c r="AO191" s="152">
        <f t="shared" si="108"/>
        <v>0</v>
      </c>
      <c r="AP191" s="152">
        <f t="shared" si="108"/>
        <v>0</v>
      </c>
    </row>
    <row r="192" spans="1:42">
      <c r="A192" s="184"/>
      <c r="B192" s="152"/>
      <c r="C192" s="152"/>
      <c r="D192" s="152"/>
      <c r="E192" s="152"/>
      <c r="F192" s="152"/>
      <c r="G192" s="152"/>
      <c r="H192" s="152"/>
      <c r="I192" s="152"/>
      <c r="J192" s="152"/>
      <c r="K192" s="152"/>
      <c r="L192" s="152"/>
      <c r="M192" s="152"/>
      <c r="N192" s="152"/>
      <c r="O192" s="152"/>
      <c r="P192" s="152"/>
      <c r="Q192" s="152"/>
      <c r="R192" s="152"/>
      <c r="S192" s="152"/>
      <c r="T192" s="152"/>
      <c r="U192" s="152"/>
      <c r="V192" s="152"/>
      <c r="W192" s="152"/>
      <c r="X192" s="152"/>
      <c r="Y192" s="152"/>
      <c r="Z192" s="152"/>
      <c r="AA192" s="152"/>
      <c r="AB192" s="152"/>
      <c r="AC192" s="152"/>
      <c r="AD192" s="152"/>
      <c r="AE192" s="152"/>
      <c r="AF192" s="152"/>
      <c r="AG192" s="152"/>
      <c r="AH192" s="152"/>
      <c r="AI192" s="152"/>
      <c r="AJ192" s="152"/>
      <c r="AK192" s="152"/>
      <c r="AL192" s="152"/>
      <c r="AM192" s="152"/>
      <c r="AN192" s="152"/>
      <c r="AO192" s="152"/>
      <c r="AP192" s="152"/>
    </row>
    <row r="193" spans="1:42" s="118" customFormat="1">
      <c r="A193" s="180" t="s">
        <v>401</v>
      </c>
      <c r="B193" s="268" t="str">
        <f>IF(ISERROR(IRR($B191:B191)),"N/A",ROUND(IRR($B191:B191),4))</f>
        <v>N/A</v>
      </c>
      <c r="C193" s="268" t="str">
        <f>IF(ISERROR(IRR($B191:C191)),"N/A",ROUND(IRR($B191:C191),4))</f>
        <v>N/A</v>
      </c>
      <c r="D193" s="268">
        <f>IF(ISERROR(IRR($B191:D191)),"N/A",ROUND(IRR($B191:D191),4))</f>
        <v>-0.1187</v>
      </c>
      <c r="E193" s="268">
        <f>IF(ISERROR(IRR($B191:E191)),"N/A",ROUND(IRR($B191:E191),4))</f>
        <v>3.7499999999999999E-2</v>
      </c>
      <c r="F193" s="268">
        <f>IF(ISERROR(IRR($B191:F191)),"N/A",ROUND(IRR($B191:F191),4))</f>
        <v>3.73E-2</v>
      </c>
      <c r="G193" s="268">
        <f>IF(ISERROR(IRR($B191:G191)),"N/A",ROUND(IRR($B191:G191),4))</f>
        <v>3.7100000000000001E-2</v>
      </c>
      <c r="H193" s="268">
        <f>IF(ISERROR(IRR($B191:H191)),"N/A",ROUND(IRR($B191:H191),4))</f>
        <v>3.6600000000000001E-2</v>
      </c>
      <c r="I193" s="268">
        <f>IF(ISERROR(IRR($B191:I191)),"N/A",ROUND(IRR($B191:I191),4))</f>
        <v>3.5700000000000003E-2</v>
      </c>
      <c r="J193" s="268">
        <f>IF(ISERROR(IRR($B191:J191)),"N/A",ROUND(IRR($B191:J191),4))</f>
        <v>3.49E-2</v>
      </c>
      <c r="K193" s="268">
        <f>IF(ISERROR(IRR($B191:K191)),"N/A",ROUND(IRR($B191:K191),4))</f>
        <v>3.4000000000000002E-2</v>
      </c>
      <c r="L193" s="268">
        <f>IF(ISERROR(IRR($B191:L191)),"N/A",ROUND(IRR($B191:L191),4))</f>
        <v>3.32E-2</v>
      </c>
      <c r="M193" s="268">
        <f>IF(ISERROR(IRR($B191:M191)),"N/A",ROUND(IRR($B191:M191),4))</f>
        <v>3.2399999999999998E-2</v>
      </c>
      <c r="N193" s="268">
        <f>IF(ISERROR(IRR($B191:N191)),"N/A",ROUND(IRR($B191:N191),4))</f>
        <v>3.1699999999999999E-2</v>
      </c>
      <c r="O193" s="268">
        <f>IF(ISERROR(IRR($B191:O191)),"N/A",ROUND(IRR($B191:O191),4))</f>
        <v>3.1E-2</v>
      </c>
      <c r="P193" s="268">
        <f>IF(ISERROR(IRR($B191:P191)),"N/A",ROUND(IRR($B191:P191),4))</f>
        <v>8.43E-2</v>
      </c>
      <c r="Q193" s="268">
        <f>IF(ISERROR(IRR($B191:Q191)),"N/A",ROUND(IRR($B191:Q191),4))</f>
        <v>0.1106</v>
      </c>
      <c r="R193" s="268">
        <f>IF(ISERROR(IRR($B191:R191)),"N/A",ROUND(IRR($B191:R191),4))</f>
        <v>0.127</v>
      </c>
      <c r="S193" s="268">
        <f>IF(ISERROR(IRR($B191:S191)),"N/A",ROUND(IRR($B191:S191),4))</f>
        <v>0.13719999999999999</v>
      </c>
      <c r="T193" s="268">
        <f>IF(ISERROR(IRR($B191:T191)),"N/A",ROUND(IRR($B191:T191),4))</f>
        <v>0.14410000000000001</v>
      </c>
      <c r="U193" s="268">
        <f>IF(ISERROR(IRR($B191:U191)),"N/A",ROUND(IRR($B191:U191),4))</f>
        <v>0.14949999999999999</v>
      </c>
      <c r="V193" s="268">
        <f>IF(ISERROR(IRR($B191:V191)),"N/A",ROUND(IRR($B191:V191),4))</f>
        <v>0.15359999999999999</v>
      </c>
      <c r="W193" s="268">
        <f>IF(ISERROR(IRR($B191:W191)),"N/A",ROUND(IRR($B191:W191),4))</f>
        <v>0.15659999999999999</v>
      </c>
      <c r="X193" s="268">
        <f>IF(ISERROR(IRR($B191:X191)),"N/A",ROUND(IRR($B191:X191),4))</f>
        <v>0.15909999999999999</v>
      </c>
      <c r="Y193" s="268">
        <f>IF(ISERROR(IRR($B191:Y191)),"N/A",ROUND(IRR($B191:Y191),4))</f>
        <v>0.16120000000000001</v>
      </c>
      <c r="Z193" s="268">
        <f>IF(ISERROR(IRR($B191:Z191)),"N/A",ROUND(IRR($B191:Z191),4))</f>
        <v>0.16300000000000001</v>
      </c>
      <c r="AA193" s="268">
        <f>IF(ISERROR(IRR($B191:AA191)),"N/A",ROUND(IRR($B191:AA191),4))</f>
        <v>0.16470000000000001</v>
      </c>
      <c r="AB193" s="268">
        <f>IF(ISERROR(IRR($B191:AB191)),"N/A",ROUND(IRR($B191:AB191),4))</f>
        <v>0.16600000000000001</v>
      </c>
      <c r="AC193" s="268">
        <f>IF(ISERROR(IRR($B191:AC191)),"N/A",ROUND(IRR($B191:AC191),4))</f>
        <v>0.1671</v>
      </c>
      <c r="AD193" s="268">
        <f>IF(ISERROR(IRR($B191:AD191)),"N/A",ROUND(IRR($B191:AD191),4))</f>
        <v>0.16800000000000001</v>
      </c>
      <c r="AE193" s="268">
        <f>IF(ISERROR(IRR($B191:AE191)),"N/A",ROUND(IRR($B191:AE191),4))</f>
        <v>0.16869999999999999</v>
      </c>
      <c r="AF193" s="268">
        <f>IF(ISERROR(IRR($B191:AF191)),"N/A",ROUND(IRR($B191:AF191),4))</f>
        <v>0.1699</v>
      </c>
      <c r="AG193" s="268">
        <f>IF(ISERROR(IRR($B191:AG191)),"N/A",ROUND(IRR($B191:AG191),4))</f>
        <v>0.1699</v>
      </c>
      <c r="AH193" s="268">
        <f>IF(ISERROR(IRR($B191:AH191)),"N/A",ROUND(IRR($B191:AH191),4))</f>
        <v>0.1699</v>
      </c>
      <c r="AI193" s="268">
        <f>IF(ISERROR(IRR($B191:AI191)),"N/A",ROUND(IRR($B191:AI191),4))</f>
        <v>0.1699</v>
      </c>
      <c r="AJ193" s="268">
        <f>IF(ISERROR(IRR($B191:AJ191)),"N/A",ROUND(IRR($B191:AJ191),4))</f>
        <v>0.1699</v>
      </c>
      <c r="AK193" s="268">
        <f>IF(ISERROR(IRR($B191:AK191)),"N/A",ROUND(IRR($B191:AK191),4))</f>
        <v>0.1699</v>
      </c>
      <c r="AL193" s="268">
        <f>IF(ISERROR(IRR($B191:AL191)),"N/A",ROUND(IRR($B191:AL191),4))</f>
        <v>0.1699</v>
      </c>
      <c r="AM193" s="268">
        <f>IF(ISERROR(IRR($B191:AM191)),"N/A",ROUND(IRR($B191:AM191),4))</f>
        <v>0.1699</v>
      </c>
      <c r="AN193" s="268">
        <f>IF(ISERROR(IRR($B191:AN191)),"N/A",ROUND(IRR($B191:AN191),4))</f>
        <v>0.1699</v>
      </c>
      <c r="AO193" s="268">
        <f>IF(ISERROR(IRR($B191:AO191)),"N/A",ROUND(IRR($B191:AO191),4))</f>
        <v>0.1699</v>
      </c>
      <c r="AP193" s="268">
        <f>IF(ISERROR(IRR($B191:AP191)),"N/A",ROUND(IRR($B191:AP191),4))</f>
        <v>0.1699</v>
      </c>
    </row>
    <row r="194" spans="1:42" s="118" customFormat="1">
      <c r="A194" s="180" t="s">
        <v>402</v>
      </c>
      <c r="B194" s="269">
        <f>B191</f>
        <v>-10459369</v>
      </c>
      <c r="C194" s="269">
        <f>NPV(DiscountRate,$C191:C191)+$B191</f>
        <v>-6740888.7242652439</v>
      </c>
      <c r="D194" s="269">
        <f>NPV(DiscountRate,$C191:D191)+$B191</f>
        <v>-2811029.0936182346</v>
      </c>
      <c r="E194" s="269">
        <f>NPV(DiscountRate,$C191:E191)+$B191</f>
        <v>-745767.01061476767</v>
      </c>
      <c r="F194" s="269">
        <f>NPV(DiscountRate,$C191:F191)+$B191</f>
        <v>-748684.29198860005</v>
      </c>
      <c r="G194" s="269">
        <f>NPV(DiscountRate,$C191:G191)+$B191</f>
        <v>-751556.84489259496</v>
      </c>
      <c r="H194" s="269">
        <f>NPV(DiscountRate,$C191:H191)+$B191</f>
        <v>-759313.68994776532</v>
      </c>
      <c r="I194" s="269">
        <f>NPV(DiscountRate,$C191:I191)+$B191</f>
        <v>-771207.37124260888</v>
      </c>
      <c r="J194" s="269">
        <f>NPV(DiscountRate,$C191:J191)+$B191</f>
        <v>-782359.34226630628</v>
      </c>
      <c r="K194" s="269">
        <f>NPV(DiscountRate,$C191:K191)+$B191</f>
        <v>-792759.6568063572</v>
      </c>
      <c r="L194" s="269">
        <f>NPV(DiscountRate,$C191:L191)+$B191</f>
        <v>-802446.05945054628</v>
      </c>
      <c r="M194" s="269">
        <f>NPV(DiscountRate,$C191:M191)+$B191</f>
        <v>-811526.54308488406</v>
      </c>
      <c r="N194" s="269">
        <f>NPV(DiscountRate,$C191:N191)+$B191</f>
        <v>-819090.88963741995</v>
      </c>
      <c r="O194" s="269">
        <f>NPV(DiscountRate,$C191:O191)+$B191</f>
        <v>-825563.87975209765</v>
      </c>
      <c r="P194" s="269">
        <f>NPV(DiscountRate,$C191:P191)+$B191</f>
        <v>117482.02848111838</v>
      </c>
      <c r="Q194" s="269">
        <f>NPV(DiscountRate,$C191:Q191)+$B191</f>
        <v>1110035.8118236344</v>
      </c>
      <c r="R194" s="269">
        <f>NPV(DiscountRate,$C191:R191)+$B191</f>
        <v>2063794.8317030929</v>
      </c>
      <c r="S194" s="269">
        <f>NPV(DiscountRate,$C191:S191)+$B191</f>
        <v>2858475.0747201294</v>
      </c>
      <c r="T194" s="269">
        <f>NPV(DiscountRate,$C191:T191)+$B191</f>
        <v>3546098.2956404481</v>
      </c>
      <c r="U194" s="269">
        <f>NPV(DiscountRate,$C191:U191)+$B191</f>
        <v>4189630.3299124278</v>
      </c>
      <c r="V194" s="269">
        <f>NPV(DiscountRate,$C191:V191)+$B191</f>
        <v>4763139.8079596721</v>
      </c>
      <c r="W194" s="269">
        <f>NPV(DiscountRate,$C191:W191)+$B191</f>
        <v>5273551.0182137694</v>
      </c>
      <c r="X194" s="269">
        <f>NPV(DiscountRate,$C191:X191)+$B191</f>
        <v>5748070.4059128705</v>
      </c>
      <c r="Y194" s="269">
        <f>NPV(DiscountRate,$C191:Y191)+$B191</f>
        <v>6189237.0681100916</v>
      </c>
      <c r="Z194" s="269">
        <f>NPV(DiscountRate,$C191:Z191)+$B191</f>
        <v>6639853.7068451196</v>
      </c>
      <c r="AA194" s="269">
        <f>NPV(DiscountRate,$C191:AA191)+$B191</f>
        <v>7115246.2054132223</v>
      </c>
      <c r="AB194" s="269">
        <f>NPV(DiscountRate,$C191:AB191)+$B191</f>
        <v>7535240.3541042022</v>
      </c>
      <c r="AC194" s="269">
        <f>NPV(DiscountRate,$C191:AC191)+$B191</f>
        <v>7914855.8083675914</v>
      </c>
      <c r="AD194" s="269">
        <f>NPV(DiscountRate,$C191:AD191)+$B191</f>
        <v>8268518.9734016135</v>
      </c>
      <c r="AE194" s="269">
        <f>NPV(DiscountRate,$C191:AE191)+$B191</f>
        <v>8589136.4863764048</v>
      </c>
      <c r="AF194" s="269">
        <f>NPV(DiscountRate,$C191:AF191)+$B191</f>
        <v>9186415.7091502137</v>
      </c>
      <c r="AG194" s="269">
        <f>NPV(DiscountRate,$C191:AG191)+$B191</f>
        <v>9186415.7091502137</v>
      </c>
      <c r="AH194" s="269">
        <f>NPV(DiscountRate,$C191:AH191)+$B191</f>
        <v>9186415.7091502137</v>
      </c>
      <c r="AI194" s="269">
        <f>NPV(DiscountRate,$C191:AI191)+$B191</f>
        <v>9186415.7091502137</v>
      </c>
      <c r="AJ194" s="269">
        <f>NPV(DiscountRate,$C191:AJ191)+$B191</f>
        <v>9186415.7091502137</v>
      </c>
      <c r="AK194" s="269">
        <f>NPV(DiscountRate,$C191:AK191)+$B191</f>
        <v>9186415.7091502137</v>
      </c>
      <c r="AL194" s="269">
        <f>NPV(DiscountRate,$C191:AL191)+$B191</f>
        <v>9186415.7091502137</v>
      </c>
      <c r="AM194" s="269">
        <f>NPV(DiscountRate,$C191:AM191)+$B191</f>
        <v>9186415.7091502137</v>
      </c>
      <c r="AN194" s="269">
        <f>NPV(DiscountRate,$C191:AN191)+$B191</f>
        <v>9186415.7091502137</v>
      </c>
      <c r="AO194" s="269">
        <f>NPV(DiscountRate,$C191:AO191)+$B191</f>
        <v>9186415.7091502137</v>
      </c>
      <c r="AP194" s="269">
        <f>NPV(DiscountRate,$C191:AP191)+$B191</f>
        <v>9186415.7091502137</v>
      </c>
    </row>
    <row r="195" spans="1:42" s="118" customFormat="1">
      <c r="A195" s="257"/>
      <c r="B195" s="198"/>
      <c r="C195" s="198"/>
      <c r="D195" s="198"/>
      <c r="E195" s="198"/>
      <c r="F195" s="198"/>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row>
    <row r="196" spans="1:42">
      <c r="A196" s="180" t="s">
        <v>238</v>
      </c>
      <c r="B196" s="265">
        <f>IF(ISERROR(IRR(B191:AP191)),"N/A",IRR(B191:AP191))</f>
        <v>0.16992409373348949</v>
      </c>
      <c r="C196" s="152"/>
      <c r="D196" s="152"/>
      <c r="E196" s="152"/>
      <c r="F196" s="152"/>
      <c r="G196" s="186"/>
      <c r="H196" s="186"/>
      <c r="I196" s="186"/>
      <c r="J196" s="186"/>
      <c r="K196" s="186"/>
      <c r="L196" s="186"/>
      <c r="M196" s="186"/>
      <c r="N196" s="186"/>
      <c r="O196" s="186"/>
      <c r="P196" s="186"/>
      <c r="Q196" s="186"/>
      <c r="R196" s="186"/>
      <c r="S196" s="186"/>
      <c r="T196" s="186"/>
      <c r="U196" s="186"/>
      <c r="V196" s="186"/>
      <c r="W196" s="186"/>
      <c r="X196" s="186"/>
      <c r="Y196" s="186"/>
      <c r="Z196" s="186"/>
      <c r="AA196" s="186"/>
      <c r="AB196" s="186"/>
      <c r="AC196" s="186"/>
      <c r="AD196" s="186"/>
      <c r="AE196" s="186"/>
      <c r="AF196" s="186"/>
      <c r="AG196" s="186"/>
      <c r="AH196" s="186"/>
      <c r="AI196" s="186"/>
      <c r="AJ196" s="186"/>
      <c r="AK196" s="186"/>
      <c r="AL196" s="186"/>
      <c r="AM196" s="186"/>
      <c r="AN196" s="186"/>
      <c r="AO196" s="186"/>
      <c r="AP196" s="186"/>
    </row>
    <row r="197" spans="1:42">
      <c r="A197" s="180" t="s">
        <v>217</v>
      </c>
      <c r="B197" s="196">
        <f>NPV(DiscountRate,$C191:$AP191)+B191</f>
        <v>9186415.7091502137</v>
      </c>
      <c r="C197" s="152"/>
      <c r="D197" s="152"/>
      <c r="E197" s="152"/>
      <c r="F197" s="152"/>
      <c r="G197" s="186"/>
      <c r="H197" s="186"/>
      <c r="I197" s="186"/>
      <c r="J197" s="186"/>
      <c r="K197" s="186"/>
      <c r="L197" s="186"/>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row>
    <row r="198" spans="1:42">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198"/>
      <c r="AK198" s="198"/>
      <c r="AL198" s="198"/>
      <c r="AM198" s="198"/>
      <c r="AN198" s="186"/>
      <c r="AO198" s="186"/>
      <c r="AP198" s="186"/>
    </row>
    <row r="199" spans="1:42">
      <c r="A199" s="179" t="s">
        <v>115</v>
      </c>
    </row>
    <row r="200" spans="1:42" s="118" customFormat="1">
      <c r="A200" s="195" t="s">
        <v>133</v>
      </c>
    </row>
    <row r="201" spans="1:42" s="118" customFormat="1">
      <c r="A201" s="42" t="s">
        <v>116</v>
      </c>
      <c r="C201" s="198">
        <f t="shared" ref="C201:AP201" si="109">C43</f>
        <v>5196278.8641012413</v>
      </c>
      <c r="D201" s="198">
        <f t="shared" si="109"/>
        <v>5231371.2011751039</v>
      </c>
      <c r="E201" s="198">
        <f t="shared" si="109"/>
        <v>5266441.1631142814</v>
      </c>
      <c r="F201" s="198">
        <f t="shared" si="109"/>
        <v>5301486.0752409911</v>
      </c>
      <c r="G201" s="198">
        <f t="shared" si="109"/>
        <v>5336503.1954141138</v>
      </c>
      <c r="H201" s="198">
        <f t="shared" si="109"/>
        <v>5371489.7125221742</v>
      </c>
      <c r="I201" s="198">
        <f t="shared" si="109"/>
        <v>5406442.7449431084</v>
      </c>
      <c r="J201" s="198">
        <f t="shared" si="109"/>
        <v>5441359.3389700148</v>
      </c>
      <c r="K201" s="198">
        <f t="shared" si="109"/>
        <v>5476236.4672022071</v>
      </c>
      <c r="L201" s="198">
        <f t="shared" si="109"/>
        <v>5511071.0269007143</v>
      </c>
      <c r="M201" s="198">
        <f t="shared" si="109"/>
        <v>5545859.8383075185</v>
      </c>
      <c r="N201" s="198">
        <f t="shared" si="109"/>
        <v>5580599.642927669</v>
      </c>
      <c r="O201" s="198">
        <f t="shared" si="109"/>
        <v>5615287.1017734949</v>
      </c>
      <c r="P201" s="198">
        <f t="shared" si="109"/>
        <v>5649918.7935699988</v>
      </c>
      <c r="Q201" s="198">
        <f t="shared" si="109"/>
        <v>5684491.2129206778</v>
      </c>
      <c r="R201" s="198">
        <f t="shared" si="109"/>
        <v>5719000.768432783</v>
      </c>
      <c r="S201" s="198">
        <f t="shared" si="109"/>
        <v>5753443.7808012189</v>
      </c>
      <c r="T201" s="198">
        <f t="shared" si="109"/>
        <v>5787816.4808500409</v>
      </c>
      <c r="U201" s="198">
        <f t="shared" si="109"/>
        <v>5822115.0075307526</v>
      </c>
      <c r="V201" s="198">
        <f t="shared" si="109"/>
        <v>5856335.4058763143</v>
      </c>
      <c r="W201" s="198">
        <f t="shared" si="109"/>
        <v>5890473.6249099653</v>
      </c>
      <c r="X201" s="198">
        <f t="shared" si="109"/>
        <v>5910194.5933202924</v>
      </c>
      <c r="Y201" s="198">
        <f t="shared" si="109"/>
        <v>5929824.9838390741</v>
      </c>
      <c r="Z201" s="198">
        <f t="shared" si="109"/>
        <v>5949360.4444457889</v>
      </c>
      <c r="AA201" s="198">
        <f t="shared" si="109"/>
        <v>5968796.518272779</v>
      </c>
      <c r="AB201" s="198">
        <f t="shared" si="109"/>
        <v>5988128.6412724042</v>
      </c>
      <c r="AC201" s="198">
        <f t="shared" si="109"/>
        <v>6007352.1398326084</v>
      </c>
      <c r="AD201" s="198">
        <f t="shared" si="109"/>
        <v>6026462.228339741</v>
      </c>
      <c r="AE201" s="198">
        <f t="shared" si="109"/>
        <v>6045454.0066874484</v>
      </c>
      <c r="AF201" s="198">
        <f t="shared" si="109"/>
        <v>10087037.457730416</v>
      </c>
      <c r="AG201" s="198">
        <f t="shared" si="109"/>
        <v>0</v>
      </c>
      <c r="AH201" s="198">
        <f t="shared" si="109"/>
        <v>0</v>
      </c>
      <c r="AI201" s="198">
        <f t="shared" si="109"/>
        <v>0</v>
      </c>
      <c r="AJ201" s="198">
        <f t="shared" si="109"/>
        <v>0</v>
      </c>
      <c r="AK201" s="198">
        <f t="shared" si="109"/>
        <v>0</v>
      </c>
      <c r="AL201" s="198">
        <f t="shared" si="109"/>
        <v>0</v>
      </c>
      <c r="AM201" s="198">
        <f t="shared" si="109"/>
        <v>0</v>
      </c>
      <c r="AN201" s="198">
        <f t="shared" si="109"/>
        <v>0</v>
      </c>
      <c r="AO201" s="198">
        <f t="shared" si="109"/>
        <v>0</v>
      </c>
      <c r="AP201" s="198">
        <f t="shared" si="109"/>
        <v>0</v>
      </c>
    </row>
    <row r="202" spans="1:42" s="118" customFormat="1">
      <c r="A202" s="42" t="s">
        <v>129</v>
      </c>
      <c r="C202" s="198">
        <f t="shared" ref="C202:AP202" si="110">C701</f>
        <v>6125.0000000000009</v>
      </c>
      <c r="D202" s="198">
        <f t="shared" si="110"/>
        <v>18205.811846654171</v>
      </c>
      <c r="E202" s="198">
        <f t="shared" si="110"/>
        <v>30286.623693308342</v>
      </c>
      <c r="F202" s="198">
        <f t="shared" si="110"/>
        <v>40564.541789962517</v>
      </c>
      <c r="G202" s="198">
        <f t="shared" si="110"/>
        <v>52672.804722215893</v>
      </c>
      <c r="H202" s="198">
        <f t="shared" si="110"/>
        <v>64781.067654469291</v>
      </c>
      <c r="I202" s="198">
        <f t="shared" si="110"/>
        <v>75004.083579925034</v>
      </c>
      <c r="J202" s="198">
        <f t="shared" si="110"/>
        <v>87141.051518759807</v>
      </c>
      <c r="K202" s="198">
        <f t="shared" si="110"/>
        <v>99278.01945759455</v>
      </c>
      <c r="L202" s="198">
        <f t="shared" si="110"/>
        <v>109443.62536988755</v>
      </c>
      <c r="M202" s="198">
        <f t="shared" si="110"/>
        <v>121610.60951335869</v>
      </c>
      <c r="N202" s="198">
        <f t="shared" si="110"/>
        <v>133777.59365682982</v>
      </c>
      <c r="O202" s="198">
        <f t="shared" si="110"/>
        <v>92347.901148577046</v>
      </c>
      <c r="P202" s="198">
        <f t="shared" si="110"/>
        <v>105386.37546337843</v>
      </c>
      <c r="Q202" s="198">
        <f t="shared" si="110"/>
        <v>118424.84977817982</v>
      </c>
      <c r="R202" s="198">
        <f t="shared" si="110"/>
        <v>21529.125128545482</v>
      </c>
      <c r="S202" s="198">
        <f t="shared" si="110"/>
        <v>36398.398355727615</v>
      </c>
      <c r="T202" s="198">
        <f t="shared" si="110"/>
        <v>51267.671582909745</v>
      </c>
      <c r="U202" s="198">
        <f t="shared" si="110"/>
        <v>63882.909231071135</v>
      </c>
      <c r="V202" s="198">
        <f t="shared" si="110"/>
        <v>78786.502685733882</v>
      </c>
      <c r="W202" s="198">
        <f t="shared" si="110"/>
        <v>93690.096140396621</v>
      </c>
      <c r="X202" s="198">
        <f t="shared" si="110"/>
        <v>106236.69333359678</v>
      </c>
      <c r="Y202" s="198">
        <f t="shared" si="110"/>
        <v>121176.17470796108</v>
      </c>
      <c r="Z202" s="198">
        <f t="shared" si="110"/>
        <v>136115.65608232541</v>
      </c>
      <c r="AA202" s="198">
        <f t="shared" si="110"/>
        <v>86973.976921940499</v>
      </c>
      <c r="AB202" s="198">
        <f t="shared" si="110"/>
        <v>96816.277141678642</v>
      </c>
      <c r="AC202" s="198">
        <f t="shared" si="110"/>
        <v>106658.57736141678</v>
      </c>
      <c r="AD202" s="198">
        <f t="shared" si="110"/>
        <v>113923.63589592067</v>
      </c>
      <c r="AE202" s="198">
        <f t="shared" si="110"/>
        <v>123805.1775197134</v>
      </c>
      <c r="AF202" s="198">
        <f t="shared" si="110"/>
        <v>133686.71914350611</v>
      </c>
      <c r="AG202" s="198">
        <f t="shared" si="110"/>
        <v>0</v>
      </c>
      <c r="AH202" s="198">
        <f t="shared" si="110"/>
        <v>0</v>
      </c>
      <c r="AI202" s="198">
        <f t="shared" si="110"/>
        <v>0</v>
      </c>
      <c r="AJ202" s="198">
        <f t="shared" si="110"/>
        <v>0</v>
      </c>
      <c r="AK202" s="198">
        <f t="shared" si="110"/>
        <v>0</v>
      </c>
      <c r="AL202" s="198">
        <f t="shared" si="110"/>
        <v>0</v>
      </c>
      <c r="AM202" s="198">
        <f t="shared" si="110"/>
        <v>0</v>
      </c>
      <c r="AN202" s="198">
        <f t="shared" si="110"/>
        <v>0</v>
      </c>
      <c r="AO202" s="198">
        <f t="shared" si="110"/>
        <v>0</v>
      </c>
      <c r="AP202" s="198">
        <f t="shared" si="110"/>
        <v>0</v>
      </c>
    </row>
    <row r="203" spans="1:42" s="42" customFormat="1">
      <c r="A203" s="42" t="s">
        <v>120</v>
      </c>
      <c r="B203" s="118"/>
      <c r="C203" s="203">
        <f t="shared" ref="C203:AP203" si="111">IF(C$2&lt;=AnalysisPeriod,-C324-C354-C380-C406,0)</f>
        <v>-9570362.3533339538</v>
      </c>
      <c r="D203" s="203">
        <f t="shared" si="111"/>
        <v>-12184308.388143159</v>
      </c>
      <c r="E203" s="203">
        <f t="shared" si="111"/>
        <v>-7394721.7041599089</v>
      </c>
      <c r="F203" s="203">
        <f t="shared" si="111"/>
        <v>-4519165.5128529593</v>
      </c>
      <c r="G203" s="203">
        <f t="shared" si="111"/>
        <v>-4501017.1353312097</v>
      </c>
      <c r="H203" s="203">
        <f t="shared" si="111"/>
        <v>-2348308.7999739978</v>
      </c>
      <c r="I203" s="203">
        <f t="shared" si="111"/>
        <v>-197278.41679746023</v>
      </c>
      <c r="J203" s="203">
        <f t="shared" si="111"/>
        <v>-177490.65051499024</v>
      </c>
      <c r="K203" s="203">
        <f t="shared" si="111"/>
        <v>-185941.73516256438</v>
      </c>
      <c r="L203" s="203">
        <f t="shared" si="111"/>
        <v>-199330.77613620803</v>
      </c>
      <c r="M203" s="203">
        <f t="shared" si="111"/>
        <v>-178835.38523091414</v>
      </c>
      <c r="N203" s="203">
        <f t="shared" si="111"/>
        <v>-776383.34368626145</v>
      </c>
      <c r="O203" s="203">
        <f t="shared" si="111"/>
        <v>-1144032.2822207254</v>
      </c>
      <c r="P203" s="203">
        <f t="shared" si="111"/>
        <v>-745393.40848954162</v>
      </c>
      <c r="Q203" s="203">
        <f t="shared" si="111"/>
        <v>-1760211.6827439526</v>
      </c>
      <c r="R203" s="203">
        <f t="shared" si="111"/>
        <v>-2473452.1192961545</v>
      </c>
      <c r="S203" s="203">
        <f t="shared" si="111"/>
        <v>-1452487.1448670365</v>
      </c>
      <c r="T203" s="203">
        <f t="shared" si="111"/>
        <v>-819383.83402110427</v>
      </c>
      <c r="U203" s="203">
        <f t="shared" si="111"/>
        <v>-834840.07799153216</v>
      </c>
      <c r="V203" s="203">
        <f t="shared" si="111"/>
        <v>-456512.85430775199</v>
      </c>
      <c r="W203" s="203">
        <f t="shared" si="111"/>
        <v>-79499.878474022116</v>
      </c>
      <c r="X203" s="203">
        <f t="shared" si="111"/>
        <v>-63444.622177622747</v>
      </c>
      <c r="Y203" s="203">
        <f t="shared" si="111"/>
        <v>-38785.88098797667</v>
      </c>
      <c r="Z203" s="203">
        <f t="shared" si="111"/>
        <v>-753379.15782900061</v>
      </c>
      <c r="AA203" s="203">
        <f t="shared" si="111"/>
        <v>-1192792.8300672807</v>
      </c>
      <c r="AB203" s="203">
        <f t="shared" si="111"/>
        <v>-716327.02817538683</v>
      </c>
      <c r="AC203" s="203">
        <f t="shared" si="111"/>
        <v>-456798.58379355073</v>
      </c>
      <c r="AD203" s="203">
        <f t="shared" si="111"/>
        <v>-474471.09820658562</v>
      </c>
      <c r="AE203" s="203">
        <f t="shared" si="111"/>
        <v>-244701.85349164059</v>
      </c>
      <c r="AF203" s="203">
        <f t="shared" si="111"/>
        <v>-1593253.0046477679</v>
      </c>
      <c r="AG203" s="203">
        <f t="shared" si="111"/>
        <v>0</v>
      </c>
      <c r="AH203" s="203">
        <f t="shared" si="111"/>
        <v>0</v>
      </c>
      <c r="AI203" s="203">
        <f t="shared" si="111"/>
        <v>0</v>
      </c>
      <c r="AJ203" s="203">
        <f t="shared" si="111"/>
        <v>0</v>
      </c>
      <c r="AK203" s="203">
        <f t="shared" si="111"/>
        <v>0</v>
      </c>
      <c r="AL203" s="203">
        <f t="shared" si="111"/>
        <v>0</v>
      </c>
      <c r="AM203" s="203">
        <f t="shared" si="111"/>
        <v>0</v>
      </c>
      <c r="AN203" s="203">
        <f t="shared" si="111"/>
        <v>0</v>
      </c>
      <c r="AO203" s="203">
        <f t="shared" si="111"/>
        <v>0</v>
      </c>
      <c r="AP203" s="203">
        <f t="shared" si="111"/>
        <v>0</v>
      </c>
    </row>
    <row r="204" spans="1:42" s="118" customFormat="1">
      <c r="A204" s="42" t="s">
        <v>118</v>
      </c>
      <c r="C204" s="198">
        <f t="shared" ref="C204:AP204" si="112">SUM(C201:C203)</f>
        <v>-4367958.4892327124</v>
      </c>
      <c r="D204" s="198">
        <f t="shared" si="112"/>
        <v>-6934731.3751214016</v>
      </c>
      <c r="E204" s="198">
        <f t="shared" si="112"/>
        <v>-2097993.9173523188</v>
      </c>
      <c r="F204" s="198">
        <f t="shared" si="112"/>
        <v>822885.10417799465</v>
      </c>
      <c r="G204" s="198">
        <f t="shared" si="112"/>
        <v>888158.86480512004</v>
      </c>
      <c r="H204" s="198">
        <f t="shared" si="112"/>
        <v>3087961.9802026455</v>
      </c>
      <c r="I204" s="198">
        <f t="shared" si="112"/>
        <v>5284168.4117255732</v>
      </c>
      <c r="J204" s="198">
        <f t="shared" si="112"/>
        <v>5351009.7399737844</v>
      </c>
      <c r="K204" s="198">
        <f t="shared" si="112"/>
        <v>5389572.751497237</v>
      </c>
      <c r="L204" s="198">
        <f t="shared" si="112"/>
        <v>5421183.8761343937</v>
      </c>
      <c r="M204" s="198">
        <f t="shared" si="112"/>
        <v>5488635.0625899639</v>
      </c>
      <c r="N204" s="198">
        <f t="shared" si="112"/>
        <v>4937993.8928982373</v>
      </c>
      <c r="O204" s="198">
        <f t="shared" si="112"/>
        <v>4563602.7207013462</v>
      </c>
      <c r="P204" s="198">
        <f t="shared" si="112"/>
        <v>5009911.7605438363</v>
      </c>
      <c r="Q204" s="198">
        <f t="shared" si="112"/>
        <v>4042704.3799549052</v>
      </c>
      <c r="R204" s="198">
        <f t="shared" si="112"/>
        <v>3267077.7742651743</v>
      </c>
      <c r="S204" s="198">
        <f t="shared" si="112"/>
        <v>4337355.0342899105</v>
      </c>
      <c r="T204" s="198">
        <f t="shared" si="112"/>
        <v>5019700.3184118457</v>
      </c>
      <c r="U204" s="198">
        <f t="shared" si="112"/>
        <v>5051157.8387702918</v>
      </c>
      <c r="V204" s="198">
        <f t="shared" si="112"/>
        <v>5478609.0542542962</v>
      </c>
      <c r="W204" s="198">
        <f t="shared" si="112"/>
        <v>5904663.8425763398</v>
      </c>
      <c r="X204" s="198">
        <f t="shared" si="112"/>
        <v>5952986.6644762661</v>
      </c>
      <c r="Y204" s="198">
        <f t="shared" si="112"/>
        <v>6012215.2775590587</v>
      </c>
      <c r="Z204" s="198">
        <f t="shared" si="112"/>
        <v>5332096.9426991139</v>
      </c>
      <c r="AA204" s="198">
        <f t="shared" si="112"/>
        <v>4862977.6651274385</v>
      </c>
      <c r="AB204" s="198">
        <f t="shared" si="112"/>
        <v>5368617.8902386967</v>
      </c>
      <c r="AC204" s="198">
        <f t="shared" si="112"/>
        <v>5657212.1334004747</v>
      </c>
      <c r="AD204" s="198">
        <f t="shared" si="112"/>
        <v>5665914.7660290767</v>
      </c>
      <c r="AE204" s="198">
        <f t="shared" si="112"/>
        <v>5924557.3307155212</v>
      </c>
      <c r="AF204" s="198">
        <f t="shared" si="112"/>
        <v>8627471.1722261552</v>
      </c>
      <c r="AG204" s="198">
        <f t="shared" si="112"/>
        <v>0</v>
      </c>
      <c r="AH204" s="198">
        <f t="shared" si="112"/>
        <v>0</v>
      </c>
      <c r="AI204" s="198">
        <f t="shared" si="112"/>
        <v>0</v>
      </c>
      <c r="AJ204" s="198">
        <f t="shared" si="112"/>
        <v>0</v>
      </c>
      <c r="AK204" s="198">
        <f t="shared" si="112"/>
        <v>0</v>
      </c>
      <c r="AL204" s="198">
        <f t="shared" si="112"/>
        <v>0</v>
      </c>
      <c r="AM204" s="198">
        <f t="shared" si="112"/>
        <v>0</v>
      </c>
      <c r="AN204" s="198">
        <f t="shared" si="112"/>
        <v>0</v>
      </c>
      <c r="AO204" s="198">
        <f t="shared" si="112"/>
        <v>0</v>
      </c>
      <c r="AP204" s="198">
        <f t="shared" si="112"/>
        <v>0</v>
      </c>
    </row>
    <row r="205" spans="1:42" s="118" customFormat="1">
      <c r="A205" s="42" t="str">
        <f>'Inputs &amp; Results'!A48</f>
        <v>Investment Based Incentive (IBI)</v>
      </c>
    </row>
    <row r="206" spans="1:42" s="118" customFormat="1">
      <c r="A206" s="204" t="str">
        <f>'Inputs &amp; Results'!A49</f>
        <v>Fixed Amount ($)</v>
      </c>
    </row>
    <row r="207" spans="1:42" s="118" customFormat="1">
      <c r="A207" s="205" t="str">
        <f>'Inputs &amp; Results'!A50</f>
        <v>Federal</v>
      </c>
      <c r="C207" s="198">
        <f>IF(IBIFedFixedStateTax="Yes",C558,0)</f>
        <v>1000</v>
      </c>
    </row>
    <row r="208" spans="1:42" s="118" customFormat="1">
      <c r="A208" s="205" t="str">
        <f>'Inputs &amp; Results'!A51</f>
        <v>State</v>
      </c>
      <c r="C208" s="198">
        <f>IF(IBIStateFixedStateTax="Yes",C559,0)</f>
        <v>2000</v>
      </c>
    </row>
    <row r="209" spans="1:42" s="118" customFormat="1">
      <c r="A209" s="205" t="str">
        <f>'Inputs &amp; Results'!A52</f>
        <v>Utility</v>
      </c>
      <c r="C209" s="198">
        <f>IF(IBIUtilityFixedStateTax="Yes",C560,0)</f>
        <v>500</v>
      </c>
    </row>
    <row r="210" spans="1:42">
      <c r="A210" s="205" t="str">
        <f>'Inputs &amp; Results'!A53</f>
        <v>Other</v>
      </c>
      <c r="C210" s="203">
        <f>IF(IBIOtherFixedStateTax="Yes",C561,0)</f>
        <v>250</v>
      </c>
      <c r="D210" s="186"/>
      <c r="E210" s="186"/>
      <c r="F210" s="186"/>
      <c r="G210" s="186"/>
      <c r="H210" s="186"/>
      <c r="I210" s="186"/>
      <c r="J210" s="186"/>
      <c r="K210" s="186"/>
      <c r="L210" s="186"/>
      <c r="M210" s="186"/>
      <c r="N210" s="186"/>
      <c r="O210" s="186"/>
      <c r="P210" s="186"/>
      <c r="Q210" s="186"/>
      <c r="R210" s="186"/>
      <c r="S210" s="186"/>
      <c r="T210" s="186"/>
      <c r="U210" s="186"/>
      <c r="V210" s="186"/>
      <c r="W210" s="186"/>
      <c r="X210" s="186"/>
      <c r="Y210" s="186"/>
      <c r="Z210" s="186"/>
      <c r="AA210" s="186"/>
      <c r="AB210" s="186"/>
      <c r="AC210" s="186"/>
      <c r="AD210" s="186"/>
      <c r="AE210" s="186"/>
      <c r="AF210" s="186"/>
      <c r="AG210" s="186"/>
      <c r="AH210" s="186"/>
      <c r="AI210" s="186"/>
      <c r="AJ210" s="186"/>
      <c r="AK210" s="186"/>
      <c r="AL210" s="186"/>
      <c r="AM210" s="186"/>
      <c r="AN210" s="186"/>
      <c r="AO210" s="186"/>
      <c r="AP210" s="186"/>
    </row>
    <row r="211" spans="1:42">
      <c r="A211" s="205" t="s">
        <v>53</v>
      </c>
      <c r="C211" s="186">
        <f>SUM(C207:C210)</f>
        <v>3750</v>
      </c>
      <c r="D211" s="186"/>
      <c r="E211" s="186"/>
      <c r="F211" s="186"/>
      <c r="G211" s="186"/>
      <c r="H211" s="186"/>
      <c r="I211" s="186"/>
      <c r="J211" s="186"/>
      <c r="K211" s="186"/>
      <c r="L211" s="186"/>
      <c r="M211" s="186"/>
      <c r="N211" s="186"/>
      <c r="O211" s="186"/>
      <c r="P211" s="186"/>
      <c r="Q211" s="186"/>
      <c r="R211" s="186"/>
      <c r="S211" s="186"/>
      <c r="T211" s="186"/>
      <c r="U211" s="186"/>
      <c r="V211" s="186"/>
      <c r="W211" s="186"/>
      <c r="X211" s="186"/>
      <c r="Y211" s="186"/>
      <c r="Z211" s="186"/>
      <c r="AA211" s="186"/>
      <c r="AB211" s="186"/>
      <c r="AC211" s="186"/>
      <c r="AD211" s="186"/>
      <c r="AE211" s="186"/>
      <c r="AF211" s="186"/>
      <c r="AG211" s="186"/>
      <c r="AH211" s="186"/>
      <c r="AI211" s="186"/>
      <c r="AJ211" s="186"/>
      <c r="AK211" s="186"/>
      <c r="AL211" s="186"/>
      <c r="AM211" s="186"/>
      <c r="AN211" s="186"/>
      <c r="AO211" s="186"/>
      <c r="AP211" s="186"/>
    </row>
    <row r="212" spans="1:42">
      <c r="A212" s="204" t="str">
        <f>'Inputs &amp; Results'!A54</f>
        <v>Percentage of Pre-Financing Costs</v>
      </c>
      <c r="C212" s="186"/>
      <c r="D212" s="186"/>
      <c r="E212" s="186"/>
      <c r="F212" s="186"/>
      <c r="G212" s="186"/>
      <c r="H212" s="186"/>
      <c r="I212" s="186"/>
      <c r="J212" s="186"/>
      <c r="K212" s="186"/>
      <c r="L212" s="186"/>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row>
    <row r="213" spans="1:42">
      <c r="A213" s="205" t="str">
        <f>'Inputs &amp; Results'!A55</f>
        <v>Federal</v>
      </c>
      <c r="C213" s="198">
        <f>IF(IBIFedPercentStateTax="Yes",C564,0)</f>
        <v>2011357.5</v>
      </c>
      <c r="D213" s="186"/>
      <c r="E213" s="186"/>
      <c r="F213" s="186"/>
      <c r="G213" s="186"/>
      <c r="H213" s="186"/>
      <c r="I213" s="186"/>
      <c r="J213" s="186"/>
      <c r="K213" s="186"/>
      <c r="L213" s="186"/>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row>
    <row r="214" spans="1:42">
      <c r="A214" s="205" t="str">
        <f>'Inputs &amp; Results'!A56</f>
        <v>State</v>
      </c>
      <c r="C214" s="198">
        <f>IF(IBIStatePercentStateTax="Yes",C565,0)</f>
        <v>4022715</v>
      </c>
      <c r="D214" s="186"/>
      <c r="E214" s="186"/>
      <c r="F214" s="186"/>
      <c r="G214" s="186"/>
      <c r="H214" s="186"/>
      <c r="I214" s="186"/>
      <c r="J214" s="186"/>
      <c r="K214" s="186"/>
      <c r="L214" s="186"/>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row>
    <row r="215" spans="1:42">
      <c r="A215" s="205" t="str">
        <f>'Inputs &amp; Results'!A57</f>
        <v>Utility</v>
      </c>
      <c r="C215" s="198">
        <f>IF(IBIUtilityPercentStateTax="Yes",C566,0)</f>
        <v>402271.5</v>
      </c>
      <c r="D215" s="186"/>
      <c r="E215" s="186"/>
      <c r="F215" s="186"/>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205" t="str">
        <f>'Inputs &amp; Results'!A58</f>
        <v>Other</v>
      </c>
      <c r="C216" s="203">
        <f>IF(IBIOtherPercentStateTax="Yes",C567,0)</f>
        <v>201135.75</v>
      </c>
      <c r="D216" s="186"/>
      <c r="E216" s="186"/>
      <c r="F216" s="186"/>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A217" s="205" t="s">
        <v>53</v>
      </c>
      <c r="C217" s="186">
        <f>SUM(C213:C216)</f>
        <v>6637479.75</v>
      </c>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row>
    <row r="218" spans="1:42">
      <c r="A218" s="197" t="str">
        <f>'Inputs &amp; Results'!A59</f>
        <v>Capacity Based Incentive (CBI) ($/DC-Watt)</v>
      </c>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row>
    <row r="219" spans="1:42">
      <c r="A219" s="204" t="str">
        <f>'Inputs &amp; Results'!A60</f>
        <v>Federal</v>
      </c>
      <c r="C219" s="141">
        <f>IF(CBIFedStateTax="Yes",C570,0)</f>
        <v>5000000</v>
      </c>
      <c r="D219" s="186"/>
      <c r="E219" s="186"/>
      <c r="F219" s="186"/>
      <c r="G219" s="186"/>
      <c r="H219" s="186"/>
      <c r="I219" s="186"/>
      <c r="J219" s="186"/>
      <c r="K219" s="186"/>
      <c r="L219" s="186"/>
      <c r="M219" s="186"/>
      <c r="N219" s="186"/>
      <c r="O219" s="186"/>
      <c r="P219" s="186"/>
      <c r="Q219" s="186"/>
      <c r="R219" s="186"/>
      <c r="S219" s="186"/>
      <c r="T219" s="186"/>
      <c r="U219" s="186"/>
      <c r="V219" s="186"/>
      <c r="W219" s="186"/>
      <c r="X219" s="186"/>
      <c r="Y219" s="186"/>
      <c r="Z219" s="186"/>
      <c r="AA219" s="186"/>
      <c r="AB219" s="186"/>
      <c r="AC219" s="186"/>
      <c r="AD219" s="186"/>
      <c r="AE219" s="186"/>
      <c r="AF219" s="186"/>
      <c r="AG219" s="186"/>
      <c r="AH219" s="186"/>
      <c r="AI219" s="186"/>
      <c r="AJ219" s="186"/>
      <c r="AK219" s="186"/>
      <c r="AL219" s="186"/>
      <c r="AM219" s="186"/>
      <c r="AN219" s="186"/>
      <c r="AO219" s="186"/>
      <c r="AP219" s="186"/>
    </row>
    <row r="220" spans="1:42">
      <c r="A220" s="204" t="str">
        <f>'Inputs &amp; Results'!A61</f>
        <v>State</v>
      </c>
      <c r="C220" s="141">
        <f>IF(CBIStateStateTax="Yes",C571,0)</f>
        <v>2000000</v>
      </c>
      <c r="D220" s="186"/>
      <c r="E220" s="186"/>
      <c r="F220" s="186"/>
      <c r="G220" s="186"/>
      <c r="H220" s="186"/>
      <c r="I220" s="186"/>
      <c r="J220" s="186"/>
      <c r="K220" s="186"/>
      <c r="L220" s="186"/>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row>
    <row r="221" spans="1:42">
      <c r="A221" s="204" t="str">
        <f>'Inputs &amp; Results'!A62</f>
        <v>Utility</v>
      </c>
      <c r="C221" s="141">
        <f>IF(CBIUtilityStateTax="Yes",C572,0)</f>
        <v>100000</v>
      </c>
      <c r="D221" s="186"/>
      <c r="E221" s="186"/>
      <c r="F221" s="186"/>
      <c r="G221" s="186"/>
      <c r="H221" s="186"/>
      <c r="I221" s="186"/>
      <c r="J221" s="186"/>
      <c r="K221" s="186"/>
      <c r="L221" s="186"/>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row>
    <row r="222" spans="1:42">
      <c r="A222" s="204" t="str">
        <f>'Inputs &amp; Results'!A63</f>
        <v>Other</v>
      </c>
      <c r="C222" s="203">
        <f>IF(CBIOtherStateTax="Yes",C573,0)</f>
        <v>50000</v>
      </c>
      <c r="D222" s="186"/>
      <c r="E222" s="186"/>
      <c r="F222" s="186"/>
      <c r="G222" s="186"/>
      <c r="H222" s="186"/>
      <c r="I222" s="186"/>
      <c r="J222" s="186"/>
      <c r="K222" s="186"/>
      <c r="L222" s="186"/>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row>
    <row r="223" spans="1:42">
      <c r="A223" s="204" t="s">
        <v>53</v>
      </c>
      <c r="C223" s="186">
        <f>SUM(C219:C222)</f>
        <v>7150000</v>
      </c>
      <c r="D223" s="186"/>
      <c r="E223" s="186"/>
      <c r="F223" s="186"/>
      <c r="G223" s="186"/>
      <c r="H223" s="186"/>
      <c r="I223" s="186"/>
      <c r="J223" s="186"/>
      <c r="K223" s="186"/>
      <c r="L223" s="186"/>
      <c r="M223" s="186"/>
      <c r="N223" s="186"/>
      <c r="O223" s="186"/>
      <c r="P223" s="186"/>
      <c r="Q223" s="186"/>
      <c r="R223" s="186"/>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row>
    <row r="224" spans="1:42">
      <c r="A224" s="197" t="str">
        <f>'Inputs &amp; Results'!A66</f>
        <v>Production Based Incentive (PBI) ($/kWh)</v>
      </c>
      <c r="C224" s="186"/>
      <c r="D224" s="186"/>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row>
    <row r="225" spans="1:42">
      <c r="A225" s="204" t="str">
        <f>'Inputs &amp; Results'!A67</f>
        <v>Federal</v>
      </c>
      <c r="C225" s="141">
        <f t="shared" ref="C225:AP225" si="113">IF(PBIFedStateTax="Yes",0,-C580)</f>
        <v>0</v>
      </c>
      <c r="D225" s="141">
        <f t="shared" si="113"/>
        <v>0</v>
      </c>
      <c r="E225" s="141">
        <f t="shared" si="113"/>
        <v>0</v>
      </c>
      <c r="F225" s="141">
        <f t="shared" si="113"/>
        <v>0</v>
      </c>
      <c r="G225" s="141">
        <f t="shared" si="113"/>
        <v>0</v>
      </c>
      <c r="H225" s="141">
        <f t="shared" si="113"/>
        <v>0</v>
      </c>
      <c r="I225" s="141">
        <f t="shared" si="113"/>
        <v>0</v>
      </c>
      <c r="J225" s="141">
        <f t="shared" si="113"/>
        <v>0</v>
      </c>
      <c r="K225" s="141">
        <f t="shared" si="113"/>
        <v>0</v>
      </c>
      <c r="L225" s="141">
        <f t="shared" si="113"/>
        <v>0</v>
      </c>
      <c r="M225" s="141">
        <f t="shared" si="113"/>
        <v>0</v>
      </c>
      <c r="N225" s="141">
        <f t="shared" si="113"/>
        <v>0</v>
      </c>
      <c r="O225" s="141">
        <f t="shared" si="113"/>
        <v>0</v>
      </c>
      <c r="P225" s="141">
        <f t="shared" si="113"/>
        <v>0</v>
      </c>
      <c r="Q225" s="141">
        <f t="shared" si="113"/>
        <v>0</v>
      </c>
      <c r="R225" s="141">
        <f t="shared" si="113"/>
        <v>0</v>
      </c>
      <c r="S225" s="141">
        <f t="shared" si="113"/>
        <v>0</v>
      </c>
      <c r="T225" s="141">
        <f t="shared" si="113"/>
        <v>0</v>
      </c>
      <c r="U225" s="141">
        <f t="shared" si="113"/>
        <v>0</v>
      </c>
      <c r="V225" s="141">
        <f t="shared" si="113"/>
        <v>0</v>
      </c>
      <c r="W225" s="141">
        <f t="shared" si="113"/>
        <v>0</v>
      </c>
      <c r="X225" s="141">
        <f t="shared" si="113"/>
        <v>0</v>
      </c>
      <c r="Y225" s="141">
        <f t="shared" si="113"/>
        <v>0</v>
      </c>
      <c r="Z225" s="141">
        <f t="shared" si="113"/>
        <v>0</v>
      </c>
      <c r="AA225" s="141">
        <f t="shared" si="113"/>
        <v>0</v>
      </c>
      <c r="AB225" s="141">
        <f t="shared" si="113"/>
        <v>0</v>
      </c>
      <c r="AC225" s="141">
        <f t="shared" si="113"/>
        <v>0</v>
      </c>
      <c r="AD225" s="141">
        <f t="shared" si="113"/>
        <v>0</v>
      </c>
      <c r="AE225" s="141">
        <f t="shared" si="113"/>
        <v>0</v>
      </c>
      <c r="AF225" s="141">
        <f t="shared" si="113"/>
        <v>0</v>
      </c>
      <c r="AG225" s="141">
        <f t="shared" si="113"/>
        <v>0</v>
      </c>
      <c r="AH225" s="141">
        <f t="shared" si="113"/>
        <v>0</v>
      </c>
      <c r="AI225" s="141">
        <f t="shared" si="113"/>
        <v>0</v>
      </c>
      <c r="AJ225" s="141">
        <f t="shared" si="113"/>
        <v>0</v>
      </c>
      <c r="AK225" s="141">
        <f t="shared" si="113"/>
        <v>0</v>
      </c>
      <c r="AL225" s="141">
        <f t="shared" si="113"/>
        <v>0</v>
      </c>
      <c r="AM225" s="141">
        <f t="shared" si="113"/>
        <v>0</v>
      </c>
      <c r="AN225" s="141">
        <f t="shared" si="113"/>
        <v>0</v>
      </c>
      <c r="AO225" s="141">
        <f t="shared" si="113"/>
        <v>0</v>
      </c>
      <c r="AP225" s="141">
        <f t="shared" si="113"/>
        <v>0</v>
      </c>
    </row>
    <row r="226" spans="1:42">
      <c r="A226" s="204" t="str">
        <f>'Inputs &amp; Results'!A68</f>
        <v>State</v>
      </c>
      <c r="C226" s="141">
        <f t="shared" ref="C226:AP226" si="114">IF(PBIStateStateTax="Yes",0,-C584)</f>
        <v>0</v>
      </c>
      <c r="D226" s="141">
        <f t="shared" si="114"/>
        <v>0</v>
      </c>
      <c r="E226" s="141">
        <f t="shared" si="114"/>
        <v>0</v>
      </c>
      <c r="F226" s="141">
        <f t="shared" si="114"/>
        <v>0</v>
      </c>
      <c r="G226" s="141">
        <f t="shared" si="114"/>
        <v>0</v>
      </c>
      <c r="H226" s="141">
        <f t="shared" si="114"/>
        <v>0</v>
      </c>
      <c r="I226" s="141">
        <f t="shared" si="114"/>
        <v>0</v>
      </c>
      <c r="J226" s="141">
        <f t="shared" si="114"/>
        <v>0</v>
      </c>
      <c r="K226" s="141">
        <f t="shared" si="114"/>
        <v>0</v>
      </c>
      <c r="L226" s="141">
        <f t="shared" si="114"/>
        <v>0</v>
      </c>
      <c r="M226" s="141">
        <f t="shared" si="114"/>
        <v>0</v>
      </c>
      <c r="N226" s="141">
        <f t="shared" si="114"/>
        <v>0</v>
      </c>
      <c r="O226" s="141">
        <f t="shared" si="114"/>
        <v>0</v>
      </c>
      <c r="P226" s="141">
        <f t="shared" si="114"/>
        <v>0</v>
      </c>
      <c r="Q226" s="141">
        <f t="shared" si="114"/>
        <v>0</v>
      </c>
      <c r="R226" s="141">
        <f t="shared" si="114"/>
        <v>0</v>
      </c>
      <c r="S226" s="141">
        <f t="shared" si="114"/>
        <v>0</v>
      </c>
      <c r="T226" s="141">
        <f t="shared" si="114"/>
        <v>0</v>
      </c>
      <c r="U226" s="141">
        <f t="shared" si="114"/>
        <v>0</v>
      </c>
      <c r="V226" s="141">
        <f t="shared" si="114"/>
        <v>0</v>
      </c>
      <c r="W226" s="141">
        <f t="shared" si="114"/>
        <v>0</v>
      </c>
      <c r="X226" s="141">
        <f t="shared" si="114"/>
        <v>0</v>
      </c>
      <c r="Y226" s="141">
        <f t="shared" si="114"/>
        <v>0</v>
      </c>
      <c r="Z226" s="141">
        <f t="shared" si="114"/>
        <v>0</v>
      </c>
      <c r="AA226" s="141">
        <f t="shared" si="114"/>
        <v>0</v>
      </c>
      <c r="AB226" s="141">
        <f t="shared" si="114"/>
        <v>0</v>
      </c>
      <c r="AC226" s="141">
        <f t="shared" si="114"/>
        <v>0</v>
      </c>
      <c r="AD226" s="141">
        <f t="shared" si="114"/>
        <v>0</v>
      </c>
      <c r="AE226" s="141">
        <f t="shared" si="114"/>
        <v>0</v>
      </c>
      <c r="AF226" s="141">
        <f t="shared" si="114"/>
        <v>0</v>
      </c>
      <c r="AG226" s="141">
        <f t="shared" si="114"/>
        <v>0</v>
      </c>
      <c r="AH226" s="141">
        <f t="shared" si="114"/>
        <v>0</v>
      </c>
      <c r="AI226" s="141">
        <f t="shared" si="114"/>
        <v>0</v>
      </c>
      <c r="AJ226" s="141">
        <f t="shared" si="114"/>
        <v>0</v>
      </c>
      <c r="AK226" s="141">
        <f t="shared" si="114"/>
        <v>0</v>
      </c>
      <c r="AL226" s="141">
        <f t="shared" si="114"/>
        <v>0</v>
      </c>
      <c r="AM226" s="141">
        <f t="shared" si="114"/>
        <v>0</v>
      </c>
      <c r="AN226" s="141">
        <f t="shared" si="114"/>
        <v>0</v>
      </c>
      <c r="AO226" s="141">
        <f t="shared" si="114"/>
        <v>0</v>
      </c>
      <c r="AP226" s="141">
        <f t="shared" si="114"/>
        <v>0</v>
      </c>
    </row>
    <row r="227" spans="1:42">
      <c r="A227" s="204" t="str">
        <f>'Inputs &amp; Results'!A69</f>
        <v>Utility</v>
      </c>
      <c r="C227" s="141">
        <f t="shared" ref="C227:AP227" si="115">IF(PBIUtilityStateTax="Yes",0,-C588)</f>
        <v>0</v>
      </c>
      <c r="D227" s="141">
        <f t="shared" si="115"/>
        <v>0</v>
      </c>
      <c r="E227" s="141">
        <f t="shared" si="115"/>
        <v>0</v>
      </c>
      <c r="F227" s="141">
        <f t="shared" si="115"/>
        <v>0</v>
      </c>
      <c r="G227" s="141">
        <f t="shared" si="115"/>
        <v>0</v>
      </c>
      <c r="H227" s="141">
        <f t="shared" si="115"/>
        <v>0</v>
      </c>
      <c r="I227" s="141">
        <f t="shared" si="115"/>
        <v>0</v>
      </c>
      <c r="J227" s="141">
        <f t="shared" si="115"/>
        <v>0</v>
      </c>
      <c r="K227" s="141">
        <f t="shared" si="115"/>
        <v>0</v>
      </c>
      <c r="L227" s="141">
        <f t="shared" si="115"/>
        <v>0</v>
      </c>
      <c r="M227" s="141">
        <f t="shared" si="115"/>
        <v>0</v>
      </c>
      <c r="N227" s="141">
        <f t="shared" si="115"/>
        <v>0</v>
      </c>
      <c r="O227" s="141">
        <f t="shared" si="115"/>
        <v>0</v>
      </c>
      <c r="P227" s="141">
        <f t="shared" si="115"/>
        <v>0</v>
      </c>
      <c r="Q227" s="141">
        <f t="shared" si="115"/>
        <v>0</v>
      </c>
      <c r="R227" s="141">
        <f t="shared" si="115"/>
        <v>0</v>
      </c>
      <c r="S227" s="141">
        <f t="shared" si="115"/>
        <v>0</v>
      </c>
      <c r="T227" s="141">
        <f t="shared" si="115"/>
        <v>0</v>
      </c>
      <c r="U227" s="141">
        <f t="shared" si="115"/>
        <v>0</v>
      </c>
      <c r="V227" s="141">
        <f t="shared" si="115"/>
        <v>0</v>
      </c>
      <c r="W227" s="141">
        <f t="shared" si="115"/>
        <v>0</v>
      </c>
      <c r="X227" s="141">
        <f t="shared" si="115"/>
        <v>0</v>
      </c>
      <c r="Y227" s="141">
        <f t="shared" si="115"/>
        <v>0</v>
      </c>
      <c r="Z227" s="141">
        <f t="shared" si="115"/>
        <v>0</v>
      </c>
      <c r="AA227" s="141">
        <f t="shared" si="115"/>
        <v>0</v>
      </c>
      <c r="AB227" s="141">
        <f t="shared" si="115"/>
        <v>0</v>
      </c>
      <c r="AC227" s="141">
        <f t="shared" si="115"/>
        <v>0</v>
      </c>
      <c r="AD227" s="141">
        <f t="shared" si="115"/>
        <v>0</v>
      </c>
      <c r="AE227" s="141">
        <f t="shared" si="115"/>
        <v>0</v>
      </c>
      <c r="AF227" s="141">
        <f t="shared" si="115"/>
        <v>0</v>
      </c>
      <c r="AG227" s="141">
        <f t="shared" si="115"/>
        <v>0</v>
      </c>
      <c r="AH227" s="141">
        <f t="shared" si="115"/>
        <v>0</v>
      </c>
      <c r="AI227" s="141">
        <f t="shared" si="115"/>
        <v>0</v>
      </c>
      <c r="AJ227" s="141">
        <f t="shared" si="115"/>
        <v>0</v>
      </c>
      <c r="AK227" s="141">
        <f t="shared" si="115"/>
        <v>0</v>
      </c>
      <c r="AL227" s="141">
        <f t="shared" si="115"/>
        <v>0</v>
      </c>
      <c r="AM227" s="141">
        <f t="shared" si="115"/>
        <v>0</v>
      </c>
      <c r="AN227" s="141">
        <f t="shared" si="115"/>
        <v>0</v>
      </c>
      <c r="AO227" s="141">
        <f t="shared" si="115"/>
        <v>0</v>
      </c>
      <c r="AP227" s="141">
        <f t="shared" si="115"/>
        <v>0</v>
      </c>
    </row>
    <row r="228" spans="1:42">
      <c r="A228" s="204" t="str">
        <f>'Inputs &amp; Results'!A70</f>
        <v>Other</v>
      </c>
      <c r="C228" s="203">
        <f t="shared" ref="C228:AP228" si="116">IF(PBIOtherStateTax="Yes",0,-C592)</f>
        <v>0</v>
      </c>
      <c r="D228" s="203">
        <f t="shared" si="116"/>
        <v>0</v>
      </c>
      <c r="E228" s="203">
        <f t="shared" si="116"/>
        <v>0</v>
      </c>
      <c r="F228" s="203">
        <f t="shared" si="116"/>
        <v>0</v>
      </c>
      <c r="G228" s="203">
        <f t="shared" si="116"/>
        <v>0</v>
      </c>
      <c r="H228" s="203">
        <f t="shared" si="116"/>
        <v>0</v>
      </c>
      <c r="I228" s="203">
        <f t="shared" si="116"/>
        <v>0</v>
      </c>
      <c r="J228" s="203">
        <f t="shared" si="116"/>
        <v>0</v>
      </c>
      <c r="K228" s="203">
        <f t="shared" si="116"/>
        <v>0</v>
      </c>
      <c r="L228" s="203">
        <f t="shared" si="116"/>
        <v>0</v>
      </c>
      <c r="M228" s="203">
        <f t="shared" si="116"/>
        <v>0</v>
      </c>
      <c r="N228" s="203">
        <f t="shared" si="116"/>
        <v>0</v>
      </c>
      <c r="O228" s="203">
        <f t="shared" si="116"/>
        <v>0</v>
      </c>
      <c r="P228" s="203">
        <f t="shared" si="116"/>
        <v>0</v>
      </c>
      <c r="Q228" s="203">
        <f t="shared" si="116"/>
        <v>0</v>
      </c>
      <c r="R228" s="203">
        <f t="shared" si="116"/>
        <v>0</v>
      </c>
      <c r="S228" s="203">
        <f t="shared" si="116"/>
        <v>0</v>
      </c>
      <c r="T228" s="203">
        <f t="shared" si="116"/>
        <v>0</v>
      </c>
      <c r="U228" s="203">
        <f t="shared" si="116"/>
        <v>0</v>
      </c>
      <c r="V228" s="203">
        <f t="shared" si="116"/>
        <v>0</v>
      </c>
      <c r="W228" s="203">
        <f t="shared" si="116"/>
        <v>0</v>
      </c>
      <c r="X228" s="203">
        <f t="shared" si="116"/>
        <v>0</v>
      </c>
      <c r="Y228" s="203">
        <f t="shared" si="116"/>
        <v>0</v>
      </c>
      <c r="Z228" s="203">
        <f t="shared" si="116"/>
        <v>0</v>
      </c>
      <c r="AA228" s="203">
        <f t="shared" si="116"/>
        <v>0</v>
      </c>
      <c r="AB228" s="203">
        <f t="shared" si="116"/>
        <v>0</v>
      </c>
      <c r="AC228" s="203">
        <f t="shared" si="116"/>
        <v>0</v>
      </c>
      <c r="AD228" s="203">
        <f t="shared" si="116"/>
        <v>0</v>
      </c>
      <c r="AE228" s="203">
        <f t="shared" si="116"/>
        <v>0</v>
      </c>
      <c r="AF228" s="203">
        <f t="shared" si="116"/>
        <v>0</v>
      </c>
      <c r="AG228" s="203">
        <f t="shared" si="116"/>
        <v>0</v>
      </c>
      <c r="AH228" s="203">
        <f t="shared" si="116"/>
        <v>0</v>
      </c>
      <c r="AI228" s="203">
        <f t="shared" si="116"/>
        <v>0</v>
      </c>
      <c r="AJ228" s="203">
        <f t="shared" si="116"/>
        <v>0</v>
      </c>
      <c r="AK228" s="203">
        <f t="shared" si="116"/>
        <v>0</v>
      </c>
      <c r="AL228" s="203">
        <f t="shared" si="116"/>
        <v>0</v>
      </c>
      <c r="AM228" s="203">
        <f t="shared" si="116"/>
        <v>0</v>
      </c>
      <c r="AN228" s="203">
        <f t="shared" si="116"/>
        <v>0</v>
      </c>
      <c r="AO228" s="203">
        <f t="shared" si="116"/>
        <v>0</v>
      </c>
      <c r="AP228" s="203">
        <f t="shared" si="116"/>
        <v>0</v>
      </c>
    </row>
    <row r="229" spans="1:42">
      <c r="A229" s="204" t="s">
        <v>53</v>
      </c>
      <c r="C229" s="194">
        <f>SUM(C225:C228)</f>
        <v>0</v>
      </c>
      <c r="D229" s="194">
        <f t="shared" ref="D229:AL229" si="117">SUM(D225:D228)</f>
        <v>0</v>
      </c>
      <c r="E229" s="194">
        <f t="shared" si="117"/>
        <v>0</v>
      </c>
      <c r="F229" s="194">
        <f t="shared" si="117"/>
        <v>0</v>
      </c>
      <c r="G229" s="194">
        <f t="shared" si="117"/>
        <v>0</v>
      </c>
      <c r="H229" s="194">
        <f t="shared" si="117"/>
        <v>0</v>
      </c>
      <c r="I229" s="194">
        <f t="shared" si="117"/>
        <v>0</v>
      </c>
      <c r="J229" s="194">
        <f t="shared" si="117"/>
        <v>0</v>
      </c>
      <c r="K229" s="194">
        <f t="shared" si="117"/>
        <v>0</v>
      </c>
      <c r="L229" s="194">
        <f t="shared" si="117"/>
        <v>0</v>
      </c>
      <c r="M229" s="194">
        <f t="shared" si="117"/>
        <v>0</v>
      </c>
      <c r="N229" s="194">
        <f t="shared" si="117"/>
        <v>0</v>
      </c>
      <c r="O229" s="194">
        <f t="shared" si="117"/>
        <v>0</v>
      </c>
      <c r="P229" s="194">
        <f t="shared" si="117"/>
        <v>0</v>
      </c>
      <c r="Q229" s="194">
        <f t="shared" si="117"/>
        <v>0</v>
      </c>
      <c r="R229" s="194">
        <f t="shared" si="117"/>
        <v>0</v>
      </c>
      <c r="S229" s="194">
        <f t="shared" si="117"/>
        <v>0</v>
      </c>
      <c r="T229" s="194">
        <f t="shared" si="117"/>
        <v>0</v>
      </c>
      <c r="U229" s="194">
        <f t="shared" si="117"/>
        <v>0</v>
      </c>
      <c r="V229" s="194">
        <f t="shared" si="117"/>
        <v>0</v>
      </c>
      <c r="W229" s="194">
        <f t="shared" si="117"/>
        <v>0</v>
      </c>
      <c r="X229" s="194">
        <f t="shared" si="117"/>
        <v>0</v>
      </c>
      <c r="Y229" s="194">
        <f t="shared" si="117"/>
        <v>0</v>
      </c>
      <c r="Z229" s="194">
        <f t="shared" si="117"/>
        <v>0</v>
      </c>
      <c r="AA229" s="194">
        <f t="shared" si="117"/>
        <v>0</v>
      </c>
      <c r="AB229" s="194">
        <f t="shared" si="117"/>
        <v>0</v>
      </c>
      <c r="AC229" s="194">
        <f t="shared" si="117"/>
        <v>0</v>
      </c>
      <c r="AD229" s="194">
        <f t="shared" si="117"/>
        <v>0</v>
      </c>
      <c r="AE229" s="194">
        <f t="shared" si="117"/>
        <v>0</v>
      </c>
      <c r="AF229" s="194">
        <f t="shared" si="117"/>
        <v>0</v>
      </c>
      <c r="AG229" s="194">
        <f t="shared" si="117"/>
        <v>0</v>
      </c>
      <c r="AH229" s="194">
        <f t="shared" si="117"/>
        <v>0</v>
      </c>
      <c r="AI229" s="194">
        <f t="shared" si="117"/>
        <v>0</v>
      </c>
      <c r="AJ229" s="194">
        <f t="shared" si="117"/>
        <v>0</v>
      </c>
      <c r="AK229" s="194">
        <f t="shared" si="117"/>
        <v>0</v>
      </c>
      <c r="AL229" s="194">
        <f t="shared" si="117"/>
        <v>0</v>
      </c>
      <c r="AM229" s="194">
        <f>SUM(AM225:AM228)</f>
        <v>0</v>
      </c>
      <c r="AN229" s="194">
        <f t="shared" ref="AN229:AP229" si="118">SUM(AN225:AN228)</f>
        <v>0</v>
      </c>
      <c r="AO229" s="194">
        <f t="shared" si="118"/>
        <v>0</v>
      </c>
      <c r="AP229" s="194">
        <f t="shared" si="118"/>
        <v>0</v>
      </c>
    </row>
    <row r="230" spans="1:42">
      <c r="A230" s="197" t="s">
        <v>131</v>
      </c>
      <c r="C230" s="186">
        <f>C211+C217+C223+C229</f>
        <v>13791229.75</v>
      </c>
      <c r="D230" s="186">
        <f t="shared" ref="D230:AP230" si="119">D211+D217+D223+D229</f>
        <v>0</v>
      </c>
      <c r="E230" s="186">
        <f t="shared" si="119"/>
        <v>0</v>
      </c>
      <c r="F230" s="186">
        <f t="shared" si="119"/>
        <v>0</v>
      </c>
      <c r="G230" s="186">
        <f t="shared" si="119"/>
        <v>0</v>
      </c>
      <c r="H230" s="186">
        <f t="shared" si="119"/>
        <v>0</v>
      </c>
      <c r="I230" s="186">
        <f t="shared" si="119"/>
        <v>0</v>
      </c>
      <c r="J230" s="186">
        <f t="shared" si="119"/>
        <v>0</v>
      </c>
      <c r="K230" s="186">
        <f t="shared" si="119"/>
        <v>0</v>
      </c>
      <c r="L230" s="186">
        <f t="shared" si="119"/>
        <v>0</v>
      </c>
      <c r="M230" s="186">
        <f t="shared" si="119"/>
        <v>0</v>
      </c>
      <c r="N230" s="186">
        <f t="shared" si="119"/>
        <v>0</v>
      </c>
      <c r="O230" s="186">
        <f t="shared" si="119"/>
        <v>0</v>
      </c>
      <c r="P230" s="186">
        <f t="shared" si="119"/>
        <v>0</v>
      </c>
      <c r="Q230" s="186">
        <f t="shared" si="119"/>
        <v>0</v>
      </c>
      <c r="R230" s="186">
        <f t="shared" si="119"/>
        <v>0</v>
      </c>
      <c r="S230" s="186">
        <f t="shared" si="119"/>
        <v>0</v>
      </c>
      <c r="T230" s="186">
        <f t="shared" si="119"/>
        <v>0</v>
      </c>
      <c r="U230" s="186">
        <f t="shared" si="119"/>
        <v>0</v>
      </c>
      <c r="V230" s="186">
        <f t="shared" si="119"/>
        <v>0</v>
      </c>
      <c r="W230" s="186">
        <f t="shared" si="119"/>
        <v>0</v>
      </c>
      <c r="X230" s="186">
        <f t="shared" si="119"/>
        <v>0</v>
      </c>
      <c r="Y230" s="186">
        <f t="shared" si="119"/>
        <v>0</v>
      </c>
      <c r="Z230" s="186">
        <f t="shared" si="119"/>
        <v>0</v>
      </c>
      <c r="AA230" s="186">
        <f t="shared" si="119"/>
        <v>0</v>
      </c>
      <c r="AB230" s="186">
        <f t="shared" si="119"/>
        <v>0</v>
      </c>
      <c r="AC230" s="186">
        <f t="shared" si="119"/>
        <v>0</v>
      </c>
      <c r="AD230" s="186">
        <f t="shared" si="119"/>
        <v>0</v>
      </c>
      <c r="AE230" s="186">
        <f t="shared" si="119"/>
        <v>0</v>
      </c>
      <c r="AF230" s="186">
        <f t="shared" si="119"/>
        <v>0</v>
      </c>
      <c r="AG230" s="186">
        <f t="shared" si="119"/>
        <v>0</v>
      </c>
      <c r="AH230" s="186">
        <f t="shared" si="119"/>
        <v>0</v>
      </c>
      <c r="AI230" s="186">
        <f t="shared" si="119"/>
        <v>0</v>
      </c>
      <c r="AJ230" s="186">
        <f t="shared" si="119"/>
        <v>0</v>
      </c>
      <c r="AK230" s="186">
        <f t="shared" si="119"/>
        <v>0</v>
      </c>
      <c r="AL230" s="186">
        <f t="shared" si="119"/>
        <v>0</v>
      </c>
      <c r="AM230" s="186">
        <f t="shared" si="119"/>
        <v>0</v>
      </c>
      <c r="AN230" s="186">
        <f t="shared" si="119"/>
        <v>0</v>
      </c>
      <c r="AO230" s="186">
        <f t="shared" si="119"/>
        <v>0</v>
      </c>
      <c r="AP230" s="186">
        <f t="shared" si="119"/>
        <v>0</v>
      </c>
    </row>
    <row r="231" spans="1:42">
      <c r="A231" s="204"/>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197" t="s">
        <v>132</v>
      </c>
      <c r="C232" s="186">
        <f>C204+C230</f>
        <v>9423271.2607672885</v>
      </c>
      <c r="D232" s="186">
        <f t="shared" ref="D232:AP232" si="120">D204+D230</f>
        <v>-6934731.3751214016</v>
      </c>
      <c r="E232" s="186">
        <f t="shared" si="120"/>
        <v>-2097993.9173523188</v>
      </c>
      <c r="F232" s="186">
        <f t="shared" si="120"/>
        <v>822885.10417799465</v>
      </c>
      <c r="G232" s="186">
        <f t="shared" si="120"/>
        <v>888158.86480512004</v>
      </c>
      <c r="H232" s="186">
        <f t="shared" si="120"/>
        <v>3087961.9802026455</v>
      </c>
      <c r="I232" s="186">
        <f t="shared" si="120"/>
        <v>5284168.4117255732</v>
      </c>
      <c r="J232" s="186">
        <f t="shared" si="120"/>
        <v>5351009.7399737844</v>
      </c>
      <c r="K232" s="186">
        <f t="shared" si="120"/>
        <v>5389572.751497237</v>
      </c>
      <c r="L232" s="186">
        <f t="shared" si="120"/>
        <v>5421183.8761343937</v>
      </c>
      <c r="M232" s="186">
        <f t="shared" si="120"/>
        <v>5488635.0625899639</v>
      </c>
      <c r="N232" s="186">
        <f t="shared" si="120"/>
        <v>4937993.8928982373</v>
      </c>
      <c r="O232" s="186">
        <f t="shared" si="120"/>
        <v>4563602.7207013462</v>
      </c>
      <c r="P232" s="186">
        <f t="shared" si="120"/>
        <v>5009911.7605438363</v>
      </c>
      <c r="Q232" s="186">
        <f t="shared" si="120"/>
        <v>4042704.3799549052</v>
      </c>
      <c r="R232" s="186">
        <f t="shared" si="120"/>
        <v>3267077.7742651743</v>
      </c>
      <c r="S232" s="186">
        <f t="shared" si="120"/>
        <v>4337355.0342899105</v>
      </c>
      <c r="T232" s="186">
        <f t="shared" si="120"/>
        <v>5019700.3184118457</v>
      </c>
      <c r="U232" s="186">
        <f t="shared" si="120"/>
        <v>5051157.8387702918</v>
      </c>
      <c r="V232" s="186">
        <f t="shared" si="120"/>
        <v>5478609.0542542962</v>
      </c>
      <c r="W232" s="186">
        <f t="shared" si="120"/>
        <v>5904663.8425763398</v>
      </c>
      <c r="X232" s="186">
        <f t="shared" si="120"/>
        <v>5952986.6644762661</v>
      </c>
      <c r="Y232" s="186">
        <f t="shared" si="120"/>
        <v>6012215.2775590587</v>
      </c>
      <c r="Z232" s="186">
        <f t="shared" si="120"/>
        <v>5332096.9426991139</v>
      </c>
      <c r="AA232" s="186">
        <f t="shared" si="120"/>
        <v>4862977.6651274385</v>
      </c>
      <c r="AB232" s="186">
        <f t="shared" si="120"/>
        <v>5368617.8902386967</v>
      </c>
      <c r="AC232" s="186">
        <f t="shared" si="120"/>
        <v>5657212.1334004747</v>
      </c>
      <c r="AD232" s="186">
        <f t="shared" si="120"/>
        <v>5665914.7660290767</v>
      </c>
      <c r="AE232" s="186">
        <f t="shared" si="120"/>
        <v>5924557.3307155212</v>
      </c>
      <c r="AF232" s="186">
        <f t="shared" si="120"/>
        <v>8627471.1722261552</v>
      </c>
      <c r="AG232" s="186">
        <f t="shared" si="120"/>
        <v>0</v>
      </c>
      <c r="AH232" s="186">
        <f t="shared" si="120"/>
        <v>0</v>
      </c>
      <c r="AI232" s="186">
        <f t="shared" si="120"/>
        <v>0</v>
      </c>
      <c r="AJ232" s="186">
        <f t="shared" si="120"/>
        <v>0</v>
      </c>
      <c r="AK232" s="186">
        <f t="shared" si="120"/>
        <v>0</v>
      </c>
      <c r="AL232" s="186">
        <f t="shared" si="120"/>
        <v>0</v>
      </c>
      <c r="AM232" s="186">
        <f t="shared" si="120"/>
        <v>0</v>
      </c>
      <c r="AN232" s="186">
        <f t="shared" si="120"/>
        <v>0</v>
      </c>
      <c r="AO232" s="186">
        <f t="shared" si="120"/>
        <v>0</v>
      </c>
      <c r="AP232" s="186">
        <f t="shared" si="120"/>
        <v>0</v>
      </c>
    </row>
    <row r="233" spans="1:42">
      <c r="A233" s="197" t="s">
        <v>130</v>
      </c>
      <c r="C233" s="194">
        <f t="shared" ref="C233:AP233" si="121">C232*-StateTax</f>
        <v>-518279.91934220085</v>
      </c>
      <c r="D233" s="194">
        <f t="shared" si="121"/>
        <v>381410.22563167708</v>
      </c>
      <c r="E233" s="194">
        <f t="shared" si="121"/>
        <v>115389.66545437754</v>
      </c>
      <c r="F233" s="194">
        <f t="shared" si="121"/>
        <v>-45258.680729789703</v>
      </c>
      <c r="G233" s="194">
        <f t="shared" si="121"/>
        <v>-48848.737564281604</v>
      </c>
      <c r="H233" s="194">
        <f t="shared" si="121"/>
        <v>-169837.9089111455</v>
      </c>
      <c r="I233" s="194">
        <f t="shared" si="121"/>
        <v>-290629.26264490653</v>
      </c>
      <c r="J233" s="194">
        <f t="shared" si="121"/>
        <v>-294305.53569855815</v>
      </c>
      <c r="K233" s="194">
        <f t="shared" si="121"/>
        <v>-296426.50133234804</v>
      </c>
      <c r="L233" s="194">
        <f t="shared" si="121"/>
        <v>-298165.11318739166</v>
      </c>
      <c r="M233" s="194">
        <f t="shared" si="121"/>
        <v>-301874.92844244803</v>
      </c>
      <c r="N233" s="194">
        <f t="shared" si="121"/>
        <v>-271589.66410940303</v>
      </c>
      <c r="O233" s="194">
        <f t="shared" si="121"/>
        <v>-250998.14963857405</v>
      </c>
      <c r="P233" s="194">
        <f t="shared" si="121"/>
        <v>-275545.14682991098</v>
      </c>
      <c r="Q233" s="194">
        <f t="shared" si="121"/>
        <v>-222348.74089751978</v>
      </c>
      <c r="R233" s="194">
        <f t="shared" si="121"/>
        <v>-179689.27758458458</v>
      </c>
      <c r="S233" s="194">
        <f t="shared" si="121"/>
        <v>-238554.52688594509</v>
      </c>
      <c r="T233" s="194">
        <f t="shared" si="121"/>
        <v>-276083.51751265151</v>
      </c>
      <c r="U233" s="194">
        <f t="shared" si="121"/>
        <v>-277813.68113236607</v>
      </c>
      <c r="V233" s="194">
        <f t="shared" si="121"/>
        <v>-301323.49798398628</v>
      </c>
      <c r="W233" s="194">
        <f t="shared" si="121"/>
        <v>-324756.5113416987</v>
      </c>
      <c r="X233" s="194">
        <f t="shared" si="121"/>
        <v>-327414.26654619462</v>
      </c>
      <c r="Y233" s="194">
        <f t="shared" si="121"/>
        <v>-330671.84026574821</v>
      </c>
      <c r="Z233" s="194">
        <f t="shared" si="121"/>
        <v>-293265.33184845129</v>
      </c>
      <c r="AA233" s="194">
        <f t="shared" si="121"/>
        <v>-267463.7715820091</v>
      </c>
      <c r="AB233" s="194">
        <f t="shared" si="121"/>
        <v>-295273.9839631283</v>
      </c>
      <c r="AC233" s="194">
        <f t="shared" si="121"/>
        <v>-311146.6673370261</v>
      </c>
      <c r="AD233" s="194">
        <f t="shared" si="121"/>
        <v>-311625.31213159923</v>
      </c>
      <c r="AE233" s="194">
        <f t="shared" si="121"/>
        <v>-325850.65318935364</v>
      </c>
      <c r="AF233" s="194">
        <f t="shared" si="121"/>
        <v>-474510.91447243851</v>
      </c>
      <c r="AG233" s="194">
        <f t="shared" si="121"/>
        <v>0</v>
      </c>
      <c r="AH233" s="194">
        <f t="shared" si="121"/>
        <v>0</v>
      </c>
      <c r="AI233" s="194">
        <f t="shared" si="121"/>
        <v>0</v>
      </c>
      <c r="AJ233" s="194">
        <f t="shared" si="121"/>
        <v>0</v>
      </c>
      <c r="AK233" s="194">
        <f t="shared" si="121"/>
        <v>0</v>
      </c>
      <c r="AL233" s="194">
        <f t="shared" si="121"/>
        <v>0</v>
      </c>
      <c r="AM233" s="194">
        <f t="shared" si="121"/>
        <v>0</v>
      </c>
      <c r="AN233" s="194">
        <f t="shared" si="121"/>
        <v>0</v>
      </c>
      <c r="AO233" s="194">
        <f t="shared" si="121"/>
        <v>0</v>
      </c>
      <c r="AP233" s="194">
        <f t="shared" si="121"/>
        <v>0</v>
      </c>
    </row>
    <row r="234" spans="1:42" s="118" customFormat="1">
      <c r="A234" s="42"/>
    </row>
    <row r="235" spans="1:42" s="118" customFormat="1">
      <c r="A235" s="195" t="s">
        <v>119</v>
      </c>
    </row>
    <row r="236" spans="1:42" s="118" customFormat="1">
      <c r="A236" s="42" t="s">
        <v>116</v>
      </c>
      <c r="C236" s="198">
        <f>C$43</f>
        <v>5196278.8641012413</v>
      </c>
      <c r="D236" s="198">
        <f t="shared" ref="D236:AP236" si="122">D$43</f>
        <v>5231371.2011751039</v>
      </c>
      <c r="E236" s="198">
        <f t="shared" si="122"/>
        <v>5266441.1631142814</v>
      </c>
      <c r="F236" s="198">
        <f t="shared" si="122"/>
        <v>5301486.0752409911</v>
      </c>
      <c r="G236" s="198">
        <f t="shared" si="122"/>
        <v>5336503.1954141138</v>
      </c>
      <c r="H236" s="198">
        <f t="shared" si="122"/>
        <v>5371489.7125221742</v>
      </c>
      <c r="I236" s="198">
        <f t="shared" si="122"/>
        <v>5406442.7449431084</v>
      </c>
      <c r="J236" s="198">
        <f t="shared" si="122"/>
        <v>5441359.3389700148</v>
      </c>
      <c r="K236" s="198">
        <f t="shared" si="122"/>
        <v>5476236.4672022071</v>
      </c>
      <c r="L236" s="198">
        <f t="shared" si="122"/>
        <v>5511071.0269007143</v>
      </c>
      <c r="M236" s="198">
        <f t="shared" si="122"/>
        <v>5545859.8383075185</v>
      </c>
      <c r="N236" s="198">
        <f t="shared" si="122"/>
        <v>5580599.642927669</v>
      </c>
      <c r="O236" s="198">
        <f t="shared" si="122"/>
        <v>5615287.1017734949</v>
      </c>
      <c r="P236" s="198">
        <f t="shared" si="122"/>
        <v>5649918.7935699988</v>
      </c>
      <c r="Q236" s="198">
        <f t="shared" si="122"/>
        <v>5684491.2129206778</v>
      </c>
      <c r="R236" s="198">
        <f t="shared" si="122"/>
        <v>5719000.768432783</v>
      </c>
      <c r="S236" s="198">
        <f t="shared" si="122"/>
        <v>5753443.7808012189</v>
      </c>
      <c r="T236" s="198">
        <f t="shared" si="122"/>
        <v>5787816.4808500409</v>
      </c>
      <c r="U236" s="198">
        <f t="shared" si="122"/>
        <v>5822115.0075307526</v>
      </c>
      <c r="V236" s="198">
        <f t="shared" si="122"/>
        <v>5856335.4058763143</v>
      </c>
      <c r="W236" s="198">
        <f t="shared" si="122"/>
        <v>5890473.6249099653</v>
      </c>
      <c r="X236" s="198">
        <f t="shared" si="122"/>
        <v>5910194.5933202924</v>
      </c>
      <c r="Y236" s="198">
        <f t="shared" si="122"/>
        <v>5929824.9838390741</v>
      </c>
      <c r="Z236" s="198">
        <f t="shared" si="122"/>
        <v>5949360.4444457889</v>
      </c>
      <c r="AA236" s="198">
        <f t="shared" si="122"/>
        <v>5968796.518272779</v>
      </c>
      <c r="AB236" s="198">
        <f t="shared" si="122"/>
        <v>5988128.6412724042</v>
      </c>
      <c r="AC236" s="198">
        <f t="shared" si="122"/>
        <v>6007352.1398326084</v>
      </c>
      <c r="AD236" s="198">
        <f t="shared" si="122"/>
        <v>6026462.228339741</v>
      </c>
      <c r="AE236" s="198">
        <f t="shared" si="122"/>
        <v>6045454.0066874484</v>
      </c>
      <c r="AF236" s="198">
        <f t="shared" si="122"/>
        <v>10087037.457730416</v>
      </c>
      <c r="AG236" s="198">
        <f t="shared" si="122"/>
        <v>0</v>
      </c>
      <c r="AH236" s="198">
        <f t="shared" si="122"/>
        <v>0</v>
      </c>
      <c r="AI236" s="198">
        <f t="shared" si="122"/>
        <v>0</v>
      </c>
      <c r="AJ236" s="198">
        <f t="shared" si="122"/>
        <v>0</v>
      </c>
      <c r="AK236" s="198">
        <f t="shared" si="122"/>
        <v>0</v>
      </c>
      <c r="AL236" s="198">
        <f t="shared" si="122"/>
        <v>0</v>
      </c>
      <c r="AM236" s="198">
        <f t="shared" si="122"/>
        <v>0</v>
      </c>
      <c r="AN236" s="198">
        <f t="shared" si="122"/>
        <v>0</v>
      </c>
      <c r="AO236" s="198">
        <f t="shared" si="122"/>
        <v>0</v>
      </c>
      <c r="AP236" s="198">
        <f t="shared" si="122"/>
        <v>0</v>
      </c>
    </row>
    <row r="237" spans="1:42" s="118" customFormat="1">
      <c r="A237" s="42" t="s">
        <v>129</v>
      </c>
      <c r="C237" s="198">
        <f t="shared" ref="C237:AP237" si="123">C701</f>
        <v>6125.0000000000009</v>
      </c>
      <c r="D237" s="198">
        <f t="shared" si="123"/>
        <v>18205.811846654171</v>
      </c>
      <c r="E237" s="198">
        <f t="shared" si="123"/>
        <v>30286.623693308342</v>
      </c>
      <c r="F237" s="198">
        <f t="shared" si="123"/>
        <v>40564.541789962517</v>
      </c>
      <c r="G237" s="198">
        <f t="shared" si="123"/>
        <v>52672.804722215893</v>
      </c>
      <c r="H237" s="198">
        <f t="shared" si="123"/>
        <v>64781.067654469291</v>
      </c>
      <c r="I237" s="198">
        <f t="shared" si="123"/>
        <v>75004.083579925034</v>
      </c>
      <c r="J237" s="198">
        <f t="shared" si="123"/>
        <v>87141.051518759807</v>
      </c>
      <c r="K237" s="198">
        <f t="shared" si="123"/>
        <v>99278.01945759455</v>
      </c>
      <c r="L237" s="198">
        <f t="shared" si="123"/>
        <v>109443.62536988755</v>
      </c>
      <c r="M237" s="198">
        <f t="shared" si="123"/>
        <v>121610.60951335869</v>
      </c>
      <c r="N237" s="198">
        <f t="shared" si="123"/>
        <v>133777.59365682982</v>
      </c>
      <c r="O237" s="198">
        <f t="shared" si="123"/>
        <v>92347.901148577046</v>
      </c>
      <c r="P237" s="198">
        <f t="shared" si="123"/>
        <v>105386.37546337843</v>
      </c>
      <c r="Q237" s="198">
        <f t="shared" si="123"/>
        <v>118424.84977817982</v>
      </c>
      <c r="R237" s="198">
        <f t="shared" si="123"/>
        <v>21529.125128545482</v>
      </c>
      <c r="S237" s="198">
        <f t="shared" si="123"/>
        <v>36398.398355727615</v>
      </c>
      <c r="T237" s="198">
        <f t="shared" si="123"/>
        <v>51267.671582909745</v>
      </c>
      <c r="U237" s="198">
        <f t="shared" si="123"/>
        <v>63882.909231071135</v>
      </c>
      <c r="V237" s="198">
        <f t="shared" si="123"/>
        <v>78786.502685733882</v>
      </c>
      <c r="W237" s="198">
        <f t="shared" si="123"/>
        <v>93690.096140396621</v>
      </c>
      <c r="X237" s="198">
        <f t="shared" si="123"/>
        <v>106236.69333359678</v>
      </c>
      <c r="Y237" s="198">
        <f t="shared" si="123"/>
        <v>121176.17470796108</v>
      </c>
      <c r="Z237" s="198">
        <f t="shared" si="123"/>
        <v>136115.65608232541</v>
      </c>
      <c r="AA237" s="198">
        <f t="shared" si="123"/>
        <v>86973.976921940499</v>
      </c>
      <c r="AB237" s="198">
        <f t="shared" si="123"/>
        <v>96816.277141678642</v>
      </c>
      <c r="AC237" s="198">
        <f t="shared" si="123"/>
        <v>106658.57736141678</v>
      </c>
      <c r="AD237" s="198">
        <f t="shared" si="123"/>
        <v>113923.63589592067</v>
      </c>
      <c r="AE237" s="198">
        <f t="shared" si="123"/>
        <v>123805.1775197134</v>
      </c>
      <c r="AF237" s="198">
        <f t="shared" si="123"/>
        <v>133686.71914350611</v>
      </c>
      <c r="AG237" s="198">
        <f t="shared" si="123"/>
        <v>0</v>
      </c>
      <c r="AH237" s="198">
        <f t="shared" si="123"/>
        <v>0</v>
      </c>
      <c r="AI237" s="198">
        <f t="shared" si="123"/>
        <v>0</v>
      </c>
      <c r="AJ237" s="198">
        <f t="shared" si="123"/>
        <v>0</v>
      </c>
      <c r="AK237" s="198">
        <f t="shared" si="123"/>
        <v>0</v>
      </c>
      <c r="AL237" s="198">
        <f t="shared" si="123"/>
        <v>0</v>
      </c>
      <c r="AM237" s="198">
        <f t="shared" si="123"/>
        <v>0</v>
      </c>
      <c r="AN237" s="198">
        <f t="shared" si="123"/>
        <v>0</v>
      </c>
      <c r="AO237" s="198">
        <f t="shared" si="123"/>
        <v>0</v>
      </c>
      <c r="AP237" s="198">
        <f t="shared" si="123"/>
        <v>0</v>
      </c>
    </row>
    <row r="238" spans="1:42" s="42" customFormat="1">
      <c r="A238" s="42" t="s">
        <v>120</v>
      </c>
      <c r="B238" s="118"/>
      <c r="C238" s="141">
        <f t="shared" ref="C238:AP238" si="124">IF(C$2&lt;=AnalysisPeriod,-C458-C489-C515-C541,0)</f>
        <v>-11152048.490133956</v>
      </c>
      <c r="D238" s="141">
        <f t="shared" si="124"/>
        <v>-11553633.93342316</v>
      </c>
      <c r="E238" s="141">
        <f t="shared" si="124"/>
        <v>-7016317.0313279098</v>
      </c>
      <c r="F238" s="141">
        <f t="shared" si="124"/>
        <v>-4292122.7091537602</v>
      </c>
      <c r="G238" s="141">
        <f t="shared" si="124"/>
        <v>-4273974.3316320106</v>
      </c>
      <c r="H238" s="141">
        <f t="shared" si="124"/>
        <v>-2234787.3981243977</v>
      </c>
      <c r="I238" s="141">
        <f t="shared" si="124"/>
        <v>-197278.41679746023</v>
      </c>
      <c r="J238" s="141">
        <f t="shared" si="124"/>
        <v>-177490.65051499024</v>
      </c>
      <c r="K238" s="141">
        <f t="shared" si="124"/>
        <v>-185941.73516256438</v>
      </c>
      <c r="L238" s="141">
        <f t="shared" si="124"/>
        <v>-199330.77613620803</v>
      </c>
      <c r="M238" s="141">
        <f t="shared" si="124"/>
        <v>-178835.38523091414</v>
      </c>
      <c r="N238" s="141">
        <f t="shared" si="124"/>
        <v>-776383.34368626145</v>
      </c>
      <c r="O238" s="141">
        <f t="shared" si="124"/>
        <v>-1144032.2822207254</v>
      </c>
      <c r="P238" s="141">
        <f t="shared" si="124"/>
        <v>-745393.40848954162</v>
      </c>
      <c r="Q238" s="141">
        <f t="shared" si="124"/>
        <v>-1760211.6827439526</v>
      </c>
      <c r="R238" s="141">
        <f t="shared" si="124"/>
        <v>-2473452.1192961545</v>
      </c>
      <c r="S238" s="141">
        <f t="shared" si="124"/>
        <v>-1452487.1448670365</v>
      </c>
      <c r="T238" s="141">
        <f t="shared" si="124"/>
        <v>-819383.83402110427</v>
      </c>
      <c r="U238" s="141">
        <f t="shared" si="124"/>
        <v>-834840.07799153216</v>
      </c>
      <c r="V238" s="141">
        <f t="shared" si="124"/>
        <v>-456512.85430775199</v>
      </c>
      <c r="W238" s="141">
        <f t="shared" si="124"/>
        <v>-79499.878474022116</v>
      </c>
      <c r="X238" s="141">
        <f t="shared" si="124"/>
        <v>-63444.622177622747</v>
      </c>
      <c r="Y238" s="141">
        <f t="shared" si="124"/>
        <v>-38785.88098797667</v>
      </c>
      <c r="Z238" s="141">
        <f t="shared" si="124"/>
        <v>-753379.15782900061</v>
      </c>
      <c r="AA238" s="141">
        <f t="shared" si="124"/>
        <v>-1192792.8300672807</v>
      </c>
      <c r="AB238" s="141">
        <f t="shared" si="124"/>
        <v>-716327.02817538683</v>
      </c>
      <c r="AC238" s="141">
        <f t="shared" si="124"/>
        <v>-456798.58379355073</v>
      </c>
      <c r="AD238" s="141">
        <f t="shared" si="124"/>
        <v>-474471.09820658562</v>
      </c>
      <c r="AE238" s="141">
        <f t="shared" si="124"/>
        <v>-244701.85349164059</v>
      </c>
      <c r="AF238" s="141">
        <f t="shared" si="124"/>
        <v>-1593253.0046477679</v>
      </c>
      <c r="AG238" s="141">
        <f t="shared" si="124"/>
        <v>0</v>
      </c>
      <c r="AH238" s="141">
        <f t="shared" si="124"/>
        <v>0</v>
      </c>
      <c r="AI238" s="141">
        <f t="shared" si="124"/>
        <v>0</v>
      </c>
      <c r="AJ238" s="141">
        <f t="shared" si="124"/>
        <v>0</v>
      </c>
      <c r="AK238" s="141">
        <f t="shared" si="124"/>
        <v>0</v>
      </c>
      <c r="AL238" s="141">
        <f t="shared" si="124"/>
        <v>0</v>
      </c>
      <c r="AM238" s="141">
        <f t="shared" si="124"/>
        <v>0</v>
      </c>
      <c r="AN238" s="141">
        <f t="shared" si="124"/>
        <v>0</v>
      </c>
      <c r="AO238" s="141">
        <f t="shared" si="124"/>
        <v>0</v>
      </c>
      <c r="AP238" s="141">
        <f t="shared" si="124"/>
        <v>0</v>
      </c>
    </row>
    <row r="239" spans="1:42" s="118" customFormat="1">
      <c r="A239" s="42" t="s">
        <v>130</v>
      </c>
      <c r="C239" s="141">
        <f>C233</f>
        <v>-518279.91934220085</v>
      </c>
      <c r="D239" s="141">
        <f t="shared" ref="D239:AP239" si="125">D233</f>
        <v>381410.22563167708</v>
      </c>
      <c r="E239" s="141">
        <f t="shared" si="125"/>
        <v>115389.66545437754</v>
      </c>
      <c r="F239" s="141">
        <f t="shared" si="125"/>
        <v>-45258.680729789703</v>
      </c>
      <c r="G239" s="141">
        <f t="shared" si="125"/>
        <v>-48848.737564281604</v>
      </c>
      <c r="H239" s="141">
        <f t="shared" si="125"/>
        <v>-169837.9089111455</v>
      </c>
      <c r="I239" s="141">
        <f t="shared" si="125"/>
        <v>-290629.26264490653</v>
      </c>
      <c r="J239" s="141">
        <f t="shared" si="125"/>
        <v>-294305.53569855815</v>
      </c>
      <c r="K239" s="141">
        <f t="shared" si="125"/>
        <v>-296426.50133234804</v>
      </c>
      <c r="L239" s="141">
        <f t="shared" si="125"/>
        <v>-298165.11318739166</v>
      </c>
      <c r="M239" s="141">
        <f t="shared" si="125"/>
        <v>-301874.92844244803</v>
      </c>
      <c r="N239" s="141">
        <f t="shared" si="125"/>
        <v>-271589.66410940303</v>
      </c>
      <c r="O239" s="141">
        <f t="shared" si="125"/>
        <v>-250998.14963857405</v>
      </c>
      <c r="P239" s="141">
        <f t="shared" si="125"/>
        <v>-275545.14682991098</v>
      </c>
      <c r="Q239" s="141">
        <f t="shared" si="125"/>
        <v>-222348.74089751978</v>
      </c>
      <c r="R239" s="141">
        <f t="shared" si="125"/>
        <v>-179689.27758458458</v>
      </c>
      <c r="S239" s="141">
        <f t="shared" si="125"/>
        <v>-238554.52688594509</v>
      </c>
      <c r="T239" s="141">
        <f t="shared" si="125"/>
        <v>-276083.51751265151</v>
      </c>
      <c r="U239" s="141">
        <f t="shared" si="125"/>
        <v>-277813.68113236607</v>
      </c>
      <c r="V239" s="141">
        <f t="shared" si="125"/>
        <v>-301323.49798398628</v>
      </c>
      <c r="W239" s="141">
        <f t="shared" si="125"/>
        <v>-324756.5113416987</v>
      </c>
      <c r="X239" s="141">
        <f t="shared" si="125"/>
        <v>-327414.26654619462</v>
      </c>
      <c r="Y239" s="141">
        <f t="shared" si="125"/>
        <v>-330671.84026574821</v>
      </c>
      <c r="Z239" s="141">
        <f t="shared" si="125"/>
        <v>-293265.33184845129</v>
      </c>
      <c r="AA239" s="141">
        <f t="shared" si="125"/>
        <v>-267463.7715820091</v>
      </c>
      <c r="AB239" s="141">
        <f t="shared" si="125"/>
        <v>-295273.9839631283</v>
      </c>
      <c r="AC239" s="141">
        <f t="shared" si="125"/>
        <v>-311146.6673370261</v>
      </c>
      <c r="AD239" s="141">
        <f t="shared" si="125"/>
        <v>-311625.31213159923</v>
      </c>
      <c r="AE239" s="141">
        <f t="shared" si="125"/>
        <v>-325850.65318935364</v>
      </c>
      <c r="AF239" s="141">
        <f t="shared" si="125"/>
        <v>-474510.91447243851</v>
      </c>
      <c r="AG239" s="141">
        <f t="shared" si="125"/>
        <v>0</v>
      </c>
      <c r="AH239" s="141">
        <f t="shared" si="125"/>
        <v>0</v>
      </c>
      <c r="AI239" s="141">
        <f t="shared" si="125"/>
        <v>0</v>
      </c>
      <c r="AJ239" s="141">
        <f t="shared" si="125"/>
        <v>0</v>
      </c>
      <c r="AK239" s="141">
        <f t="shared" si="125"/>
        <v>0</v>
      </c>
      <c r="AL239" s="141">
        <f t="shared" si="125"/>
        <v>0</v>
      </c>
      <c r="AM239" s="141">
        <f t="shared" si="125"/>
        <v>0</v>
      </c>
      <c r="AN239" s="141">
        <f t="shared" si="125"/>
        <v>0</v>
      </c>
      <c r="AO239" s="141">
        <f t="shared" si="125"/>
        <v>0</v>
      </c>
      <c r="AP239" s="141">
        <f t="shared" si="125"/>
        <v>0</v>
      </c>
    </row>
    <row r="240" spans="1:42" s="118" customFormat="1">
      <c r="A240" s="42" t="s">
        <v>159</v>
      </c>
      <c r="C240" s="141">
        <f>C90</f>
        <v>20000</v>
      </c>
      <c r="D240" s="141">
        <f t="shared" ref="D240:AP240" si="126">D90</f>
        <v>0</v>
      </c>
      <c r="E240" s="141">
        <f t="shared" si="126"/>
        <v>0</v>
      </c>
      <c r="F240" s="141">
        <f t="shared" si="126"/>
        <v>0</v>
      </c>
      <c r="G240" s="141">
        <f t="shared" si="126"/>
        <v>0</v>
      </c>
      <c r="H240" s="141">
        <f t="shared" si="126"/>
        <v>0</v>
      </c>
      <c r="I240" s="141">
        <f t="shared" si="126"/>
        <v>0</v>
      </c>
      <c r="J240" s="141">
        <f t="shared" si="126"/>
        <v>0</v>
      </c>
      <c r="K240" s="141">
        <f t="shared" si="126"/>
        <v>0</v>
      </c>
      <c r="L240" s="141">
        <f t="shared" si="126"/>
        <v>0</v>
      </c>
      <c r="M240" s="141">
        <f t="shared" si="126"/>
        <v>0</v>
      </c>
      <c r="N240" s="141">
        <f t="shared" si="126"/>
        <v>0</v>
      </c>
      <c r="O240" s="141">
        <f t="shared" si="126"/>
        <v>0</v>
      </c>
      <c r="P240" s="141">
        <f t="shared" si="126"/>
        <v>0</v>
      </c>
      <c r="Q240" s="141">
        <f t="shared" si="126"/>
        <v>0</v>
      </c>
      <c r="R240" s="141">
        <f t="shared" si="126"/>
        <v>0</v>
      </c>
      <c r="S240" s="141">
        <f t="shared" si="126"/>
        <v>0</v>
      </c>
      <c r="T240" s="141">
        <f t="shared" si="126"/>
        <v>0</v>
      </c>
      <c r="U240" s="141">
        <f t="shared" si="126"/>
        <v>0</v>
      </c>
      <c r="V240" s="141">
        <f t="shared" si="126"/>
        <v>0</v>
      </c>
      <c r="W240" s="141">
        <f t="shared" si="126"/>
        <v>0</v>
      </c>
      <c r="X240" s="141">
        <f t="shared" si="126"/>
        <v>0</v>
      </c>
      <c r="Y240" s="141">
        <f t="shared" si="126"/>
        <v>0</v>
      </c>
      <c r="Z240" s="141">
        <f t="shared" si="126"/>
        <v>0</v>
      </c>
      <c r="AA240" s="141">
        <f t="shared" si="126"/>
        <v>0</v>
      </c>
      <c r="AB240" s="141">
        <f t="shared" si="126"/>
        <v>0</v>
      </c>
      <c r="AC240" s="141">
        <f t="shared" si="126"/>
        <v>0</v>
      </c>
      <c r="AD240" s="141">
        <f t="shared" si="126"/>
        <v>0</v>
      </c>
      <c r="AE240" s="141">
        <f t="shared" si="126"/>
        <v>0</v>
      </c>
      <c r="AF240" s="141">
        <f t="shared" si="126"/>
        <v>0</v>
      </c>
      <c r="AG240" s="141">
        <f t="shared" si="126"/>
        <v>0</v>
      </c>
      <c r="AH240" s="141">
        <f t="shared" si="126"/>
        <v>0</v>
      </c>
      <c r="AI240" s="141">
        <f t="shared" si="126"/>
        <v>0</v>
      </c>
      <c r="AJ240" s="141">
        <f t="shared" si="126"/>
        <v>0</v>
      </c>
      <c r="AK240" s="141">
        <f t="shared" si="126"/>
        <v>0</v>
      </c>
      <c r="AL240" s="141">
        <f t="shared" si="126"/>
        <v>0</v>
      </c>
      <c r="AM240" s="141">
        <f t="shared" si="126"/>
        <v>0</v>
      </c>
      <c r="AN240" s="141">
        <f t="shared" si="126"/>
        <v>0</v>
      </c>
      <c r="AO240" s="141">
        <f t="shared" si="126"/>
        <v>0</v>
      </c>
      <c r="AP240" s="141">
        <f t="shared" si="126"/>
        <v>0</v>
      </c>
    </row>
    <row r="241" spans="1:42" s="118" customFormat="1">
      <c r="A241" s="42" t="s">
        <v>567</v>
      </c>
      <c r="C241" s="203">
        <f>C94</f>
        <v>0</v>
      </c>
      <c r="D241" s="203">
        <f t="shared" ref="D241:AP241" si="127">D94</f>
        <v>0</v>
      </c>
      <c r="E241" s="203">
        <f t="shared" si="127"/>
        <v>0</v>
      </c>
      <c r="F241" s="203">
        <f t="shared" si="127"/>
        <v>0</v>
      </c>
      <c r="G241" s="203">
        <f t="shared" si="127"/>
        <v>0</v>
      </c>
      <c r="H241" s="203">
        <f t="shared" si="127"/>
        <v>0</v>
      </c>
      <c r="I241" s="203">
        <f t="shared" si="127"/>
        <v>0</v>
      </c>
      <c r="J241" s="203">
        <f t="shared" si="127"/>
        <v>0</v>
      </c>
      <c r="K241" s="203">
        <f t="shared" si="127"/>
        <v>0</v>
      </c>
      <c r="L241" s="203">
        <f t="shared" si="127"/>
        <v>0</v>
      </c>
      <c r="M241" s="203">
        <f t="shared" si="127"/>
        <v>0</v>
      </c>
      <c r="N241" s="203">
        <f t="shared" si="127"/>
        <v>0</v>
      </c>
      <c r="O241" s="203">
        <f t="shared" si="127"/>
        <v>0</v>
      </c>
      <c r="P241" s="203">
        <f t="shared" si="127"/>
        <v>0</v>
      </c>
      <c r="Q241" s="203">
        <f t="shared" si="127"/>
        <v>0</v>
      </c>
      <c r="R241" s="203">
        <f t="shared" si="127"/>
        <v>0</v>
      </c>
      <c r="S241" s="203">
        <f t="shared" si="127"/>
        <v>0</v>
      </c>
      <c r="T241" s="203">
        <f t="shared" si="127"/>
        <v>0</v>
      </c>
      <c r="U241" s="203">
        <f t="shared" si="127"/>
        <v>0</v>
      </c>
      <c r="V241" s="203">
        <f t="shared" si="127"/>
        <v>0</v>
      </c>
      <c r="W241" s="203">
        <f t="shared" si="127"/>
        <v>0</v>
      </c>
      <c r="X241" s="203">
        <f t="shared" si="127"/>
        <v>0</v>
      </c>
      <c r="Y241" s="203">
        <f t="shared" si="127"/>
        <v>0</v>
      </c>
      <c r="Z241" s="203">
        <f t="shared" si="127"/>
        <v>0</v>
      </c>
      <c r="AA241" s="203">
        <f t="shared" si="127"/>
        <v>0</v>
      </c>
      <c r="AB241" s="203">
        <f t="shared" si="127"/>
        <v>0</v>
      </c>
      <c r="AC241" s="203">
        <f t="shared" si="127"/>
        <v>0</v>
      </c>
      <c r="AD241" s="203">
        <f t="shared" si="127"/>
        <v>0</v>
      </c>
      <c r="AE241" s="203">
        <f t="shared" si="127"/>
        <v>0</v>
      </c>
      <c r="AF241" s="203">
        <f t="shared" si="127"/>
        <v>0</v>
      </c>
      <c r="AG241" s="203">
        <f t="shared" si="127"/>
        <v>0</v>
      </c>
      <c r="AH241" s="203">
        <f t="shared" si="127"/>
        <v>0</v>
      </c>
      <c r="AI241" s="203">
        <f t="shared" si="127"/>
        <v>0</v>
      </c>
      <c r="AJ241" s="203">
        <f t="shared" si="127"/>
        <v>0</v>
      </c>
      <c r="AK241" s="203">
        <f t="shared" si="127"/>
        <v>0</v>
      </c>
      <c r="AL241" s="203">
        <f t="shared" si="127"/>
        <v>0</v>
      </c>
      <c r="AM241" s="203">
        <f t="shared" si="127"/>
        <v>0</v>
      </c>
      <c r="AN241" s="203">
        <f t="shared" si="127"/>
        <v>0</v>
      </c>
      <c r="AO241" s="203">
        <f t="shared" si="127"/>
        <v>0</v>
      </c>
      <c r="AP241" s="203">
        <f t="shared" si="127"/>
        <v>0</v>
      </c>
    </row>
    <row r="242" spans="1:42" s="118" customFormat="1">
      <c r="A242" s="42" t="s">
        <v>118</v>
      </c>
      <c r="C242" s="198">
        <f>SUM(C236:C241)</f>
        <v>-6447924.5453749159</v>
      </c>
      <c r="D242" s="198">
        <f t="shared" ref="D242:AP242" si="128">SUM(D236:D241)</f>
        <v>-5922646.6947697252</v>
      </c>
      <c r="E242" s="198">
        <f t="shared" si="128"/>
        <v>-1604199.5790659422</v>
      </c>
      <c r="F242" s="198">
        <f t="shared" si="128"/>
        <v>1004669.2271474041</v>
      </c>
      <c r="G242" s="198">
        <f t="shared" si="128"/>
        <v>1066352.9309400376</v>
      </c>
      <c r="H242" s="198">
        <f t="shared" si="128"/>
        <v>3031645.4731411003</v>
      </c>
      <c r="I242" s="198">
        <f t="shared" si="128"/>
        <v>4993539.1490806667</v>
      </c>
      <c r="J242" s="198">
        <f t="shared" si="128"/>
        <v>5056704.2042752262</v>
      </c>
      <c r="K242" s="198">
        <f t="shared" si="128"/>
        <v>5093146.2501648888</v>
      </c>
      <c r="L242" s="198">
        <f t="shared" si="128"/>
        <v>5123018.7629470024</v>
      </c>
      <c r="M242" s="198">
        <f t="shared" si="128"/>
        <v>5186760.1341475155</v>
      </c>
      <c r="N242" s="198">
        <f t="shared" si="128"/>
        <v>4666404.2287888341</v>
      </c>
      <c r="O242" s="198">
        <f t="shared" si="128"/>
        <v>4312604.5710627725</v>
      </c>
      <c r="P242" s="198">
        <f t="shared" si="128"/>
        <v>4734366.6137139257</v>
      </c>
      <c r="Q242" s="198">
        <f t="shared" si="128"/>
        <v>3820355.6390573853</v>
      </c>
      <c r="R242" s="198">
        <f t="shared" si="128"/>
        <v>3087388.4966805899</v>
      </c>
      <c r="S242" s="198">
        <f t="shared" si="128"/>
        <v>4098800.5074039656</v>
      </c>
      <c r="T242" s="198">
        <f t="shared" si="128"/>
        <v>4743616.8008991946</v>
      </c>
      <c r="U242" s="198">
        <f t="shared" si="128"/>
        <v>4773344.1576379258</v>
      </c>
      <c r="V242" s="198">
        <f t="shared" si="128"/>
        <v>5177285.5562703097</v>
      </c>
      <c r="W242" s="198">
        <f t="shared" si="128"/>
        <v>5579907.3312346414</v>
      </c>
      <c r="X242" s="198">
        <f t="shared" si="128"/>
        <v>5625572.3979300717</v>
      </c>
      <c r="Y242" s="198">
        <f t="shared" si="128"/>
        <v>5681543.4372933106</v>
      </c>
      <c r="Z242" s="198">
        <f t="shared" si="128"/>
        <v>5038831.6108506629</v>
      </c>
      <c r="AA242" s="198">
        <f t="shared" si="128"/>
        <v>4595513.8935454292</v>
      </c>
      <c r="AB242" s="198">
        <f t="shared" si="128"/>
        <v>5073343.9062755685</v>
      </c>
      <c r="AC242" s="198">
        <f t="shared" si="128"/>
        <v>5346065.4660634482</v>
      </c>
      <c r="AD242" s="198">
        <f t="shared" si="128"/>
        <v>5354289.4538974771</v>
      </c>
      <c r="AE242" s="198">
        <f t="shared" si="128"/>
        <v>5598706.6775261676</v>
      </c>
      <c r="AF242" s="198">
        <f t="shared" si="128"/>
        <v>8152960.2577537168</v>
      </c>
      <c r="AG242" s="198">
        <f t="shared" si="128"/>
        <v>0</v>
      </c>
      <c r="AH242" s="198">
        <f t="shared" si="128"/>
        <v>0</v>
      </c>
      <c r="AI242" s="198">
        <f t="shared" si="128"/>
        <v>0</v>
      </c>
      <c r="AJ242" s="198">
        <f t="shared" si="128"/>
        <v>0</v>
      </c>
      <c r="AK242" s="198">
        <f t="shared" si="128"/>
        <v>0</v>
      </c>
      <c r="AL242" s="198">
        <f t="shared" si="128"/>
        <v>0</v>
      </c>
      <c r="AM242" s="198">
        <f t="shared" si="128"/>
        <v>0</v>
      </c>
      <c r="AN242" s="198">
        <f t="shared" si="128"/>
        <v>0</v>
      </c>
      <c r="AO242" s="198">
        <f t="shared" si="128"/>
        <v>0</v>
      </c>
      <c r="AP242" s="198">
        <f t="shared" si="128"/>
        <v>0</v>
      </c>
    </row>
    <row r="243" spans="1:42" s="118" customFormat="1">
      <c r="A243" s="42" t="str">
        <f>'Inputs &amp; Results'!A48</f>
        <v>Investment Based Incentive (IBI)</v>
      </c>
    </row>
    <row r="244" spans="1:42" s="118" customFormat="1">
      <c r="A244" s="204" t="str">
        <f>'Inputs &amp; Results'!A49</f>
        <v>Fixed Amount ($)</v>
      </c>
    </row>
    <row r="245" spans="1:42" s="118" customFormat="1">
      <c r="A245" s="205" t="str">
        <f>'Inputs &amp; Results'!A50</f>
        <v>Federal</v>
      </c>
      <c r="C245" s="198">
        <f>IF(IBIFedFixedFedTax="Yes",C558,0)</f>
        <v>1000</v>
      </c>
    </row>
    <row r="246" spans="1:42" s="118" customFormat="1">
      <c r="A246" s="205" t="str">
        <f>'Inputs &amp; Results'!A51</f>
        <v>State</v>
      </c>
      <c r="C246" s="198">
        <f>IF(IBIStateFixedFedTax="Yes",C559,0)</f>
        <v>2000</v>
      </c>
    </row>
    <row r="247" spans="1:42" s="118" customFormat="1">
      <c r="A247" s="205" t="str">
        <f>'Inputs &amp; Results'!A52</f>
        <v>Utility</v>
      </c>
      <c r="C247" s="198">
        <f>IF(IBIUtilityFixedFedTax="Yes",C560,0)</f>
        <v>500</v>
      </c>
    </row>
    <row r="248" spans="1:42">
      <c r="A248" s="205" t="str">
        <f>'Inputs &amp; Results'!A53</f>
        <v>Other</v>
      </c>
      <c r="C248" s="203">
        <f>IF(IBIOtherFixedFedTax="Yes",C561,0)</f>
        <v>250</v>
      </c>
      <c r="D248" s="186"/>
      <c r="E248" s="186"/>
      <c r="F248" s="186"/>
      <c r="G248" s="186"/>
      <c r="H248" s="186"/>
      <c r="I248" s="186"/>
      <c r="J248" s="186"/>
      <c r="K248" s="186"/>
      <c r="L248" s="186"/>
      <c r="M248" s="186"/>
      <c r="N248" s="186"/>
      <c r="O248" s="186"/>
      <c r="P248" s="186"/>
      <c r="Q248" s="186"/>
      <c r="R248" s="186"/>
      <c r="S248" s="186"/>
      <c r="T248" s="186"/>
      <c r="U248" s="186"/>
      <c r="V248" s="186"/>
      <c r="W248" s="186"/>
      <c r="X248" s="186"/>
      <c r="Y248" s="186"/>
      <c r="Z248" s="186"/>
      <c r="AA248" s="186"/>
      <c r="AB248" s="186"/>
      <c r="AC248" s="186"/>
      <c r="AD248" s="186"/>
      <c r="AE248" s="186"/>
      <c r="AF248" s="186"/>
      <c r="AG248" s="186"/>
      <c r="AH248" s="186"/>
      <c r="AI248" s="186"/>
      <c r="AJ248" s="186"/>
      <c r="AK248" s="186"/>
      <c r="AL248" s="186"/>
      <c r="AM248" s="186"/>
      <c r="AN248" s="186"/>
      <c r="AO248" s="186"/>
      <c r="AP248" s="186"/>
    </row>
    <row r="249" spans="1:42">
      <c r="A249" s="205" t="s">
        <v>53</v>
      </c>
      <c r="C249" s="186">
        <f>SUM(C245:C248)</f>
        <v>3750</v>
      </c>
      <c r="D249" s="186"/>
      <c r="E249" s="186"/>
      <c r="F249" s="186"/>
      <c r="G249" s="186"/>
      <c r="H249" s="186"/>
      <c r="I249" s="186"/>
      <c r="J249" s="186"/>
      <c r="K249" s="186"/>
      <c r="L249" s="186"/>
      <c r="M249" s="186"/>
      <c r="N249" s="186"/>
      <c r="O249" s="186"/>
      <c r="P249" s="186"/>
      <c r="Q249" s="186"/>
      <c r="R249" s="186"/>
      <c r="S249" s="186"/>
      <c r="T249" s="186"/>
      <c r="U249" s="186"/>
      <c r="V249" s="186"/>
      <c r="W249" s="186"/>
      <c r="X249" s="186"/>
      <c r="Y249" s="186"/>
      <c r="Z249" s="186"/>
      <c r="AA249" s="186"/>
      <c r="AB249" s="186"/>
      <c r="AC249" s="186"/>
      <c r="AD249" s="186"/>
      <c r="AE249" s="186"/>
      <c r="AF249" s="186"/>
      <c r="AG249" s="186"/>
      <c r="AH249" s="186"/>
      <c r="AI249" s="186"/>
      <c r="AJ249" s="186"/>
      <c r="AK249" s="186"/>
      <c r="AL249" s="186"/>
      <c r="AM249" s="186"/>
      <c r="AN249" s="186"/>
      <c r="AO249" s="186"/>
      <c r="AP249" s="186"/>
    </row>
    <row r="250" spans="1:42">
      <c r="A250" s="204" t="str">
        <f>'Inputs &amp; Results'!A54</f>
        <v>Percentage of Pre-Financing Costs</v>
      </c>
      <c r="C250" s="186"/>
      <c r="D250" s="186"/>
      <c r="E250" s="186"/>
      <c r="F250" s="186"/>
      <c r="G250" s="186"/>
      <c r="H250" s="186"/>
      <c r="I250" s="186"/>
      <c r="J250" s="186"/>
      <c r="K250" s="186"/>
      <c r="L250" s="186"/>
      <c r="M250" s="186"/>
      <c r="N250" s="186"/>
      <c r="O250" s="186"/>
      <c r="P250" s="186"/>
      <c r="Q250" s="186"/>
      <c r="R250" s="186"/>
      <c r="S250" s="186"/>
      <c r="T250" s="186"/>
      <c r="U250" s="186"/>
      <c r="V250" s="186"/>
      <c r="W250" s="186"/>
      <c r="X250" s="186"/>
      <c r="Y250" s="186"/>
      <c r="Z250" s="186"/>
      <c r="AA250" s="186"/>
      <c r="AB250" s="186"/>
      <c r="AC250" s="186"/>
      <c r="AD250" s="186"/>
      <c r="AE250" s="186"/>
      <c r="AF250" s="186"/>
      <c r="AG250" s="186"/>
      <c r="AH250" s="186"/>
      <c r="AI250" s="186"/>
      <c r="AJ250" s="186"/>
      <c r="AK250" s="186"/>
      <c r="AL250" s="186"/>
      <c r="AM250" s="186"/>
      <c r="AN250" s="186"/>
      <c r="AO250" s="186"/>
      <c r="AP250" s="186"/>
    </row>
    <row r="251" spans="1:42">
      <c r="A251" s="205" t="str">
        <f>'Inputs &amp; Results'!A55</f>
        <v>Federal</v>
      </c>
      <c r="C251" s="198">
        <f>IF(IBIFedPercentFedTax="Yes",C564,0)</f>
        <v>2011357.5</v>
      </c>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row>
    <row r="252" spans="1:42">
      <c r="A252" s="205" t="str">
        <f>'Inputs &amp; Results'!A56</f>
        <v>State</v>
      </c>
      <c r="C252" s="198">
        <f>IF(IBIStatePercentFedTax="Yes",C565,0)</f>
        <v>4022715</v>
      </c>
      <c r="D252" s="186"/>
      <c r="E252" s="186"/>
      <c r="F252" s="186"/>
      <c r="G252" s="186"/>
      <c r="H252" s="186"/>
      <c r="I252" s="186"/>
      <c r="J252" s="186"/>
      <c r="K252" s="186"/>
      <c r="L252" s="186"/>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row>
    <row r="253" spans="1:42">
      <c r="A253" s="205" t="str">
        <f>'Inputs &amp; Results'!A57</f>
        <v>Utility</v>
      </c>
      <c r="C253" s="198">
        <f>IF(IBIUtilityPercentFedTax="Yes",C566,0)</f>
        <v>402271.5</v>
      </c>
      <c r="D253" s="186"/>
      <c r="E253" s="186"/>
      <c r="F253" s="186"/>
      <c r="G253" s="186"/>
      <c r="H253" s="186"/>
      <c r="I253" s="186"/>
      <c r="J253" s="186"/>
      <c r="K253" s="186"/>
      <c r="L253" s="186"/>
      <c r="M253" s="186"/>
      <c r="N253" s="186"/>
      <c r="O253" s="186"/>
      <c r="P253" s="186"/>
      <c r="Q253" s="186"/>
      <c r="R253" s="186"/>
      <c r="S253" s="186"/>
      <c r="T253" s="186"/>
      <c r="U253" s="186"/>
      <c r="V253" s="186"/>
      <c r="W253" s="186"/>
      <c r="X253" s="186"/>
      <c r="Y253" s="186"/>
      <c r="Z253" s="186"/>
      <c r="AA253" s="186"/>
      <c r="AB253" s="186"/>
      <c r="AC253" s="186"/>
      <c r="AD253" s="186"/>
      <c r="AE253" s="186"/>
      <c r="AF253" s="186"/>
      <c r="AG253" s="186"/>
      <c r="AH253" s="186"/>
      <c r="AI253" s="186"/>
      <c r="AJ253" s="186"/>
      <c r="AK253" s="186"/>
      <c r="AL253" s="186"/>
      <c r="AM253" s="186"/>
      <c r="AN253" s="186"/>
      <c r="AO253" s="186"/>
      <c r="AP253" s="186"/>
    </row>
    <row r="254" spans="1:42">
      <c r="A254" s="205" t="str">
        <f>'Inputs &amp; Results'!A58</f>
        <v>Other</v>
      </c>
      <c r="C254" s="203">
        <f>IF(IBIOtherPercentFedTax="Yes",C567,0)</f>
        <v>201135.75</v>
      </c>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205" t="s">
        <v>53</v>
      </c>
      <c r="C255" s="186">
        <f>SUM(C251:C254)</f>
        <v>6637479.75</v>
      </c>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197" t="str">
        <f>'Inputs &amp; Results'!A59</f>
        <v>Capacity Based Incentive (CBI) ($/DC-Watt)</v>
      </c>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4" t="str">
        <f>'Inputs &amp; Results'!A60</f>
        <v>Federal</v>
      </c>
      <c r="C257" s="141">
        <f>IF(CBIFedFedTax="Yes",C570,0)</f>
        <v>5000000</v>
      </c>
      <c r="D257" s="186"/>
      <c r="E257" s="186"/>
      <c r="F257" s="186"/>
      <c r="G257" s="186"/>
      <c r="H257" s="186"/>
      <c r="I257" s="186"/>
      <c r="J257" s="186"/>
      <c r="K257" s="186"/>
      <c r="L257" s="186"/>
      <c r="M257" s="186"/>
      <c r="N257" s="186"/>
      <c r="O257" s="186"/>
      <c r="P257" s="186"/>
      <c r="Q257" s="186"/>
      <c r="R257" s="186"/>
      <c r="S257" s="186"/>
      <c r="T257" s="186"/>
      <c r="U257" s="186"/>
      <c r="V257" s="186"/>
      <c r="W257" s="186"/>
      <c r="X257" s="186"/>
      <c r="Y257" s="186"/>
      <c r="Z257" s="186"/>
      <c r="AA257" s="186"/>
      <c r="AB257" s="186"/>
      <c r="AC257" s="186"/>
      <c r="AD257" s="186"/>
      <c r="AE257" s="186"/>
      <c r="AF257" s="186"/>
      <c r="AG257" s="186"/>
      <c r="AH257" s="186"/>
      <c r="AI257" s="186"/>
      <c r="AJ257" s="186"/>
      <c r="AK257" s="186"/>
      <c r="AL257" s="186"/>
      <c r="AM257" s="186"/>
      <c r="AN257" s="186"/>
      <c r="AO257" s="186"/>
      <c r="AP257" s="186"/>
    </row>
    <row r="258" spans="1:42">
      <c r="A258" s="204" t="str">
        <f>'Inputs &amp; Results'!A61</f>
        <v>State</v>
      </c>
      <c r="C258" s="141">
        <f>IF(CBIStateFedTax="Yes",C571,0)</f>
        <v>2000000</v>
      </c>
      <c r="D258" s="186"/>
      <c r="E258" s="186"/>
      <c r="F258" s="186"/>
      <c r="G258" s="186"/>
      <c r="H258" s="186"/>
      <c r="I258" s="186"/>
      <c r="J258" s="186"/>
      <c r="K258" s="186"/>
      <c r="L258" s="186"/>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row>
    <row r="259" spans="1:42">
      <c r="A259" s="204" t="str">
        <f>'Inputs &amp; Results'!A62</f>
        <v>Utility</v>
      </c>
      <c r="C259" s="141">
        <f>IF(CBIUtilityFedTax="Yes",C572,0)</f>
        <v>100000</v>
      </c>
      <c r="D259" s="186"/>
      <c r="E259" s="186"/>
      <c r="F259" s="186"/>
      <c r="G259" s="186"/>
      <c r="H259" s="186"/>
      <c r="I259" s="186"/>
      <c r="J259" s="186"/>
      <c r="K259" s="186"/>
      <c r="L259" s="186"/>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row>
    <row r="260" spans="1:42">
      <c r="A260" s="204" t="str">
        <f>'Inputs &amp; Results'!A63</f>
        <v>Other</v>
      </c>
      <c r="C260" s="203">
        <f>IF(CBIOtherFedTax="Yes",C573,0)</f>
        <v>50000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
        <v>53</v>
      </c>
      <c r="C261" s="186">
        <f>SUM(C257:C260)</f>
        <v>7150000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197" t="str">
        <f>'Inputs &amp; Results'!A66</f>
        <v>Production Based Incentive (PBI) ($/kWh)</v>
      </c>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4" t="str">
        <f>'Inputs &amp; Results'!A67</f>
        <v>Federal</v>
      </c>
      <c r="C263" s="141">
        <f t="shared" ref="C263:AP263" si="129">IF(PBIFedFedTax="Yes",0,-C580)</f>
        <v>0</v>
      </c>
      <c r="D263" s="141">
        <f t="shared" si="129"/>
        <v>0</v>
      </c>
      <c r="E263" s="141">
        <f t="shared" si="129"/>
        <v>0</v>
      </c>
      <c r="F263" s="141">
        <f t="shared" si="129"/>
        <v>0</v>
      </c>
      <c r="G263" s="141">
        <f t="shared" si="129"/>
        <v>0</v>
      </c>
      <c r="H263" s="141">
        <f t="shared" si="129"/>
        <v>0</v>
      </c>
      <c r="I263" s="141">
        <f t="shared" si="129"/>
        <v>0</v>
      </c>
      <c r="J263" s="141">
        <f t="shared" si="129"/>
        <v>0</v>
      </c>
      <c r="K263" s="141">
        <f t="shared" si="129"/>
        <v>0</v>
      </c>
      <c r="L263" s="141">
        <f t="shared" si="129"/>
        <v>0</v>
      </c>
      <c r="M263" s="141">
        <f t="shared" si="129"/>
        <v>0</v>
      </c>
      <c r="N263" s="141">
        <f t="shared" si="129"/>
        <v>0</v>
      </c>
      <c r="O263" s="141">
        <f t="shared" si="129"/>
        <v>0</v>
      </c>
      <c r="P263" s="141">
        <f t="shared" si="129"/>
        <v>0</v>
      </c>
      <c r="Q263" s="141">
        <f t="shared" si="129"/>
        <v>0</v>
      </c>
      <c r="R263" s="141">
        <f t="shared" si="129"/>
        <v>0</v>
      </c>
      <c r="S263" s="141">
        <f t="shared" si="129"/>
        <v>0</v>
      </c>
      <c r="T263" s="141">
        <f t="shared" si="129"/>
        <v>0</v>
      </c>
      <c r="U263" s="141">
        <f t="shared" si="129"/>
        <v>0</v>
      </c>
      <c r="V263" s="141">
        <f t="shared" si="129"/>
        <v>0</v>
      </c>
      <c r="W263" s="141">
        <f t="shared" si="129"/>
        <v>0</v>
      </c>
      <c r="X263" s="141">
        <f t="shared" si="129"/>
        <v>0</v>
      </c>
      <c r="Y263" s="141">
        <f t="shared" si="129"/>
        <v>0</v>
      </c>
      <c r="Z263" s="141">
        <f t="shared" si="129"/>
        <v>0</v>
      </c>
      <c r="AA263" s="141">
        <f t="shared" si="129"/>
        <v>0</v>
      </c>
      <c r="AB263" s="141">
        <f t="shared" si="129"/>
        <v>0</v>
      </c>
      <c r="AC263" s="141">
        <f t="shared" si="129"/>
        <v>0</v>
      </c>
      <c r="AD263" s="141">
        <f t="shared" si="129"/>
        <v>0</v>
      </c>
      <c r="AE263" s="141">
        <f t="shared" si="129"/>
        <v>0</v>
      </c>
      <c r="AF263" s="141">
        <f t="shared" si="129"/>
        <v>0</v>
      </c>
      <c r="AG263" s="141">
        <f t="shared" si="129"/>
        <v>0</v>
      </c>
      <c r="AH263" s="141">
        <f t="shared" si="129"/>
        <v>0</v>
      </c>
      <c r="AI263" s="141">
        <f t="shared" si="129"/>
        <v>0</v>
      </c>
      <c r="AJ263" s="141">
        <f t="shared" si="129"/>
        <v>0</v>
      </c>
      <c r="AK263" s="141">
        <f t="shared" si="129"/>
        <v>0</v>
      </c>
      <c r="AL263" s="141">
        <f t="shared" si="129"/>
        <v>0</v>
      </c>
      <c r="AM263" s="141">
        <f t="shared" si="129"/>
        <v>0</v>
      </c>
      <c r="AN263" s="141">
        <f t="shared" si="129"/>
        <v>0</v>
      </c>
      <c r="AO263" s="141">
        <f t="shared" si="129"/>
        <v>0</v>
      </c>
      <c r="AP263" s="141">
        <f t="shared" si="129"/>
        <v>0</v>
      </c>
    </row>
    <row r="264" spans="1:42">
      <c r="A264" s="204" t="str">
        <f>'Inputs &amp; Results'!A68</f>
        <v>State</v>
      </c>
      <c r="C264" s="141">
        <f t="shared" ref="C264:AP264" si="130">IF(PBIStateFedTax="Yes",0,-C584)</f>
        <v>0</v>
      </c>
      <c r="D264" s="141">
        <f t="shared" si="130"/>
        <v>0</v>
      </c>
      <c r="E264" s="141">
        <f t="shared" si="130"/>
        <v>0</v>
      </c>
      <c r="F264" s="141">
        <f t="shared" si="130"/>
        <v>0</v>
      </c>
      <c r="G264" s="141">
        <f t="shared" si="130"/>
        <v>0</v>
      </c>
      <c r="H264" s="141">
        <f t="shared" si="130"/>
        <v>0</v>
      </c>
      <c r="I264" s="141">
        <f t="shared" si="130"/>
        <v>0</v>
      </c>
      <c r="J264" s="141">
        <f t="shared" si="130"/>
        <v>0</v>
      </c>
      <c r="K264" s="141">
        <f t="shared" si="130"/>
        <v>0</v>
      </c>
      <c r="L264" s="141">
        <f t="shared" si="130"/>
        <v>0</v>
      </c>
      <c r="M264" s="141">
        <f t="shared" si="130"/>
        <v>0</v>
      </c>
      <c r="N264" s="141">
        <f t="shared" si="130"/>
        <v>0</v>
      </c>
      <c r="O264" s="141">
        <f t="shared" si="130"/>
        <v>0</v>
      </c>
      <c r="P264" s="141">
        <f t="shared" si="130"/>
        <v>0</v>
      </c>
      <c r="Q264" s="141">
        <f t="shared" si="130"/>
        <v>0</v>
      </c>
      <c r="R264" s="141">
        <f t="shared" si="130"/>
        <v>0</v>
      </c>
      <c r="S264" s="141">
        <f t="shared" si="130"/>
        <v>0</v>
      </c>
      <c r="T264" s="141">
        <f t="shared" si="130"/>
        <v>0</v>
      </c>
      <c r="U264" s="141">
        <f t="shared" si="130"/>
        <v>0</v>
      </c>
      <c r="V264" s="141">
        <f t="shared" si="130"/>
        <v>0</v>
      </c>
      <c r="W264" s="141">
        <f t="shared" si="130"/>
        <v>0</v>
      </c>
      <c r="X264" s="141">
        <f t="shared" si="130"/>
        <v>0</v>
      </c>
      <c r="Y264" s="141">
        <f t="shared" si="130"/>
        <v>0</v>
      </c>
      <c r="Z264" s="141">
        <f t="shared" si="130"/>
        <v>0</v>
      </c>
      <c r="AA264" s="141">
        <f t="shared" si="130"/>
        <v>0</v>
      </c>
      <c r="AB264" s="141">
        <f t="shared" si="130"/>
        <v>0</v>
      </c>
      <c r="AC264" s="141">
        <f t="shared" si="130"/>
        <v>0</v>
      </c>
      <c r="AD264" s="141">
        <f t="shared" si="130"/>
        <v>0</v>
      </c>
      <c r="AE264" s="141">
        <f t="shared" si="130"/>
        <v>0</v>
      </c>
      <c r="AF264" s="141">
        <f t="shared" si="130"/>
        <v>0</v>
      </c>
      <c r="AG264" s="141">
        <f t="shared" si="130"/>
        <v>0</v>
      </c>
      <c r="AH264" s="141">
        <f t="shared" si="130"/>
        <v>0</v>
      </c>
      <c r="AI264" s="141">
        <f t="shared" si="130"/>
        <v>0</v>
      </c>
      <c r="AJ264" s="141">
        <f t="shared" si="130"/>
        <v>0</v>
      </c>
      <c r="AK264" s="141">
        <f t="shared" si="130"/>
        <v>0</v>
      </c>
      <c r="AL264" s="141">
        <f t="shared" si="130"/>
        <v>0</v>
      </c>
      <c r="AM264" s="141">
        <f t="shared" si="130"/>
        <v>0</v>
      </c>
      <c r="AN264" s="141">
        <f t="shared" si="130"/>
        <v>0</v>
      </c>
      <c r="AO264" s="141">
        <f t="shared" si="130"/>
        <v>0</v>
      </c>
      <c r="AP264" s="141">
        <f t="shared" si="130"/>
        <v>0</v>
      </c>
    </row>
    <row r="265" spans="1:42">
      <c r="A265" s="204" t="str">
        <f>'Inputs &amp; Results'!A69</f>
        <v>Utility</v>
      </c>
      <c r="C265" s="141">
        <f t="shared" ref="C265:AP265" si="131">IF(PBIUtilityFedTax="Yes",0,-C588)</f>
        <v>0</v>
      </c>
      <c r="D265" s="141">
        <f t="shared" si="131"/>
        <v>0</v>
      </c>
      <c r="E265" s="141">
        <f t="shared" si="131"/>
        <v>0</v>
      </c>
      <c r="F265" s="141">
        <f t="shared" si="131"/>
        <v>0</v>
      </c>
      <c r="G265" s="141">
        <f t="shared" si="131"/>
        <v>0</v>
      </c>
      <c r="H265" s="141">
        <f t="shared" si="131"/>
        <v>0</v>
      </c>
      <c r="I265" s="141">
        <f t="shared" si="131"/>
        <v>0</v>
      </c>
      <c r="J265" s="141">
        <f t="shared" si="131"/>
        <v>0</v>
      </c>
      <c r="K265" s="141">
        <f t="shared" si="131"/>
        <v>0</v>
      </c>
      <c r="L265" s="141">
        <f t="shared" si="131"/>
        <v>0</v>
      </c>
      <c r="M265" s="141">
        <f t="shared" si="131"/>
        <v>0</v>
      </c>
      <c r="N265" s="141">
        <f t="shared" si="131"/>
        <v>0</v>
      </c>
      <c r="O265" s="141">
        <f t="shared" si="131"/>
        <v>0</v>
      </c>
      <c r="P265" s="141">
        <f t="shared" si="131"/>
        <v>0</v>
      </c>
      <c r="Q265" s="141">
        <f t="shared" si="131"/>
        <v>0</v>
      </c>
      <c r="R265" s="141">
        <f t="shared" si="131"/>
        <v>0</v>
      </c>
      <c r="S265" s="141">
        <f t="shared" si="131"/>
        <v>0</v>
      </c>
      <c r="T265" s="141">
        <f t="shared" si="131"/>
        <v>0</v>
      </c>
      <c r="U265" s="141">
        <f t="shared" si="131"/>
        <v>0</v>
      </c>
      <c r="V265" s="141">
        <f t="shared" si="131"/>
        <v>0</v>
      </c>
      <c r="W265" s="141">
        <f t="shared" si="131"/>
        <v>0</v>
      </c>
      <c r="X265" s="141">
        <f t="shared" si="131"/>
        <v>0</v>
      </c>
      <c r="Y265" s="141">
        <f t="shared" si="131"/>
        <v>0</v>
      </c>
      <c r="Z265" s="141">
        <f t="shared" si="131"/>
        <v>0</v>
      </c>
      <c r="AA265" s="141">
        <f t="shared" si="131"/>
        <v>0</v>
      </c>
      <c r="AB265" s="141">
        <f t="shared" si="131"/>
        <v>0</v>
      </c>
      <c r="AC265" s="141">
        <f t="shared" si="131"/>
        <v>0</v>
      </c>
      <c r="AD265" s="141">
        <f t="shared" si="131"/>
        <v>0</v>
      </c>
      <c r="AE265" s="141">
        <f t="shared" si="131"/>
        <v>0</v>
      </c>
      <c r="AF265" s="141">
        <f t="shared" si="131"/>
        <v>0</v>
      </c>
      <c r="AG265" s="141">
        <f t="shared" si="131"/>
        <v>0</v>
      </c>
      <c r="AH265" s="141">
        <f t="shared" si="131"/>
        <v>0</v>
      </c>
      <c r="AI265" s="141">
        <f t="shared" si="131"/>
        <v>0</v>
      </c>
      <c r="AJ265" s="141">
        <f t="shared" si="131"/>
        <v>0</v>
      </c>
      <c r="AK265" s="141">
        <f t="shared" si="131"/>
        <v>0</v>
      </c>
      <c r="AL265" s="141">
        <f t="shared" si="131"/>
        <v>0</v>
      </c>
      <c r="AM265" s="141">
        <f t="shared" si="131"/>
        <v>0</v>
      </c>
      <c r="AN265" s="141">
        <f t="shared" si="131"/>
        <v>0</v>
      </c>
      <c r="AO265" s="141">
        <f t="shared" si="131"/>
        <v>0</v>
      </c>
      <c r="AP265" s="141">
        <f t="shared" si="131"/>
        <v>0</v>
      </c>
    </row>
    <row r="266" spans="1:42">
      <c r="A266" s="204" t="str">
        <f>'Inputs &amp; Results'!A70</f>
        <v>Other</v>
      </c>
      <c r="C266" s="203">
        <f t="shared" ref="C266:AP266" si="132">IF(PBIOtherFedTax="Yes",0,-C592)</f>
        <v>0</v>
      </c>
      <c r="D266" s="203">
        <f t="shared" si="132"/>
        <v>0</v>
      </c>
      <c r="E266" s="203">
        <f t="shared" si="132"/>
        <v>0</v>
      </c>
      <c r="F266" s="203">
        <f t="shared" si="132"/>
        <v>0</v>
      </c>
      <c r="G266" s="203">
        <f t="shared" si="132"/>
        <v>0</v>
      </c>
      <c r="H266" s="203">
        <f t="shared" si="132"/>
        <v>0</v>
      </c>
      <c r="I266" s="203">
        <f t="shared" si="132"/>
        <v>0</v>
      </c>
      <c r="J266" s="203">
        <f t="shared" si="132"/>
        <v>0</v>
      </c>
      <c r="K266" s="203">
        <f t="shared" si="132"/>
        <v>0</v>
      </c>
      <c r="L266" s="203">
        <f t="shared" si="132"/>
        <v>0</v>
      </c>
      <c r="M266" s="203">
        <f t="shared" si="132"/>
        <v>0</v>
      </c>
      <c r="N266" s="203">
        <f t="shared" si="132"/>
        <v>0</v>
      </c>
      <c r="O266" s="203">
        <f t="shared" si="132"/>
        <v>0</v>
      </c>
      <c r="P266" s="203">
        <f t="shared" si="132"/>
        <v>0</v>
      </c>
      <c r="Q266" s="203">
        <f t="shared" si="132"/>
        <v>0</v>
      </c>
      <c r="R266" s="203">
        <f t="shared" si="132"/>
        <v>0</v>
      </c>
      <c r="S266" s="203">
        <f t="shared" si="132"/>
        <v>0</v>
      </c>
      <c r="T266" s="203">
        <f t="shared" si="132"/>
        <v>0</v>
      </c>
      <c r="U266" s="203">
        <f t="shared" si="132"/>
        <v>0</v>
      </c>
      <c r="V266" s="203">
        <f t="shared" si="132"/>
        <v>0</v>
      </c>
      <c r="W266" s="203">
        <f t="shared" si="132"/>
        <v>0</v>
      </c>
      <c r="X266" s="203">
        <f t="shared" si="132"/>
        <v>0</v>
      </c>
      <c r="Y266" s="203">
        <f t="shared" si="132"/>
        <v>0</v>
      </c>
      <c r="Z266" s="203">
        <f t="shared" si="132"/>
        <v>0</v>
      </c>
      <c r="AA266" s="203">
        <f t="shared" si="132"/>
        <v>0</v>
      </c>
      <c r="AB266" s="203">
        <f t="shared" si="132"/>
        <v>0</v>
      </c>
      <c r="AC266" s="203">
        <f t="shared" si="132"/>
        <v>0</v>
      </c>
      <c r="AD266" s="203">
        <f t="shared" si="132"/>
        <v>0</v>
      </c>
      <c r="AE266" s="203">
        <f t="shared" si="132"/>
        <v>0</v>
      </c>
      <c r="AF266" s="203">
        <f t="shared" si="132"/>
        <v>0</v>
      </c>
      <c r="AG266" s="203">
        <f t="shared" si="132"/>
        <v>0</v>
      </c>
      <c r="AH266" s="203">
        <f t="shared" si="132"/>
        <v>0</v>
      </c>
      <c r="AI266" s="203">
        <f t="shared" si="132"/>
        <v>0</v>
      </c>
      <c r="AJ266" s="203">
        <f t="shared" si="132"/>
        <v>0</v>
      </c>
      <c r="AK266" s="203">
        <f t="shared" si="132"/>
        <v>0</v>
      </c>
      <c r="AL266" s="203">
        <f t="shared" si="132"/>
        <v>0</v>
      </c>
      <c r="AM266" s="203">
        <f t="shared" si="132"/>
        <v>0</v>
      </c>
      <c r="AN266" s="203">
        <f t="shared" si="132"/>
        <v>0</v>
      </c>
      <c r="AO266" s="203">
        <f t="shared" si="132"/>
        <v>0</v>
      </c>
      <c r="AP266" s="203">
        <f t="shared" si="132"/>
        <v>0</v>
      </c>
    </row>
    <row r="267" spans="1:42">
      <c r="A267" s="204" t="s">
        <v>53</v>
      </c>
      <c r="C267" s="194">
        <f>SUM(C263:C266)</f>
        <v>0</v>
      </c>
      <c r="D267" s="194">
        <f t="shared" ref="D267:AL267" si="133">SUM(D263:D266)</f>
        <v>0</v>
      </c>
      <c r="E267" s="194">
        <f t="shared" si="133"/>
        <v>0</v>
      </c>
      <c r="F267" s="194">
        <f t="shared" si="133"/>
        <v>0</v>
      </c>
      <c r="G267" s="194">
        <f t="shared" si="133"/>
        <v>0</v>
      </c>
      <c r="H267" s="194">
        <f t="shared" si="133"/>
        <v>0</v>
      </c>
      <c r="I267" s="194">
        <f t="shared" si="133"/>
        <v>0</v>
      </c>
      <c r="J267" s="194">
        <f t="shared" si="133"/>
        <v>0</v>
      </c>
      <c r="K267" s="194">
        <f t="shared" si="133"/>
        <v>0</v>
      </c>
      <c r="L267" s="194">
        <f t="shared" si="133"/>
        <v>0</v>
      </c>
      <c r="M267" s="194">
        <f t="shared" si="133"/>
        <v>0</v>
      </c>
      <c r="N267" s="194">
        <f t="shared" si="133"/>
        <v>0</v>
      </c>
      <c r="O267" s="194">
        <f t="shared" si="133"/>
        <v>0</v>
      </c>
      <c r="P267" s="194">
        <f t="shared" si="133"/>
        <v>0</v>
      </c>
      <c r="Q267" s="194">
        <f t="shared" si="133"/>
        <v>0</v>
      </c>
      <c r="R267" s="194">
        <f t="shared" si="133"/>
        <v>0</v>
      </c>
      <c r="S267" s="194">
        <f t="shared" si="133"/>
        <v>0</v>
      </c>
      <c r="T267" s="194">
        <f t="shared" si="133"/>
        <v>0</v>
      </c>
      <c r="U267" s="194">
        <f t="shared" si="133"/>
        <v>0</v>
      </c>
      <c r="V267" s="194">
        <f t="shared" si="133"/>
        <v>0</v>
      </c>
      <c r="W267" s="194">
        <f t="shared" si="133"/>
        <v>0</v>
      </c>
      <c r="X267" s="194">
        <f t="shared" si="133"/>
        <v>0</v>
      </c>
      <c r="Y267" s="194">
        <f t="shared" si="133"/>
        <v>0</v>
      </c>
      <c r="Z267" s="194">
        <f t="shared" si="133"/>
        <v>0</v>
      </c>
      <c r="AA267" s="194">
        <f t="shared" si="133"/>
        <v>0</v>
      </c>
      <c r="AB267" s="194">
        <f t="shared" si="133"/>
        <v>0</v>
      </c>
      <c r="AC267" s="194">
        <f t="shared" si="133"/>
        <v>0</v>
      </c>
      <c r="AD267" s="194">
        <f t="shared" si="133"/>
        <v>0</v>
      </c>
      <c r="AE267" s="194">
        <f t="shared" si="133"/>
        <v>0</v>
      </c>
      <c r="AF267" s="194">
        <f t="shared" si="133"/>
        <v>0</v>
      </c>
      <c r="AG267" s="194">
        <f t="shared" si="133"/>
        <v>0</v>
      </c>
      <c r="AH267" s="194">
        <f t="shared" si="133"/>
        <v>0</v>
      </c>
      <c r="AI267" s="194">
        <f t="shared" si="133"/>
        <v>0</v>
      </c>
      <c r="AJ267" s="194">
        <f t="shared" si="133"/>
        <v>0</v>
      </c>
      <c r="AK267" s="194">
        <f t="shared" si="133"/>
        <v>0</v>
      </c>
      <c r="AL267" s="194">
        <f t="shared" si="133"/>
        <v>0</v>
      </c>
      <c r="AM267" s="194">
        <f>SUM(AM263:AM266)</f>
        <v>0</v>
      </c>
      <c r="AN267" s="194">
        <f t="shared" ref="AN267:AP267" si="134">SUM(AN263:AN266)</f>
        <v>0</v>
      </c>
      <c r="AO267" s="194">
        <f t="shared" si="134"/>
        <v>0</v>
      </c>
      <c r="AP267" s="194">
        <f t="shared" si="134"/>
        <v>0</v>
      </c>
    </row>
    <row r="268" spans="1:42">
      <c r="A268" s="197" t="s">
        <v>131</v>
      </c>
      <c r="C268" s="186">
        <f>C249+C255+C261+C267</f>
        <v>13791229.75</v>
      </c>
      <c r="D268" s="186">
        <f t="shared" ref="D268:AP268" si="135">D249+D255+D261+D267</f>
        <v>0</v>
      </c>
      <c r="E268" s="186">
        <f t="shared" si="135"/>
        <v>0</v>
      </c>
      <c r="F268" s="186">
        <f t="shared" si="135"/>
        <v>0</v>
      </c>
      <c r="G268" s="186">
        <f t="shared" si="135"/>
        <v>0</v>
      </c>
      <c r="H268" s="186">
        <f t="shared" si="135"/>
        <v>0</v>
      </c>
      <c r="I268" s="186">
        <f t="shared" si="135"/>
        <v>0</v>
      </c>
      <c r="J268" s="186">
        <f t="shared" si="135"/>
        <v>0</v>
      </c>
      <c r="K268" s="186">
        <f t="shared" si="135"/>
        <v>0</v>
      </c>
      <c r="L268" s="186">
        <f t="shared" si="135"/>
        <v>0</v>
      </c>
      <c r="M268" s="186">
        <f t="shared" si="135"/>
        <v>0</v>
      </c>
      <c r="N268" s="186">
        <f t="shared" si="135"/>
        <v>0</v>
      </c>
      <c r="O268" s="186">
        <f t="shared" si="135"/>
        <v>0</v>
      </c>
      <c r="P268" s="186">
        <f t="shared" si="135"/>
        <v>0</v>
      </c>
      <c r="Q268" s="186">
        <f t="shared" si="135"/>
        <v>0</v>
      </c>
      <c r="R268" s="186">
        <f t="shared" si="135"/>
        <v>0</v>
      </c>
      <c r="S268" s="186">
        <f t="shared" si="135"/>
        <v>0</v>
      </c>
      <c r="T268" s="186">
        <f t="shared" si="135"/>
        <v>0</v>
      </c>
      <c r="U268" s="186">
        <f t="shared" si="135"/>
        <v>0</v>
      </c>
      <c r="V268" s="186">
        <f t="shared" si="135"/>
        <v>0</v>
      </c>
      <c r="W268" s="186">
        <f t="shared" si="135"/>
        <v>0</v>
      </c>
      <c r="X268" s="186">
        <f t="shared" si="135"/>
        <v>0</v>
      </c>
      <c r="Y268" s="186">
        <f t="shared" si="135"/>
        <v>0</v>
      </c>
      <c r="Z268" s="186">
        <f t="shared" si="135"/>
        <v>0</v>
      </c>
      <c r="AA268" s="186">
        <f t="shared" si="135"/>
        <v>0</v>
      </c>
      <c r="AB268" s="186">
        <f t="shared" si="135"/>
        <v>0</v>
      </c>
      <c r="AC268" s="186">
        <f t="shared" si="135"/>
        <v>0</v>
      </c>
      <c r="AD268" s="186">
        <f t="shared" si="135"/>
        <v>0</v>
      </c>
      <c r="AE268" s="186">
        <f t="shared" si="135"/>
        <v>0</v>
      </c>
      <c r="AF268" s="186">
        <f t="shared" si="135"/>
        <v>0</v>
      </c>
      <c r="AG268" s="186">
        <f t="shared" si="135"/>
        <v>0</v>
      </c>
      <c r="AH268" s="186">
        <f t="shared" si="135"/>
        <v>0</v>
      </c>
      <c r="AI268" s="186">
        <f t="shared" si="135"/>
        <v>0</v>
      </c>
      <c r="AJ268" s="186">
        <f t="shared" si="135"/>
        <v>0</v>
      </c>
      <c r="AK268" s="186">
        <f t="shared" si="135"/>
        <v>0</v>
      </c>
      <c r="AL268" s="186">
        <f t="shared" si="135"/>
        <v>0</v>
      </c>
      <c r="AM268" s="186">
        <f t="shared" si="135"/>
        <v>0</v>
      </c>
      <c r="AN268" s="186">
        <f t="shared" si="135"/>
        <v>0</v>
      </c>
      <c r="AO268" s="186">
        <f t="shared" si="135"/>
        <v>0</v>
      </c>
      <c r="AP268" s="186">
        <f t="shared" si="135"/>
        <v>0</v>
      </c>
    </row>
    <row r="269" spans="1:42">
      <c r="A269" s="204"/>
      <c r="C269" s="186"/>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197" t="s">
        <v>132</v>
      </c>
      <c r="C270" s="194">
        <f>C242+C268</f>
        <v>7343305.2046250841</v>
      </c>
      <c r="D270" s="194">
        <f t="shared" ref="D270:AP270" si="136">D242+D268</f>
        <v>-5922646.6947697252</v>
      </c>
      <c r="E270" s="194">
        <f t="shared" si="136"/>
        <v>-1604199.5790659422</v>
      </c>
      <c r="F270" s="194">
        <f t="shared" si="136"/>
        <v>1004669.2271474041</v>
      </c>
      <c r="G270" s="194">
        <f t="shared" si="136"/>
        <v>1066352.9309400376</v>
      </c>
      <c r="H270" s="194">
        <f t="shared" si="136"/>
        <v>3031645.4731411003</v>
      </c>
      <c r="I270" s="194">
        <f t="shared" si="136"/>
        <v>4993539.1490806667</v>
      </c>
      <c r="J270" s="194">
        <f t="shared" si="136"/>
        <v>5056704.2042752262</v>
      </c>
      <c r="K270" s="194">
        <f t="shared" si="136"/>
        <v>5093146.2501648888</v>
      </c>
      <c r="L270" s="194">
        <f t="shared" si="136"/>
        <v>5123018.7629470024</v>
      </c>
      <c r="M270" s="194">
        <f t="shared" si="136"/>
        <v>5186760.1341475155</v>
      </c>
      <c r="N270" s="194">
        <f t="shared" si="136"/>
        <v>4666404.2287888341</v>
      </c>
      <c r="O270" s="194">
        <f t="shared" si="136"/>
        <v>4312604.5710627725</v>
      </c>
      <c r="P270" s="194">
        <f t="shared" si="136"/>
        <v>4734366.6137139257</v>
      </c>
      <c r="Q270" s="194">
        <f t="shared" si="136"/>
        <v>3820355.6390573853</v>
      </c>
      <c r="R270" s="194">
        <f t="shared" si="136"/>
        <v>3087388.4966805899</v>
      </c>
      <c r="S270" s="194">
        <f t="shared" si="136"/>
        <v>4098800.5074039656</v>
      </c>
      <c r="T270" s="194">
        <f t="shared" si="136"/>
        <v>4743616.8008991946</v>
      </c>
      <c r="U270" s="194">
        <f t="shared" si="136"/>
        <v>4773344.1576379258</v>
      </c>
      <c r="V270" s="194">
        <f t="shared" si="136"/>
        <v>5177285.5562703097</v>
      </c>
      <c r="W270" s="194">
        <f t="shared" si="136"/>
        <v>5579907.3312346414</v>
      </c>
      <c r="X270" s="194">
        <f t="shared" si="136"/>
        <v>5625572.3979300717</v>
      </c>
      <c r="Y270" s="194">
        <f t="shared" si="136"/>
        <v>5681543.4372933106</v>
      </c>
      <c r="Z270" s="194">
        <f t="shared" si="136"/>
        <v>5038831.6108506629</v>
      </c>
      <c r="AA270" s="194">
        <f t="shared" si="136"/>
        <v>4595513.8935454292</v>
      </c>
      <c r="AB270" s="194">
        <f t="shared" si="136"/>
        <v>5073343.9062755685</v>
      </c>
      <c r="AC270" s="194">
        <f t="shared" si="136"/>
        <v>5346065.4660634482</v>
      </c>
      <c r="AD270" s="194">
        <f t="shared" si="136"/>
        <v>5354289.4538974771</v>
      </c>
      <c r="AE270" s="194">
        <f t="shared" si="136"/>
        <v>5598706.6775261676</v>
      </c>
      <c r="AF270" s="194">
        <f t="shared" si="136"/>
        <v>8152960.2577537168</v>
      </c>
      <c r="AG270" s="194">
        <f t="shared" si="136"/>
        <v>0</v>
      </c>
      <c r="AH270" s="194">
        <f t="shared" si="136"/>
        <v>0</v>
      </c>
      <c r="AI270" s="194">
        <f t="shared" si="136"/>
        <v>0</v>
      </c>
      <c r="AJ270" s="194">
        <f t="shared" si="136"/>
        <v>0</v>
      </c>
      <c r="AK270" s="194">
        <f t="shared" si="136"/>
        <v>0</v>
      </c>
      <c r="AL270" s="194">
        <f t="shared" si="136"/>
        <v>0</v>
      </c>
      <c r="AM270" s="194">
        <f t="shared" si="136"/>
        <v>0</v>
      </c>
      <c r="AN270" s="194">
        <f t="shared" si="136"/>
        <v>0</v>
      </c>
      <c r="AO270" s="194">
        <f t="shared" si="136"/>
        <v>0</v>
      </c>
      <c r="AP270" s="194">
        <f t="shared" si="136"/>
        <v>0</v>
      </c>
    </row>
    <row r="271" spans="1:42">
      <c r="A271" s="197" t="s">
        <v>224</v>
      </c>
      <c r="C271" s="194">
        <f t="shared" ref="C271:AP271" si="137">C270*-FedTax</f>
        <v>-2570156.8216187791</v>
      </c>
      <c r="D271" s="194">
        <f t="shared" si="137"/>
        <v>2072926.3431694037</v>
      </c>
      <c r="E271" s="194">
        <f t="shared" si="137"/>
        <v>561469.8526730797</v>
      </c>
      <c r="F271" s="194">
        <f t="shared" si="137"/>
        <v>-351634.22950159141</v>
      </c>
      <c r="G271" s="194">
        <f t="shared" si="137"/>
        <v>-373223.52582901315</v>
      </c>
      <c r="H271" s="194">
        <f t="shared" si="137"/>
        <v>-1061075.915599385</v>
      </c>
      <c r="I271" s="194">
        <f t="shared" si="137"/>
        <v>-1747738.7021782333</v>
      </c>
      <c r="J271" s="194">
        <f t="shared" si="137"/>
        <v>-1769846.4714963292</v>
      </c>
      <c r="K271" s="194">
        <f t="shared" si="137"/>
        <v>-1782601.187557711</v>
      </c>
      <c r="L271" s="194">
        <f t="shared" si="137"/>
        <v>-1793056.5670314508</v>
      </c>
      <c r="M271" s="194">
        <f t="shared" si="137"/>
        <v>-1815366.0469516304</v>
      </c>
      <c r="N271" s="194">
        <f t="shared" si="137"/>
        <v>-1633241.4800760918</v>
      </c>
      <c r="O271" s="194">
        <f t="shared" si="137"/>
        <v>-1509411.5998719702</v>
      </c>
      <c r="P271" s="194">
        <f t="shared" si="137"/>
        <v>-1657028.3147998739</v>
      </c>
      <c r="Q271" s="194">
        <f t="shared" si="137"/>
        <v>-1337124.4736700847</v>
      </c>
      <c r="R271" s="194">
        <f t="shared" si="137"/>
        <v>-1080585.9738382064</v>
      </c>
      <c r="S271" s="194">
        <f t="shared" si="137"/>
        <v>-1434580.1775913879</v>
      </c>
      <c r="T271" s="194">
        <f t="shared" si="137"/>
        <v>-1660265.880314718</v>
      </c>
      <c r="U271" s="194">
        <f t="shared" si="137"/>
        <v>-1670670.455173274</v>
      </c>
      <c r="V271" s="194">
        <f t="shared" si="137"/>
        <v>-1812049.9446946082</v>
      </c>
      <c r="W271" s="194">
        <f t="shared" si="137"/>
        <v>-1952967.5659321244</v>
      </c>
      <c r="X271" s="194">
        <f t="shared" si="137"/>
        <v>-1968950.339275525</v>
      </c>
      <c r="Y271" s="194">
        <f t="shared" si="137"/>
        <v>-1988540.2030526586</v>
      </c>
      <c r="Z271" s="194">
        <f t="shared" si="137"/>
        <v>-1763591.0637977319</v>
      </c>
      <c r="AA271" s="194">
        <f t="shared" si="137"/>
        <v>-1608429.8627409001</v>
      </c>
      <c r="AB271" s="194">
        <f t="shared" si="137"/>
        <v>-1775670.3671964488</v>
      </c>
      <c r="AC271" s="194">
        <f t="shared" si="137"/>
        <v>-1871122.9131222067</v>
      </c>
      <c r="AD271" s="194">
        <f t="shared" si="137"/>
        <v>-1874001.3088641169</v>
      </c>
      <c r="AE271" s="194">
        <f t="shared" si="137"/>
        <v>-1959547.3371341585</v>
      </c>
      <c r="AF271" s="194">
        <f t="shared" si="137"/>
        <v>-2853536.0902138008</v>
      </c>
      <c r="AG271" s="194">
        <f t="shared" si="137"/>
        <v>0</v>
      </c>
      <c r="AH271" s="194">
        <f t="shared" si="137"/>
        <v>0</v>
      </c>
      <c r="AI271" s="194">
        <f t="shared" si="137"/>
        <v>0</v>
      </c>
      <c r="AJ271" s="194">
        <f t="shared" si="137"/>
        <v>0</v>
      </c>
      <c r="AK271" s="194">
        <f t="shared" si="137"/>
        <v>0</v>
      </c>
      <c r="AL271" s="194">
        <f t="shared" si="137"/>
        <v>0</v>
      </c>
      <c r="AM271" s="194">
        <f t="shared" si="137"/>
        <v>0</v>
      </c>
      <c r="AN271" s="194">
        <f t="shared" si="137"/>
        <v>0</v>
      </c>
      <c r="AO271" s="194">
        <f t="shared" si="137"/>
        <v>0</v>
      </c>
      <c r="AP271" s="194">
        <f t="shared" si="137"/>
        <v>0</v>
      </c>
    </row>
    <row r="272" spans="1:42">
      <c r="A272" s="204"/>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17">
      <c r="A273" s="179" t="s">
        <v>499</v>
      </c>
    </row>
    <row r="274" spans="1:17">
      <c r="A274" s="195" t="s">
        <v>500</v>
      </c>
    </row>
    <row r="275" spans="1:17">
      <c r="A275" s="37" t="s">
        <v>82</v>
      </c>
      <c r="G275" s="293" t="s">
        <v>166</v>
      </c>
      <c r="H275" s="294"/>
      <c r="I275" s="294"/>
      <c r="J275" s="295"/>
      <c r="K275" s="226" t="s">
        <v>167</v>
      </c>
      <c r="L275" s="227"/>
    </row>
    <row r="276" spans="1:17" ht="51">
      <c r="B276" s="129" t="s">
        <v>154</v>
      </c>
      <c r="C276" s="129" t="s">
        <v>150</v>
      </c>
      <c r="D276" s="129" t="s">
        <v>152</v>
      </c>
      <c r="E276" s="206" t="s">
        <v>153</v>
      </c>
      <c r="F276" s="129" t="s">
        <v>155</v>
      </c>
      <c r="G276" s="129" t="s">
        <v>160</v>
      </c>
      <c r="H276" s="129" t="s">
        <v>162</v>
      </c>
      <c r="I276" s="129" t="s">
        <v>161</v>
      </c>
      <c r="J276" s="129" t="s">
        <v>163</v>
      </c>
      <c r="K276" s="228" t="s">
        <v>34</v>
      </c>
      <c r="L276" s="129" t="s">
        <v>163</v>
      </c>
      <c r="M276" s="207" t="s">
        <v>168</v>
      </c>
      <c r="N276" s="207" t="s">
        <v>169</v>
      </c>
      <c r="O276" s="129" t="s">
        <v>156</v>
      </c>
      <c r="P276" s="208" t="s">
        <v>319</v>
      </c>
      <c r="Q276" s="129" t="s">
        <v>324</v>
      </c>
    </row>
    <row r="277" spans="1:17" s="118" customFormat="1">
      <c r="A277" s="257" t="str">
        <f>'Inputs &amp; Results'!A217</f>
        <v>5-yr MACRS</v>
      </c>
      <c r="B277" s="351">
        <f t="shared" ref="B277:B282" si="138">C277/$C$284</f>
        <v>0.93401015228426387</v>
      </c>
      <c r="C277" s="141">
        <f>'Inputs &amp; Results'!B226</f>
        <v>39520153.420000002</v>
      </c>
      <c r="D277" s="141">
        <f>IF(StateBasisReduction="5-Yr MACRS",D284,$B277*D$284)</f>
        <v>3000</v>
      </c>
      <c r="E277" s="141">
        <f>IF(StateBasisReduction="5-Yr MACRS",E284,$B277*E$284)</f>
        <v>0</v>
      </c>
      <c r="F277" s="223">
        <f>C277-D277-E277</f>
        <v>39517153.420000002</v>
      </c>
      <c r="G277" s="352">
        <f>IF('Inputs &amp; Results'!B256="Yes",F277,0)</f>
        <v>39517153.420000002</v>
      </c>
      <c r="H277" s="368">
        <f>IF($G$284=0,0,G277/$G$284)</f>
        <v>1</v>
      </c>
      <c r="I277" s="353">
        <f t="shared" ref="I277:I282" si="139">$I$284*H277</f>
        <v>0</v>
      </c>
      <c r="J277" s="354">
        <f>I277*0.5</f>
        <v>0</v>
      </c>
      <c r="K277" s="355">
        <f t="shared" ref="K277:K282" si="140">H277*$K$284</f>
        <v>20000</v>
      </c>
      <c r="L277" s="354">
        <f>K277*0.5</f>
        <v>10000</v>
      </c>
      <c r="M277" s="141">
        <f t="shared" ref="M277:M282" si="141">IF(ITCStateFixedStateDeprec="Yes",L277,0)+IF(ITCStatePercentStateDeprec="Yes",J277,0)</f>
        <v>10000</v>
      </c>
      <c r="N277" s="141">
        <f t="shared" ref="N277:N282" si="142">IF(ITCFedFixedStateDeprec="Yes",L411,0)+IF(ITCFedPercentStateDeprec="Yes",J411,0)</f>
        <v>0</v>
      </c>
      <c r="O277" s="356">
        <f t="shared" ref="O277:O282" si="143">F277-M277-N277</f>
        <v>39507153.420000002</v>
      </c>
      <c r="P277" s="141">
        <f>IF('Inputs &amp; Results'!B238="Yes",O277*StateBonusDeprec,0)</f>
        <v>1975357.6710000001</v>
      </c>
      <c r="Q277" s="223">
        <f>O277-P277</f>
        <v>37531795.748999998</v>
      </c>
    </row>
    <row r="278" spans="1:17" s="118" customFormat="1">
      <c r="A278" s="257" t="str">
        <f>'Inputs &amp; Results'!A218</f>
        <v>15-yr MACRS</v>
      </c>
      <c r="B278" s="351">
        <f t="shared" si="138"/>
        <v>1.5228426395939083E-2</v>
      </c>
      <c r="C278" s="141">
        <f>'Inputs &amp; Results'!B227</f>
        <v>644350.32750000001</v>
      </c>
      <c r="D278" s="141">
        <f t="shared" ref="D278:E282" si="144">IF(StateBasisReduction="5-Yr MACRS",0,$B278*D$284)</f>
        <v>0</v>
      </c>
      <c r="E278" s="141">
        <f t="shared" si="144"/>
        <v>0</v>
      </c>
      <c r="F278" s="223">
        <f t="shared" ref="F278:F282" si="145">C278-D278-E278</f>
        <v>644350.32750000001</v>
      </c>
      <c r="G278" s="355">
        <f>IF('Inputs &amp; Results'!B257="Yes",F278,0)</f>
        <v>0</v>
      </c>
      <c r="H278" s="369">
        <f t="shared" ref="H278:H282" si="146">IF($G$284=0,0,G278/$G$284)</f>
        <v>0</v>
      </c>
      <c r="I278" s="141">
        <f t="shared" si="139"/>
        <v>0</v>
      </c>
      <c r="J278" s="326">
        <f t="shared" ref="J278:J282" si="147">I278*0.5</f>
        <v>0</v>
      </c>
      <c r="K278" s="355">
        <f t="shared" si="140"/>
        <v>0</v>
      </c>
      <c r="L278" s="326">
        <f t="shared" ref="L278:L282" si="148">K278*0.5</f>
        <v>0</v>
      </c>
      <c r="M278" s="141">
        <f t="shared" si="141"/>
        <v>0</v>
      </c>
      <c r="N278" s="141">
        <f t="shared" si="142"/>
        <v>0</v>
      </c>
      <c r="O278" s="223">
        <f t="shared" si="143"/>
        <v>644350.32750000001</v>
      </c>
      <c r="P278" s="141">
        <f>IF('Inputs &amp; Results'!B239="Yes",O278*StateBonusDeprec,0)</f>
        <v>0</v>
      </c>
      <c r="Q278" s="223">
        <f t="shared" ref="Q278:Q282" si="149">O278-P278</f>
        <v>644350.32750000001</v>
      </c>
    </row>
    <row r="279" spans="1:17" s="118" customFormat="1">
      <c r="A279" s="257" t="str">
        <f>'Inputs &amp; Results'!A219</f>
        <v>5-yr SL</v>
      </c>
      <c r="B279" s="351">
        <f t="shared" si="138"/>
        <v>0</v>
      </c>
      <c r="C279" s="141">
        <f>'Inputs &amp; Results'!B228</f>
        <v>0</v>
      </c>
      <c r="D279" s="141">
        <f t="shared" si="144"/>
        <v>0</v>
      </c>
      <c r="E279" s="141">
        <f t="shared" si="144"/>
        <v>0</v>
      </c>
      <c r="F279" s="223">
        <f t="shared" si="145"/>
        <v>0</v>
      </c>
      <c r="G279" s="355">
        <f>IF('Inputs &amp; Results'!B258="Yes",F279,0)</f>
        <v>0</v>
      </c>
      <c r="H279" s="369">
        <f t="shared" si="146"/>
        <v>0</v>
      </c>
      <c r="I279" s="141">
        <f t="shared" si="139"/>
        <v>0</v>
      </c>
      <c r="J279" s="326">
        <f t="shared" si="147"/>
        <v>0</v>
      </c>
      <c r="K279" s="355">
        <f t="shared" si="140"/>
        <v>0</v>
      </c>
      <c r="L279" s="326">
        <f t="shared" si="148"/>
        <v>0</v>
      </c>
      <c r="M279" s="141">
        <f t="shared" si="141"/>
        <v>0</v>
      </c>
      <c r="N279" s="141">
        <f t="shared" si="142"/>
        <v>0</v>
      </c>
      <c r="O279" s="223">
        <f t="shared" si="143"/>
        <v>0</v>
      </c>
      <c r="P279" s="141">
        <f>IF('Inputs &amp; Results'!B240="Yes",O279*StateBonusDeprec,0)</f>
        <v>0</v>
      </c>
      <c r="Q279" s="223">
        <f t="shared" si="149"/>
        <v>0</v>
      </c>
    </row>
    <row r="280" spans="1:17" s="118" customFormat="1">
      <c r="A280" s="257" t="str">
        <f>'Inputs &amp; Results'!A220</f>
        <v>15-yr SL</v>
      </c>
      <c r="B280" s="351">
        <f t="shared" si="138"/>
        <v>1.5228426395939083E-2</v>
      </c>
      <c r="C280" s="141">
        <f>'Inputs &amp; Results'!B229</f>
        <v>644350.32750000001</v>
      </c>
      <c r="D280" s="141">
        <f t="shared" si="144"/>
        <v>0</v>
      </c>
      <c r="E280" s="141">
        <f t="shared" si="144"/>
        <v>0</v>
      </c>
      <c r="F280" s="223">
        <f t="shared" si="145"/>
        <v>644350.32750000001</v>
      </c>
      <c r="G280" s="355">
        <f>IF('Inputs &amp; Results'!B259="Yes",F280,0)</f>
        <v>0</v>
      </c>
      <c r="H280" s="369">
        <f t="shared" si="146"/>
        <v>0</v>
      </c>
      <c r="I280" s="141">
        <f t="shared" si="139"/>
        <v>0</v>
      </c>
      <c r="J280" s="326">
        <f t="shared" si="147"/>
        <v>0</v>
      </c>
      <c r="K280" s="355">
        <f t="shared" si="140"/>
        <v>0</v>
      </c>
      <c r="L280" s="326">
        <f t="shared" si="148"/>
        <v>0</v>
      </c>
      <c r="M280" s="141">
        <f t="shared" si="141"/>
        <v>0</v>
      </c>
      <c r="N280" s="141">
        <f t="shared" si="142"/>
        <v>0</v>
      </c>
      <c r="O280" s="223">
        <f t="shared" si="143"/>
        <v>644350.32750000001</v>
      </c>
      <c r="P280" s="141">
        <f>IF('Inputs &amp; Results'!B241="Yes",O280*StateBonusDeprec,0)</f>
        <v>0</v>
      </c>
      <c r="Q280" s="223">
        <f t="shared" si="149"/>
        <v>644350.32750000001</v>
      </c>
    </row>
    <row r="281" spans="1:17" s="118" customFormat="1">
      <c r="A281" s="257" t="str">
        <f>'Inputs &amp; Results'!A221</f>
        <v>20-yr SL</v>
      </c>
      <c r="B281" s="351">
        <f t="shared" si="138"/>
        <v>3.0456852791878167E-2</v>
      </c>
      <c r="C281" s="141">
        <f>'Inputs &amp; Results'!B230</f>
        <v>1288700.655</v>
      </c>
      <c r="D281" s="141">
        <f t="shared" si="144"/>
        <v>0</v>
      </c>
      <c r="E281" s="141">
        <f t="shared" si="144"/>
        <v>0</v>
      </c>
      <c r="F281" s="223">
        <f t="shared" si="145"/>
        <v>1288700.655</v>
      </c>
      <c r="G281" s="355">
        <f>IF('Inputs &amp; Results'!B260="Yes",F281,0)</f>
        <v>0</v>
      </c>
      <c r="H281" s="369">
        <f t="shared" si="146"/>
        <v>0</v>
      </c>
      <c r="I281" s="141">
        <f t="shared" si="139"/>
        <v>0</v>
      </c>
      <c r="J281" s="326">
        <f t="shared" si="147"/>
        <v>0</v>
      </c>
      <c r="K281" s="355">
        <f t="shared" si="140"/>
        <v>0</v>
      </c>
      <c r="L281" s="326">
        <f t="shared" si="148"/>
        <v>0</v>
      </c>
      <c r="M281" s="141">
        <f t="shared" si="141"/>
        <v>0</v>
      </c>
      <c r="N281" s="141">
        <f t="shared" si="142"/>
        <v>0</v>
      </c>
      <c r="O281" s="223">
        <f t="shared" si="143"/>
        <v>1288700.655</v>
      </c>
      <c r="P281" s="141">
        <f>IF('Inputs &amp; Results'!B242="Yes",O281*StateBonusDeprec,0)</f>
        <v>0</v>
      </c>
      <c r="Q281" s="223">
        <f t="shared" si="149"/>
        <v>1288700.655</v>
      </c>
    </row>
    <row r="282" spans="1:17" s="118" customFormat="1">
      <c r="A282" s="257" t="str">
        <f>'Inputs &amp; Results'!A222</f>
        <v>39-yr SL</v>
      </c>
      <c r="B282" s="351">
        <f t="shared" si="138"/>
        <v>5.076142131979695E-3</v>
      </c>
      <c r="C282" s="141">
        <f>'Inputs &amp; Results'!B231</f>
        <v>214783.4425</v>
      </c>
      <c r="D282" s="141">
        <f t="shared" si="144"/>
        <v>0</v>
      </c>
      <c r="E282" s="141">
        <f t="shared" si="144"/>
        <v>0</v>
      </c>
      <c r="F282" s="223">
        <f t="shared" si="145"/>
        <v>214783.4425</v>
      </c>
      <c r="G282" s="355">
        <f>IF('Inputs &amp; Results'!B261="Yes",F282,0)</f>
        <v>0</v>
      </c>
      <c r="H282" s="369">
        <f t="shared" si="146"/>
        <v>0</v>
      </c>
      <c r="I282" s="141">
        <f t="shared" si="139"/>
        <v>0</v>
      </c>
      <c r="J282" s="326">
        <f t="shared" si="147"/>
        <v>0</v>
      </c>
      <c r="K282" s="355">
        <f t="shared" si="140"/>
        <v>0</v>
      </c>
      <c r="L282" s="326">
        <f t="shared" si="148"/>
        <v>0</v>
      </c>
      <c r="M282" s="141">
        <f t="shared" si="141"/>
        <v>0</v>
      </c>
      <c r="N282" s="141">
        <f t="shared" si="142"/>
        <v>0</v>
      </c>
      <c r="O282" s="223">
        <f t="shared" si="143"/>
        <v>214783.4425</v>
      </c>
      <c r="P282" s="141">
        <f>IF('Inputs &amp; Results'!B243="Yes",O282*StateBonusDeprec,0)</f>
        <v>0</v>
      </c>
      <c r="Q282" s="223">
        <f t="shared" si="149"/>
        <v>214783.4425</v>
      </c>
    </row>
    <row r="283" spans="1:17">
      <c r="A283" s="261" t="s">
        <v>376</v>
      </c>
      <c r="B283" s="209"/>
      <c r="C283" s="210"/>
      <c r="D283" s="211"/>
      <c r="E283" s="211"/>
      <c r="F283" s="103"/>
      <c r="G283" s="209"/>
      <c r="H283" s="230"/>
      <c r="I283" s="230"/>
      <c r="J283" s="296"/>
      <c r="K283" s="209"/>
      <c r="L283" s="296"/>
      <c r="M283" s="211"/>
      <c r="N283" s="211"/>
      <c r="O283" s="103"/>
      <c r="P283" s="211"/>
      <c r="Q283" s="103"/>
    </row>
    <row r="284" spans="1:17" s="118" customFormat="1">
      <c r="B284" s="357">
        <f>SUM(B277:B283)</f>
        <v>1</v>
      </c>
      <c r="C284" s="203">
        <f>SUM(C277:C283)</f>
        <v>42312338.172500007</v>
      </c>
      <c r="D284" s="203">
        <f>B293+B299</f>
        <v>3000</v>
      </c>
      <c r="E284" s="203">
        <f>B305</f>
        <v>0</v>
      </c>
      <c r="F284" s="224">
        <f t="shared" ref="F284:Q284" si="150">SUM(F277:F283)</f>
        <v>42309338.172500007</v>
      </c>
      <c r="G284" s="224">
        <f>SUM(G277:G283)</f>
        <v>39517153.420000002</v>
      </c>
      <c r="H284" s="358">
        <f>SUM(H277:H283)</f>
        <v>1</v>
      </c>
      <c r="I284" s="224">
        <f>MIN(ITCStateMax,ITCStatePercent*G284)</f>
        <v>0</v>
      </c>
      <c r="J284" s="224">
        <f>SUM(J277:J283)</f>
        <v>0</v>
      </c>
      <c r="K284" s="224">
        <f>ITCStateFixed</f>
        <v>20000</v>
      </c>
      <c r="L284" s="224">
        <f>SUM(L277:L283)</f>
        <v>10000</v>
      </c>
      <c r="M284" s="203">
        <f t="shared" si="150"/>
        <v>10000</v>
      </c>
      <c r="N284" s="203">
        <f t="shared" si="150"/>
        <v>0</v>
      </c>
      <c r="O284" s="224">
        <f t="shared" si="150"/>
        <v>42299338.172500007</v>
      </c>
      <c r="P284" s="224">
        <f t="shared" si="150"/>
        <v>1975357.6710000001</v>
      </c>
      <c r="Q284" s="224">
        <f t="shared" si="150"/>
        <v>40323980.501500003</v>
      </c>
    </row>
    <row r="286" spans="1:17">
      <c r="A286" s="37" t="s">
        <v>165</v>
      </c>
    </row>
    <row r="287" spans="1:17">
      <c r="A287" s="184" t="str">
        <f>A556</f>
        <v>Investment Based Incentive (IBI)</v>
      </c>
    </row>
    <row r="288" spans="1:17">
      <c r="A288" s="200" t="str">
        <f t="shared" ref="A288:A304" si="151">A557</f>
        <v>Fixed Amount ($)</v>
      </c>
    </row>
    <row r="289" spans="1:2">
      <c r="A289" s="213" t="str">
        <f t="shared" si="151"/>
        <v>Federal</v>
      </c>
      <c r="B289" s="152">
        <f>IF(IBIFedFixedStateDeprec="Yes",IBIFedFixed,0)</f>
        <v>1000</v>
      </c>
    </row>
    <row r="290" spans="1:2">
      <c r="A290" s="213" t="str">
        <f t="shared" si="151"/>
        <v>State</v>
      </c>
      <c r="B290" s="152">
        <f>IF(IBIStateFixedStateDeprec="Yes",IBIStateFixed,0)</f>
        <v>2000</v>
      </c>
    </row>
    <row r="291" spans="1:2">
      <c r="A291" s="213" t="str">
        <f t="shared" si="151"/>
        <v>Utility</v>
      </c>
      <c r="B291" s="152">
        <f>IF(IBIUtilityFixedStateDeprec="Yes",IBIUtilityFixed,0)</f>
        <v>0</v>
      </c>
    </row>
    <row r="292" spans="1:2">
      <c r="A292" s="213" t="str">
        <f t="shared" si="151"/>
        <v>Other</v>
      </c>
      <c r="B292" s="187">
        <f>IF(IBIOtherFixedStateDeprec="Yes",IBIOtherFixed,0)</f>
        <v>0</v>
      </c>
    </row>
    <row r="293" spans="1:2">
      <c r="A293" s="213" t="str">
        <f t="shared" si="151"/>
        <v>Total</v>
      </c>
      <c r="B293" s="152">
        <f>SUM(B289:B292)</f>
        <v>3000</v>
      </c>
    </row>
    <row r="294" spans="1:2">
      <c r="A294" s="200" t="str">
        <f t="shared" si="151"/>
        <v>Percentage of Pre-Financing Costs</v>
      </c>
    </row>
    <row r="295" spans="1:2">
      <c r="A295" s="213" t="str">
        <f t="shared" si="151"/>
        <v>Federal</v>
      </c>
      <c r="B295" s="152">
        <f>IF(IBIFedPercentStateDeprec="Yes",IBIFedPercent,0)</f>
        <v>0</v>
      </c>
    </row>
    <row r="296" spans="1:2">
      <c r="A296" s="213" t="str">
        <f>A565</f>
        <v>State</v>
      </c>
      <c r="B296" s="152">
        <f>IF(IBIStatePercentStateDeprec="Yes",IBIStatePercent,0)</f>
        <v>0</v>
      </c>
    </row>
    <row r="297" spans="1:2">
      <c r="A297" s="213" t="str">
        <f t="shared" si="151"/>
        <v>Utility</v>
      </c>
      <c r="B297" s="152">
        <f>IF(IBIUtilityPercentStateDeprec="Yes",IBIUtilityPercent,0)</f>
        <v>0</v>
      </c>
    </row>
    <row r="298" spans="1:2">
      <c r="A298" s="213" t="str">
        <f t="shared" si="151"/>
        <v>Other</v>
      </c>
      <c r="B298" s="187">
        <f>IF(IBIOtherPercentStateDeprec="Yes",IBIOtherPercent,0)</f>
        <v>0</v>
      </c>
    </row>
    <row r="299" spans="1:2">
      <c r="A299" s="213" t="str">
        <f t="shared" si="151"/>
        <v>Total</v>
      </c>
      <c r="B299" s="152">
        <f>SUM(B295:B298)</f>
        <v>0</v>
      </c>
    </row>
    <row r="300" spans="1:2">
      <c r="A300" s="184" t="str">
        <f t="shared" si="151"/>
        <v>Capacity Based Incentive (CBI)</v>
      </c>
    </row>
    <row r="301" spans="1:2">
      <c r="A301" s="200" t="str">
        <f t="shared" si="151"/>
        <v>Federal</v>
      </c>
      <c r="B301" s="152">
        <f>IF(CBIFedStateDeprec="Yes",CBIFed,0)</f>
        <v>0</v>
      </c>
    </row>
    <row r="302" spans="1:2">
      <c r="A302" s="200" t="str">
        <f>A571</f>
        <v>State</v>
      </c>
      <c r="B302" s="152">
        <f>IF(CBIStateStateDeprec="Yes",CBIState,0)</f>
        <v>0</v>
      </c>
    </row>
    <row r="303" spans="1:2">
      <c r="A303" s="200" t="str">
        <f t="shared" si="151"/>
        <v>Utility</v>
      </c>
      <c r="B303" s="152">
        <f>IF(CBIUtilityStateDeprec="Yes",CBIUtility,0)</f>
        <v>0</v>
      </c>
    </row>
    <row r="304" spans="1:2">
      <c r="A304" s="200" t="str">
        <f t="shared" si="151"/>
        <v>Other</v>
      </c>
      <c r="B304" s="187">
        <f>IF(CBIOtherStateDeprec="Yes",CBIOther,0)</f>
        <v>0</v>
      </c>
    </row>
    <row r="305" spans="1:42">
      <c r="A305" s="200" t="str">
        <f>A574</f>
        <v>Total</v>
      </c>
      <c r="B305" s="194">
        <f>SUM(B301:B304)</f>
        <v>0</v>
      </c>
    </row>
    <row r="306" spans="1:42">
      <c r="A306" s="184" t="s">
        <v>151</v>
      </c>
      <c r="B306" s="152">
        <f>B293+B299+B305</f>
        <v>3000</v>
      </c>
    </row>
    <row r="308" spans="1:42">
      <c r="A308" s="37" t="s">
        <v>252</v>
      </c>
    </row>
    <row r="309" spans="1:42">
      <c r="A309" s="184" t="s">
        <v>157</v>
      </c>
    </row>
    <row r="310" spans="1:42">
      <c r="A310" s="205" t="str">
        <f>A277</f>
        <v>5-yr MACRS</v>
      </c>
      <c r="B310" s="214">
        <f>SUM(C310:AP310)</f>
        <v>0.99999999999999989</v>
      </c>
      <c r="C310" s="215">
        <f>LOOKUP(C$2,'Depreciation Schedules'!$A$3:$A$42,'Depreciation Schedules'!$B$3:$B$42)</f>
        <v>0.2</v>
      </c>
      <c r="D310" s="215">
        <f>LOOKUP(D$2,'Depreciation Schedules'!$A$3:$A$42,'Depreciation Schedules'!$B$3:$B$42)</f>
        <v>0.32</v>
      </c>
      <c r="E310" s="215">
        <f>LOOKUP(E$2,'Depreciation Schedules'!$A$3:$A$42,'Depreciation Schedules'!$B$3:$B$42)</f>
        <v>0.192</v>
      </c>
      <c r="F310" s="215">
        <f>LOOKUP(F$2,'Depreciation Schedules'!$A$3:$A$42,'Depreciation Schedules'!$B$3:$B$42)</f>
        <v>0.1152</v>
      </c>
      <c r="G310" s="215">
        <f>LOOKUP(G$2,'Depreciation Schedules'!$A$3:$A$42,'Depreciation Schedules'!$B$3:$B$42)</f>
        <v>0.1152</v>
      </c>
      <c r="H310" s="215">
        <f>LOOKUP(H$2,'Depreciation Schedules'!$A$3:$A$42,'Depreciation Schedules'!$B$3:$B$42)</f>
        <v>5.7599999999999998E-2</v>
      </c>
      <c r="I310" s="215">
        <f>LOOKUP(I$2,'Depreciation Schedules'!$A$3:$A$42,'Depreciation Schedules'!$B$3:$B$42)</f>
        <v>0</v>
      </c>
      <c r="J310" s="215">
        <f>LOOKUP(J$2,'Depreciation Schedules'!$A$3:$A$42,'Depreciation Schedules'!$B$3:$B$42)</f>
        <v>0</v>
      </c>
      <c r="K310" s="215">
        <f>LOOKUP(K$2,'Depreciation Schedules'!$A$3:$A$42,'Depreciation Schedules'!$B$3:$B$42)</f>
        <v>0</v>
      </c>
      <c r="L310" s="215">
        <f>LOOKUP(L$2,'Depreciation Schedules'!$A$3:$A$42,'Depreciation Schedules'!$B$3:$B$42)</f>
        <v>0</v>
      </c>
      <c r="M310" s="215">
        <f>LOOKUP(M$2,'Depreciation Schedules'!$A$3:$A$42,'Depreciation Schedules'!$B$3:$B$42)</f>
        <v>0</v>
      </c>
      <c r="N310" s="215">
        <f>LOOKUP(N$2,'Depreciation Schedules'!$A$3:$A$42,'Depreciation Schedules'!$B$3:$B$42)</f>
        <v>0</v>
      </c>
      <c r="O310" s="215">
        <f>LOOKUP(O$2,'Depreciation Schedules'!$A$3:$A$42,'Depreciation Schedules'!$B$3:$B$42)</f>
        <v>0</v>
      </c>
      <c r="P310" s="215">
        <f>LOOKUP(P$2,'Depreciation Schedules'!$A$3:$A$42,'Depreciation Schedules'!$B$3:$B$42)</f>
        <v>0</v>
      </c>
      <c r="Q310" s="215">
        <f>LOOKUP(Q$2,'Depreciation Schedules'!$A$3:$A$42,'Depreciation Schedules'!$B$3:$B$42)</f>
        <v>0</v>
      </c>
      <c r="R310" s="215">
        <f>LOOKUP(R$2,'Depreciation Schedules'!$A$3:$A$42,'Depreciation Schedules'!$B$3:$B$42)</f>
        <v>0</v>
      </c>
      <c r="S310" s="215">
        <f>LOOKUP(S$2,'Depreciation Schedules'!$A$3:$A$42,'Depreciation Schedules'!$B$3:$B$42)</f>
        <v>0</v>
      </c>
      <c r="T310" s="215">
        <f>LOOKUP(T$2,'Depreciation Schedules'!$A$3:$A$42,'Depreciation Schedules'!$B$3:$B$42)</f>
        <v>0</v>
      </c>
      <c r="U310" s="215">
        <f>LOOKUP(U$2,'Depreciation Schedules'!$A$3:$A$42,'Depreciation Schedules'!$B$3:$B$42)</f>
        <v>0</v>
      </c>
      <c r="V310" s="215">
        <f>LOOKUP(V$2,'Depreciation Schedules'!$A$3:$A$42,'Depreciation Schedules'!$B$3:$B$42)</f>
        <v>0</v>
      </c>
      <c r="W310" s="215">
        <f>LOOKUP(W$2,'Depreciation Schedules'!$A$3:$A$42,'Depreciation Schedules'!$B$3:$B$42)</f>
        <v>0</v>
      </c>
      <c r="X310" s="215">
        <f>LOOKUP(X$2,'Depreciation Schedules'!$A$3:$A$42,'Depreciation Schedules'!$B$3:$B$42)</f>
        <v>0</v>
      </c>
      <c r="Y310" s="215">
        <f>LOOKUP(Y$2,'Depreciation Schedules'!$A$3:$A$42,'Depreciation Schedules'!$B$3:$B$42)</f>
        <v>0</v>
      </c>
      <c r="Z310" s="215">
        <f>LOOKUP(Z$2,'Depreciation Schedules'!$A$3:$A$42,'Depreciation Schedules'!$B$3:$B$42)</f>
        <v>0</v>
      </c>
      <c r="AA310" s="215">
        <f>LOOKUP(AA$2,'Depreciation Schedules'!$A$3:$A$42,'Depreciation Schedules'!$B$3:$B$42)</f>
        <v>0</v>
      </c>
      <c r="AB310" s="215">
        <f>LOOKUP(AB$2,'Depreciation Schedules'!$A$3:$A$42,'Depreciation Schedules'!$B$3:$B$42)</f>
        <v>0</v>
      </c>
      <c r="AC310" s="215">
        <f>LOOKUP(AC$2,'Depreciation Schedules'!$A$3:$A$42,'Depreciation Schedules'!$B$3:$B$42)</f>
        <v>0</v>
      </c>
      <c r="AD310" s="215">
        <f>LOOKUP(AD$2,'Depreciation Schedules'!$A$3:$A$42,'Depreciation Schedules'!$B$3:$B$42)</f>
        <v>0</v>
      </c>
      <c r="AE310" s="215">
        <f>LOOKUP(AE$2,'Depreciation Schedules'!$A$3:$A$42,'Depreciation Schedules'!$B$3:$B$42)</f>
        <v>0</v>
      </c>
      <c r="AF310" s="215">
        <f>LOOKUP(AF$2,'Depreciation Schedules'!$A$3:$A$42,'Depreciation Schedules'!$B$3:$B$42)</f>
        <v>0</v>
      </c>
      <c r="AG310" s="215">
        <f>LOOKUP(AG$2,'Depreciation Schedules'!$A$3:$A$42,'Depreciation Schedules'!$B$3:$B$42)</f>
        <v>0</v>
      </c>
      <c r="AH310" s="215">
        <f>LOOKUP(AH$2,'Depreciation Schedules'!$A$3:$A$42,'Depreciation Schedules'!$B$3:$B$42)</f>
        <v>0</v>
      </c>
      <c r="AI310" s="215">
        <f>LOOKUP(AI$2,'Depreciation Schedules'!$A$3:$A$42,'Depreciation Schedules'!$B$3:$B$42)</f>
        <v>0</v>
      </c>
      <c r="AJ310" s="215">
        <f>LOOKUP(AJ$2,'Depreciation Schedules'!$A$3:$A$42,'Depreciation Schedules'!$B$3:$B$42)</f>
        <v>0</v>
      </c>
      <c r="AK310" s="215">
        <f>LOOKUP(AK$2,'Depreciation Schedules'!$A$3:$A$42,'Depreciation Schedules'!$B$3:$B$42)</f>
        <v>0</v>
      </c>
      <c r="AL310" s="215">
        <f>LOOKUP(AL$2,'Depreciation Schedules'!$A$3:$A$42,'Depreciation Schedules'!$B$3:$B$42)</f>
        <v>0</v>
      </c>
      <c r="AM310" s="215">
        <f>LOOKUP(AM$2,'Depreciation Schedules'!$A$3:$A$42,'Depreciation Schedules'!$B$3:$B$42)</f>
        <v>0</v>
      </c>
      <c r="AN310" s="215">
        <f>LOOKUP(AN$2,'Depreciation Schedules'!$A$3:$A$42,'Depreciation Schedules'!$B$3:$B$42)</f>
        <v>0</v>
      </c>
      <c r="AO310" s="215">
        <f>LOOKUP(AO$2,'Depreciation Schedules'!$A$3:$A$42,'Depreciation Schedules'!$B$3:$B$42)</f>
        <v>0</v>
      </c>
      <c r="AP310" s="215">
        <f>LOOKUP(AP$2,'Depreciation Schedules'!$A$3:$A$42,'Depreciation Schedules'!$B$3:$B$42)</f>
        <v>0</v>
      </c>
    </row>
    <row r="311" spans="1:42">
      <c r="A311" s="205" t="str">
        <f t="shared" ref="A311:A315" si="152">A278</f>
        <v>15-yr MACRS</v>
      </c>
      <c r="B311" s="216">
        <f t="shared" ref="B311:B315" si="153">SUM(C311:AP311)</f>
        <v>1.0000000000000002</v>
      </c>
      <c r="C311" s="215">
        <f>LOOKUP(C$2,'Depreciation Schedules'!$A$3:$A$42,'Depreciation Schedules'!$C$3:$C$42)</f>
        <v>0.05</v>
      </c>
      <c r="D311" s="215">
        <f>LOOKUP(D$2,'Depreciation Schedules'!$A$3:$A$42,'Depreciation Schedules'!$C$3:$C$42)</f>
        <v>9.5000000000000001E-2</v>
      </c>
      <c r="E311" s="215">
        <f>LOOKUP(E$2,'Depreciation Schedules'!$A$3:$A$42,'Depreciation Schedules'!$C$3:$C$42)</f>
        <v>8.5500000000000007E-2</v>
      </c>
      <c r="F311" s="215">
        <f>LOOKUP(F$2,'Depreciation Schedules'!$A$3:$A$42,'Depreciation Schedules'!$C$3:$C$42)</f>
        <v>7.6999999999999999E-2</v>
      </c>
      <c r="G311" s="215">
        <f>LOOKUP(G$2,'Depreciation Schedules'!$A$3:$A$42,'Depreciation Schedules'!$C$3:$C$42)</f>
        <v>6.93E-2</v>
      </c>
      <c r="H311" s="215">
        <f>LOOKUP(H$2,'Depreciation Schedules'!$A$3:$A$42,'Depreciation Schedules'!$C$3:$C$42)</f>
        <v>6.2300000000000001E-2</v>
      </c>
      <c r="I311" s="215">
        <f>LOOKUP(I$2,'Depreciation Schedules'!$A$3:$A$42,'Depreciation Schedules'!$C$3:$C$42)</f>
        <v>5.8999999999999997E-2</v>
      </c>
      <c r="J311" s="215">
        <f>LOOKUP(J$2,'Depreciation Schedules'!$A$3:$A$42,'Depreciation Schedules'!$C$3:$C$42)</f>
        <v>5.8999999999999997E-2</v>
      </c>
      <c r="K311" s="215">
        <f>LOOKUP(K$2,'Depreciation Schedules'!$A$3:$A$42,'Depreciation Schedules'!$C$3:$C$42)</f>
        <v>5.91E-2</v>
      </c>
      <c r="L311" s="215">
        <f>LOOKUP(L$2,'Depreciation Schedules'!$A$3:$A$42,'Depreciation Schedules'!$C$3:$C$42)</f>
        <v>5.8999999999999997E-2</v>
      </c>
      <c r="M311" s="215">
        <f>LOOKUP(M$2,'Depreciation Schedules'!$A$3:$A$42,'Depreciation Schedules'!$C$3:$C$42)</f>
        <v>5.91E-2</v>
      </c>
      <c r="N311" s="215">
        <f>LOOKUP(N$2,'Depreciation Schedules'!$A$3:$A$42,'Depreciation Schedules'!$C$3:$C$42)</f>
        <v>5.8999999999999997E-2</v>
      </c>
      <c r="O311" s="215">
        <f>LOOKUP(O$2,'Depreciation Schedules'!$A$3:$A$42,'Depreciation Schedules'!$C$3:$C$42)</f>
        <v>5.91E-2</v>
      </c>
      <c r="P311" s="215">
        <f>LOOKUP(P$2,'Depreciation Schedules'!$A$3:$A$42,'Depreciation Schedules'!$C$3:$C$42)</f>
        <v>5.8999999999999997E-2</v>
      </c>
      <c r="Q311" s="215">
        <f>LOOKUP(Q$2,'Depreciation Schedules'!$A$3:$A$42,'Depreciation Schedules'!$C$3:$C$42)</f>
        <v>5.91E-2</v>
      </c>
      <c r="R311" s="215">
        <f>LOOKUP(R$2,'Depreciation Schedules'!$A$3:$A$42,'Depreciation Schedules'!$C$3:$C$42)</f>
        <v>2.9499999999999998E-2</v>
      </c>
      <c r="S311" s="215">
        <f>LOOKUP(S$2,'Depreciation Schedules'!$A$3:$A$42,'Depreciation Schedules'!$C$3:$C$42)</f>
        <v>0</v>
      </c>
      <c r="T311" s="215">
        <f>LOOKUP(T$2,'Depreciation Schedules'!$A$3:$A$42,'Depreciation Schedules'!$C$3:$C$42)</f>
        <v>0</v>
      </c>
      <c r="U311" s="215">
        <f>LOOKUP(U$2,'Depreciation Schedules'!$A$3:$A$42,'Depreciation Schedules'!$C$3:$C$42)</f>
        <v>0</v>
      </c>
      <c r="V311" s="215">
        <f>LOOKUP(V$2,'Depreciation Schedules'!$A$3:$A$42,'Depreciation Schedules'!$C$3:$C$42)</f>
        <v>0</v>
      </c>
      <c r="W311" s="215">
        <f>LOOKUP(W$2,'Depreciation Schedules'!$A$3:$A$42,'Depreciation Schedules'!$C$3:$C$42)</f>
        <v>0</v>
      </c>
      <c r="X311" s="215">
        <f>LOOKUP(X$2,'Depreciation Schedules'!$A$3:$A$42,'Depreciation Schedules'!$C$3:$C$42)</f>
        <v>0</v>
      </c>
      <c r="Y311" s="215">
        <f>LOOKUP(Y$2,'Depreciation Schedules'!$A$3:$A$42,'Depreciation Schedules'!$C$3:$C$42)</f>
        <v>0</v>
      </c>
      <c r="Z311" s="215">
        <f>LOOKUP(Z$2,'Depreciation Schedules'!$A$3:$A$42,'Depreciation Schedules'!$C$3:$C$42)</f>
        <v>0</v>
      </c>
      <c r="AA311" s="215">
        <f>LOOKUP(AA$2,'Depreciation Schedules'!$A$3:$A$42,'Depreciation Schedules'!$C$3:$C$42)</f>
        <v>0</v>
      </c>
      <c r="AB311" s="215">
        <f>LOOKUP(AB$2,'Depreciation Schedules'!$A$3:$A$42,'Depreciation Schedules'!$C$3:$C$42)</f>
        <v>0</v>
      </c>
      <c r="AC311" s="215">
        <f>LOOKUP(AC$2,'Depreciation Schedules'!$A$3:$A$42,'Depreciation Schedules'!$C$3:$C$42)</f>
        <v>0</v>
      </c>
      <c r="AD311" s="215">
        <f>LOOKUP(AD$2,'Depreciation Schedules'!$A$3:$A$42,'Depreciation Schedules'!$C$3:$C$42)</f>
        <v>0</v>
      </c>
      <c r="AE311" s="215">
        <f>LOOKUP(AE$2,'Depreciation Schedules'!$A$3:$A$42,'Depreciation Schedules'!$C$3:$C$42)</f>
        <v>0</v>
      </c>
      <c r="AF311" s="215">
        <f>LOOKUP(AF$2,'Depreciation Schedules'!$A$3:$A$42,'Depreciation Schedules'!$C$3:$C$42)</f>
        <v>0</v>
      </c>
      <c r="AG311" s="215">
        <f>LOOKUP(AG$2,'Depreciation Schedules'!$A$3:$A$42,'Depreciation Schedules'!$C$3:$C$42)</f>
        <v>0</v>
      </c>
      <c r="AH311" s="215">
        <f>LOOKUP(AH$2,'Depreciation Schedules'!$A$3:$A$42,'Depreciation Schedules'!$C$3:$C$42)</f>
        <v>0</v>
      </c>
      <c r="AI311" s="215">
        <f>LOOKUP(AI$2,'Depreciation Schedules'!$A$3:$A$42,'Depreciation Schedules'!$C$3:$C$42)</f>
        <v>0</v>
      </c>
      <c r="AJ311" s="215">
        <f>LOOKUP(AJ$2,'Depreciation Schedules'!$A$3:$A$42,'Depreciation Schedules'!$C$3:$C$42)</f>
        <v>0</v>
      </c>
      <c r="AK311" s="215">
        <f>LOOKUP(AK$2,'Depreciation Schedules'!$A$3:$A$42,'Depreciation Schedules'!$C$3:$C$42)</f>
        <v>0</v>
      </c>
      <c r="AL311" s="215">
        <f>LOOKUP(AL$2,'Depreciation Schedules'!$A$3:$A$42,'Depreciation Schedules'!$C$3:$C$42)</f>
        <v>0</v>
      </c>
      <c r="AM311" s="215">
        <f>LOOKUP(AM$2,'Depreciation Schedules'!$A$3:$A$42,'Depreciation Schedules'!$C$3:$C$42)</f>
        <v>0</v>
      </c>
      <c r="AN311" s="215">
        <f>LOOKUP(AN$2,'Depreciation Schedules'!$A$3:$A$42,'Depreciation Schedules'!$C$3:$C$42)</f>
        <v>0</v>
      </c>
      <c r="AO311" s="215">
        <f>LOOKUP(AO$2,'Depreciation Schedules'!$A$3:$A$42,'Depreciation Schedules'!$C$3:$C$42)</f>
        <v>0</v>
      </c>
      <c r="AP311" s="215">
        <f>LOOKUP(AP$2,'Depreciation Schedules'!$A$3:$A$42,'Depreciation Schedules'!$C$3:$C$42)</f>
        <v>0</v>
      </c>
    </row>
    <row r="312" spans="1:42">
      <c r="A312" s="205" t="str">
        <f t="shared" si="152"/>
        <v>5-yr SL</v>
      </c>
      <c r="B312" s="216">
        <f t="shared" si="153"/>
        <v>0.99999999999999989</v>
      </c>
      <c r="C312" s="215">
        <f>LOOKUP(C$2,'Depreciation Schedules'!$A$3:$A$42,'Depreciation Schedules'!$D$3:$D$42)</f>
        <v>0.1</v>
      </c>
      <c r="D312" s="215">
        <f>LOOKUP(D$2,'Depreciation Schedules'!$A$3:$A$42,'Depreciation Schedules'!$D$3:$D$42)</f>
        <v>0.2</v>
      </c>
      <c r="E312" s="215">
        <f>LOOKUP(E$2,'Depreciation Schedules'!$A$3:$A$42,'Depreciation Schedules'!$D$3:$D$42)</f>
        <v>0.2</v>
      </c>
      <c r="F312" s="215">
        <f>LOOKUP(F$2,'Depreciation Schedules'!$A$3:$A$42,'Depreciation Schedules'!$D$3:$D$42)</f>
        <v>0.2</v>
      </c>
      <c r="G312" s="215">
        <f>LOOKUP(G$2,'Depreciation Schedules'!$A$3:$A$42,'Depreciation Schedules'!$D$3:$D$42)</f>
        <v>0.2</v>
      </c>
      <c r="H312" s="215">
        <f>LOOKUP(H$2,'Depreciation Schedules'!$A$3:$A$42,'Depreciation Schedules'!$D$3:$D$42)</f>
        <v>0.1</v>
      </c>
      <c r="I312" s="215">
        <f>LOOKUP(I$2,'Depreciation Schedules'!$A$3:$A$42,'Depreciation Schedules'!$D$3:$D$42)</f>
        <v>0</v>
      </c>
      <c r="J312" s="215">
        <f>LOOKUP(J$2,'Depreciation Schedules'!$A$3:$A$42,'Depreciation Schedules'!$D$3:$D$42)</f>
        <v>0</v>
      </c>
      <c r="K312" s="215">
        <f>LOOKUP(K$2,'Depreciation Schedules'!$A$3:$A$42,'Depreciation Schedules'!$D$3:$D$42)</f>
        <v>0</v>
      </c>
      <c r="L312" s="215">
        <f>LOOKUP(L$2,'Depreciation Schedules'!$A$3:$A$42,'Depreciation Schedules'!$D$3:$D$42)</f>
        <v>0</v>
      </c>
      <c r="M312" s="215">
        <f>LOOKUP(M$2,'Depreciation Schedules'!$A$3:$A$42,'Depreciation Schedules'!$D$3:$D$42)</f>
        <v>0</v>
      </c>
      <c r="N312" s="215">
        <f>LOOKUP(N$2,'Depreciation Schedules'!$A$3:$A$42,'Depreciation Schedules'!$D$3:$D$42)</f>
        <v>0</v>
      </c>
      <c r="O312" s="215">
        <f>LOOKUP(O$2,'Depreciation Schedules'!$A$3:$A$42,'Depreciation Schedules'!$D$3:$D$42)</f>
        <v>0</v>
      </c>
      <c r="P312" s="215">
        <f>LOOKUP(P$2,'Depreciation Schedules'!$A$3:$A$42,'Depreciation Schedules'!$D$3:$D$42)</f>
        <v>0</v>
      </c>
      <c r="Q312" s="215">
        <f>LOOKUP(Q$2,'Depreciation Schedules'!$A$3:$A$42,'Depreciation Schedules'!$D$3:$D$42)</f>
        <v>0</v>
      </c>
      <c r="R312" s="215">
        <f>LOOKUP(R$2,'Depreciation Schedules'!$A$3:$A$42,'Depreciation Schedules'!$D$3:$D$42)</f>
        <v>0</v>
      </c>
      <c r="S312" s="215">
        <f>LOOKUP(S$2,'Depreciation Schedules'!$A$3:$A$42,'Depreciation Schedules'!$D$3:$D$42)</f>
        <v>0</v>
      </c>
      <c r="T312" s="215">
        <f>LOOKUP(T$2,'Depreciation Schedules'!$A$3:$A$42,'Depreciation Schedules'!$D$3:$D$42)</f>
        <v>0</v>
      </c>
      <c r="U312" s="215">
        <f>LOOKUP(U$2,'Depreciation Schedules'!$A$3:$A$42,'Depreciation Schedules'!$D$3:$D$42)</f>
        <v>0</v>
      </c>
      <c r="V312" s="215">
        <f>LOOKUP(V$2,'Depreciation Schedules'!$A$3:$A$42,'Depreciation Schedules'!$D$3:$D$42)</f>
        <v>0</v>
      </c>
      <c r="W312" s="215">
        <f>LOOKUP(W$2,'Depreciation Schedules'!$A$3:$A$42,'Depreciation Schedules'!$D$3:$D$42)</f>
        <v>0</v>
      </c>
      <c r="X312" s="215">
        <f>LOOKUP(X$2,'Depreciation Schedules'!$A$3:$A$42,'Depreciation Schedules'!$D$3:$D$42)</f>
        <v>0</v>
      </c>
      <c r="Y312" s="215">
        <f>LOOKUP(Y$2,'Depreciation Schedules'!$A$3:$A$42,'Depreciation Schedules'!$D$3:$D$42)</f>
        <v>0</v>
      </c>
      <c r="Z312" s="215">
        <f>LOOKUP(Z$2,'Depreciation Schedules'!$A$3:$A$42,'Depreciation Schedules'!$D$3:$D$42)</f>
        <v>0</v>
      </c>
      <c r="AA312" s="215">
        <f>LOOKUP(AA$2,'Depreciation Schedules'!$A$3:$A$42,'Depreciation Schedules'!$D$3:$D$42)</f>
        <v>0</v>
      </c>
      <c r="AB312" s="215">
        <f>LOOKUP(AB$2,'Depreciation Schedules'!$A$3:$A$42,'Depreciation Schedules'!$D$3:$D$42)</f>
        <v>0</v>
      </c>
      <c r="AC312" s="215">
        <f>LOOKUP(AC$2,'Depreciation Schedules'!$A$3:$A$42,'Depreciation Schedules'!$D$3:$D$42)</f>
        <v>0</v>
      </c>
      <c r="AD312" s="215">
        <f>LOOKUP(AD$2,'Depreciation Schedules'!$A$3:$A$42,'Depreciation Schedules'!$D$3:$D$42)</f>
        <v>0</v>
      </c>
      <c r="AE312" s="215">
        <f>LOOKUP(AE$2,'Depreciation Schedules'!$A$3:$A$42,'Depreciation Schedules'!$D$3:$D$42)</f>
        <v>0</v>
      </c>
      <c r="AF312" s="215">
        <f>LOOKUP(AF$2,'Depreciation Schedules'!$A$3:$A$42,'Depreciation Schedules'!$D$3:$D$42)</f>
        <v>0</v>
      </c>
      <c r="AG312" s="215">
        <f>LOOKUP(AG$2,'Depreciation Schedules'!$A$3:$A$42,'Depreciation Schedules'!$D$3:$D$42)</f>
        <v>0</v>
      </c>
      <c r="AH312" s="215">
        <f>LOOKUP(AH$2,'Depreciation Schedules'!$A$3:$A$42,'Depreciation Schedules'!$D$3:$D$42)</f>
        <v>0</v>
      </c>
      <c r="AI312" s="215">
        <f>LOOKUP(AI$2,'Depreciation Schedules'!$A$3:$A$42,'Depreciation Schedules'!$D$3:$D$42)</f>
        <v>0</v>
      </c>
      <c r="AJ312" s="215">
        <f>LOOKUP(AJ$2,'Depreciation Schedules'!$A$3:$A$42,'Depreciation Schedules'!$D$3:$D$42)</f>
        <v>0</v>
      </c>
      <c r="AK312" s="215">
        <f>LOOKUP(AK$2,'Depreciation Schedules'!$A$3:$A$42,'Depreciation Schedules'!$D$3:$D$42)</f>
        <v>0</v>
      </c>
      <c r="AL312" s="215">
        <f>LOOKUP(AL$2,'Depreciation Schedules'!$A$3:$A$42,'Depreciation Schedules'!$D$3:$D$42)</f>
        <v>0</v>
      </c>
      <c r="AM312" s="215">
        <f>LOOKUP(AM$2,'Depreciation Schedules'!$A$3:$A$42,'Depreciation Schedules'!$D$3:$D$42)</f>
        <v>0</v>
      </c>
      <c r="AN312" s="215">
        <f>LOOKUP(AN$2,'Depreciation Schedules'!$A$3:$A$42,'Depreciation Schedules'!$D$3:$D$42)</f>
        <v>0</v>
      </c>
      <c r="AO312" s="215">
        <f>LOOKUP(AO$2,'Depreciation Schedules'!$A$3:$A$42,'Depreciation Schedules'!$D$3:$D$42)</f>
        <v>0</v>
      </c>
      <c r="AP312" s="215">
        <f>LOOKUP(AP$2,'Depreciation Schedules'!$A$3:$A$42,'Depreciation Schedules'!$D$3:$D$42)</f>
        <v>0</v>
      </c>
    </row>
    <row r="313" spans="1:42">
      <c r="A313" s="205" t="str">
        <f t="shared" si="152"/>
        <v>15-yr SL</v>
      </c>
      <c r="B313" s="216">
        <f t="shared" si="153"/>
        <v>0.99999999999999989</v>
      </c>
      <c r="C313" s="215">
        <f>LOOKUP(C$2,'Depreciation Schedules'!$A$3:$A$42,'Depreciation Schedules'!$E$3:$E$42)</f>
        <v>3.3300000000000003E-2</v>
      </c>
      <c r="D313" s="215">
        <f>LOOKUP(D$2,'Depreciation Schedules'!$A$3:$A$42,'Depreciation Schedules'!$E$3:$E$42)</f>
        <v>6.6699999999999995E-2</v>
      </c>
      <c r="E313" s="215">
        <f>LOOKUP(E$2,'Depreciation Schedules'!$A$3:$A$42,'Depreciation Schedules'!$E$3:$E$42)</f>
        <v>6.6699999999999995E-2</v>
      </c>
      <c r="F313" s="215">
        <f>LOOKUP(F$2,'Depreciation Schedules'!$A$3:$A$42,'Depreciation Schedules'!$E$3:$E$42)</f>
        <v>6.6699999999999995E-2</v>
      </c>
      <c r="G313" s="215">
        <f>LOOKUP(G$2,'Depreciation Schedules'!$A$3:$A$42,'Depreciation Schedules'!$E$3:$E$42)</f>
        <v>6.6699999999999995E-2</v>
      </c>
      <c r="H313" s="215">
        <f>LOOKUP(H$2,'Depreciation Schedules'!$A$3:$A$42,'Depreciation Schedules'!$E$3:$E$42)</f>
        <v>6.6699999999999995E-2</v>
      </c>
      <c r="I313" s="215">
        <f>LOOKUP(I$2,'Depreciation Schedules'!$A$3:$A$42,'Depreciation Schedules'!$E$3:$E$42)</f>
        <v>6.6699999999999995E-2</v>
      </c>
      <c r="J313" s="215">
        <f>LOOKUP(J$2,'Depreciation Schedules'!$A$3:$A$42,'Depreciation Schedules'!$E$3:$E$42)</f>
        <v>6.6600000000000006E-2</v>
      </c>
      <c r="K313" s="215">
        <f>LOOKUP(K$2,'Depreciation Schedules'!$A$3:$A$42,'Depreciation Schedules'!$E$3:$E$42)</f>
        <v>6.6699999999999995E-2</v>
      </c>
      <c r="L313" s="215">
        <f>LOOKUP(L$2,'Depreciation Schedules'!$A$3:$A$42,'Depreciation Schedules'!$E$3:$E$42)</f>
        <v>6.6600000000000006E-2</v>
      </c>
      <c r="M313" s="215">
        <f>LOOKUP(M$2,'Depreciation Schedules'!$A$3:$A$42,'Depreciation Schedules'!$E$3:$E$42)</f>
        <v>6.6699999999999995E-2</v>
      </c>
      <c r="N313" s="215">
        <f>LOOKUP(N$2,'Depreciation Schedules'!$A$3:$A$42,'Depreciation Schedules'!$E$3:$E$42)</f>
        <v>6.6600000000000006E-2</v>
      </c>
      <c r="O313" s="215">
        <f>LOOKUP(O$2,'Depreciation Schedules'!$A$3:$A$42,'Depreciation Schedules'!$E$3:$E$42)</f>
        <v>6.6699999999999995E-2</v>
      </c>
      <c r="P313" s="215">
        <f>LOOKUP(P$2,'Depreciation Schedules'!$A$3:$A$42,'Depreciation Schedules'!$E$3:$E$42)</f>
        <v>6.6600000000000006E-2</v>
      </c>
      <c r="Q313" s="215">
        <f>LOOKUP(Q$2,'Depreciation Schedules'!$A$3:$A$42,'Depreciation Schedules'!$E$3:$E$42)</f>
        <v>6.6699999999999995E-2</v>
      </c>
      <c r="R313" s="215">
        <f>LOOKUP(R$2,'Depreciation Schedules'!$A$3:$A$42,'Depreciation Schedules'!$E$3:$E$42)</f>
        <v>3.3300000000000003E-2</v>
      </c>
      <c r="S313" s="215">
        <f>LOOKUP(S$2,'Depreciation Schedules'!$A$3:$A$42,'Depreciation Schedules'!$E$3:$E$42)</f>
        <v>0</v>
      </c>
      <c r="T313" s="215">
        <f>LOOKUP(T$2,'Depreciation Schedules'!$A$3:$A$42,'Depreciation Schedules'!$E$3:$E$42)</f>
        <v>0</v>
      </c>
      <c r="U313" s="215">
        <f>LOOKUP(U$2,'Depreciation Schedules'!$A$3:$A$42,'Depreciation Schedules'!$E$3:$E$42)</f>
        <v>0</v>
      </c>
      <c r="V313" s="215">
        <f>LOOKUP(V$2,'Depreciation Schedules'!$A$3:$A$42,'Depreciation Schedules'!$E$3:$E$42)</f>
        <v>0</v>
      </c>
      <c r="W313" s="215">
        <f>LOOKUP(W$2,'Depreciation Schedules'!$A$3:$A$42,'Depreciation Schedules'!$E$3:$E$42)</f>
        <v>0</v>
      </c>
      <c r="X313" s="215">
        <f>LOOKUP(X$2,'Depreciation Schedules'!$A$3:$A$42,'Depreciation Schedules'!$E$3:$E$42)</f>
        <v>0</v>
      </c>
      <c r="Y313" s="215">
        <f>LOOKUP(Y$2,'Depreciation Schedules'!$A$3:$A$42,'Depreciation Schedules'!$E$3:$E$42)</f>
        <v>0</v>
      </c>
      <c r="Z313" s="215">
        <f>LOOKUP(Z$2,'Depreciation Schedules'!$A$3:$A$42,'Depreciation Schedules'!$E$3:$E$42)</f>
        <v>0</v>
      </c>
      <c r="AA313" s="215">
        <f>LOOKUP(AA$2,'Depreciation Schedules'!$A$3:$A$42,'Depreciation Schedules'!$E$3:$E$42)</f>
        <v>0</v>
      </c>
      <c r="AB313" s="215">
        <f>LOOKUP(AB$2,'Depreciation Schedules'!$A$3:$A$42,'Depreciation Schedules'!$E$3:$E$42)</f>
        <v>0</v>
      </c>
      <c r="AC313" s="215">
        <f>LOOKUP(AC$2,'Depreciation Schedules'!$A$3:$A$42,'Depreciation Schedules'!$E$3:$E$42)</f>
        <v>0</v>
      </c>
      <c r="AD313" s="215">
        <f>LOOKUP(AD$2,'Depreciation Schedules'!$A$3:$A$42,'Depreciation Schedules'!$E$3:$E$42)</f>
        <v>0</v>
      </c>
      <c r="AE313" s="215">
        <f>LOOKUP(AE$2,'Depreciation Schedules'!$A$3:$A$42,'Depreciation Schedules'!$E$3:$E$42)</f>
        <v>0</v>
      </c>
      <c r="AF313" s="215">
        <f>LOOKUP(AF$2,'Depreciation Schedules'!$A$3:$A$42,'Depreciation Schedules'!$E$3:$E$42)</f>
        <v>0</v>
      </c>
      <c r="AG313" s="215">
        <f>LOOKUP(AG$2,'Depreciation Schedules'!$A$3:$A$42,'Depreciation Schedules'!$E$3:$E$42)</f>
        <v>0</v>
      </c>
      <c r="AH313" s="215">
        <f>LOOKUP(AH$2,'Depreciation Schedules'!$A$3:$A$42,'Depreciation Schedules'!$E$3:$E$42)</f>
        <v>0</v>
      </c>
      <c r="AI313" s="215">
        <f>LOOKUP(AI$2,'Depreciation Schedules'!$A$3:$A$42,'Depreciation Schedules'!$E$3:$E$42)</f>
        <v>0</v>
      </c>
      <c r="AJ313" s="215">
        <f>LOOKUP(AJ$2,'Depreciation Schedules'!$A$3:$A$42,'Depreciation Schedules'!$E$3:$E$42)</f>
        <v>0</v>
      </c>
      <c r="AK313" s="215">
        <f>LOOKUP(AK$2,'Depreciation Schedules'!$A$3:$A$42,'Depreciation Schedules'!$E$3:$E$42)</f>
        <v>0</v>
      </c>
      <c r="AL313" s="215">
        <f>LOOKUP(AL$2,'Depreciation Schedules'!$A$3:$A$42,'Depreciation Schedules'!$E$3:$E$42)</f>
        <v>0</v>
      </c>
      <c r="AM313" s="215">
        <f>LOOKUP(AM$2,'Depreciation Schedules'!$A$3:$A$42,'Depreciation Schedules'!$E$3:$E$42)</f>
        <v>0</v>
      </c>
      <c r="AN313" s="215">
        <f>LOOKUP(AN$2,'Depreciation Schedules'!$A$3:$A$42,'Depreciation Schedules'!$E$3:$E$42)</f>
        <v>0</v>
      </c>
      <c r="AO313" s="215">
        <f>LOOKUP(AO$2,'Depreciation Schedules'!$A$3:$A$42,'Depreciation Schedules'!$E$3:$E$42)</f>
        <v>0</v>
      </c>
      <c r="AP313" s="215">
        <f>LOOKUP(AP$2,'Depreciation Schedules'!$A$3:$A$42,'Depreciation Schedules'!$E$3:$E$42)</f>
        <v>0</v>
      </c>
    </row>
    <row r="314" spans="1:42">
      <c r="A314" s="205" t="str">
        <f t="shared" si="152"/>
        <v>20-yr SL</v>
      </c>
      <c r="B314" s="216">
        <f t="shared" si="153"/>
        <v>1.0000000000000002</v>
      </c>
      <c r="C314" s="215">
        <f>LOOKUP(C$2,'Depreciation Schedules'!$A$3:$A$42,'Depreciation Schedules'!$F$3:$F$42)</f>
        <v>2.5000000000000001E-2</v>
      </c>
      <c r="D314" s="215">
        <f>LOOKUP(D$2,'Depreciation Schedules'!$A$3:$A$42,'Depreciation Schedules'!$F$3:$F$42)</f>
        <v>0.05</v>
      </c>
      <c r="E314" s="215">
        <f>LOOKUP(E$2,'Depreciation Schedules'!$A$3:$A$42,'Depreciation Schedules'!$F$3:$F$42)</f>
        <v>0.05</v>
      </c>
      <c r="F314" s="215">
        <f>LOOKUP(F$2,'Depreciation Schedules'!$A$3:$A$42,'Depreciation Schedules'!$F$3:$F$42)</f>
        <v>0.05</v>
      </c>
      <c r="G314" s="215">
        <f>LOOKUP(G$2,'Depreciation Schedules'!$A$3:$A$42,'Depreciation Schedules'!$F$3:$F$42)</f>
        <v>0.05</v>
      </c>
      <c r="H314" s="215">
        <f>LOOKUP(H$2,'Depreciation Schedules'!$A$3:$A$42,'Depreciation Schedules'!$F$3:$F$42)</f>
        <v>0.05</v>
      </c>
      <c r="I314" s="215">
        <f>LOOKUP(I$2,'Depreciation Schedules'!$A$3:$A$42,'Depreciation Schedules'!$F$3:$F$42)</f>
        <v>0.05</v>
      </c>
      <c r="J314" s="215">
        <f>LOOKUP(J$2,'Depreciation Schedules'!$A$3:$A$42,'Depreciation Schedules'!$F$3:$F$42)</f>
        <v>0.05</v>
      </c>
      <c r="K314" s="215">
        <f>LOOKUP(K$2,'Depreciation Schedules'!$A$3:$A$42,'Depreciation Schedules'!$F$3:$F$42)</f>
        <v>0.05</v>
      </c>
      <c r="L314" s="215">
        <f>LOOKUP(L$2,'Depreciation Schedules'!$A$3:$A$42,'Depreciation Schedules'!$F$3:$F$42)</f>
        <v>0.05</v>
      </c>
      <c r="M314" s="215">
        <f>LOOKUP(M$2,'Depreciation Schedules'!$A$3:$A$42,'Depreciation Schedules'!$F$3:$F$42)</f>
        <v>0.05</v>
      </c>
      <c r="N314" s="215">
        <f>LOOKUP(N$2,'Depreciation Schedules'!$A$3:$A$42,'Depreciation Schedules'!$F$3:$F$42)</f>
        <v>0.05</v>
      </c>
      <c r="O314" s="215">
        <f>LOOKUP(O$2,'Depreciation Schedules'!$A$3:$A$42,'Depreciation Schedules'!$F$3:$F$42)</f>
        <v>0.05</v>
      </c>
      <c r="P314" s="215">
        <f>LOOKUP(P$2,'Depreciation Schedules'!$A$3:$A$42,'Depreciation Schedules'!$F$3:$F$42)</f>
        <v>0.05</v>
      </c>
      <c r="Q314" s="215">
        <f>LOOKUP(Q$2,'Depreciation Schedules'!$A$3:$A$42,'Depreciation Schedules'!$F$3:$F$42)</f>
        <v>0.05</v>
      </c>
      <c r="R314" s="215">
        <f>LOOKUP(R$2,'Depreciation Schedules'!$A$3:$A$42,'Depreciation Schedules'!$F$3:$F$42)</f>
        <v>0.05</v>
      </c>
      <c r="S314" s="215">
        <f>LOOKUP(S$2,'Depreciation Schedules'!$A$3:$A$42,'Depreciation Schedules'!$F$3:$F$42)</f>
        <v>0.05</v>
      </c>
      <c r="T314" s="215">
        <f>LOOKUP(T$2,'Depreciation Schedules'!$A$3:$A$42,'Depreciation Schedules'!$F$3:$F$42)</f>
        <v>0.05</v>
      </c>
      <c r="U314" s="215">
        <f>LOOKUP(U$2,'Depreciation Schedules'!$A$3:$A$42,'Depreciation Schedules'!$F$3:$F$42)</f>
        <v>0.05</v>
      </c>
      <c r="V314" s="215">
        <f>LOOKUP(V$2,'Depreciation Schedules'!$A$3:$A$42,'Depreciation Schedules'!$F$3:$F$42)</f>
        <v>0.05</v>
      </c>
      <c r="W314" s="215">
        <f>LOOKUP(W$2,'Depreciation Schedules'!$A$3:$A$42,'Depreciation Schedules'!$F$3:$F$42)</f>
        <v>2.5000000000000001E-2</v>
      </c>
      <c r="X314" s="215">
        <f>LOOKUP(X$2,'Depreciation Schedules'!$A$3:$A$42,'Depreciation Schedules'!$F$3:$F$42)</f>
        <v>0</v>
      </c>
      <c r="Y314" s="215">
        <f>LOOKUP(Y$2,'Depreciation Schedules'!$A$3:$A$42,'Depreciation Schedules'!$F$3:$F$42)</f>
        <v>0</v>
      </c>
      <c r="Z314" s="215">
        <f>LOOKUP(Z$2,'Depreciation Schedules'!$A$3:$A$42,'Depreciation Schedules'!$F$3:$F$42)</f>
        <v>0</v>
      </c>
      <c r="AA314" s="215">
        <f>LOOKUP(AA$2,'Depreciation Schedules'!$A$3:$A$42,'Depreciation Schedules'!$F$3:$F$42)</f>
        <v>0</v>
      </c>
      <c r="AB314" s="215">
        <f>LOOKUP(AB$2,'Depreciation Schedules'!$A$3:$A$42,'Depreciation Schedules'!$F$3:$F$42)</f>
        <v>0</v>
      </c>
      <c r="AC314" s="215">
        <f>LOOKUP(AC$2,'Depreciation Schedules'!$A$3:$A$42,'Depreciation Schedules'!$F$3:$F$42)</f>
        <v>0</v>
      </c>
      <c r="AD314" s="215">
        <f>LOOKUP(AD$2,'Depreciation Schedules'!$A$3:$A$42,'Depreciation Schedules'!$F$3:$F$42)</f>
        <v>0</v>
      </c>
      <c r="AE314" s="215">
        <f>LOOKUP(AE$2,'Depreciation Schedules'!$A$3:$A$42,'Depreciation Schedules'!$F$3:$F$42)</f>
        <v>0</v>
      </c>
      <c r="AF314" s="215">
        <f>LOOKUP(AF$2,'Depreciation Schedules'!$A$3:$A$42,'Depreciation Schedules'!$F$3:$F$42)</f>
        <v>0</v>
      </c>
      <c r="AG314" s="215">
        <f>LOOKUP(AG$2,'Depreciation Schedules'!$A$3:$A$42,'Depreciation Schedules'!$F$3:$F$42)</f>
        <v>0</v>
      </c>
      <c r="AH314" s="215">
        <f>LOOKUP(AH$2,'Depreciation Schedules'!$A$3:$A$42,'Depreciation Schedules'!$F$3:$F$42)</f>
        <v>0</v>
      </c>
      <c r="AI314" s="215">
        <f>LOOKUP(AI$2,'Depreciation Schedules'!$A$3:$A$42,'Depreciation Schedules'!$F$3:$F$42)</f>
        <v>0</v>
      </c>
      <c r="AJ314" s="215">
        <f>LOOKUP(AJ$2,'Depreciation Schedules'!$A$3:$A$42,'Depreciation Schedules'!$F$3:$F$42)</f>
        <v>0</v>
      </c>
      <c r="AK314" s="215">
        <f>LOOKUP(AK$2,'Depreciation Schedules'!$A$3:$A$42,'Depreciation Schedules'!$F$3:$F$42)</f>
        <v>0</v>
      </c>
      <c r="AL314" s="215">
        <f>LOOKUP(AL$2,'Depreciation Schedules'!$A$3:$A$42,'Depreciation Schedules'!$F$3:$F$42)</f>
        <v>0</v>
      </c>
      <c r="AM314" s="215">
        <f>LOOKUP(AM$2,'Depreciation Schedules'!$A$3:$A$42,'Depreciation Schedules'!$F$3:$F$42)</f>
        <v>0</v>
      </c>
      <c r="AN314" s="215">
        <f>LOOKUP(AN$2,'Depreciation Schedules'!$A$3:$A$42,'Depreciation Schedules'!$F$3:$F$42)</f>
        <v>0</v>
      </c>
      <c r="AO314" s="215">
        <f>LOOKUP(AO$2,'Depreciation Schedules'!$A$3:$A$42,'Depreciation Schedules'!$F$3:$F$42)</f>
        <v>0</v>
      </c>
      <c r="AP314" s="215">
        <f>LOOKUP(AP$2,'Depreciation Schedules'!$A$3:$A$42,'Depreciation Schedules'!$F$3:$F$42)</f>
        <v>0</v>
      </c>
    </row>
    <row r="315" spans="1:42">
      <c r="A315" s="205" t="str">
        <f t="shared" si="152"/>
        <v>39-yr SL</v>
      </c>
      <c r="B315" s="217">
        <f t="shared" si="153"/>
        <v>1.0000000000000004</v>
      </c>
      <c r="C315" s="215">
        <f>LOOKUP(C$2,'Depreciation Schedules'!$A$3:$A$42,'Depreciation Schedules'!$G$3:$G$42)</f>
        <v>1.2820512820512799E-2</v>
      </c>
      <c r="D315" s="215">
        <f>LOOKUP(D$2,'Depreciation Schedules'!$A$3:$A$42,'Depreciation Schedules'!$G$3:$G$42)</f>
        <v>2.564102564102564E-2</v>
      </c>
      <c r="E315" s="215">
        <f>LOOKUP(E$2,'Depreciation Schedules'!$A$3:$A$42,'Depreciation Schedules'!$G$3:$G$42)</f>
        <v>2.564102564102564E-2</v>
      </c>
      <c r="F315" s="215">
        <f>LOOKUP(F$2,'Depreciation Schedules'!$A$3:$A$42,'Depreciation Schedules'!$G$3:$G$42)</f>
        <v>2.564102564102564E-2</v>
      </c>
      <c r="G315" s="215">
        <f>LOOKUP(G$2,'Depreciation Schedules'!$A$3:$A$42,'Depreciation Schedules'!$G$3:$G$42)</f>
        <v>2.564102564102564E-2</v>
      </c>
      <c r="H315" s="215">
        <f>LOOKUP(H$2,'Depreciation Schedules'!$A$3:$A$42,'Depreciation Schedules'!$G$3:$G$42)</f>
        <v>2.564102564102564E-2</v>
      </c>
      <c r="I315" s="215">
        <f>LOOKUP(I$2,'Depreciation Schedules'!$A$3:$A$42,'Depreciation Schedules'!$G$3:$G$42)</f>
        <v>2.564102564102564E-2</v>
      </c>
      <c r="J315" s="215">
        <f>LOOKUP(J$2,'Depreciation Schedules'!$A$3:$A$42,'Depreciation Schedules'!$G$3:$G$42)</f>
        <v>2.564102564102564E-2</v>
      </c>
      <c r="K315" s="215">
        <f>LOOKUP(K$2,'Depreciation Schedules'!$A$3:$A$42,'Depreciation Schedules'!$G$3:$G$42)</f>
        <v>2.564102564102564E-2</v>
      </c>
      <c r="L315" s="215">
        <f>LOOKUP(L$2,'Depreciation Schedules'!$A$3:$A$42,'Depreciation Schedules'!$G$3:$G$42)</f>
        <v>2.564102564102564E-2</v>
      </c>
      <c r="M315" s="215">
        <f>LOOKUP(M$2,'Depreciation Schedules'!$A$3:$A$42,'Depreciation Schedules'!$G$3:$G$42)</f>
        <v>2.564102564102564E-2</v>
      </c>
      <c r="N315" s="215">
        <f>LOOKUP(N$2,'Depreciation Schedules'!$A$3:$A$42,'Depreciation Schedules'!$G$3:$G$42)</f>
        <v>2.564102564102564E-2</v>
      </c>
      <c r="O315" s="215">
        <f>LOOKUP(O$2,'Depreciation Schedules'!$A$3:$A$42,'Depreciation Schedules'!$G$3:$G$42)</f>
        <v>2.564102564102564E-2</v>
      </c>
      <c r="P315" s="215">
        <f>LOOKUP(P$2,'Depreciation Schedules'!$A$3:$A$42,'Depreciation Schedules'!$G$3:$G$42)</f>
        <v>2.564102564102564E-2</v>
      </c>
      <c r="Q315" s="215">
        <f>LOOKUP(Q$2,'Depreciation Schedules'!$A$3:$A$42,'Depreciation Schedules'!$G$3:$G$42)</f>
        <v>2.564102564102564E-2</v>
      </c>
      <c r="R315" s="215">
        <f>LOOKUP(R$2,'Depreciation Schedules'!$A$3:$A$42,'Depreciation Schedules'!$G$3:$G$42)</f>
        <v>2.564102564102564E-2</v>
      </c>
      <c r="S315" s="215">
        <f>LOOKUP(S$2,'Depreciation Schedules'!$A$3:$A$42,'Depreciation Schedules'!$G$3:$G$42)</f>
        <v>2.564102564102564E-2</v>
      </c>
      <c r="T315" s="215">
        <f>LOOKUP(T$2,'Depreciation Schedules'!$A$3:$A$42,'Depreciation Schedules'!$G$3:$G$42)</f>
        <v>2.564102564102564E-2</v>
      </c>
      <c r="U315" s="215">
        <f>LOOKUP(U$2,'Depreciation Schedules'!$A$3:$A$42,'Depreciation Schedules'!$G$3:$G$42)</f>
        <v>2.564102564102564E-2</v>
      </c>
      <c r="V315" s="215">
        <f>LOOKUP(V$2,'Depreciation Schedules'!$A$3:$A$42,'Depreciation Schedules'!$G$3:$G$42)</f>
        <v>2.564102564102564E-2</v>
      </c>
      <c r="W315" s="215">
        <f>LOOKUP(W$2,'Depreciation Schedules'!$A$3:$A$42,'Depreciation Schedules'!$G$3:$G$42)</f>
        <v>2.564102564102564E-2</v>
      </c>
      <c r="X315" s="215">
        <f>LOOKUP(X$2,'Depreciation Schedules'!$A$3:$A$42,'Depreciation Schedules'!$G$3:$G$42)</f>
        <v>2.564102564102564E-2</v>
      </c>
      <c r="Y315" s="215">
        <f>LOOKUP(Y$2,'Depreciation Schedules'!$A$3:$A$42,'Depreciation Schedules'!$G$3:$G$42)</f>
        <v>2.564102564102564E-2</v>
      </c>
      <c r="Z315" s="215">
        <f>LOOKUP(Z$2,'Depreciation Schedules'!$A$3:$A$42,'Depreciation Schedules'!$G$3:$G$42)</f>
        <v>2.564102564102564E-2</v>
      </c>
      <c r="AA315" s="215">
        <f>LOOKUP(AA$2,'Depreciation Schedules'!$A$3:$A$42,'Depreciation Schedules'!$G$3:$G$42)</f>
        <v>2.564102564102564E-2</v>
      </c>
      <c r="AB315" s="215">
        <f>LOOKUP(AB$2,'Depreciation Schedules'!$A$3:$A$42,'Depreciation Schedules'!$G$3:$G$42)</f>
        <v>2.564102564102564E-2</v>
      </c>
      <c r="AC315" s="215">
        <f>LOOKUP(AC$2,'Depreciation Schedules'!$A$3:$A$42,'Depreciation Schedules'!$G$3:$G$42)</f>
        <v>2.564102564102564E-2</v>
      </c>
      <c r="AD315" s="215">
        <f>LOOKUP(AD$2,'Depreciation Schedules'!$A$3:$A$42,'Depreciation Schedules'!$G$3:$G$42)</f>
        <v>2.564102564102564E-2</v>
      </c>
      <c r="AE315" s="215">
        <f>LOOKUP(AE$2,'Depreciation Schedules'!$A$3:$A$42,'Depreciation Schedules'!$G$3:$G$42)</f>
        <v>2.564102564102564E-2</v>
      </c>
      <c r="AF315" s="215">
        <f>LOOKUP(AF$2,'Depreciation Schedules'!$A$3:$A$42,'Depreciation Schedules'!$G$3:$G$42)</f>
        <v>2.564102564102564E-2</v>
      </c>
      <c r="AG315" s="215">
        <f>LOOKUP(AG$2,'Depreciation Schedules'!$A$3:$A$42,'Depreciation Schedules'!$G$3:$G$42)</f>
        <v>2.564102564102564E-2</v>
      </c>
      <c r="AH315" s="215">
        <f>LOOKUP(AH$2,'Depreciation Schedules'!$A$3:$A$42,'Depreciation Schedules'!$G$3:$G$42)</f>
        <v>2.564102564102564E-2</v>
      </c>
      <c r="AI315" s="215">
        <f>LOOKUP(AI$2,'Depreciation Schedules'!$A$3:$A$42,'Depreciation Schedules'!$G$3:$G$42)</f>
        <v>2.564102564102564E-2</v>
      </c>
      <c r="AJ315" s="215">
        <f>LOOKUP(AJ$2,'Depreciation Schedules'!$A$3:$A$42,'Depreciation Schedules'!$G$3:$G$42)</f>
        <v>2.564102564102564E-2</v>
      </c>
      <c r="AK315" s="215">
        <f>LOOKUP(AK$2,'Depreciation Schedules'!$A$3:$A$42,'Depreciation Schedules'!$G$3:$G$42)</f>
        <v>2.564102564102564E-2</v>
      </c>
      <c r="AL315" s="215">
        <f>LOOKUP(AL$2,'Depreciation Schedules'!$A$3:$A$42,'Depreciation Schedules'!$G$3:$G$42)</f>
        <v>2.564102564102564E-2</v>
      </c>
      <c r="AM315" s="215">
        <f>LOOKUP(AM$2,'Depreciation Schedules'!$A$3:$A$42,'Depreciation Schedules'!$G$3:$G$42)</f>
        <v>2.564102564102564E-2</v>
      </c>
      <c r="AN315" s="215">
        <f>LOOKUP(AN$2,'Depreciation Schedules'!$A$3:$A$42,'Depreciation Schedules'!$G$3:$G$42)</f>
        <v>2.564102564102564E-2</v>
      </c>
      <c r="AO315" s="215">
        <f>LOOKUP(AO$2,'Depreciation Schedules'!$A$3:$A$42,'Depreciation Schedules'!$G$3:$G$42)</f>
        <v>2.564102564102564E-2</v>
      </c>
      <c r="AP315" s="215">
        <f>LOOKUP(AP$2,'Depreciation Schedules'!$A$3:$A$42,'Depreciation Schedules'!$G$3:$G$42)</f>
        <v>1.2820512820512799E-2</v>
      </c>
    </row>
    <row r="316" spans="1:42">
      <c r="A316" s="184" t="s">
        <v>34</v>
      </c>
      <c r="C316" s="186"/>
      <c r="D316" s="186"/>
      <c r="E316" s="186"/>
      <c r="F316" s="186"/>
      <c r="G316" s="186"/>
      <c r="H316" s="186"/>
      <c r="I316" s="186"/>
      <c r="J316" s="186"/>
      <c r="K316" s="186"/>
      <c r="L316" s="186"/>
      <c r="M316" s="186"/>
      <c r="N316" s="186"/>
      <c r="O316" s="186"/>
      <c r="P316" s="186"/>
      <c r="Q316" s="186"/>
      <c r="R316" s="186"/>
      <c r="S316" s="186"/>
      <c r="T316" s="186"/>
      <c r="U316" s="186"/>
      <c r="V316" s="186"/>
      <c r="W316" s="186"/>
      <c r="X316" s="186"/>
      <c r="Y316" s="186"/>
      <c r="Z316" s="186"/>
      <c r="AA316" s="186"/>
      <c r="AB316" s="186"/>
      <c r="AC316" s="186"/>
      <c r="AD316" s="186"/>
      <c r="AE316" s="186"/>
      <c r="AF316" s="186"/>
      <c r="AG316" s="186"/>
      <c r="AH316" s="186"/>
      <c r="AI316" s="186"/>
      <c r="AJ316" s="186"/>
      <c r="AK316" s="186"/>
      <c r="AL316" s="186"/>
      <c r="AM316" s="186"/>
      <c r="AN316" s="186"/>
      <c r="AO316" s="186"/>
      <c r="AP316" s="186"/>
    </row>
    <row r="317" spans="1:42">
      <c r="A317" s="205" t="str">
        <f>A310</f>
        <v>5-yr MACRS</v>
      </c>
      <c r="B317" s="218">
        <f>SUM(C317:AP317)</f>
        <v>37531795.748999998</v>
      </c>
      <c r="C317" s="186">
        <f t="shared" ref="C317:AP317" si="154">C310*$Q277</f>
        <v>7506359.1497999998</v>
      </c>
      <c r="D317" s="186">
        <f t="shared" si="154"/>
        <v>12010174.63968</v>
      </c>
      <c r="E317" s="186">
        <f t="shared" si="154"/>
        <v>7206104.7838079995</v>
      </c>
      <c r="F317" s="186">
        <f t="shared" si="154"/>
        <v>4323662.8702847995</v>
      </c>
      <c r="G317" s="186">
        <f t="shared" si="154"/>
        <v>4323662.8702847995</v>
      </c>
      <c r="H317" s="186">
        <f t="shared" si="154"/>
        <v>2161831.4351423997</v>
      </c>
      <c r="I317" s="186">
        <f t="shared" si="154"/>
        <v>0</v>
      </c>
      <c r="J317" s="186">
        <f t="shared" si="154"/>
        <v>0</v>
      </c>
      <c r="K317" s="186">
        <f t="shared" si="154"/>
        <v>0</v>
      </c>
      <c r="L317" s="186">
        <f t="shared" si="154"/>
        <v>0</v>
      </c>
      <c r="M317" s="186">
        <f t="shared" si="154"/>
        <v>0</v>
      </c>
      <c r="N317" s="186">
        <f t="shared" si="154"/>
        <v>0</v>
      </c>
      <c r="O317" s="186">
        <f t="shared" si="154"/>
        <v>0</v>
      </c>
      <c r="P317" s="186">
        <f t="shared" si="154"/>
        <v>0</v>
      </c>
      <c r="Q317" s="186">
        <f t="shared" si="154"/>
        <v>0</v>
      </c>
      <c r="R317" s="186">
        <f t="shared" si="154"/>
        <v>0</v>
      </c>
      <c r="S317" s="186">
        <f t="shared" si="154"/>
        <v>0</v>
      </c>
      <c r="T317" s="186">
        <f t="shared" si="154"/>
        <v>0</v>
      </c>
      <c r="U317" s="186">
        <f t="shared" si="154"/>
        <v>0</v>
      </c>
      <c r="V317" s="186">
        <f t="shared" si="154"/>
        <v>0</v>
      </c>
      <c r="W317" s="186">
        <f t="shared" si="154"/>
        <v>0</v>
      </c>
      <c r="X317" s="186">
        <f t="shared" si="154"/>
        <v>0</v>
      </c>
      <c r="Y317" s="186">
        <f t="shared" si="154"/>
        <v>0</v>
      </c>
      <c r="Z317" s="186">
        <f t="shared" si="154"/>
        <v>0</v>
      </c>
      <c r="AA317" s="186">
        <f t="shared" si="154"/>
        <v>0</v>
      </c>
      <c r="AB317" s="186">
        <f t="shared" si="154"/>
        <v>0</v>
      </c>
      <c r="AC317" s="186">
        <f t="shared" si="154"/>
        <v>0</v>
      </c>
      <c r="AD317" s="186">
        <f t="shared" si="154"/>
        <v>0</v>
      </c>
      <c r="AE317" s="186">
        <f t="shared" si="154"/>
        <v>0</v>
      </c>
      <c r="AF317" s="186">
        <f t="shared" si="154"/>
        <v>0</v>
      </c>
      <c r="AG317" s="186">
        <f t="shared" si="154"/>
        <v>0</v>
      </c>
      <c r="AH317" s="186">
        <f t="shared" si="154"/>
        <v>0</v>
      </c>
      <c r="AI317" s="186">
        <f t="shared" si="154"/>
        <v>0</v>
      </c>
      <c r="AJ317" s="186">
        <f t="shared" si="154"/>
        <v>0</v>
      </c>
      <c r="AK317" s="186">
        <f t="shared" si="154"/>
        <v>0</v>
      </c>
      <c r="AL317" s="186">
        <f t="shared" si="154"/>
        <v>0</v>
      </c>
      <c r="AM317" s="186">
        <f t="shared" si="154"/>
        <v>0</v>
      </c>
      <c r="AN317" s="186">
        <f t="shared" si="154"/>
        <v>0</v>
      </c>
      <c r="AO317" s="186">
        <f t="shared" si="154"/>
        <v>0</v>
      </c>
      <c r="AP317" s="186">
        <f t="shared" si="154"/>
        <v>0</v>
      </c>
    </row>
    <row r="318" spans="1:42">
      <c r="A318" s="205" t="str">
        <f t="shared" ref="A318:A322" si="155">A311</f>
        <v>15-yr MACRS</v>
      </c>
      <c r="B318" s="153">
        <f t="shared" ref="B318:B324" si="156">SUM(C318:AP318)</f>
        <v>644350.32750000013</v>
      </c>
      <c r="C318" s="186">
        <f t="shared" ref="C318:AP318" si="157">C311*$Q278</f>
        <v>32217.516375000003</v>
      </c>
      <c r="D318" s="186">
        <f t="shared" si="157"/>
        <v>61213.281112500001</v>
      </c>
      <c r="E318" s="186">
        <f t="shared" si="157"/>
        <v>55091.953001250004</v>
      </c>
      <c r="F318" s="186">
        <f t="shared" si="157"/>
        <v>49614.975217500003</v>
      </c>
      <c r="G318" s="186">
        <f t="shared" si="157"/>
        <v>44653.47769575</v>
      </c>
      <c r="H318" s="186">
        <f t="shared" si="157"/>
        <v>40143.025403250002</v>
      </c>
      <c r="I318" s="186">
        <f t="shared" si="157"/>
        <v>38016.669322499998</v>
      </c>
      <c r="J318" s="186">
        <f t="shared" si="157"/>
        <v>38016.669322499998</v>
      </c>
      <c r="K318" s="186">
        <f t="shared" si="157"/>
        <v>38081.104355249998</v>
      </c>
      <c r="L318" s="186">
        <f t="shared" si="157"/>
        <v>38016.669322499998</v>
      </c>
      <c r="M318" s="186">
        <f t="shared" si="157"/>
        <v>38081.104355249998</v>
      </c>
      <c r="N318" s="186">
        <f t="shared" si="157"/>
        <v>38016.669322499998</v>
      </c>
      <c r="O318" s="186">
        <f t="shared" si="157"/>
        <v>38081.104355249998</v>
      </c>
      <c r="P318" s="186">
        <f t="shared" si="157"/>
        <v>38016.669322499998</v>
      </c>
      <c r="Q318" s="186">
        <f t="shared" si="157"/>
        <v>38081.104355249998</v>
      </c>
      <c r="R318" s="186">
        <f t="shared" si="157"/>
        <v>19008.334661249999</v>
      </c>
      <c r="S318" s="186">
        <f t="shared" si="157"/>
        <v>0</v>
      </c>
      <c r="T318" s="186">
        <f t="shared" si="157"/>
        <v>0</v>
      </c>
      <c r="U318" s="186">
        <f t="shared" si="157"/>
        <v>0</v>
      </c>
      <c r="V318" s="186">
        <f t="shared" si="157"/>
        <v>0</v>
      </c>
      <c r="W318" s="186">
        <f t="shared" si="157"/>
        <v>0</v>
      </c>
      <c r="X318" s="186">
        <f t="shared" si="157"/>
        <v>0</v>
      </c>
      <c r="Y318" s="186">
        <f t="shared" si="157"/>
        <v>0</v>
      </c>
      <c r="Z318" s="186">
        <f t="shared" si="157"/>
        <v>0</v>
      </c>
      <c r="AA318" s="186">
        <f t="shared" si="157"/>
        <v>0</v>
      </c>
      <c r="AB318" s="186">
        <f t="shared" si="157"/>
        <v>0</v>
      </c>
      <c r="AC318" s="186">
        <f t="shared" si="157"/>
        <v>0</v>
      </c>
      <c r="AD318" s="186">
        <f t="shared" si="157"/>
        <v>0</v>
      </c>
      <c r="AE318" s="186">
        <f t="shared" si="157"/>
        <v>0</v>
      </c>
      <c r="AF318" s="186">
        <f t="shared" si="157"/>
        <v>0</v>
      </c>
      <c r="AG318" s="186">
        <f t="shared" si="157"/>
        <v>0</v>
      </c>
      <c r="AH318" s="186">
        <f t="shared" si="157"/>
        <v>0</v>
      </c>
      <c r="AI318" s="186">
        <f t="shared" si="157"/>
        <v>0</v>
      </c>
      <c r="AJ318" s="186">
        <f t="shared" si="157"/>
        <v>0</v>
      </c>
      <c r="AK318" s="186">
        <f t="shared" si="157"/>
        <v>0</v>
      </c>
      <c r="AL318" s="186">
        <f t="shared" si="157"/>
        <v>0</v>
      </c>
      <c r="AM318" s="186">
        <f t="shared" si="157"/>
        <v>0</v>
      </c>
      <c r="AN318" s="186">
        <f t="shared" si="157"/>
        <v>0</v>
      </c>
      <c r="AO318" s="186">
        <f t="shared" si="157"/>
        <v>0</v>
      </c>
      <c r="AP318" s="186">
        <f t="shared" si="157"/>
        <v>0</v>
      </c>
    </row>
    <row r="319" spans="1:42">
      <c r="A319" s="205" t="str">
        <f t="shared" si="155"/>
        <v>5-yr SL</v>
      </c>
      <c r="B319" s="153">
        <f t="shared" si="156"/>
        <v>0</v>
      </c>
      <c r="C319" s="186">
        <f t="shared" ref="C319:AP319" si="158">C312*$Q279</f>
        <v>0</v>
      </c>
      <c r="D319" s="186">
        <f t="shared" si="158"/>
        <v>0</v>
      </c>
      <c r="E319" s="186">
        <f t="shared" si="158"/>
        <v>0</v>
      </c>
      <c r="F319" s="186">
        <f t="shared" si="158"/>
        <v>0</v>
      </c>
      <c r="G319" s="186">
        <f t="shared" si="158"/>
        <v>0</v>
      </c>
      <c r="H319" s="186">
        <f t="shared" si="158"/>
        <v>0</v>
      </c>
      <c r="I319" s="186">
        <f t="shared" si="158"/>
        <v>0</v>
      </c>
      <c r="J319" s="186">
        <f t="shared" si="158"/>
        <v>0</v>
      </c>
      <c r="K319" s="186">
        <f t="shared" si="158"/>
        <v>0</v>
      </c>
      <c r="L319" s="186">
        <f t="shared" si="158"/>
        <v>0</v>
      </c>
      <c r="M319" s="186">
        <f t="shared" si="158"/>
        <v>0</v>
      </c>
      <c r="N319" s="186">
        <f t="shared" si="158"/>
        <v>0</v>
      </c>
      <c r="O319" s="186">
        <f t="shared" si="158"/>
        <v>0</v>
      </c>
      <c r="P319" s="186">
        <f t="shared" si="158"/>
        <v>0</v>
      </c>
      <c r="Q319" s="186">
        <f t="shared" si="158"/>
        <v>0</v>
      </c>
      <c r="R319" s="186">
        <f t="shared" si="158"/>
        <v>0</v>
      </c>
      <c r="S319" s="186">
        <f t="shared" si="158"/>
        <v>0</v>
      </c>
      <c r="T319" s="186">
        <f t="shared" si="158"/>
        <v>0</v>
      </c>
      <c r="U319" s="186">
        <f t="shared" si="158"/>
        <v>0</v>
      </c>
      <c r="V319" s="186">
        <f t="shared" si="158"/>
        <v>0</v>
      </c>
      <c r="W319" s="186">
        <f t="shared" si="158"/>
        <v>0</v>
      </c>
      <c r="X319" s="186">
        <f t="shared" si="158"/>
        <v>0</v>
      </c>
      <c r="Y319" s="186">
        <f t="shared" si="158"/>
        <v>0</v>
      </c>
      <c r="Z319" s="186">
        <f t="shared" si="158"/>
        <v>0</v>
      </c>
      <c r="AA319" s="186">
        <f t="shared" si="158"/>
        <v>0</v>
      </c>
      <c r="AB319" s="186">
        <f t="shared" si="158"/>
        <v>0</v>
      </c>
      <c r="AC319" s="186">
        <f t="shared" si="158"/>
        <v>0</v>
      </c>
      <c r="AD319" s="186">
        <f t="shared" si="158"/>
        <v>0</v>
      </c>
      <c r="AE319" s="186">
        <f t="shared" si="158"/>
        <v>0</v>
      </c>
      <c r="AF319" s="186">
        <f t="shared" si="158"/>
        <v>0</v>
      </c>
      <c r="AG319" s="186">
        <f t="shared" si="158"/>
        <v>0</v>
      </c>
      <c r="AH319" s="186">
        <f t="shared" si="158"/>
        <v>0</v>
      </c>
      <c r="AI319" s="186">
        <f t="shared" si="158"/>
        <v>0</v>
      </c>
      <c r="AJ319" s="186">
        <f t="shared" si="158"/>
        <v>0</v>
      </c>
      <c r="AK319" s="186">
        <f t="shared" si="158"/>
        <v>0</v>
      </c>
      <c r="AL319" s="186">
        <f t="shared" si="158"/>
        <v>0</v>
      </c>
      <c r="AM319" s="186">
        <f t="shared" si="158"/>
        <v>0</v>
      </c>
      <c r="AN319" s="186">
        <f t="shared" si="158"/>
        <v>0</v>
      </c>
      <c r="AO319" s="186">
        <f t="shared" si="158"/>
        <v>0</v>
      </c>
      <c r="AP319" s="186">
        <f t="shared" si="158"/>
        <v>0</v>
      </c>
    </row>
    <row r="320" spans="1:42">
      <c r="A320" s="205" t="str">
        <f t="shared" si="155"/>
        <v>15-yr SL</v>
      </c>
      <c r="B320" s="153">
        <f t="shared" si="156"/>
        <v>644350.32750000001</v>
      </c>
      <c r="C320" s="186">
        <f t="shared" ref="C320:AP320" si="159">C313*$Q280</f>
        <v>21456.865905750001</v>
      </c>
      <c r="D320" s="186">
        <f t="shared" si="159"/>
        <v>42978.166844250001</v>
      </c>
      <c r="E320" s="186">
        <f t="shared" si="159"/>
        <v>42978.166844250001</v>
      </c>
      <c r="F320" s="186">
        <f t="shared" si="159"/>
        <v>42978.166844250001</v>
      </c>
      <c r="G320" s="186">
        <f t="shared" si="159"/>
        <v>42978.166844250001</v>
      </c>
      <c r="H320" s="186">
        <f t="shared" si="159"/>
        <v>42978.166844250001</v>
      </c>
      <c r="I320" s="186">
        <f t="shared" si="159"/>
        <v>42978.166844250001</v>
      </c>
      <c r="J320" s="186">
        <f t="shared" si="159"/>
        <v>42913.731811500002</v>
      </c>
      <c r="K320" s="186">
        <f t="shared" si="159"/>
        <v>42978.166844250001</v>
      </c>
      <c r="L320" s="186">
        <f t="shared" si="159"/>
        <v>42913.731811500002</v>
      </c>
      <c r="M320" s="186">
        <f t="shared" si="159"/>
        <v>42978.166844250001</v>
      </c>
      <c r="N320" s="186">
        <f t="shared" si="159"/>
        <v>42913.731811500002</v>
      </c>
      <c r="O320" s="186">
        <f t="shared" si="159"/>
        <v>42978.166844250001</v>
      </c>
      <c r="P320" s="186">
        <f t="shared" si="159"/>
        <v>42913.731811500002</v>
      </c>
      <c r="Q320" s="186">
        <f t="shared" si="159"/>
        <v>42978.166844250001</v>
      </c>
      <c r="R320" s="186">
        <f t="shared" si="159"/>
        <v>21456.865905750001</v>
      </c>
      <c r="S320" s="186">
        <f t="shared" si="159"/>
        <v>0</v>
      </c>
      <c r="T320" s="186">
        <f t="shared" si="159"/>
        <v>0</v>
      </c>
      <c r="U320" s="186">
        <f t="shared" si="159"/>
        <v>0</v>
      </c>
      <c r="V320" s="186">
        <f t="shared" si="159"/>
        <v>0</v>
      </c>
      <c r="W320" s="186">
        <f t="shared" si="159"/>
        <v>0</v>
      </c>
      <c r="X320" s="186">
        <f t="shared" si="159"/>
        <v>0</v>
      </c>
      <c r="Y320" s="186">
        <f t="shared" si="159"/>
        <v>0</v>
      </c>
      <c r="Z320" s="186">
        <f t="shared" si="159"/>
        <v>0</v>
      </c>
      <c r="AA320" s="186">
        <f t="shared" si="159"/>
        <v>0</v>
      </c>
      <c r="AB320" s="186">
        <f t="shared" si="159"/>
        <v>0</v>
      </c>
      <c r="AC320" s="186">
        <f t="shared" si="159"/>
        <v>0</v>
      </c>
      <c r="AD320" s="186">
        <f t="shared" si="159"/>
        <v>0</v>
      </c>
      <c r="AE320" s="186">
        <f t="shared" si="159"/>
        <v>0</v>
      </c>
      <c r="AF320" s="186">
        <f t="shared" si="159"/>
        <v>0</v>
      </c>
      <c r="AG320" s="186">
        <f t="shared" si="159"/>
        <v>0</v>
      </c>
      <c r="AH320" s="186">
        <f t="shared" si="159"/>
        <v>0</v>
      </c>
      <c r="AI320" s="186">
        <f t="shared" si="159"/>
        <v>0</v>
      </c>
      <c r="AJ320" s="186">
        <f t="shared" si="159"/>
        <v>0</v>
      </c>
      <c r="AK320" s="186">
        <f t="shared" si="159"/>
        <v>0</v>
      </c>
      <c r="AL320" s="186">
        <f t="shared" si="159"/>
        <v>0</v>
      </c>
      <c r="AM320" s="186">
        <f t="shared" si="159"/>
        <v>0</v>
      </c>
      <c r="AN320" s="186">
        <f t="shared" si="159"/>
        <v>0</v>
      </c>
      <c r="AO320" s="186">
        <f t="shared" si="159"/>
        <v>0</v>
      </c>
      <c r="AP320" s="186">
        <f t="shared" si="159"/>
        <v>0</v>
      </c>
    </row>
    <row r="321" spans="1:42">
      <c r="A321" s="205" t="str">
        <f t="shared" si="155"/>
        <v>20-yr SL</v>
      </c>
      <c r="B321" s="153">
        <f t="shared" si="156"/>
        <v>1288700.655</v>
      </c>
      <c r="C321" s="186">
        <f t="shared" ref="C321:AP321" si="160">C314*$Q281</f>
        <v>32217.516375000003</v>
      </c>
      <c r="D321" s="186">
        <f t="shared" si="160"/>
        <v>64435.032750000006</v>
      </c>
      <c r="E321" s="186">
        <f t="shared" si="160"/>
        <v>64435.032750000006</v>
      </c>
      <c r="F321" s="186">
        <f t="shared" si="160"/>
        <v>64435.032750000006</v>
      </c>
      <c r="G321" s="186">
        <f t="shared" si="160"/>
        <v>64435.032750000006</v>
      </c>
      <c r="H321" s="186">
        <f t="shared" si="160"/>
        <v>64435.032750000006</v>
      </c>
      <c r="I321" s="186">
        <f t="shared" si="160"/>
        <v>64435.032750000006</v>
      </c>
      <c r="J321" s="186">
        <f t="shared" si="160"/>
        <v>64435.032750000006</v>
      </c>
      <c r="K321" s="186">
        <f t="shared" si="160"/>
        <v>64435.032750000006</v>
      </c>
      <c r="L321" s="186">
        <f t="shared" si="160"/>
        <v>64435.032750000006</v>
      </c>
      <c r="M321" s="186">
        <f t="shared" si="160"/>
        <v>64435.032750000006</v>
      </c>
      <c r="N321" s="186">
        <f t="shared" si="160"/>
        <v>64435.032750000006</v>
      </c>
      <c r="O321" s="186">
        <f t="shared" si="160"/>
        <v>64435.032750000006</v>
      </c>
      <c r="P321" s="186">
        <f t="shared" si="160"/>
        <v>64435.032750000006</v>
      </c>
      <c r="Q321" s="186">
        <f t="shared" si="160"/>
        <v>64435.032750000006</v>
      </c>
      <c r="R321" s="186">
        <f t="shared" si="160"/>
        <v>64435.032750000006</v>
      </c>
      <c r="S321" s="186">
        <f t="shared" si="160"/>
        <v>64435.032750000006</v>
      </c>
      <c r="T321" s="186">
        <f t="shared" si="160"/>
        <v>64435.032750000006</v>
      </c>
      <c r="U321" s="186">
        <f t="shared" si="160"/>
        <v>64435.032750000006</v>
      </c>
      <c r="V321" s="186">
        <f t="shared" si="160"/>
        <v>64435.032750000006</v>
      </c>
      <c r="W321" s="186">
        <f t="shared" si="160"/>
        <v>32217.516375000003</v>
      </c>
      <c r="X321" s="186">
        <f t="shared" si="160"/>
        <v>0</v>
      </c>
      <c r="Y321" s="186">
        <f t="shared" si="160"/>
        <v>0</v>
      </c>
      <c r="Z321" s="186">
        <f t="shared" si="160"/>
        <v>0</v>
      </c>
      <c r="AA321" s="186">
        <f t="shared" si="160"/>
        <v>0</v>
      </c>
      <c r="AB321" s="186">
        <f t="shared" si="160"/>
        <v>0</v>
      </c>
      <c r="AC321" s="186">
        <f t="shared" si="160"/>
        <v>0</v>
      </c>
      <c r="AD321" s="186">
        <f t="shared" si="160"/>
        <v>0</v>
      </c>
      <c r="AE321" s="186">
        <f t="shared" si="160"/>
        <v>0</v>
      </c>
      <c r="AF321" s="186">
        <f t="shared" si="160"/>
        <v>0</v>
      </c>
      <c r="AG321" s="186">
        <f t="shared" si="160"/>
        <v>0</v>
      </c>
      <c r="AH321" s="186">
        <f t="shared" si="160"/>
        <v>0</v>
      </c>
      <c r="AI321" s="186">
        <f t="shared" si="160"/>
        <v>0</v>
      </c>
      <c r="AJ321" s="186">
        <f t="shared" si="160"/>
        <v>0</v>
      </c>
      <c r="AK321" s="186">
        <f t="shared" si="160"/>
        <v>0</v>
      </c>
      <c r="AL321" s="186">
        <f t="shared" si="160"/>
        <v>0</v>
      </c>
      <c r="AM321" s="186">
        <f t="shared" si="160"/>
        <v>0</v>
      </c>
      <c r="AN321" s="186">
        <f t="shared" si="160"/>
        <v>0</v>
      </c>
      <c r="AO321" s="186">
        <f t="shared" si="160"/>
        <v>0</v>
      </c>
      <c r="AP321" s="186">
        <f t="shared" si="160"/>
        <v>0</v>
      </c>
    </row>
    <row r="322" spans="1:42">
      <c r="A322" s="205" t="str">
        <f t="shared" si="155"/>
        <v>39-yr SL</v>
      </c>
      <c r="B322" s="153">
        <f t="shared" si="156"/>
        <v>214783.44250000015</v>
      </c>
      <c r="C322" s="186">
        <f t="shared" ref="C322:AP322" si="161">C315*$Q282</f>
        <v>2753.6338782051239</v>
      </c>
      <c r="D322" s="186">
        <f t="shared" si="161"/>
        <v>5507.267756410256</v>
      </c>
      <c r="E322" s="186">
        <f t="shared" si="161"/>
        <v>5507.267756410256</v>
      </c>
      <c r="F322" s="186">
        <f t="shared" si="161"/>
        <v>5507.267756410256</v>
      </c>
      <c r="G322" s="186">
        <f t="shared" si="161"/>
        <v>5507.267756410256</v>
      </c>
      <c r="H322" s="186">
        <f t="shared" si="161"/>
        <v>5507.267756410256</v>
      </c>
      <c r="I322" s="186">
        <f t="shared" si="161"/>
        <v>5507.267756410256</v>
      </c>
      <c r="J322" s="186">
        <f t="shared" si="161"/>
        <v>5507.267756410256</v>
      </c>
      <c r="K322" s="186">
        <f t="shared" si="161"/>
        <v>5507.267756410256</v>
      </c>
      <c r="L322" s="186">
        <f t="shared" si="161"/>
        <v>5507.267756410256</v>
      </c>
      <c r="M322" s="186">
        <f t="shared" si="161"/>
        <v>5507.267756410256</v>
      </c>
      <c r="N322" s="186">
        <f t="shared" si="161"/>
        <v>5507.267756410256</v>
      </c>
      <c r="O322" s="186">
        <f t="shared" si="161"/>
        <v>5507.267756410256</v>
      </c>
      <c r="P322" s="186">
        <f t="shared" si="161"/>
        <v>5507.267756410256</v>
      </c>
      <c r="Q322" s="186">
        <f t="shared" si="161"/>
        <v>5507.267756410256</v>
      </c>
      <c r="R322" s="186">
        <f t="shared" si="161"/>
        <v>5507.267756410256</v>
      </c>
      <c r="S322" s="186">
        <f t="shared" si="161"/>
        <v>5507.267756410256</v>
      </c>
      <c r="T322" s="186">
        <f t="shared" si="161"/>
        <v>5507.267756410256</v>
      </c>
      <c r="U322" s="186">
        <f t="shared" si="161"/>
        <v>5507.267756410256</v>
      </c>
      <c r="V322" s="186">
        <f t="shared" si="161"/>
        <v>5507.267756410256</v>
      </c>
      <c r="W322" s="186">
        <f t="shared" si="161"/>
        <v>5507.267756410256</v>
      </c>
      <c r="X322" s="186">
        <f t="shared" si="161"/>
        <v>5507.267756410256</v>
      </c>
      <c r="Y322" s="186">
        <f t="shared" si="161"/>
        <v>5507.267756410256</v>
      </c>
      <c r="Z322" s="186">
        <f t="shared" si="161"/>
        <v>5507.267756410256</v>
      </c>
      <c r="AA322" s="186">
        <f t="shared" si="161"/>
        <v>5507.267756410256</v>
      </c>
      <c r="AB322" s="186">
        <f t="shared" si="161"/>
        <v>5507.267756410256</v>
      </c>
      <c r="AC322" s="186">
        <f t="shared" si="161"/>
        <v>5507.267756410256</v>
      </c>
      <c r="AD322" s="186">
        <f t="shared" si="161"/>
        <v>5507.267756410256</v>
      </c>
      <c r="AE322" s="186">
        <f t="shared" si="161"/>
        <v>5507.267756410256</v>
      </c>
      <c r="AF322" s="186">
        <f t="shared" si="161"/>
        <v>5507.267756410256</v>
      </c>
      <c r="AG322" s="186">
        <f t="shared" si="161"/>
        <v>5507.267756410256</v>
      </c>
      <c r="AH322" s="186">
        <f t="shared" si="161"/>
        <v>5507.267756410256</v>
      </c>
      <c r="AI322" s="186">
        <f t="shared" si="161"/>
        <v>5507.267756410256</v>
      </c>
      <c r="AJ322" s="186">
        <f t="shared" si="161"/>
        <v>5507.267756410256</v>
      </c>
      <c r="AK322" s="186">
        <f t="shared" si="161"/>
        <v>5507.267756410256</v>
      </c>
      <c r="AL322" s="186">
        <f t="shared" si="161"/>
        <v>5507.267756410256</v>
      </c>
      <c r="AM322" s="186">
        <f t="shared" si="161"/>
        <v>5507.267756410256</v>
      </c>
      <c r="AN322" s="186">
        <f t="shared" si="161"/>
        <v>5507.267756410256</v>
      </c>
      <c r="AO322" s="186">
        <f t="shared" si="161"/>
        <v>5507.267756410256</v>
      </c>
      <c r="AP322" s="186">
        <f t="shared" si="161"/>
        <v>2753.6338782051239</v>
      </c>
    </row>
    <row r="323" spans="1:42">
      <c r="A323" s="205" t="s">
        <v>319</v>
      </c>
      <c r="B323" s="212">
        <f t="shared" si="156"/>
        <v>1975357.6710000001</v>
      </c>
      <c r="C323" s="187">
        <f>P284</f>
        <v>1975357.6710000001</v>
      </c>
      <c r="D323" s="187">
        <v>0</v>
      </c>
      <c r="E323" s="187">
        <v>0</v>
      </c>
      <c r="F323" s="187">
        <v>0</v>
      </c>
      <c r="G323" s="187">
        <v>0</v>
      </c>
      <c r="H323" s="187">
        <v>0</v>
      </c>
      <c r="I323" s="187">
        <v>0</v>
      </c>
      <c r="J323" s="187">
        <v>0</v>
      </c>
      <c r="K323" s="187">
        <v>0</v>
      </c>
      <c r="L323" s="187">
        <v>0</v>
      </c>
      <c r="M323" s="187">
        <v>0</v>
      </c>
      <c r="N323" s="187">
        <v>0</v>
      </c>
      <c r="O323" s="187">
        <v>0</v>
      </c>
      <c r="P323" s="187">
        <v>0</v>
      </c>
      <c r="Q323" s="187">
        <v>0</v>
      </c>
      <c r="R323" s="187">
        <v>0</v>
      </c>
      <c r="S323" s="187">
        <v>0</v>
      </c>
      <c r="T323" s="187">
        <v>0</v>
      </c>
      <c r="U323" s="187">
        <v>0</v>
      </c>
      <c r="V323" s="187">
        <v>0</v>
      </c>
      <c r="W323" s="187">
        <v>0</v>
      </c>
      <c r="X323" s="187">
        <v>0</v>
      </c>
      <c r="Y323" s="187">
        <v>0</v>
      </c>
      <c r="Z323" s="187">
        <v>0</v>
      </c>
      <c r="AA323" s="187">
        <v>0</v>
      </c>
      <c r="AB323" s="187">
        <v>0</v>
      </c>
      <c r="AC323" s="187">
        <v>0</v>
      </c>
      <c r="AD323" s="187">
        <v>0</v>
      </c>
      <c r="AE323" s="187">
        <v>0</v>
      </c>
      <c r="AF323" s="187">
        <v>0</v>
      </c>
      <c r="AG323" s="187">
        <v>0</v>
      </c>
      <c r="AH323" s="187">
        <v>0</v>
      </c>
      <c r="AI323" s="187">
        <v>0</v>
      </c>
      <c r="AJ323" s="187">
        <v>0</v>
      </c>
      <c r="AK323" s="187">
        <v>0</v>
      </c>
      <c r="AL323" s="187">
        <v>0</v>
      </c>
      <c r="AM323" s="187">
        <v>0</v>
      </c>
      <c r="AN323" s="187">
        <v>0</v>
      </c>
      <c r="AO323" s="187">
        <v>0</v>
      </c>
      <c r="AP323" s="187">
        <v>0</v>
      </c>
    </row>
    <row r="324" spans="1:42">
      <c r="A324" s="204"/>
      <c r="B324" s="212">
        <f t="shared" si="156"/>
        <v>42299338.172499999</v>
      </c>
      <c r="C324" s="186">
        <f>SUM(C317:C323)</f>
        <v>9570362.3533339538</v>
      </c>
      <c r="D324" s="186">
        <f t="shared" ref="D324:AP324" si="162">SUM(D317:D323)</f>
        <v>12184308.388143159</v>
      </c>
      <c r="E324" s="186">
        <f t="shared" si="162"/>
        <v>7374117.2041599089</v>
      </c>
      <c r="F324" s="186">
        <f t="shared" si="162"/>
        <v>4486198.3128529591</v>
      </c>
      <c r="G324" s="186">
        <f t="shared" si="162"/>
        <v>4481236.8153312095</v>
      </c>
      <c r="H324" s="186">
        <f t="shared" si="162"/>
        <v>2314894.9278963101</v>
      </c>
      <c r="I324" s="186">
        <f t="shared" si="162"/>
        <v>150937.13667316028</v>
      </c>
      <c r="J324" s="186">
        <f t="shared" si="162"/>
        <v>150872.70164041026</v>
      </c>
      <c r="K324" s="186">
        <f t="shared" si="162"/>
        <v>151001.57170591026</v>
      </c>
      <c r="L324" s="186">
        <f t="shared" si="162"/>
        <v>150872.70164041026</v>
      </c>
      <c r="M324" s="186">
        <f t="shared" si="162"/>
        <v>151001.57170591026</v>
      </c>
      <c r="N324" s="186">
        <f t="shared" si="162"/>
        <v>150872.70164041026</v>
      </c>
      <c r="O324" s="186">
        <f t="shared" si="162"/>
        <v>151001.57170591026</v>
      </c>
      <c r="P324" s="186">
        <f t="shared" si="162"/>
        <v>150872.70164041026</v>
      </c>
      <c r="Q324" s="186">
        <f t="shared" si="162"/>
        <v>151001.57170591026</v>
      </c>
      <c r="R324" s="186">
        <f t="shared" si="162"/>
        <v>110407.50107341027</v>
      </c>
      <c r="S324" s="186">
        <f t="shared" si="162"/>
        <v>69942.300506410262</v>
      </c>
      <c r="T324" s="186">
        <f t="shared" si="162"/>
        <v>69942.300506410262</v>
      </c>
      <c r="U324" s="186">
        <f t="shared" si="162"/>
        <v>69942.300506410262</v>
      </c>
      <c r="V324" s="186">
        <f t="shared" si="162"/>
        <v>69942.300506410262</v>
      </c>
      <c r="W324" s="186">
        <f t="shared" si="162"/>
        <v>37724.784131410255</v>
      </c>
      <c r="X324" s="186">
        <f t="shared" si="162"/>
        <v>5507.267756410256</v>
      </c>
      <c r="Y324" s="186">
        <f t="shared" si="162"/>
        <v>5507.267756410256</v>
      </c>
      <c r="Z324" s="186">
        <f t="shared" si="162"/>
        <v>5507.267756410256</v>
      </c>
      <c r="AA324" s="186">
        <f t="shared" si="162"/>
        <v>5507.267756410256</v>
      </c>
      <c r="AB324" s="186">
        <f t="shared" si="162"/>
        <v>5507.267756410256</v>
      </c>
      <c r="AC324" s="186">
        <f t="shared" si="162"/>
        <v>5507.267756410256</v>
      </c>
      <c r="AD324" s="186">
        <f t="shared" si="162"/>
        <v>5507.267756410256</v>
      </c>
      <c r="AE324" s="186">
        <f t="shared" si="162"/>
        <v>5507.267756410256</v>
      </c>
      <c r="AF324" s="186">
        <f t="shared" si="162"/>
        <v>5507.267756410256</v>
      </c>
      <c r="AG324" s="186">
        <f t="shared" si="162"/>
        <v>5507.267756410256</v>
      </c>
      <c r="AH324" s="186">
        <f t="shared" si="162"/>
        <v>5507.267756410256</v>
      </c>
      <c r="AI324" s="186">
        <f t="shared" si="162"/>
        <v>5507.267756410256</v>
      </c>
      <c r="AJ324" s="186">
        <f t="shared" si="162"/>
        <v>5507.267756410256</v>
      </c>
      <c r="AK324" s="186">
        <f t="shared" si="162"/>
        <v>5507.267756410256</v>
      </c>
      <c r="AL324" s="186">
        <f t="shared" si="162"/>
        <v>5507.267756410256</v>
      </c>
      <c r="AM324" s="186">
        <f t="shared" si="162"/>
        <v>5507.267756410256</v>
      </c>
      <c r="AN324" s="186">
        <f t="shared" si="162"/>
        <v>5507.267756410256</v>
      </c>
      <c r="AO324" s="186">
        <f t="shared" si="162"/>
        <v>5507.267756410256</v>
      </c>
      <c r="AP324" s="186">
        <f t="shared" si="162"/>
        <v>2753.6338782051239</v>
      </c>
    </row>
    <row r="325" spans="1:42">
      <c r="A325" s="204"/>
      <c r="C325" s="186"/>
      <c r="D325" s="186"/>
      <c r="E325" s="186"/>
      <c r="F325" s="186"/>
      <c r="G325" s="186"/>
      <c r="H325" s="186"/>
      <c r="I325" s="186"/>
      <c r="J325" s="186"/>
      <c r="K325" s="186"/>
      <c r="L325" s="186"/>
      <c r="M325" s="186"/>
      <c r="N325" s="186"/>
      <c r="O325" s="186"/>
      <c r="P325" s="186"/>
      <c r="Q325" s="186"/>
      <c r="R325" s="186"/>
      <c r="S325" s="186"/>
      <c r="T325" s="186"/>
      <c r="U325" s="186"/>
      <c r="V325" s="186"/>
      <c r="W325" s="186"/>
      <c r="X325" s="186"/>
      <c r="Y325" s="186"/>
      <c r="Z325" s="186"/>
      <c r="AA325" s="186"/>
      <c r="AB325" s="186"/>
      <c r="AC325" s="186"/>
      <c r="AD325" s="186"/>
      <c r="AE325" s="186"/>
      <c r="AF325" s="186"/>
      <c r="AG325" s="186"/>
      <c r="AH325" s="186"/>
      <c r="AI325" s="186"/>
      <c r="AJ325" s="186"/>
      <c r="AK325" s="186"/>
      <c r="AL325" s="186"/>
      <c r="AM325" s="186"/>
      <c r="AN325" s="186"/>
      <c r="AO325" s="186"/>
      <c r="AP325" s="186"/>
    </row>
    <row r="326" spans="1:42">
      <c r="A326" s="197" t="s">
        <v>206</v>
      </c>
      <c r="C326" s="186"/>
      <c r="D326" s="186"/>
      <c r="E326" s="186"/>
      <c r="F326" s="186"/>
      <c r="G326" s="186"/>
      <c r="H326" s="186"/>
      <c r="I326" s="186"/>
      <c r="J326" s="186"/>
      <c r="K326" s="186"/>
      <c r="L326" s="186"/>
      <c r="M326" s="186"/>
      <c r="N326" s="186"/>
      <c r="O326" s="186"/>
      <c r="P326" s="186"/>
      <c r="Q326" s="186"/>
      <c r="R326" s="186"/>
      <c r="S326" s="186"/>
      <c r="T326" s="186"/>
      <c r="U326" s="186"/>
      <c r="V326" s="186"/>
      <c r="W326" s="186"/>
      <c r="X326" s="186"/>
      <c r="Y326" s="186"/>
      <c r="Z326" s="186"/>
      <c r="AA326" s="186"/>
      <c r="AB326" s="186"/>
      <c r="AC326" s="186"/>
      <c r="AD326" s="186"/>
      <c r="AE326" s="186"/>
      <c r="AF326" s="186"/>
      <c r="AG326" s="186"/>
      <c r="AH326" s="186"/>
      <c r="AI326" s="186"/>
      <c r="AJ326" s="186"/>
      <c r="AK326" s="186"/>
      <c r="AL326" s="186"/>
      <c r="AM326" s="186"/>
      <c r="AN326" s="186"/>
      <c r="AO326" s="186"/>
      <c r="AP326" s="186"/>
    </row>
    <row r="327" spans="1:42">
      <c r="A327" s="204" t="s">
        <v>208</v>
      </c>
      <c r="B327" s="219" t="str">
        <f>MMStateTaxTreatment</f>
        <v>5-yr MACRS</v>
      </c>
      <c r="C327" s="186"/>
      <c r="D327" s="186"/>
      <c r="E327" s="186"/>
      <c r="F327" s="186"/>
      <c r="G327" s="186"/>
      <c r="H327" s="186"/>
      <c r="I327" s="186"/>
      <c r="J327" s="186"/>
      <c r="K327" s="186"/>
      <c r="L327" s="186"/>
      <c r="M327" s="186"/>
      <c r="N327" s="186"/>
      <c r="O327" s="186"/>
      <c r="P327" s="186"/>
      <c r="Q327" s="186"/>
      <c r="R327" s="186"/>
      <c r="S327" s="186"/>
      <c r="T327" s="186"/>
      <c r="U327" s="186"/>
      <c r="V327" s="186"/>
      <c r="W327" s="186"/>
      <c r="X327" s="186"/>
      <c r="Y327" s="186"/>
      <c r="Z327" s="186"/>
      <c r="AA327" s="186"/>
      <c r="AB327" s="186"/>
      <c r="AC327" s="186"/>
      <c r="AD327" s="186"/>
      <c r="AE327" s="186"/>
      <c r="AF327" s="186"/>
      <c r="AG327" s="186"/>
      <c r="AH327" s="186"/>
      <c r="AI327" s="186"/>
      <c r="AJ327" s="186"/>
      <c r="AK327" s="186"/>
      <c r="AL327" s="186"/>
      <c r="AM327" s="186"/>
      <c r="AN327" s="186"/>
      <c r="AO327" s="186"/>
      <c r="AP327" s="186"/>
    </row>
    <row r="328" spans="1:42">
      <c r="A328" s="204" t="s">
        <v>209</v>
      </c>
      <c r="B328" s="186">
        <f t="shared" ref="B328:AP328" si="163">B2</f>
        <v>0</v>
      </c>
      <c r="C328" s="186">
        <f t="shared" si="163"/>
        <v>1</v>
      </c>
      <c r="D328" s="186">
        <f t="shared" si="163"/>
        <v>2</v>
      </c>
      <c r="E328" s="186">
        <f t="shared" si="163"/>
        <v>3</v>
      </c>
      <c r="F328" s="186">
        <f t="shared" si="163"/>
        <v>4</v>
      </c>
      <c r="G328" s="186">
        <f t="shared" si="163"/>
        <v>5</v>
      </c>
      <c r="H328" s="186">
        <f t="shared" si="163"/>
        <v>6</v>
      </c>
      <c r="I328" s="186">
        <f t="shared" si="163"/>
        <v>7</v>
      </c>
      <c r="J328" s="186">
        <f t="shared" si="163"/>
        <v>8</v>
      </c>
      <c r="K328" s="186">
        <f t="shared" si="163"/>
        <v>9</v>
      </c>
      <c r="L328" s="186">
        <f t="shared" si="163"/>
        <v>10</v>
      </c>
      <c r="M328" s="186">
        <f t="shared" si="163"/>
        <v>11</v>
      </c>
      <c r="N328" s="186">
        <f t="shared" si="163"/>
        <v>12</v>
      </c>
      <c r="O328" s="186">
        <f t="shared" si="163"/>
        <v>13</v>
      </c>
      <c r="P328" s="186">
        <f t="shared" si="163"/>
        <v>14</v>
      </c>
      <c r="Q328" s="186">
        <f t="shared" si="163"/>
        <v>15</v>
      </c>
      <c r="R328" s="186">
        <f t="shared" si="163"/>
        <v>16</v>
      </c>
      <c r="S328" s="186">
        <f t="shared" si="163"/>
        <v>17</v>
      </c>
      <c r="T328" s="186">
        <f t="shared" si="163"/>
        <v>18</v>
      </c>
      <c r="U328" s="186">
        <f t="shared" si="163"/>
        <v>19</v>
      </c>
      <c r="V328" s="186">
        <f t="shared" si="163"/>
        <v>20</v>
      </c>
      <c r="W328" s="186">
        <f t="shared" si="163"/>
        <v>21</v>
      </c>
      <c r="X328" s="186">
        <f t="shared" si="163"/>
        <v>22</v>
      </c>
      <c r="Y328" s="186">
        <f t="shared" si="163"/>
        <v>23</v>
      </c>
      <c r="Z328" s="186">
        <f t="shared" si="163"/>
        <v>24</v>
      </c>
      <c r="AA328" s="186">
        <f t="shared" si="163"/>
        <v>25</v>
      </c>
      <c r="AB328" s="186">
        <f t="shared" si="163"/>
        <v>26</v>
      </c>
      <c r="AC328" s="186">
        <f t="shared" si="163"/>
        <v>27</v>
      </c>
      <c r="AD328" s="186">
        <f t="shared" si="163"/>
        <v>28</v>
      </c>
      <c r="AE328" s="186">
        <f t="shared" si="163"/>
        <v>29</v>
      </c>
      <c r="AF328" s="186">
        <f t="shared" si="163"/>
        <v>30</v>
      </c>
      <c r="AG328" s="186">
        <f t="shared" si="163"/>
        <v>31</v>
      </c>
      <c r="AH328" s="186">
        <f t="shared" si="163"/>
        <v>32</v>
      </c>
      <c r="AI328" s="186">
        <f t="shared" si="163"/>
        <v>33</v>
      </c>
      <c r="AJ328" s="186">
        <f t="shared" si="163"/>
        <v>34</v>
      </c>
      <c r="AK328" s="186">
        <f t="shared" si="163"/>
        <v>35</v>
      </c>
      <c r="AL328" s="186">
        <f t="shared" si="163"/>
        <v>36</v>
      </c>
      <c r="AM328" s="186">
        <f t="shared" si="163"/>
        <v>37</v>
      </c>
      <c r="AN328" s="186">
        <f t="shared" si="163"/>
        <v>38</v>
      </c>
      <c r="AO328" s="186">
        <f t="shared" si="163"/>
        <v>39</v>
      </c>
      <c r="AP328" s="186">
        <f t="shared" si="163"/>
        <v>40</v>
      </c>
    </row>
    <row r="329" spans="1:42">
      <c r="A329" s="204" t="s">
        <v>210</v>
      </c>
      <c r="B329" s="220">
        <v>0</v>
      </c>
      <c r="C329" s="215">
        <f t="shared" ref="C329:AP329" si="164">IF($B$327=$A310,C310,0)+IF($B$327=$A311,C311,0)+IF($B$327=$A312,C312,0)+IF($B$327=$A313,C313,0)+IF($B$327=$A314,C314,0)+IF($B$327=$A315,C315,0)</f>
        <v>0.2</v>
      </c>
      <c r="D329" s="215">
        <f t="shared" si="164"/>
        <v>0.32</v>
      </c>
      <c r="E329" s="215">
        <f t="shared" si="164"/>
        <v>0.192</v>
      </c>
      <c r="F329" s="215">
        <f t="shared" si="164"/>
        <v>0.1152</v>
      </c>
      <c r="G329" s="215">
        <f t="shared" si="164"/>
        <v>0.1152</v>
      </c>
      <c r="H329" s="215">
        <f t="shared" si="164"/>
        <v>5.7599999999999998E-2</v>
      </c>
      <c r="I329" s="215">
        <f t="shared" si="164"/>
        <v>0</v>
      </c>
      <c r="J329" s="215">
        <f t="shared" si="164"/>
        <v>0</v>
      </c>
      <c r="K329" s="215">
        <f t="shared" si="164"/>
        <v>0</v>
      </c>
      <c r="L329" s="215">
        <f t="shared" si="164"/>
        <v>0</v>
      </c>
      <c r="M329" s="215">
        <f t="shared" si="164"/>
        <v>0</v>
      </c>
      <c r="N329" s="215">
        <f t="shared" si="164"/>
        <v>0</v>
      </c>
      <c r="O329" s="215">
        <f t="shared" si="164"/>
        <v>0</v>
      </c>
      <c r="P329" s="215">
        <f t="shared" si="164"/>
        <v>0</v>
      </c>
      <c r="Q329" s="215">
        <f t="shared" si="164"/>
        <v>0</v>
      </c>
      <c r="R329" s="215">
        <f t="shared" si="164"/>
        <v>0</v>
      </c>
      <c r="S329" s="215">
        <f t="shared" si="164"/>
        <v>0</v>
      </c>
      <c r="T329" s="215">
        <f t="shared" si="164"/>
        <v>0</v>
      </c>
      <c r="U329" s="215">
        <f t="shared" si="164"/>
        <v>0</v>
      </c>
      <c r="V329" s="215">
        <f t="shared" si="164"/>
        <v>0</v>
      </c>
      <c r="W329" s="215">
        <f t="shared" si="164"/>
        <v>0</v>
      </c>
      <c r="X329" s="215">
        <f t="shared" si="164"/>
        <v>0</v>
      </c>
      <c r="Y329" s="215">
        <f t="shared" si="164"/>
        <v>0</v>
      </c>
      <c r="Z329" s="215">
        <f t="shared" si="164"/>
        <v>0</v>
      </c>
      <c r="AA329" s="215">
        <f t="shared" si="164"/>
        <v>0</v>
      </c>
      <c r="AB329" s="215">
        <f t="shared" si="164"/>
        <v>0</v>
      </c>
      <c r="AC329" s="215">
        <f t="shared" si="164"/>
        <v>0</v>
      </c>
      <c r="AD329" s="215">
        <f t="shared" si="164"/>
        <v>0</v>
      </c>
      <c r="AE329" s="215">
        <f t="shared" si="164"/>
        <v>0</v>
      </c>
      <c r="AF329" s="215">
        <f t="shared" si="164"/>
        <v>0</v>
      </c>
      <c r="AG329" s="215">
        <f t="shared" si="164"/>
        <v>0</v>
      </c>
      <c r="AH329" s="215">
        <f t="shared" si="164"/>
        <v>0</v>
      </c>
      <c r="AI329" s="215">
        <f t="shared" si="164"/>
        <v>0</v>
      </c>
      <c r="AJ329" s="215">
        <f t="shared" si="164"/>
        <v>0</v>
      </c>
      <c r="AK329" s="215">
        <f t="shared" si="164"/>
        <v>0</v>
      </c>
      <c r="AL329" s="215">
        <f t="shared" si="164"/>
        <v>0</v>
      </c>
      <c r="AM329" s="215">
        <f t="shared" si="164"/>
        <v>0</v>
      </c>
      <c r="AN329" s="215">
        <f t="shared" si="164"/>
        <v>0</v>
      </c>
      <c r="AO329" s="215">
        <f t="shared" si="164"/>
        <v>0</v>
      </c>
      <c r="AP329" s="215">
        <f t="shared" si="164"/>
        <v>0</v>
      </c>
    </row>
    <row r="330" spans="1:42">
      <c r="A330" s="204"/>
      <c r="B330" s="220"/>
      <c r="C330" s="215"/>
      <c r="D330" s="215"/>
      <c r="E330" s="215"/>
      <c r="F330" s="215"/>
      <c r="G330" s="215"/>
      <c r="H330" s="215"/>
      <c r="I330" s="215"/>
      <c r="J330" s="215"/>
      <c r="K330" s="215"/>
      <c r="L330" s="215"/>
      <c r="M330" s="215"/>
      <c r="N330" s="215"/>
      <c r="O330" s="215"/>
      <c r="P330" s="215"/>
      <c r="Q330" s="215"/>
      <c r="R330" s="215"/>
      <c r="S330" s="215"/>
      <c r="T330" s="215"/>
      <c r="U330" s="215"/>
      <c r="V330" s="215"/>
      <c r="W330" s="215"/>
      <c r="X330" s="215"/>
      <c r="Y330" s="215"/>
      <c r="Z330" s="215"/>
      <c r="AA330" s="215"/>
      <c r="AB330" s="215"/>
      <c r="AC330" s="215"/>
      <c r="AD330" s="215"/>
      <c r="AE330" s="215"/>
      <c r="AF330" s="215"/>
      <c r="AG330" s="215"/>
      <c r="AH330" s="215"/>
      <c r="AI330" s="215"/>
      <c r="AJ330" s="215"/>
      <c r="AK330" s="215"/>
      <c r="AL330" s="215"/>
      <c r="AM330" s="215"/>
      <c r="AN330" s="215"/>
      <c r="AO330" s="215"/>
      <c r="AP330" s="215"/>
    </row>
    <row r="331" spans="1:42">
      <c r="A331" s="197" t="s">
        <v>368</v>
      </c>
      <c r="C331" s="186"/>
      <c r="D331" s="186"/>
      <c r="E331" s="186"/>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186"/>
      <c r="AL331" s="186"/>
      <c r="AM331" s="186"/>
      <c r="AN331" s="186"/>
      <c r="AO331" s="186"/>
      <c r="AP331" s="186"/>
    </row>
    <row r="332" spans="1:42">
      <c r="A332" s="204" t="s">
        <v>207</v>
      </c>
      <c r="C332" s="186"/>
      <c r="D332" s="186"/>
      <c r="E332" s="186"/>
      <c r="F332" s="186"/>
      <c r="G332" s="186"/>
      <c r="H332" s="186"/>
      <c r="I332" s="186"/>
      <c r="J332" s="186"/>
      <c r="K332" s="186"/>
      <c r="L332" s="186"/>
      <c r="M332" s="186"/>
      <c r="N332" s="186"/>
      <c r="O332" s="186"/>
      <c r="P332" s="186"/>
      <c r="Q332" s="186"/>
      <c r="R332" s="186"/>
      <c r="S332" s="186"/>
      <c r="T332" s="186"/>
      <c r="U332" s="186"/>
      <c r="V332" s="186"/>
      <c r="W332" s="186"/>
      <c r="X332" s="186"/>
      <c r="Y332" s="186"/>
      <c r="Z332" s="186"/>
      <c r="AA332" s="186"/>
      <c r="AB332" s="186"/>
      <c r="AC332" s="186"/>
      <c r="AD332" s="186"/>
      <c r="AE332" s="186"/>
      <c r="AF332" s="186"/>
      <c r="AG332" s="186"/>
      <c r="AH332" s="186"/>
      <c r="AI332" s="186"/>
      <c r="AJ332" s="186"/>
      <c r="AK332" s="186"/>
      <c r="AL332" s="186"/>
      <c r="AM332" s="186"/>
      <c r="AN332" s="186"/>
      <c r="AO332" s="186"/>
      <c r="AP332" s="186"/>
    </row>
    <row r="333" spans="1:42">
      <c r="A333" s="37">
        <v>1</v>
      </c>
      <c r="C333" s="186">
        <f>IF(C$2&lt;=AnalysisPeriod,IF(SUM($C611:C611)&gt;0,B333+1,0),0)</f>
        <v>0</v>
      </c>
      <c r="D333" s="186">
        <f>IF(D$2&lt;=AnalysisPeriod,IF(SUM($C611:D611)&gt;0,C333+1,0),0)</f>
        <v>0</v>
      </c>
      <c r="E333" s="186">
        <f>IF(E$2&lt;=AnalysisPeriod,IF(SUM($C611:E611)&gt;0,D333+1,0),0)</f>
        <v>0</v>
      </c>
      <c r="F333" s="186">
        <f>IF(F$2&lt;=AnalysisPeriod,IF(SUM($C611:F611)&gt;0,E333+1,0),0)</f>
        <v>0</v>
      </c>
      <c r="G333" s="186">
        <f>IF(G$2&lt;=AnalysisPeriod,IF(SUM($C611:G611)&gt;0,F333+1,0),0)</f>
        <v>0</v>
      </c>
      <c r="H333" s="186">
        <f>IF(H$2&lt;=AnalysisPeriod,IF(SUM($C611:H611)&gt;0,G333+1,0),0)</f>
        <v>0</v>
      </c>
      <c r="I333" s="186">
        <f>IF(I$2&lt;=AnalysisPeriod,IF(SUM($C611:I611)&gt;0,H333+1,0),0)</f>
        <v>0</v>
      </c>
      <c r="J333" s="186">
        <f>IF(J$2&lt;=AnalysisPeriod,IF(SUM($C611:J611)&gt;0,I333+1,0),0)</f>
        <v>0</v>
      </c>
      <c r="K333" s="186">
        <f>IF(K$2&lt;=AnalysisPeriod,IF(SUM($C611:K611)&gt;0,J333+1,0),0)</f>
        <v>0</v>
      </c>
      <c r="L333" s="186">
        <f>IF(L$2&lt;=AnalysisPeriod,IF(SUM($C611:L611)&gt;0,K333+1,0),0)</f>
        <v>0</v>
      </c>
      <c r="M333" s="186">
        <f>IF(M$2&lt;=AnalysisPeriod,IF(SUM($C611:M611)&gt;0,L333+1,0),0)</f>
        <v>0</v>
      </c>
      <c r="N333" s="186">
        <f>IF(N$2&lt;=AnalysisPeriod,IF(SUM($C611:N611)&gt;0,M333+1,0),0)</f>
        <v>1</v>
      </c>
      <c r="O333" s="186">
        <f>IF(O$2&lt;=AnalysisPeriod,IF(SUM($C611:O611)&gt;0,N333+1,0),0)</f>
        <v>2</v>
      </c>
      <c r="P333" s="186">
        <f>IF(P$2&lt;=AnalysisPeriod,IF(SUM($C611:P611)&gt;0,O333+1,0),0)</f>
        <v>3</v>
      </c>
      <c r="Q333" s="186">
        <f>IF(Q$2&lt;=AnalysisPeriod,IF(SUM($C611:Q611)&gt;0,P333+1,0),0)</f>
        <v>4</v>
      </c>
      <c r="R333" s="186">
        <f>IF(R$2&lt;=AnalysisPeriod,IF(SUM($C611:R611)&gt;0,Q333+1,0),0)</f>
        <v>5</v>
      </c>
      <c r="S333" s="186">
        <f>IF(S$2&lt;=AnalysisPeriod,IF(SUM($C611:S611)&gt;0,R333+1,0),0)</f>
        <v>6</v>
      </c>
      <c r="T333" s="186">
        <f>IF(T$2&lt;=AnalysisPeriod,IF(SUM($C611:T611)&gt;0,S333+1,0),0)</f>
        <v>7</v>
      </c>
      <c r="U333" s="186">
        <f>IF(U$2&lt;=AnalysisPeriod,IF(SUM($C611:U611)&gt;0,T333+1,0),0)</f>
        <v>8</v>
      </c>
      <c r="V333" s="186">
        <f>IF(V$2&lt;=AnalysisPeriod,IF(SUM($C611:V611)&gt;0,U333+1,0),0)</f>
        <v>9</v>
      </c>
      <c r="W333" s="186">
        <f>IF(W$2&lt;=AnalysisPeriod,IF(SUM($C611:W611)&gt;0,V333+1,0),0)</f>
        <v>10</v>
      </c>
      <c r="X333" s="186">
        <f>IF(X$2&lt;=AnalysisPeriod,IF(SUM($C611:X611)&gt;0,W333+1,0),0)</f>
        <v>11</v>
      </c>
      <c r="Y333" s="186">
        <f>IF(Y$2&lt;=AnalysisPeriod,IF(SUM($C611:Y611)&gt;0,X333+1,0),0)</f>
        <v>12</v>
      </c>
      <c r="Z333" s="186">
        <f>IF(Z$2&lt;=AnalysisPeriod,IF(SUM($C611:Z611)&gt;0,Y333+1,0),0)</f>
        <v>13</v>
      </c>
      <c r="AA333" s="186">
        <f>IF(AA$2&lt;=AnalysisPeriod,IF(SUM($C611:AA611)&gt;0,Z333+1,0),0)</f>
        <v>14</v>
      </c>
      <c r="AB333" s="186">
        <f>IF(AB$2&lt;=AnalysisPeriod,IF(SUM($C611:AB611)&gt;0,AA333+1,0),0)</f>
        <v>15</v>
      </c>
      <c r="AC333" s="186">
        <f>IF(AC$2&lt;=AnalysisPeriod,IF(SUM($C611:AC611)&gt;0,AB333+1,0),0)</f>
        <v>16</v>
      </c>
      <c r="AD333" s="186">
        <f>IF(AD$2&lt;=AnalysisPeriod,IF(SUM($C611:AD611)&gt;0,AC333+1,0),0)</f>
        <v>17</v>
      </c>
      <c r="AE333" s="186">
        <f>IF(AE$2&lt;=AnalysisPeriod,IF(SUM($C611:AE611)&gt;0,AD333+1,0),0)</f>
        <v>18</v>
      </c>
      <c r="AF333" s="186">
        <f>IF(AF$2&lt;=AnalysisPeriod,IF(SUM($C611:AF611)&gt;0,AE333+1,0),0)</f>
        <v>19</v>
      </c>
      <c r="AG333" s="186">
        <f>IF(AG$2&lt;=AnalysisPeriod,IF(SUM($C611:AG611)&gt;0,AF333+1,0),0)</f>
        <v>0</v>
      </c>
      <c r="AH333" s="186">
        <f>IF(AH$2&lt;=AnalysisPeriod,IF(SUM($C611:AH611)&gt;0,AG333+1,0),0)</f>
        <v>0</v>
      </c>
      <c r="AI333" s="186">
        <f>IF(AI$2&lt;=AnalysisPeriod,IF(SUM($C611:AI611)&gt;0,AH333+1,0),0)</f>
        <v>0</v>
      </c>
      <c r="AJ333" s="186">
        <f>IF(AJ$2&lt;=AnalysisPeriod,IF(SUM($C611:AJ611)&gt;0,AI333+1,0),0)</f>
        <v>0</v>
      </c>
      <c r="AK333" s="186">
        <f>IF(AK$2&lt;=AnalysisPeriod,IF(SUM($C611:AK611)&gt;0,AJ333+1,0),0)</f>
        <v>0</v>
      </c>
      <c r="AL333" s="186">
        <f>IF(AL$2&lt;=AnalysisPeriod,IF(SUM($C611:AL611)&gt;0,AK333+1,0),0)</f>
        <v>0</v>
      </c>
      <c r="AM333" s="186">
        <f>IF(AM$2&lt;=AnalysisPeriod,IF(SUM($C611:AM611)&gt;0,AL333+1,0),0)</f>
        <v>0</v>
      </c>
      <c r="AN333" s="186">
        <f>IF(AN$2&lt;=AnalysisPeriod,IF(SUM($C611:AN611)&gt;0,AM333+1,0),0)</f>
        <v>0</v>
      </c>
      <c r="AO333" s="186">
        <f>IF(AO$2&lt;=AnalysisPeriod,IF(SUM($C611:AO611)&gt;0,AN333+1,0),0)</f>
        <v>0</v>
      </c>
      <c r="AP333" s="186">
        <f>IF(AP$2&lt;=AnalysisPeriod,IF(SUM($C611:AP611)&gt;0,AO333+1,0),0)</f>
        <v>0</v>
      </c>
    </row>
    <row r="334" spans="1:42">
      <c r="A334" s="37">
        <f>A333+1</f>
        <v>2</v>
      </c>
      <c r="C334" s="186">
        <f>IF(C$2&lt;=AnalysisPeriod,IF(SUM($C612:C612)&gt;0,B334+1,0),0)</f>
        <v>0</v>
      </c>
      <c r="D334" s="186">
        <f>IF(D$2&lt;=AnalysisPeriod,IF(SUM($C612:D612)&gt;0,C334+1,0),0)</f>
        <v>0</v>
      </c>
      <c r="E334" s="186">
        <f>IF(E$2&lt;=AnalysisPeriod,IF(SUM($C612:E612)&gt;0,D334+1,0),0)</f>
        <v>0</v>
      </c>
      <c r="F334" s="186">
        <f>IF(F$2&lt;=AnalysisPeriod,IF(SUM($C612:F612)&gt;0,E334+1,0),0)</f>
        <v>0</v>
      </c>
      <c r="G334" s="186">
        <f>IF(G$2&lt;=AnalysisPeriod,IF(SUM($C612:G612)&gt;0,F334+1,0),0)</f>
        <v>0</v>
      </c>
      <c r="H334" s="186">
        <f>IF(H$2&lt;=AnalysisPeriod,IF(SUM($C612:H612)&gt;0,G334+1,0),0)</f>
        <v>0</v>
      </c>
      <c r="I334" s="186">
        <f>IF(I$2&lt;=AnalysisPeriod,IF(SUM($C612:I612)&gt;0,H334+1,0),0)</f>
        <v>0</v>
      </c>
      <c r="J334" s="186">
        <f>IF(J$2&lt;=AnalysisPeriod,IF(SUM($C612:J612)&gt;0,I334+1,0),0)</f>
        <v>0</v>
      </c>
      <c r="K334" s="186">
        <f>IF(K$2&lt;=AnalysisPeriod,IF(SUM($C612:K612)&gt;0,J334+1,0),0)</f>
        <v>0</v>
      </c>
      <c r="L334" s="186">
        <f>IF(L$2&lt;=AnalysisPeriod,IF(SUM($C612:L612)&gt;0,K334+1,0),0)</f>
        <v>0</v>
      </c>
      <c r="M334" s="186">
        <f>IF(M$2&lt;=AnalysisPeriod,IF(SUM($C612:M612)&gt;0,L334+1,0),0)</f>
        <v>0</v>
      </c>
      <c r="N334" s="186">
        <f>IF(N$2&lt;=AnalysisPeriod,IF(SUM($C612:N612)&gt;0,M334+1,0),0)</f>
        <v>0</v>
      </c>
      <c r="O334" s="186">
        <f>IF(O$2&lt;=AnalysisPeriod,IF(SUM($C612:O612)&gt;0,N334+1,0),0)</f>
        <v>0</v>
      </c>
      <c r="P334" s="186">
        <f>IF(P$2&lt;=AnalysisPeriod,IF(SUM($C612:P612)&gt;0,O334+1,0),0)</f>
        <v>0</v>
      </c>
      <c r="Q334" s="186">
        <f>IF(Q$2&lt;=AnalysisPeriod,IF(SUM($C612:Q612)&gt;0,P334+1,0),0)</f>
        <v>0</v>
      </c>
      <c r="R334" s="186">
        <f>IF(R$2&lt;=AnalysisPeriod,IF(SUM($C612:R612)&gt;0,Q334+1,0),0)</f>
        <v>0</v>
      </c>
      <c r="S334" s="186">
        <f>IF(S$2&lt;=AnalysisPeriod,IF(SUM($C612:S612)&gt;0,R334+1,0),0)</f>
        <v>0</v>
      </c>
      <c r="T334" s="186">
        <f>IF(T$2&lt;=AnalysisPeriod,IF(SUM($C612:T612)&gt;0,S334+1,0),0)</f>
        <v>0</v>
      </c>
      <c r="U334" s="186">
        <f>IF(U$2&lt;=AnalysisPeriod,IF(SUM($C612:U612)&gt;0,T334+1,0),0)</f>
        <v>0</v>
      </c>
      <c r="V334" s="186">
        <f>IF(V$2&lt;=AnalysisPeriod,IF(SUM($C612:V612)&gt;0,U334+1,0),0)</f>
        <v>0</v>
      </c>
      <c r="W334" s="186">
        <f>IF(W$2&lt;=AnalysisPeriod,IF(SUM($C612:W612)&gt;0,V334+1,0),0)</f>
        <v>0</v>
      </c>
      <c r="X334" s="186">
        <f>IF(X$2&lt;=AnalysisPeriod,IF(SUM($C612:X612)&gt;0,W334+1,0),0)</f>
        <v>0</v>
      </c>
      <c r="Y334" s="186">
        <f>IF(Y$2&lt;=AnalysisPeriod,IF(SUM($C612:Y612)&gt;0,X334+1,0),0)</f>
        <v>0</v>
      </c>
      <c r="Z334" s="186">
        <f>IF(Z$2&lt;=AnalysisPeriod,IF(SUM($C612:Z612)&gt;0,Y334+1,0),0)</f>
        <v>1</v>
      </c>
      <c r="AA334" s="186">
        <f>IF(AA$2&lt;=AnalysisPeriod,IF(SUM($C612:AA612)&gt;0,Z334+1,0),0)</f>
        <v>2</v>
      </c>
      <c r="AB334" s="186">
        <f>IF(AB$2&lt;=AnalysisPeriod,IF(SUM($C612:AB612)&gt;0,AA334+1,0),0)</f>
        <v>3</v>
      </c>
      <c r="AC334" s="186">
        <f>IF(AC$2&lt;=AnalysisPeriod,IF(SUM($C612:AC612)&gt;0,AB334+1,0),0)</f>
        <v>4</v>
      </c>
      <c r="AD334" s="186">
        <f>IF(AD$2&lt;=AnalysisPeriod,IF(SUM($C612:AD612)&gt;0,AC334+1,0),0)</f>
        <v>5</v>
      </c>
      <c r="AE334" s="186">
        <f>IF(AE$2&lt;=AnalysisPeriod,IF(SUM($C612:AE612)&gt;0,AD334+1,0),0)</f>
        <v>6</v>
      </c>
      <c r="AF334" s="186">
        <f>IF(AF$2&lt;=AnalysisPeriod,IF(SUM($C612:AF612)&gt;0,AE334+1,0),0)</f>
        <v>7</v>
      </c>
      <c r="AG334" s="186">
        <f>IF(AG$2&lt;=AnalysisPeriod,IF(SUM($C612:AG612)&gt;0,AF334+1,0),0)</f>
        <v>0</v>
      </c>
      <c r="AH334" s="186">
        <f>IF(AH$2&lt;=AnalysisPeriod,IF(SUM($C612:AH612)&gt;0,AG334+1,0),0)</f>
        <v>0</v>
      </c>
      <c r="AI334" s="186">
        <f>IF(AI$2&lt;=AnalysisPeriod,IF(SUM($C612:AI612)&gt;0,AH334+1,0),0)</f>
        <v>0</v>
      </c>
      <c r="AJ334" s="186">
        <f>IF(AJ$2&lt;=AnalysisPeriod,IF(SUM($C612:AJ612)&gt;0,AI334+1,0),0)</f>
        <v>0</v>
      </c>
      <c r="AK334" s="186">
        <f>IF(AK$2&lt;=AnalysisPeriod,IF(SUM($C612:AK612)&gt;0,AJ334+1,0),0)</f>
        <v>0</v>
      </c>
      <c r="AL334" s="186">
        <f>IF(AL$2&lt;=AnalysisPeriod,IF(SUM($C612:AL612)&gt;0,AK334+1,0),0)</f>
        <v>0</v>
      </c>
      <c r="AM334" s="186">
        <f>IF(AM$2&lt;=AnalysisPeriod,IF(SUM($C612:AM612)&gt;0,AL334+1,0),0)</f>
        <v>0</v>
      </c>
      <c r="AN334" s="186">
        <f>IF(AN$2&lt;=AnalysisPeriod,IF(SUM($C612:AN612)&gt;0,AM334+1,0),0)</f>
        <v>0</v>
      </c>
      <c r="AO334" s="186">
        <f>IF(AO$2&lt;=AnalysisPeriod,IF(SUM($C612:AO612)&gt;0,AN334+1,0),0)</f>
        <v>0</v>
      </c>
      <c r="AP334" s="186">
        <f>IF(AP$2&lt;=AnalysisPeriod,IF(SUM($C612:AP612)&gt;0,AO334+1,0),0)</f>
        <v>0</v>
      </c>
    </row>
    <row r="335" spans="1:42">
      <c r="A335" s="37">
        <f t="shared" ref="A335:A342" si="165">A334+1</f>
        <v>3</v>
      </c>
      <c r="C335" s="186">
        <f>IF(C$2&lt;=AnalysisPeriod,IF(SUM($C613:C613)&gt;0,B335+1,0),0)</f>
        <v>0</v>
      </c>
      <c r="D335" s="186">
        <f>IF(D$2&lt;=AnalysisPeriod,IF(SUM($C613:D613)&gt;0,C335+1,0),0)</f>
        <v>0</v>
      </c>
      <c r="E335" s="186">
        <f>IF(E$2&lt;=AnalysisPeriod,IF(SUM($C613:E613)&gt;0,D335+1,0),0)</f>
        <v>0</v>
      </c>
      <c r="F335" s="186">
        <f>IF(F$2&lt;=AnalysisPeriod,IF(SUM($C613:F613)&gt;0,E335+1,0),0)</f>
        <v>0</v>
      </c>
      <c r="G335" s="186">
        <f>IF(G$2&lt;=AnalysisPeriod,IF(SUM($C613:G613)&gt;0,F335+1,0),0)</f>
        <v>0</v>
      </c>
      <c r="H335" s="186">
        <f>IF(H$2&lt;=AnalysisPeriod,IF(SUM($C613:H613)&gt;0,G335+1,0),0)</f>
        <v>0</v>
      </c>
      <c r="I335" s="186">
        <f>IF(I$2&lt;=AnalysisPeriod,IF(SUM($C613:I613)&gt;0,H335+1,0),0)</f>
        <v>0</v>
      </c>
      <c r="J335" s="186">
        <f>IF(J$2&lt;=AnalysisPeriod,IF(SUM($C613:J613)&gt;0,I335+1,0),0)</f>
        <v>0</v>
      </c>
      <c r="K335" s="186">
        <f>IF(K$2&lt;=AnalysisPeriod,IF(SUM($C613:K613)&gt;0,J335+1,0),0)</f>
        <v>0</v>
      </c>
      <c r="L335" s="186">
        <f>IF(L$2&lt;=AnalysisPeriod,IF(SUM($C613:L613)&gt;0,K335+1,0),0)</f>
        <v>0</v>
      </c>
      <c r="M335" s="186">
        <f>IF(M$2&lt;=AnalysisPeriod,IF(SUM($C613:M613)&gt;0,L335+1,0),0)</f>
        <v>0</v>
      </c>
      <c r="N335" s="186">
        <f>IF(N$2&lt;=AnalysisPeriod,IF(SUM($C613:N613)&gt;0,M335+1,0),0)</f>
        <v>0</v>
      </c>
      <c r="O335" s="186">
        <f>IF(O$2&lt;=AnalysisPeriod,IF(SUM($C613:O613)&gt;0,N335+1,0),0)</f>
        <v>0</v>
      </c>
      <c r="P335" s="186">
        <f>IF(P$2&lt;=AnalysisPeriod,IF(SUM($C613:P613)&gt;0,O335+1,0),0)</f>
        <v>0</v>
      </c>
      <c r="Q335" s="186">
        <f>IF(Q$2&lt;=AnalysisPeriod,IF(SUM($C613:Q613)&gt;0,P335+1,0),0)</f>
        <v>0</v>
      </c>
      <c r="R335" s="186">
        <f>IF(R$2&lt;=AnalysisPeriod,IF(SUM($C613:R613)&gt;0,Q335+1,0),0)</f>
        <v>0</v>
      </c>
      <c r="S335" s="186">
        <f>IF(S$2&lt;=AnalysisPeriod,IF(SUM($C613:S613)&gt;0,R335+1,0),0)</f>
        <v>0</v>
      </c>
      <c r="T335" s="186">
        <f>IF(T$2&lt;=AnalysisPeriod,IF(SUM($C613:T613)&gt;0,S335+1,0),0)</f>
        <v>0</v>
      </c>
      <c r="U335" s="186">
        <f>IF(U$2&lt;=AnalysisPeriod,IF(SUM($C613:U613)&gt;0,T335+1,0),0)</f>
        <v>0</v>
      </c>
      <c r="V335" s="186">
        <f>IF(V$2&lt;=AnalysisPeriod,IF(SUM($C613:V613)&gt;0,U335+1,0),0)</f>
        <v>0</v>
      </c>
      <c r="W335" s="186">
        <f>IF(W$2&lt;=AnalysisPeriod,IF(SUM($C613:W613)&gt;0,V335+1,0),0)</f>
        <v>0</v>
      </c>
      <c r="X335" s="186">
        <f>IF(X$2&lt;=AnalysisPeriod,IF(SUM($C613:X613)&gt;0,W335+1,0),0)</f>
        <v>0</v>
      </c>
      <c r="Y335" s="186">
        <f>IF(Y$2&lt;=AnalysisPeriod,IF(SUM($C613:Y613)&gt;0,X335+1,0),0)</f>
        <v>0</v>
      </c>
      <c r="Z335" s="186">
        <f>IF(Z$2&lt;=AnalysisPeriod,IF(SUM($C613:Z613)&gt;0,Y335+1,0),0)</f>
        <v>0</v>
      </c>
      <c r="AA335" s="186">
        <f>IF(AA$2&lt;=AnalysisPeriod,IF(SUM($C613:AA613)&gt;0,Z335+1,0),0)</f>
        <v>0</v>
      </c>
      <c r="AB335" s="186">
        <f>IF(AB$2&lt;=AnalysisPeriod,IF(SUM($C613:AB613)&gt;0,AA335+1,0),0)</f>
        <v>0</v>
      </c>
      <c r="AC335" s="186">
        <f>IF(AC$2&lt;=AnalysisPeriod,IF(SUM($C613:AC613)&gt;0,AB335+1,0),0)</f>
        <v>0</v>
      </c>
      <c r="AD335" s="186">
        <f>IF(AD$2&lt;=AnalysisPeriod,IF(SUM($C613:AD613)&gt;0,AC335+1,0),0)</f>
        <v>0</v>
      </c>
      <c r="AE335" s="186">
        <f>IF(AE$2&lt;=AnalysisPeriod,IF(SUM($C613:AE613)&gt;0,AD335+1,0),0)</f>
        <v>0</v>
      </c>
      <c r="AF335" s="186">
        <f>IF(AF$2&lt;=AnalysisPeriod,IF(SUM($C613:AF613)&gt;0,AE335+1,0),0)</f>
        <v>0</v>
      </c>
      <c r="AG335" s="186">
        <f>IF(AG$2&lt;=AnalysisPeriod,IF(SUM($C613:AG613)&gt;0,AF335+1,0),0)</f>
        <v>0</v>
      </c>
      <c r="AH335" s="186">
        <f>IF(AH$2&lt;=AnalysisPeriod,IF(SUM($C613:AH613)&gt;0,AG335+1,0),0)</f>
        <v>0</v>
      </c>
      <c r="AI335" s="186">
        <f>IF(AI$2&lt;=AnalysisPeriod,IF(SUM($C613:AI613)&gt;0,AH335+1,0),0)</f>
        <v>0</v>
      </c>
      <c r="AJ335" s="186">
        <f>IF(AJ$2&lt;=AnalysisPeriod,IF(SUM($C613:AJ613)&gt;0,AI335+1,0),0)</f>
        <v>0</v>
      </c>
      <c r="AK335" s="186">
        <f>IF(AK$2&lt;=AnalysisPeriod,IF(SUM($C613:AK613)&gt;0,AJ335+1,0),0)</f>
        <v>0</v>
      </c>
      <c r="AL335" s="186">
        <f>IF(AL$2&lt;=AnalysisPeriod,IF(SUM($C613:AL613)&gt;0,AK335+1,0),0)</f>
        <v>0</v>
      </c>
      <c r="AM335" s="186">
        <f>IF(AM$2&lt;=AnalysisPeriod,IF(SUM($C613:AM613)&gt;0,AL335+1,0),0)</f>
        <v>0</v>
      </c>
      <c r="AN335" s="186">
        <f>IF(AN$2&lt;=AnalysisPeriod,IF(SUM($C613:AN613)&gt;0,AM335+1,0),0)</f>
        <v>0</v>
      </c>
      <c r="AO335" s="186">
        <f>IF(AO$2&lt;=AnalysisPeriod,IF(SUM($C613:AO613)&gt;0,AN335+1,0),0)</f>
        <v>0</v>
      </c>
      <c r="AP335" s="186">
        <f>IF(AP$2&lt;=AnalysisPeriod,IF(SUM($C613:AP613)&gt;0,AO335+1,0),0)</f>
        <v>0</v>
      </c>
    </row>
    <row r="336" spans="1:42">
      <c r="A336" s="37">
        <f t="shared" si="165"/>
        <v>4</v>
      </c>
      <c r="C336" s="186">
        <f>IF(C$2&lt;=AnalysisPeriod,IF(SUM($C614:C614)&gt;0,B336+1,0),0)</f>
        <v>0</v>
      </c>
      <c r="D336" s="186">
        <f>IF(D$2&lt;=AnalysisPeriod,IF(SUM($C614:D614)&gt;0,C336+1,0),0)</f>
        <v>0</v>
      </c>
      <c r="E336" s="186">
        <f>IF(E$2&lt;=AnalysisPeriod,IF(SUM($C614:E614)&gt;0,D336+1,0),0)</f>
        <v>0</v>
      </c>
      <c r="F336" s="186">
        <f>IF(F$2&lt;=AnalysisPeriod,IF(SUM($C614:F614)&gt;0,E336+1,0),0)</f>
        <v>0</v>
      </c>
      <c r="G336" s="186">
        <f>IF(G$2&lt;=AnalysisPeriod,IF(SUM($C614:G614)&gt;0,F336+1,0),0)</f>
        <v>0</v>
      </c>
      <c r="H336" s="186">
        <f>IF(H$2&lt;=AnalysisPeriod,IF(SUM($C614:H614)&gt;0,G336+1,0),0)</f>
        <v>0</v>
      </c>
      <c r="I336" s="186">
        <f>IF(I$2&lt;=AnalysisPeriod,IF(SUM($C614:I614)&gt;0,H336+1,0),0)</f>
        <v>0</v>
      </c>
      <c r="J336" s="186">
        <f>IF(J$2&lt;=AnalysisPeriod,IF(SUM($C614:J614)&gt;0,I336+1,0),0)</f>
        <v>0</v>
      </c>
      <c r="K336" s="186">
        <f>IF(K$2&lt;=AnalysisPeriod,IF(SUM($C614:K614)&gt;0,J336+1,0),0)</f>
        <v>0</v>
      </c>
      <c r="L336" s="186">
        <f>IF(L$2&lt;=AnalysisPeriod,IF(SUM($C614:L614)&gt;0,K336+1,0),0)</f>
        <v>0</v>
      </c>
      <c r="M336" s="186">
        <f>IF(M$2&lt;=AnalysisPeriod,IF(SUM($C614:M614)&gt;0,L336+1,0),0)</f>
        <v>0</v>
      </c>
      <c r="N336" s="186">
        <f>IF(N$2&lt;=AnalysisPeriod,IF(SUM($C614:N614)&gt;0,M336+1,0),0)</f>
        <v>0</v>
      </c>
      <c r="O336" s="186">
        <f>IF(O$2&lt;=AnalysisPeriod,IF(SUM($C614:O614)&gt;0,N336+1,0),0)</f>
        <v>0</v>
      </c>
      <c r="P336" s="186">
        <f>IF(P$2&lt;=AnalysisPeriod,IF(SUM($C614:P614)&gt;0,O336+1,0),0)</f>
        <v>0</v>
      </c>
      <c r="Q336" s="186">
        <f>IF(Q$2&lt;=AnalysisPeriod,IF(SUM($C614:Q614)&gt;0,P336+1,0),0)</f>
        <v>0</v>
      </c>
      <c r="R336" s="186">
        <f>IF(R$2&lt;=AnalysisPeriod,IF(SUM($C614:R614)&gt;0,Q336+1,0),0)</f>
        <v>0</v>
      </c>
      <c r="S336" s="186">
        <f>IF(S$2&lt;=AnalysisPeriod,IF(SUM($C614:S614)&gt;0,R336+1,0),0)</f>
        <v>0</v>
      </c>
      <c r="T336" s="186">
        <f>IF(T$2&lt;=AnalysisPeriod,IF(SUM($C614:T614)&gt;0,S336+1,0),0)</f>
        <v>0</v>
      </c>
      <c r="U336" s="186">
        <f>IF(U$2&lt;=AnalysisPeriod,IF(SUM($C614:U614)&gt;0,T336+1,0),0)</f>
        <v>0</v>
      </c>
      <c r="V336" s="186">
        <f>IF(V$2&lt;=AnalysisPeriod,IF(SUM($C614:V614)&gt;0,U336+1,0),0)</f>
        <v>0</v>
      </c>
      <c r="W336" s="186">
        <f>IF(W$2&lt;=AnalysisPeriod,IF(SUM($C614:W614)&gt;0,V336+1,0),0)</f>
        <v>0</v>
      </c>
      <c r="X336" s="186">
        <f>IF(X$2&lt;=AnalysisPeriod,IF(SUM($C614:X614)&gt;0,W336+1,0),0)</f>
        <v>0</v>
      </c>
      <c r="Y336" s="186">
        <f>IF(Y$2&lt;=AnalysisPeriod,IF(SUM($C614:Y614)&gt;0,X336+1,0),0)</f>
        <v>0</v>
      </c>
      <c r="Z336" s="186">
        <f>IF(Z$2&lt;=AnalysisPeriod,IF(SUM($C614:Z614)&gt;0,Y336+1,0),0)</f>
        <v>0</v>
      </c>
      <c r="AA336" s="186">
        <f>IF(AA$2&lt;=AnalysisPeriod,IF(SUM($C614:AA614)&gt;0,Z336+1,0),0)</f>
        <v>0</v>
      </c>
      <c r="AB336" s="186">
        <f>IF(AB$2&lt;=AnalysisPeriod,IF(SUM($C614:AB614)&gt;0,AA336+1,0),0)</f>
        <v>0</v>
      </c>
      <c r="AC336" s="186">
        <f>IF(AC$2&lt;=AnalysisPeriod,IF(SUM($C614:AC614)&gt;0,AB336+1,0),0)</f>
        <v>0</v>
      </c>
      <c r="AD336" s="186">
        <f>IF(AD$2&lt;=AnalysisPeriod,IF(SUM($C614:AD614)&gt;0,AC336+1,0),0)</f>
        <v>0</v>
      </c>
      <c r="AE336" s="186">
        <f>IF(AE$2&lt;=AnalysisPeriod,IF(SUM($C614:AE614)&gt;0,AD336+1,0),0)</f>
        <v>0</v>
      </c>
      <c r="AF336" s="186">
        <f>IF(AF$2&lt;=AnalysisPeriod,IF(SUM($C614:AF614)&gt;0,AE336+1,0),0)</f>
        <v>0</v>
      </c>
      <c r="AG336" s="186">
        <f>IF(AG$2&lt;=AnalysisPeriod,IF(SUM($C614:AG614)&gt;0,AF336+1,0),0)</f>
        <v>0</v>
      </c>
      <c r="AH336" s="186">
        <f>IF(AH$2&lt;=AnalysisPeriod,IF(SUM($C614:AH614)&gt;0,AG336+1,0),0)</f>
        <v>0</v>
      </c>
      <c r="AI336" s="186">
        <f>IF(AI$2&lt;=AnalysisPeriod,IF(SUM($C614:AI614)&gt;0,AH336+1,0),0)</f>
        <v>0</v>
      </c>
      <c r="AJ336" s="186">
        <f>IF(AJ$2&lt;=AnalysisPeriod,IF(SUM($C614:AJ614)&gt;0,AI336+1,0),0)</f>
        <v>0</v>
      </c>
      <c r="AK336" s="186">
        <f>IF(AK$2&lt;=AnalysisPeriod,IF(SUM($C614:AK614)&gt;0,AJ336+1,0),0)</f>
        <v>0</v>
      </c>
      <c r="AL336" s="186">
        <f>IF(AL$2&lt;=AnalysisPeriod,IF(SUM($C614:AL614)&gt;0,AK336+1,0),0)</f>
        <v>0</v>
      </c>
      <c r="AM336" s="186">
        <f>IF(AM$2&lt;=AnalysisPeriod,IF(SUM($C614:AM614)&gt;0,AL336+1,0),0)</f>
        <v>0</v>
      </c>
      <c r="AN336" s="186">
        <f>IF(AN$2&lt;=AnalysisPeriod,IF(SUM($C614:AN614)&gt;0,AM336+1,0),0)</f>
        <v>0</v>
      </c>
      <c r="AO336" s="186">
        <f>IF(AO$2&lt;=AnalysisPeriod,IF(SUM($C614:AO614)&gt;0,AN336+1,0),0)</f>
        <v>0</v>
      </c>
      <c r="AP336" s="186">
        <f>IF(AP$2&lt;=AnalysisPeriod,IF(SUM($C614:AP614)&gt;0,AO336+1,0),0)</f>
        <v>0</v>
      </c>
    </row>
    <row r="337" spans="1:42">
      <c r="A337" s="37">
        <f t="shared" si="165"/>
        <v>5</v>
      </c>
      <c r="C337" s="186">
        <f>IF(C$2&lt;=AnalysisPeriod,IF(SUM($C615:C615)&gt;0,B337+1,0),0)</f>
        <v>0</v>
      </c>
      <c r="D337" s="186">
        <f>IF(D$2&lt;=AnalysisPeriod,IF(SUM($C615:D615)&gt;0,C337+1,0),0)</f>
        <v>0</v>
      </c>
      <c r="E337" s="186">
        <f>IF(E$2&lt;=AnalysisPeriod,IF(SUM($C615:E615)&gt;0,D337+1,0),0)</f>
        <v>0</v>
      </c>
      <c r="F337" s="186">
        <f>IF(F$2&lt;=AnalysisPeriod,IF(SUM($C615:F615)&gt;0,E337+1,0),0)</f>
        <v>0</v>
      </c>
      <c r="G337" s="186">
        <f>IF(G$2&lt;=AnalysisPeriod,IF(SUM($C615:G615)&gt;0,F337+1,0),0)</f>
        <v>0</v>
      </c>
      <c r="H337" s="186">
        <f>IF(H$2&lt;=AnalysisPeriod,IF(SUM($C615:H615)&gt;0,G337+1,0),0)</f>
        <v>0</v>
      </c>
      <c r="I337" s="186">
        <f>IF(I$2&lt;=AnalysisPeriod,IF(SUM($C615:I615)&gt;0,H337+1,0),0)</f>
        <v>0</v>
      </c>
      <c r="J337" s="186">
        <f>IF(J$2&lt;=AnalysisPeriod,IF(SUM($C615:J615)&gt;0,I337+1,0),0)</f>
        <v>0</v>
      </c>
      <c r="K337" s="186">
        <f>IF(K$2&lt;=AnalysisPeriod,IF(SUM($C615:K615)&gt;0,J337+1,0),0)</f>
        <v>0</v>
      </c>
      <c r="L337" s="186">
        <f>IF(L$2&lt;=AnalysisPeriod,IF(SUM($C615:L615)&gt;0,K337+1,0),0)</f>
        <v>0</v>
      </c>
      <c r="M337" s="186">
        <f>IF(M$2&lt;=AnalysisPeriod,IF(SUM($C615:M615)&gt;0,L337+1,0),0)</f>
        <v>0</v>
      </c>
      <c r="N337" s="186">
        <f>IF(N$2&lt;=AnalysisPeriod,IF(SUM($C615:N615)&gt;0,M337+1,0),0)</f>
        <v>0</v>
      </c>
      <c r="O337" s="186">
        <f>IF(O$2&lt;=AnalysisPeriod,IF(SUM($C615:O615)&gt;0,N337+1,0),0)</f>
        <v>0</v>
      </c>
      <c r="P337" s="186">
        <f>IF(P$2&lt;=AnalysisPeriod,IF(SUM($C615:P615)&gt;0,O337+1,0),0)</f>
        <v>0</v>
      </c>
      <c r="Q337" s="186">
        <f>IF(Q$2&lt;=AnalysisPeriod,IF(SUM($C615:Q615)&gt;0,P337+1,0),0)</f>
        <v>0</v>
      </c>
      <c r="R337" s="186">
        <f>IF(R$2&lt;=AnalysisPeriod,IF(SUM($C615:R615)&gt;0,Q337+1,0),0)</f>
        <v>0</v>
      </c>
      <c r="S337" s="186">
        <f>IF(S$2&lt;=AnalysisPeriod,IF(SUM($C615:S615)&gt;0,R337+1,0),0)</f>
        <v>0</v>
      </c>
      <c r="T337" s="186">
        <f>IF(T$2&lt;=AnalysisPeriod,IF(SUM($C615:T615)&gt;0,S337+1,0),0)</f>
        <v>0</v>
      </c>
      <c r="U337" s="186">
        <f>IF(U$2&lt;=AnalysisPeriod,IF(SUM($C615:U615)&gt;0,T337+1,0),0)</f>
        <v>0</v>
      </c>
      <c r="V337" s="186">
        <f>IF(V$2&lt;=AnalysisPeriod,IF(SUM($C615:V615)&gt;0,U337+1,0),0)</f>
        <v>0</v>
      </c>
      <c r="W337" s="186">
        <f>IF(W$2&lt;=AnalysisPeriod,IF(SUM($C615:W615)&gt;0,V337+1,0),0)</f>
        <v>0</v>
      </c>
      <c r="X337" s="186">
        <f>IF(X$2&lt;=AnalysisPeriod,IF(SUM($C615:X615)&gt;0,W337+1,0),0)</f>
        <v>0</v>
      </c>
      <c r="Y337" s="186">
        <f>IF(Y$2&lt;=AnalysisPeriod,IF(SUM($C615:Y615)&gt;0,X337+1,0),0)</f>
        <v>0</v>
      </c>
      <c r="Z337" s="186">
        <f>IF(Z$2&lt;=AnalysisPeriod,IF(SUM($C615:Z615)&gt;0,Y337+1,0),0)</f>
        <v>0</v>
      </c>
      <c r="AA337" s="186">
        <f>IF(AA$2&lt;=AnalysisPeriod,IF(SUM($C615:AA615)&gt;0,Z337+1,0),0)</f>
        <v>0</v>
      </c>
      <c r="AB337" s="186">
        <f>IF(AB$2&lt;=AnalysisPeriod,IF(SUM($C615:AB615)&gt;0,AA337+1,0),0)</f>
        <v>0</v>
      </c>
      <c r="AC337" s="186">
        <f>IF(AC$2&lt;=AnalysisPeriod,IF(SUM($C615:AC615)&gt;0,AB337+1,0),0)</f>
        <v>0</v>
      </c>
      <c r="AD337" s="186">
        <f>IF(AD$2&lt;=AnalysisPeriod,IF(SUM($C615:AD615)&gt;0,AC337+1,0),0)</f>
        <v>0</v>
      </c>
      <c r="AE337" s="186">
        <f>IF(AE$2&lt;=AnalysisPeriod,IF(SUM($C615:AE615)&gt;0,AD337+1,0),0)</f>
        <v>0</v>
      </c>
      <c r="AF337" s="186">
        <f>IF(AF$2&lt;=AnalysisPeriod,IF(SUM($C615:AF615)&gt;0,AE337+1,0),0)</f>
        <v>0</v>
      </c>
      <c r="AG337" s="186">
        <f>IF(AG$2&lt;=AnalysisPeriod,IF(SUM($C615:AG615)&gt;0,AF337+1,0),0)</f>
        <v>0</v>
      </c>
      <c r="AH337" s="186">
        <f>IF(AH$2&lt;=AnalysisPeriod,IF(SUM($C615:AH615)&gt;0,AG337+1,0),0)</f>
        <v>0</v>
      </c>
      <c r="AI337" s="186">
        <f>IF(AI$2&lt;=AnalysisPeriod,IF(SUM($C615:AI615)&gt;0,AH337+1,0),0)</f>
        <v>0</v>
      </c>
      <c r="AJ337" s="186">
        <f>IF(AJ$2&lt;=AnalysisPeriod,IF(SUM($C615:AJ615)&gt;0,AI337+1,0),0)</f>
        <v>0</v>
      </c>
      <c r="AK337" s="186">
        <f>IF(AK$2&lt;=AnalysisPeriod,IF(SUM($C615:AK615)&gt;0,AJ337+1,0),0)</f>
        <v>0</v>
      </c>
      <c r="AL337" s="186">
        <f>IF(AL$2&lt;=AnalysisPeriod,IF(SUM($C615:AL615)&gt;0,AK337+1,0),0)</f>
        <v>0</v>
      </c>
      <c r="AM337" s="186">
        <f>IF(AM$2&lt;=AnalysisPeriod,IF(SUM($C615:AM615)&gt;0,AL337+1,0),0)</f>
        <v>0</v>
      </c>
      <c r="AN337" s="186">
        <f>IF(AN$2&lt;=AnalysisPeriod,IF(SUM($C615:AN615)&gt;0,AM337+1,0),0)</f>
        <v>0</v>
      </c>
      <c r="AO337" s="186">
        <f>IF(AO$2&lt;=AnalysisPeriod,IF(SUM($C615:AO615)&gt;0,AN337+1,0),0)</f>
        <v>0</v>
      </c>
      <c r="AP337" s="186">
        <f>IF(AP$2&lt;=AnalysisPeriod,IF(SUM($C615:AP615)&gt;0,AO337+1,0),0)</f>
        <v>0</v>
      </c>
    </row>
    <row r="338" spans="1:42">
      <c r="A338" s="37">
        <f t="shared" si="165"/>
        <v>6</v>
      </c>
      <c r="C338" s="186">
        <f>IF(C$2&lt;=AnalysisPeriod,IF(SUM($C616:C616)&gt;0,B338+1,0),0)</f>
        <v>0</v>
      </c>
      <c r="D338" s="186">
        <f>IF(D$2&lt;=AnalysisPeriod,IF(SUM($C616:D616)&gt;0,C338+1,0),0)</f>
        <v>0</v>
      </c>
      <c r="E338" s="186">
        <f>IF(E$2&lt;=AnalysisPeriod,IF(SUM($C616:E616)&gt;0,D338+1,0),0)</f>
        <v>0</v>
      </c>
      <c r="F338" s="186">
        <f>IF(F$2&lt;=AnalysisPeriod,IF(SUM($C616:F616)&gt;0,E338+1,0),0)</f>
        <v>0</v>
      </c>
      <c r="G338" s="186">
        <f>IF(G$2&lt;=AnalysisPeriod,IF(SUM($C616:G616)&gt;0,F338+1,0),0)</f>
        <v>0</v>
      </c>
      <c r="H338" s="186">
        <f>IF(H$2&lt;=AnalysisPeriod,IF(SUM($C616:H616)&gt;0,G338+1,0),0)</f>
        <v>0</v>
      </c>
      <c r="I338" s="186">
        <f>IF(I$2&lt;=AnalysisPeriod,IF(SUM($C616:I616)&gt;0,H338+1,0),0)</f>
        <v>0</v>
      </c>
      <c r="J338" s="186">
        <f>IF(J$2&lt;=AnalysisPeriod,IF(SUM($C616:J616)&gt;0,I338+1,0),0)</f>
        <v>0</v>
      </c>
      <c r="K338" s="186">
        <f>IF(K$2&lt;=AnalysisPeriod,IF(SUM($C616:K616)&gt;0,J338+1,0),0)</f>
        <v>0</v>
      </c>
      <c r="L338" s="186">
        <f>IF(L$2&lt;=AnalysisPeriod,IF(SUM($C616:L616)&gt;0,K338+1,0),0)</f>
        <v>0</v>
      </c>
      <c r="M338" s="186">
        <f>IF(M$2&lt;=AnalysisPeriod,IF(SUM($C616:M616)&gt;0,L338+1,0),0)</f>
        <v>0</v>
      </c>
      <c r="N338" s="186">
        <f>IF(N$2&lt;=AnalysisPeriod,IF(SUM($C616:N616)&gt;0,M338+1,0),0)</f>
        <v>0</v>
      </c>
      <c r="O338" s="186">
        <f>IF(O$2&lt;=AnalysisPeriod,IF(SUM($C616:O616)&gt;0,N338+1,0),0)</f>
        <v>0</v>
      </c>
      <c r="P338" s="186">
        <f>IF(P$2&lt;=AnalysisPeriod,IF(SUM($C616:P616)&gt;0,O338+1,0),0)</f>
        <v>0</v>
      </c>
      <c r="Q338" s="186">
        <f>IF(Q$2&lt;=AnalysisPeriod,IF(SUM($C616:Q616)&gt;0,P338+1,0),0)</f>
        <v>0</v>
      </c>
      <c r="R338" s="186">
        <f>IF(R$2&lt;=AnalysisPeriod,IF(SUM($C616:R616)&gt;0,Q338+1,0),0)</f>
        <v>0</v>
      </c>
      <c r="S338" s="186">
        <f>IF(S$2&lt;=AnalysisPeriod,IF(SUM($C616:S616)&gt;0,R338+1,0),0)</f>
        <v>0</v>
      </c>
      <c r="T338" s="186">
        <f>IF(T$2&lt;=AnalysisPeriod,IF(SUM($C616:T616)&gt;0,S338+1,0),0)</f>
        <v>0</v>
      </c>
      <c r="U338" s="186">
        <f>IF(U$2&lt;=AnalysisPeriod,IF(SUM($C616:U616)&gt;0,T338+1,0),0)</f>
        <v>0</v>
      </c>
      <c r="V338" s="186">
        <f>IF(V$2&lt;=AnalysisPeriod,IF(SUM($C616:V616)&gt;0,U338+1,0),0)</f>
        <v>0</v>
      </c>
      <c r="W338" s="186">
        <f>IF(W$2&lt;=AnalysisPeriod,IF(SUM($C616:W616)&gt;0,V338+1,0),0)</f>
        <v>0</v>
      </c>
      <c r="X338" s="186">
        <f>IF(X$2&lt;=AnalysisPeriod,IF(SUM($C616:X616)&gt;0,W338+1,0),0)</f>
        <v>0</v>
      </c>
      <c r="Y338" s="186">
        <f>IF(Y$2&lt;=AnalysisPeriod,IF(SUM($C616:Y616)&gt;0,X338+1,0),0)</f>
        <v>0</v>
      </c>
      <c r="Z338" s="186">
        <f>IF(Z$2&lt;=AnalysisPeriod,IF(SUM($C616:Z616)&gt;0,Y338+1,0),0)</f>
        <v>0</v>
      </c>
      <c r="AA338" s="186">
        <f>IF(AA$2&lt;=AnalysisPeriod,IF(SUM($C616:AA616)&gt;0,Z338+1,0),0)</f>
        <v>0</v>
      </c>
      <c r="AB338" s="186">
        <f>IF(AB$2&lt;=AnalysisPeriod,IF(SUM($C616:AB616)&gt;0,AA338+1,0),0)</f>
        <v>0</v>
      </c>
      <c r="AC338" s="186">
        <f>IF(AC$2&lt;=AnalysisPeriod,IF(SUM($C616:AC616)&gt;0,AB338+1,0),0)</f>
        <v>0</v>
      </c>
      <c r="AD338" s="186">
        <f>IF(AD$2&lt;=AnalysisPeriod,IF(SUM($C616:AD616)&gt;0,AC338+1,0),0)</f>
        <v>0</v>
      </c>
      <c r="AE338" s="186">
        <f>IF(AE$2&lt;=AnalysisPeriod,IF(SUM($C616:AE616)&gt;0,AD338+1,0),0)</f>
        <v>0</v>
      </c>
      <c r="AF338" s="186">
        <f>IF(AF$2&lt;=AnalysisPeriod,IF(SUM($C616:AF616)&gt;0,AE338+1,0),0)</f>
        <v>0</v>
      </c>
      <c r="AG338" s="186">
        <f>IF(AG$2&lt;=AnalysisPeriod,IF(SUM($C616:AG616)&gt;0,AF338+1,0),0)</f>
        <v>0</v>
      </c>
      <c r="AH338" s="186">
        <f>IF(AH$2&lt;=AnalysisPeriod,IF(SUM($C616:AH616)&gt;0,AG338+1,0),0)</f>
        <v>0</v>
      </c>
      <c r="AI338" s="186">
        <f>IF(AI$2&lt;=AnalysisPeriod,IF(SUM($C616:AI616)&gt;0,AH338+1,0),0)</f>
        <v>0</v>
      </c>
      <c r="AJ338" s="186">
        <f>IF(AJ$2&lt;=AnalysisPeriod,IF(SUM($C616:AJ616)&gt;0,AI338+1,0),0)</f>
        <v>0</v>
      </c>
      <c r="AK338" s="186">
        <f>IF(AK$2&lt;=AnalysisPeriod,IF(SUM($C616:AK616)&gt;0,AJ338+1,0),0)</f>
        <v>0</v>
      </c>
      <c r="AL338" s="186">
        <f>IF(AL$2&lt;=AnalysisPeriod,IF(SUM($C616:AL616)&gt;0,AK338+1,0),0)</f>
        <v>0</v>
      </c>
      <c r="AM338" s="186">
        <f>IF(AM$2&lt;=AnalysisPeriod,IF(SUM($C616:AM616)&gt;0,AL338+1,0),0)</f>
        <v>0</v>
      </c>
      <c r="AN338" s="186">
        <f>IF(AN$2&lt;=AnalysisPeriod,IF(SUM($C616:AN616)&gt;0,AM338+1,0),0)</f>
        <v>0</v>
      </c>
      <c r="AO338" s="186">
        <f>IF(AO$2&lt;=AnalysisPeriod,IF(SUM($C616:AO616)&gt;0,AN338+1,0),0)</f>
        <v>0</v>
      </c>
      <c r="AP338" s="186">
        <f>IF(AP$2&lt;=AnalysisPeriod,IF(SUM($C616:AP616)&gt;0,AO338+1,0),0)</f>
        <v>0</v>
      </c>
    </row>
    <row r="339" spans="1:42">
      <c r="A339" s="37">
        <f t="shared" si="165"/>
        <v>7</v>
      </c>
      <c r="C339" s="186">
        <f>IF(C$2&lt;=AnalysisPeriod,IF(SUM($C617:C617)&gt;0,B339+1,0),0)</f>
        <v>0</v>
      </c>
      <c r="D339" s="186">
        <f>IF(D$2&lt;=AnalysisPeriod,IF(SUM($C617:D617)&gt;0,C339+1,0),0)</f>
        <v>0</v>
      </c>
      <c r="E339" s="186">
        <f>IF(E$2&lt;=AnalysisPeriod,IF(SUM($C617:E617)&gt;0,D339+1,0),0)</f>
        <v>0</v>
      </c>
      <c r="F339" s="186">
        <f>IF(F$2&lt;=AnalysisPeriod,IF(SUM($C617:F617)&gt;0,E339+1,0),0)</f>
        <v>0</v>
      </c>
      <c r="G339" s="186">
        <f>IF(G$2&lt;=AnalysisPeriod,IF(SUM($C617:G617)&gt;0,F339+1,0),0)</f>
        <v>0</v>
      </c>
      <c r="H339" s="186">
        <f>IF(H$2&lt;=AnalysisPeriod,IF(SUM($C617:H617)&gt;0,G339+1,0),0)</f>
        <v>0</v>
      </c>
      <c r="I339" s="186">
        <f>IF(I$2&lt;=AnalysisPeriod,IF(SUM($C617:I617)&gt;0,H339+1,0),0)</f>
        <v>0</v>
      </c>
      <c r="J339" s="186">
        <f>IF(J$2&lt;=AnalysisPeriod,IF(SUM($C617:J617)&gt;0,I339+1,0),0)</f>
        <v>0</v>
      </c>
      <c r="K339" s="186">
        <f>IF(K$2&lt;=AnalysisPeriod,IF(SUM($C617:K617)&gt;0,J339+1,0),0)</f>
        <v>0</v>
      </c>
      <c r="L339" s="186">
        <f>IF(L$2&lt;=AnalysisPeriod,IF(SUM($C617:L617)&gt;0,K339+1,0),0)</f>
        <v>0</v>
      </c>
      <c r="M339" s="186">
        <f>IF(M$2&lt;=AnalysisPeriod,IF(SUM($C617:M617)&gt;0,L339+1,0),0)</f>
        <v>0</v>
      </c>
      <c r="N339" s="186">
        <f>IF(N$2&lt;=AnalysisPeriod,IF(SUM($C617:N617)&gt;0,M339+1,0),0)</f>
        <v>0</v>
      </c>
      <c r="O339" s="186">
        <f>IF(O$2&lt;=AnalysisPeriod,IF(SUM($C617:O617)&gt;0,N339+1,0),0)</f>
        <v>0</v>
      </c>
      <c r="P339" s="186">
        <f>IF(P$2&lt;=AnalysisPeriod,IF(SUM($C617:P617)&gt;0,O339+1,0),0)</f>
        <v>0</v>
      </c>
      <c r="Q339" s="186">
        <f>IF(Q$2&lt;=AnalysisPeriod,IF(SUM($C617:Q617)&gt;0,P339+1,0),0)</f>
        <v>0</v>
      </c>
      <c r="R339" s="186">
        <f>IF(R$2&lt;=AnalysisPeriod,IF(SUM($C617:R617)&gt;0,Q339+1,0),0)</f>
        <v>0</v>
      </c>
      <c r="S339" s="186">
        <f>IF(S$2&lt;=AnalysisPeriod,IF(SUM($C617:S617)&gt;0,R339+1,0),0)</f>
        <v>0</v>
      </c>
      <c r="T339" s="186">
        <f>IF(T$2&lt;=AnalysisPeriod,IF(SUM($C617:T617)&gt;0,S339+1,0),0)</f>
        <v>0</v>
      </c>
      <c r="U339" s="186">
        <f>IF(U$2&lt;=AnalysisPeriod,IF(SUM($C617:U617)&gt;0,T339+1,0),0)</f>
        <v>0</v>
      </c>
      <c r="V339" s="186">
        <f>IF(V$2&lt;=AnalysisPeriod,IF(SUM($C617:V617)&gt;0,U339+1,0),0)</f>
        <v>0</v>
      </c>
      <c r="W339" s="186">
        <f>IF(W$2&lt;=AnalysisPeriod,IF(SUM($C617:W617)&gt;0,V339+1,0),0)</f>
        <v>0</v>
      </c>
      <c r="X339" s="186">
        <f>IF(X$2&lt;=AnalysisPeriod,IF(SUM($C617:X617)&gt;0,W339+1,0),0)</f>
        <v>0</v>
      </c>
      <c r="Y339" s="186">
        <f>IF(Y$2&lt;=AnalysisPeriod,IF(SUM($C617:Y617)&gt;0,X339+1,0),0)</f>
        <v>0</v>
      </c>
      <c r="Z339" s="186">
        <f>IF(Z$2&lt;=AnalysisPeriod,IF(SUM($C617:Z617)&gt;0,Y339+1,0),0)</f>
        <v>0</v>
      </c>
      <c r="AA339" s="186">
        <f>IF(AA$2&lt;=AnalysisPeriod,IF(SUM($C617:AA617)&gt;0,Z339+1,0),0)</f>
        <v>0</v>
      </c>
      <c r="AB339" s="186">
        <f>IF(AB$2&lt;=AnalysisPeriod,IF(SUM($C617:AB617)&gt;0,AA339+1,0),0)</f>
        <v>0</v>
      </c>
      <c r="AC339" s="186">
        <f>IF(AC$2&lt;=AnalysisPeriod,IF(SUM($C617:AC617)&gt;0,AB339+1,0),0)</f>
        <v>0</v>
      </c>
      <c r="AD339" s="186">
        <f>IF(AD$2&lt;=AnalysisPeriod,IF(SUM($C617:AD617)&gt;0,AC339+1,0),0)</f>
        <v>0</v>
      </c>
      <c r="AE339" s="186">
        <f>IF(AE$2&lt;=AnalysisPeriod,IF(SUM($C617:AE617)&gt;0,AD339+1,0),0)</f>
        <v>0</v>
      </c>
      <c r="AF339" s="186">
        <f>IF(AF$2&lt;=AnalysisPeriod,IF(SUM($C617:AF617)&gt;0,AE339+1,0),0)</f>
        <v>0</v>
      </c>
      <c r="AG339" s="186">
        <f>IF(AG$2&lt;=AnalysisPeriod,IF(SUM($C617:AG617)&gt;0,AF339+1,0),0)</f>
        <v>0</v>
      </c>
      <c r="AH339" s="186">
        <f>IF(AH$2&lt;=AnalysisPeriod,IF(SUM($C617:AH617)&gt;0,AG339+1,0),0)</f>
        <v>0</v>
      </c>
      <c r="AI339" s="186">
        <f>IF(AI$2&lt;=AnalysisPeriod,IF(SUM($C617:AI617)&gt;0,AH339+1,0),0)</f>
        <v>0</v>
      </c>
      <c r="AJ339" s="186">
        <f>IF(AJ$2&lt;=AnalysisPeriod,IF(SUM($C617:AJ617)&gt;0,AI339+1,0),0)</f>
        <v>0</v>
      </c>
      <c r="AK339" s="186">
        <f>IF(AK$2&lt;=AnalysisPeriod,IF(SUM($C617:AK617)&gt;0,AJ339+1,0),0)</f>
        <v>0</v>
      </c>
      <c r="AL339" s="186">
        <f>IF(AL$2&lt;=AnalysisPeriod,IF(SUM($C617:AL617)&gt;0,AK339+1,0),0)</f>
        <v>0</v>
      </c>
      <c r="AM339" s="186">
        <f>IF(AM$2&lt;=AnalysisPeriod,IF(SUM($C617:AM617)&gt;0,AL339+1,0),0)</f>
        <v>0</v>
      </c>
      <c r="AN339" s="186">
        <f>IF(AN$2&lt;=AnalysisPeriod,IF(SUM($C617:AN617)&gt;0,AM339+1,0),0)</f>
        <v>0</v>
      </c>
      <c r="AO339" s="186">
        <f>IF(AO$2&lt;=AnalysisPeriod,IF(SUM($C617:AO617)&gt;0,AN339+1,0),0)</f>
        <v>0</v>
      </c>
      <c r="AP339" s="186">
        <f>IF(AP$2&lt;=AnalysisPeriod,IF(SUM($C617:AP617)&gt;0,AO339+1,0),0)</f>
        <v>0</v>
      </c>
    </row>
    <row r="340" spans="1:42">
      <c r="A340" s="37">
        <f t="shared" si="165"/>
        <v>8</v>
      </c>
      <c r="C340" s="186">
        <f>IF(C$2&lt;=AnalysisPeriod,IF(SUM($C618:C618)&gt;0,B340+1,0),0)</f>
        <v>0</v>
      </c>
      <c r="D340" s="186">
        <f>IF(D$2&lt;=AnalysisPeriod,IF(SUM($C618:D618)&gt;0,C340+1,0),0)</f>
        <v>0</v>
      </c>
      <c r="E340" s="186">
        <f>IF(E$2&lt;=AnalysisPeriod,IF(SUM($C618:E618)&gt;0,D340+1,0),0)</f>
        <v>0</v>
      </c>
      <c r="F340" s="186">
        <f>IF(F$2&lt;=AnalysisPeriod,IF(SUM($C618:F618)&gt;0,E340+1,0),0)</f>
        <v>0</v>
      </c>
      <c r="G340" s="186">
        <f>IF(G$2&lt;=AnalysisPeriod,IF(SUM($C618:G618)&gt;0,F340+1,0),0)</f>
        <v>0</v>
      </c>
      <c r="H340" s="186">
        <f>IF(H$2&lt;=AnalysisPeriod,IF(SUM($C618:H618)&gt;0,G340+1,0),0)</f>
        <v>0</v>
      </c>
      <c r="I340" s="186">
        <f>IF(I$2&lt;=AnalysisPeriod,IF(SUM($C618:I618)&gt;0,H340+1,0),0)</f>
        <v>0</v>
      </c>
      <c r="J340" s="186">
        <f>IF(J$2&lt;=AnalysisPeriod,IF(SUM($C618:J618)&gt;0,I340+1,0),0)</f>
        <v>0</v>
      </c>
      <c r="K340" s="186">
        <f>IF(K$2&lt;=AnalysisPeriod,IF(SUM($C618:K618)&gt;0,J340+1,0),0)</f>
        <v>0</v>
      </c>
      <c r="L340" s="186">
        <f>IF(L$2&lt;=AnalysisPeriod,IF(SUM($C618:L618)&gt;0,K340+1,0),0)</f>
        <v>0</v>
      </c>
      <c r="M340" s="186">
        <f>IF(M$2&lt;=AnalysisPeriod,IF(SUM($C618:M618)&gt;0,L340+1,0),0)</f>
        <v>0</v>
      </c>
      <c r="N340" s="186">
        <f>IF(N$2&lt;=AnalysisPeriod,IF(SUM($C618:N618)&gt;0,M340+1,0),0)</f>
        <v>0</v>
      </c>
      <c r="O340" s="186">
        <f>IF(O$2&lt;=AnalysisPeriod,IF(SUM($C618:O618)&gt;0,N340+1,0),0)</f>
        <v>0</v>
      </c>
      <c r="P340" s="186">
        <f>IF(P$2&lt;=AnalysisPeriod,IF(SUM($C618:P618)&gt;0,O340+1,0),0)</f>
        <v>0</v>
      </c>
      <c r="Q340" s="186">
        <f>IF(Q$2&lt;=AnalysisPeriod,IF(SUM($C618:Q618)&gt;0,P340+1,0),0)</f>
        <v>0</v>
      </c>
      <c r="R340" s="186">
        <f>IF(R$2&lt;=AnalysisPeriod,IF(SUM($C618:R618)&gt;0,Q340+1,0),0)</f>
        <v>0</v>
      </c>
      <c r="S340" s="186">
        <f>IF(S$2&lt;=AnalysisPeriod,IF(SUM($C618:S618)&gt;0,R340+1,0),0)</f>
        <v>0</v>
      </c>
      <c r="T340" s="186">
        <f>IF(T$2&lt;=AnalysisPeriod,IF(SUM($C618:T618)&gt;0,S340+1,0),0)</f>
        <v>0</v>
      </c>
      <c r="U340" s="186">
        <f>IF(U$2&lt;=AnalysisPeriod,IF(SUM($C618:U618)&gt;0,T340+1,0),0)</f>
        <v>0</v>
      </c>
      <c r="V340" s="186">
        <f>IF(V$2&lt;=AnalysisPeriod,IF(SUM($C618:V618)&gt;0,U340+1,0),0)</f>
        <v>0</v>
      </c>
      <c r="W340" s="186">
        <f>IF(W$2&lt;=AnalysisPeriod,IF(SUM($C618:W618)&gt;0,V340+1,0),0)</f>
        <v>0</v>
      </c>
      <c r="X340" s="186">
        <f>IF(X$2&lt;=AnalysisPeriod,IF(SUM($C618:X618)&gt;0,W340+1,0),0)</f>
        <v>0</v>
      </c>
      <c r="Y340" s="186">
        <f>IF(Y$2&lt;=AnalysisPeriod,IF(SUM($C618:Y618)&gt;0,X340+1,0),0)</f>
        <v>0</v>
      </c>
      <c r="Z340" s="186">
        <f>IF(Z$2&lt;=AnalysisPeriod,IF(SUM($C618:Z618)&gt;0,Y340+1,0),0)</f>
        <v>0</v>
      </c>
      <c r="AA340" s="186">
        <f>IF(AA$2&lt;=AnalysisPeriod,IF(SUM($C618:AA618)&gt;0,Z340+1,0),0)</f>
        <v>0</v>
      </c>
      <c r="AB340" s="186">
        <f>IF(AB$2&lt;=AnalysisPeriod,IF(SUM($C618:AB618)&gt;0,AA340+1,0),0)</f>
        <v>0</v>
      </c>
      <c r="AC340" s="186">
        <f>IF(AC$2&lt;=AnalysisPeriod,IF(SUM($C618:AC618)&gt;0,AB340+1,0),0)</f>
        <v>0</v>
      </c>
      <c r="AD340" s="186">
        <f>IF(AD$2&lt;=AnalysisPeriod,IF(SUM($C618:AD618)&gt;0,AC340+1,0),0)</f>
        <v>0</v>
      </c>
      <c r="AE340" s="186">
        <f>IF(AE$2&lt;=AnalysisPeriod,IF(SUM($C618:AE618)&gt;0,AD340+1,0),0)</f>
        <v>0</v>
      </c>
      <c r="AF340" s="186">
        <f>IF(AF$2&lt;=AnalysisPeriod,IF(SUM($C618:AF618)&gt;0,AE340+1,0),0)</f>
        <v>0</v>
      </c>
      <c r="AG340" s="186">
        <f>IF(AG$2&lt;=AnalysisPeriod,IF(SUM($C618:AG618)&gt;0,AF340+1,0),0)</f>
        <v>0</v>
      </c>
      <c r="AH340" s="186">
        <f>IF(AH$2&lt;=AnalysisPeriod,IF(SUM($C618:AH618)&gt;0,AG340+1,0),0)</f>
        <v>0</v>
      </c>
      <c r="AI340" s="186">
        <f>IF(AI$2&lt;=AnalysisPeriod,IF(SUM($C618:AI618)&gt;0,AH340+1,0),0)</f>
        <v>0</v>
      </c>
      <c r="AJ340" s="186">
        <f>IF(AJ$2&lt;=AnalysisPeriod,IF(SUM($C618:AJ618)&gt;0,AI340+1,0),0)</f>
        <v>0</v>
      </c>
      <c r="AK340" s="186">
        <f>IF(AK$2&lt;=AnalysisPeriod,IF(SUM($C618:AK618)&gt;0,AJ340+1,0),0)</f>
        <v>0</v>
      </c>
      <c r="AL340" s="186">
        <f>IF(AL$2&lt;=AnalysisPeriod,IF(SUM($C618:AL618)&gt;0,AK340+1,0),0)</f>
        <v>0</v>
      </c>
      <c r="AM340" s="186">
        <f>IF(AM$2&lt;=AnalysisPeriod,IF(SUM($C618:AM618)&gt;0,AL340+1,0),0)</f>
        <v>0</v>
      </c>
      <c r="AN340" s="186">
        <f>IF(AN$2&lt;=AnalysisPeriod,IF(SUM($C618:AN618)&gt;0,AM340+1,0),0)</f>
        <v>0</v>
      </c>
      <c r="AO340" s="186">
        <f>IF(AO$2&lt;=AnalysisPeriod,IF(SUM($C618:AO618)&gt;0,AN340+1,0),0)</f>
        <v>0</v>
      </c>
      <c r="AP340" s="186">
        <f>IF(AP$2&lt;=AnalysisPeriod,IF(SUM($C618:AP618)&gt;0,AO340+1,0),0)</f>
        <v>0</v>
      </c>
    </row>
    <row r="341" spans="1:42">
      <c r="A341" s="37">
        <f>A340+1</f>
        <v>9</v>
      </c>
      <c r="C341" s="186">
        <f>IF(C$2&lt;=AnalysisPeriod,IF(SUM($C619:C619)&gt;0,B341+1,0),0)</f>
        <v>0</v>
      </c>
      <c r="D341" s="186">
        <f>IF(D$2&lt;=AnalysisPeriod,IF(SUM($C619:D619)&gt;0,C341+1,0),0)</f>
        <v>0</v>
      </c>
      <c r="E341" s="186">
        <f>IF(E$2&lt;=AnalysisPeriod,IF(SUM($C619:E619)&gt;0,D341+1,0),0)</f>
        <v>0</v>
      </c>
      <c r="F341" s="186">
        <f>IF(F$2&lt;=AnalysisPeriod,IF(SUM($C619:F619)&gt;0,E341+1,0),0)</f>
        <v>0</v>
      </c>
      <c r="G341" s="186">
        <f>IF(G$2&lt;=AnalysisPeriod,IF(SUM($C619:G619)&gt;0,F341+1,0),0)</f>
        <v>0</v>
      </c>
      <c r="H341" s="186">
        <f>IF(H$2&lt;=AnalysisPeriod,IF(SUM($C619:H619)&gt;0,G341+1,0),0)</f>
        <v>0</v>
      </c>
      <c r="I341" s="186">
        <f>IF(I$2&lt;=AnalysisPeriod,IF(SUM($C619:I619)&gt;0,H341+1,0),0)</f>
        <v>0</v>
      </c>
      <c r="J341" s="186">
        <f>IF(J$2&lt;=AnalysisPeriod,IF(SUM($C619:J619)&gt;0,I341+1,0),0)</f>
        <v>0</v>
      </c>
      <c r="K341" s="186">
        <f>IF(K$2&lt;=AnalysisPeriod,IF(SUM($C619:K619)&gt;0,J341+1,0),0)</f>
        <v>0</v>
      </c>
      <c r="L341" s="186">
        <f>IF(L$2&lt;=AnalysisPeriod,IF(SUM($C619:L619)&gt;0,K341+1,0),0)</f>
        <v>0</v>
      </c>
      <c r="M341" s="186">
        <f>IF(M$2&lt;=AnalysisPeriod,IF(SUM($C619:M619)&gt;0,L341+1,0),0)</f>
        <v>0</v>
      </c>
      <c r="N341" s="186">
        <f>IF(N$2&lt;=AnalysisPeriod,IF(SUM($C619:N619)&gt;0,M341+1,0),0)</f>
        <v>0</v>
      </c>
      <c r="O341" s="186">
        <f>IF(O$2&lt;=AnalysisPeriod,IF(SUM($C619:O619)&gt;0,N341+1,0),0)</f>
        <v>0</v>
      </c>
      <c r="P341" s="186">
        <f>IF(P$2&lt;=AnalysisPeriod,IF(SUM($C619:P619)&gt;0,O341+1,0),0)</f>
        <v>0</v>
      </c>
      <c r="Q341" s="186">
        <f>IF(Q$2&lt;=AnalysisPeriod,IF(SUM($C619:Q619)&gt;0,P341+1,0),0)</f>
        <v>0</v>
      </c>
      <c r="R341" s="186">
        <f>IF(R$2&lt;=AnalysisPeriod,IF(SUM($C619:R619)&gt;0,Q341+1,0),0)</f>
        <v>0</v>
      </c>
      <c r="S341" s="186">
        <f>IF(S$2&lt;=AnalysisPeriod,IF(SUM($C619:S619)&gt;0,R341+1,0),0)</f>
        <v>0</v>
      </c>
      <c r="T341" s="186">
        <f>IF(T$2&lt;=AnalysisPeriod,IF(SUM($C619:T619)&gt;0,S341+1,0),0)</f>
        <v>0</v>
      </c>
      <c r="U341" s="186">
        <f>IF(U$2&lt;=AnalysisPeriod,IF(SUM($C619:U619)&gt;0,T341+1,0),0)</f>
        <v>0</v>
      </c>
      <c r="V341" s="186">
        <f>IF(V$2&lt;=AnalysisPeriod,IF(SUM($C619:V619)&gt;0,U341+1,0),0)</f>
        <v>0</v>
      </c>
      <c r="W341" s="186">
        <f>IF(W$2&lt;=AnalysisPeriod,IF(SUM($C619:W619)&gt;0,V341+1,0),0)</f>
        <v>0</v>
      </c>
      <c r="X341" s="186">
        <f>IF(X$2&lt;=AnalysisPeriod,IF(SUM($C619:X619)&gt;0,W341+1,0),0)</f>
        <v>0</v>
      </c>
      <c r="Y341" s="186">
        <f>IF(Y$2&lt;=AnalysisPeriod,IF(SUM($C619:Y619)&gt;0,X341+1,0),0)</f>
        <v>0</v>
      </c>
      <c r="Z341" s="186">
        <f>IF(Z$2&lt;=AnalysisPeriod,IF(SUM($C619:Z619)&gt;0,Y341+1,0),0)</f>
        <v>0</v>
      </c>
      <c r="AA341" s="186">
        <f>IF(AA$2&lt;=AnalysisPeriod,IF(SUM($C619:AA619)&gt;0,Z341+1,0),0)</f>
        <v>0</v>
      </c>
      <c r="AB341" s="186">
        <f>IF(AB$2&lt;=AnalysisPeriod,IF(SUM($C619:AB619)&gt;0,AA341+1,0),0)</f>
        <v>0</v>
      </c>
      <c r="AC341" s="186">
        <f>IF(AC$2&lt;=AnalysisPeriod,IF(SUM($C619:AC619)&gt;0,AB341+1,0),0)</f>
        <v>0</v>
      </c>
      <c r="AD341" s="186">
        <f>IF(AD$2&lt;=AnalysisPeriod,IF(SUM($C619:AD619)&gt;0,AC341+1,0),0)</f>
        <v>0</v>
      </c>
      <c r="AE341" s="186">
        <f>IF(AE$2&lt;=AnalysisPeriod,IF(SUM($C619:AE619)&gt;0,AD341+1,0),0)</f>
        <v>0</v>
      </c>
      <c r="AF341" s="186">
        <f>IF(AF$2&lt;=AnalysisPeriod,IF(SUM($C619:AF619)&gt;0,AE341+1,0),0)</f>
        <v>0</v>
      </c>
      <c r="AG341" s="186">
        <f>IF(AG$2&lt;=AnalysisPeriod,IF(SUM($C619:AG619)&gt;0,AF341+1,0),0)</f>
        <v>0</v>
      </c>
      <c r="AH341" s="186">
        <f>IF(AH$2&lt;=AnalysisPeriod,IF(SUM($C619:AH619)&gt;0,AG341+1,0),0)</f>
        <v>0</v>
      </c>
      <c r="AI341" s="186">
        <f>IF(AI$2&lt;=AnalysisPeriod,IF(SUM($C619:AI619)&gt;0,AH341+1,0),0)</f>
        <v>0</v>
      </c>
      <c r="AJ341" s="186">
        <f>IF(AJ$2&lt;=AnalysisPeriod,IF(SUM($C619:AJ619)&gt;0,AI341+1,0),0)</f>
        <v>0</v>
      </c>
      <c r="AK341" s="186">
        <f>IF(AK$2&lt;=AnalysisPeriod,IF(SUM($C619:AK619)&gt;0,AJ341+1,0),0)</f>
        <v>0</v>
      </c>
      <c r="AL341" s="186">
        <f>IF(AL$2&lt;=AnalysisPeriod,IF(SUM($C619:AL619)&gt;0,AK341+1,0),0)</f>
        <v>0</v>
      </c>
      <c r="AM341" s="186">
        <f>IF(AM$2&lt;=AnalysisPeriod,IF(SUM($C619:AM619)&gt;0,AL341+1,0),0)</f>
        <v>0</v>
      </c>
      <c r="AN341" s="186">
        <f>IF(AN$2&lt;=AnalysisPeriod,IF(SUM($C619:AN619)&gt;0,AM341+1,0),0)</f>
        <v>0</v>
      </c>
      <c r="AO341" s="186">
        <f>IF(AO$2&lt;=AnalysisPeriod,IF(SUM($C619:AO619)&gt;0,AN341+1,0),0)</f>
        <v>0</v>
      </c>
      <c r="AP341" s="186">
        <f>IF(AP$2&lt;=AnalysisPeriod,IF(SUM($C619:AP619)&gt;0,AO341+1,0),0)</f>
        <v>0</v>
      </c>
    </row>
    <row r="342" spans="1:42">
      <c r="A342" s="37">
        <f t="shared" si="165"/>
        <v>10</v>
      </c>
      <c r="C342" s="186">
        <f>IF(C$2&lt;=AnalysisPeriod,IF(SUM($C620:C620)&gt;0,B342+1,0),0)</f>
        <v>0</v>
      </c>
      <c r="D342" s="186">
        <f>IF(D$2&lt;=AnalysisPeriod,IF(SUM($C620:D620)&gt;0,C342+1,0),0)</f>
        <v>0</v>
      </c>
      <c r="E342" s="186">
        <f>IF(E$2&lt;=AnalysisPeriod,IF(SUM($C620:E620)&gt;0,D342+1,0),0)</f>
        <v>0</v>
      </c>
      <c r="F342" s="186">
        <f>IF(F$2&lt;=AnalysisPeriod,IF(SUM($C620:F620)&gt;0,E342+1,0),0)</f>
        <v>0</v>
      </c>
      <c r="G342" s="186">
        <f>IF(G$2&lt;=AnalysisPeriod,IF(SUM($C620:G620)&gt;0,F342+1,0),0)</f>
        <v>0</v>
      </c>
      <c r="H342" s="186">
        <f>IF(H$2&lt;=AnalysisPeriod,IF(SUM($C620:H620)&gt;0,G342+1,0),0)</f>
        <v>0</v>
      </c>
      <c r="I342" s="186">
        <f>IF(I$2&lt;=AnalysisPeriod,IF(SUM($C620:I620)&gt;0,H342+1,0),0)</f>
        <v>0</v>
      </c>
      <c r="J342" s="186">
        <f>IF(J$2&lt;=AnalysisPeriod,IF(SUM($C620:J620)&gt;0,I342+1,0),0)</f>
        <v>0</v>
      </c>
      <c r="K342" s="186">
        <f>IF(K$2&lt;=AnalysisPeriod,IF(SUM($C620:K620)&gt;0,J342+1,0),0)</f>
        <v>0</v>
      </c>
      <c r="L342" s="186">
        <f>IF(L$2&lt;=AnalysisPeriod,IF(SUM($C620:L620)&gt;0,K342+1,0),0)</f>
        <v>0</v>
      </c>
      <c r="M342" s="186">
        <f>IF(M$2&lt;=AnalysisPeriod,IF(SUM($C620:M620)&gt;0,L342+1,0),0)</f>
        <v>0</v>
      </c>
      <c r="N342" s="186">
        <f>IF(N$2&lt;=AnalysisPeriod,IF(SUM($C620:N620)&gt;0,M342+1,0),0)</f>
        <v>0</v>
      </c>
      <c r="O342" s="186">
        <f>IF(O$2&lt;=AnalysisPeriod,IF(SUM($C620:O620)&gt;0,N342+1,0),0)</f>
        <v>0</v>
      </c>
      <c r="P342" s="186">
        <f>IF(P$2&lt;=AnalysisPeriod,IF(SUM($C620:P620)&gt;0,O342+1,0),0)</f>
        <v>0</v>
      </c>
      <c r="Q342" s="186">
        <f>IF(Q$2&lt;=AnalysisPeriod,IF(SUM($C620:Q620)&gt;0,P342+1,0),0)</f>
        <v>0</v>
      </c>
      <c r="R342" s="186">
        <f>IF(R$2&lt;=AnalysisPeriod,IF(SUM($C620:R620)&gt;0,Q342+1,0),0)</f>
        <v>0</v>
      </c>
      <c r="S342" s="186">
        <f>IF(S$2&lt;=AnalysisPeriod,IF(SUM($C620:S620)&gt;0,R342+1,0),0)</f>
        <v>0</v>
      </c>
      <c r="T342" s="186">
        <f>IF(T$2&lt;=AnalysisPeriod,IF(SUM($C620:T620)&gt;0,S342+1,0),0)</f>
        <v>0</v>
      </c>
      <c r="U342" s="186">
        <f>IF(U$2&lt;=AnalysisPeriod,IF(SUM($C620:U620)&gt;0,T342+1,0),0)</f>
        <v>0</v>
      </c>
      <c r="V342" s="186">
        <f>IF(V$2&lt;=AnalysisPeriod,IF(SUM($C620:V620)&gt;0,U342+1,0),0)</f>
        <v>0</v>
      </c>
      <c r="W342" s="186">
        <f>IF(W$2&lt;=AnalysisPeriod,IF(SUM($C620:W620)&gt;0,V342+1,0),0)</f>
        <v>0</v>
      </c>
      <c r="X342" s="186">
        <f>IF(X$2&lt;=AnalysisPeriod,IF(SUM($C620:X620)&gt;0,W342+1,0),0)</f>
        <v>0</v>
      </c>
      <c r="Y342" s="186">
        <f>IF(Y$2&lt;=AnalysisPeriod,IF(SUM($C620:Y620)&gt;0,X342+1,0),0)</f>
        <v>0</v>
      </c>
      <c r="Z342" s="186">
        <f>IF(Z$2&lt;=AnalysisPeriod,IF(SUM($C620:Z620)&gt;0,Y342+1,0),0)</f>
        <v>0</v>
      </c>
      <c r="AA342" s="186">
        <f>IF(AA$2&lt;=AnalysisPeriod,IF(SUM($C620:AA620)&gt;0,Z342+1,0),0)</f>
        <v>0</v>
      </c>
      <c r="AB342" s="186">
        <f>IF(AB$2&lt;=AnalysisPeriod,IF(SUM($C620:AB620)&gt;0,AA342+1,0),0)</f>
        <v>0</v>
      </c>
      <c r="AC342" s="186">
        <f>IF(AC$2&lt;=AnalysisPeriod,IF(SUM($C620:AC620)&gt;0,AB342+1,0),0)</f>
        <v>0</v>
      </c>
      <c r="AD342" s="186">
        <f>IF(AD$2&lt;=AnalysisPeriod,IF(SUM($C620:AD620)&gt;0,AC342+1,0),0)</f>
        <v>0</v>
      </c>
      <c r="AE342" s="186">
        <f>IF(AE$2&lt;=AnalysisPeriod,IF(SUM($C620:AE620)&gt;0,AD342+1,0),0)</f>
        <v>0</v>
      </c>
      <c r="AF342" s="186">
        <f>IF(AF$2&lt;=AnalysisPeriod,IF(SUM($C620:AF620)&gt;0,AE342+1,0),0)</f>
        <v>0</v>
      </c>
      <c r="AG342" s="186">
        <f>IF(AG$2&lt;=AnalysisPeriod,IF(SUM($C620:AG620)&gt;0,AF342+1,0),0)</f>
        <v>0</v>
      </c>
      <c r="AH342" s="186">
        <f>IF(AH$2&lt;=AnalysisPeriod,IF(SUM($C620:AH620)&gt;0,AG342+1,0),0)</f>
        <v>0</v>
      </c>
      <c r="AI342" s="186">
        <f>IF(AI$2&lt;=AnalysisPeriod,IF(SUM($C620:AI620)&gt;0,AH342+1,0),0)</f>
        <v>0</v>
      </c>
      <c r="AJ342" s="186">
        <f>IF(AJ$2&lt;=AnalysisPeriod,IF(SUM($C620:AJ620)&gt;0,AI342+1,0),0)</f>
        <v>0</v>
      </c>
      <c r="AK342" s="186">
        <f>IF(AK$2&lt;=AnalysisPeriod,IF(SUM($C620:AK620)&gt;0,AJ342+1,0),0)</f>
        <v>0</v>
      </c>
      <c r="AL342" s="186">
        <f>IF(AL$2&lt;=AnalysisPeriod,IF(SUM($C620:AL620)&gt;0,AK342+1,0),0)</f>
        <v>0</v>
      </c>
      <c r="AM342" s="186">
        <f>IF(AM$2&lt;=AnalysisPeriod,IF(SUM($C620:AM620)&gt;0,AL342+1,0),0)</f>
        <v>0</v>
      </c>
      <c r="AN342" s="186">
        <f>IF(AN$2&lt;=AnalysisPeriod,IF(SUM($C620:AN620)&gt;0,AM342+1,0),0)</f>
        <v>0</v>
      </c>
      <c r="AO342" s="186">
        <f>IF(AO$2&lt;=AnalysisPeriod,IF(SUM($C620:AO620)&gt;0,AN342+1,0),0)</f>
        <v>0</v>
      </c>
      <c r="AP342" s="186">
        <f>IF(AP$2&lt;=AnalysisPeriod,IF(SUM($C620:AP620)&gt;0,AO342+1,0),0)</f>
        <v>0</v>
      </c>
    </row>
    <row r="343" spans="1:42">
      <c r="A343" s="204" t="s">
        <v>211</v>
      </c>
      <c r="C343" s="186"/>
      <c r="D343" s="186"/>
      <c r="E343" s="186"/>
      <c r="F343" s="186"/>
      <c r="G343" s="186"/>
      <c r="H343" s="186"/>
      <c r="I343" s="186"/>
      <c r="J343" s="186"/>
      <c r="K343" s="186"/>
      <c r="L343" s="186"/>
      <c r="M343" s="186"/>
      <c r="N343" s="186"/>
      <c r="O343" s="186"/>
      <c r="P343" s="186"/>
      <c r="Q343" s="186"/>
      <c r="R343" s="186"/>
      <c r="S343" s="186"/>
      <c r="T343" s="186"/>
      <c r="U343" s="186"/>
      <c r="V343" s="186"/>
      <c r="W343" s="186"/>
      <c r="X343" s="186"/>
      <c r="Y343" s="186"/>
      <c r="Z343" s="186"/>
      <c r="AA343" s="186"/>
      <c r="AB343" s="186"/>
      <c r="AC343" s="186"/>
      <c r="AD343" s="186"/>
      <c r="AE343" s="186"/>
      <c r="AF343" s="186"/>
      <c r="AG343" s="186"/>
      <c r="AH343" s="186"/>
      <c r="AI343" s="186"/>
      <c r="AJ343" s="186"/>
      <c r="AK343" s="186"/>
      <c r="AL343" s="186"/>
      <c r="AM343" s="186"/>
      <c r="AN343" s="186"/>
      <c r="AO343" s="186"/>
      <c r="AP343" s="186"/>
    </row>
    <row r="344" spans="1:42">
      <c r="A344" s="37">
        <v>1</v>
      </c>
      <c r="B344" s="196">
        <f t="shared" ref="B344:B353" si="166">SUM(C344:AP344)</f>
        <v>2944872.3435013141</v>
      </c>
      <c r="C344" s="186">
        <f t="shared" ref="C344:AP344" si="167">LOOKUP(C333,$B$328:$AP$328,$B$329:$AP$329)*$B611</f>
        <v>0</v>
      </c>
      <c r="D344" s="186">
        <f t="shared" si="167"/>
        <v>0</v>
      </c>
      <c r="E344" s="186">
        <f t="shared" si="167"/>
        <v>0</v>
      </c>
      <c r="F344" s="186">
        <f t="shared" si="167"/>
        <v>0</v>
      </c>
      <c r="G344" s="186">
        <f t="shared" si="167"/>
        <v>0</v>
      </c>
      <c r="H344" s="186">
        <f t="shared" si="167"/>
        <v>0</v>
      </c>
      <c r="I344" s="186">
        <f t="shared" si="167"/>
        <v>0</v>
      </c>
      <c r="J344" s="186">
        <f t="shared" si="167"/>
        <v>0</v>
      </c>
      <c r="K344" s="186">
        <f t="shared" si="167"/>
        <v>0</v>
      </c>
      <c r="L344" s="186">
        <f t="shared" si="167"/>
        <v>0</v>
      </c>
      <c r="M344" s="186">
        <f t="shared" si="167"/>
        <v>0</v>
      </c>
      <c r="N344" s="186">
        <f t="shared" si="167"/>
        <v>588974.46870026283</v>
      </c>
      <c r="O344" s="186">
        <f t="shared" si="167"/>
        <v>942359.14992042049</v>
      </c>
      <c r="P344" s="186">
        <f t="shared" si="167"/>
        <v>565415.48995225236</v>
      </c>
      <c r="Q344" s="186">
        <f t="shared" si="167"/>
        <v>339249.29397135135</v>
      </c>
      <c r="R344" s="186">
        <f t="shared" si="167"/>
        <v>339249.29397135135</v>
      </c>
      <c r="S344" s="186">
        <f t="shared" si="167"/>
        <v>169624.64698567567</v>
      </c>
      <c r="T344" s="186">
        <f t="shared" si="167"/>
        <v>0</v>
      </c>
      <c r="U344" s="186">
        <f t="shared" si="167"/>
        <v>0</v>
      </c>
      <c r="V344" s="186">
        <f t="shared" si="167"/>
        <v>0</v>
      </c>
      <c r="W344" s="186">
        <f t="shared" si="167"/>
        <v>0</v>
      </c>
      <c r="X344" s="186">
        <f t="shared" si="167"/>
        <v>0</v>
      </c>
      <c r="Y344" s="186">
        <f t="shared" si="167"/>
        <v>0</v>
      </c>
      <c r="Z344" s="186">
        <f t="shared" si="167"/>
        <v>0</v>
      </c>
      <c r="AA344" s="186">
        <f t="shared" si="167"/>
        <v>0</v>
      </c>
      <c r="AB344" s="186">
        <f t="shared" si="167"/>
        <v>0</v>
      </c>
      <c r="AC344" s="186">
        <f t="shared" si="167"/>
        <v>0</v>
      </c>
      <c r="AD344" s="186">
        <f t="shared" si="167"/>
        <v>0</v>
      </c>
      <c r="AE344" s="186">
        <f t="shared" si="167"/>
        <v>0</v>
      </c>
      <c r="AF344" s="186">
        <f t="shared" si="167"/>
        <v>0</v>
      </c>
      <c r="AG344" s="186">
        <f t="shared" si="167"/>
        <v>0</v>
      </c>
      <c r="AH344" s="186">
        <f t="shared" si="167"/>
        <v>0</v>
      </c>
      <c r="AI344" s="186">
        <f t="shared" si="167"/>
        <v>0</v>
      </c>
      <c r="AJ344" s="186">
        <f t="shared" si="167"/>
        <v>0</v>
      </c>
      <c r="AK344" s="186">
        <f t="shared" si="167"/>
        <v>0</v>
      </c>
      <c r="AL344" s="186">
        <f t="shared" si="167"/>
        <v>0</v>
      </c>
      <c r="AM344" s="186">
        <f t="shared" si="167"/>
        <v>0</v>
      </c>
      <c r="AN344" s="186">
        <f t="shared" si="167"/>
        <v>0</v>
      </c>
      <c r="AO344" s="186">
        <f t="shared" si="167"/>
        <v>0</v>
      </c>
      <c r="AP344" s="186">
        <f t="shared" si="167"/>
        <v>0</v>
      </c>
    </row>
    <row r="345" spans="1:42">
      <c r="A345" s="37">
        <f>A344+1</f>
        <v>2</v>
      </c>
      <c r="B345" s="196">
        <f t="shared" si="166"/>
        <v>3520942.886524681</v>
      </c>
      <c r="C345" s="186">
        <f t="shared" ref="C345:AP345" si="168">LOOKUP(C334,$B$328:$AP$328,$B$329:$AP$329)*$B612</f>
        <v>0</v>
      </c>
      <c r="D345" s="186">
        <f t="shared" si="168"/>
        <v>0</v>
      </c>
      <c r="E345" s="186">
        <f t="shared" si="168"/>
        <v>0</v>
      </c>
      <c r="F345" s="186">
        <f t="shared" si="168"/>
        <v>0</v>
      </c>
      <c r="G345" s="186">
        <f t="shared" si="168"/>
        <v>0</v>
      </c>
      <c r="H345" s="186">
        <f t="shared" si="168"/>
        <v>0</v>
      </c>
      <c r="I345" s="186">
        <f t="shared" si="168"/>
        <v>0</v>
      </c>
      <c r="J345" s="186">
        <f t="shared" si="168"/>
        <v>0</v>
      </c>
      <c r="K345" s="186">
        <f t="shared" si="168"/>
        <v>0</v>
      </c>
      <c r="L345" s="186">
        <f t="shared" si="168"/>
        <v>0</v>
      </c>
      <c r="M345" s="186">
        <f t="shared" si="168"/>
        <v>0</v>
      </c>
      <c r="N345" s="186">
        <f t="shared" si="168"/>
        <v>0</v>
      </c>
      <c r="O345" s="186">
        <f t="shared" si="168"/>
        <v>0</v>
      </c>
      <c r="P345" s="186">
        <f t="shared" si="168"/>
        <v>0</v>
      </c>
      <c r="Q345" s="186">
        <f t="shared" si="168"/>
        <v>0</v>
      </c>
      <c r="R345" s="186">
        <f t="shared" si="168"/>
        <v>0</v>
      </c>
      <c r="S345" s="186">
        <f t="shared" si="168"/>
        <v>0</v>
      </c>
      <c r="T345" s="186">
        <f t="shared" si="168"/>
        <v>0</v>
      </c>
      <c r="U345" s="186">
        <f t="shared" si="168"/>
        <v>0</v>
      </c>
      <c r="V345" s="186">
        <f t="shared" si="168"/>
        <v>0</v>
      </c>
      <c r="W345" s="186">
        <f t="shared" si="168"/>
        <v>0</v>
      </c>
      <c r="X345" s="186">
        <f t="shared" si="168"/>
        <v>0</v>
      </c>
      <c r="Y345" s="186">
        <f t="shared" si="168"/>
        <v>0</v>
      </c>
      <c r="Z345" s="186">
        <f t="shared" si="168"/>
        <v>704188.57730493625</v>
      </c>
      <c r="AA345" s="186">
        <f t="shared" si="168"/>
        <v>1126701.7236878979</v>
      </c>
      <c r="AB345" s="186">
        <f t="shared" si="168"/>
        <v>676021.03421273874</v>
      </c>
      <c r="AC345" s="186">
        <f t="shared" si="168"/>
        <v>405612.62052764324</v>
      </c>
      <c r="AD345" s="186">
        <f t="shared" si="168"/>
        <v>405612.62052764324</v>
      </c>
      <c r="AE345" s="186">
        <f t="shared" si="168"/>
        <v>202806.31026382162</v>
      </c>
      <c r="AF345" s="186">
        <f t="shared" si="168"/>
        <v>0</v>
      </c>
      <c r="AG345" s="186">
        <f t="shared" si="168"/>
        <v>0</v>
      </c>
      <c r="AH345" s="186">
        <f t="shared" si="168"/>
        <v>0</v>
      </c>
      <c r="AI345" s="186">
        <f t="shared" si="168"/>
        <v>0</v>
      </c>
      <c r="AJ345" s="186">
        <f t="shared" si="168"/>
        <v>0</v>
      </c>
      <c r="AK345" s="186">
        <f t="shared" si="168"/>
        <v>0</v>
      </c>
      <c r="AL345" s="186">
        <f t="shared" si="168"/>
        <v>0</v>
      </c>
      <c r="AM345" s="186">
        <f t="shared" si="168"/>
        <v>0</v>
      </c>
      <c r="AN345" s="186">
        <f t="shared" si="168"/>
        <v>0</v>
      </c>
      <c r="AO345" s="186">
        <f t="shared" si="168"/>
        <v>0</v>
      </c>
      <c r="AP345" s="186">
        <f t="shared" si="168"/>
        <v>0</v>
      </c>
    </row>
    <row r="346" spans="1:42">
      <c r="A346" s="37">
        <f t="shared" ref="A346:A353" si="169">A345+1</f>
        <v>3</v>
      </c>
      <c r="B346" s="196">
        <f t="shared" si="166"/>
        <v>0</v>
      </c>
      <c r="C346" s="186">
        <f t="shared" ref="C346:AP346" si="170">LOOKUP(C335,$B$328:$AP$328,$B$329:$AP$329)*$B613</f>
        <v>0</v>
      </c>
      <c r="D346" s="186">
        <f t="shared" si="170"/>
        <v>0</v>
      </c>
      <c r="E346" s="186">
        <f t="shared" si="170"/>
        <v>0</v>
      </c>
      <c r="F346" s="186">
        <f t="shared" si="170"/>
        <v>0</v>
      </c>
      <c r="G346" s="186">
        <f t="shared" si="170"/>
        <v>0</v>
      </c>
      <c r="H346" s="186">
        <f t="shared" si="170"/>
        <v>0</v>
      </c>
      <c r="I346" s="186">
        <f t="shared" si="170"/>
        <v>0</v>
      </c>
      <c r="J346" s="186">
        <f t="shared" si="170"/>
        <v>0</v>
      </c>
      <c r="K346" s="186">
        <f t="shared" si="170"/>
        <v>0</v>
      </c>
      <c r="L346" s="186">
        <f t="shared" si="170"/>
        <v>0</v>
      </c>
      <c r="M346" s="186">
        <f t="shared" si="170"/>
        <v>0</v>
      </c>
      <c r="N346" s="186">
        <f t="shared" si="170"/>
        <v>0</v>
      </c>
      <c r="O346" s="186">
        <f t="shared" si="170"/>
        <v>0</v>
      </c>
      <c r="P346" s="186">
        <f t="shared" si="170"/>
        <v>0</v>
      </c>
      <c r="Q346" s="186">
        <f t="shared" si="170"/>
        <v>0</v>
      </c>
      <c r="R346" s="186">
        <f t="shared" si="170"/>
        <v>0</v>
      </c>
      <c r="S346" s="186">
        <f t="shared" si="170"/>
        <v>0</v>
      </c>
      <c r="T346" s="186">
        <f t="shared" si="170"/>
        <v>0</v>
      </c>
      <c r="U346" s="186">
        <f t="shared" si="170"/>
        <v>0</v>
      </c>
      <c r="V346" s="186">
        <f t="shared" si="170"/>
        <v>0</v>
      </c>
      <c r="W346" s="186">
        <f t="shared" si="170"/>
        <v>0</v>
      </c>
      <c r="X346" s="186">
        <f t="shared" si="170"/>
        <v>0</v>
      </c>
      <c r="Y346" s="186">
        <f t="shared" si="170"/>
        <v>0</v>
      </c>
      <c r="Z346" s="186">
        <f t="shared" si="170"/>
        <v>0</v>
      </c>
      <c r="AA346" s="186">
        <f t="shared" si="170"/>
        <v>0</v>
      </c>
      <c r="AB346" s="186">
        <f t="shared" si="170"/>
        <v>0</v>
      </c>
      <c r="AC346" s="186">
        <f t="shared" si="170"/>
        <v>0</v>
      </c>
      <c r="AD346" s="186">
        <f t="shared" si="170"/>
        <v>0</v>
      </c>
      <c r="AE346" s="186">
        <f t="shared" si="170"/>
        <v>0</v>
      </c>
      <c r="AF346" s="186">
        <f t="shared" si="170"/>
        <v>0</v>
      </c>
      <c r="AG346" s="186">
        <f t="shared" si="170"/>
        <v>0</v>
      </c>
      <c r="AH346" s="186">
        <f t="shared" si="170"/>
        <v>0</v>
      </c>
      <c r="AI346" s="186">
        <f t="shared" si="170"/>
        <v>0</v>
      </c>
      <c r="AJ346" s="186">
        <f t="shared" si="170"/>
        <v>0</v>
      </c>
      <c r="AK346" s="186">
        <f t="shared" si="170"/>
        <v>0</v>
      </c>
      <c r="AL346" s="186">
        <f t="shared" si="170"/>
        <v>0</v>
      </c>
      <c r="AM346" s="186">
        <f t="shared" si="170"/>
        <v>0</v>
      </c>
      <c r="AN346" s="186">
        <f t="shared" si="170"/>
        <v>0</v>
      </c>
      <c r="AO346" s="186">
        <f t="shared" si="170"/>
        <v>0</v>
      </c>
      <c r="AP346" s="186">
        <f t="shared" si="170"/>
        <v>0</v>
      </c>
    </row>
    <row r="347" spans="1:42">
      <c r="A347" s="37">
        <f t="shared" si="169"/>
        <v>4</v>
      </c>
      <c r="B347" s="196">
        <f t="shared" si="166"/>
        <v>0</v>
      </c>
      <c r="C347" s="186">
        <f t="shared" ref="C347:AP347" si="171">LOOKUP(C336,$B$328:$AP$328,$B$329:$AP$329)*$B614</f>
        <v>0</v>
      </c>
      <c r="D347" s="186">
        <f t="shared" si="171"/>
        <v>0</v>
      </c>
      <c r="E347" s="186">
        <f t="shared" si="171"/>
        <v>0</v>
      </c>
      <c r="F347" s="186">
        <f t="shared" si="171"/>
        <v>0</v>
      </c>
      <c r="G347" s="186">
        <f t="shared" si="171"/>
        <v>0</v>
      </c>
      <c r="H347" s="186">
        <f t="shared" si="171"/>
        <v>0</v>
      </c>
      <c r="I347" s="186">
        <f t="shared" si="171"/>
        <v>0</v>
      </c>
      <c r="J347" s="186">
        <f t="shared" si="171"/>
        <v>0</v>
      </c>
      <c r="K347" s="186">
        <f t="shared" si="171"/>
        <v>0</v>
      </c>
      <c r="L347" s="186">
        <f t="shared" si="171"/>
        <v>0</v>
      </c>
      <c r="M347" s="186">
        <f t="shared" si="171"/>
        <v>0</v>
      </c>
      <c r="N347" s="186">
        <f t="shared" si="171"/>
        <v>0</v>
      </c>
      <c r="O347" s="186">
        <f t="shared" si="171"/>
        <v>0</v>
      </c>
      <c r="P347" s="186">
        <f t="shared" si="171"/>
        <v>0</v>
      </c>
      <c r="Q347" s="186">
        <f t="shared" si="171"/>
        <v>0</v>
      </c>
      <c r="R347" s="186">
        <f t="shared" si="171"/>
        <v>0</v>
      </c>
      <c r="S347" s="186">
        <f t="shared" si="171"/>
        <v>0</v>
      </c>
      <c r="T347" s="186">
        <f t="shared" si="171"/>
        <v>0</v>
      </c>
      <c r="U347" s="186">
        <f t="shared" si="171"/>
        <v>0</v>
      </c>
      <c r="V347" s="186">
        <f t="shared" si="171"/>
        <v>0</v>
      </c>
      <c r="W347" s="186">
        <f t="shared" si="171"/>
        <v>0</v>
      </c>
      <c r="X347" s="186">
        <f t="shared" si="171"/>
        <v>0</v>
      </c>
      <c r="Y347" s="186">
        <f t="shared" si="171"/>
        <v>0</v>
      </c>
      <c r="Z347" s="186">
        <f t="shared" si="171"/>
        <v>0</v>
      </c>
      <c r="AA347" s="186">
        <f t="shared" si="171"/>
        <v>0</v>
      </c>
      <c r="AB347" s="186">
        <f t="shared" si="171"/>
        <v>0</v>
      </c>
      <c r="AC347" s="186">
        <f t="shared" si="171"/>
        <v>0</v>
      </c>
      <c r="AD347" s="186">
        <f t="shared" si="171"/>
        <v>0</v>
      </c>
      <c r="AE347" s="186">
        <f t="shared" si="171"/>
        <v>0</v>
      </c>
      <c r="AF347" s="186">
        <f t="shared" si="171"/>
        <v>0</v>
      </c>
      <c r="AG347" s="186">
        <f t="shared" si="171"/>
        <v>0</v>
      </c>
      <c r="AH347" s="186">
        <f t="shared" si="171"/>
        <v>0</v>
      </c>
      <c r="AI347" s="186">
        <f t="shared" si="171"/>
        <v>0</v>
      </c>
      <c r="AJ347" s="186">
        <f t="shared" si="171"/>
        <v>0</v>
      </c>
      <c r="AK347" s="186">
        <f t="shared" si="171"/>
        <v>0</v>
      </c>
      <c r="AL347" s="186">
        <f t="shared" si="171"/>
        <v>0</v>
      </c>
      <c r="AM347" s="186">
        <f t="shared" si="171"/>
        <v>0</v>
      </c>
      <c r="AN347" s="186">
        <f t="shared" si="171"/>
        <v>0</v>
      </c>
      <c r="AO347" s="186">
        <f t="shared" si="171"/>
        <v>0</v>
      </c>
      <c r="AP347" s="186">
        <f t="shared" si="171"/>
        <v>0</v>
      </c>
    </row>
    <row r="348" spans="1:42">
      <c r="A348" s="37">
        <f t="shared" si="169"/>
        <v>5</v>
      </c>
      <c r="B348" s="196">
        <f t="shared" si="166"/>
        <v>0</v>
      </c>
      <c r="C348" s="186">
        <f t="shared" ref="C348:AP348" si="172">LOOKUP(C337,$B$328:$AP$328,$B$329:$AP$329)*$B615</f>
        <v>0</v>
      </c>
      <c r="D348" s="186">
        <f t="shared" si="172"/>
        <v>0</v>
      </c>
      <c r="E348" s="186">
        <f t="shared" si="172"/>
        <v>0</v>
      </c>
      <c r="F348" s="186">
        <f t="shared" si="172"/>
        <v>0</v>
      </c>
      <c r="G348" s="186">
        <f t="shared" si="172"/>
        <v>0</v>
      </c>
      <c r="H348" s="186">
        <f t="shared" si="172"/>
        <v>0</v>
      </c>
      <c r="I348" s="186">
        <f t="shared" si="172"/>
        <v>0</v>
      </c>
      <c r="J348" s="186">
        <f t="shared" si="172"/>
        <v>0</v>
      </c>
      <c r="K348" s="186">
        <f t="shared" si="172"/>
        <v>0</v>
      </c>
      <c r="L348" s="186">
        <f t="shared" si="172"/>
        <v>0</v>
      </c>
      <c r="M348" s="186">
        <f t="shared" si="172"/>
        <v>0</v>
      </c>
      <c r="N348" s="186">
        <f t="shared" si="172"/>
        <v>0</v>
      </c>
      <c r="O348" s="186">
        <f t="shared" si="172"/>
        <v>0</v>
      </c>
      <c r="P348" s="186">
        <f t="shared" si="172"/>
        <v>0</v>
      </c>
      <c r="Q348" s="186">
        <f t="shared" si="172"/>
        <v>0</v>
      </c>
      <c r="R348" s="186">
        <f t="shared" si="172"/>
        <v>0</v>
      </c>
      <c r="S348" s="186">
        <f t="shared" si="172"/>
        <v>0</v>
      </c>
      <c r="T348" s="186">
        <f t="shared" si="172"/>
        <v>0</v>
      </c>
      <c r="U348" s="186">
        <f t="shared" si="172"/>
        <v>0</v>
      </c>
      <c r="V348" s="186">
        <f t="shared" si="172"/>
        <v>0</v>
      </c>
      <c r="W348" s="186">
        <f t="shared" si="172"/>
        <v>0</v>
      </c>
      <c r="X348" s="186">
        <f t="shared" si="172"/>
        <v>0</v>
      </c>
      <c r="Y348" s="186">
        <f t="shared" si="172"/>
        <v>0</v>
      </c>
      <c r="Z348" s="186">
        <f t="shared" si="172"/>
        <v>0</v>
      </c>
      <c r="AA348" s="186">
        <f t="shared" si="172"/>
        <v>0</v>
      </c>
      <c r="AB348" s="186">
        <f t="shared" si="172"/>
        <v>0</v>
      </c>
      <c r="AC348" s="186">
        <f t="shared" si="172"/>
        <v>0</v>
      </c>
      <c r="AD348" s="186">
        <f t="shared" si="172"/>
        <v>0</v>
      </c>
      <c r="AE348" s="186">
        <f t="shared" si="172"/>
        <v>0</v>
      </c>
      <c r="AF348" s="186">
        <f t="shared" si="172"/>
        <v>0</v>
      </c>
      <c r="AG348" s="186">
        <f t="shared" si="172"/>
        <v>0</v>
      </c>
      <c r="AH348" s="186">
        <f t="shared" si="172"/>
        <v>0</v>
      </c>
      <c r="AI348" s="186">
        <f t="shared" si="172"/>
        <v>0</v>
      </c>
      <c r="AJ348" s="186">
        <f t="shared" si="172"/>
        <v>0</v>
      </c>
      <c r="AK348" s="186">
        <f t="shared" si="172"/>
        <v>0</v>
      </c>
      <c r="AL348" s="186">
        <f t="shared" si="172"/>
        <v>0</v>
      </c>
      <c r="AM348" s="186">
        <f t="shared" si="172"/>
        <v>0</v>
      </c>
      <c r="AN348" s="186">
        <f t="shared" si="172"/>
        <v>0</v>
      </c>
      <c r="AO348" s="186">
        <f t="shared" si="172"/>
        <v>0</v>
      </c>
      <c r="AP348" s="186">
        <f t="shared" si="172"/>
        <v>0</v>
      </c>
    </row>
    <row r="349" spans="1:42">
      <c r="A349" s="118">
        <f t="shared" si="169"/>
        <v>6</v>
      </c>
      <c r="B349" s="196">
        <f t="shared" si="166"/>
        <v>0</v>
      </c>
      <c r="C349" s="186">
        <f t="shared" ref="C349:AP349" si="173">LOOKUP(C338,$B$328:$AP$328,$B$329:$AP$329)*$B616</f>
        <v>0</v>
      </c>
      <c r="D349" s="186">
        <f t="shared" si="173"/>
        <v>0</v>
      </c>
      <c r="E349" s="186">
        <f t="shared" si="173"/>
        <v>0</v>
      </c>
      <c r="F349" s="186">
        <f t="shared" si="173"/>
        <v>0</v>
      </c>
      <c r="G349" s="186">
        <f t="shared" si="173"/>
        <v>0</v>
      </c>
      <c r="H349" s="186">
        <f t="shared" si="173"/>
        <v>0</v>
      </c>
      <c r="I349" s="186">
        <f t="shared" si="173"/>
        <v>0</v>
      </c>
      <c r="J349" s="186">
        <f t="shared" si="173"/>
        <v>0</v>
      </c>
      <c r="K349" s="186">
        <f t="shared" si="173"/>
        <v>0</v>
      </c>
      <c r="L349" s="186">
        <f t="shared" si="173"/>
        <v>0</v>
      </c>
      <c r="M349" s="186">
        <f t="shared" si="173"/>
        <v>0</v>
      </c>
      <c r="N349" s="186">
        <f t="shared" si="173"/>
        <v>0</v>
      </c>
      <c r="O349" s="186">
        <f t="shared" si="173"/>
        <v>0</v>
      </c>
      <c r="P349" s="186">
        <f t="shared" si="173"/>
        <v>0</v>
      </c>
      <c r="Q349" s="186">
        <f t="shared" si="173"/>
        <v>0</v>
      </c>
      <c r="R349" s="186">
        <f t="shared" si="173"/>
        <v>0</v>
      </c>
      <c r="S349" s="186">
        <f t="shared" si="173"/>
        <v>0</v>
      </c>
      <c r="T349" s="186">
        <f t="shared" si="173"/>
        <v>0</v>
      </c>
      <c r="U349" s="186">
        <f t="shared" si="173"/>
        <v>0</v>
      </c>
      <c r="V349" s="186">
        <f t="shared" si="173"/>
        <v>0</v>
      </c>
      <c r="W349" s="186">
        <f t="shared" si="173"/>
        <v>0</v>
      </c>
      <c r="X349" s="186">
        <f t="shared" si="173"/>
        <v>0</v>
      </c>
      <c r="Y349" s="186">
        <f t="shared" si="173"/>
        <v>0</v>
      </c>
      <c r="Z349" s="186">
        <f t="shared" si="173"/>
        <v>0</v>
      </c>
      <c r="AA349" s="186">
        <f t="shared" si="173"/>
        <v>0</v>
      </c>
      <c r="AB349" s="186">
        <f t="shared" si="173"/>
        <v>0</v>
      </c>
      <c r="AC349" s="186">
        <f t="shared" si="173"/>
        <v>0</v>
      </c>
      <c r="AD349" s="186">
        <f t="shared" si="173"/>
        <v>0</v>
      </c>
      <c r="AE349" s="186">
        <f t="shared" si="173"/>
        <v>0</v>
      </c>
      <c r="AF349" s="186">
        <f t="shared" si="173"/>
        <v>0</v>
      </c>
      <c r="AG349" s="186">
        <f t="shared" si="173"/>
        <v>0</v>
      </c>
      <c r="AH349" s="186">
        <f t="shared" si="173"/>
        <v>0</v>
      </c>
      <c r="AI349" s="186">
        <f t="shared" si="173"/>
        <v>0</v>
      </c>
      <c r="AJ349" s="186">
        <f t="shared" si="173"/>
        <v>0</v>
      </c>
      <c r="AK349" s="186">
        <f t="shared" si="173"/>
        <v>0</v>
      </c>
      <c r="AL349" s="186">
        <f t="shared" si="173"/>
        <v>0</v>
      </c>
      <c r="AM349" s="186">
        <f t="shared" si="173"/>
        <v>0</v>
      </c>
      <c r="AN349" s="186">
        <f t="shared" si="173"/>
        <v>0</v>
      </c>
      <c r="AO349" s="186">
        <f t="shared" si="173"/>
        <v>0</v>
      </c>
      <c r="AP349" s="186">
        <f t="shared" si="173"/>
        <v>0</v>
      </c>
    </row>
    <row r="350" spans="1:42">
      <c r="A350" s="118">
        <f t="shared" si="169"/>
        <v>7</v>
      </c>
      <c r="B350" s="196">
        <f t="shared" si="166"/>
        <v>0</v>
      </c>
      <c r="C350" s="186">
        <f t="shared" ref="C350:AP350" si="174">LOOKUP(C339,$B$328:$AP$328,$B$329:$AP$329)*$B617</f>
        <v>0</v>
      </c>
      <c r="D350" s="186">
        <f t="shared" si="174"/>
        <v>0</v>
      </c>
      <c r="E350" s="186">
        <f t="shared" si="174"/>
        <v>0</v>
      </c>
      <c r="F350" s="186">
        <f t="shared" si="174"/>
        <v>0</v>
      </c>
      <c r="G350" s="186">
        <f t="shared" si="174"/>
        <v>0</v>
      </c>
      <c r="H350" s="186">
        <f t="shared" si="174"/>
        <v>0</v>
      </c>
      <c r="I350" s="186">
        <f t="shared" si="174"/>
        <v>0</v>
      </c>
      <c r="J350" s="186">
        <f t="shared" si="174"/>
        <v>0</v>
      </c>
      <c r="K350" s="186">
        <f t="shared" si="174"/>
        <v>0</v>
      </c>
      <c r="L350" s="186">
        <f t="shared" si="174"/>
        <v>0</v>
      </c>
      <c r="M350" s="186">
        <f t="shared" si="174"/>
        <v>0</v>
      </c>
      <c r="N350" s="186">
        <f t="shared" si="174"/>
        <v>0</v>
      </c>
      <c r="O350" s="186">
        <f t="shared" si="174"/>
        <v>0</v>
      </c>
      <c r="P350" s="186">
        <f t="shared" si="174"/>
        <v>0</v>
      </c>
      <c r="Q350" s="186">
        <f t="shared" si="174"/>
        <v>0</v>
      </c>
      <c r="R350" s="186">
        <f t="shared" si="174"/>
        <v>0</v>
      </c>
      <c r="S350" s="186">
        <f t="shared" si="174"/>
        <v>0</v>
      </c>
      <c r="T350" s="186">
        <f t="shared" si="174"/>
        <v>0</v>
      </c>
      <c r="U350" s="186">
        <f t="shared" si="174"/>
        <v>0</v>
      </c>
      <c r="V350" s="186">
        <f t="shared" si="174"/>
        <v>0</v>
      </c>
      <c r="W350" s="186">
        <f t="shared" si="174"/>
        <v>0</v>
      </c>
      <c r="X350" s="186">
        <f t="shared" si="174"/>
        <v>0</v>
      </c>
      <c r="Y350" s="186">
        <f t="shared" si="174"/>
        <v>0</v>
      </c>
      <c r="Z350" s="186">
        <f t="shared" si="174"/>
        <v>0</v>
      </c>
      <c r="AA350" s="186">
        <f t="shared" si="174"/>
        <v>0</v>
      </c>
      <c r="AB350" s="186">
        <f t="shared" si="174"/>
        <v>0</v>
      </c>
      <c r="AC350" s="186">
        <f t="shared" si="174"/>
        <v>0</v>
      </c>
      <c r="AD350" s="186">
        <f t="shared" si="174"/>
        <v>0</v>
      </c>
      <c r="AE350" s="186">
        <f t="shared" si="174"/>
        <v>0</v>
      </c>
      <c r="AF350" s="186">
        <f t="shared" si="174"/>
        <v>0</v>
      </c>
      <c r="AG350" s="186">
        <f t="shared" si="174"/>
        <v>0</v>
      </c>
      <c r="AH350" s="186">
        <f t="shared" si="174"/>
        <v>0</v>
      </c>
      <c r="AI350" s="186">
        <f t="shared" si="174"/>
        <v>0</v>
      </c>
      <c r="AJ350" s="186">
        <f t="shared" si="174"/>
        <v>0</v>
      </c>
      <c r="AK350" s="186">
        <f t="shared" si="174"/>
        <v>0</v>
      </c>
      <c r="AL350" s="186">
        <f t="shared" si="174"/>
        <v>0</v>
      </c>
      <c r="AM350" s="186">
        <f t="shared" si="174"/>
        <v>0</v>
      </c>
      <c r="AN350" s="186">
        <f t="shared" si="174"/>
        <v>0</v>
      </c>
      <c r="AO350" s="186">
        <f t="shared" si="174"/>
        <v>0</v>
      </c>
      <c r="AP350" s="186">
        <f t="shared" si="174"/>
        <v>0</v>
      </c>
    </row>
    <row r="351" spans="1:42">
      <c r="A351" s="118">
        <f t="shared" si="169"/>
        <v>8</v>
      </c>
      <c r="B351" s="196">
        <f t="shared" si="166"/>
        <v>0</v>
      </c>
      <c r="C351" s="186">
        <f t="shared" ref="C351:AP351" si="175">LOOKUP(C340,$B$328:$AP$328,$B$329:$AP$329)*$B618</f>
        <v>0</v>
      </c>
      <c r="D351" s="186">
        <f t="shared" si="175"/>
        <v>0</v>
      </c>
      <c r="E351" s="186">
        <f t="shared" si="175"/>
        <v>0</v>
      </c>
      <c r="F351" s="186">
        <f t="shared" si="175"/>
        <v>0</v>
      </c>
      <c r="G351" s="186">
        <f t="shared" si="175"/>
        <v>0</v>
      </c>
      <c r="H351" s="186">
        <f t="shared" si="175"/>
        <v>0</v>
      </c>
      <c r="I351" s="186">
        <f t="shared" si="175"/>
        <v>0</v>
      </c>
      <c r="J351" s="186">
        <f t="shared" si="175"/>
        <v>0</v>
      </c>
      <c r="K351" s="186">
        <f t="shared" si="175"/>
        <v>0</v>
      </c>
      <c r="L351" s="186">
        <f t="shared" si="175"/>
        <v>0</v>
      </c>
      <c r="M351" s="186">
        <f t="shared" si="175"/>
        <v>0</v>
      </c>
      <c r="N351" s="186">
        <f t="shared" si="175"/>
        <v>0</v>
      </c>
      <c r="O351" s="186">
        <f t="shared" si="175"/>
        <v>0</v>
      </c>
      <c r="P351" s="186">
        <f t="shared" si="175"/>
        <v>0</v>
      </c>
      <c r="Q351" s="186">
        <f t="shared" si="175"/>
        <v>0</v>
      </c>
      <c r="R351" s="186">
        <f t="shared" si="175"/>
        <v>0</v>
      </c>
      <c r="S351" s="186">
        <f t="shared" si="175"/>
        <v>0</v>
      </c>
      <c r="T351" s="186">
        <f t="shared" si="175"/>
        <v>0</v>
      </c>
      <c r="U351" s="186">
        <f t="shared" si="175"/>
        <v>0</v>
      </c>
      <c r="V351" s="186">
        <f t="shared" si="175"/>
        <v>0</v>
      </c>
      <c r="W351" s="186">
        <f t="shared" si="175"/>
        <v>0</v>
      </c>
      <c r="X351" s="186">
        <f t="shared" si="175"/>
        <v>0</v>
      </c>
      <c r="Y351" s="186">
        <f t="shared" si="175"/>
        <v>0</v>
      </c>
      <c r="Z351" s="186">
        <f t="shared" si="175"/>
        <v>0</v>
      </c>
      <c r="AA351" s="186">
        <f t="shared" si="175"/>
        <v>0</v>
      </c>
      <c r="AB351" s="186">
        <f t="shared" si="175"/>
        <v>0</v>
      </c>
      <c r="AC351" s="186">
        <f t="shared" si="175"/>
        <v>0</v>
      </c>
      <c r="AD351" s="186">
        <f t="shared" si="175"/>
        <v>0</v>
      </c>
      <c r="AE351" s="186">
        <f t="shared" si="175"/>
        <v>0</v>
      </c>
      <c r="AF351" s="186">
        <f t="shared" si="175"/>
        <v>0</v>
      </c>
      <c r="AG351" s="186">
        <f t="shared" si="175"/>
        <v>0</v>
      </c>
      <c r="AH351" s="186">
        <f t="shared" si="175"/>
        <v>0</v>
      </c>
      <c r="AI351" s="186">
        <f t="shared" si="175"/>
        <v>0</v>
      </c>
      <c r="AJ351" s="186">
        <f t="shared" si="175"/>
        <v>0</v>
      </c>
      <c r="AK351" s="186">
        <f t="shared" si="175"/>
        <v>0</v>
      </c>
      <c r="AL351" s="186">
        <f t="shared" si="175"/>
        <v>0</v>
      </c>
      <c r="AM351" s="186">
        <f t="shared" si="175"/>
        <v>0</v>
      </c>
      <c r="AN351" s="186">
        <f t="shared" si="175"/>
        <v>0</v>
      </c>
      <c r="AO351" s="186">
        <f t="shared" si="175"/>
        <v>0</v>
      </c>
      <c r="AP351" s="186">
        <f t="shared" si="175"/>
        <v>0</v>
      </c>
    </row>
    <row r="352" spans="1:42">
      <c r="A352" s="118">
        <f>A351+1</f>
        <v>9</v>
      </c>
      <c r="B352" s="196">
        <f t="shared" si="166"/>
        <v>0</v>
      </c>
      <c r="C352" s="186">
        <f t="shared" ref="C352:AP352" si="176">LOOKUP(C341,$B$328:$AP$328,$B$329:$AP$329)*$B619</f>
        <v>0</v>
      </c>
      <c r="D352" s="186">
        <f t="shared" si="176"/>
        <v>0</v>
      </c>
      <c r="E352" s="186">
        <f t="shared" si="176"/>
        <v>0</v>
      </c>
      <c r="F352" s="186">
        <f t="shared" si="176"/>
        <v>0</v>
      </c>
      <c r="G352" s="186">
        <f t="shared" si="176"/>
        <v>0</v>
      </c>
      <c r="H352" s="186">
        <f t="shared" si="176"/>
        <v>0</v>
      </c>
      <c r="I352" s="186">
        <f t="shared" si="176"/>
        <v>0</v>
      </c>
      <c r="J352" s="186">
        <f t="shared" si="176"/>
        <v>0</v>
      </c>
      <c r="K352" s="186">
        <f t="shared" si="176"/>
        <v>0</v>
      </c>
      <c r="L352" s="186">
        <f t="shared" si="176"/>
        <v>0</v>
      </c>
      <c r="M352" s="186">
        <f t="shared" si="176"/>
        <v>0</v>
      </c>
      <c r="N352" s="186">
        <f t="shared" si="176"/>
        <v>0</v>
      </c>
      <c r="O352" s="186">
        <f t="shared" si="176"/>
        <v>0</v>
      </c>
      <c r="P352" s="186">
        <f t="shared" si="176"/>
        <v>0</v>
      </c>
      <c r="Q352" s="186">
        <f t="shared" si="176"/>
        <v>0</v>
      </c>
      <c r="R352" s="186">
        <f t="shared" si="176"/>
        <v>0</v>
      </c>
      <c r="S352" s="186">
        <f t="shared" si="176"/>
        <v>0</v>
      </c>
      <c r="T352" s="186">
        <f t="shared" si="176"/>
        <v>0</v>
      </c>
      <c r="U352" s="186">
        <f t="shared" si="176"/>
        <v>0</v>
      </c>
      <c r="V352" s="186">
        <f t="shared" si="176"/>
        <v>0</v>
      </c>
      <c r="W352" s="186">
        <f t="shared" si="176"/>
        <v>0</v>
      </c>
      <c r="X352" s="186">
        <f t="shared" si="176"/>
        <v>0</v>
      </c>
      <c r="Y352" s="186">
        <f t="shared" si="176"/>
        <v>0</v>
      </c>
      <c r="Z352" s="186">
        <f t="shared" si="176"/>
        <v>0</v>
      </c>
      <c r="AA352" s="186">
        <f t="shared" si="176"/>
        <v>0</v>
      </c>
      <c r="AB352" s="186">
        <f t="shared" si="176"/>
        <v>0</v>
      </c>
      <c r="AC352" s="186">
        <f t="shared" si="176"/>
        <v>0</v>
      </c>
      <c r="AD352" s="186">
        <f t="shared" si="176"/>
        <v>0</v>
      </c>
      <c r="AE352" s="186">
        <f t="shared" si="176"/>
        <v>0</v>
      </c>
      <c r="AF352" s="186">
        <f t="shared" si="176"/>
        <v>0</v>
      </c>
      <c r="AG352" s="186">
        <f t="shared" si="176"/>
        <v>0</v>
      </c>
      <c r="AH352" s="186">
        <f t="shared" si="176"/>
        <v>0</v>
      </c>
      <c r="AI352" s="186">
        <f t="shared" si="176"/>
        <v>0</v>
      </c>
      <c r="AJ352" s="186">
        <f t="shared" si="176"/>
        <v>0</v>
      </c>
      <c r="AK352" s="186">
        <f t="shared" si="176"/>
        <v>0</v>
      </c>
      <c r="AL352" s="186">
        <f t="shared" si="176"/>
        <v>0</v>
      </c>
      <c r="AM352" s="186">
        <f t="shared" si="176"/>
        <v>0</v>
      </c>
      <c r="AN352" s="186">
        <f t="shared" si="176"/>
        <v>0</v>
      </c>
      <c r="AO352" s="186">
        <f t="shared" si="176"/>
        <v>0</v>
      </c>
      <c r="AP352" s="186">
        <f t="shared" si="176"/>
        <v>0</v>
      </c>
    </row>
    <row r="353" spans="1:42">
      <c r="A353" s="118">
        <f t="shared" si="169"/>
        <v>10</v>
      </c>
      <c r="B353" s="196">
        <f t="shared" si="166"/>
        <v>0</v>
      </c>
      <c r="C353" s="221">
        <f t="shared" ref="C353:AP353" si="177">LOOKUP(C342,$B$328:$AP$328,$B$329:$AP$329)*$B620</f>
        <v>0</v>
      </c>
      <c r="D353" s="187">
        <f t="shared" si="177"/>
        <v>0</v>
      </c>
      <c r="E353" s="187">
        <f t="shared" si="177"/>
        <v>0</v>
      </c>
      <c r="F353" s="187">
        <f t="shared" si="177"/>
        <v>0</v>
      </c>
      <c r="G353" s="187">
        <f t="shared" si="177"/>
        <v>0</v>
      </c>
      <c r="H353" s="187">
        <f t="shared" si="177"/>
        <v>0</v>
      </c>
      <c r="I353" s="187">
        <f t="shared" si="177"/>
        <v>0</v>
      </c>
      <c r="J353" s="187">
        <f t="shared" si="177"/>
        <v>0</v>
      </c>
      <c r="K353" s="187">
        <f t="shared" si="177"/>
        <v>0</v>
      </c>
      <c r="L353" s="187">
        <f t="shared" si="177"/>
        <v>0</v>
      </c>
      <c r="M353" s="187">
        <f t="shared" si="177"/>
        <v>0</v>
      </c>
      <c r="N353" s="187">
        <f t="shared" si="177"/>
        <v>0</v>
      </c>
      <c r="O353" s="187">
        <f t="shared" si="177"/>
        <v>0</v>
      </c>
      <c r="P353" s="187">
        <f t="shared" si="177"/>
        <v>0</v>
      </c>
      <c r="Q353" s="187">
        <f t="shared" si="177"/>
        <v>0</v>
      </c>
      <c r="R353" s="187">
        <f t="shared" si="177"/>
        <v>0</v>
      </c>
      <c r="S353" s="187">
        <f t="shared" si="177"/>
        <v>0</v>
      </c>
      <c r="T353" s="187">
        <f t="shared" si="177"/>
        <v>0</v>
      </c>
      <c r="U353" s="187">
        <f t="shared" si="177"/>
        <v>0</v>
      </c>
      <c r="V353" s="187">
        <f t="shared" si="177"/>
        <v>0</v>
      </c>
      <c r="W353" s="187">
        <f t="shared" si="177"/>
        <v>0</v>
      </c>
      <c r="X353" s="187">
        <f t="shared" si="177"/>
        <v>0</v>
      </c>
      <c r="Y353" s="187">
        <f t="shared" si="177"/>
        <v>0</v>
      </c>
      <c r="Z353" s="187">
        <f t="shared" si="177"/>
        <v>0</v>
      </c>
      <c r="AA353" s="187">
        <f t="shared" si="177"/>
        <v>0</v>
      </c>
      <c r="AB353" s="187">
        <f t="shared" si="177"/>
        <v>0</v>
      </c>
      <c r="AC353" s="187">
        <f t="shared" si="177"/>
        <v>0</v>
      </c>
      <c r="AD353" s="187">
        <f t="shared" si="177"/>
        <v>0</v>
      </c>
      <c r="AE353" s="187">
        <f t="shared" si="177"/>
        <v>0</v>
      </c>
      <c r="AF353" s="187">
        <f t="shared" si="177"/>
        <v>0</v>
      </c>
      <c r="AG353" s="187">
        <f t="shared" si="177"/>
        <v>0</v>
      </c>
      <c r="AH353" s="187">
        <f t="shared" si="177"/>
        <v>0</v>
      </c>
      <c r="AI353" s="187">
        <f t="shared" si="177"/>
        <v>0</v>
      </c>
      <c r="AJ353" s="187">
        <f t="shared" si="177"/>
        <v>0</v>
      </c>
      <c r="AK353" s="187">
        <f t="shared" si="177"/>
        <v>0</v>
      </c>
      <c r="AL353" s="187">
        <f t="shared" si="177"/>
        <v>0</v>
      </c>
      <c r="AM353" s="187">
        <f t="shared" si="177"/>
        <v>0</v>
      </c>
      <c r="AN353" s="187">
        <f t="shared" si="177"/>
        <v>0</v>
      </c>
      <c r="AO353" s="187">
        <f t="shared" si="177"/>
        <v>0</v>
      </c>
      <c r="AP353" s="187">
        <f t="shared" si="177"/>
        <v>0</v>
      </c>
    </row>
    <row r="354" spans="1:42" s="118" customFormat="1" ht="12" customHeight="1">
      <c r="A354" s="222" t="s">
        <v>53</v>
      </c>
      <c r="B354" s="141"/>
      <c r="C354" s="141">
        <f>SUM(C344:C353)</f>
        <v>0</v>
      </c>
      <c r="D354" s="141">
        <f t="shared" ref="D354:AP354" si="178">SUM(D344:D353)</f>
        <v>0</v>
      </c>
      <c r="E354" s="141">
        <f t="shared" si="178"/>
        <v>0</v>
      </c>
      <c r="F354" s="141">
        <f t="shared" si="178"/>
        <v>0</v>
      </c>
      <c r="G354" s="141">
        <f t="shared" si="178"/>
        <v>0</v>
      </c>
      <c r="H354" s="141">
        <f t="shared" si="178"/>
        <v>0</v>
      </c>
      <c r="I354" s="141">
        <f t="shared" si="178"/>
        <v>0</v>
      </c>
      <c r="J354" s="141">
        <f t="shared" si="178"/>
        <v>0</v>
      </c>
      <c r="K354" s="141">
        <f t="shared" si="178"/>
        <v>0</v>
      </c>
      <c r="L354" s="141">
        <f t="shared" si="178"/>
        <v>0</v>
      </c>
      <c r="M354" s="141">
        <f t="shared" si="178"/>
        <v>0</v>
      </c>
      <c r="N354" s="141">
        <f t="shared" si="178"/>
        <v>588974.46870026283</v>
      </c>
      <c r="O354" s="141">
        <f t="shared" si="178"/>
        <v>942359.14992042049</v>
      </c>
      <c r="P354" s="141">
        <f t="shared" si="178"/>
        <v>565415.48995225236</v>
      </c>
      <c r="Q354" s="141">
        <f t="shared" si="178"/>
        <v>339249.29397135135</v>
      </c>
      <c r="R354" s="141">
        <f t="shared" si="178"/>
        <v>339249.29397135135</v>
      </c>
      <c r="S354" s="141">
        <f t="shared" si="178"/>
        <v>169624.64698567567</v>
      </c>
      <c r="T354" s="141">
        <f t="shared" si="178"/>
        <v>0</v>
      </c>
      <c r="U354" s="141">
        <f t="shared" si="178"/>
        <v>0</v>
      </c>
      <c r="V354" s="141">
        <f t="shared" si="178"/>
        <v>0</v>
      </c>
      <c r="W354" s="141">
        <f t="shared" si="178"/>
        <v>0</v>
      </c>
      <c r="X354" s="141">
        <f t="shared" si="178"/>
        <v>0</v>
      </c>
      <c r="Y354" s="141">
        <f t="shared" si="178"/>
        <v>0</v>
      </c>
      <c r="Z354" s="141">
        <f t="shared" si="178"/>
        <v>704188.57730493625</v>
      </c>
      <c r="AA354" s="141">
        <f t="shared" si="178"/>
        <v>1126701.7236878979</v>
      </c>
      <c r="AB354" s="141">
        <f t="shared" si="178"/>
        <v>676021.03421273874</v>
      </c>
      <c r="AC354" s="141">
        <f t="shared" si="178"/>
        <v>405612.62052764324</v>
      </c>
      <c r="AD354" s="141">
        <f t="shared" si="178"/>
        <v>405612.62052764324</v>
      </c>
      <c r="AE354" s="141">
        <f t="shared" si="178"/>
        <v>202806.31026382162</v>
      </c>
      <c r="AF354" s="141">
        <f t="shared" si="178"/>
        <v>0</v>
      </c>
      <c r="AG354" s="141">
        <f t="shared" si="178"/>
        <v>0</v>
      </c>
      <c r="AH354" s="141">
        <f t="shared" si="178"/>
        <v>0</v>
      </c>
      <c r="AI354" s="141">
        <f t="shared" si="178"/>
        <v>0</v>
      </c>
      <c r="AJ354" s="141">
        <f t="shared" si="178"/>
        <v>0</v>
      </c>
      <c r="AK354" s="141">
        <f t="shared" si="178"/>
        <v>0</v>
      </c>
      <c r="AL354" s="141">
        <f t="shared" si="178"/>
        <v>0</v>
      </c>
      <c r="AM354" s="141">
        <f t="shared" si="178"/>
        <v>0</v>
      </c>
      <c r="AN354" s="141">
        <f t="shared" si="178"/>
        <v>0</v>
      </c>
      <c r="AO354" s="141">
        <f t="shared" si="178"/>
        <v>0</v>
      </c>
      <c r="AP354" s="141">
        <f t="shared" si="178"/>
        <v>0</v>
      </c>
    </row>
    <row r="355" spans="1:42">
      <c r="A355" s="204"/>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row>
    <row r="356" spans="1:42">
      <c r="A356" s="197" t="s">
        <v>369</v>
      </c>
      <c r="C356" s="186"/>
      <c r="D356" s="186"/>
      <c r="E356" s="186"/>
      <c r="F356" s="186"/>
      <c r="G356" s="186"/>
      <c r="H356" s="186"/>
      <c r="I356" s="186"/>
      <c r="J356" s="186"/>
      <c r="K356" s="186"/>
      <c r="L356" s="186"/>
      <c r="M356" s="186"/>
      <c r="N356" s="186"/>
      <c r="O356" s="186"/>
      <c r="P356" s="186"/>
      <c r="Q356" s="186"/>
      <c r="R356" s="186"/>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row>
    <row r="357" spans="1:42">
      <c r="A357" s="204" t="s">
        <v>207</v>
      </c>
      <c r="C357" s="186"/>
      <c r="D357" s="186"/>
      <c r="E357" s="186"/>
      <c r="F357" s="186"/>
      <c r="G357" s="186"/>
      <c r="H357" s="186"/>
      <c r="I357" s="186"/>
      <c r="J357" s="186"/>
      <c r="K357" s="186"/>
      <c r="L357" s="186"/>
      <c r="M357" s="186"/>
      <c r="N357" s="186"/>
      <c r="O357" s="186"/>
      <c r="P357" s="186"/>
      <c r="Q357" s="186"/>
      <c r="R357" s="186"/>
      <c r="S357" s="186"/>
      <c r="T357" s="186"/>
      <c r="U357" s="186"/>
      <c r="V357" s="186"/>
      <c r="W357" s="186"/>
      <c r="X357" s="186"/>
      <c r="Y357" s="186"/>
      <c r="Z357" s="186"/>
      <c r="AA357" s="186"/>
      <c r="AB357" s="186"/>
      <c r="AC357" s="186"/>
      <c r="AD357" s="186"/>
      <c r="AE357" s="186"/>
      <c r="AF357" s="186"/>
      <c r="AG357" s="186"/>
      <c r="AH357" s="186"/>
      <c r="AI357" s="186"/>
      <c r="AJ357" s="186"/>
      <c r="AK357" s="186"/>
      <c r="AL357" s="186"/>
      <c r="AM357" s="186"/>
      <c r="AN357" s="186"/>
      <c r="AO357" s="186"/>
      <c r="AP357" s="186"/>
    </row>
    <row r="358" spans="1:42">
      <c r="A358" s="118">
        <v>1</v>
      </c>
      <c r="C358" s="186">
        <f>IF(C$2&lt;=AnalysisPeriod,IF(SUM($C643:C643)&gt;0,B358+1,0),0)</f>
        <v>0</v>
      </c>
      <c r="D358" s="186">
        <f>IF(D$2&lt;=AnalysisPeriod,IF(SUM($C643:D643)&gt;0,C358+1,0),0)</f>
        <v>0</v>
      </c>
      <c r="E358" s="186">
        <f>IF(E$2&lt;=AnalysisPeriod,IF(SUM($C643:E643)&gt;0,D358+1,0),0)</f>
        <v>0</v>
      </c>
      <c r="F358" s="186">
        <f>IF(F$2&lt;=AnalysisPeriod,IF(SUM($C643:F643)&gt;0,E358+1,0),0)</f>
        <v>0</v>
      </c>
      <c r="G358" s="186">
        <f>IF(G$2&lt;=AnalysisPeriod,IF(SUM($C643:G643)&gt;0,F358+1,0),0)</f>
        <v>0</v>
      </c>
      <c r="H358" s="186">
        <f>IF(H$2&lt;=AnalysisPeriod,IF(SUM($C643:H643)&gt;0,G358+1,0),0)</f>
        <v>0</v>
      </c>
      <c r="I358" s="186">
        <f>IF(I$2&lt;=AnalysisPeriod,IF(SUM($C643:I643)&gt;0,H358+1,0),0)</f>
        <v>0</v>
      </c>
      <c r="J358" s="186">
        <f>IF(J$2&lt;=AnalysisPeriod,IF(SUM($C643:J643)&gt;0,I358+1,0),0)</f>
        <v>0</v>
      </c>
      <c r="K358" s="186">
        <f>IF(K$2&lt;=AnalysisPeriod,IF(SUM($C643:K643)&gt;0,J358+1,0),0)</f>
        <v>0</v>
      </c>
      <c r="L358" s="186">
        <f>IF(L$2&lt;=AnalysisPeriod,IF(SUM($C643:L643)&gt;0,K358+1,0),0)</f>
        <v>0</v>
      </c>
      <c r="M358" s="186">
        <f>IF(M$2&lt;=AnalysisPeriod,IF(SUM($C643:M643)&gt;0,L358+1,0),0)</f>
        <v>0</v>
      </c>
      <c r="N358" s="186">
        <f>IF(N$2&lt;=AnalysisPeriod,IF(SUM($C643:N643)&gt;0,M358+1,0),0)</f>
        <v>0</v>
      </c>
      <c r="O358" s="186">
        <f>IF(O$2&lt;=AnalysisPeriod,IF(SUM($C643:O643)&gt;0,N358+1,0),0)</f>
        <v>0</v>
      </c>
      <c r="P358" s="186">
        <f>IF(P$2&lt;=AnalysisPeriod,IF(SUM($C643:P643)&gt;0,O358+1,0),0)</f>
        <v>0</v>
      </c>
      <c r="Q358" s="186">
        <f>IF(Q$2&lt;=AnalysisPeriod,IF(SUM($C643:Q643)&gt;0,P358+1,0),0)</f>
        <v>1</v>
      </c>
      <c r="R358" s="186">
        <f>IF(R$2&lt;=AnalysisPeriod,IF(SUM($C643:R643)&gt;0,Q358+1,0),0)</f>
        <v>2</v>
      </c>
      <c r="S358" s="186">
        <f>IF(S$2&lt;=AnalysisPeriod,IF(SUM($C643:S643)&gt;0,R358+1,0),0)</f>
        <v>3</v>
      </c>
      <c r="T358" s="186">
        <f>IF(T$2&lt;=AnalysisPeriod,IF(SUM($C643:T643)&gt;0,S358+1,0),0)</f>
        <v>4</v>
      </c>
      <c r="U358" s="186">
        <f>IF(U$2&lt;=AnalysisPeriod,IF(SUM($C643:U643)&gt;0,T358+1,0),0)</f>
        <v>5</v>
      </c>
      <c r="V358" s="186">
        <f>IF(V$2&lt;=AnalysisPeriod,IF(SUM($C643:V643)&gt;0,U358+1,0),0)</f>
        <v>6</v>
      </c>
      <c r="W358" s="186">
        <f>IF(W$2&lt;=AnalysisPeriod,IF(SUM($C643:W643)&gt;0,V358+1,0),0)</f>
        <v>7</v>
      </c>
      <c r="X358" s="186">
        <f>IF(X$2&lt;=AnalysisPeriod,IF(SUM($C643:X643)&gt;0,W358+1,0),0)</f>
        <v>8</v>
      </c>
      <c r="Y358" s="186">
        <f>IF(Y$2&lt;=AnalysisPeriod,IF(SUM($C643:Y643)&gt;0,X358+1,0),0)</f>
        <v>9</v>
      </c>
      <c r="Z358" s="186">
        <f>IF(Z$2&lt;=AnalysisPeriod,IF(SUM($C643:Z643)&gt;0,Y358+1,0),0)</f>
        <v>10</v>
      </c>
      <c r="AA358" s="186">
        <f>IF(AA$2&lt;=AnalysisPeriod,IF(SUM($C643:AA643)&gt;0,Z358+1,0),0)</f>
        <v>11</v>
      </c>
      <c r="AB358" s="186">
        <f>IF(AB$2&lt;=AnalysisPeriod,IF(SUM($C643:AB643)&gt;0,AA358+1,0),0)</f>
        <v>12</v>
      </c>
      <c r="AC358" s="186">
        <f>IF(AC$2&lt;=AnalysisPeriod,IF(SUM($C643:AC643)&gt;0,AB358+1,0),0)</f>
        <v>13</v>
      </c>
      <c r="AD358" s="186">
        <f>IF(AD$2&lt;=AnalysisPeriod,IF(SUM($C643:AD643)&gt;0,AC358+1,0),0)</f>
        <v>14</v>
      </c>
      <c r="AE358" s="186">
        <f>IF(AE$2&lt;=AnalysisPeriod,IF(SUM($C643:AE643)&gt;0,AD358+1,0),0)</f>
        <v>15</v>
      </c>
      <c r="AF358" s="186">
        <f>IF(AF$2&lt;=AnalysisPeriod,IF(SUM($C643:AF643)&gt;0,AE358+1,0),0)</f>
        <v>16</v>
      </c>
      <c r="AG358" s="186">
        <f>IF(AG$2&lt;=AnalysisPeriod,IF(SUM($C643:AG643)&gt;0,AF358+1,0),0)</f>
        <v>0</v>
      </c>
      <c r="AH358" s="186">
        <f>IF(AH$2&lt;=AnalysisPeriod,IF(SUM($C643:AH643)&gt;0,AG358+1,0),0)</f>
        <v>0</v>
      </c>
      <c r="AI358" s="186">
        <f>IF(AI$2&lt;=AnalysisPeriod,IF(SUM($C643:AI643)&gt;0,AH358+1,0),0)</f>
        <v>0</v>
      </c>
      <c r="AJ358" s="186">
        <f>IF(AJ$2&lt;=AnalysisPeriod,IF(SUM($C643:AJ643)&gt;0,AI358+1,0),0)</f>
        <v>0</v>
      </c>
      <c r="AK358" s="186">
        <f>IF(AK$2&lt;=AnalysisPeriod,IF(SUM($C643:AK643)&gt;0,AJ358+1,0),0)</f>
        <v>0</v>
      </c>
      <c r="AL358" s="186">
        <f>IF(AL$2&lt;=AnalysisPeriod,IF(SUM($C643:AL643)&gt;0,AK358+1,0),0)</f>
        <v>0</v>
      </c>
      <c r="AM358" s="186">
        <f>IF(AM$2&lt;=AnalysisPeriod,IF(SUM($C643:AM643)&gt;0,AL358+1,0),0)</f>
        <v>0</v>
      </c>
      <c r="AN358" s="186">
        <f>IF(AN$2&lt;=AnalysisPeriod,IF(SUM($C643:AN643)&gt;0,AM358+1,0),0)</f>
        <v>0</v>
      </c>
      <c r="AO358" s="186">
        <f>IF(AO$2&lt;=AnalysisPeriod,IF(SUM($C643:AO643)&gt;0,AN358+1,0),0)</f>
        <v>0</v>
      </c>
      <c r="AP358" s="186">
        <f>IF(AP$2&lt;=AnalysisPeriod,IF(SUM($C643:AP643)&gt;0,AO358+1,0),0)</f>
        <v>0</v>
      </c>
    </row>
    <row r="359" spans="1:42">
      <c r="A359" s="118">
        <f>A358+1</f>
        <v>2</v>
      </c>
      <c r="C359" s="186">
        <f>IF(C$2&lt;=AnalysisPeriod,IF(SUM($C644:C644)&gt;0,B359+1,0),0)</f>
        <v>0</v>
      </c>
      <c r="D359" s="186">
        <f>IF(D$2&lt;=AnalysisPeriod,IF(SUM($C644:D644)&gt;0,C359+1,0),0)</f>
        <v>0</v>
      </c>
      <c r="E359" s="186">
        <f>IF(E$2&lt;=AnalysisPeriod,IF(SUM($C644:E644)&gt;0,D359+1,0),0)</f>
        <v>0</v>
      </c>
      <c r="F359" s="186">
        <f>IF(F$2&lt;=AnalysisPeriod,IF(SUM($C644:F644)&gt;0,E359+1,0),0)</f>
        <v>0</v>
      </c>
      <c r="G359" s="186">
        <f>IF(G$2&lt;=AnalysisPeriod,IF(SUM($C644:G644)&gt;0,F359+1,0),0)</f>
        <v>0</v>
      </c>
      <c r="H359" s="186">
        <f>IF(H$2&lt;=AnalysisPeriod,IF(SUM($C644:H644)&gt;0,G359+1,0),0)</f>
        <v>0</v>
      </c>
      <c r="I359" s="186">
        <f>IF(I$2&lt;=AnalysisPeriod,IF(SUM($C644:I644)&gt;0,H359+1,0),0)</f>
        <v>0</v>
      </c>
      <c r="J359" s="186">
        <f>IF(J$2&lt;=AnalysisPeriod,IF(SUM($C644:J644)&gt;0,I359+1,0),0)</f>
        <v>0</v>
      </c>
      <c r="K359" s="186">
        <f>IF(K$2&lt;=AnalysisPeriod,IF(SUM($C644:K644)&gt;0,J359+1,0),0)</f>
        <v>0</v>
      </c>
      <c r="L359" s="186">
        <f>IF(L$2&lt;=AnalysisPeriod,IF(SUM($C644:L644)&gt;0,K359+1,0),0)</f>
        <v>0</v>
      </c>
      <c r="M359" s="186">
        <f>IF(M$2&lt;=AnalysisPeriod,IF(SUM($C644:M644)&gt;0,L359+1,0),0)</f>
        <v>0</v>
      </c>
      <c r="N359" s="186">
        <f>IF(N$2&lt;=AnalysisPeriod,IF(SUM($C644:N644)&gt;0,M359+1,0),0)</f>
        <v>0</v>
      </c>
      <c r="O359" s="186">
        <f>IF(O$2&lt;=AnalysisPeriod,IF(SUM($C644:O644)&gt;0,N359+1,0),0)</f>
        <v>0</v>
      </c>
      <c r="P359" s="186">
        <f>IF(P$2&lt;=AnalysisPeriod,IF(SUM($C644:P644)&gt;0,O359+1,0),0)</f>
        <v>0</v>
      </c>
      <c r="Q359" s="186">
        <f>IF(Q$2&lt;=AnalysisPeriod,IF(SUM($C644:Q644)&gt;0,P359+1,0),0)</f>
        <v>0</v>
      </c>
      <c r="R359" s="186">
        <f>IF(R$2&lt;=AnalysisPeriod,IF(SUM($C644:R644)&gt;0,Q359+1,0),0)</f>
        <v>0</v>
      </c>
      <c r="S359" s="186">
        <f>IF(S$2&lt;=AnalysisPeriod,IF(SUM($C644:S644)&gt;0,R359+1,0),0)</f>
        <v>0</v>
      </c>
      <c r="T359" s="186">
        <f>IF(T$2&lt;=AnalysisPeriod,IF(SUM($C644:T644)&gt;0,S359+1,0),0)</f>
        <v>0</v>
      </c>
      <c r="U359" s="186">
        <f>IF(U$2&lt;=AnalysisPeriod,IF(SUM($C644:U644)&gt;0,T359+1,0),0)</f>
        <v>0</v>
      </c>
      <c r="V359" s="186">
        <f>IF(V$2&lt;=AnalysisPeriod,IF(SUM($C644:V644)&gt;0,U359+1,0),0)</f>
        <v>0</v>
      </c>
      <c r="W359" s="186">
        <f>IF(W$2&lt;=AnalysisPeriod,IF(SUM($C644:W644)&gt;0,V359+1,0),0)</f>
        <v>0</v>
      </c>
      <c r="X359" s="186">
        <f>IF(X$2&lt;=AnalysisPeriod,IF(SUM($C644:X644)&gt;0,W359+1,0),0)</f>
        <v>0</v>
      </c>
      <c r="Y359" s="186">
        <f>IF(Y$2&lt;=AnalysisPeriod,IF(SUM($C644:Y644)&gt;0,X359+1,0),0)</f>
        <v>0</v>
      </c>
      <c r="Z359" s="186">
        <f>IF(Z$2&lt;=AnalysisPeriod,IF(SUM($C644:Z644)&gt;0,Y359+1,0),0)</f>
        <v>0</v>
      </c>
      <c r="AA359" s="186">
        <f>IF(AA$2&lt;=AnalysisPeriod,IF(SUM($C644:AA644)&gt;0,Z359+1,0),0)</f>
        <v>0</v>
      </c>
      <c r="AB359" s="186">
        <f>IF(AB$2&lt;=AnalysisPeriod,IF(SUM($C644:AB644)&gt;0,AA359+1,0),0)</f>
        <v>0</v>
      </c>
      <c r="AC359" s="186">
        <f>IF(AC$2&lt;=AnalysisPeriod,IF(SUM($C644:AC644)&gt;0,AB359+1,0),0)</f>
        <v>0</v>
      </c>
      <c r="AD359" s="186">
        <f>IF(AD$2&lt;=AnalysisPeriod,IF(SUM($C644:AD644)&gt;0,AC359+1,0),0)</f>
        <v>0</v>
      </c>
      <c r="AE359" s="186">
        <f>IF(AE$2&lt;=AnalysisPeriod,IF(SUM($C644:AE644)&gt;0,AD359+1,0),0)</f>
        <v>0</v>
      </c>
      <c r="AF359" s="186">
        <f>IF(AF$2&lt;=AnalysisPeriod,IF(SUM($C644:AF644)&gt;0,AE359+1,0),0)</f>
        <v>1</v>
      </c>
      <c r="AG359" s="186">
        <f>IF(AG$2&lt;=AnalysisPeriod,IF(SUM($C644:AG644)&gt;0,AF359+1,0),0)</f>
        <v>0</v>
      </c>
      <c r="AH359" s="186">
        <f>IF(AH$2&lt;=AnalysisPeriod,IF(SUM($C644:AH644)&gt;0,AG359+1,0),0)</f>
        <v>0</v>
      </c>
      <c r="AI359" s="186">
        <f>IF(AI$2&lt;=AnalysisPeriod,IF(SUM($C644:AI644)&gt;0,AH359+1,0),0)</f>
        <v>0</v>
      </c>
      <c r="AJ359" s="186">
        <f>IF(AJ$2&lt;=AnalysisPeriod,IF(SUM($C644:AJ644)&gt;0,AI359+1,0),0)</f>
        <v>0</v>
      </c>
      <c r="AK359" s="186">
        <f>IF(AK$2&lt;=AnalysisPeriod,IF(SUM($C644:AK644)&gt;0,AJ359+1,0),0)</f>
        <v>0</v>
      </c>
      <c r="AL359" s="186">
        <f>IF(AL$2&lt;=AnalysisPeriod,IF(SUM($C644:AL644)&gt;0,AK359+1,0),0)</f>
        <v>0</v>
      </c>
      <c r="AM359" s="186">
        <f>IF(AM$2&lt;=AnalysisPeriod,IF(SUM($C644:AM644)&gt;0,AL359+1,0),0)</f>
        <v>0</v>
      </c>
      <c r="AN359" s="186">
        <f>IF(AN$2&lt;=AnalysisPeriod,IF(SUM($C644:AN644)&gt;0,AM359+1,0),0)</f>
        <v>0</v>
      </c>
      <c r="AO359" s="186">
        <f>IF(AO$2&lt;=AnalysisPeriod,IF(SUM($C644:AO644)&gt;0,AN359+1,0),0)</f>
        <v>0</v>
      </c>
      <c r="AP359" s="186">
        <f>IF(AP$2&lt;=AnalysisPeriod,IF(SUM($C644:AP644)&gt;0,AO359+1,0),0)</f>
        <v>0</v>
      </c>
    </row>
    <row r="360" spans="1:42">
      <c r="A360" s="118">
        <f t="shared" ref="A360:A367" si="179">A359+1</f>
        <v>3</v>
      </c>
      <c r="C360" s="186">
        <f>IF(C$2&lt;=AnalysisPeriod,IF(SUM($C645:C645)&gt;0,B360+1,0),0)</f>
        <v>0</v>
      </c>
      <c r="D360" s="186">
        <f>IF(D$2&lt;=AnalysisPeriod,IF(SUM($C645:D645)&gt;0,C360+1,0),0)</f>
        <v>0</v>
      </c>
      <c r="E360" s="186">
        <f>IF(E$2&lt;=AnalysisPeriod,IF(SUM($C645:E645)&gt;0,D360+1,0),0)</f>
        <v>0</v>
      </c>
      <c r="F360" s="186">
        <f>IF(F$2&lt;=AnalysisPeriod,IF(SUM($C645:F645)&gt;0,E360+1,0),0)</f>
        <v>0</v>
      </c>
      <c r="G360" s="186">
        <f>IF(G$2&lt;=AnalysisPeriod,IF(SUM($C645:G645)&gt;0,F360+1,0),0)</f>
        <v>0</v>
      </c>
      <c r="H360" s="186">
        <f>IF(H$2&lt;=AnalysisPeriod,IF(SUM($C645:H645)&gt;0,G360+1,0),0)</f>
        <v>0</v>
      </c>
      <c r="I360" s="186">
        <f>IF(I$2&lt;=AnalysisPeriod,IF(SUM($C645:I645)&gt;0,H360+1,0),0)</f>
        <v>0</v>
      </c>
      <c r="J360" s="186">
        <f>IF(J$2&lt;=AnalysisPeriod,IF(SUM($C645:J645)&gt;0,I360+1,0),0)</f>
        <v>0</v>
      </c>
      <c r="K360" s="186">
        <f>IF(K$2&lt;=AnalysisPeriod,IF(SUM($C645:K645)&gt;0,J360+1,0),0)</f>
        <v>0</v>
      </c>
      <c r="L360" s="186">
        <f>IF(L$2&lt;=AnalysisPeriod,IF(SUM($C645:L645)&gt;0,K360+1,0),0)</f>
        <v>0</v>
      </c>
      <c r="M360" s="186">
        <f>IF(M$2&lt;=AnalysisPeriod,IF(SUM($C645:M645)&gt;0,L360+1,0),0)</f>
        <v>0</v>
      </c>
      <c r="N360" s="186">
        <f>IF(N$2&lt;=AnalysisPeriod,IF(SUM($C645:N645)&gt;0,M360+1,0),0)</f>
        <v>0</v>
      </c>
      <c r="O360" s="186">
        <f>IF(O$2&lt;=AnalysisPeriod,IF(SUM($C645:O645)&gt;0,N360+1,0),0)</f>
        <v>0</v>
      </c>
      <c r="P360" s="186">
        <f>IF(P$2&lt;=AnalysisPeriod,IF(SUM($C645:P645)&gt;0,O360+1,0),0)</f>
        <v>0</v>
      </c>
      <c r="Q360" s="186">
        <f>IF(Q$2&lt;=AnalysisPeriod,IF(SUM($C645:Q645)&gt;0,P360+1,0),0)</f>
        <v>0</v>
      </c>
      <c r="R360" s="186">
        <f>IF(R$2&lt;=AnalysisPeriod,IF(SUM($C645:R645)&gt;0,Q360+1,0),0)</f>
        <v>0</v>
      </c>
      <c r="S360" s="186">
        <f>IF(S$2&lt;=AnalysisPeriod,IF(SUM($C645:S645)&gt;0,R360+1,0),0)</f>
        <v>0</v>
      </c>
      <c r="T360" s="186">
        <f>IF(T$2&lt;=AnalysisPeriod,IF(SUM($C645:T645)&gt;0,S360+1,0),0)</f>
        <v>0</v>
      </c>
      <c r="U360" s="186">
        <f>IF(U$2&lt;=AnalysisPeriod,IF(SUM($C645:U645)&gt;0,T360+1,0),0)</f>
        <v>0</v>
      </c>
      <c r="V360" s="186">
        <f>IF(V$2&lt;=AnalysisPeriod,IF(SUM($C645:V645)&gt;0,U360+1,0),0)</f>
        <v>0</v>
      </c>
      <c r="W360" s="186">
        <f>IF(W$2&lt;=AnalysisPeriod,IF(SUM($C645:W645)&gt;0,V360+1,0),0)</f>
        <v>0</v>
      </c>
      <c r="X360" s="186">
        <f>IF(X$2&lt;=AnalysisPeriod,IF(SUM($C645:X645)&gt;0,W360+1,0),0)</f>
        <v>0</v>
      </c>
      <c r="Y360" s="186">
        <f>IF(Y$2&lt;=AnalysisPeriod,IF(SUM($C645:Y645)&gt;0,X360+1,0),0)</f>
        <v>0</v>
      </c>
      <c r="Z360" s="186">
        <f>IF(Z$2&lt;=AnalysisPeriod,IF(SUM($C645:Z645)&gt;0,Y360+1,0),0)</f>
        <v>0</v>
      </c>
      <c r="AA360" s="186">
        <f>IF(AA$2&lt;=AnalysisPeriod,IF(SUM($C645:AA645)&gt;0,Z360+1,0),0)</f>
        <v>0</v>
      </c>
      <c r="AB360" s="186">
        <f>IF(AB$2&lt;=AnalysisPeriod,IF(SUM($C645:AB645)&gt;0,AA360+1,0),0)</f>
        <v>0</v>
      </c>
      <c r="AC360" s="186">
        <f>IF(AC$2&lt;=AnalysisPeriod,IF(SUM($C645:AC645)&gt;0,AB360+1,0),0)</f>
        <v>0</v>
      </c>
      <c r="AD360" s="186">
        <f>IF(AD$2&lt;=AnalysisPeriod,IF(SUM($C645:AD645)&gt;0,AC360+1,0),0)</f>
        <v>0</v>
      </c>
      <c r="AE360" s="186">
        <f>IF(AE$2&lt;=AnalysisPeriod,IF(SUM($C645:AE645)&gt;0,AD360+1,0),0)</f>
        <v>0</v>
      </c>
      <c r="AF360" s="186">
        <f>IF(AF$2&lt;=AnalysisPeriod,IF(SUM($C645:AF645)&gt;0,AE360+1,0),0)</f>
        <v>0</v>
      </c>
      <c r="AG360" s="186">
        <f>IF(AG$2&lt;=AnalysisPeriod,IF(SUM($C645:AG645)&gt;0,AF360+1,0),0)</f>
        <v>0</v>
      </c>
      <c r="AH360" s="186">
        <f>IF(AH$2&lt;=AnalysisPeriod,IF(SUM($C645:AH645)&gt;0,AG360+1,0),0)</f>
        <v>0</v>
      </c>
      <c r="AI360" s="186">
        <f>IF(AI$2&lt;=AnalysisPeriod,IF(SUM($C645:AI645)&gt;0,AH360+1,0),0)</f>
        <v>0</v>
      </c>
      <c r="AJ360" s="186">
        <f>IF(AJ$2&lt;=AnalysisPeriod,IF(SUM($C645:AJ645)&gt;0,AI360+1,0),0)</f>
        <v>0</v>
      </c>
      <c r="AK360" s="186">
        <f>IF(AK$2&lt;=AnalysisPeriod,IF(SUM($C645:AK645)&gt;0,AJ360+1,0),0)</f>
        <v>0</v>
      </c>
      <c r="AL360" s="186">
        <f>IF(AL$2&lt;=AnalysisPeriod,IF(SUM($C645:AL645)&gt;0,AK360+1,0),0)</f>
        <v>0</v>
      </c>
      <c r="AM360" s="186">
        <f>IF(AM$2&lt;=AnalysisPeriod,IF(SUM($C645:AM645)&gt;0,AL360+1,0),0)</f>
        <v>0</v>
      </c>
      <c r="AN360" s="186">
        <f>IF(AN$2&lt;=AnalysisPeriod,IF(SUM($C645:AN645)&gt;0,AM360+1,0),0)</f>
        <v>0</v>
      </c>
      <c r="AO360" s="186">
        <f>IF(AO$2&lt;=AnalysisPeriod,IF(SUM($C645:AO645)&gt;0,AN360+1,0),0)</f>
        <v>0</v>
      </c>
      <c r="AP360" s="186">
        <f>IF(AP$2&lt;=AnalysisPeriod,IF(SUM($C645:AP645)&gt;0,AO360+1,0),0)</f>
        <v>0</v>
      </c>
    </row>
    <row r="361" spans="1:42">
      <c r="A361" s="118">
        <f t="shared" si="179"/>
        <v>4</v>
      </c>
      <c r="C361" s="186">
        <f>IF(C$2&lt;=AnalysisPeriod,IF(SUM($C646:C646)&gt;0,B361+1,0),0)</f>
        <v>0</v>
      </c>
      <c r="D361" s="186">
        <f>IF(D$2&lt;=AnalysisPeriod,IF(SUM($C646:D646)&gt;0,C361+1,0),0)</f>
        <v>0</v>
      </c>
      <c r="E361" s="186">
        <f>IF(E$2&lt;=AnalysisPeriod,IF(SUM($C646:E646)&gt;0,D361+1,0),0)</f>
        <v>0</v>
      </c>
      <c r="F361" s="186">
        <f>IF(F$2&lt;=AnalysisPeriod,IF(SUM($C646:F646)&gt;0,E361+1,0),0)</f>
        <v>0</v>
      </c>
      <c r="G361" s="186">
        <f>IF(G$2&lt;=AnalysisPeriod,IF(SUM($C646:G646)&gt;0,F361+1,0),0)</f>
        <v>0</v>
      </c>
      <c r="H361" s="186">
        <f>IF(H$2&lt;=AnalysisPeriod,IF(SUM($C646:H646)&gt;0,G361+1,0),0)</f>
        <v>0</v>
      </c>
      <c r="I361" s="186">
        <f>IF(I$2&lt;=AnalysisPeriod,IF(SUM($C646:I646)&gt;0,H361+1,0),0)</f>
        <v>0</v>
      </c>
      <c r="J361" s="186">
        <f>IF(J$2&lt;=AnalysisPeriod,IF(SUM($C646:J646)&gt;0,I361+1,0),0)</f>
        <v>0</v>
      </c>
      <c r="K361" s="186">
        <f>IF(K$2&lt;=AnalysisPeriod,IF(SUM($C646:K646)&gt;0,J361+1,0),0)</f>
        <v>0</v>
      </c>
      <c r="L361" s="186">
        <f>IF(L$2&lt;=AnalysisPeriod,IF(SUM($C646:L646)&gt;0,K361+1,0),0)</f>
        <v>0</v>
      </c>
      <c r="M361" s="186">
        <f>IF(M$2&lt;=AnalysisPeriod,IF(SUM($C646:M646)&gt;0,L361+1,0),0)</f>
        <v>0</v>
      </c>
      <c r="N361" s="186">
        <f>IF(N$2&lt;=AnalysisPeriod,IF(SUM($C646:N646)&gt;0,M361+1,0),0)</f>
        <v>0</v>
      </c>
      <c r="O361" s="186">
        <f>IF(O$2&lt;=AnalysisPeriod,IF(SUM($C646:O646)&gt;0,N361+1,0),0)</f>
        <v>0</v>
      </c>
      <c r="P361" s="186">
        <f>IF(P$2&lt;=AnalysisPeriod,IF(SUM($C646:P646)&gt;0,O361+1,0),0)</f>
        <v>0</v>
      </c>
      <c r="Q361" s="186">
        <f>IF(Q$2&lt;=AnalysisPeriod,IF(SUM($C646:Q646)&gt;0,P361+1,0),0)</f>
        <v>0</v>
      </c>
      <c r="R361" s="186">
        <f>IF(R$2&lt;=AnalysisPeriod,IF(SUM($C646:R646)&gt;0,Q361+1,0),0)</f>
        <v>0</v>
      </c>
      <c r="S361" s="186">
        <f>IF(S$2&lt;=AnalysisPeriod,IF(SUM($C646:S646)&gt;0,R361+1,0),0)</f>
        <v>0</v>
      </c>
      <c r="T361" s="186">
        <f>IF(T$2&lt;=AnalysisPeriod,IF(SUM($C646:T646)&gt;0,S361+1,0),0)</f>
        <v>0</v>
      </c>
      <c r="U361" s="186">
        <f>IF(U$2&lt;=AnalysisPeriod,IF(SUM($C646:U646)&gt;0,T361+1,0),0)</f>
        <v>0</v>
      </c>
      <c r="V361" s="186">
        <f>IF(V$2&lt;=AnalysisPeriod,IF(SUM($C646:V646)&gt;0,U361+1,0),0)</f>
        <v>0</v>
      </c>
      <c r="W361" s="186">
        <f>IF(W$2&lt;=AnalysisPeriod,IF(SUM($C646:W646)&gt;0,V361+1,0),0)</f>
        <v>0</v>
      </c>
      <c r="X361" s="186">
        <f>IF(X$2&lt;=AnalysisPeriod,IF(SUM($C646:X646)&gt;0,W361+1,0),0)</f>
        <v>0</v>
      </c>
      <c r="Y361" s="186">
        <f>IF(Y$2&lt;=AnalysisPeriod,IF(SUM($C646:Y646)&gt;0,X361+1,0),0)</f>
        <v>0</v>
      </c>
      <c r="Z361" s="186">
        <f>IF(Z$2&lt;=AnalysisPeriod,IF(SUM($C646:Z646)&gt;0,Y361+1,0),0)</f>
        <v>0</v>
      </c>
      <c r="AA361" s="186">
        <f>IF(AA$2&lt;=AnalysisPeriod,IF(SUM($C646:AA646)&gt;0,Z361+1,0),0)</f>
        <v>0</v>
      </c>
      <c r="AB361" s="186">
        <f>IF(AB$2&lt;=AnalysisPeriod,IF(SUM($C646:AB646)&gt;0,AA361+1,0),0)</f>
        <v>0</v>
      </c>
      <c r="AC361" s="186">
        <f>IF(AC$2&lt;=AnalysisPeriod,IF(SUM($C646:AC646)&gt;0,AB361+1,0),0)</f>
        <v>0</v>
      </c>
      <c r="AD361" s="186">
        <f>IF(AD$2&lt;=AnalysisPeriod,IF(SUM($C646:AD646)&gt;0,AC361+1,0),0)</f>
        <v>0</v>
      </c>
      <c r="AE361" s="186">
        <f>IF(AE$2&lt;=AnalysisPeriod,IF(SUM($C646:AE646)&gt;0,AD361+1,0),0)</f>
        <v>0</v>
      </c>
      <c r="AF361" s="186">
        <f>IF(AF$2&lt;=AnalysisPeriod,IF(SUM($C646:AF646)&gt;0,AE361+1,0),0)</f>
        <v>0</v>
      </c>
      <c r="AG361" s="186">
        <f>IF(AG$2&lt;=AnalysisPeriod,IF(SUM($C646:AG646)&gt;0,AF361+1,0),0)</f>
        <v>0</v>
      </c>
      <c r="AH361" s="186">
        <f>IF(AH$2&lt;=AnalysisPeriod,IF(SUM($C646:AH646)&gt;0,AG361+1,0),0)</f>
        <v>0</v>
      </c>
      <c r="AI361" s="186">
        <f>IF(AI$2&lt;=AnalysisPeriod,IF(SUM($C646:AI646)&gt;0,AH361+1,0),0)</f>
        <v>0</v>
      </c>
      <c r="AJ361" s="186">
        <f>IF(AJ$2&lt;=AnalysisPeriod,IF(SUM($C646:AJ646)&gt;0,AI361+1,0),0)</f>
        <v>0</v>
      </c>
      <c r="AK361" s="186">
        <f>IF(AK$2&lt;=AnalysisPeriod,IF(SUM($C646:AK646)&gt;0,AJ361+1,0),0)</f>
        <v>0</v>
      </c>
      <c r="AL361" s="186">
        <f>IF(AL$2&lt;=AnalysisPeriod,IF(SUM($C646:AL646)&gt;0,AK361+1,0),0)</f>
        <v>0</v>
      </c>
      <c r="AM361" s="186">
        <f>IF(AM$2&lt;=AnalysisPeriod,IF(SUM($C646:AM646)&gt;0,AL361+1,0),0)</f>
        <v>0</v>
      </c>
      <c r="AN361" s="186">
        <f>IF(AN$2&lt;=AnalysisPeriod,IF(SUM($C646:AN646)&gt;0,AM361+1,0),0)</f>
        <v>0</v>
      </c>
      <c r="AO361" s="186">
        <f>IF(AO$2&lt;=AnalysisPeriod,IF(SUM($C646:AO646)&gt;0,AN361+1,0),0)</f>
        <v>0</v>
      </c>
      <c r="AP361" s="186">
        <f>IF(AP$2&lt;=AnalysisPeriod,IF(SUM($C646:AP646)&gt;0,AO361+1,0),0)</f>
        <v>0</v>
      </c>
    </row>
    <row r="362" spans="1:42">
      <c r="A362" s="118">
        <f t="shared" si="179"/>
        <v>5</v>
      </c>
      <c r="C362" s="186">
        <f>IF(C$2&lt;=AnalysisPeriod,IF(SUM($C647:C647)&gt;0,B362+1,0),0)</f>
        <v>0</v>
      </c>
      <c r="D362" s="186">
        <f>IF(D$2&lt;=AnalysisPeriod,IF(SUM($C647:D647)&gt;0,C362+1,0),0)</f>
        <v>0</v>
      </c>
      <c r="E362" s="186">
        <f>IF(E$2&lt;=AnalysisPeriod,IF(SUM($C647:E647)&gt;0,D362+1,0),0)</f>
        <v>0</v>
      </c>
      <c r="F362" s="186">
        <f>IF(F$2&lt;=AnalysisPeriod,IF(SUM($C647:F647)&gt;0,E362+1,0),0)</f>
        <v>0</v>
      </c>
      <c r="G362" s="186">
        <f>IF(G$2&lt;=AnalysisPeriod,IF(SUM($C647:G647)&gt;0,F362+1,0),0)</f>
        <v>0</v>
      </c>
      <c r="H362" s="186">
        <f>IF(H$2&lt;=AnalysisPeriod,IF(SUM($C647:H647)&gt;0,G362+1,0),0)</f>
        <v>0</v>
      </c>
      <c r="I362" s="186">
        <f>IF(I$2&lt;=AnalysisPeriod,IF(SUM($C647:I647)&gt;0,H362+1,0),0)</f>
        <v>0</v>
      </c>
      <c r="J362" s="186">
        <f>IF(J$2&lt;=AnalysisPeriod,IF(SUM($C647:J647)&gt;0,I362+1,0),0)</f>
        <v>0</v>
      </c>
      <c r="K362" s="186">
        <f>IF(K$2&lt;=AnalysisPeriod,IF(SUM($C647:K647)&gt;0,J362+1,0),0)</f>
        <v>0</v>
      </c>
      <c r="L362" s="186">
        <f>IF(L$2&lt;=AnalysisPeriod,IF(SUM($C647:L647)&gt;0,K362+1,0),0)</f>
        <v>0</v>
      </c>
      <c r="M362" s="186">
        <f>IF(M$2&lt;=AnalysisPeriod,IF(SUM($C647:M647)&gt;0,L362+1,0),0)</f>
        <v>0</v>
      </c>
      <c r="N362" s="186">
        <f>IF(N$2&lt;=AnalysisPeriod,IF(SUM($C647:N647)&gt;0,M362+1,0),0)</f>
        <v>0</v>
      </c>
      <c r="O362" s="186">
        <f>IF(O$2&lt;=AnalysisPeriod,IF(SUM($C647:O647)&gt;0,N362+1,0),0)</f>
        <v>0</v>
      </c>
      <c r="P362" s="186">
        <f>IF(P$2&lt;=AnalysisPeriod,IF(SUM($C647:P647)&gt;0,O362+1,0),0)</f>
        <v>0</v>
      </c>
      <c r="Q362" s="186">
        <f>IF(Q$2&lt;=AnalysisPeriod,IF(SUM($C647:Q647)&gt;0,P362+1,0),0)</f>
        <v>0</v>
      </c>
      <c r="R362" s="186">
        <f>IF(R$2&lt;=AnalysisPeriod,IF(SUM($C647:R647)&gt;0,Q362+1,0),0)</f>
        <v>0</v>
      </c>
      <c r="S362" s="186">
        <f>IF(S$2&lt;=AnalysisPeriod,IF(SUM($C647:S647)&gt;0,R362+1,0),0)</f>
        <v>0</v>
      </c>
      <c r="T362" s="186">
        <f>IF(T$2&lt;=AnalysisPeriod,IF(SUM($C647:T647)&gt;0,S362+1,0),0)</f>
        <v>0</v>
      </c>
      <c r="U362" s="186">
        <f>IF(U$2&lt;=AnalysisPeriod,IF(SUM($C647:U647)&gt;0,T362+1,0),0)</f>
        <v>0</v>
      </c>
      <c r="V362" s="186">
        <f>IF(V$2&lt;=AnalysisPeriod,IF(SUM($C647:V647)&gt;0,U362+1,0),0)</f>
        <v>0</v>
      </c>
      <c r="W362" s="186">
        <f>IF(W$2&lt;=AnalysisPeriod,IF(SUM($C647:W647)&gt;0,V362+1,0),0)</f>
        <v>0</v>
      </c>
      <c r="X362" s="186">
        <f>IF(X$2&lt;=AnalysisPeriod,IF(SUM($C647:X647)&gt;0,W362+1,0),0)</f>
        <v>0</v>
      </c>
      <c r="Y362" s="186">
        <f>IF(Y$2&lt;=AnalysisPeriod,IF(SUM($C647:Y647)&gt;0,X362+1,0),0)</f>
        <v>0</v>
      </c>
      <c r="Z362" s="186">
        <f>IF(Z$2&lt;=AnalysisPeriod,IF(SUM($C647:Z647)&gt;0,Y362+1,0),0)</f>
        <v>0</v>
      </c>
      <c r="AA362" s="186">
        <f>IF(AA$2&lt;=AnalysisPeriod,IF(SUM($C647:AA647)&gt;0,Z362+1,0),0)</f>
        <v>0</v>
      </c>
      <c r="AB362" s="186">
        <f>IF(AB$2&lt;=AnalysisPeriod,IF(SUM($C647:AB647)&gt;0,AA362+1,0),0)</f>
        <v>0</v>
      </c>
      <c r="AC362" s="186">
        <f>IF(AC$2&lt;=AnalysisPeriod,IF(SUM($C647:AC647)&gt;0,AB362+1,0),0)</f>
        <v>0</v>
      </c>
      <c r="AD362" s="186">
        <f>IF(AD$2&lt;=AnalysisPeriod,IF(SUM($C647:AD647)&gt;0,AC362+1,0),0)</f>
        <v>0</v>
      </c>
      <c r="AE362" s="186">
        <f>IF(AE$2&lt;=AnalysisPeriod,IF(SUM($C647:AE647)&gt;0,AD362+1,0),0)</f>
        <v>0</v>
      </c>
      <c r="AF362" s="186">
        <f>IF(AF$2&lt;=AnalysisPeriod,IF(SUM($C647:AF647)&gt;0,AE362+1,0),0)</f>
        <v>0</v>
      </c>
      <c r="AG362" s="186">
        <f>IF(AG$2&lt;=AnalysisPeriod,IF(SUM($C647:AG647)&gt;0,AF362+1,0),0)</f>
        <v>0</v>
      </c>
      <c r="AH362" s="186">
        <f>IF(AH$2&lt;=AnalysisPeriod,IF(SUM($C647:AH647)&gt;0,AG362+1,0),0)</f>
        <v>0</v>
      </c>
      <c r="AI362" s="186">
        <f>IF(AI$2&lt;=AnalysisPeriod,IF(SUM($C647:AI647)&gt;0,AH362+1,0),0)</f>
        <v>0</v>
      </c>
      <c r="AJ362" s="186">
        <f>IF(AJ$2&lt;=AnalysisPeriod,IF(SUM($C647:AJ647)&gt;0,AI362+1,0),0)</f>
        <v>0</v>
      </c>
      <c r="AK362" s="186">
        <f>IF(AK$2&lt;=AnalysisPeriod,IF(SUM($C647:AK647)&gt;0,AJ362+1,0),0)</f>
        <v>0</v>
      </c>
      <c r="AL362" s="186">
        <f>IF(AL$2&lt;=AnalysisPeriod,IF(SUM($C647:AL647)&gt;0,AK362+1,0),0)</f>
        <v>0</v>
      </c>
      <c r="AM362" s="186">
        <f>IF(AM$2&lt;=AnalysisPeriod,IF(SUM($C647:AM647)&gt;0,AL362+1,0),0)</f>
        <v>0</v>
      </c>
      <c r="AN362" s="186">
        <f>IF(AN$2&lt;=AnalysisPeriod,IF(SUM($C647:AN647)&gt;0,AM362+1,0),0)</f>
        <v>0</v>
      </c>
      <c r="AO362" s="186">
        <f>IF(AO$2&lt;=AnalysisPeriod,IF(SUM($C647:AO647)&gt;0,AN362+1,0),0)</f>
        <v>0</v>
      </c>
      <c r="AP362" s="186">
        <f>IF(AP$2&lt;=AnalysisPeriod,IF(SUM($C647:AP647)&gt;0,AO362+1,0),0)</f>
        <v>0</v>
      </c>
    </row>
    <row r="363" spans="1:42">
      <c r="A363" s="118">
        <f t="shared" si="179"/>
        <v>6</v>
      </c>
      <c r="C363" s="186">
        <f>IF(C$2&lt;=AnalysisPeriod,IF(SUM($C648:C648)&gt;0,B363+1,0),0)</f>
        <v>0</v>
      </c>
      <c r="D363" s="186">
        <f>IF(D$2&lt;=AnalysisPeriod,IF(SUM($C648:D648)&gt;0,C363+1,0),0)</f>
        <v>0</v>
      </c>
      <c r="E363" s="186">
        <f>IF(E$2&lt;=AnalysisPeriod,IF(SUM($C648:E648)&gt;0,D363+1,0),0)</f>
        <v>0</v>
      </c>
      <c r="F363" s="186">
        <f>IF(F$2&lt;=AnalysisPeriod,IF(SUM($C648:F648)&gt;0,E363+1,0),0)</f>
        <v>0</v>
      </c>
      <c r="G363" s="186">
        <f>IF(G$2&lt;=AnalysisPeriod,IF(SUM($C648:G648)&gt;0,F363+1,0),0)</f>
        <v>0</v>
      </c>
      <c r="H363" s="186">
        <f>IF(H$2&lt;=AnalysisPeriod,IF(SUM($C648:H648)&gt;0,G363+1,0),0)</f>
        <v>0</v>
      </c>
      <c r="I363" s="186">
        <f>IF(I$2&lt;=AnalysisPeriod,IF(SUM($C648:I648)&gt;0,H363+1,0),0)</f>
        <v>0</v>
      </c>
      <c r="J363" s="186">
        <f>IF(J$2&lt;=AnalysisPeriod,IF(SUM($C648:J648)&gt;0,I363+1,0),0)</f>
        <v>0</v>
      </c>
      <c r="K363" s="186">
        <f>IF(K$2&lt;=AnalysisPeriod,IF(SUM($C648:K648)&gt;0,J363+1,0),0)</f>
        <v>0</v>
      </c>
      <c r="L363" s="186">
        <f>IF(L$2&lt;=AnalysisPeriod,IF(SUM($C648:L648)&gt;0,K363+1,0),0)</f>
        <v>0</v>
      </c>
      <c r="M363" s="186">
        <f>IF(M$2&lt;=AnalysisPeriod,IF(SUM($C648:M648)&gt;0,L363+1,0),0)</f>
        <v>0</v>
      </c>
      <c r="N363" s="186">
        <f>IF(N$2&lt;=AnalysisPeriod,IF(SUM($C648:N648)&gt;0,M363+1,0),0)</f>
        <v>0</v>
      </c>
      <c r="O363" s="186">
        <f>IF(O$2&lt;=AnalysisPeriod,IF(SUM($C648:O648)&gt;0,N363+1,0),0)</f>
        <v>0</v>
      </c>
      <c r="P363" s="186">
        <f>IF(P$2&lt;=AnalysisPeriod,IF(SUM($C648:P648)&gt;0,O363+1,0),0)</f>
        <v>0</v>
      </c>
      <c r="Q363" s="186">
        <f>IF(Q$2&lt;=AnalysisPeriod,IF(SUM($C648:Q648)&gt;0,P363+1,0),0)</f>
        <v>0</v>
      </c>
      <c r="R363" s="186">
        <f>IF(R$2&lt;=AnalysisPeriod,IF(SUM($C648:R648)&gt;0,Q363+1,0),0)</f>
        <v>0</v>
      </c>
      <c r="S363" s="186">
        <f>IF(S$2&lt;=AnalysisPeriod,IF(SUM($C648:S648)&gt;0,R363+1,0),0)</f>
        <v>0</v>
      </c>
      <c r="T363" s="186">
        <f>IF(T$2&lt;=AnalysisPeriod,IF(SUM($C648:T648)&gt;0,S363+1,0),0)</f>
        <v>0</v>
      </c>
      <c r="U363" s="186">
        <f>IF(U$2&lt;=AnalysisPeriod,IF(SUM($C648:U648)&gt;0,T363+1,0),0)</f>
        <v>0</v>
      </c>
      <c r="V363" s="186">
        <f>IF(V$2&lt;=AnalysisPeriod,IF(SUM($C648:V648)&gt;0,U363+1,0),0)</f>
        <v>0</v>
      </c>
      <c r="W363" s="186">
        <f>IF(W$2&lt;=AnalysisPeriod,IF(SUM($C648:W648)&gt;0,V363+1,0),0)</f>
        <v>0</v>
      </c>
      <c r="X363" s="186">
        <f>IF(X$2&lt;=AnalysisPeriod,IF(SUM($C648:X648)&gt;0,W363+1,0),0)</f>
        <v>0</v>
      </c>
      <c r="Y363" s="186">
        <f>IF(Y$2&lt;=AnalysisPeriod,IF(SUM($C648:Y648)&gt;0,X363+1,0),0)</f>
        <v>0</v>
      </c>
      <c r="Z363" s="186">
        <f>IF(Z$2&lt;=AnalysisPeriod,IF(SUM($C648:Z648)&gt;0,Y363+1,0),0)</f>
        <v>0</v>
      </c>
      <c r="AA363" s="186">
        <f>IF(AA$2&lt;=AnalysisPeriod,IF(SUM($C648:AA648)&gt;0,Z363+1,0),0)</f>
        <v>0</v>
      </c>
      <c r="AB363" s="186">
        <f>IF(AB$2&lt;=AnalysisPeriod,IF(SUM($C648:AB648)&gt;0,AA363+1,0),0)</f>
        <v>0</v>
      </c>
      <c r="AC363" s="186">
        <f>IF(AC$2&lt;=AnalysisPeriod,IF(SUM($C648:AC648)&gt;0,AB363+1,0),0)</f>
        <v>0</v>
      </c>
      <c r="AD363" s="186">
        <f>IF(AD$2&lt;=AnalysisPeriod,IF(SUM($C648:AD648)&gt;0,AC363+1,0),0)</f>
        <v>0</v>
      </c>
      <c r="AE363" s="186">
        <f>IF(AE$2&lt;=AnalysisPeriod,IF(SUM($C648:AE648)&gt;0,AD363+1,0),0)</f>
        <v>0</v>
      </c>
      <c r="AF363" s="186">
        <f>IF(AF$2&lt;=AnalysisPeriod,IF(SUM($C648:AF648)&gt;0,AE363+1,0),0)</f>
        <v>0</v>
      </c>
      <c r="AG363" s="186">
        <f>IF(AG$2&lt;=AnalysisPeriod,IF(SUM($C648:AG648)&gt;0,AF363+1,0),0)</f>
        <v>0</v>
      </c>
      <c r="AH363" s="186">
        <f>IF(AH$2&lt;=AnalysisPeriod,IF(SUM($C648:AH648)&gt;0,AG363+1,0),0)</f>
        <v>0</v>
      </c>
      <c r="AI363" s="186">
        <f>IF(AI$2&lt;=AnalysisPeriod,IF(SUM($C648:AI648)&gt;0,AH363+1,0),0)</f>
        <v>0</v>
      </c>
      <c r="AJ363" s="186">
        <f>IF(AJ$2&lt;=AnalysisPeriod,IF(SUM($C648:AJ648)&gt;0,AI363+1,0),0)</f>
        <v>0</v>
      </c>
      <c r="AK363" s="186">
        <f>IF(AK$2&lt;=AnalysisPeriod,IF(SUM($C648:AK648)&gt;0,AJ363+1,0),0)</f>
        <v>0</v>
      </c>
      <c r="AL363" s="186">
        <f>IF(AL$2&lt;=AnalysisPeriod,IF(SUM($C648:AL648)&gt;0,AK363+1,0),0)</f>
        <v>0</v>
      </c>
      <c r="AM363" s="186">
        <f>IF(AM$2&lt;=AnalysisPeriod,IF(SUM($C648:AM648)&gt;0,AL363+1,0),0)</f>
        <v>0</v>
      </c>
      <c r="AN363" s="186">
        <f>IF(AN$2&lt;=AnalysisPeriod,IF(SUM($C648:AN648)&gt;0,AM363+1,0),0)</f>
        <v>0</v>
      </c>
      <c r="AO363" s="186">
        <f>IF(AO$2&lt;=AnalysisPeriod,IF(SUM($C648:AO648)&gt;0,AN363+1,0),0)</f>
        <v>0</v>
      </c>
      <c r="AP363" s="186">
        <f>IF(AP$2&lt;=AnalysisPeriod,IF(SUM($C648:AP648)&gt;0,AO363+1,0),0)</f>
        <v>0</v>
      </c>
    </row>
    <row r="364" spans="1:42">
      <c r="A364" s="118">
        <f t="shared" si="179"/>
        <v>7</v>
      </c>
      <c r="C364" s="186">
        <f>IF(C$2&lt;=AnalysisPeriod,IF(SUM($C649:C649)&gt;0,B364+1,0),0)</f>
        <v>0</v>
      </c>
      <c r="D364" s="186">
        <f>IF(D$2&lt;=AnalysisPeriod,IF(SUM($C649:D649)&gt;0,C364+1,0),0)</f>
        <v>0</v>
      </c>
      <c r="E364" s="186">
        <f>IF(E$2&lt;=AnalysisPeriod,IF(SUM($C649:E649)&gt;0,D364+1,0),0)</f>
        <v>0</v>
      </c>
      <c r="F364" s="186">
        <f>IF(F$2&lt;=AnalysisPeriod,IF(SUM($C649:F649)&gt;0,E364+1,0),0)</f>
        <v>0</v>
      </c>
      <c r="G364" s="186">
        <f>IF(G$2&lt;=AnalysisPeriod,IF(SUM($C649:G649)&gt;0,F364+1,0),0)</f>
        <v>0</v>
      </c>
      <c r="H364" s="186">
        <f>IF(H$2&lt;=AnalysisPeriod,IF(SUM($C649:H649)&gt;0,G364+1,0),0)</f>
        <v>0</v>
      </c>
      <c r="I364" s="186">
        <f>IF(I$2&lt;=AnalysisPeriod,IF(SUM($C649:I649)&gt;0,H364+1,0),0)</f>
        <v>0</v>
      </c>
      <c r="J364" s="186">
        <f>IF(J$2&lt;=AnalysisPeriod,IF(SUM($C649:J649)&gt;0,I364+1,0),0)</f>
        <v>0</v>
      </c>
      <c r="K364" s="186">
        <f>IF(K$2&lt;=AnalysisPeriod,IF(SUM($C649:K649)&gt;0,J364+1,0),0)</f>
        <v>0</v>
      </c>
      <c r="L364" s="186">
        <f>IF(L$2&lt;=AnalysisPeriod,IF(SUM($C649:L649)&gt;0,K364+1,0),0)</f>
        <v>0</v>
      </c>
      <c r="M364" s="186">
        <f>IF(M$2&lt;=AnalysisPeriod,IF(SUM($C649:M649)&gt;0,L364+1,0),0)</f>
        <v>0</v>
      </c>
      <c r="N364" s="186">
        <f>IF(N$2&lt;=AnalysisPeriod,IF(SUM($C649:N649)&gt;0,M364+1,0),0)</f>
        <v>0</v>
      </c>
      <c r="O364" s="186">
        <f>IF(O$2&lt;=AnalysisPeriod,IF(SUM($C649:O649)&gt;0,N364+1,0),0)</f>
        <v>0</v>
      </c>
      <c r="P364" s="186">
        <f>IF(P$2&lt;=AnalysisPeriod,IF(SUM($C649:P649)&gt;0,O364+1,0),0)</f>
        <v>0</v>
      </c>
      <c r="Q364" s="186">
        <f>IF(Q$2&lt;=AnalysisPeriod,IF(SUM($C649:Q649)&gt;0,P364+1,0),0)</f>
        <v>0</v>
      </c>
      <c r="R364" s="186">
        <f>IF(R$2&lt;=AnalysisPeriod,IF(SUM($C649:R649)&gt;0,Q364+1,0),0)</f>
        <v>0</v>
      </c>
      <c r="S364" s="186">
        <f>IF(S$2&lt;=AnalysisPeriod,IF(SUM($C649:S649)&gt;0,R364+1,0),0)</f>
        <v>0</v>
      </c>
      <c r="T364" s="186">
        <f>IF(T$2&lt;=AnalysisPeriod,IF(SUM($C649:T649)&gt;0,S364+1,0),0)</f>
        <v>0</v>
      </c>
      <c r="U364" s="186">
        <f>IF(U$2&lt;=AnalysisPeriod,IF(SUM($C649:U649)&gt;0,T364+1,0),0)</f>
        <v>0</v>
      </c>
      <c r="V364" s="186">
        <f>IF(V$2&lt;=AnalysisPeriod,IF(SUM($C649:V649)&gt;0,U364+1,0),0)</f>
        <v>0</v>
      </c>
      <c r="W364" s="186">
        <f>IF(W$2&lt;=AnalysisPeriod,IF(SUM($C649:W649)&gt;0,V364+1,0),0)</f>
        <v>0</v>
      </c>
      <c r="X364" s="186">
        <f>IF(X$2&lt;=AnalysisPeriod,IF(SUM($C649:X649)&gt;0,W364+1,0),0)</f>
        <v>0</v>
      </c>
      <c r="Y364" s="186">
        <f>IF(Y$2&lt;=AnalysisPeriod,IF(SUM($C649:Y649)&gt;0,X364+1,0),0)</f>
        <v>0</v>
      </c>
      <c r="Z364" s="186">
        <f>IF(Z$2&lt;=AnalysisPeriod,IF(SUM($C649:Z649)&gt;0,Y364+1,0),0)</f>
        <v>0</v>
      </c>
      <c r="AA364" s="186">
        <f>IF(AA$2&lt;=AnalysisPeriod,IF(SUM($C649:AA649)&gt;0,Z364+1,0),0)</f>
        <v>0</v>
      </c>
      <c r="AB364" s="186">
        <f>IF(AB$2&lt;=AnalysisPeriod,IF(SUM($C649:AB649)&gt;0,AA364+1,0),0)</f>
        <v>0</v>
      </c>
      <c r="AC364" s="186">
        <f>IF(AC$2&lt;=AnalysisPeriod,IF(SUM($C649:AC649)&gt;0,AB364+1,0),0)</f>
        <v>0</v>
      </c>
      <c r="AD364" s="186">
        <f>IF(AD$2&lt;=AnalysisPeriod,IF(SUM($C649:AD649)&gt;0,AC364+1,0),0)</f>
        <v>0</v>
      </c>
      <c r="AE364" s="186">
        <f>IF(AE$2&lt;=AnalysisPeriod,IF(SUM($C649:AE649)&gt;0,AD364+1,0),0)</f>
        <v>0</v>
      </c>
      <c r="AF364" s="186">
        <f>IF(AF$2&lt;=AnalysisPeriod,IF(SUM($C649:AF649)&gt;0,AE364+1,0),0)</f>
        <v>0</v>
      </c>
      <c r="AG364" s="186">
        <f>IF(AG$2&lt;=AnalysisPeriod,IF(SUM($C649:AG649)&gt;0,AF364+1,0),0)</f>
        <v>0</v>
      </c>
      <c r="AH364" s="186">
        <f>IF(AH$2&lt;=AnalysisPeriod,IF(SUM($C649:AH649)&gt;0,AG364+1,0),0)</f>
        <v>0</v>
      </c>
      <c r="AI364" s="186">
        <f>IF(AI$2&lt;=AnalysisPeriod,IF(SUM($C649:AI649)&gt;0,AH364+1,0),0)</f>
        <v>0</v>
      </c>
      <c r="AJ364" s="186">
        <f>IF(AJ$2&lt;=AnalysisPeriod,IF(SUM($C649:AJ649)&gt;0,AI364+1,0),0)</f>
        <v>0</v>
      </c>
      <c r="AK364" s="186">
        <f>IF(AK$2&lt;=AnalysisPeriod,IF(SUM($C649:AK649)&gt;0,AJ364+1,0),0)</f>
        <v>0</v>
      </c>
      <c r="AL364" s="186">
        <f>IF(AL$2&lt;=AnalysisPeriod,IF(SUM($C649:AL649)&gt;0,AK364+1,0),0)</f>
        <v>0</v>
      </c>
      <c r="AM364" s="186">
        <f>IF(AM$2&lt;=AnalysisPeriod,IF(SUM($C649:AM649)&gt;0,AL364+1,0),0)</f>
        <v>0</v>
      </c>
      <c r="AN364" s="186">
        <f>IF(AN$2&lt;=AnalysisPeriod,IF(SUM($C649:AN649)&gt;0,AM364+1,0),0)</f>
        <v>0</v>
      </c>
      <c r="AO364" s="186">
        <f>IF(AO$2&lt;=AnalysisPeriod,IF(SUM($C649:AO649)&gt;0,AN364+1,0),0)</f>
        <v>0</v>
      </c>
      <c r="AP364" s="186">
        <f>IF(AP$2&lt;=AnalysisPeriod,IF(SUM($C649:AP649)&gt;0,AO364+1,0),0)</f>
        <v>0</v>
      </c>
    </row>
    <row r="365" spans="1:42">
      <c r="A365" s="118">
        <f t="shared" si="179"/>
        <v>8</v>
      </c>
      <c r="C365" s="186">
        <f>IF(C$2&lt;=AnalysisPeriod,IF(SUM($C650:C650)&gt;0,B365+1,0),0)</f>
        <v>0</v>
      </c>
      <c r="D365" s="186">
        <f>IF(D$2&lt;=AnalysisPeriod,IF(SUM($C650:D650)&gt;0,C365+1,0),0)</f>
        <v>0</v>
      </c>
      <c r="E365" s="186">
        <f>IF(E$2&lt;=AnalysisPeriod,IF(SUM($C650:E650)&gt;0,D365+1,0),0)</f>
        <v>0</v>
      </c>
      <c r="F365" s="186">
        <f>IF(F$2&lt;=AnalysisPeriod,IF(SUM($C650:F650)&gt;0,E365+1,0),0)</f>
        <v>0</v>
      </c>
      <c r="G365" s="186">
        <f>IF(G$2&lt;=AnalysisPeriod,IF(SUM($C650:G650)&gt;0,F365+1,0),0)</f>
        <v>0</v>
      </c>
      <c r="H365" s="186">
        <f>IF(H$2&lt;=AnalysisPeriod,IF(SUM($C650:H650)&gt;0,G365+1,0),0)</f>
        <v>0</v>
      </c>
      <c r="I365" s="186">
        <f>IF(I$2&lt;=AnalysisPeriod,IF(SUM($C650:I650)&gt;0,H365+1,0),0)</f>
        <v>0</v>
      </c>
      <c r="J365" s="186">
        <f>IF(J$2&lt;=AnalysisPeriod,IF(SUM($C650:J650)&gt;0,I365+1,0),0)</f>
        <v>0</v>
      </c>
      <c r="K365" s="186">
        <f>IF(K$2&lt;=AnalysisPeriod,IF(SUM($C650:K650)&gt;0,J365+1,0),0)</f>
        <v>0</v>
      </c>
      <c r="L365" s="186">
        <f>IF(L$2&lt;=AnalysisPeriod,IF(SUM($C650:L650)&gt;0,K365+1,0),0)</f>
        <v>0</v>
      </c>
      <c r="M365" s="186">
        <f>IF(M$2&lt;=AnalysisPeriod,IF(SUM($C650:M650)&gt;0,L365+1,0),0)</f>
        <v>0</v>
      </c>
      <c r="N365" s="186">
        <f>IF(N$2&lt;=AnalysisPeriod,IF(SUM($C650:N650)&gt;0,M365+1,0),0)</f>
        <v>0</v>
      </c>
      <c r="O365" s="186">
        <f>IF(O$2&lt;=AnalysisPeriod,IF(SUM($C650:O650)&gt;0,N365+1,0),0)</f>
        <v>0</v>
      </c>
      <c r="P365" s="186">
        <f>IF(P$2&lt;=AnalysisPeriod,IF(SUM($C650:P650)&gt;0,O365+1,0),0)</f>
        <v>0</v>
      </c>
      <c r="Q365" s="186">
        <f>IF(Q$2&lt;=AnalysisPeriod,IF(SUM($C650:Q650)&gt;0,P365+1,0),0)</f>
        <v>0</v>
      </c>
      <c r="R365" s="186">
        <f>IF(R$2&lt;=AnalysisPeriod,IF(SUM($C650:R650)&gt;0,Q365+1,0),0)</f>
        <v>0</v>
      </c>
      <c r="S365" s="186">
        <f>IF(S$2&lt;=AnalysisPeriod,IF(SUM($C650:S650)&gt;0,R365+1,0),0)</f>
        <v>0</v>
      </c>
      <c r="T365" s="186">
        <f>IF(T$2&lt;=AnalysisPeriod,IF(SUM($C650:T650)&gt;0,S365+1,0),0)</f>
        <v>0</v>
      </c>
      <c r="U365" s="186">
        <f>IF(U$2&lt;=AnalysisPeriod,IF(SUM($C650:U650)&gt;0,T365+1,0),0)</f>
        <v>0</v>
      </c>
      <c r="V365" s="186">
        <f>IF(V$2&lt;=AnalysisPeriod,IF(SUM($C650:V650)&gt;0,U365+1,0),0)</f>
        <v>0</v>
      </c>
      <c r="W365" s="186">
        <f>IF(W$2&lt;=AnalysisPeriod,IF(SUM($C650:W650)&gt;0,V365+1,0),0)</f>
        <v>0</v>
      </c>
      <c r="X365" s="186">
        <f>IF(X$2&lt;=AnalysisPeriod,IF(SUM($C650:X650)&gt;0,W365+1,0),0)</f>
        <v>0</v>
      </c>
      <c r="Y365" s="186">
        <f>IF(Y$2&lt;=AnalysisPeriod,IF(SUM($C650:Y650)&gt;0,X365+1,0),0)</f>
        <v>0</v>
      </c>
      <c r="Z365" s="186">
        <f>IF(Z$2&lt;=AnalysisPeriod,IF(SUM($C650:Z650)&gt;0,Y365+1,0),0)</f>
        <v>0</v>
      </c>
      <c r="AA365" s="186">
        <f>IF(AA$2&lt;=AnalysisPeriod,IF(SUM($C650:AA650)&gt;0,Z365+1,0),0)</f>
        <v>0</v>
      </c>
      <c r="AB365" s="186">
        <f>IF(AB$2&lt;=AnalysisPeriod,IF(SUM($C650:AB650)&gt;0,AA365+1,0),0)</f>
        <v>0</v>
      </c>
      <c r="AC365" s="186">
        <f>IF(AC$2&lt;=AnalysisPeriod,IF(SUM($C650:AC650)&gt;0,AB365+1,0),0)</f>
        <v>0</v>
      </c>
      <c r="AD365" s="186">
        <f>IF(AD$2&lt;=AnalysisPeriod,IF(SUM($C650:AD650)&gt;0,AC365+1,0),0)</f>
        <v>0</v>
      </c>
      <c r="AE365" s="186">
        <f>IF(AE$2&lt;=AnalysisPeriod,IF(SUM($C650:AE650)&gt;0,AD365+1,0),0)</f>
        <v>0</v>
      </c>
      <c r="AF365" s="186">
        <f>IF(AF$2&lt;=AnalysisPeriod,IF(SUM($C650:AF650)&gt;0,AE365+1,0),0)</f>
        <v>0</v>
      </c>
      <c r="AG365" s="186">
        <f>IF(AG$2&lt;=AnalysisPeriod,IF(SUM($C650:AG650)&gt;0,AF365+1,0),0)</f>
        <v>0</v>
      </c>
      <c r="AH365" s="186">
        <f>IF(AH$2&lt;=AnalysisPeriod,IF(SUM($C650:AH650)&gt;0,AG365+1,0),0)</f>
        <v>0</v>
      </c>
      <c r="AI365" s="186">
        <f>IF(AI$2&lt;=AnalysisPeriod,IF(SUM($C650:AI650)&gt;0,AH365+1,0),0)</f>
        <v>0</v>
      </c>
      <c r="AJ365" s="186">
        <f>IF(AJ$2&lt;=AnalysisPeriod,IF(SUM($C650:AJ650)&gt;0,AI365+1,0),0)</f>
        <v>0</v>
      </c>
      <c r="AK365" s="186">
        <f>IF(AK$2&lt;=AnalysisPeriod,IF(SUM($C650:AK650)&gt;0,AJ365+1,0),0)</f>
        <v>0</v>
      </c>
      <c r="AL365" s="186">
        <f>IF(AL$2&lt;=AnalysisPeriod,IF(SUM($C650:AL650)&gt;0,AK365+1,0),0)</f>
        <v>0</v>
      </c>
      <c r="AM365" s="186">
        <f>IF(AM$2&lt;=AnalysisPeriod,IF(SUM($C650:AM650)&gt;0,AL365+1,0),0)</f>
        <v>0</v>
      </c>
      <c r="AN365" s="186">
        <f>IF(AN$2&lt;=AnalysisPeriod,IF(SUM($C650:AN650)&gt;0,AM365+1,0),0)</f>
        <v>0</v>
      </c>
      <c r="AO365" s="186">
        <f>IF(AO$2&lt;=AnalysisPeriod,IF(SUM($C650:AO650)&gt;0,AN365+1,0),0)</f>
        <v>0</v>
      </c>
      <c r="AP365" s="186">
        <f>IF(AP$2&lt;=AnalysisPeriod,IF(SUM($C650:AP650)&gt;0,AO365+1,0),0)</f>
        <v>0</v>
      </c>
    </row>
    <row r="366" spans="1:42">
      <c r="A366" s="118">
        <f>A365+1</f>
        <v>9</v>
      </c>
      <c r="C366" s="186">
        <f>IF(C$2&lt;=AnalysisPeriod,IF(SUM($C651:C651)&gt;0,B366+1,0),0)</f>
        <v>0</v>
      </c>
      <c r="D366" s="186">
        <f>IF(D$2&lt;=AnalysisPeriod,IF(SUM($C651:D651)&gt;0,C366+1,0),0)</f>
        <v>0</v>
      </c>
      <c r="E366" s="186">
        <f>IF(E$2&lt;=AnalysisPeriod,IF(SUM($C651:E651)&gt;0,D366+1,0),0)</f>
        <v>0</v>
      </c>
      <c r="F366" s="186">
        <f>IF(F$2&lt;=AnalysisPeriod,IF(SUM($C651:F651)&gt;0,E366+1,0),0)</f>
        <v>0</v>
      </c>
      <c r="G366" s="186">
        <f>IF(G$2&lt;=AnalysisPeriod,IF(SUM($C651:G651)&gt;0,F366+1,0),0)</f>
        <v>0</v>
      </c>
      <c r="H366" s="186">
        <f>IF(H$2&lt;=AnalysisPeriod,IF(SUM($C651:H651)&gt;0,G366+1,0),0)</f>
        <v>0</v>
      </c>
      <c r="I366" s="186">
        <f>IF(I$2&lt;=AnalysisPeriod,IF(SUM($C651:I651)&gt;0,H366+1,0),0)</f>
        <v>0</v>
      </c>
      <c r="J366" s="186">
        <f>IF(J$2&lt;=AnalysisPeriod,IF(SUM($C651:J651)&gt;0,I366+1,0),0)</f>
        <v>0</v>
      </c>
      <c r="K366" s="186">
        <f>IF(K$2&lt;=AnalysisPeriod,IF(SUM($C651:K651)&gt;0,J366+1,0),0)</f>
        <v>0</v>
      </c>
      <c r="L366" s="186">
        <f>IF(L$2&lt;=AnalysisPeriod,IF(SUM($C651:L651)&gt;0,K366+1,0),0)</f>
        <v>0</v>
      </c>
      <c r="M366" s="186">
        <f>IF(M$2&lt;=AnalysisPeriod,IF(SUM($C651:M651)&gt;0,L366+1,0),0)</f>
        <v>0</v>
      </c>
      <c r="N366" s="186">
        <f>IF(N$2&lt;=AnalysisPeriod,IF(SUM($C651:N651)&gt;0,M366+1,0),0)</f>
        <v>0</v>
      </c>
      <c r="O366" s="186">
        <f>IF(O$2&lt;=AnalysisPeriod,IF(SUM($C651:O651)&gt;0,N366+1,0),0)</f>
        <v>0</v>
      </c>
      <c r="P366" s="186">
        <f>IF(P$2&lt;=AnalysisPeriod,IF(SUM($C651:P651)&gt;0,O366+1,0),0)</f>
        <v>0</v>
      </c>
      <c r="Q366" s="186">
        <f>IF(Q$2&lt;=AnalysisPeriod,IF(SUM($C651:Q651)&gt;0,P366+1,0),0)</f>
        <v>0</v>
      </c>
      <c r="R366" s="186">
        <f>IF(R$2&lt;=AnalysisPeriod,IF(SUM($C651:R651)&gt;0,Q366+1,0),0)</f>
        <v>0</v>
      </c>
      <c r="S366" s="186">
        <f>IF(S$2&lt;=AnalysisPeriod,IF(SUM($C651:S651)&gt;0,R366+1,0),0)</f>
        <v>0</v>
      </c>
      <c r="T366" s="186">
        <f>IF(T$2&lt;=AnalysisPeriod,IF(SUM($C651:T651)&gt;0,S366+1,0),0)</f>
        <v>0</v>
      </c>
      <c r="U366" s="186">
        <f>IF(U$2&lt;=AnalysisPeriod,IF(SUM($C651:U651)&gt;0,T366+1,0),0)</f>
        <v>0</v>
      </c>
      <c r="V366" s="186">
        <f>IF(V$2&lt;=AnalysisPeriod,IF(SUM($C651:V651)&gt;0,U366+1,0),0)</f>
        <v>0</v>
      </c>
      <c r="W366" s="186">
        <f>IF(W$2&lt;=AnalysisPeriod,IF(SUM($C651:W651)&gt;0,V366+1,0),0)</f>
        <v>0</v>
      </c>
      <c r="X366" s="186">
        <f>IF(X$2&lt;=AnalysisPeriod,IF(SUM($C651:X651)&gt;0,W366+1,0),0)</f>
        <v>0</v>
      </c>
      <c r="Y366" s="186">
        <f>IF(Y$2&lt;=AnalysisPeriod,IF(SUM($C651:Y651)&gt;0,X366+1,0),0)</f>
        <v>0</v>
      </c>
      <c r="Z366" s="186">
        <f>IF(Z$2&lt;=AnalysisPeriod,IF(SUM($C651:Z651)&gt;0,Y366+1,0),0)</f>
        <v>0</v>
      </c>
      <c r="AA366" s="186">
        <f>IF(AA$2&lt;=AnalysisPeriod,IF(SUM($C651:AA651)&gt;0,Z366+1,0),0)</f>
        <v>0</v>
      </c>
      <c r="AB366" s="186">
        <f>IF(AB$2&lt;=AnalysisPeriod,IF(SUM($C651:AB651)&gt;0,AA366+1,0),0)</f>
        <v>0</v>
      </c>
      <c r="AC366" s="186">
        <f>IF(AC$2&lt;=AnalysisPeriod,IF(SUM($C651:AC651)&gt;0,AB366+1,0),0)</f>
        <v>0</v>
      </c>
      <c r="AD366" s="186">
        <f>IF(AD$2&lt;=AnalysisPeriod,IF(SUM($C651:AD651)&gt;0,AC366+1,0),0)</f>
        <v>0</v>
      </c>
      <c r="AE366" s="186">
        <f>IF(AE$2&lt;=AnalysisPeriod,IF(SUM($C651:AE651)&gt;0,AD366+1,0),0)</f>
        <v>0</v>
      </c>
      <c r="AF366" s="186">
        <f>IF(AF$2&lt;=AnalysisPeriod,IF(SUM($C651:AF651)&gt;0,AE366+1,0),0)</f>
        <v>0</v>
      </c>
      <c r="AG366" s="186">
        <f>IF(AG$2&lt;=AnalysisPeriod,IF(SUM($C651:AG651)&gt;0,AF366+1,0),0)</f>
        <v>0</v>
      </c>
      <c r="AH366" s="186">
        <f>IF(AH$2&lt;=AnalysisPeriod,IF(SUM($C651:AH651)&gt;0,AG366+1,0),0)</f>
        <v>0</v>
      </c>
      <c r="AI366" s="186">
        <f>IF(AI$2&lt;=AnalysisPeriod,IF(SUM($C651:AI651)&gt;0,AH366+1,0),0)</f>
        <v>0</v>
      </c>
      <c r="AJ366" s="186">
        <f>IF(AJ$2&lt;=AnalysisPeriod,IF(SUM($C651:AJ651)&gt;0,AI366+1,0),0)</f>
        <v>0</v>
      </c>
      <c r="AK366" s="186">
        <f>IF(AK$2&lt;=AnalysisPeriod,IF(SUM($C651:AK651)&gt;0,AJ366+1,0),0)</f>
        <v>0</v>
      </c>
      <c r="AL366" s="186">
        <f>IF(AL$2&lt;=AnalysisPeriod,IF(SUM($C651:AL651)&gt;0,AK366+1,0),0)</f>
        <v>0</v>
      </c>
      <c r="AM366" s="186">
        <f>IF(AM$2&lt;=AnalysisPeriod,IF(SUM($C651:AM651)&gt;0,AL366+1,0),0)</f>
        <v>0</v>
      </c>
      <c r="AN366" s="186">
        <f>IF(AN$2&lt;=AnalysisPeriod,IF(SUM($C651:AN651)&gt;0,AM366+1,0),0)</f>
        <v>0</v>
      </c>
      <c r="AO366" s="186">
        <f>IF(AO$2&lt;=AnalysisPeriod,IF(SUM($C651:AO651)&gt;0,AN366+1,0),0)</f>
        <v>0</v>
      </c>
      <c r="AP366" s="186">
        <f>IF(AP$2&lt;=AnalysisPeriod,IF(SUM($C651:AP651)&gt;0,AO366+1,0),0)</f>
        <v>0</v>
      </c>
    </row>
    <row r="367" spans="1:42">
      <c r="A367" s="118">
        <f t="shared" si="179"/>
        <v>10</v>
      </c>
      <c r="C367" s="186">
        <f>IF(C$2&lt;=AnalysisPeriod,IF(SUM($C652:C652)&gt;0,B367+1,0),0)</f>
        <v>0</v>
      </c>
      <c r="D367" s="186">
        <f>IF(D$2&lt;=AnalysisPeriod,IF(SUM($C652:D652)&gt;0,C367+1,0),0)</f>
        <v>0</v>
      </c>
      <c r="E367" s="186">
        <f>IF(E$2&lt;=AnalysisPeriod,IF(SUM($C652:E652)&gt;0,D367+1,0),0)</f>
        <v>0</v>
      </c>
      <c r="F367" s="186">
        <f>IF(F$2&lt;=AnalysisPeriod,IF(SUM($C652:F652)&gt;0,E367+1,0),0)</f>
        <v>0</v>
      </c>
      <c r="G367" s="186">
        <f>IF(G$2&lt;=AnalysisPeriod,IF(SUM($C652:G652)&gt;0,F367+1,0),0)</f>
        <v>0</v>
      </c>
      <c r="H367" s="186">
        <f>IF(H$2&lt;=AnalysisPeriod,IF(SUM($C652:H652)&gt;0,G367+1,0),0)</f>
        <v>0</v>
      </c>
      <c r="I367" s="186">
        <f>IF(I$2&lt;=AnalysisPeriod,IF(SUM($C652:I652)&gt;0,H367+1,0),0)</f>
        <v>0</v>
      </c>
      <c r="J367" s="186">
        <f>IF(J$2&lt;=AnalysisPeriod,IF(SUM($C652:J652)&gt;0,I367+1,0),0)</f>
        <v>0</v>
      </c>
      <c r="K367" s="186">
        <f>IF(K$2&lt;=AnalysisPeriod,IF(SUM($C652:K652)&gt;0,J367+1,0),0)</f>
        <v>0</v>
      </c>
      <c r="L367" s="186">
        <f>IF(L$2&lt;=AnalysisPeriod,IF(SUM($C652:L652)&gt;0,K367+1,0),0)</f>
        <v>0</v>
      </c>
      <c r="M367" s="186">
        <f>IF(M$2&lt;=AnalysisPeriod,IF(SUM($C652:M652)&gt;0,L367+1,0),0)</f>
        <v>0</v>
      </c>
      <c r="N367" s="186">
        <f>IF(N$2&lt;=AnalysisPeriod,IF(SUM($C652:N652)&gt;0,M367+1,0),0)</f>
        <v>0</v>
      </c>
      <c r="O367" s="186">
        <f>IF(O$2&lt;=AnalysisPeriod,IF(SUM($C652:O652)&gt;0,N367+1,0),0)</f>
        <v>0</v>
      </c>
      <c r="P367" s="186">
        <f>IF(P$2&lt;=AnalysisPeriod,IF(SUM($C652:P652)&gt;0,O367+1,0),0)</f>
        <v>0</v>
      </c>
      <c r="Q367" s="186">
        <f>IF(Q$2&lt;=AnalysisPeriod,IF(SUM($C652:Q652)&gt;0,P367+1,0),0)</f>
        <v>0</v>
      </c>
      <c r="R367" s="186">
        <f>IF(R$2&lt;=AnalysisPeriod,IF(SUM($C652:R652)&gt;0,Q367+1,0),0)</f>
        <v>0</v>
      </c>
      <c r="S367" s="186">
        <f>IF(S$2&lt;=AnalysisPeriod,IF(SUM($C652:S652)&gt;0,R367+1,0),0)</f>
        <v>0</v>
      </c>
      <c r="T367" s="186">
        <f>IF(T$2&lt;=AnalysisPeriod,IF(SUM($C652:T652)&gt;0,S367+1,0),0)</f>
        <v>0</v>
      </c>
      <c r="U367" s="186">
        <f>IF(U$2&lt;=AnalysisPeriod,IF(SUM($C652:U652)&gt;0,T367+1,0),0)</f>
        <v>0</v>
      </c>
      <c r="V367" s="186">
        <f>IF(V$2&lt;=AnalysisPeriod,IF(SUM($C652:V652)&gt;0,U367+1,0),0)</f>
        <v>0</v>
      </c>
      <c r="W367" s="186">
        <f>IF(W$2&lt;=AnalysisPeriod,IF(SUM($C652:W652)&gt;0,V367+1,0),0)</f>
        <v>0</v>
      </c>
      <c r="X367" s="186">
        <f>IF(X$2&lt;=AnalysisPeriod,IF(SUM($C652:X652)&gt;0,W367+1,0),0)</f>
        <v>0</v>
      </c>
      <c r="Y367" s="186">
        <f>IF(Y$2&lt;=AnalysisPeriod,IF(SUM($C652:Y652)&gt;0,X367+1,0),0)</f>
        <v>0</v>
      </c>
      <c r="Z367" s="186">
        <f>IF(Z$2&lt;=AnalysisPeriod,IF(SUM($C652:Z652)&gt;0,Y367+1,0),0)</f>
        <v>0</v>
      </c>
      <c r="AA367" s="186">
        <f>IF(AA$2&lt;=AnalysisPeriod,IF(SUM($C652:AA652)&gt;0,Z367+1,0),0)</f>
        <v>0</v>
      </c>
      <c r="AB367" s="186">
        <f>IF(AB$2&lt;=AnalysisPeriod,IF(SUM($C652:AB652)&gt;0,AA367+1,0),0)</f>
        <v>0</v>
      </c>
      <c r="AC367" s="186">
        <f>IF(AC$2&lt;=AnalysisPeriod,IF(SUM($C652:AC652)&gt;0,AB367+1,0),0)</f>
        <v>0</v>
      </c>
      <c r="AD367" s="186">
        <f>IF(AD$2&lt;=AnalysisPeriod,IF(SUM($C652:AD652)&gt;0,AC367+1,0),0)</f>
        <v>0</v>
      </c>
      <c r="AE367" s="186">
        <f>IF(AE$2&lt;=AnalysisPeriod,IF(SUM($C652:AE652)&gt;0,AD367+1,0),0)</f>
        <v>0</v>
      </c>
      <c r="AF367" s="186">
        <f>IF(AF$2&lt;=AnalysisPeriod,IF(SUM($C652:AF652)&gt;0,AE367+1,0),0)</f>
        <v>0</v>
      </c>
      <c r="AG367" s="186">
        <f>IF(AG$2&lt;=AnalysisPeriod,IF(SUM($C652:AG652)&gt;0,AF367+1,0),0)</f>
        <v>0</v>
      </c>
      <c r="AH367" s="186">
        <f>IF(AH$2&lt;=AnalysisPeriod,IF(SUM($C652:AH652)&gt;0,AG367+1,0),0)</f>
        <v>0</v>
      </c>
      <c r="AI367" s="186">
        <f>IF(AI$2&lt;=AnalysisPeriod,IF(SUM($C652:AI652)&gt;0,AH367+1,0),0)</f>
        <v>0</v>
      </c>
      <c r="AJ367" s="186">
        <f>IF(AJ$2&lt;=AnalysisPeriod,IF(SUM($C652:AJ652)&gt;0,AI367+1,0),0)</f>
        <v>0</v>
      </c>
      <c r="AK367" s="186">
        <f>IF(AK$2&lt;=AnalysisPeriod,IF(SUM($C652:AK652)&gt;0,AJ367+1,0),0)</f>
        <v>0</v>
      </c>
      <c r="AL367" s="186">
        <f>IF(AL$2&lt;=AnalysisPeriod,IF(SUM($C652:AL652)&gt;0,AK367+1,0),0)</f>
        <v>0</v>
      </c>
      <c r="AM367" s="186">
        <f>IF(AM$2&lt;=AnalysisPeriod,IF(SUM($C652:AM652)&gt;0,AL367+1,0),0)</f>
        <v>0</v>
      </c>
      <c r="AN367" s="186">
        <f>IF(AN$2&lt;=AnalysisPeriod,IF(SUM($C652:AN652)&gt;0,AM367+1,0),0)</f>
        <v>0</v>
      </c>
      <c r="AO367" s="186">
        <f>IF(AO$2&lt;=AnalysisPeriod,IF(SUM($C652:AO652)&gt;0,AN367+1,0),0)</f>
        <v>0</v>
      </c>
      <c r="AP367" s="186">
        <f>IF(AP$2&lt;=AnalysisPeriod,IF(SUM($C652:AP652)&gt;0,AO367+1,0),0)</f>
        <v>0</v>
      </c>
    </row>
    <row r="368" spans="1:42">
      <c r="A368" s="204"/>
      <c r="C368" s="186"/>
      <c r="D368" s="186"/>
      <c r="E368" s="186"/>
      <c r="F368" s="186"/>
      <c r="G368" s="186"/>
      <c r="H368" s="186"/>
      <c r="I368" s="186"/>
      <c r="J368" s="186"/>
      <c r="K368" s="186"/>
      <c r="L368" s="186"/>
      <c r="M368" s="186"/>
      <c r="N368" s="186"/>
      <c r="O368" s="186"/>
      <c r="P368" s="186"/>
      <c r="Q368" s="186"/>
      <c r="R368" s="186"/>
      <c r="S368" s="186"/>
      <c r="T368" s="186"/>
      <c r="U368" s="186"/>
      <c r="V368" s="186"/>
      <c r="W368" s="186"/>
      <c r="X368" s="186"/>
      <c r="Y368" s="186"/>
      <c r="Z368" s="186"/>
      <c r="AA368" s="186"/>
      <c r="AB368" s="186"/>
      <c r="AC368" s="186"/>
      <c r="AD368" s="186"/>
      <c r="AE368" s="186"/>
      <c r="AF368" s="186"/>
      <c r="AG368" s="186"/>
      <c r="AH368" s="186"/>
      <c r="AI368" s="186"/>
      <c r="AJ368" s="186"/>
      <c r="AK368" s="186"/>
      <c r="AL368" s="186"/>
      <c r="AM368" s="186"/>
      <c r="AN368" s="186"/>
      <c r="AO368" s="186"/>
      <c r="AP368" s="186"/>
    </row>
    <row r="369" spans="1:42">
      <c r="A369" s="204" t="s">
        <v>211</v>
      </c>
      <c r="C369" s="186"/>
      <c r="D369" s="186"/>
      <c r="E369" s="186"/>
      <c r="F369" s="186"/>
      <c r="G369" s="186"/>
      <c r="H369" s="186"/>
      <c r="I369" s="186"/>
      <c r="J369" s="186"/>
      <c r="K369" s="186"/>
      <c r="L369" s="186"/>
      <c r="M369" s="186"/>
      <c r="N369" s="186"/>
      <c r="O369" s="186"/>
      <c r="P369" s="186"/>
      <c r="Q369" s="186"/>
      <c r="R369" s="186"/>
      <c r="S369" s="186"/>
      <c r="T369" s="186"/>
      <c r="U369" s="186"/>
      <c r="V369" s="186"/>
      <c r="W369" s="186"/>
      <c r="X369" s="186"/>
      <c r="Y369" s="186"/>
      <c r="Z369" s="186"/>
      <c r="AA369" s="186"/>
      <c r="AB369" s="186"/>
      <c r="AC369" s="186"/>
      <c r="AD369" s="186"/>
      <c r="AE369" s="186"/>
      <c r="AF369" s="186"/>
      <c r="AG369" s="186"/>
      <c r="AH369" s="186"/>
      <c r="AI369" s="186"/>
      <c r="AJ369" s="186"/>
      <c r="AK369" s="186"/>
      <c r="AL369" s="186"/>
      <c r="AM369" s="186"/>
      <c r="AN369" s="186"/>
      <c r="AO369" s="186"/>
      <c r="AP369" s="186"/>
    </row>
    <row r="370" spans="1:42">
      <c r="A370" s="118">
        <v>1</v>
      </c>
      <c r="B370" s="196">
        <f t="shared" ref="B370:B379" si="180">SUM(C370:AP370)</f>
        <v>6158778.6534697898</v>
      </c>
      <c r="C370" s="225">
        <f t="shared" ref="C370:AP370" si="181">LOOKUP(C358,$B$328:$AP$328,$B$329:$AP$329)*$B643</f>
        <v>0</v>
      </c>
      <c r="D370" s="186">
        <f t="shared" si="181"/>
        <v>0</v>
      </c>
      <c r="E370" s="186">
        <f t="shared" si="181"/>
        <v>0</v>
      </c>
      <c r="F370" s="186">
        <f t="shared" si="181"/>
        <v>0</v>
      </c>
      <c r="G370" s="186">
        <f t="shared" si="181"/>
        <v>0</v>
      </c>
      <c r="H370" s="186">
        <f t="shared" si="181"/>
        <v>0</v>
      </c>
      <c r="I370" s="186">
        <f t="shared" si="181"/>
        <v>0</v>
      </c>
      <c r="J370" s="186">
        <f t="shared" si="181"/>
        <v>0</v>
      </c>
      <c r="K370" s="186">
        <f t="shared" si="181"/>
        <v>0</v>
      </c>
      <c r="L370" s="186">
        <f t="shared" si="181"/>
        <v>0</v>
      </c>
      <c r="M370" s="186">
        <f t="shared" si="181"/>
        <v>0</v>
      </c>
      <c r="N370" s="186">
        <f t="shared" si="181"/>
        <v>0</v>
      </c>
      <c r="O370" s="186">
        <f t="shared" si="181"/>
        <v>0</v>
      </c>
      <c r="P370" s="186">
        <f t="shared" si="181"/>
        <v>0</v>
      </c>
      <c r="Q370" s="186">
        <f t="shared" si="181"/>
        <v>1231755.7306939578</v>
      </c>
      <c r="R370" s="186">
        <f t="shared" si="181"/>
        <v>1970809.1691103324</v>
      </c>
      <c r="S370" s="186">
        <f t="shared" si="181"/>
        <v>1182485.5014661995</v>
      </c>
      <c r="T370" s="186">
        <f t="shared" si="181"/>
        <v>709491.30087971967</v>
      </c>
      <c r="U370" s="186">
        <f t="shared" si="181"/>
        <v>709491.30087971967</v>
      </c>
      <c r="V370" s="186">
        <f t="shared" si="181"/>
        <v>354745.65043985983</v>
      </c>
      <c r="W370" s="186">
        <f t="shared" si="181"/>
        <v>0</v>
      </c>
      <c r="X370" s="186">
        <f t="shared" si="181"/>
        <v>0</v>
      </c>
      <c r="Y370" s="186">
        <f t="shared" si="181"/>
        <v>0</v>
      </c>
      <c r="Z370" s="186">
        <f t="shared" si="181"/>
        <v>0</v>
      </c>
      <c r="AA370" s="186">
        <f t="shared" si="181"/>
        <v>0</v>
      </c>
      <c r="AB370" s="186">
        <f t="shared" si="181"/>
        <v>0</v>
      </c>
      <c r="AC370" s="186">
        <f t="shared" si="181"/>
        <v>0</v>
      </c>
      <c r="AD370" s="186">
        <f t="shared" si="181"/>
        <v>0</v>
      </c>
      <c r="AE370" s="186">
        <f t="shared" si="181"/>
        <v>0</v>
      </c>
      <c r="AF370" s="186">
        <f t="shared" si="181"/>
        <v>0</v>
      </c>
      <c r="AG370" s="186">
        <f t="shared" si="181"/>
        <v>0</v>
      </c>
      <c r="AH370" s="186">
        <f t="shared" si="181"/>
        <v>0</v>
      </c>
      <c r="AI370" s="186">
        <f t="shared" si="181"/>
        <v>0</v>
      </c>
      <c r="AJ370" s="186">
        <f t="shared" si="181"/>
        <v>0</v>
      </c>
      <c r="AK370" s="186">
        <f t="shared" si="181"/>
        <v>0</v>
      </c>
      <c r="AL370" s="186">
        <f t="shared" si="181"/>
        <v>0</v>
      </c>
      <c r="AM370" s="186">
        <f t="shared" si="181"/>
        <v>0</v>
      </c>
      <c r="AN370" s="186">
        <f t="shared" si="181"/>
        <v>0</v>
      </c>
      <c r="AO370" s="186">
        <f t="shared" si="181"/>
        <v>0</v>
      </c>
      <c r="AP370" s="186">
        <f t="shared" si="181"/>
        <v>0</v>
      </c>
    </row>
    <row r="371" spans="1:42">
      <c r="A371" s="118">
        <f>A370+1</f>
        <v>2</v>
      </c>
      <c r="B371" s="196">
        <f t="shared" si="180"/>
        <v>1539980.512798867</v>
      </c>
      <c r="C371" s="225">
        <f t="shared" ref="C371:AP371" si="182">LOOKUP(C359,$B$328:$AP$328,$B$329:$AP$329)*$B644</f>
        <v>0</v>
      </c>
      <c r="D371" s="186">
        <f t="shared" si="182"/>
        <v>0</v>
      </c>
      <c r="E371" s="186">
        <f t="shared" si="182"/>
        <v>0</v>
      </c>
      <c r="F371" s="186">
        <f t="shared" si="182"/>
        <v>0</v>
      </c>
      <c r="G371" s="186">
        <f t="shared" si="182"/>
        <v>0</v>
      </c>
      <c r="H371" s="186">
        <f t="shared" si="182"/>
        <v>0</v>
      </c>
      <c r="I371" s="186">
        <f t="shared" si="182"/>
        <v>0</v>
      </c>
      <c r="J371" s="186">
        <f t="shared" si="182"/>
        <v>0</v>
      </c>
      <c r="K371" s="186">
        <f t="shared" si="182"/>
        <v>0</v>
      </c>
      <c r="L371" s="186">
        <f t="shared" si="182"/>
        <v>0</v>
      </c>
      <c r="M371" s="186">
        <f t="shared" si="182"/>
        <v>0</v>
      </c>
      <c r="N371" s="186">
        <f t="shared" si="182"/>
        <v>0</v>
      </c>
      <c r="O371" s="186">
        <f t="shared" si="182"/>
        <v>0</v>
      </c>
      <c r="P371" s="186">
        <f t="shared" si="182"/>
        <v>0</v>
      </c>
      <c r="Q371" s="186">
        <f t="shared" si="182"/>
        <v>0</v>
      </c>
      <c r="R371" s="186">
        <f t="shared" si="182"/>
        <v>0</v>
      </c>
      <c r="S371" s="186">
        <f t="shared" si="182"/>
        <v>0</v>
      </c>
      <c r="T371" s="186">
        <f t="shared" si="182"/>
        <v>0</v>
      </c>
      <c r="U371" s="186">
        <f t="shared" si="182"/>
        <v>0</v>
      </c>
      <c r="V371" s="186">
        <f t="shared" si="182"/>
        <v>0</v>
      </c>
      <c r="W371" s="186">
        <f t="shared" si="182"/>
        <v>0</v>
      </c>
      <c r="X371" s="186">
        <f t="shared" si="182"/>
        <v>0</v>
      </c>
      <c r="Y371" s="186">
        <f t="shared" si="182"/>
        <v>0</v>
      </c>
      <c r="Z371" s="186">
        <f t="shared" si="182"/>
        <v>0</v>
      </c>
      <c r="AA371" s="186">
        <f t="shared" si="182"/>
        <v>0</v>
      </c>
      <c r="AB371" s="186">
        <f t="shared" si="182"/>
        <v>0</v>
      </c>
      <c r="AC371" s="186">
        <f t="shared" si="182"/>
        <v>0</v>
      </c>
      <c r="AD371" s="186">
        <f t="shared" si="182"/>
        <v>0</v>
      </c>
      <c r="AE371" s="186">
        <f t="shared" si="182"/>
        <v>0</v>
      </c>
      <c r="AF371" s="186">
        <f t="shared" si="182"/>
        <v>1539980.512798867</v>
      </c>
      <c r="AG371" s="186">
        <f t="shared" si="182"/>
        <v>0</v>
      </c>
      <c r="AH371" s="186">
        <f t="shared" si="182"/>
        <v>0</v>
      </c>
      <c r="AI371" s="186">
        <f t="shared" si="182"/>
        <v>0</v>
      </c>
      <c r="AJ371" s="186">
        <f t="shared" si="182"/>
        <v>0</v>
      </c>
      <c r="AK371" s="186">
        <f t="shared" si="182"/>
        <v>0</v>
      </c>
      <c r="AL371" s="186">
        <f t="shared" si="182"/>
        <v>0</v>
      </c>
      <c r="AM371" s="186">
        <f t="shared" si="182"/>
        <v>0</v>
      </c>
      <c r="AN371" s="186">
        <f t="shared" si="182"/>
        <v>0</v>
      </c>
      <c r="AO371" s="186">
        <f t="shared" si="182"/>
        <v>0</v>
      </c>
      <c r="AP371" s="186">
        <f t="shared" si="182"/>
        <v>0</v>
      </c>
    </row>
    <row r="372" spans="1:42">
      <c r="A372" s="118">
        <f t="shared" ref="A372:A379" si="183">A371+1</f>
        <v>3</v>
      </c>
      <c r="B372" s="196">
        <f t="shared" si="180"/>
        <v>0</v>
      </c>
      <c r="C372" s="225">
        <f t="shared" ref="C372:AP372" si="184">LOOKUP(C360,$B$328:$AP$328,$B$329:$AP$329)*$B645</f>
        <v>0</v>
      </c>
      <c r="D372" s="186">
        <f t="shared" si="184"/>
        <v>0</v>
      </c>
      <c r="E372" s="186">
        <f t="shared" si="184"/>
        <v>0</v>
      </c>
      <c r="F372" s="186">
        <f t="shared" si="184"/>
        <v>0</v>
      </c>
      <c r="G372" s="186">
        <f t="shared" si="184"/>
        <v>0</v>
      </c>
      <c r="H372" s="186">
        <f t="shared" si="184"/>
        <v>0</v>
      </c>
      <c r="I372" s="186">
        <f t="shared" si="184"/>
        <v>0</v>
      </c>
      <c r="J372" s="186">
        <f t="shared" si="184"/>
        <v>0</v>
      </c>
      <c r="K372" s="186">
        <f t="shared" si="184"/>
        <v>0</v>
      </c>
      <c r="L372" s="186">
        <f t="shared" si="184"/>
        <v>0</v>
      </c>
      <c r="M372" s="186">
        <f t="shared" si="184"/>
        <v>0</v>
      </c>
      <c r="N372" s="186">
        <f t="shared" si="184"/>
        <v>0</v>
      </c>
      <c r="O372" s="186">
        <f t="shared" si="184"/>
        <v>0</v>
      </c>
      <c r="P372" s="186">
        <f t="shared" si="184"/>
        <v>0</v>
      </c>
      <c r="Q372" s="186">
        <f t="shared" si="184"/>
        <v>0</v>
      </c>
      <c r="R372" s="186">
        <f t="shared" si="184"/>
        <v>0</v>
      </c>
      <c r="S372" s="186">
        <f t="shared" si="184"/>
        <v>0</v>
      </c>
      <c r="T372" s="186">
        <f t="shared" si="184"/>
        <v>0</v>
      </c>
      <c r="U372" s="186">
        <f t="shared" si="184"/>
        <v>0</v>
      </c>
      <c r="V372" s="186">
        <f t="shared" si="184"/>
        <v>0</v>
      </c>
      <c r="W372" s="186">
        <f t="shared" si="184"/>
        <v>0</v>
      </c>
      <c r="X372" s="186">
        <f t="shared" si="184"/>
        <v>0</v>
      </c>
      <c r="Y372" s="186">
        <f t="shared" si="184"/>
        <v>0</v>
      </c>
      <c r="Z372" s="186">
        <f t="shared" si="184"/>
        <v>0</v>
      </c>
      <c r="AA372" s="186">
        <f t="shared" si="184"/>
        <v>0</v>
      </c>
      <c r="AB372" s="186">
        <f t="shared" si="184"/>
        <v>0</v>
      </c>
      <c r="AC372" s="186">
        <f t="shared" si="184"/>
        <v>0</v>
      </c>
      <c r="AD372" s="186">
        <f t="shared" si="184"/>
        <v>0</v>
      </c>
      <c r="AE372" s="186">
        <f t="shared" si="184"/>
        <v>0</v>
      </c>
      <c r="AF372" s="186">
        <f t="shared" si="184"/>
        <v>0</v>
      </c>
      <c r="AG372" s="186">
        <f t="shared" si="184"/>
        <v>0</v>
      </c>
      <c r="AH372" s="186">
        <f t="shared" si="184"/>
        <v>0</v>
      </c>
      <c r="AI372" s="186">
        <f t="shared" si="184"/>
        <v>0</v>
      </c>
      <c r="AJ372" s="186">
        <f t="shared" si="184"/>
        <v>0</v>
      </c>
      <c r="AK372" s="186">
        <f t="shared" si="184"/>
        <v>0</v>
      </c>
      <c r="AL372" s="186">
        <f t="shared" si="184"/>
        <v>0</v>
      </c>
      <c r="AM372" s="186">
        <f t="shared" si="184"/>
        <v>0</v>
      </c>
      <c r="AN372" s="186">
        <f t="shared" si="184"/>
        <v>0</v>
      </c>
      <c r="AO372" s="186">
        <f t="shared" si="184"/>
        <v>0</v>
      </c>
      <c r="AP372" s="186">
        <f t="shared" si="184"/>
        <v>0</v>
      </c>
    </row>
    <row r="373" spans="1:42">
      <c r="A373" s="118">
        <f t="shared" si="183"/>
        <v>4</v>
      </c>
      <c r="B373" s="196">
        <f t="shared" si="180"/>
        <v>0</v>
      </c>
      <c r="C373" s="225">
        <f t="shared" ref="C373:AP373" si="185">LOOKUP(C361,$B$328:$AP$328,$B$329:$AP$329)*$B646</f>
        <v>0</v>
      </c>
      <c r="D373" s="186">
        <f t="shared" si="185"/>
        <v>0</v>
      </c>
      <c r="E373" s="186">
        <f t="shared" si="185"/>
        <v>0</v>
      </c>
      <c r="F373" s="186">
        <f t="shared" si="185"/>
        <v>0</v>
      </c>
      <c r="G373" s="186">
        <f t="shared" si="185"/>
        <v>0</v>
      </c>
      <c r="H373" s="186">
        <f t="shared" si="185"/>
        <v>0</v>
      </c>
      <c r="I373" s="186">
        <f t="shared" si="185"/>
        <v>0</v>
      </c>
      <c r="J373" s="186">
        <f t="shared" si="185"/>
        <v>0</v>
      </c>
      <c r="K373" s="186">
        <f t="shared" si="185"/>
        <v>0</v>
      </c>
      <c r="L373" s="186">
        <f t="shared" si="185"/>
        <v>0</v>
      </c>
      <c r="M373" s="186">
        <f t="shared" si="185"/>
        <v>0</v>
      </c>
      <c r="N373" s="186">
        <f t="shared" si="185"/>
        <v>0</v>
      </c>
      <c r="O373" s="186">
        <f t="shared" si="185"/>
        <v>0</v>
      </c>
      <c r="P373" s="186">
        <f t="shared" si="185"/>
        <v>0</v>
      </c>
      <c r="Q373" s="186">
        <f t="shared" si="185"/>
        <v>0</v>
      </c>
      <c r="R373" s="186">
        <f t="shared" si="185"/>
        <v>0</v>
      </c>
      <c r="S373" s="186">
        <f t="shared" si="185"/>
        <v>0</v>
      </c>
      <c r="T373" s="186">
        <f t="shared" si="185"/>
        <v>0</v>
      </c>
      <c r="U373" s="186">
        <f t="shared" si="185"/>
        <v>0</v>
      </c>
      <c r="V373" s="186">
        <f t="shared" si="185"/>
        <v>0</v>
      </c>
      <c r="W373" s="186">
        <f t="shared" si="185"/>
        <v>0</v>
      </c>
      <c r="X373" s="186">
        <f t="shared" si="185"/>
        <v>0</v>
      </c>
      <c r="Y373" s="186">
        <f t="shared" si="185"/>
        <v>0</v>
      </c>
      <c r="Z373" s="186">
        <f t="shared" si="185"/>
        <v>0</v>
      </c>
      <c r="AA373" s="186">
        <f t="shared" si="185"/>
        <v>0</v>
      </c>
      <c r="AB373" s="186">
        <f t="shared" si="185"/>
        <v>0</v>
      </c>
      <c r="AC373" s="186">
        <f t="shared" si="185"/>
        <v>0</v>
      </c>
      <c r="AD373" s="186">
        <f t="shared" si="185"/>
        <v>0</v>
      </c>
      <c r="AE373" s="186">
        <f t="shared" si="185"/>
        <v>0</v>
      </c>
      <c r="AF373" s="186">
        <f t="shared" si="185"/>
        <v>0</v>
      </c>
      <c r="AG373" s="186">
        <f t="shared" si="185"/>
        <v>0</v>
      </c>
      <c r="AH373" s="186">
        <f t="shared" si="185"/>
        <v>0</v>
      </c>
      <c r="AI373" s="186">
        <f t="shared" si="185"/>
        <v>0</v>
      </c>
      <c r="AJ373" s="186">
        <f t="shared" si="185"/>
        <v>0</v>
      </c>
      <c r="AK373" s="186">
        <f t="shared" si="185"/>
        <v>0</v>
      </c>
      <c r="AL373" s="186">
        <f t="shared" si="185"/>
        <v>0</v>
      </c>
      <c r="AM373" s="186">
        <f t="shared" si="185"/>
        <v>0</v>
      </c>
      <c r="AN373" s="186">
        <f t="shared" si="185"/>
        <v>0</v>
      </c>
      <c r="AO373" s="186">
        <f t="shared" si="185"/>
        <v>0</v>
      </c>
      <c r="AP373" s="186">
        <f t="shared" si="185"/>
        <v>0</v>
      </c>
    </row>
    <row r="374" spans="1:42">
      <c r="A374" s="118">
        <f t="shared" si="183"/>
        <v>5</v>
      </c>
      <c r="B374" s="196">
        <f t="shared" si="180"/>
        <v>0</v>
      </c>
      <c r="C374" s="225">
        <f t="shared" ref="C374:AP374" si="186">LOOKUP(C362,$B$328:$AP$328,$B$329:$AP$329)*$B647</f>
        <v>0</v>
      </c>
      <c r="D374" s="186">
        <f t="shared" si="186"/>
        <v>0</v>
      </c>
      <c r="E374" s="186">
        <f t="shared" si="186"/>
        <v>0</v>
      </c>
      <c r="F374" s="186">
        <f t="shared" si="186"/>
        <v>0</v>
      </c>
      <c r="G374" s="186">
        <f t="shared" si="186"/>
        <v>0</v>
      </c>
      <c r="H374" s="186">
        <f t="shared" si="186"/>
        <v>0</v>
      </c>
      <c r="I374" s="186">
        <f t="shared" si="186"/>
        <v>0</v>
      </c>
      <c r="J374" s="186">
        <f t="shared" si="186"/>
        <v>0</v>
      </c>
      <c r="K374" s="186">
        <f t="shared" si="186"/>
        <v>0</v>
      </c>
      <c r="L374" s="186">
        <f t="shared" si="186"/>
        <v>0</v>
      </c>
      <c r="M374" s="186">
        <f t="shared" si="186"/>
        <v>0</v>
      </c>
      <c r="N374" s="186">
        <f t="shared" si="186"/>
        <v>0</v>
      </c>
      <c r="O374" s="186">
        <f t="shared" si="186"/>
        <v>0</v>
      </c>
      <c r="P374" s="186">
        <f t="shared" si="186"/>
        <v>0</v>
      </c>
      <c r="Q374" s="186">
        <f t="shared" si="186"/>
        <v>0</v>
      </c>
      <c r="R374" s="186">
        <f t="shared" si="186"/>
        <v>0</v>
      </c>
      <c r="S374" s="186">
        <f t="shared" si="186"/>
        <v>0</v>
      </c>
      <c r="T374" s="186">
        <f t="shared" si="186"/>
        <v>0</v>
      </c>
      <c r="U374" s="186">
        <f t="shared" si="186"/>
        <v>0</v>
      </c>
      <c r="V374" s="186">
        <f t="shared" si="186"/>
        <v>0</v>
      </c>
      <c r="W374" s="186">
        <f t="shared" si="186"/>
        <v>0</v>
      </c>
      <c r="X374" s="186">
        <f t="shared" si="186"/>
        <v>0</v>
      </c>
      <c r="Y374" s="186">
        <f t="shared" si="186"/>
        <v>0</v>
      </c>
      <c r="Z374" s="186">
        <f t="shared" si="186"/>
        <v>0</v>
      </c>
      <c r="AA374" s="186">
        <f t="shared" si="186"/>
        <v>0</v>
      </c>
      <c r="AB374" s="186">
        <f t="shared" si="186"/>
        <v>0</v>
      </c>
      <c r="AC374" s="186">
        <f t="shared" si="186"/>
        <v>0</v>
      </c>
      <c r="AD374" s="186">
        <f t="shared" si="186"/>
        <v>0</v>
      </c>
      <c r="AE374" s="186">
        <f t="shared" si="186"/>
        <v>0</v>
      </c>
      <c r="AF374" s="186">
        <f t="shared" si="186"/>
        <v>0</v>
      </c>
      <c r="AG374" s="186">
        <f t="shared" si="186"/>
        <v>0</v>
      </c>
      <c r="AH374" s="186">
        <f t="shared" si="186"/>
        <v>0</v>
      </c>
      <c r="AI374" s="186">
        <f t="shared" si="186"/>
        <v>0</v>
      </c>
      <c r="AJ374" s="186">
        <f t="shared" si="186"/>
        <v>0</v>
      </c>
      <c r="AK374" s="186">
        <f t="shared" si="186"/>
        <v>0</v>
      </c>
      <c r="AL374" s="186">
        <f t="shared" si="186"/>
        <v>0</v>
      </c>
      <c r="AM374" s="186">
        <f t="shared" si="186"/>
        <v>0</v>
      </c>
      <c r="AN374" s="186">
        <f t="shared" si="186"/>
        <v>0</v>
      </c>
      <c r="AO374" s="186">
        <f t="shared" si="186"/>
        <v>0</v>
      </c>
      <c r="AP374" s="186">
        <f t="shared" si="186"/>
        <v>0</v>
      </c>
    </row>
    <row r="375" spans="1:42">
      <c r="A375" s="118">
        <f t="shared" si="183"/>
        <v>6</v>
      </c>
      <c r="B375" s="196">
        <f t="shared" si="180"/>
        <v>0</v>
      </c>
      <c r="C375" s="225">
        <f t="shared" ref="C375:AP375" si="187">LOOKUP(C363,$B$328:$AP$328,$B$329:$AP$329)*$B648</f>
        <v>0</v>
      </c>
      <c r="D375" s="186">
        <f t="shared" si="187"/>
        <v>0</v>
      </c>
      <c r="E375" s="186">
        <f t="shared" si="187"/>
        <v>0</v>
      </c>
      <c r="F375" s="186">
        <f t="shared" si="187"/>
        <v>0</v>
      </c>
      <c r="G375" s="186">
        <f t="shared" si="187"/>
        <v>0</v>
      </c>
      <c r="H375" s="186">
        <f t="shared" si="187"/>
        <v>0</v>
      </c>
      <c r="I375" s="186">
        <f t="shared" si="187"/>
        <v>0</v>
      </c>
      <c r="J375" s="186">
        <f t="shared" si="187"/>
        <v>0</v>
      </c>
      <c r="K375" s="186">
        <f t="shared" si="187"/>
        <v>0</v>
      </c>
      <c r="L375" s="186">
        <f t="shared" si="187"/>
        <v>0</v>
      </c>
      <c r="M375" s="186">
        <f t="shared" si="187"/>
        <v>0</v>
      </c>
      <c r="N375" s="186">
        <f t="shared" si="187"/>
        <v>0</v>
      </c>
      <c r="O375" s="186">
        <f t="shared" si="187"/>
        <v>0</v>
      </c>
      <c r="P375" s="186">
        <f t="shared" si="187"/>
        <v>0</v>
      </c>
      <c r="Q375" s="186">
        <f t="shared" si="187"/>
        <v>0</v>
      </c>
      <c r="R375" s="186">
        <f t="shared" si="187"/>
        <v>0</v>
      </c>
      <c r="S375" s="186">
        <f t="shared" si="187"/>
        <v>0</v>
      </c>
      <c r="T375" s="186">
        <f t="shared" si="187"/>
        <v>0</v>
      </c>
      <c r="U375" s="186">
        <f t="shared" si="187"/>
        <v>0</v>
      </c>
      <c r="V375" s="186">
        <f t="shared" si="187"/>
        <v>0</v>
      </c>
      <c r="W375" s="186">
        <f t="shared" si="187"/>
        <v>0</v>
      </c>
      <c r="X375" s="186">
        <f t="shared" si="187"/>
        <v>0</v>
      </c>
      <c r="Y375" s="186">
        <f t="shared" si="187"/>
        <v>0</v>
      </c>
      <c r="Z375" s="186">
        <f t="shared" si="187"/>
        <v>0</v>
      </c>
      <c r="AA375" s="186">
        <f t="shared" si="187"/>
        <v>0</v>
      </c>
      <c r="AB375" s="186">
        <f t="shared" si="187"/>
        <v>0</v>
      </c>
      <c r="AC375" s="186">
        <f t="shared" si="187"/>
        <v>0</v>
      </c>
      <c r="AD375" s="186">
        <f t="shared" si="187"/>
        <v>0</v>
      </c>
      <c r="AE375" s="186">
        <f t="shared" si="187"/>
        <v>0</v>
      </c>
      <c r="AF375" s="186">
        <f t="shared" si="187"/>
        <v>0</v>
      </c>
      <c r="AG375" s="186">
        <f t="shared" si="187"/>
        <v>0</v>
      </c>
      <c r="AH375" s="186">
        <f t="shared" si="187"/>
        <v>0</v>
      </c>
      <c r="AI375" s="186">
        <f t="shared" si="187"/>
        <v>0</v>
      </c>
      <c r="AJ375" s="186">
        <f t="shared" si="187"/>
        <v>0</v>
      </c>
      <c r="AK375" s="186">
        <f t="shared" si="187"/>
        <v>0</v>
      </c>
      <c r="AL375" s="186">
        <f t="shared" si="187"/>
        <v>0</v>
      </c>
      <c r="AM375" s="186">
        <f t="shared" si="187"/>
        <v>0</v>
      </c>
      <c r="AN375" s="186">
        <f t="shared" si="187"/>
        <v>0</v>
      </c>
      <c r="AO375" s="186">
        <f t="shared" si="187"/>
        <v>0</v>
      </c>
      <c r="AP375" s="186">
        <f t="shared" si="187"/>
        <v>0</v>
      </c>
    </row>
    <row r="376" spans="1:42">
      <c r="A376" s="118">
        <f t="shared" si="183"/>
        <v>7</v>
      </c>
      <c r="B376" s="196">
        <f t="shared" si="180"/>
        <v>0</v>
      </c>
      <c r="C376" s="225">
        <f t="shared" ref="C376:AP376" si="188">LOOKUP(C364,$B$328:$AP$328,$B$329:$AP$329)*$B649</f>
        <v>0</v>
      </c>
      <c r="D376" s="186">
        <f t="shared" si="188"/>
        <v>0</v>
      </c>
      <c r="E376" s="186">
        <f t="shared" si="188"/>
        <v>0</v>
      </c>
      <c r="F376" s="186">
        <f t="shared" si="188"/>
        <v>0</v>
      </c>
      <c r="G376" s="186">
        <f t="shared" si="188"/>
        <v>0</v>
      </c>
      <c r="H376" s="186">
        <f t="shared" si="188"/>
        <v>0</v>
      </c>
      <c r="I376" s="186">
        <f t="shared" si="188"/>
        <v>0</v>
      </c>
      <c r="J376" s="186">
        <f t="shared" si="188"/>
        <v>0</v>
      </c>
      <c r="K376" s="186">
        <f t="shared" si="188"/>
        <v>0</v>
      </c>
      <c r="L376" s="186">
        <f t="shared" si="188"/>
        <v>0</v>
      </c>
      <c r="M376" s="186">
        <f t="shared" si="188"/>
        <v>0</v>
      </c>
      <c r="N376" s="186">
        <f t="shared" si="188"/>
        <v>0</v>
      </c>
      <c r="O376" s="186">
        <f t="shared" si="188"/>
        <v>0</v>
      </c>
      <c r="P376" s="186">
        <f t="shared" si="188"/>
        <v>0</v>
      </c>
      <c r="Q376" s="186">
        <f t="shared" si="188"/>
        <v>0</v>
      </c>
      <c r="R376" s="186">
        <f t="shared" si="188"/>
        <v>0</v>
      </c>
      <c r="S376" s="186">
        <f t="shared" si="188"/>
        <v>0</v>
      </c>
      <c r="T376" s="186">
        <f t="shared" si="188"/>
        <v>0</v>
      </c>
      <c r="U376" s="186">
        <f t="shared" si="188"/>
        <v>0</v>
      </c>
      <c r="V376" s="186">
        <f t="shared" si="188"/>
        <v>0</v>
      </c>
      <c r="W376" s="186">
        <f t="shared" si="188"/>
        <v>0</v>
      </c>
      <c r="X376" s="186">
        <f t="shared" si="188"/>
        <v>0</v>
      </c>
      <c r="Y376" s="186">
        <f t="shared" si="188"/>
        <v>0</v>
      </c>
      <c r="Z376" s="186">
        <f t="shared" si="188"/>
        <v>0</v>
      </c>
      <c r="AA376" s="186">
        <f t="shared" si="188"/>
        <v>0</v>
      </c>
      <c r="AB376" s="186">
        <f t="shared" si="188"/>
        <v>0</v>
      </c>
      <c r="AC376" s="186">
        <f t="shared" si="188"/>
        <v>0</v>
      </c>
      <c r="AD376" s="186">
        <f t="shared" si="188"/>
        <v>0</v>
      </c>
      <c r="AE376" s="186">
        <f t="shared" si="188"/>
        <v>0</v>
      </c>
      <c r="AF376" s="186">
        <f t="shared" si="188"/>
        <v>0</v>
      </c>
      <c r="AG376" s="186">
        <f t="shared" si="188"/>
        <v>0</v>
      </c>
      <c r="AH376" s="186">
        <f t="shared" si="188"/>
        <v>0</v>
      </c>
      <c r="AI376" s="186">
        <f t="shared" si="188"/>
        <v>0</v>
      </c>
      <c r="AJ376" s="186">
        <f t="shared" si="188"/>
        <v>0</v>
      </c>
      <c r="AK376" s="186">
        <f t="shared" si="188"/>
        <v>0</v>
      </c>
      <c r="AL376" s="186">
        <f t="shared" si="188"/>
        <v>0</v>
      </c>
      <c r="AM376" s="186">
        <f t="shared" si="188"/>
        <v>0</v>
      </c>
      <c r="AN376" s="186">
        <f t="shared" si="188"/>
        <v>0</v>
      </c>
      <c r="AO376" s="186">
        <f t="shared" si="188"/>
        <v>0</v>
      </c>
      <c r="AP376" s="186">
        <f t="shared" si="188"/>
        <v>0</v>
      </c>
    </row>
    <row r="377" spans="1:42">
      <c r="A377" s="118">
        <f t="shared" si="183"/>
        <v>8</v>
      </c>
      <c r="B377" s="196">
        <f t="shared" si="180"/>
        <v>0</v>
      </c>
      <c r="C377" s="225">
        <f t="shared" ref="C377:AP377" si="189">LOOKUP(C365,$B$328:$AP$328,$B$329:$AP$329)*$B650</f>
        <v>0</v>
      </c>
      <c r="D377" s="186">
        <f t="shared" si="189"/>
        <v>0</v>
      </c>
      <c r="E377" s="186">
        <f t="shared" si="189"/>
        <v>0</v>
      </c>
      <c r="F377" s="186">
        <f t="shared" si="189"/>
        <v>0</v>
      </c>
      <c r="G377" s="186">
        <f t="shared" si="189"/>
        <v>0</v>
      </c>
      <c r="H377" s="186">
        <f t="shared" si="189"/>
        <v>0</v>
      </c>
      <c r="I377" s="186">
        <f t="shared" si="189"/>
        <v>0</v>
      </c>
      <c r="J377" s="186">
        <f t="shared" si="189"/>
        <v>0</v>
      </c>
      <c r="K377" s="186">
        <f t="shared" si="189"/>
        <v>0</v>
      </c>
      <c r="L377" s="186">
        <f t="shared" si="189"/>
        <v>0</v>
      </c>
      <c r="M377" s="186">
        <f t="shared" si="189"/>
        <v>0</v>
      </c>
      <c r="N377" s="186">
        <f t="shared" si="189"/>
        <v>0</v>
      </c>
      <c r="O377" s="186">
        <f t="shared" si="189"/>
        <v>0</v>
      </c>
      <c r="P377" s="186">
        <f t="shared" si="189"/>
        <v>0</v>
      </c>
      <c r="Q377" s="186">
        <f t="shared" si="189"/>
        <v>0</v>
      </c>
      <c r="R377" s="186">
        <f t="shared" si="189"/>
        <v>0</v>
      </c>
      <c r="S377" s="186">
        <f t="shared" si="189"/>
        <v>0</v>
      </c>
      <c r="T377" s="186">
        <f t="shared" si="189"/>
        <v>0</v>
      </c>
      <c r="U377" s="186">
        <f t="shared" si="189"/>
        <v>0</v>
      </c>
      <c r="V377" s="186">
        <f t="shared" si="189"/>
        <v>0</v>
      </c>
      <c r="W377" s="186">
        <f t="shared" si="189"/>
        <v>0</v>
      </c>
      <c r="X377" s="186">
        <f t="shared" si="189"/>
        <v>0</v>
      </c>
      <c r="Y377" s="186">
        <f t="shared" si="189"/>
        <v>0</v>
      </c>
      <c r="Z377" s="186">
        <f t="shared" si="189"/>
        <v>0</v>
      </c>
      <c r="AA377" s="186">
        <f t="shared" si="189"/>
        <v>0</v>
      </c>
      <c r="AB377" s="186">
        <f t="shared" si="189"/>
        <v>0</v>
      </c>
      <c r="AC377" s="186">
        <f t="shared" si="189"/>
        <v>0</v>
      </c>
      <c r="AD377" s="186">
        <f t="shared" si="189"/>
        <v>0</v>
      </c>
      <c r="AE377" s="186">
        <f t="shared" si="189"/>
        <v>0</v>
      </c>
      <c r="AF377" s="186">
        <f t="shared" si="189"/>
        <v>0</v>
      </c>
      <c r="AG377" s="186">
        <f t="shared" si="189"/>
        <v>0</v>
      </c>
      <c r="AH377" s="186">
        <f t="shared" si="189"/>
        <v>0</v>
      </c>
      <c r="AI377" s="186">
        <f t="shared" si="189"/>
        <v>0</v>
      </c>
      <c r="AJ377" s="186">
        <f t="shared" si="189"/>
        <v>0</v>
      </c>
      <c r="AK377" s="186">
        <f t="shared" si="189"/>
        <v>0</v>
      </c>
      <c r="AL377" s="186">
        <f t="shared" si="189"/>
        <v>0</v>
      </c>
      <c r="AM377" s="186">
        <f t="shared" si="189"/>
        <v>0</v>
      </c>
      <c r="AN377" s="186">
        <f t="shared" si="189"/>
        <v>0</v>
      </c>
      <c r="AO377" s="186">
        <f t="shared" si="189"/>
        <v>0</v>
      </c>
      <c r="AP377" s="186">
        <f t="shared" si="189"/>
        <v>0</v>
      </c>
    </row>
    <row r="378" spans="1:42">
      <c r="A378" s="118">
        <f>A377+1</f>
        <v>9</v>
      </c>
      <c r="B378" s="196">
        <f t="shared" si="180"/>
        <v>0</v>
      </c>
      <c r="C378" s="225">
        <f t="shared" ref="C378:AP378" si="190">LOOKUP(C366,$B$328:$AP$328,$B$329:$AP$329)*$B651</f>
        <v>0</v>
      </c>
      <c r="D378" s="186">
        <f t="shared" si="190"/>
        <v>0</v>
      </c>
      <c r="E378" s="186">
        <f t="shared" si="190"/>
        <v>0</v>
      </c>
      <c r="F378" s="186">
        <f t="shared" si="190"/>
        <v>0</v>
      </c>
      <c r="G378" s="186">
        <f t="shared" si="190"/>
        <v>0</v>
      </c>
      <c r="H378" s="186">
        <f t="shared" si="190"/>
        <v>0</v>
      </c>
      <c r="I378" s="186">
        <f t="shared" si="190"/>
        <v>0</v>
      </c>
      <c r="J378" s="186">
        <f t="shared" si="190"/>
        <v>0</v>
      </c>
      <c r="K378" s="186">
        <f t="shared" si="190"/>
        <v>0</v>
      </c>
      <c r="L378" s="186">
        <f t="shared" si="190"/>
        <v>0</v>
      </c>
      <c r="M378" s="186">
        <f t="shared" si="190"/>
        <v>0</v>
      </c>
      <c r="N378" s="186">
        <f t="shared" si="190"/>
        <v>0</v>
      </c>
      <c r="O378" s="186">
        <f t="shared" si="190"/>
        <v>0</v>
      </c>
      <c r="P378" s="186">
        <f t="shared" si="190"/>
        <v>0</v>
      </c>
      <c r="Q378" s="186">
        <f t="shared" si="190"/>
        <v>0</v>
      </c>
      <c r="R378" s="186">
        <f t="shared" si="190"/>
        <v>0</v>
      </c>
      <c r="S378" s="186">
        <f t="shared" si="190"/>
        <v>0</v>
      </c>
      <c r="T378" s="186">
        <f t="shared" si="190"/>
        <v>0</v>
      </c>
      <c r="U378" s="186">
        <f t="shared" si="190"/>
        <v>0</v>
      </c>
      <c r="V378" s="186">
        <f t="shared" si="190"/>
        <v>0</v>
      </c>
      <c r="W378" s="186">
        <f t="shared" si="190"/>
        <v>0</v>
      </c>
      <c r="X378" s="186">
        <f t="shared" si="190"/>
        <v>0</v>
      </c>
      <c r="Y378" s="186">
        <f t="shared" si="190"/>
        <v>0</v>
      </c>
      <c r="Z378" s="186">
        <f t="shared" si="190"/>
        <v>0</v>
      </c>
      <c r="AA378" s="186">
        <f t="shared" si="190"/>
        <v>0</v>
      </c>
      <c r="AB378" s="186">
        <f t="shared" si="190"/>
        <v>0</v>
      </c>
      <c r="AC378" s="186">
        <f t="shared" si="190"/>
        <v>0</v>
      </c>
      <c r="AD378" s="186">
        <f t="shared" si="190"/>
        <v>0</v>
      </c>
      <c r="AE378" s="186">
        <f t="shared" si="190"/>
        <v>0</v>
      </c>
      <c r="AF378" s="186">
        <f t="shared" si="190"/>
        <v>0</v>
      </c>
      <c r="AG378" s="186">
        <f t="shared" si="190"/>
        <v>0</v>
      </c>
      <c r="AH378" s="186">
        <f t="shared" si="190"/>
        <v>0</v>
      </c>
      <c r="AI378" s="186">
        <f t="shared" si="190"/>
        <v>0</v>
      </c>
      <c r="AJ378" s="186">
        <f t="shared" si="190"/>
        <v>0</v>
      </c>
      <c r="AK378" s="186">
        <f t="shared" si="190"/>
        <v>0</v>
      </c>
      <c r="AL378" s="186">
        <f t="shared" si="190"/>
        <v>0</v>
      </c>
      <c r="AM378" s="186">
        <f t="shared" si="190"/>
        <v>0</v>
      </c>
      <c r="AN378" s="186">
        <f t="shared" si="190"/>
        <v>0</v>
      </c>
      <c r="AO378" s="186">
        <f t="shared" si="190"/>
        <v>0</v>
      </c>
      <c r="AP378" s="186">
        <f t="shared" si="190"/>
        <v>0</v>
      </c>
    </row>
    <row r="379" spans="1:42">
      <c r="A379" s="118">
        <f t="shared" si="183"/>
        <v>10</v>
      </c>
      <c r="B379" s="196">
        <f t="shared" si="180"/>
        <v>0</v>
      </c>
      <c r="C379" s="221">
        <f t="shared" ref="C379:AP379" si="191">LOOKUP(C367,$B$328:$AP$328,$B$329:$AP$329)*$B652</f>
        <v>0</v>
      </c>
      <c r="D379" s="187">
        <f t="shared" si="191"/>
        <v>0</v>
      </c>
      <c r="E379" s="187">
        <f t="shared" si="191"/>
        <v>0</v>
      </c>
      <c r="F379" s="187">
        <f t="shared" si="191"/>
        <v>0</v>
      </c>
      <c r="G379" s="187">
        <f t="shared" si="191"/>
        <v>0</v>
      </c>
      <c r="H379" s="187">
        <f t="shared" si="191"/>
        <v>0</v>
      </c>
      <c r="I379" s="187">
        <f t="shared" si="191"/>
        <v>0</v>
      </c>
      <c r="J379" s="187">
        <f t="shared" si="191"/>
        <v>0</v>
      </c>
      <c r="K379" s="187">
        <f t="shared" si="191"/>
        <v>0</v>
      </c>
      <c r="L379" s="187">
        <f t="shared" si="191"/>
        <v>0</v>
      </c>
      <c r="M379" s="187">
        <f t="shared" si="191"/>
        <v>0</v>
      </c>
      <c r="N379" s="187">
        <f t="shared" si="191"/>
        <v>0</v>
      </c>
      <c r="O379" s="187">
        <f t="shared" si="191"/>
        <v>0</v>
      </c>
      <c r="P379" s="187">
        <f t="shared" si="191"/>
        <v>0</v>
      </c>
      <c r="Q379" s="187">
        <f t="shared" si="191"/>
        <v>0</v>
      </c>
      <c r="R379" s="187">
        <f t="shared" si="191"/>
        <v>0</v>
      </c>
      <c r="S379" s="187">
        <f t="shared" si="191"/>
        <v>0</v>
      </c>
      <c r="T379" s="187">
        <f t="shared" si="191"/>
        <v>0</v>
      </c>
      <c r="U379" s="187">
        <f t="shared" si="191"/>
        <v>0</v>
      </c>
      <c r="V379" s="187">
        <f t="shared" si="191"/>
        <v>0</v>
      </c>
      <c r="W379" s="187">
        <f t="shared" si="191"/>
        <v>0</v>
      </c>
      <c r="X379" s="187">
        <f t="shared" si="191"/>
        <v>0</v>
      </c>
      <c r="Y379" s="187">
        <f t="shared" si="191"/>
        <v>0</v>
      </c>
      <c r="Z379" s="187">
        <f t="shared" si="191"/>
        <v>0</v>
      </c>
      <c r="AA379" s="187">
        <f t="shared" si="191"/>
        <v>0</v>
      </c>
      <c r="AB379" s="187">
        <f t="shared" si="191"/>
        <v>0</v>
      </c>
      <c r="AC379" s="187">
        <f t="shared" si="191"/>
        <v>0</v>
      </c>
      <c r="AD379" s="187">
        <f t="shared" si="191"/>
        <v>0</v>
      </c>
      <c r="AE379" s="187">
        <f t="shared" si="191"/>
        <v>0</v>
      </c>
      <c r="AF379" s="187">
        <f t="shared" si="191"/>
        <v>0</v>
      </c>
      <c r="AG379" s="187">
        <f t="shared" si="191"/>
        <v>0</v>
      </c>
      <c r="AH379" s="187">
        <f t="shared" si="191"/>
        <v>0</v>
      </c>
      <c r="AI379" s="187">
        <f t="shared" si="191"/>
        <v>0</v>
      </c>
      <c r="AJ379" s="187">
        <f t="shared" si="191"/>
        <v>0</v>
      </c>
      <c r="AK379" s="187">
        <f t="shared" si="191"/>
        <v>0</v>
      </c>
      <c r="AL379" s="187">
        <f t="shared" si="191"/>
        <v>0</v>
      </c>
      <c r="AM379" s="187">
        <f t="shared" si="191"/>
        <v>0</v>
      </c>
      <c r="AN379" s="187">
        <f t="shared" si="191"/>
        <v>0</v>
      </c>
      <c r="AO379" s="187">
        <f t="shared" si="191"/>
        <v>0</v>
      </c>
      <c r="AP379" s="187">
        <f t="shared" si="191"/>
        <v>0</v>
      </c>
    </row>
    <row r="380" spans="1:42" s="118" customFormat="1" ht="12" customHeight="1">
      <c r="A380" s="222" t="s">
        <v>53</v>
      </c>
      <c r="B380" s="141"/>
      <c r="C380" s="141">
        <f>SUM(C370:C379)</f>
        <v>0</v>
      </c>
      <c r="D380" s="141">
        <f t="shared" ref="D380:AP380" si="192">SUM(D370:D379)</f>
        <v>0</v>
      </c>
      <c r="E380" s="141">
        <f t="shared" si="192"/>
        <v>0</v>
      </c>
      <c r="F380" s="141">
        <f t="shared" si="192"/>
        <v>0</v>
      </c>
      <c r="G380" s="141">
        <f t="shared" si="192"/>
        <v>0</v>
      </c>
      <c r="H380" s="141">
        <f t="shared" si="192"/>
        <v>0</v>
      </c>
      <c r="I380" s="141">
        <f t="shared" si="192"/>
        <v>0</v>
      </c>
      <c r="J380" s="141">
        <f t="shared" si="192"/>
        <v>0</v>
      </c>
      <c r="K380" s="141">
        <f t="shared" si="192"/>
        <v>0</v>
      </c>
      <c r="L380" s="141">
        <f t="shared" si="192"/>
        <v>0</v>
      </c>
      <c r="M380" s="141">
        <f t="shared" si="192"/>
        <v>0</v>
      </c>
      <c r="N380" s="141">
        <f t="shared" si="192"/>
        <v>0</v>
      </c>
      <c r="O380" s="141">
        <f t="shared" si="192"/>
        <v>0</v>
      </c>
      <c r="P380" s="141">
        <f t="shared" si="192"/>
        <v>0</v>
      </c>
      <c r="Q380" s="141">
        <f t="shared" si="192"/>
        <v>1231755.7306939578</v>
      </c>
      <c r="R380" s="141">
        <f t="shared" si="192"/>
        <v>1970809.1691103324</v>
      </c>
      <c r="S380" s="141">
        <f t="shared" si="192"/>
        <v>1182485.5014661995</v>
      </c>
      <c r="T380" s="141">
        <f t="shared" si="192"/>
        <v>709491.30087971967</v>
      </c>
      <c r="U380" s="141">
        <f t="shared" si="192"/>
        <v>709491.30087971967</v>
      </c>
      <c r="V380" s="141">
        <f t="shared" si="192"/>
        <v>354745.65043985983</v>
      </c>
      <c r="W380" s="141">
        <f t="shared" si="192"/>
        <v>0</v>
      </c>
      <c r="X380" s="141">
        <f t="shared" si="192"/>
        <v>0</v>
      </c>
      <c r="Y380" s="141">
        <f t="shared" si="192"/>
        <v>0</v>
      </c>
      <c r="Z380" s="141">
        <f t="shared" si="192"/>
        <v>0</v>
      </c>
      <c r="AA380" s="141">
        <f t="shared" si="192"/>
        <v>0</v>
      </c>
      <c r="AB380" s="141">
        <f t="shared" si="192"/>
        <v>0</v>
      </c>
      <c r="AC380" s="141">
        <f t="shared" si="192"/>
        <v>0</v>
      </c>
      <c r="AD380" s="141">
        <f t="shared" si="192"/>
        <v>0</v>
      </c>
      <c r="AE380" s="141">
        <f t="shared" si="192"/>
        <v>0</v>
      </c>
      <c r="AF380" s="141">
        <f t="shared" si="192"/>
        <v>1539980.512798867</v>
      </c>
      <c r="AG380" s="141">
        <f t="shared" si="192"/>
        <v>0</v>
      </c>
      <c r="AH380" s="141">
        <f t="shared" si="192"/>
        <v>0</v>
      </c>
      <c r="AI380" s="141">
        <f t="shared" si="192"/>
        <v>0</v>
      </c>
      <c r="AJ380" s="141">
        <f t="shared" si="192"/>
        <v>0</v>
      </c>
      <c r="AK380" s="141">
        <f t="shared" si="192"/>
        <v>0</v>
      </c>
      <c r="AL380" s="141">
        <f t="shared" si="192"/>
        <v>0</v>
      </c>
      <c r="AM380" s="141">
        <f t="shared" si="192"/>
        <v>0</v>
      </c>
      <c r="AN380" s="141">
        <f t="shared" si="192"/>
        <v>0</v>
      </c>
      <c r="AO380" s="141">
        <f t="shared" si="192"/>
        <v>0</v>
      </c>
      <c r="AP380" s="141">
        <f t="shared" si="192"/>
        <v>0</v>
      </c>
    </row>
    <row r="381" spans="1:42">
      <c r="A381" s="204"/>
      <c r="C381" s="186"/>
      <c r="D381" s="186"/>
      <c r="E381" s="186"/>
      <c r="F381" s="186"/>
      <c r="G381" s="186"/>
      <c r="H381" s="186"/>
      <c r="I381" s="186"/>
      <c r="J381" s="186"/>
      <c r="K381" s="186"/>
      <c r="L381" s="186"/>
      <c r="M381" s="186"/>
      <c r="N381" s="186"/>
      <c r="O381" s="186"/>
      <c r="P381" s="186"/>
      <c r="Q381" s="186"/>
      <c r="R381" s="186"/>
      <c r="S381" s="186"/>
      <c r="T381" s="186"/>
      <c r="U381" s="186"/>
      <c r="V381" s="186"/>
      <c r="W381" s="186"/>
      <c r="X381" s="186"/>
      <c r="Y381" s="186"/>
      <c r="Z381" s="186"/>
      <c r="AA381" s="186"/>
      <c r="AB381" s="186"/>
      <c r="AC381" s="186"/>
      <c r="AD381" s="186"/>
      <c r="AE381" s="186"/>
      <c r="AF381" s="186"/>
      <c r="AG381" s="186"/>
      <c r="AH381" s="186"/>
      <c r="AI381" s="186"/>
      <c r="AJ381" s="186"/>
      <c r="AK381" s="186"/>
      <c r="AL381" s="186"/>
      <c r="AM381" s="186"/>
      <c r="AN381" s="186"/>
      <c r="AO381" s="186"/>
      <c r="AP381" s="186"/>
    </row>
    <row r="382" spans="1:42">
      <c r="A382" s="197" t="s">
        <v>370</v>
      </c>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c r="AM382" s="186"/>
      <c r="AN382" s="186"/>
      <c r="AO382" s="186"/>
      <c r="AP382" s="186"/>
    </row>
    <row r="383" spans="1:42">
      <c r="A383" s="204" t="s">
        <v>207</v>
      </c>
      <c r="C383" s="186"/>
      <c r="D383" s="186"/>
      <c r="E383" s="186"/>
      <c r="F383" s="186"/>
      <c r="G383" s="186"/>
      <c r="H383" s="186"/>
      <c r="I383" s="186"/>
      <c r="J383" s="186"/>
      <c r="K383" s="186"/>
      <c r="L383" s="186"/>
      <c r="M383" s="186"/>
      <c r="N383" s="186"/>
      <c r="O383" s="186"/>
      <c r="P383" s="186"/>
      <c r="Q383" s="186"/>
      <c r="R383" s="186"/>
      <c r="S383" s="186"/>
      <c r="T383" s="186"/>
      <c r="U383" s="186"/>
      <c r="V383" s="186"/>
      <c r="W383" s="186"/>
      <c r="X383" s="186"/>
      <c r="Y383" s="186"/>
      <c r="Z383" s="186"/>
      <c r="AA383" s="186"/>
      <c r="AB383" s="186"/>
      <c r="AC383" s="186"/>
      <c r="AD383" s="186"/>
      <c r="AE383" s="186"/>
      <c r="AF383" s="186"/>
      <c r="AG383" s="186"/>
      <c r="AH383" s="186"/>
      <c r="AI383" s="186"/>
      <c r="AJ383" s="186"/>
      <c r="AK383" s="186"/>
      <c r="AL383" s="186"/>
      <c r="AM383" s="186"/>
      <c r="AN383" s="186"/>
      <c r="AO383" s="186"/>
      <c r="AP383" s="186"/>
    </row>
    <row r="384" spans="1:42">
      <c r="A384" s="118">
        <v>1</v>
      </c>
      <c r="C384" s="186">
        <f>IF(C$2&lt;=AnalysisPeriod,IF(SUM($C675:C675)&gt;0,B384+1,0),0)</f>
        <v>0</v>
      </c>
      <c r="D384" s="186">
        <f>IF(D$2&lt;=AnalysisPeriod,IF(SUM($C675:D675)&gt;0,C384+1,0),0)</f>
        <v>0</v>
      </c>
      <c r="E384" s="186">
        <f>IF(E$2&lt;=AnalysisPeriod,IF(SUM($C675:E675)&gt;0,D384+1,0),0)</f>
        <v>1</v>
      </c>
      <c r="F384" s="186">
        <f>IF(F$2&lt;=AnalysisPeriod,IF(SUM($C675:F675)&gt;0,E384+1,0),0)</f>
        <v>2</v>
      </c>
      <c r="G384" s="186">
        <f>IF(G$2&lt;=AnalysisPeriod,IF(SUM($C675:G675)&gt;0,F384+1,0),0)</f>
        <v>3</v>
      </c>
      <c r="H384" s="186">
        <f>IF(H$2&lt;=AnalysisPeriod,IF(SUM($C675:H675)&gt;0,G384+1,0),0)</f>
        <v>4</v>
      </c>
      <c r="I384" s="186">
        <f>IF(I$2&lt;=AnalysisPeriod,IF(SUM($C675:I675)&gt;0,H384+1,0),0)</f>
        <v>5</v>
      </c>
      <c r="J384" s="186">
        <f>IF(J$2&lt;=AnalysisPeriod,IF(SUM($C675:J675)&gt;0,I384+1,0),0)</f>
        <v>6</v>
      </c>
      <c r="K384" s="186">
        <f>IF(K$2&lt;=AnalysisPeriod,IF(SUM($C675:K675)&gt;0,J384+1,0),0)</f>
        <v>7</v>
      </c>
      <c r="L384" s="186">
        <f>IF(L$2&lt;=AnalysisPeriod,IF(SUM($C675:L675)&gt;0,K384+1,0),0)</f>
        <v>8</v>
      </c>
      <c r="M384" s="186">
        <f>IF(M$2&lt;=AnalysisPeriod,IF(SUM($C675:M675)&gt;0,L384+1,0),0)</f>
        <v>9</v>
      </c>
      <c r="N384" s="186">
        <f>IF(N$2&lt;=AnalysisPeriod,IF(SUM($C675:N675)&gt;0,M384+1,0),0)</f>
        <v>10</v>
      </c>
      <c r="O384" s="186">
        <f>IF(O$2&lt;=AnalysisPeriod,IF(SUM($C675:O675)&gt;0,N384+1,0),0)</f>
        <v>11</v>
      </c>
      <c r="P384" s="186">
        <f>IF(P$2&lt;=AnalysisPeriod,IF(SUM($C675:P675)&gt;0,O384+1,0),0)</f>
        <v>12</v>
      </c>
      <c r="Q384" s="186">
        <f>IF(Q$2&lt;=AnalysisPeriod,IF(SUM($C675:Q675)&gt;0,P384+1,0),0)</f>
        <v>13</v>
      </c>
      <c r="R384" s="186">
        <f>IF(R$2&lt;=AnalysisPeriod,IF(SUM($C675:R675)&gt;0,Q384+1,0),0)</f>
        <v>14</v>
      </c>
      <c r="S384" s="186">
        <f>IF(S$2&lt;=AnalysisPeriod,IF(SUM($C675:S675)&gt;0,R384+1,0),0)</f>
        <v>15</v>
      </c>
      <c r="T384" s="186">
        <f>IF(T$2&lt;=AnalysisPeriod,IF(SUM($C675:T675)&gt;0,S384+1,0),0)</f>
        <v>16</v>
      </c>
      <c r="U384" s="186">
        <f>IF(U$2&lt;=AnalysisPeriod,IF(SUM($C675:U675)&gt;0,T384+1,0),0)</f>
        <v>17</v>
      </c>
      <c r="V384" s="186">
        <f>IF(V$2&lt;=AnalysisPeriod,IF(SUM($C675:V675)&gt;0,U384+1,0),0)</f>
        <v>18</v>
      </c>
      <c r="W384" s="186">
        <f>IF(W$2&lt;=AnalysisPeriod,IF(SUM($C675:W675)&gt;0,V384+1,0),0)</f>
        <v>19</v>
      </c>
      <c r="X384" s="186">
        <f>IF(X$2&lt;=AnalysisPeriod,IF(SUM($C675:X675)&gt;0,W384+1,0),0)</f>
        <v>20</v>
      </c>
      <c r="Y384" s="186">
        <f>IF(Y$2&lt;=AnalysisPeriod,IF(SUM($C675:Y675)&gt;0,X384+1,0),0)</f>
        <v>21</v>
      </c>
      <c r="Z384" s="186">
        <f>IF(Z$2&lt;=AnalysisPeriod,IF(SUM($C675:Z675)&gt;0,Y384+1,0),0)</f>
        <v>22</v>
      </c>
      <c r="AA384" s="186">
        <f>IF(AA$2&lt;=AnalysisPeriod,IF(SUM($C675:AA675)&gt;0,Z384+1,0),0)</f>
        <v>23</v>
      </c>
      <c r="AB384" s="186">
        <f>IF(AB$2&lt;=AnalysisPeriod,IF(SUM($C675:AB675)&gt;0,AA384+1,0),0)</f>
        <v>24</v>
      </c>
      <c r="AC384" s="186">
        <f>IF(AC$2&lt;=AnalysisPeriod,IF(SUM($C675:AC675)&gt;0,AB384+1,0),0)</f>
        <v>25</v>
      </c>
      <c r="AD384" s="186">
        <f>IF(AD$2&lt;=AnalysisPeriod,IF(SUM($C675:AD675)&gt;0,AC384+1,0),0)</f>
        <v>26</v>
      </c>
      <c r="AE384" s="186">
        <f>IF(AE$2&lt;=AnalysisPeriod,IF(SUM($C675:AE675)&gt;0,AD384+1,0),0)</f>
        <v>27</v>
      </c>
      <c r="AF384" s="186">
        <f>IF(AF$2&lt;=AnalysisPeriod,IF(SUM($C675:AF675)&gt;0,AE384+1,0),0)</f>
        <v>28</v>
      </c>
      <c r="AG384" s="186">
        <f>IF(AG$2&lt;=AnalysisPeriod,IF(SUM($C675:AG675)&gt;0,AF384+1,0),0)</f>
        <v>0</v>
      </c>
      <c r="AH384" s="186">
        <f>IF(AH$2&lt;=AnalysisPeriod,IF(SUM($C675:AH675)&gt;0,AG384+1,0),0)</f>
        <v>0</v>
      </c>
      <c r="AI384" s="186">
        <f>IF(AI$2&lt;=AnalysisPeriod,IF(SUM($C675:AI675)&gt;0,AH384+1,0),0)</f>
        <v>0</v>
      </c>
      <c r="AJ384" s="186">
        <f>IF(AJ$2&lt;=AnalysisPeriod,IF(SUM($C675:AJ675)&gt;0,AI384+1,0),0)</f>
        <v>0</v>
      </c>
      <c r="AK384" s="186">
        <f>IF(AK$2&lt;=AnalysisPeriod,IF(SUM($C675:AK675)&gt;0,AJ384+1,0),0)</f>
        <v>0</v>
      </c>
      <c r="AL384" s="186">
        <f>IF(AL$2&lt;=AnalysisPeriod,IF(SUM($C675:AL675)&gt;0,AK384+1,0),0)</f>
        <v>0</v>
      </c>
      <c r="AM384" s="186">
        <f>IF(AM$2&lt;=AnalysisPeriod,IF(SUM($C675:AM675)&gt;0,AL384+1,0),0)</f>
        <v>0</v>
      </c>
      <c r="AN384" s="186">
        <f>IF(AN$2&lt;=AnalysisPeriod,IF(SUM($C675:AN675)&gt;0,AM384+1,0),0)</f>
        <v>0</v>
      </c>
      <c r="AO384" s="186">
        <f>IF(AO$2&lt;=AnalysisPeriod,IF(SUM($C675:AO675)&gt;0,AN384+1,0),0)</f>
        <v>0</v>
      </c>
      <c r="AP384" s="186">
        <f>IF(AP$2&lt;=AnalysisPeriod,IF(SUM($C675:AP675)&gt;0,AO384+1,0),0)</f>
        <v>0</v>
      </c>
    </row>
    <row r="385" spans="1:42">
      <c r="A385" s="118">
        <f>A384+1</f>
        <v>2</v>
      </c>
      <c r="C385" s="186">
        <f>IF(C$2&lt;=AnalysisPeriod,IF(SUM($C676:C676)&gt;0,B385+1,0),0)</f>
        <v>0</v>
      </c>
      <c r="D385" s="186">
        <f>IF(D$2&lt;=AnalysisPeriod,IF(SUM($C676:D676)&gt;0,C385+1,0),0)</f>
        <v>0</v>
      </c>
      <c r="E385" s="186">
        <f>IF(E$2&lt;=AnalysisPeriod,IF(SUM($C676:E676)&gt;0,D385+1,0),0)</f>
        <v>0</v>
      </c>
      <c r="F385" s="186">
        <f>IF(F$2&lt;=AnalysisPeriod,IF(SUM($C676:F676)&gt;0,E385+1,0),0)</f>
        <v>0</v>
      </c>
      <c r="G385" s="186">
        <f>IF(G$2&lt;=AnalysisPeriod,IF(SUM($C676:G676)&gt;0,F385+1,0),0)</f>
        <v>0</v>
      </c>
      <c r="H385" s="186">
        <f>IF(H$2&lt;=AnalysisPeriod,IF(SUM($C676:H676)&gt;0,G385+1,0),0)</f>
        <v>1</v>
      </c>
      <c r="I385" s="186">
        <f>IF(I$2&lt;=AnalysisPeriod,IF(SUM($C676:I676)&gt;0,H385+1,0),0)</f>
        <v>2</v>
      </c>
      <c r="J385" s="186">
        <f>IF(J$2&lt;=AnalysisPeriod,IF(SUM($C676:J676)&gt;0,I385+1,0),0)</f>
        <v>3</v>
      </c>
      <c r="K385" s="186">
        <f>IF(K$2&lt;=AnalysisPeriod,IF(SUM($C676:K676)&gt;0,J385+1,0),0)</f>
        <v>4</v>
      </c>
      <c r="L385" s="186">
        <f>IF(L$2&lt;=AnalysisPeriod,IF(SUM($C676:L676)&gt;0,K385+1,0),0)</f>
        <v>5</v>
      </c>
      <c r="M385" s="186">
        <f>IF(M$2&lt;=AnalysisPeriod,IF(SUM($C676:M676)&gt;0,L385+1,0),0)</f>
        <v>6</v>
      </c>
      <c r="N385" s="186">
        <f>IF(N$2&lt;=AnalysisPeriod,IF(SUM($C676:N676)&gt;0,M385+1,0),0)</f>
        <v>7</v>
      </c>
      <c r="O385" s="186">
        <f>IF(O$2&lt;=AnalysisPeriod,IF(SUM($C676:O676)&gt;0,N385+1,0),0)</f>
        <v>8</v>
      </c>
      <c r="P385" s="186">
        <f>IF(P$2&lt;=AnalysisPeriod,IF(SUM($C676:P676)&gt;0,O385+1,0),0)</f>
        <v>9</v>
      </c>
      <c r="Q385" s="186">
        <f>IF(Q$2&lt;=AnalysisPeriod,IF(SUM($C676:Q676)&gt;0,P385+1,0),0)</f>
        <v>10</v>
      </c>
      <c r="R385" s="186">
        <f>IF(R$2&lt;=AnalysisPeriod,IF(SUM($C676:R676)&gt;0,Q385+1,0),0)</f>
        <v>11</v>
      </c>
      <c r="S385" s="186">
        <f>IF(S$2&lt;=AnalysisPeriod,IF(SUM($C676:S676)&gt;0,R385+1,0),0)</f>
        <v>12</v>
      </c>
      <c r="T385" s="186">
        <f>IF(T$2&lt;=AnalysisPeriod,IF(SUM($C676:T676)&gt;0,S385+1,0),0)</f>
        <v>13</v>
      </c>
      <c r="U385" s="186">
        <f>IF(U$2&lt;=AnalysisPeriod,IF(SUM($C676:U676)&gt;0,T385+1,0),0)</f>
        <v>14</v>
      </c>
      <c r="V385" s="186">
        <f>IF(V$2&lt;=AnalysisPeriod,IF(SUM($C676:V676)&gt;0,U385+1,0),0)</f>
        <v>15</v>
      </c>
      <c r="W385" s="186">
        <f>IF(W$2&lt;=AnalysisPeriod,IF(SUM($C676:W676)&gt;0,V385+1,0),0)</f>
        <v>16</v>
      </c>
      <c r="X385" s="186">
        <f>IF(X$2&lt;=AnalysisPeriod,IF(SUM($C676:X676)&gt;0,W385+1,0),0)</f>
        <v>17</v>
      </c>
      <c r="Y385" s="186">
        <f>IF(Y$2&lt;=AnalysisPeriod,IF(SUM($C676:Y676)&gt;0,X385+1,0),0)</f>
        <v>18</v>
      </c>
      <c r="Z385" s="186">
        <f>IF(Z$2&lt;=AnalysisPeriod,IF(SUM($C676:Z676)&gt;0,Y385+1,0),0)</f>
        <v>19</v>
      </c>
      <c r="AA385" s="186">
        <f>IF(AA$2&lt;=AnalysisPeriod,IF(SUM($C676:AA676)&gt;0,Z385+1,0),0)</f>
        <v>20</v>
      </c>
      <c r="AB385" s="186">
        <f>IF(AB$2&lt;=AnalysisPeriod,IF(SUM($C676:AB676)&gt;0,AA385+1,0),0)</f>
        <v>21</v>
      </c>
      <c r="AC385" s="186">
        <f>IF(AC$2&lt;=AnalysisPeriod,IF(SUM($C676:AC676)&gt;0,AB385+1,0),0)</f>
        <v>22</v>
      </c>
      <c r="AD385" s="186">
        <f>IF(AD$2&lt;=AnalysisPeriod,IF(SUM($C676:AD676)&gt;0,AC385+1,0),0)</f>
        <v>23</v>
      </c>
      <c r="AE385" s="186">
        <f>IF(AE$2&lt;=AnalysisPeriod,IF(SUM($C676:AE676)&gt;0,AD385+1,0),0)</f>
        <v>24</v>
      </c>
      <c r="AF385" s="186">
        <f>IF(AF$2&lt;=AnalysisPeriod,IF(SUM($C676:AF676)&gt;0,AE385+1,0),0)</f>
        <v>25</v>
      </c>
      <c r="AG385" s="186">
        <f>IF(AG$2&lt;=AnalysisPeriod,IF(SUM($C676:AG676)&gt;0,AF385+1,0),0)</f>
        <v>0</v>
      </c>
      <c r="AH385" s="186">
        <f>IF(AH$2&lt;=AnalysisPeriod,IF(SUM($C676:AH676)&gt;0,AG385+1,0),0)</f>
        <v>0</v>
      </c>
      <c r="AI385" s="186">
        <f>IF(AI$2&lt;=AnalysisPeriod,IF(SUM($C676:AI676)&gt;0,AH385+1,0),0)</f>
        <v>0</v>
      </c>
      <c r="AJ385" s="186">
        <f>IF(AJ$2&lt;=AnalysisPeriod,IF(SUM($C676:AJ676)&gt;0,AI385+1,0),0)</f>
        <v>0</v>
      </c>
      <c r="AK385" s="186">
        <f>IF(AK$2&lt;=AnalysisPeriod,IF(SUM($C676:AK676)&gt;0,AJ385+1,0),0)</f>
        <v>0</v>
      </c>
      <c r="AL385" s="186">
        <f>IF(AL$2&lt;=AnalysisPeriod,IF(SUM($C676:AL676)&gt;0,AK385+1,0),0)</f>
        <v>0</v>
      </c>
      <c r="AM385" s="186">
        <f>IF(AM$2&lt;=AnalysisPeriod,IF(SUM($C676:AM676)&gt;0,AL385+1,0),0)</f>
        <v>0</v>
      </c>
      <c r="AN385" s="186">
        <f>IF(AN$2&lt;=AnalysisPeriod,IF(SUM($C676:AN676)&gt;0,AM385+1,0),0)</f>
        <v>0</v>
      </c>
      <c r="AO385" s="186">
        <f>IF(AO$2&lt;=AnalysisPeriod,IF(SUM($C676:AO676)&gt;0,AN385+1,0),0)</f>
        <v>0</v>
      </c>
      <c r="AP385" s="186">
        <f>IF(AP$2&lt;=AnalysisPeriod,IF(SUM($C676:AP676)&gt;0,AO385+1,0),0)</f>
        <v>0</v>
      </c>
    </row>
    <row r="386" spans="1:42">
      <c r="A386" s="118">
        <f t="shared" ref="A386:A393" si="193">A385+1</f>
        <v>3</v>
      </c>
      <c r="C386" s="186">
        <f>IF(C$2&lt;=AnalysisPeriod,IF(SUM($C677:C677)&gt;0,B386+1,0),0)</f>
        <v>0</v>
      </c>
      <c r="D386" s="186">
        <f>IF(D$2&lt;=AnalysisPeriod,IF(SUM($C677:D677)&gt;0,C386+1,0),0)</f>
        <v>0</v>
      </c>
      <c r="E386" s="186">
        <f>IF(E$2&lt;=AnalysisPeriod,IF(SUM($C677:E677)&gt;0,D386+1,0),0)</f>
        <v>0</v>
      </c>
      <c r="F386" s="186">
        <f>IF(F$2&lt;=AnalysisPeriod,IF(SUM($C677:F677)&gt;0,E386+1,0),0)</f>
        <v>0</v>
      </c>
      <c r="G386" s="186">
        <f>IF(G$2&lt;=AnalysisPeriod,IF(SUM($C677:G677)&gt;0,F386+1,0),0)</f>
        <v>0</v>
      </c>
      <c r="H386" s="186">
        <f>IF(H$2&lt;=AnalysisPeriod,IF(SUM($C677:H677)&gt;0,G386+1,0),0)</f>
        <v>0</v>
      </c>
      <c r="I386" s="186">
        <f>IF(I$2&lt;=AnalysisPeriod,IF(SUM($C677:I677)&gt;0,H386+1,0),0)</f>
        <v>0</v>
      </c>
      <c r="J386" s="186">
        <f>IF(J$2&lt;=AnalysisPeriod,IF(SUM($C677:J677)&gt;0,I386+1,0),0)</f>
        <v>0</v>
      </c>
      <c r="K386" s="186">
        <f>IF(K$2&lt;=AnalysisPeriod,IF(SUM($C677:K677)&gt;0,J386+1,0),0)</f>
        <v>1</v>
      </c>
      <c r="L386" s="186">
        <f>IF(L$2&lt;=AnalysisPeriod,IF(SUM($C677:L677)&gt;0,K386+1,0),0)</f>
        <v>2</v>
      </c>
      <c r="M386" s="186">
        <f>IF(M$2&lt;=AnalysisPeriod,IF(SUM($C677:M677)&gt;0,L386+1,0),0)</f>
        <v>3</v>
      </c>
      <c r="N386" s="186">
        <f>IF(N$2&lt;=AnalysisPeriod,IF(SUM($C677:N677)&gt;0,M386+1,0),0)</f>
        <v>4</v>
      </c>
      <c r="O386" s="186">
        <f>IF(O$2&lt;=AnalysisPeriod,IF(SUM($C677:O677)&gt;0,N386+1,0),0)</f>
        <v>5</v>
      </c>
      <c r="P386" s="186">
        <f>IF(P$2&lt;=AnalysisPeriod,IF(SUM($C677:P677)&gt;0,O386+1,0),0)</f>
        <v>6</v>
      </c>
      <c r="Q386" s="186">
        <f>IF(Q$2&lt;=AnalysisPeriod,IF(SUM($C677:Q677)&gt;0,P386+1,0),0)</f>
        <v>7</v>
      </c>
      <c r="R386" s="186">
        <f>IF(R$2&lt;=AnalysisPeriod,IF(SUM($C677:R677)&gt;0,Q386+1,0),0)</f>
        <v>8</v>
      </c>
      <c r="S386" s="186">
        <f>IF(S$2&lt;=AnalysisPeriod,IF(SUM($C677:S677)&gt;0,R386+1,0),0)</f>
        <v>9</v>
      </c>
      <c r="T386" s="186">
        <f>IF(T$2&lt;=AnalysisPeriod,IF(SUM($C677:T677)&gt;0,S386+1,0),0)</f>
        <v>10</v>
      </c>
      <c r="U386" s="186">
        <f>IF(U$2&lt;=AnalysisPeriod,IF(SUM($C677:U677)&gt;0,T386+1,0),0)</f>
        <v>11</v>
      </c>
      <c r="V386" s="186">
        <f>IF(V$2&lt;=AnalysisPeriod,IF(SUM($C677:V677)&gt;0,U386+1,0),0)</f>
        <v>12</v>
      </c>
      <c r="W386" s="186">
        <f>IF(W$2&lt;=AnalysisPeriod,IF(SUM($C677:W677)&gt;0,V386+1,0),0)</f>
        <v>13</v>
      </c>
      <c r="X386" s="186">
        <f>IF(X$2&lt;=AnalysisPeriod,IF(SUM($C677:X677)&gt;0,W386+1,0),0)</f>
        <v>14</v>
      </c>
      <c r="Y386" s="186">
        <f>IF(Y$2&lt;=AnalysisPeriod,IF(SUM($C677:Y677)&gt;0,X386+1,0),0)</f>
        <v>15</v>
      </c>
      <c r="Z386" s="186">
        <f>IF(Z$2&lt;=AnalysisPeriod,IF(SUM($C677:Z677)&gt;0,Y386+1,0),0)</f>
        <v>16</v>
      </c>
      <c r="AA386" s="186">
        <f>IF(AA$2&lt;=AnalysisPeriod,IF(SUM($C677:AA677)&gt;0,Z386+1,0),0)</f>
        <v>17</v>
      </c>
      <c r="AB386" s="186">
        <f>IF(AB$2&lt;=AnalysisPeriod,IF(SUM($C677:AB677)&gt;0,AA386+1,0),0)</f>
        <v>18</v>
      </c>
      <c r="AC386" s="186">
        <f>IF(AC$2&lt;=AnalysisPeriod,IF(SUM($C677:AC677)&gt;0,AB386+1,0),0)</f>
        <v>19</v>
      </c>
      <c r="AD386" s="186">
        <f>IF(AD$2&lt;=AnalysisPeriod,IF(SUM($C677:AD677)&gt;0,AC386+1,0),0)</f>
        <v>20</v>
      </c>
      <c r="AE386" s="186">
        <f>IF(AE$2&lt;=AnalysisPeriod,IF(SUM($C677:AE677)&gt;0,AD386+1,0),0)</f>
        <v>21</v>
      </c>
      <c r="AF386" s="186">
        <f>IF(AF$2&lt;=AnalysisPeriod,IF(SUM($C677:AF677)&gt;0,AE386+1,0),0)</f>
        <v>22</v>
      </c>
      <c r="AG386" s="186">
        <f>IF(AG$2&lt;=AnalysisPeriod,IF(SUM($C677:AG677)&gt;0,AF386+1,0),0)</f>
        <v>0</v>
      </c>
      <c r="AH386" s="186">
        <f>IF(AH$2&lt;=AnalysisPeriod,IF(SUM($C677:AH677)&gt;0,AG386+1,0),0)</f>
        <v>0</v>
      </c>
      <c r="AI386" s="186">
        <f>IF(AI$2&lt;=AnalysisPeriod,IF(SUM($C677:AI677)&gt;0,AH386+1,0),0)</f>
        <v>0</v>
      </c>
      <c r="AJ386" s="186">
        <f>IF(AJ$2&lt;=AnalysisPeriod,IF(SUM($C677:AJ677)&gt;0,AI386+1,0),0)</f>
        <v>0</v>
      </c>
      <c r="AK386" s="186">
        <f>IF(AK$2&lt;=AnalysisPeriod,IF(SUM($C677:AK677)&gt;0,AJ386+1,0),0)</f>
        <v>0</v>
      </c>
      <c r="AL386" s="186">
        <f>IF(AL$2&lt;=AnalysisPeriod,IF(SUM($C677:AL677)&gt;0,AK386+1,0),0)</f>
        <v>0</v>
      </c>
      <c r="AM386" s="186">
        <f>IF(AM$2&lt;=AnalysisPeriod,IF(SUM($C677:AM677)&gt;0,AL386+1,0),0)</f>
        <v>0</v>
      </c>
      <c r="AN386" s="186">
        <f>IF(AN$2&lt;=AnalysisPeriod,IF(SUM($C677:AN677)&gt;0,AM386+1,0),0)</f>
        <v>0</v>
      </c>
      <c r="AO386" s="186">
        <f>IF(AO$2&lt;=AnalysisPeriod,IF(SUM($C677:AO677)&gt;0,AN386+1,0),0)</f>
        <v>0</v>
      </c>
      <c r="AP386" s="186">
        <f>IF(AP$2&lt;=AnalysisPeriod,IF(SUM($C677:AP677)&gt;0,AO386+1,0),0)</f>
        <v>0</v>
      </c>
    </row>
    <row r="387" spans="1:42">
      <c r="A387" s="118">
        <f t="shared" si="193"/>
        <v>4</v>
      </c>
      <c r="C387" s="186">
        <f>IF(C$2&lt;=AnalysisPeriod,IF(SUM($C678:C678)&gt;0,B387+1,0),0)</f>
        <v>0</v>
      </c>
      <c r="D387" s="186">
        <f>IF(D$2&lt;=AnalysisPeriod,IF(SUM($C678:D678)&gt;0,C387+1,0),0)</f>
        <v>0</v>
      </c>
      <c r="E387" s="186">
        <f>IF(E$2&lt;=AnalysisPeriod,IF(SUM($C678:E678)&gt;0,D387+1,0),0)</f>
        <v>0</v>
      </c>
      <c r="F387" s="186">
        <f>IF(F$2&lt;=AnalysisPeriod,IF(SUM($C678:F678)&gt;0,E387+1,0),0)</f>
        <v>0</v>
      </c>
      <c r="G387" s="186">
        <f>IF(G$2&lt;=AnalysisPeriod,IF(SUM($C678:G678)&gt;0,F387+1,0),0)</f>
        <v>0</v>
      </c>
      <c r="H387" s="186">
        <f>IF(H$2&lt;=AnalysisPeriod,IF(SUM($C678:H678)&gt;0,G387+1,0),0)</f>
        <v>0</v>
      </c>
      <c r="I387" s="186">
        <f>IF(I$2&lt;=AnalysisPeriod,IF(SUM($C678:I678)&gt;0,H387+1,0),0)</f>
        <v>0</v>
      </c>
      <c r="J387" s="186">
        <f>IF(J$2&lt;=AnalysisPeriod,IF(SUM($C678:J678)&gt;0,I387+1,0),0)</f>
        <v>0</v>
      </c>
      <c r="K387" s="186">
        <f>IF(K$2&lt;=AnalysisPeriod,IF(SUM($C678:K678)&gt;0,J387+1,0),0)</f>
        <v>0</v>
      </c>
      <c r="L387" s="186">
        <f>IF(L$2&lt;=AnalysisPeriod,IF(SUM($C678:L678)&gt;0,K387+1,0),0)</f>
        <v>0</v>
      </c>
      <c r="M387" s="186">
        <f>IF(M$2&lt;=AnalysisPeriod,IF(SUM($C678:M678)&gt;0,L387+1,0),0)</f>
        <v>0</v>
      </c>
      <c r="N387" s="186">
        <f>IF(N$2&lt;=AnalysisPeriod,IF(SUM($C678:N678)&gt;0,M387+1,0),0)</f>
        <v>1</v>
      </c>
      <c r="O387" s="186">
        <f>IF(O$2&lt;=AnalysisPeriod,IF(SUM($C678:O678)&gt;0,N387+1,0),0)</f>
        <v>2</v>
      </c>
      <c r="P387" s="186">
        <f>IF(P$2&lt;=AnalysisPeriod,IF(SUM($C678:P678)&gt;0,O387+1,0),0)</f>
        <v>3</v>
      </c>
      <c r="Q387" s="186">
        <f>IF(Q$2&lt;=AnalysisPeriod,IF(SUM($C678:Q678)&gt;0,P387+1,0),0)</f>
        <v>4</v>
      </c>
      <c r="R387" s="186">
        <f>IF(R$2&lt;=AnalysisPeriod,IF(SUM($C678:R678)&gt;0,Q387+1,0),0)</f>
        <v>5</v>
      </c>
      <c r="S387" s="186">
        <f>IF(S$2&lt;=AnalysisPeriod,IF(SUM($C678:S678)&gt;0,R387+1,0),0)</f>
        <v>6</v>
      </c>
      <c r="T387" s="186">
        <f>IF(T$2&lt;=AnalysisPeriod,IF(SUM($C678:T678)&gt;0,S387+1,0),0)</f>
        <v>7</v>
      </c>
      <c r="U387" s="186">
        <f>IF(U$2&lt;=AnalysisPeriod,IF(SUM($C678:U678)&gt;0,T387+1,0),0)</f>
        <v>8</v>
      </c>
      <c r="V387" s="186">
        <f>IF(V$2&lt;=AnalysisPeriod,IF(SUM($C678:V678)&gt;0,U387+1,0),0)</f>
        <v>9</v>
      </c>
      <c r="W387" s="186">
        <f>IF(W$2&lt;=AnalysisPeriod,IF(SUM($C678:W678)&gt;0,V387+1,0),0)</f>
        <v>10</v>
      </c>
      <c r="X387" s="186">
        <f>IF(X$2&lt;=AnalysisPeriod,IF(SUM($C678:X678)&gt;0,W387+1,0),0)</f>
        <v>11</v>
      </c>
      <c r="Y387" s="186">
        <f>IF(Y$2&lt;=AnalysisPeriod,IF(SUM($C678:Y678)&gt;0,X387+1,0),0)</f>
        <v>12</v>
      </c>
      <c r="Z387" s="186">
        <f>IF(Z$2&lt;=AnalysisPeriod,IF(SUM($C678:Z678)&gt;0,Y387+1,0),0)</f>
        <v>13</v>
      </c>
      <c r="AA387" s="186">
        <f>IF(AA$2&lt;=AnalysisPeriod,IF(SUM($C678:AA678)&gt;0,Z387+1,0),0)</f>
        <v>14</v>
      </c>
      <c r="AB387" s="186">
        <f>IF(AB$2&lt;=AnalysisPeriod,IF(SUM($C678:AB678)&gt;0,AA387+1,0),0)</f>
        <v>15</v>
      </c>
      <c r="AC387" s="186">
        <f>IF(AC$2&lt;=AnalysisPeriod,IF(SUM($C678:AC678)&gt;0,AB387+1,0),0)</f>
        <v>16</v>
      </c>
      <c r="AD387" s="186">
        <f>IF(AD$2&lt;=AnalysisPeriod,IF(SUM($C678:AD678)&gt;0,AC387+1,0),0)</f>
        <v>17</v>
      </c>
      <c r="AE387" s="186">
        <f>IF(AE$2&lt;=AnalysisPeriod,IF(SUM($C678:AE678)&gt;0,AD387+1,0),0)</f>
        <v>18</v>
      </c>
      <c r="AF387" s="186">
        <f>IF(AF$2&lt;=AnalysisPeriod,IF(SUM($C678:AF678)&gt;0,AE387+1,0),0)</f>
        <v>19</v>
      </c>
      <c r="AG387" s="186">
        <f>IF(AG$2&lt;=AnalysisPeriod,IF(SUM($C678:AG678)&gt;0,AF387+1,0),0)</f>
        <v>0</v>
      </c>
      <c r="AH387" s="186">
        <f>IF(AH$2&lt;=AnalysisPeriod,IF(SUM($C678:AH678)&gt;0,AG387+1,0),0)</f>
        <v>0</v>
      </c>
      <c r="AI387" s="186">
        <f>IF(AI$2&lt;=AnalysisPeriod,IF(SUM($C678:AI678)&gt;0,AH387+1,0),0)</f>
        <v>0</v>
      </c>
      <c r="AJ387" s="186">
        <f>IF(AJ$2&lt;=AnalysisPeriod,IF(SUM($C678:AJ678)&gt;0,AI387+1,0),0)</f>
        <v>0</v>
      </c>
      <c r="AK387" s="186">
        <f>IF(AK$2&lt;=AnalysisPeriod,IF(SUM($C678:AK678)&gt;0,AJ387+1,0),0)</f>
        <v>0</v>
      </c>
      <c r="AL387" s="186">
        <f>IF(AL$2&lt;=AnalysisPeriod,IF(SUM($C678:AL678)&gt;0,AK387+1,0),0)</f>
        <v>0</v>
      </c>
      <c r="AM387" s="186">
        <f>IF(AM$2&lt;=AnalysisPeriod,IF(SUM($C678:AM678)&gt;0,AL387+1,0),0)</f>
        <v>0</v>
      </c>
      <c r="AN387" s="186">
        <f>IF(AN$2&lt;=AnalysisPeriod,IF(SUM($C678:AN678)&gt;0,AM387+1,0),0)</f>
        <v>0</v>
      </c>
      <c r="AO387" s="186">
        <f>IF(AO$2&lt;=AnalysisPeriod,IF(SUM($C678:AO678)&gt;0,AN387+1,0),0)</f>
        <v>0</v>
      </c>
      <c r="AP387" s="186">
        <f>IF(AP$2&lt;=AnalysisPeriod,IF(SUM($C678:AP678)&gt;0,AO387+1,0),0)</f>
        <v>0</v>
      </c>
    </row>
    <row r="388" spans="1:42">
      <c r="A388" s="118">
        <f t="shared" si="193"/>
        <v>5</v>
      </c>
      <c r="C388" s="186">
        <f>IF(C$2&lt;=AnalysisPeriod,IF(SUM($C679:C679)&gt;0,B388+1,0),0)</f>
        <v>0</v>
      </c>
      <c r="D388" s="186">
        <f>IF(D$2&lt;=AnalysisPeriod,IF(SUM($C679:D679)&gt;0,C388+1,0),0)</f>
        <v>0</v>
      </c>
      <c r="E388" s="186">
        <f>IF(E$2&lt;=AnalysisPeriod,IF(SUM($C679:E679)&gt;0,D388+1,0),0)</f>
        <v>0</v>
      </c>
      <c r="F388" s="186">
        <f>IF(F$2&lt;=AnalysisPeriod,IF(SUM($C679:F679)&gt;0,E388+1,0),0)</f>
        <v>0</v>
      </c>
      <c r="G388" s="186">
        <f>IF(G$2&lt;=AnalysisPeriod,IF(SUM($C679:G679)&gt;0,F388+1,0),0)</f>
        <v>0</v>
      </c>
      <c r="H388" s="186">
        <f>IF(H$2&lt;=AnalysisPeriod,IF(SUM($C679:H679)&gt;0,G388+1,0),0)</f>
        <v>0</v>
      </c>
      <c r="I388" s="186">
        <f>IF(I$2&lt;=AnalysisPeriod,IF(SUM($C679:I679)&gt;0,H388+1,0),0)</f>
        <v>0</v>
      </c>
      <c r="J388" s="186">
        <f>IF(J$2&lt;=AnalysisPeriod,IF(SUM($C679:J679)&gt;0,I388+1,0),0)</f>
        <v>0</v>
      </c>
      <c r="K388" s="186">
        <f>IF(K$2&lt;=AnalysisPeriod,IF(SUM($C679:K679)&gt;0,J388+1,0),0)</f>
        <v>0</v>
      </c>
      <c r="L388" s="186">
        <f>IF(L$2&lt;=AnalysisPeriod,IF(SUM($C679:L679)&gt;0,K388+1,0),0)</f>
        <v>0</v>
      </c>
      <c r="M388" s="186">
        <f>IF(M$2&lt;=AnalysisPeriod,IF(SUM($C679:M679)&gt;0,L388+1,0),0)</f>
        <v>0</v>
      </c>
      <c r="N388" s="186">
        <f>IF(N$2&lt;=AnalysisPeriod,IF(SUM($C679:N679)&gt;0,M388+1,0),0)</f>
        <v>0</v>
      </c>
      <c r="O388" s="186">
        <f>IF(O$2&lt;=AnalysisPeriod,IF(SUM($C679:O679)&gt;0,N388+1,0),0)</f>
        <v>0</v>
      </c>
      <c r="P388" s="186">
        <f>IF(P$2&lt;=AnalysisPeriod,IF(SUM($C679:P679)&gt;0,O388+1,0),0)</f>
        <v>0</v>
      </c>
      <c r="Q388" s="186">
        <f>IF(Q$2&lt;=AnalysisPeriod,IF(SUM($C679:Q679)&gt;0,P388+1,0),0)</f>
        <v>1</v>
      </c>
      <c r="R388" s="186">
        <f>IF(R$2&lt;=AnalysisPeriod,IF(SUM($C679:R679)&gt;0,Q388+1,0),0)</f>
        <v>2</v>
      </c>
      <c r="S388" s="186">
        <f>IF(S$2&lt;=AnalysisPeriod,IF(SUM($C679:S679)&gt;0,R388+1,0),0)</f>
        <v>3</v>
      </c>
      <c r="T388" s="186">
        <f>IF(T$2&lt;=AnalysisPeriod,IF(SUM($C679:T679)&gt;0,S388+1,0),0)</f>
        <v>4</v>
      </c>
      <c r="U388" s="186">
        <f>IF(U$2&lt;=AnalysisPeriod,IF(SUM($C679:U679)&gt;0,T388+1,0),0)</f>
        <v>5</v>
      </c>
      <c r="V388" s="186">
        <f>IF(V$2&lt;=AnalysisPeriod,IF(SUM($C679:V679)&gt;0,U388+1,0),0)</f>
        <v>6</v>
      </c>
      <c r="W388" s="186">
        <f>IF(W$2&lt;=AnalysisPeriod,IF(SUM($C679:W679)&gt;0,V388+1,0),0)</f>
        <v>7</v>
      </c>
      <c r="X388" s="186">
        <f>IF(X$2&lt;=AnalysisPeriod,IF(SUM($C679:X679)&gt;0,W388+1,0),0)</f>
        <v>8</v>
      </c>
      <c r="Y388" s="186">
        <f>IF(Y$2&lt;=AnalysisPeriod,IF(SUM($C679:Y679)&gt;0,X388+1,0),0)</f>
        <v>9</v>
      </c>
      <c r="Z388" s="186">
        <f>IF(Z$2&lt;=AnalysisPeriod,IF(SUM($C679:Z679)&gt;0,Y388+1,0),0)</f>
        <v>10</v>
      </c>
      <c r="AA388" s="186">
        <f>IF(AA$2&lt;=AnalysisPeriod,IF(SUM($C679:AA679)&gt;0,Z388+1,0),0)</f>
        <v>11</v>
      </c>
      <c r="AB388" s="186">
        <f>IF(AB$2&lt;=AnalysisPeriod,IF(SUM($C679:AB679)&gt;0,AA388+1,0),0)</f>
        <v>12</v>
      </c>
      <c r="AC388" s="186">
        <f>IF(AC$2&lt;=AnalysisPeriod,IF(SUM($C679:AC679)&gt;0,AB388+1,0),0)</f>
        <v>13</v>
      </c>
      <c r="AD388" s="186">
        <f>IF(AD$2&lt;=AnalysisPeriod,IF(SUM($C679:AD679)&gt;0,AC388+1,0),0)</f>
        <v>14</v>
      </c>
      <c r="AE388" s="186">
        <f>IF(AE$2&lt;=AnalysisPeriod,IF(SUM($C679:AE679)&gt;0,AD388+1,0),0)</f>
        <v>15</v>
      </c>
      <c r="AF388" s="186">
        <f>IF(AF$2&lt;=AnalysisPeriod,IF(SUM($C679:AF679)&gt;0,AE388+1,0),0)</f>
        <v>16</v>
      </c>
      <c r="AG388" s="186">
        <f>IF(AG$2&lt;=AnalysisPeriod,IF(SUM($C679:AG679)&gt;0,AF388+1,0),0)</f>
        <v>0</v>
      </c>
      <c r="AH388" s="186">
        <f>IF(AH$2&lt;=AnalysisPeriod,IF(SUM($C679:AH679)&gt;0,AG388+1,0),0)</f>
        <v>0</v>
      </c>
      <c r="AI388" s="186">
        <f>IF(AI$2&lt;=AnalysisPeriod,IF(SUM($C679:AI679)&gt;0,AH388+1,0),0)</f>
        <v>0</v>
      </c>
      <c r="AJ388" s="186">
        <f>IF(AJ$2&lt;=AnalysisPeriod,IF(SUM($C679:AJ679)&gt;0,AI388+1,0),0)</f>
        <v>0</v>
      </c>
      <c r="AK388" s="186">
        <f>IF(AK$2&lt;=AnalysisPeriod,IF(SUM($C679:AK679)&gt;0,AJ388+1,0),0)</f>
        <v>0</v>
      </c>
      <c r="AL388" s="186">
        <f>IF(AL$2&lt;=AnalysisPeriod,IF(SUM($C679:AL679)&gt;0,AK388+1,0),0)</f>
        <v>0</v>
      </c>
      <c r="AM388" s="186">
        <f>IF(AM$2&lt;=AnalysisPeriod,IF(SUM($C679:AM679)&gt;0,AL388+1,0),0)</f>
        <v>0</v>
      </c>
      <c r="AN388" s="186">
        <f>IF(AN$2&lt;=AnalysisPeriod,IF(SUM($C679:AN679)&gt;0,AM388+1,0),0)</f>
        <v>0</v>
      </c>
      <c r="AO388" s="186">
        <f>IF(AO$2&lt;=AnalysisPeriod,IF(SUM($C679:AO679)&gt;0,AN388+1,0),0)</f>
        <v>0</v>
      </c>
      <c r="AP388" s="186">
        <f>IF(AP$2&lt;=AnalysisPeriod,IF(SUM($C679:AP679)&gt;0,AO388+1,0),0)</f>
        <v>0</v>
      </c>
    </row>
    <row r="389" spans="1:42">
      <c r="A389" s="118">
        <f t="shared" si="193"/>
        <v>6</v>
      </c>
      <c r="C389" s="186">
        <f>IF(C$2&lt;=AnalysisPeriod,IF(SUM($C680:C680)&gt;0,B389+1,0),0)</f>
        <v>0</v>
      </c>
      <c r="D389" s="186">
        <f>IF(D$2&lt;=AnalysisPeriod,IF(SUM($C680:D680)&gt;0,C389+1,0),0)</f>
        <v>0</v>
      </c>
      <c r="E389" s="186">
        <f>IF(E$2&lt;=AnalysisPeriod,IF(SUM($C680:E680)&gt;0,D389+1,0),0)</f>
        <v>0</v>
      </c>
      <c r="F389" s="186">
        <f>IF(F$2&lt;=AnalysisPeriod,IF(SUM($C680:F680)&gt;0,E389+1,0),0)</f>
        <v>0</v>
      </c>
      <c r="G389" s="186">
        <f>IF(G$2&lt;=AnalysisPeriod,IF(SUM($C680:G680)&gt;0,F389+1,0),0)</f>
        <v>0</v>
      </c>
      <c r="H389" s="186">
        <f>IF(H$2&lt;=AnalysisPeriod,IF(SUM($C680:H680)&gt;0,G389+1,0),0)</f>
        <v>0</v>
      </c>
      <c r="I389" s="186">
        <f>IF(I$2&lt;=AnalysisPeriod,IF(SUM($C680:I680)&gt;0,H389+1,0),0)</f>
        <v>0</v>
      </c>
      <c r="J389" s="186">
        <f>IF(J$2&lt;=AnalysisPeriod,IF(SUM($C680:J680)&gt;0,I389+1,0),0)</f>
        <v>0</v>
      </c>
      <c r="K389" s="186">
        <f>IF(K$2&lt;=AnalysisPeriod,IF(SUM($C680:K680)&gt;0,J389+1,0),0)</f>
        <v>0</v>
      </c>
      <c r="L389" s="186">
        <f>IF(L$2&lt;=AnalysisPeriod,IF(SUM($C680:L680)&gt;0,K389+1,0),0)</f>
        <v>0</v>
      </c>
      <c r="M389" s="186">
        <f>IF(M$2&lt;=AnalysisPeriod,IF(SUM($C680:M680)&gt;0,L389+1,0),0)</f>
        <v>0</v>
      </c>
      <c r="N389" s="186">
        <f>IF(N$2&lt;=AnalysisPeriod,IF(SUM($C680:N680)&gt;0,M389+1,0),0)</f>
        <v>0</v>
      </c>
      <c r="O389" s="186">
        <f>IF(O$2&lt;=AnalysisPeriod,IF(SUM($C680:O680)&gt;0,N389+1,0),0)</f>
        <v>0</v>
      </c>
      <c r="P389" s="186">
        <f>IF(P$2&lt;=AnalysisPeriod,IF(SUM($C680:P680)&gt;0,O389+1,0),0)</f>
        <v>0</v>
      </c>
      <c r="Q389" s="186">
        <f>IF(Q$2&lt;=AnalysisPeriod,IF(SUM($C680:Q680)&gt;0,P389+1,0),0)</f>
        <v>0</v>
      </c>
      <c r="R389" s="186">
        <f>IF(R$2&lt;=AnalysisPeriod,IF(SUM($C680:R680)&gt;0,Q389+1,0),0)</f>
        <v>0</v>
      </c>
      <c r="S389" s="186">
        <f>IF(S$2&lt;=AnalysisPeriod,IF(SUM($C680:S680)&gt;0,R389+1,0),0)</f>
        <v>0</v>
      </c>
      <c r="T389" s="186">
        <f>IF(T$2&lt;=AnalysisPeriod,IF(SUM($C680:T680)&gt;0,S389+1,0),0)</f>
        <v>1</v>
      </c>
      <c r="U389" s="186">
        <f>IF(U$2&lt;=AnalysisPeriod,IF(SUM($C680:U680)&gt;0,T389+1,0),0)</f>
        <v>2</v>
      </c>
      <c r="V389" s="186">
        <f>IF(V$2&lt;=AnalysisPeriod,IF(SUM($C680:V680)&gt;0,U389+1,0),0)</f>
        <v>3</v>
      </c>
      <c r="W389" s="186">
        <f>IF(W$2&lt;=AnalysisPeriod,IF(SUM($C680:W680)&gt;0,V389+1,0),0)</f>
        <v>4</v>
      </c>
      <c r="X389" s="186">
        <f>IF(X$2&lt;=AnalysisPeriod,IF(SUM($C680:X680)&gt;0,W389+1,0),0)</f>
        <v>5</v>
      </c>
      <c r="Y389" s="186">
        <f>IF(Y$2&lt;=AnalysisPeriod,IF(SUM($C680:Y680)&gt;0,X389+1,0),0)</f>
        <v>6</v>
      </c>
      <c r="Z389" s="186">
        <f>IF(Z$2&lt;=AnalysisPeriod,IF(SUM($C680:Z680)&gt;0,Y389+1,0),0)</f>
        <v>7</v>
      </c>
      <c r="AA389" s="186">
        <f>IF(AA$2&lt;=AnalysisPeriod,IF(SUM($C680:AA680)&gt;0,Z389+1,0),0)</f>
        <v>8</v>
      </c>
      <c r="AB389" s="186">
        <f>IF(AB$2&lt;=AnalysisPeriod,IF(SUM($C680:AB680)&gt;0,AA389+1,0),0)</f>
        <v>9</v>
      </c>
      <c r="AC389" s="186">
        <f>IF(AC$2&lt;=AnalysisPeriod,IF(SUM($C680:AC680)&gt;0,AB389+1,0),0)</f>
        <v>10</v>
      </c>
      <c r="AD389" s="186">
        <f>IF(AD$2&lt;=AnalysisPeriod,IF(SUM($C680:AD680)&gt;0,AC389+1,0),0)</f>
        <v>11</v>
      </c>
      <c r="AE389" s="186">
        <f>IF(AE$2&lt;=AnalysisPeriod,IF(SUM($C680:AE680)&gt;0,AD389+1,0),0)</f>
        <v>12</v>
      </c>
      <c r="AF389" s="186">
        <f>IF(AF$2&lt;=AnalysisPeriod,IF(SUM($C680:AF680)&gt;0,AE389+1,0),0)</f>
        <v>13</v>
      </c>
      <c r="AG389" s="186">
        <f>IF(AG$2&lt;=AnalysisPeriod,IF(SUM($C680:AG680)&gt;0,AF389+1,0),0)</f>
        <v>0</v>
      </c>
      <c r="AH389" s="186">
        <f>IF(AH$2&lt;=AnalysisPeriod,IF(SUM($C680:AH680)&gt;0,AG389+1,0),0)</f>
        <v>0</v>
      </c>
      <c r="AI389" s="186">
        <f>IF(AI$2&lt;=AnalysisPeriod,IF(SUM($C680:AI680)&gt;0,AH389+1,0),0)</f>
        <v>0</v>
      </c>
      <c r="AJ389" s="186">
        <f>IF(AJ$2&lt;=AnalysisPeriod,IF(SUM($C680:AJ680)&gt;0,AI389+1,0),0)</f>
        <v>0</v>
      </c>
      <c r="AK389" s="186">
        <f>IF(AK$2&lt;=AnalysisPeriod,IF(SUM($C680:AK680)&gt;0,AJ389+1,0),0)</f>
        <v>0</v>
      </c>
      <c r="AL389" s="186">
        <f>IF(AL$2&lt;=AnalysisPeriod,IF(SUM($C680:AL680)&gt;0,AK389+1,0),0)</f>
        <v>0</v>
      </c>
      <c r="AM389" s="186">
        <f>IF(AM$2&lt;=AnalysisPeriod,IF(SUM($C680:AM680)&gt;0,AL389+1,0),0)</f>
        <v>0</v>
      </c>
      <c r="AN389" s="186">
        <f>IF(AN$2&lt;=AnalysisPeriod,IF(SUM($C680:AN680)&gt;0,AM389+1,0),0)</f>
        <v>0</v>
      </c>
      <c r="AO389" s="186">
        <f>IF(AO$2&lt;=AnalysisPeriod,IF(SUM($C680:AO680)&gt;0,AN389+1,0),0)</f>
        <v>0</v>
      </c>
      <c r="AP389" s="186">
        <f>IF(AP$2&lt;=AnalysisPeriod,IF(SUM($C680:AP680)&gt;0,AO389+1,0),0)</f>
        <v>0</v>
      </c>
    </row>
    <row r="390" spans="1:42">
      <c r="A390" s="118">
        <f t="shared" si="193"/>
        <v>7</v>
      </c>
      <c r="C390" s="186">
        <f>IF(C$2&lt;=AnalysisPeriod,IF(SUM($C681:C681)&gt;0,B390+1,0),0)</f>
        <v>0</v>
      </c>
      <c r="D390" s="186">
        <f>IF(D$2&lt;=AnalysisPeriod,IF(SUM($C681:D681)&gt;0,C390+1,0),0)</f>
        <v>0</v>
      </c>
      <c r="E390" s="186">
        <f>IF(E$2&lt;=AnalysisPeriod,IF(SUM($C681:E681)&gt;0,D390+1,0),0)</f>
        <v>0</v>
      </c>
      <c r="F390" s="186">
        <f>IF(F$2&lt;=AnalysisPeriod,IF(SUM($C681:F681)&gt;0,E390+1,0),0)</f>
        <v>0</v>
      </c>
      <c r="G390" s="186">
        <f>IF(G$2&lt;=AnalysisPeriod,IF(SUM($C681:G681)&gt;0,F390+1,0),0)</f>
        <v>0</v>
      </c>
      <c r="H390" s="186">
        <f>IF(H$2&lt;=AnalysisPeriod,IF(SUM($C681:H681)&gt;0,G390+1,0),0)</f>
        <v>0</v>
      </c>
      <c r="I390" s="186">
        <f>IF(I$2&lt;=AnalysisPeriod,IF(SUM($C681:I681)&gt;0,H390+1,0),0)</f>
        <v>0</v>
      </c>
      <c r="J390" s="186">
        <f>IF(J$2&lt;=AnalysisPeriod,IF(SUM($C681:J681)&gt;0,I390+1,0),0)</f>
        <v>0</v>
      </c>
      <c r="K390" s="186">
        <f>IF(K$2&lt;=AnalysisPeriod,IF(SUM($C681:K681)&gt;0,J390+1,0),0)</f>
        <v>0</v>
      </c>
      <c r="L390" s="186">
        <f>IF(L$2&lt;=AnalysisPeriod,IF(SUM($C681:L681)&gt;0,K390+1,0),0)</f>
        <v>0</v>
      </c>
      <c r="M390" s="186">
        <f>IF(M$2&lt;=AnalysisPeriod,IF(SUM($C681:M681)&gt;0,L390+1,0),0)</f>
        <v>0</v>
      </c>
      <c r="N390" s="186">
        <f>IF(N$2&lt;=AnalysisPeriod,IF(SUM($C681:N681)&gt;0,M390+1,0),0)</f>
        <v>0</v>
      </c>
      <c r="O390" s="186">
        <f>IF(O$2&lt;=AnalysisPeriod,IF(SUM($C681:O681)&gt;0,N390+1,0),0)</f>
        <v>0</v>
      </c>
      <c r="P390" s="186">
        <f>IF(P$2&lt;=AnalysisPeriod,IF(SUM($C681:P681)&gt;0,O390+1,0),0)</f>
        <v>0</v>
      </c>
      <c r="Q390" s="186">
        <f>IF(Q$2&lt;=AnalysisPeriod,IF(SUM($C681:Q681)&gt;0,P390+1,0),0)</f>
        <v>0</v>
      </c>
      <c r="R390" s="186">
        <f>IF(R$2&lt;=AnalysisPeriod,IF(SUM($C681:R681)&gt;0,Q390+1,0),0)</f>
        <v>0</v>
      </c>
      <c r="S390" s="186">
        <f>IF(S$2&lt;=AnalysisPeriod,IF(SUM($C681:S681)&gt;0,R390+1,0),0)</f>
        <v>0</v>
      </c>
      <c r="T390" s="186">
        <f>IF(T$2&lt;=AnalysisPeriod,IF(SUM($C681:T681)&gt;0,S390+1,0),0)</f>
        <v>0</v>
      </c>
      <c r="U390" s="186">
        <f>IF(U$2&lt;=AnalysisPeriod,IF(SUM($C681:U681)&gt;0,T390+1,0),0)</f>
        <v>0</v>
      </c>
      <c r="V390" s="186">
        <f>IF(V$2&lt;=AnalysisPeriod,IF(SUM($C681:V681)&gt;0,U390+1,0),0)</f>
        <v>0</v>
      </c>
      <c r="W390" s="186">
        <f>IF(W$2&lt;=AnalysisPeriod,IF(SUM($C681:W681)&gt;0,V390+1,0),0)</f>
        <v>1</v>
      </c>
      <c r="X390" s="186">
        <f>IF(X$2&lt;=AnalysisPeriod,IF(SUM($C681:X681)&gt;0,W390+1,0),0)</f>
        <v>2</v>
      </c>
      <c r="Y390" s="186">
        <f>IF(Y$2&lt;=AnalysisPeriod,IF(SUM($C681:Y681)&gt;0,X390+1,0),0)</f>
        <v>3</v>
      </c>
      <c r="Z390" s="186">
        <f>IF(Z$2&lt;=AnalysisPeriod,IF(SUM($C681:Z681)&gt;0,Y390+1,0),0)</f>
        <v>4</v>
      </c>
      <c r="AA390" s="186">
        <f>IF(AA$2&lt;=AnalysisPeriod,IF(SUM($C681:AA681)&gt;0,Z390+1,0),0)</f>
        <v>5</v>
      </c>
      <c r="AB390" s="186">
        <f>IF(AB$2&lt;=AnalysisPeriod,IF(SUM($C681:AB681)&gt;0,AA390+1,0),0)</f>
        <v>6</v>
      </c>
      <c r="AC390" s="186">
        <f>IF(AC$2&lt;=AnalysisPeriod,IF(SUM($C681:AC681)&gt;0,AB390+1,0),0)</f>
        <v>7</v>
      </c>
      <c r="AD390" s="186">
        <f>IF(AD$2&lt;=AnalysisPeriod,IF(SUM($C681:AD681)&gt;0,AC390+1,0),0)</f>
        <v>8</v>
      </c>
      <c r="AE390" s="186">
        <f>IF(AE$2&lt;=AnalysisPeriod,IF(SUM($C681:AE681)&gt;0,AD390+1,0),0)</f>
        <v>9</v>
      </c>
      <c r="AF390" s="186">
        <f>IF(AF$2&lt;=AnalysisPeriod,IF(SUM($C681:AF681)&gt;0,AE390+1,0),0)</f>
        <v>10</v>
      </c>
      <c r="AG390" s="186">
        <f>IF(AG$2&lt;=AnalysisPeriod,IF(SUM($C681:AG681)&gt;0,AF390+1,0),0)</f>
        <v>0</v>
      </c>
      <c r="AH390" s="186">
        <f>IF(AH$2&lt;=AnalysisPeriod,IF(SUM($C681:AH681)&gt;0,AG390+1,0),0)</f>
        <v>0</v>
      </c>
      <c r="AI390" s="186">
        <f>IF(AI$2&lt;=AnalysisPeriod,IF(SUM($C681:AI681)&gt;0,AH390+1,0),0)</f>
        <v>0</v>
      </c>
      <c r="AJ390" s="186">
        <f>IF(AJ$2&lt;=AnalysisPeriod,IF(SUM($C681:AJ681)&gt;0,AI390+1,0),0)</f>
        <v>0</v>
      </c>
      <c r="AK390" s="186">
        <f>IF(AK$2&lt;=AnalysisPeriod,IF(SUM($C681:AK681)&gt;0,AJ390+1,0),0)</f>
        <v>0</v>
      </c>
      <c r="AL390" s="186">
        <f>IF(AL$2&lt;=AnalysisPeriod,IF(SUM($C681:AL681)&gt;0,AK390+1,0),0)</f>
        <v>0</v>
      </c>
      <c r="AM390" s="186">
        <f>IF(AM$2&lt;=AnalysisPeriod,IF(SUM($C681:AM681)&gt;0,AL390+1,0),0)</f>
        <v>0</v>
      </c>
      <c r="AN390" s="186">
        <f>IF(AN$2&lt;=AnalysisPeriod,IF(SUM($C681:AN681)&gt;0,AM390+1,0),0)</f>
        <v>0</v>
      </c>
      <c r="AO390" s="186">
        <f>IF(AO$2&lt;=AnalysisPeriod,IF(SUM($C681:AO681)&gt;0,AN390+1,0),0)</f>
        <v>0</v>
      </c>
      <c r="AP390" s="186">
        <f>IF(AP$2&lt;=AnalysisPeriod,IF(SUM($C681:AP681)&gt;0,AO390+1,0),0)</f>
        <v>0</v>
      </c>
    </row>
    <row r="391" spans="1:42">
      <c r="A391" s="118">
        <f t="shared" si="193"/>
        <v>8</v>
      </c>
      <c r="C391" s="186">
        <f>IF(C$2&lt;=AnalysisPeriod,IF(SUM($C682:C682)&gt;0,B391+1,0),0)</f>
        <v>0</v>
      </c>
      <c r="D391" s="186">
        <f>IF(D$2&lt;=AnalysisPeriod,IF(SUM($C682:D682)&gt;0,C391+1,0),0)</f>
        <v>0</v>
      </c>
      <c r="E391" s="186">
        <f>IF(E$2&lt;=AnalysisPeriod,IF(SUM($C682:E682)&gt;0,D391+1,0),0)</f>
        <v>0</v>
      </c>
      <c r="F391" s="186">
        <f>IF(F$2&lt;=AnalysisPeriod,IF(SUM($C682:F682)&gt;0,E391+1,0),0)</f>
        <v>0</v>
      </c>
      <c r="G391" s="186">
        <f>IF(G$2&lt;=AnalysisPeriod,IF(SUM($C682:G682)&gt;0,F391+1,0),0)</f>
        <v>0</v>
      </c>
      <c r="H391" s="186">
        <f>IF(H$2&lt;=AnalysisPeriod,IF(SUM($C682:H682)&gt;0,G391+1,0),0)</f>
        <v>0</v>
      </c>
      <c r="I391" s="186">
        <f>IF(I$2&lt;=AnalysisPeriod,IF(SUM($C682:I682)&gt;0,H391+1,0),0)</f>
        <v>0</v>
      </c>
      <c r="J391" s="186">
        <f>IF(J$2&lt;=AnalysisPeriod,IF(SUM($C682:J682)&gt;0,I391+1,0),0)</f>
        <v>0</v>
      </c>
      <c r="K391" s="186">
        <f>IF(K$2&lt;=AnalysisPeriod,IF(SUM($C682:K682)&gt;0,J391+1,0),0)</f>
        <v>0</v>
      </c>
      <c r="L391" s="186">
        <f>IF(L$2&lt;=AnalysisPeriod,IF(SUM($C682:L682)&gt;0,K391+1,0),0)</f>
        <v>0</v>
      </c>
      <c r="M391" s="186">
        <f>IF(M$2&lt;=AnalysisPeriod,IF(SUM($C682:M682)&gt;0,L391+1,0),0)</f>
        <v>0</v>
      </c>
      <c r="N391" s="186">
        <f>IF(N$2&lt;=AnalysisPeriod,IF(SUM($C682:N682)&gt;0,M391+1,0),0)</f>
        <v>0</v>
      </c>
      <c r="O391" s="186">
        <f>IF(O$2&lt;=AnalysisPeriod,IF(SUM($C682:O682)&gt;0,N391+1,0),0)</f>
        <v>0</v>
      </c>
      <c r="P391" s="186">
        <f>IF(P$2&lt;=AnalysisPeriod,IF(SUM($C682:P682)&gt;0,O391+1,0),0)</f>
        <v>0</v>
      </c>
      <c r="Q391" s="186">
        <f>IF(Q$2&lt;=AnalysisPeriod,IF(SUM($C682:Q682)&gt;0,P391+1,0),0)</f>
        <v>0</v>
      </c>
      <c r="R391" s="186">
        <f>IF(R$2&lt;=AnalysisPeriod,IF(SUM($C682:R682)&gt;0,Q391+1,0),0)</f>
        <v>0</v>
      </c>
      <c r="S391" s="186">
        <f>IF(S$2&lt;=AnalysisPeriod,IF(SUM($C682:S682)&gt;0,R391+1,0),0)</f>
        <v>0</v>
      </c>
      <c r="T391" s="186">
        <f>IF(T$2&lt;=AnalysisPeriod,IF(SUM($C682:T682)&gt;0,S391+1,0),0)</f>
        <v>0</v>
      </c>
      <c r="U391" s="186">
        <f>IF(U$2&lt;=AnalysisPeriod,IF(SUM($C682:U682)&gt;0,T391+1,0),0)</f>
        <v>0</v>
      </c>
      <c r="V391" s="186">
        <f>IF(V$2&lt;=AnalysisPeriod,IF(SUM($C682:V682)&gt;0,U391+1,0),0)</f>
        <v>0</v>
      </c>
      <c r="W391" s="186">
        <f>IF(W$2&lt;=AnalysisPeriod,IF(SUM($C682:W682)&gt;0,V391+1,0),0)</f>
        <v>0</v>
      </c>
      <c r="X391" s="186">
        <f>IF(X$2&lt;=AnalysisPeriod,IF(SUM($C682:X682)&gt;0,W391+1,0),0)</f>
        <v>0</v>
      </c>
      <c r="Y391" s="186">
        <f>IF(Y$2&lt;=AnalysisPeriod,IF(SUM($C682:Y682)&gt;0,X391+1,0),0)</f>
        <v>0</v>
      </c>
      <c r="Z391" s="186">
        <f>IF(Z$2&lt;=AnalysisPeriod,IF(SUM($C682:Z682)&gt;0,Y391+1,0),0)</f>
        <v>1</v>
      </c>
      <c r="AA391" s="186">
        <f>IF(AA$2&lt;=AnalysisPeriod,IF(SUM($C682:AA682)&gt;0,Z391+1,0),0)</f>
        <v>2</v>
      </c>
      <c r="AB391" s="186">
        <f>IF(AB$2&lt;=AnalysisPeriod,IF(SUM($C682:AB682)&gt;0,AA391+1,0),0)</f>
        <v>3</v>
      </c>
      <c r="AC391" s="186">
        <f>IF(AC$2&lt;=AnalysisPeriod,IF(SUM($C682:AC682)&gt;0,AB391+1,0),0)</f>
        <v>4</v>
      </c>
      <c r="AD391" s="186">
        <f>IF(AD$2&lt;=AnalysisPeriod,IF(SUM($C682:AD682)&gt;0,AC391+1,0),0)</f>
        <v>5</v>
      </c>
      <c r="AE391" s="186">
        <f>IF(AE$2&lt;=AnalysisPeriod,IF(SUM($C682:AE682)&gt;0,AD391+1,0),0)</f>
        <v>6</v>
      </c>
      <c r="AF391" s="186">
        <f>IF(AF$2&lt;=AnalysisPeriod,IF(SUM($C682:AF682)&gt;0,AE391+1,0),0)</f>
        <v>7</v>
      </c>
      <c r="AG391" s="186">
        <f>IF(AG$2&lt;=AnalysisPeriod,IF(SUM($C682:AG682)&gt;0,AF391+1,0),0)</f>
        <v>0</v>
      </c>
      <c r="AH391" s="186">
        <f>IF(AH$2&lt;=AnalysisPeriod,IF(SUM($C682:AH682)&gt;0,AG391+1,0),0)</f>
        <v>0</v>
      </c>
      <c r="AI391" s="186">
        <f>IF(AI$2&lt;=AnalysisPeriod,IF(SUM($C682:AI682)&gt;0,AH391+1,0),0)</f>
        <v>0</v>
      </c>
      <c r="AJ391" s="186">
        <f>IF(AJ$2&lt;=AnalysisPeriod,IF(SUM($C682:AJ682)&gt;0,AI391+1,0),0)</f>
        <v>0</v>
      </c>
      <c r="AK391" s="186">
        <f>IF(AK$2&lt;=AnalysisPeriod,IF(SUM($C682:AK682)&gt;0,AJ391+1,0),0)</f>
        <v>0</v>
      </c>
      <c r="AL391" s="186">
        <f>IF(AL$2&lt;=AnalysisPeriod,IF(SUM($C682:AL682)&gt;0,AK391+1,0),0)</f>
        <v>0</v>
      </c>
      <c r="AM391" s="186">
        <f>IF(AM$2&lt;=AnalysisPeriod,IF(SUM($C682:AM682)&gt;0,AL391+1,0),0)</f>
        <v>0</v>
      </c>
      <c r="AN391" s="186">
        <f>IF(AN$2&lt;=AnalysisPeriod,IF(SUM($C682:AN682)&gt;0,AM391+1,0),0)</f>
        <v>0</v>
      </c>
      <c r="AO391" s="186">
        <f>IF(AO$2&lt;=AnalysisPeriod,IF(SUM($C682:AO682)&gt;0,AN391+1,0),0)</f>
        <v>0</v>
      </c>
      <c r="AP391" s="186">
        <f>IF(AP$2&lt;=AnalysisPeriod,IF(SUM($C682:AP682)&gt;0,AO391+1,0),0)</f>
        <v>0</v>
      </c>
    </row>
    <row r="392" spans="1:42">
      <c r="A392" s="118">
        <f>A391+1</f>
        <v>9</v>
      </c>
      <c r="C392" s="186">
        <f>IF(C$2&lt;=AnalysisPeriod,IF(SUM($C683:C683)&gt;0,B392+1,0),0)</f>
        <v>0</v>
      </c>
      <c r="D392" s="186">
        <f>IF(D$2&lt;=AnalysisPeriod,IF(SUM($C683:D683)&gt;0,C392+1,0),0)</f>
        <v>0</v>
      </c>
      <c r="E392" s="186">
        <f>IF(E$2&lt;=AnalysisPeriod,IF(SUM($C683:E683)&gt;0,D392+1,0),0)</f>
        <v>0</v>
      </c>
      <c r="F392" s="186">
        <f>IF(F$2&lt;=AnalysisPeriod,IF(SUM($C683:F683)&gt;0,E392+1,0),0)</f>
        <v>0</v>
      </c>
      <c r="G392" s="186">
        <f>IF(G$2&lt;=AnalysisPeriod,IF(SUM($C683:G683)&gt;0,F392+1,0),0)</f>
        <v>0</v>
      </c>
      <c r="H392" s="186">
        <f>IF(H$2&lt;=AnalysisPeriod,IF(SUM($C683:H683)&gt;0,G392+1,0),0)</f>
        <v>0</v>
      </c>
      <c r="I392" s="186">
        <f>IF(I$2&lt;=AnalysisPeriod,IF(SUM($C683:I683)&gt;0,H392+1,0),0)</f>
        <v>0</v>
      </c>
      <c r="J392" s="186">
        <f>IF(J$2&lt;=AnalysisPeriod,IF(SUM($C683:J683)&gt;0,I392+1,0),0)</f>
        <v>0</v>
      </c>
      <c r="K392" s="186">
        <f>IF(K$2&lt;=AnalysisPeriod,IF(SUM($C683:K683)&gt;0,J392+1,0),0)</f>
        <v>0</v>
      </c>
      <c r="L392" s="186">
        <f>IF(L$2&lt;=AnalysisPeriod,IF(SUM($C683:L683)&gt;0,K392+1,0),0)</f>
        <v>0</v>
      </c>
      <c r="M392" s="186">
        <f>IF(M$2&lt;=AnalysisPeriod,IF(SUM($C683:M683)&gt;0,L392+1,0),0)</f>
        <v>0</v>
      </c>
      <c r="N392" s="186">
        <f>IF(N$2&lt;=AnalysisPeriod,IF(SUM($C683:N683)&gt;0,M392+1,0),0)</f>
        <v>0</v>
      </c>
      <c r="O392" s="186">
        <f>IF(O$2&lt;=AnalysisPeriod,IF(SUM($C683:O683)&gt;0,N392+1,0),0)</f>
        <v>0</v>
      </c>
      <c r="P392" s="186">
        <f>IF(P$2&lt;=AnalysisPeriod,IF(SUM($C683:P683)&gt;0,O392+1,0),0)</f>
        <v>0</v>
      </c>
      <c r="Q392" s="186">
        <f>IF(Q$2&lt;=AnalysisPeriod,IF(SUM($C683:Q683)&gt;0,P392+1,0),0)</f>
        <v>0</v>
      </c>
      <c r="R392" s="186">
        <f>IF(R$2&lt;=AnalysisPeriod,IF(SUM($C683:R683)&gt;0,Q392+1,0),0)</f>
        <v>0</v>
      </c>
      <c r="S392" s="186">
        <f>IF(S$2&lt;=AnalysisPeriod,IF(SUM($C683:S683)&gt;0,R392+1,0),0)</f>
        <v>0</v>
      </c>
      <c r="T392" s="186">
        <f>IF(T$2&lt;=AnalysisPeriod,IF(SUM($C683:T683)&gt;0,S392+1,0),0)</f>
        <v>0</v>
      </c>
      <c r="U392" s="186">
        <f>IF(U$2&lt;=AnalysisPeriod,IF(SUM($C683:U683)&gt;0,T392+1,0),0)</f>
        <v>0</v>
      </c>
      <c r="V392" s="186">
        <f>IF(V$2&lt;=AnalysisPeriod,IF(SUM($C683:V683)&gt;0,U392+1,0),0)</f>
        <v>0</v>
      </c>
      <c r="W392" s="186">
        <f>IF(W$2&lt;=AnalysisPeriod,IF(SUM($C683:W683)&gt;0,V392+1,0),0)</f>
        <v>0</v>
      </c>
      <c r="X392" s="186">
        <f>IF(X$2&lt;=AnalysisPeriod,IF(SUM($C683:X683)&gt;0,W392+1,0),0)</f>
        <v>0</v>
      </c>
      <c r="Y392" s="186">
        <f>IF(Y$2&lt;=AnalysisPeriod,IF(SUM($C683:Y683)&gt;0,X392+1,0),0)</f>
        <v>0</v>
      </c>
      <c r="Z392" s="186">
        <f>IF(Z$2&lt;=AnalysisPeriod,IF(SUM($C683:Z683)&gt;0,Y392+1,0),0)</f>
        <v>0</v>
      </c>
      <c r="AA392" s="186">
        <f>IF(AA$2&lt;=AnalysisPeriod,IF(SUM($C683:AA683)&gt;0,Z392+1,0),0)</f>
        <v>0</v>
      </c>
      <c r="AB392" s="186">
        <f>IF(AB$2&lt;=AnalysisPeriod,IF(SUM($C683:AB683)&gt;0,AA392+1,0),0)</f>
        <v>0</v>
      </c>
      <c r="AC392" s="186">
        <f>IF(AC$2&lt;=AnalysisPeriod,IF(SUM($C683:AC683)&gt;0,AB392+1,0),0)</f>
        <v>1</v>
      </c>
      <c r="AD392" s="186">
        <f>IF(AD$2&lt;=AnalysisPeriod,IF(SUM($C683:AD683)&gt;0,AC392+1,0),0)</f>
        <v>2</v>
      </c>
      <c r="AE392" s="186">
        <f>IF(AE$2&lt;=AnalysisPeriod,IF(SUM($C683:AE683)&gt;0,AD392+1,0),0)</f>
        <v>3</v>
      </c>
      <c r="AF392" s="186">
        <f>IF(AF$2&lt;=AnalysisPeriod,IF(SUM($C683:AF683)&gt;0,AE392+1,0),0)</f>
        <v>4</v>
      </c>
      <c r="AG392" s="186">
        <f>IF(AG$2&lt;=AnalysisPeriod,IF(SUM($C683:AG683)&gt;0,AF392+1,0),0)</f>
        <v>0</v>
      </c>
      <c r="AH392" s="186">
        <f>IF(AH$2&lt;=AnalysisPeriod,IF(SUM($C683:AH683)&gt;0,AG392+1,0),0)</f>
        <v>0</v>
      </c>
      <c r="AI392" s="186">
        <f>IF(AI$2&lt;=AnalysisPeriod,IF(SUM($C683:AI683)&gt;0,AH392+1,0),0)</f>
        <v>0</v>
      </c>
      <c r="AJ392" s="186">
        <f>IF(AJ$2&lt;=AnalysisPeriod,IF(SUM($C683:AJ683)&gt;0,AI392+1,0),0)</f>
        <v>0</v>
      </c>
      <c r="AK392" s="186">
        <f>IF(AK$2&lt;=AnalysisPeriod,IF(SUM($C683:AK683)&gt;0,AJ392+1,0),0)</f>
        <v>0</v>
      </c>
      <c r="AL392" s="186">
        <f>IF(AL$2&lt;=AnalysisPeriod,IF(SUM($C683:AL683)&gt;0,AK392+1,0),0)</f>
        <v>0</v>
      </c>
      <c r="AM392" s="186">
        <f>IF(AM$2&lt;=AnalysisPeriod,IF(SUM($C683:AM683)&gt;0,AL392+1,0),0)</f>
        <v>0</v>
      </c>
      <c r="AN392" s="186">
        <f>IF(AN$2&lt;=AnalysisPeriod,IF(SUM($C683:AN683)&gt;0,AM392+1,0),0)</f>
        <v>0</v>
      </c>
      <c r="AO392" s="186">
        <f>IF(AO$2&lt;=AnalysisPeriod,IF(SUM($C683:AO683)&gt;0,AN392+1,0),0)</f>
        <v>0</v>
      </c>
      <c r="AP392" s="186">
        <f>IF(AP$2&lt;=AnalysisPeriod,IF(SUM($C683:AP683)&gt;0,AO392+1,0),0)</f>
        <v>0</v>
      </c>
    </row>
    <row r="393" spans="1:42">
      <c r="A393" s="118">
        <f t="shared" si="193"/>
        <v>10</v>
      </c>
      <c r="C393" s="186">
        <f>IF(C$2&lt;=AnalysisPeriod,IF(SUM($C684:C684)&gt;0,B393+1,0),0)</f>
        <v>0</v>
      </c>
      <c r="D393" s="186">
        <f>IF(D$2&lt;=AnalysisPeriod,IF(SUM($C684:D684)&gt;0,C393+1,0),0)</f>
        <v>0</v>
      </c>
      <c r="E393" s="186">
        <f>IF(E$2&lt;=AnalysisPeriod,IF(SUM($C684:E684)&gt;0,D393+1,0),0)</f>
        <v>0</v>
      </c>
      <c r="F393" s="186">
        <f>IF(F$2&lt;=AnalysisPeriod,IF(SUM($C684:F684)&gt;0,E393+1,0),0)</f>
        <v>0</v>
      </c>
      <c r="G393" s="186">
        <f>IF(G$2&lt;=AnalysisPeriod,IF(SUM($C684:G684)&gt;0,F393+1,0),0)</f>
        <v>0</v>
      </c>
      <c r="H393" s="186">
        <f>IF(H$2&lt;=AnalysisPeriod,IF(SUM($C684:H684)&gt;0,G393+1,0),0)</f>
        <v>0</v>
      </c>
      <c r="I393" s="186">
        <f>IF(I$2&lt;=AnalysisPeriod,IF(SUM($C684:I684)&gt;0,H393+1,0),0)</f>
        <v>0</v>
      </c>
      <c r="J393" s="186">
        <f>IF(J$2&lt;=AnalysisPeriod,IF(SUM($C684:J684)&gt;0,I393+1,0),0)</f>
        <v>0</v>
      </c>
      <c r="K393" s="186">
        <f>IF(K$2&lt;=AnalysisPeriod,IF(SUM($C684:K684)&gt;0,J393+1,0),0)</f>
        <v>0</v>
      </c>
      <c r="L393" s="186">
        <f>IF(L$2&lt;=AnalysisPeriod,IF(SUM($C684:L684)&gt;0,K393+1,0),0)</f>
        <v>0</v>
      </c>
      <c r="M393" s="186">
        <f>IF(M$2&lt;=AnalysisPeriod,IF(SUM($C684:M684)&gt;0,L393+1,0),0)</f>
        <v>0</v>
      </c>
      <c r="N393" s="186">
        <f>IF(N$2&lt;=AnalysisPeriod,IF(SUM($C684:N684)&gt;0,M393+1,0),0)</f>
        <v>0</v>
      </c>
      <c r="O393" s="186">
        <f>IF(O$2&lt;=AnalysisPeriod,IF(SUM($C684:O684)&gt;0,N393+1,0),0)</f>
        <v>0</v>
      </c>
      <c r="P393" s="186">
        <f>IF(P$2&lt;=AnalysisPeriod,IF(SUM($C684:P684)&gt;0,O393+1,0),0)</f>
        <v>0</v>
      </c>
      <c r="Q393" s="186">
        <f>IF(Q$2&lt;=AnalysisPeriod,IF(SUM($C684:Q684)&gt;0,P393+1,0),0)</f>
        <v>0</v>
      </c>
      <c r="R393" s="186">
        <f>IF(R$2&lt;=AnalysisPeriod,IF(SUM($C684:R684)&gt;0,Q393+1,0),0)</f>
        <v>0</v>
      </c>
      <c r="S393" s="186">
        <f>IF(S$2&lt;=AnalysisPeriod,IF(SUM($C684:S684)&gt;0,R393+1,0),0)</f>
        <v>0</v>
      </c>
      <c r="T393" s="186">
        <f>IF(T$2&lt;=AnalysisPeriod,IF(SUM($C684:T684)&gt;0,S393+1,0),0)</f>
        <v>0</v>
      </c>
      <c r="U393" s="186">
        <f>IF(U$2&lt;=AnalysisPeriod,IF(SUM($C684:U684)&gt;0,T393+1,0),0)</f>
        <v>0</v>
      </c>
      <c r="V393" s="186">
        <f>IF(V$2&lt;=AnalysisPeriod,IF(SUM($C684:V684)&gt;0,U393+1,0),0)</f>
        <v>0</v>
      </c>
      <c r="W393" s="186">
        <f>IF(W$2&lt;=AnalysisPeriod,IF(SUM($C684:W684)&gt;0,V393+1,0),0)</f>
        <v>0</v>
      </c>
      <c r="X393" s="186">
        <f>IF(X$2&lt;=AnalysisPeriod,IF(SUM($C684:X684)&gt;0,W393+1,0),0)</f>
        <v>0</v>
      </c>
      <c r="Y393" s="186">
        <f>IF(Y$2&lt;=AnalysisPeriod,IF(SUM($C684:Y684)&gt;0,X393+1,0),0)</f>
        <v>0</v>
      </c>
      <c r="Z393" s="186">
        <f>IF(Z$2&lt;=AnalysisPeriod,IF(SUM($C684:Z684)&gt;0,Y393+1,0),0)</f>
        <v>0</v>
      </c>
      <c r="AA393" s="186">
        <f>IF(AA$2&lt;=AnalysisPeriod,IF(SUM($C684:AA684)&gt;0,Z393+1,0),0)</f>
        <v>0</v>
      </c>
      <c r="AB393" s="186">
        <f>IF(AB$2&lt;=AnalysisPeriod,IF(SUM($C684:AB684)&gt;0,AA393+1,0),0)</f>
        <v>0</v>
      </c>
      <c r="AC393" s="186">
        <f>IF(AC$2&lt;=AnalysisPeriod,IF(SUM($C684:AC684)&gt;0,AB393+1,0),0)</f>
        <v>0</v>
      </c>
      <c r="AD393" s="186">
        <f>IF(AD$2&lt;=AnalysisPeriod,IF(SUM($C684:AD684)&gt;0,AC393+1,0),0)</f>
        <v>0</v>
      </c>
      <c r="AE393" s="186">
        <f>IF(AE$2&lt;=AnalysisPeriod,IF(SUM($C684:AE684)&gt;0,AD393+1,0),0)</f>
        <v>0</v>
      </c>
      <c r="AF393" s="186">
        <f>IF(AF$2&lt;=AnalysisPeriod,IF(SUM($C684:AF684)&gt;0,AE393+1,0),0)</f>
        <v>1</v>
      </c>
      <c r="AG393" s="186">
        <f>IF(AG$2&lt;=AnalysisPeriod,IF(SUM($C684:AG684)&gt;0,AF393+1,0),0)</f>
        <v>0</v>
      </c>
      <c r="AH393" s="186">
        <f>IF(AH$2&lt;=AnalysisPeriod,IF(SUM($C684:AH684)&gt;0,AG393+1,0),0)</f>
        <v>0</v>
      </c>
      <c r="AI393" s="186">
        <f>IF(AI$2&lt;=AnalysisPeriod,IF(SUM($C684:AI684)&gt;0,AH393+1,0),0)</f>
        <v>0</v>
      </c>
      <c r="AJ393" s="186">
        <f>IF(AJ$2&lt;=AnalysisPeriod,IF(SUM($C684:AJ684)&gt;0,AI393+1,0),0)</f>
        <v>0</v>
      </c>
      <c r="AK393" s="186">
        <f>IF(AK$2&lt;=AnalysisPeriod,IF(SUM($C684:AK684)&gt;0,AJ393+1,0),0)</f>
        <v>0</v>
      </c>
      <c r="AL393" s="186">
        <f>IF(AL$2&lt;=AnalysisPeriod,IF(SUM($C684:AL684)&gt;0,AK393+1,0),0)</f>
        <v>0</v>
      </c>
      <c r="AM393" s="186">
        <f>IF(AM$2&lt;=AnalysisPeriod,IF(SUM($C684:AM684)&gt;0,AL393+1,0),0)</f>
        <v>0</v>
      </c>
      <c r="AN393" s="186">
        <f>IF(AN$2&lt;=AnalysisPeriod,IF(SUM($C684:AN684)&gt;0,AM393+1,0),0)</f>
        <v>0</v>
      </c>
      <c r="AO393" s="186">
        <f>IF(AO$2&lt;=AnalysisPeriod,IF(SUM($C684:AO684)&gt;0,AN393+1,0),0)</f>
        <v>0</v>
      </c>
      <c r="AP393" s="186">
        <f>IF(AP$2&lt;=AnalysisPeriod,IF(SUM($C684:AP684)&gt;0,AO393+1,0),0)</f>
        <v>0</v>
      </c>
    </row>
    <row r="394" spans="1:42">
      <c r="A394" s="204"/>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204" t="s">
        <v>211</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118">
        <v>1</v>
      </c>
      <c r="B396" s="196">
        <f t="shared" ref="B396:B405" si="194">SUM(C396:AP396)</f>
        <v>103022.49999999997</v>
      </c>
      <c r="C396" s="225">
        <f t="shared" ref="C396:AP396" si="195">LOOKUP(C384,$B$328:$AP$328,$B$329:$AP$329)*$B675</f>
        <v>0</v>
      </c>
      <c r="D396" s="186">
        <f t="shared" si="195"/>
        <v>0</v>
      </c>
      <c r="E396" s="186">
        <f t="shared" si="195"/>
        <v>20604.499999999996</v>
      </c>
      <c r="F396" s="186">
        <f t="shared" si="195"/>
        <v>32967.19999999999</v>
      </c>
      <c r="G396" s="186">
        <f t="shared" si="195"/>
        <v>19780.319999999996</v>
      </c>
      <c r="H396" s="186">
        <f t="shared" si="195"/>
        <v>11868.191999999995</v>
      </c>
      <c r="I396" s="186">
        <f t="shared" si="195"/>
        <v>11868.191999999995</v>
      </c>
      <c r="J396" s="186">
        <f t="shared" si="195"/>
        <v>5934.0959999999977</v>
      </c>
      <c r="K396" s="186">
        <f t="shared" si="195"/>
        <v>0</v>
      </c>
      <c r="L396" s="186">
        <f t="shared" si="195"/>
        <v>0</v>
      </c>
      <c r="M396" s="186">
        <f t="shared" si="195"/>
        <v>0</v>
      </c>
      <c r="N396" s="186">
        <f t="shared" si="195"/>
        <v>0</v>
      </c>
      <c r="O396" s="186">
        <f t="shared" si="195"/>
        <v>0</v>
      </c>
      <c r="P396" s="186">
        <f t="shared" si="195"/>
        <v>0</v>
      </c>
      <c r="Q396" s="186">
        <f t="shared" si="195"/>
        <v>0</v>
      </c>
      <c r="R396" s="186">
        <f t="shared" si="195"/>
        <v>0</v>
      </c>
      <c r="S396" s="186">
        <f t="shared" si="195"/>
        <v>0</v>
      </c>
      <c r="T396" s="186">
        <f t="shared" si="195"/>
        <v>0</v>
      </c>
      <c r="U396" s="186">
        <f t="shared" si="195"/>
        <v>0</v>
      </c>
      <c r="V396" s="186">
        <f t="shared" si="195"/>
        <v>0</v>
      </c>
      <c r="W396" s="186">
        <f t="shared" si="195"/>
        <v>0</v>
      </c>
      <c r="X396" s="186">
        <f t="shared" si="195"/>
        <v>0</v>
      </c>
      <c r="Y396" s="186">
        <f t="shared" si="195"/>
        <v>0</v>
      </c>
      <c r="Z396" s="186">
        <f t="shared" si="195"/>
        <v>0</v>
      </c>
      <c r="AA396" s="186">
        <f t="shared" si="195"/>
        <v>0</v>
      </c>
      <c r="AB396" s="186">
        <f t="shared" si="195"/>
        <v>0</v>
      </c>
      <c r="AC396" s="186">
        <f t="shared" si="195"/>
        <v>0</v>
      </c>
      <c r="AD396" s="186">
        <f t="shared" si="195"/>
        <v>0</v>
      </c>
      <c r="AE396" s="186">
        <f t="shared" si="195"/>
        <v>0</v>
      </c>
      <c r="AF396" s="186">
        <f t="shared" si="195"/>
        <v>0</v>
      </c>
      <c r="AG396" s="186">
        <f t="shared" si="195"/>
        <v>0</v>
      </c>
      <c r="AH396" s="186">
        <f t="shared" si="195"/>
        <v>0</v>
      </c>
      <c r="AI396" s="186">
        <f t="shared" si="195"/>
        <v>0</v>
      </c>
      <c r="AJ396" s="186">
        <f t="shared" si="195"/>
        <v>0</v>
      </c>
      <c r="AK396" s="186">
        <f t="shared" si="195"/>
        <v>0</v>
      </c>
      <c r="AL396" s="186">
        <f t="shared" si="195"/>
        <v>0</v>
      </c>
      <c r="AM396" s="186">
        <f t="shared" si="195"/>
        <v>0</v>
      </c>
      <c r="AN396" s="186">
        <f t="shared" si="195"/>
        <v>0</v>
      </c>
      <c r="AO396" s="186">
        <f t="shared" si="195"/>
        <v>0</v>
      </c>
      <c r="AP396" s="186">
        <f t="shared" si="195"/>
        <v>0</v>
      </c>
    </row>
    <row r="397" spans="1:42">
      <c r="A397" s="118">
        <f>A396+1</f>
        <v>2</v>
      </c>
      <c r="B397" s="196">
        <f t="shared" si="194"/>
        <v>107728.40038843744</v>
      </c>
      <c r="C397" s="225">
        <f t="shared" ref="C397:AP397" si="196">LOOKUP(C385,$B$328:$AP$328,$B$329:$AP$329)*$B676</f>
        <v>0</v>
      </c>
      <c r="D397" s="186">
        <f t="shared" si="196"/>
        <v>0</v>
      </c>
      <c r="E397" s="186">
        <f t="shared" si="196"/>
        <v>0</v>
      </c>
      <c r="F397" s="186">
        <f t="shared" si="196"/>
        <v>0</v>
      </c>
      <c r="G397" s="186">
        <f t="shared" si="196"/>
        <v>0</v>
      </c>
      <c r="H397" s="186">
        <f t="shared" si="196"/>
        <v>21545.680077687488</v>
      </c>
      <c r="I397" s="186">
        <f t="shared" si="196"/>
        <v>34473.088124299975</v>
      </c>
      <c r="J397" s="186">
        <f t="shared" si="196"/>
        <v>20683.852874579985</v>
      </c>
      <c r="K397" s="186">
        <f t="shared" si="196"/>
        <v>12410.311724747991</v>
      </c>
      <c r="L397" s="186">
        <f t="shared" si="196"/>
        <v>12410.311724747991</v>
      </c>
      <c r="M397" s="186">
        <f t="shared" si="196"/>
        <v>6205.1558623739957</v>
      </c>
      <c r="N397" s="186">
        <f t="shared" si="196"/>
        <v>0</v>
      </c>
      <c r="O397" s="186">
        <f t="shared" si="196"/>
        <v>0</v>
      </c>
      <c r="P397" s="186">
        <f t="shared" si="196"/>
        <v>0</v>
      </c>
      <c r="Q397" s="186">
        <f t="shared" si="196"/>
        <v>0</v>
      </c>
      <c r="R397" s="186">
        <f t="shared" si="196"/>
        <v>0</v>
      </c>
      <c r="S397" s="186">
        <f t="shared" si="196"/>
        <v>0</v>
      </c>
      <c r="T397" s="186">
        <f t="shared" si="196"/>
        <v>0</v>
      </c>
      <c r="U397" s="186">
        <f t="shared" si="196"/>
        <v>0</v>
      </c>
      <c r="V397" s="186">
        <f t="shared" si="196"/>
        <v>0</v>
      </c>
      <c r="W397" s="186">
        <f t="shared" si="196"/>
        <v>0</v>
      </c>
      <c r="X397" s="186">
        <f t="shared" si="196"/>
        <v>0</v>
      </c>
      <c r="Y397" s="186">
        <f t="shared" si="196"/>
        <v>0</v>
      </c>
      <c r="Z397" s="186">
        <f t="shared" si="196"/>
        <v>0</v>
      </c>
      <c r="AA397" s="186">
        <f t="shared" si="196"/>
        <v>0</v>
      </c>
      <c r="AB397" s="186">
        <f t="shared" si="196"/>
        <v>0</v>
      </c>
      <c r="AC397" s="186">
        <f t="shared" si="196"/>
        <v>0</v>
      </c>
      <c r="AD397" s="186">
        <f t="shared" si="196"/>
        <v>0</v>
      </c>
      <c r="AE397" s="186">
        <f t="shared" si="196"/>
        <v>0</v>
      </c>
      <c r="AF397" s="186">
        <f t="shared" si="196"/>
        <v>0</v>
      </c>
      <c r="AG397" s="186">
        <f t="shared" si="196"/>
        <v>0</v>
      </c>
      <c r="AH397" s="186">
        <f t="shared" si="196"/>
        <v>0</v>
      </c>
      <c r="AI397" s="186">
        <f t="shared" si="196"/>
        <v>0</v>
      </c>
      <c r="AJ397" s="186">
        <f t="shared" si="196"/>
        <v>0</v>
      </c>
      <c r="AK397" s="186">
        <f t="shared" si="196"/>
        <v>0</v>
      </c>
      <c r="AL397" s="186">
        <f t="shared" si="196"/>
        <v>0</v>
      </c>
      <c r="AM397" s="186">
        <f t="shared" si="196"/>
        <v>0</v>
      </c>
      <c r="AN397" s="186">
        <f t="shared" si="196"/>
        <v>0</v>
      </c>
      <c r="AO397" s="186">
        <f t="shared" si="196"/>
        <v>0</v>
      </c>
      <c r="AP397" s="186">
        <f t="shared" si="196"/>
        <v>0</v>
      </c>
    </row>
    <row r="398" spans="1:42">
      <c r="A398" s="118">
        <f t="shared" ref="A398:A405" si="197">A397+1</f>
        <v>3</v>
      </c>
      <c r="B398" s="196">
        <f t="shared" si="194"/>
        <v>112649.25865953058</v>
      </c>
      <c r="C398" s="225">
        <f t="shared" ref="C398:AP398" si="198">LOOKUP(C386,$B$328:$AP$328,$B$329:$AP$329)*$B677</f>
        <v>0</v>
      </c>
      <c r="D398" s="186">
        <f t="shared" si="198"/>
        <v>0</v>
      </c>
      <c r="E398" s="186">
        <f t="shared" si="198"/>
        <v>0</v>
      </c>
      <c r="F398" s="186">
        <f t="shared" si="198"/>
        <v>0</v>
      </c>
      <c r="G398" s="186">
        <f t="shared" si="198"/>
        <v>0</v>
      </c>
      <c r="H398" s="186">
        <f t="shared" si="198"/>
        <v>0</v>
      </c>
      <c r="I398" s="186">
        <f t="shared" si="198"/>
        <v>0</v>
      </c>
      <c r="J398" s="186">
        <f t="shared" si="198"/>
        <v>0</v>
      </c>
      <c r="K398" s="186">
        <f t="shared" si="198"/>
        <v>22529.851731906117</v>
      </c>
      <c r="L398" s="186">
        <f t="shared" si="198"/>
        <v>36047.762771049784</v>
      </c>
      <c r="M398" s="186">
        <f t="shared" si="198"/>
        <v>21628.65766262987</v>
      </c>
      <c r="N398" s="186">
        <f t="shared" si="198"/>
        <v>12977.194597577922</v>
      </c>
      <c r="O398" s="186">
        <f t="shared" si="198"/>
        <v>12977.194597577922</v>
      </c>
      <c r="P398" s="186">
        <f t="shared" si="198"/>
        <v>6488.5972987889609</v>
      </c>
      <c r="Q398" s="186">
        <f t="shared" si="198"/>
        <v>0</v>
      </c>
      <c r="R398" s="186">
        <f t="shared" si="198"/>
        <v>0</v>
      </c>
      <c r="S398" s="186">
        <f t="shared" si="198"/>
        <v>0</v>
      </c>
      <c r="T398" s="186">
        <f t="shared" si="198"/>
        <v>0</v>
      </c>
      <c r="U398" s="186">
        <f t="shared" si="198"/>
        <v>0</v>
      </c>
      <c r="V398" s="186">
        <f t="shared" si="198"/>
        <v>0</v>
      </c>
      <c r="W398" s="186">
        <f t="shared" si="198"/>
        <v>0</v>
      </c>
      <c r="X398" s="186">
        <f t="shared" si="198"/>
        <v>0</v>
      </c>
      <c r="Y398" s="186">
        <f t="shared" si="198"/>
        <v>0</v>
      </c>
      <c r="Z398" s="186">
        <f t="shared" si="198"/>
        <v>0</v>
      </c>
      <c r="AA398" s="186">
        <f t="shared" si="198"/>
        <v>0</v>
      </c>
      <c r="AB398" s="186">
        <f t="shared" si="198"/>
        <v>0</v>
      </c>
      <c r="AC398" s="186">
        <f t="shared" si="198"/>
        <v>0</v>
      </c>
      <c r="AD398" s="186">
        <f t="shared" si="198"/>
        <v>0</v>
      </c>
      <c r="AE398" s="186">
        <f t="shared" si="198"/>
        <v>0</v>
      </c>
      <c r="AF398" s="186">
        <f t="shared" si="198"/>
        <v>0</v>
      </c>
      <c r="AG398" s="186">
        <f t="shared" si="198"/>
        <v>0</v>
      </c>
      <c r="AH398" s="186">
        <f t="shared" si="198"/>
        <v>0</v>
      </c>
      <c r="AI398" s="186">
        <f t="shared" si="198"/>
        <v>0</v>
      </c>
      <c r="AJ398" s="186">
        <f t="shared" si="198"/>
        <v>0</v>
      </c>
      <c r="AK398" s="186">
        <f t="shared" si="198"/>
        <v>0</v>
      </c>
      <c r="AL398" s="186">
        <f t="shared" si="198"/>
        <v>0</v>
      </c>
      <c r="AM398" s="186">
        <f t="shared" si="198"/>
        <v>0</v>
      </c>
      <c r="AN398" s="186">
        <f t="shared" si="198"/>
        <v>0</v>
      </c>
      <c r="AO398" s="186">
        <f t="shared" si="198"/>
        <v>0</v>
      </c>
      <c r="AP398" s="186">
        <f t="shared" si="198"/>
        <v>0</v>
      </c>
    </row>
    <row r="399" spans="1:42">
      <c r="A399" s="118">
        <f t="shared" si="197"/>
        <v>4</v>
      </c>
      <c r="B399" s="196">
        <f t="shared" si="194"/>
        <v>117794.89374005256</v>
      </c>
      <c r="C399" s="225">
        <f t="shared" ref="C399:AP399" si="199">LOOKUP(C387,$B$328:$AP$328,$B$329:$AP$329)*$B678</f>
        <v>0</v>
      </c>
      <c r="D399" s="186">
        <f t="shared" si="199"/>
        <v>0</v>
      </c>
      <c r="E399" s="186">
        <f t="shared" si="199"/>
        <v>0</v>
      </c>
      <c r="F399" s="186">
        <f t="shared" si="199"/>
        <v>0</v>
      </c>
      <c r="G399" s="186">
        <f t="shared" si="199"/>
        <v>0</v>
      </c>
      <c r="H399" s="186">
        <f t="shared" si="199"/>
        <v>0</v>
      </c>
      <c r="I399" s="186">
        <f t="shared" si="199"/>
        <v>0</v>
      </c>
      <c r="J399" s="186">
        <f t="shared" si="199"/>
        <v>0</v>
      </c>
      <c r="K399" s="186">
        <f t="shared" si="199"/>
        <v>0</v>
      </c>
      <c r="L399" s="186">
        <f t="shared" si="199"/>
        <v>0</v>
      </c>
      <c r="M399" s="186">
        <f t="shared" si="199"/>
        <v>0</v>
      </c>
      <c r="N399" s="186">
        <f t="shared" si="199"/>
        <v>23558.978748010515</v>
      </c>
      <c r="O399" s="186">
        <f t="shared" si="199"/>
        <v>37694.365996816821</v>
      </c>
      <c r="P399" s="186">
        <f t="shared" si="199"/>
        <v>22616.619598090092</v>
      </c>
      <c r="Q399" s="186">
        <f t="shared" si="199"/>
        <v>13569.971758854055</v>
      </c>
      <c r="R399" s="186">
        <f t="shared" si="199"/>
        <v>13569.971758854055</v>
      </c>
      <c r="S399" s="186">
        <f t="shared" si="199"/>
        <v>6784.9858794270276</v>
      </c>
      <c r="T399" s="186">
        <f t="shared" si="199"/>
        <v>0</v>
      </c>
      <c r="U399" s="186">
        <f t="shared" si="199"/>
        <v>0</v>
      </c>
      <c r="V399" s="186">
        <f t="shared" si="199"/>
        <v>0</v>
      </c>
      <c r="W399" s="186">
        <f t="shared" si="199"/>
        <v>0</v>
      </c>
      <c r="X399" s="186">
        <f t="shared" si="199"/>
        <v>0</v>
      </c>
      <c r="Y399" s="186">
        <f t="shared" si="199"/>
        <v>0</v>
      </c>
      <c r="Z399" s="186">
        <f t="shared" si="199"/>
        <v>0</v>
      </c>
      <c r="AA399" s="186">
        <f t="shared" si="199"/>
        <v>0</v>
      </c>
      <c r="AB399" s="186">
        <f t="shared" si="199"/>
        <v>0</v>
      </c>
      <c r="AC399" s="186">
        <f t="shared" si="199"/>
        <v>0</v>
      </c>
      <c r="AD399" s="186">
        <f t="shared" si="199"/>
        <v>0</v>
      </c>
      <c r="AE399" s="186">
        <f t="shared" si="199"/>
        <v>0</v>
      </c>
      <c r="AF399" s="186">
        <f t="shared" si="199"/>
        <v>0</v>
      </c>
      <c r="AG399" s="186">
        <f t="shared" si="199"/>
        <v>0</v>
      </c>
      <c r="AH399" s="186">
        <f t="shared" si="199"/>
        <v>0</v>
      </c>
      <c r="AI399" s="186">
        <f t="shared" si="199"/>
        <v>0</v>
      </c>
      <c r="AJ399" s="186">
        <f t="shared" si="199"/>
        <v>0</v>
      </c>
      <c r="AK399" s="186">
        <f t="shared" si="199"/>
        <v>0</v>
      </c>
      <c r="AL399" s="186">
        <f t="shared" si="199"/>
        <v>0</v>
      </c>
      <c r="AM399" s="186">
        <f t="shared" si="199"/>
        <v>0</v>
      </c>
      <c r="AN399" s="186">
        <f t="shared" si="199"/>
        <v>0</v>
      </c>
      <c r="AO399" s="186">
        <f t="shared" si="199"/>
        <v>0</v>
      </c>
      <c r="AP399" s="186">
        <f t="shared" si="199"/>
        <v>0</v>
      </c>
    </row>
    <row r="400" spans="1:42">
      <c r="A400" s="118">
        <f t="shared" si="197"/>
        <v>5</v>
      </c>
      <c r="B400" s="196">
        <f t="shared" si="194"/>
        <v>123175.57306939577</v>
      </c>
      <c r="C400" s="225">
        <f t="shared" ref="C400:AP400" si="200">LOOKUP(C388,$B$328:$AP$328,$B$329:$AP$329)*$B679</f>
        <v>0</v>
      </c>
      <c r="D400" s="186">
        <f t="shared" si="200"/>
        <v>0</v>
      </c>
      <c r="E400" s="186">
        <f t="shared" si="200"/>
        <v>0</v>
      </c>
      <c r="F400" s="186">
        <f t="shared" si="200"/>
        <v>0</v>
      </c>
      <c r="G400" s="186">
        <f t="shared" si="200"/>
        <v>0</v>
      </c>
      <c r="H400" s="186">
        <f t="shared" si="200"/>
        <v>0</v>
      </c>
      <c r="I400" s="186">
        <f t="shared" si="200"/>
        <v>0</v>
      </c>
      <c r="J400" s="186">
        <f t="shared" si="200"/>
        <v>0</v>
      </c>
      <c r="K400" s="186">
        <f t="shared" si="200"/>
        <v>0</v>
      </c>
      <c r="L400" s="186">
        <f t="shared" si="200"/>
        <v>0</v>
      </c>
      <c r="M400" s="186">
        <f t="shared" si="200"/>
        <v>0</v>
      </c>
      <c r="N400" s="186">
        <f t="shared" si="200"/>
        <v>0</v>
      </c>
      <c r="O400" s="186">
        <f t="shared" si="200"/>
        <v>0</v>
      </c>
      <c r="P400" s="186">
        <f t="shared" si="200"/>
        <v>0</v>
      </c>
      <c r="Q400" s="186">
        <f t="shared" si="200"/>
        <v>24635.114613879156</v>
      </c>
      <c r="R400" s="186">
        <f t="shared" si="200"/>
        <v>39416.183382206647</v>
      </c>
      <c r="S400" s="186">
        <f t="shared" si="200"/>
        <v>23649.710029323989</v>
      </c>
      <c r="T400" s="186">
        <f t="shared" si="200"/>
        <v>14189.826017594392</v>
      </c>
      <c r="U400" s="186">
        <f t="shared" si="200"/>
        <v>14189.826017594392</v>
      </c>
      <c r="V400" s="186">
        <f t="shared" si="200"/>
        <v>7094.9130087971962</v>
      </c>
      <c r="W400" s="186">
        <f t="shared" si="200"/>
        <v>0</v>
      </c>
      <c r="X400" s="186">
        <f t="shared" si="200"/>
        <v>0</v>
      </c>
      <c r="Y400" s="186">
        <f t="shared" si="200"/>
        <v>0</v>
      </c>
      <c r="Z400" s="186">
        <f t="shared" si="200"/>
        <v>0</v>
      </c>
      <c r="AA400" s="186">
        <f t="shared" si="200"/>
        <v>0</v>
      </c>
      <c r="AB400" s="186">
        <f t="shared" si="200"/>
        <v>0</v>
      </c>
      <c r="AC400" s="186">
        <f t="shared" si="200"/>
        <v>0</v>
      </c>
      <c r="AD400" s="186">
        <f t="shared" si="200"/>
        <v>0</v>
      </c>
      <c r="AE400" s="186">
        <f t="shared" si="200"/>
        <v>0</v>
      </c>
      <c r="AF400" s="186">
        <f t="shared" si="200"/>
        <v>0</v>
      </c>
      <c r="AG400" s="186">
        <f t="shared" si="200"/>
        <v>0</v>
      </c>
      <c r="AH400" s="186">
        <f t="shared" si="200"/>
        <v>0</v>
      </c>
      <c r="AI400" s="186">
        <f t="shared" si="200"/>
        <v>0</v>
      </c>
      <c r="AJ400" s="186">
        <f t="shared" si="200"/>
        <v>0</v>
      </c>
      <c r="AK400" s="186">
        <f t="shared" si="200"/>
        <v>0</v>
      </c>
      <c r="AL400" s="186">
        <f t="shared" si="200"/>
        <v>0</v>
      </c>
      <c r="AM400" s="186">
        <f t="shared" si="200"/>
        <v>0</v>
      </c>
      <c r="AN400" s="186">
        <f t="shared" si="200"/>
        <v>0</v>
      </c>
      <c r="AO400" s="186">
        <f t="shared" si="200"/>
        <v>0</v>
      </c>
      <c r="AP400" s="186">
        <f t="shared" si="200"/>
        <v>0</v>
      </c>
    </row>
    <row r="401" spans="1:42">
      <c r="A401" s="118">
        <f t="shared" si="197"/>
        <v>6</v>
      </c>
      <c r="B401" s="196">
        <f t="shared" si="194"/>
        <v>128802.03308689946</v>
      </c>
      <c r="C401" s="225">
        <f t="shared" ref="C401:AP401" si="201">LOOKUP(C389,$B$328:$AP$328,$B$329:$AP$329)*$B680</f>
        <v>0</v>
      </c>
      <c r="D401" s="186">
        <f t="shared" si="201"/>
        <v>0</v>
      </c>
      <c r="E401" s="186">
        <f t="shared" si="201"/>
        <v>0</v>
      </c>
      <c r="F401" s="186">
        <f t="shared" si="201"/>
        <v>0</v>
      </c>
      <c r="G401" s="186">
        <f t="shared" si="201"/>
        <v>0</v>
      </c>
      <c r="H401" s="186">
        <f t="shared" si="201"/>
        <v>0</v>
      </c>
      <c r="I401" s="186">
        <f t="shared" si="201"/>
        <v>0</v>
      </c>
      <c r="J401" s="186">
        <f t="shared" si="201"/>
        <v>0</v>
      </c>
      <c r="K401" s="186">
        <f t="shared" si="201"/>
        <v>0</v>
      </c>
      <c r="L401" s="186">
        <f t="shared" si="201"/>
        <v>0</v>
      </c>
      <c r="M401" s="186">
        <f t="shared" si="201"/>
        <v>0</v>
      </c>
      <c r="N401" s="186">
        <f t="shared" si="201"/>
        <v>0</v>
      </c>
      <c r="O401" s="186">
        <f t="shared" si="201"/>
        <v>0</v>
      </c>
      <c r="P401" s="186">
        <f t="shared" si="201"/>
        <v>0</v>
      </c>
      <c r="Q401" s="186">
        <f t="shared" si="201"/>
        <v>0</v>
      </c>
      <c r="R401" s="186">
        <f t="shared" si="201"/>
        <v>0</v>
      </c>
      <c r="S401" s="186">
        <f t="shared" si="201"/>
        <v>0</v>
      </c>
      <c r="T401" s="186">
        <f t="shared" si="201"/>
        <v>25760.406617379896</v>
      </c>
      <c r="U401" s="186">
        <f t="shared" si="201"/>
        <v>41216.650587807831</v>
      </c>
      <c r="V401" s="186">
        <f t="shared" si="201"/>
        <v>24729.990352684701</v>
      </c>
      <c r="W401" s="186">
        <f t="shared" si="201"/>
        <v>14837.99421161082</v>
      </c>
      <c r="X401" s="186">
        <f t="shared" si="201"/>
        <v>14837.99421161082</v>
      </c>
      <c r="Y401" s="186">
        <f t="shared" si="201"/>
        <v>7418.9971058054098</v>
      </c>
      <c r="Z401" s="186">
        <f t="shared" si="201"/>
        <v>0</v>
      </c>
      <c r="AA401" s="186">
        <f t="shared" si="201"/>
        <v>0</v>
      </c>
      <c r="AB401" s="186">
        <f t="shared" si="201"/>
        <v>0</v>
      </c>
      <c r="AC401" s="186">
        <f t="shared" si="201"/>
        <v>0</v>
      </c>
      <c r="AD401" s="186">
        <f t="shared" si="201"/>
        <v>0</v>
      </c>
      <c r="AE401" s="186">
        <f t="shared" si="201"/>
        <v>0</v>
      </c>
      <c r="AF401" s="186">
        <f t="shared" si="201"/>
        <v>0</v>
      </c>
      <c r="AG401" s="186">
        <f t="shared" si="201"/>
        <v>0</v>
      </c>
      <c r="AH401" s="186">
        <f t="shared" si="201"/>
        <v>0</v>
      </c>
      <c r="AI401" s="186">
        <f t="shared" si="201"/>
        <v>0</v>
      </c>
      <c r="AJ401" s="186">
        <f t="shared" si="201"/>
        <v>0</v>
      </c>
      <c r="AK401" s="186">
        <f t="shared" si="201"/>
        <v>0</v>
      </c>
      <c r="AL401" s="186">
        <f t="shared" si="201"/>
        <v>0</v>
      </c>
      <c r="AM401" s="186">
        <f t="shared" si="201"/>
        <v>0</v>
      </c>
      <c r="AN401" s="186">
        <f t="shared" si="201"/>
        <v>0</v>
      </c>
      <c r="AO401" s="186">
        <f t="shared" si="201"/>
        <v>0</v>
      </c>
      <c r="AP401" s="186">
        <f t="shared" si="201"/>
        <v>0</v>
      </c>
    </row>
    <row r="402" spans="1:42">
      <c r="A402" s="118">
        <f t="shared" si="197"/>
        <v>7</v>
      </c>
      <c r="B402" s="196">
        <f t="shared" si="194"/>
        <v>134685.50065500522</v>
      </c>
      <c r="C402" s="225">
        <f t="shared" ref="C402:AP402" si="202">LOOKUP(C390,$B$328:$AP$328,$B$329:$AP$329)*$B681</f>
        <v>0</v>
      </c>
      <c r="D402" s="186">
        <f t="shared" si="202"/>
        <v>0</v>
      </c>
      <c r="E402" s="186">
        <f t="shared" si="202"/>
        <v>0</v>
      </c>
      <c r="F402" s="186">
        <f t="shared" si="202"/>
        <v>0</v>
      </c>
      <c r="G402" s="186">
        <f t="shared" si="202"/>
        <v>0</v>
      </c>
      <c r="H402" s="186">
        <f t="shared" si="202"/>
        <v>0</v>
      </c>
      <c r="I402" s="186">
        <f t="shared" si="202"/>
        <v>0</v>
      </c>
      <c r="J402" s="186">
        <f t="shared" si="202"/>
        <v>0</v>
      </c>
      <c r="K402" s="186">
        <f t="shared" si="202"/>
        <v>0</v>
      </c>
      <c r="L402" s="186">
        <f t="shared" si="202"/>
        <v>0</v>
      </c>
      <c r="M402" s="186">
        <f t="shared" si="202"/>
        <v>0</v>
      </c>
      <c r="N402" s="186">
        <f t="shared" si="202"/>
        <v>0</v>
      </c>
      <c r="O402" s="186">
        <f t="shared" si="202"/>
        <v>0</v>
      </c>
      <c r="P402" s="186">
        <f t="shared" si="202"/>
        <v>0</v>
      </c>
      <c r="Q402" s="186">
        <f t="shared" si="202"/>
        <v>0</v>
      </c>
      <c r="R402" s="186">
        <f t="shared" si="202"/>
        <v>0</v>
      </c>
      <c r="S402" s="186">
        <f t="shared" si="202"/>
        <v>0</v>
      </c>
      <c r="T402" s="186">
        <f t="shared" si="202"/>
        <v>0</v>
      </c>
      <c r="U402" s="186">
        <f t="shared" si="202"/>
        <v>0</v>
      </c>
      <c r="V402" s="186">
        <f t="shared" si="202"/>
        <v>0</v>
      </c>
      <c r="W402" s="186">
        <f t="shared" si="202"/>
        <v>26937.100131001047</v>
      </c>
      <c r="X402" s="186">
        <f t="shared" si="202"/>
        <v>43099.360209601669</v>
      </c>
      <c r="Y402" s="186">
        <f t="shared" si="202"/>
        <v>25859.616125761004</v>
      </c>
      <c r="Z402" s="186">
        <f t="shared" si="202"/>
        <v>15515.7696754566</v>
      </c>
      <c r="AA402" s="186">
        <f t="shared" si="202"/>
        <v>15515.7696754566</v>
      </c>
      <c r="AB402" s="186">
        <f t="shared" si="202"/>
        <v>7757.8848377283002</v>
      </c>
      <c r="AC402" s="186">
        <f t="shared" si="202"/>
        <v>0</v>
      </c>
      <c r="AD402" s="186">
        <f t="shared" si="202"/>
        <v>0</v>
      </c>
      <c r="AE402" s="186">
        <f t="shared" si="202"/>
        <v>0</v>
      </c>
      <c r="AF402" s="186">
        <f t="shared" si="202"/>
        <v>0</v>
      </c>
      <c r="AG402" s="186">
        <f t="shared" si="202"/>
        <v>0</v>
      </c>
      <c r="AH402" s="186">
        <f t="shared" si="202"/>
        <v>0</v>
      </c>
      <c r="AI402" s="186">
        <f t="shared" si="202"/>
        <v>0</v>
      </c>
      <c r="AJ402" s="186">
        <f t="shared" si="202"/>
        <v>0</v>
      </c>
      <c r="AK402" s="186">
        <f t="shared" si="202"/>
        <v>0</v>
      </c>
      <c r="AL402" s="186">
        <f t="shared" si="202"/>
        <v>0</v>
      </c>
      <c r="AM402" s="186">
        <f t="shared" si="202"/>
        <v>0</v>
      </c>
      <c r="AN402" s="186">
        <f t="shared" si="202"/>
        <v>0</v>
      </c>
      <c r="AO402" s="186">
        <f t="shared" si="202"/>
        <v>0</v>
      </c>
      <c r="AP402" s="186">
        <f t="shared" si="202"/>
        <v>0</v>
      </c>
    </row>
    <row r="403" spans="1:42">
      <c r="A403" s="118">
        <f t="shared" si="197"/>
        <v>8</v>
      </c>
      <c r="B403" s="196">
        <f t="shared" si="194"/>
        <v>140837.71546098724</v>
      </c>
      <c r="C403" s="225">
        <f t="shared" ref="C403:AP403" si="203">LOOKUP(C391,$B$328:$AP$328,$B$329:$AP$329)*$B682</f>
        <v>0</v>
      </c>
      <c r="D403" s="186">
        <f t="shared" si="203"/>
        <v>0</v>
      </c>
      <c r="E403" s="186">
        <f t="shared" si="203"/>
        <v>0</v>
      </c>
      <c r="F403" s="186">
        <f t="shared" si="203"/>
        <v>0</v>
      </c>
      <c r="G403" s="186">
        <f t="shared" si="203"/>
        <v>0</v>
      </c>
      <c r="H403" s="186">
        <f t="shared" si="203"/>
        <v>0</v>
      </c>
      <c r="I403" s="186">
        <f t="shared" si="203"/>
        <v>0</v>
      </c>
      <c r="J403" s="186">
        <f t="shared" si="203"/>
        <v>0</v>
      </c>
      <c r="K403" s="186">
        <f t="shared" si="203"/>
        <v>0</v>
      </c>
      <c r="L403" s="186">
        <f t="shared" si="203"/>
        <v>0</v>
      </c>
      <c r="M403" s="186">
        <f t="shared" si="203"/>
        <v>0</v>
      </c>
      <c r="N403" s="186">
        <f t="shared" si="203"/>
        <v>0</v>
      </c>
      <c r="O403" s="186">
        <f t="shared" si="203"/>
        <v>0</v>
      </c>
      <c r="P403" s="186">
        <f t="shared" si="203"/>
        <v>0</v>
      </c>
      <c r="Q403" s="186">
        <f t="shared" si="203"/>
        <v>0</v>
      </c>
      <c r="R403" s="186">
        <f t="shared" si="203"/>
        <v>0</v>
      </c>
      <c r="S403" s="186">
        <f t="shared" si="203"/>
        <v>0</v>
      </c>
      <c r="T403" s="186">
        <f t="shared" si="203"/>
        <v>0</v>
      </c>
      <c r="U403" s="186">
        <f t="shared" si="203"/>
        <v>0</v>
      </c>
      <c r="V403" s="186">
        <f t="shared" si="203"/>
        <v>0</v>
      </c>
      <c r="W403" s="186">
        <f t="shared" si="203"/>
        <v>0</v>
      </c>
      <c r="X403" s="186">
        <f t="shared" si="203"/>
        <v>0</v>
      </c>
      <c r="Y403" s="186">
        <f t="shared" si="203"/>
        <v>0</v>
      </c>
      <c r="Z403" s="186">
        <f t="shared" si="203"/>
        <v>28167.543092197448</v>
      </c>
      <c r="AA403" s="186">
        <f t="shared" si="203"/>
        <v>45068.068947515916</v>
      </c>
      <c r="AB403" s="186">
        <f t="shared" si="203"/>
        <v>27040.841368509551</v>
      </c>
      <c r="AC403" s="186">
        <f t="shared" si="203"/>
        <v>16224.504821105729</v>
      </c>
      <c r="AD403" s="186">
        <f t="shared" si="203"/>
        <v>16224.504821105729</v>
      </c>
      <c r="AE403" s="186">
        <f t="shared" si="203"/>
        <v>8112.2524105528646</v>
      </c>
      <c r="AF403" s="186">
        <f t="shared" si="203"/>
        <v>0</v>
      </c>
      <c r="AG403" s="186">
        <f t="shared" si="203"/>
        <v>0</v>
      </c>
      <c r="AH403" s="186">
        <f t="shared" si="203"/>
        <v>0</v>
      </c>
      <c r="AI403" s="186">
        <f t="shared" si="203"/>
        <v>0</v>
      </c>
      <c r="AJ403" s="186">
        <f t="shared" si="203"/>
        <v>0</v>
      </c>
      <c r="AK403" s="186">
        <f t="shared" si="203"/>
        <v>0</v>
      </c>
      <c r="AL403" s="186">
        <f t="shared" si="203"/>
        <v>0</v>
      </c>
      <c r="AM403" s="186">
        <f t="shared" si="203"/>
        <v>0</v>
      </c>
      <c r="AN403" s="186">
        <f t="shared" si="203"/>
        <v>0</v>
      </c>
      <c r="AO403" s="186">
        <f t="shared" si="203"/>
        <v>0</v>
      </c>
      <c r="AP403" s="186">
        <f t="shared" si="203"/>
        <v>0</v>
      </c>
    </row>
    <row r="404" spans="1:42">
      <c r="A404" s="118">
        <f>A403+1</f>
        <v>9</v>
      </c>
      <c r="B404" s="196">
        <f t="shared" si="194"/>
        <v>121822.53268718722</v>
      </c>
      <c r="C404" s="225">
        <f t="shared" ref="C404:AP404" si="204">LOOKUP(C392,$B$328:$AP$328,$B$329:$AP$329)*$B683</f>
        <v>0</v>
      </c>
      <c r="D404" s="186">
        <f t="shared" si="204"/>
        <v>0</v>
      </c>
      <c r="E404" s="186">
        <f t="shared" si="204"/>
        <v>0</v>
      </c>
      <c r="F404" s="186">
        <f t="shared" si="204"/>
        <v>0</v>
      </c>
      <c r="G404" s="186">
        <f t="shared" si="204"/>
        <v>0</v>
      </c>
      <c r="H404" s="186">
        <f t="shared" si="204"/>
        <v>0</v>
      </c>
      <c r="I404" s="186">
        <f t="shared" si="204"/>
        <v>0</v>
      </c>
      <c r="J404" s="186">
        <f t="shared" si="204"/>
        <v>0</v>
      </c>
      <c r="K404" s="186">
        <f t="shared" si="204"/>
        <v>0</v>
      </c>
      <c r="L404" s="186">
        <f t="shared" si="204"/>
        <v>0</v>
      </c>
      <c r="M404" s="186">
        <f t="shared" si="204"/>
        <v>0</v>
      </c>
      <c r="N404" s="186">
        <f t="shared" si="204"/>
        <v>0</v>
      </c>
      <c r="O404" s="186">
        <f t="shared" si="204"/>
        <v>0</v>
      </c>
      <c r="P404" s="186">
        <f t="shared" si="204"/>
        <v>0</v>
      </c>
      <c r="Q404" s="186">
        <f t="shared" si="204"/>
        <v>0</v>
      </c>
      <c r="R404" s="186">
        <f t="shared" si="204"/>
        <v>0</v>
      </c>
      <c r="S404" s="186">
        <f t="shared" si="204"/>
        <v>0</v>
      </c>
      <c r="T404" s="186">
        <f t="shared" si="204"/>
        <v>0</v>
      </c>
      <c r="U404" s="186">
        <f t="shared" si="204"/>
        <v>0</v>
      </c>
      <c r="V404" s="186">
        <f t="shared" si="204"/>
        <v>0</v>
      </c>
      <c r="W404" s="186">
        <f t="shared" si="204"/>
        <v>0</v>
      </c>
      <c r="X404" s="186">
        <f t="shared" si="204"/>
        <v>0</v>
      </c>
      <c r="Y404" s="186">
        <f t="shared" si="204"/>
        <v>0</v>
      </c>
      <c r="Z404" s="186">
        <f t="shared" si="204"/>
        <v>0</v>
      </c>
      <c r="AA404" s="186">
        <f t="shared" si="204"/>
        <v>0</v>
      </c>
      <c r="AB404" s="186">
        <f t="shared" si="204"/>
        <v>0</v>
      </c>
      <c r="AC404" s="186">
        <f t="shared" si="204"/>
        <v>29454.190688391496</v>
      </c>
      <c r="AD404" s="186">
        <f t="shared" si="204"/>
        <v>47126.705101426393</v>
      </c>
      <c r="AE404" s="186">
        <f t="shared" si="204"/>
        <v>28276.023060855838</v>
      </c>
      <c r="AF404" s="186">
        <f t="shared" si="204"/>
        <v>16965.613836513501</v>
      </c>
      <c r="AG404" s="186">
        <f t="shared" si="204"/>
        <v>0</v>
      </c>
      <c r="AH404" s="186">
        <f t="shared" si="204"/>
        <v>0</v>
      </c>
      <c r="AI404" s="186">
        <f t="shared" si="204"/>
        <v>0</v>
      </c>
      <c r="AJ404" s="186">
        <f t="shared" si="204"/>
        <v>0</v>
      </c>
      <c r="AK404" s="186">
        <f t="shared" si="204"/>
        <v>0</v>
      </c>
      <c r="AL404" s="186">
        <f t="shared" si="204"/>
        <v>0</v>
      </c>
      <c r="AM404" s="186">
        <f t="shared" si="204"/>
        <v>0</v>
      </c>
      <c r="AN404" s="186">
        <f t="shared" si="204"/>
        <v>0</v>
      </c>
      <c r="AO404" s="186">
        <f t="shared" si="204"/>
        <v>0</v>
      </c>
      <c r="AP404" s="186">
        <f t="shared" si="204"/>
        <v>0</v>
      </c>
    </row>
    <row r="405" spans="1:42">
      <c r="A405" s="118">
        <f t="shared" si="197"/>
        <v>10</v>
      </c>
      <c r="B405" s="196">
        <f t="shared" si="194"/>
        <v>30799.610255977339</v>
      </c>
      <c r="C405" s="221">
        <f t="shared" ref="C405:AP405" si="205">LOOKUP(C393,$B$328:$AP$328,$B$329:$AP$329)*$B684</f>
        <v>0</v>
      </c>
      <c r="D405" s="187">
        <f t="shared" si="205"/>
        <v>0</v>
      </c>
      <c r="E405" s="187">
        <f t="shared" si="205"/>
        <v>0</v>
      </c>
      <c r="F405" s="187">
        <f t="shared" si="205"/>
        <v>0</v>
      </c>
      <c r="G405" s="187">
        <f t="shared" si="205"/>
        <v>0</v>
      </c>
      <c r="H405" s="187">
        <f t="shared" si="205"/>
        <v>0</v>
      </c>
      <c r="I405" s="187">
        <f t="shared" si="205"/>
        <v>0</v>
      </c>
      <c r="J405" s="187">
        <f t="shared" si="205"/>
        <v>0</v>
      </c>
      <c r="K405" s="187">
        <f t="shared" si="205"/>
        <v>0</v>
      </c>
      <c r="L405" s="187">
        <f t="shared" si="205"/>
        <v>0</v>
      </c>
      <c r="M405" s="187">
        <f t="shared" si="205"/>
        <v>0</v>
      </c>
      <c r="N405" s="187">
        <f t="shared" si="205"/>
        <v>0</v>
      </c>
      <c r="O405" s="187">
        <f t="shared" si="205"/>
        <v>0</v>
      </c>
      <c r="P405" s="187">
        <f t="shared" si="205"/>
        <v>0</v>
      </c>
      <c r="Q405" s="187">
        <f t="shared" si="205"/>
        <v>0</v>
      </c>
      <c r="R405" s="187">
        <f t="shared" si="205"/>
        <v>0</v>
      </c>
      <c r="S405" s="187">
        <f t="shared" si="205"/>
        <v>0</v>
      </c>
      <c r="T405" s="187">
        <f t="shared" si="205"/>
        <v>0</v>
      </c>
      <c r="U405" s="187">
        <f t="shared" si="205"/>
        <v>0</v>
      </c>
      <c r="V405" s="187">
        <f t="shared" si="205"/>
        <v>0</v>
      </c>
      <c r="W405" s="187">
        <f t="shared" si="205"/>
        <v>0</v>
      </c>
      <c r="X405" s="187">
        <f t="shared" si="205"/>
        <v>0</v>
      </c>
      <c r="Y405" s="187">
        <f t="shared" si="205"/>
        <v>0</v>
      </c>
      <c r="Z405" s="187">
        <f t="shared" si="205"/>
        <v>0</v>
      </c>
      <c r="AA405" s="187">
        <f t="shared" si="205"/>
        <v>0</v>
      </c>
      <c r="AB405" s="187">
        <f t="shared" si="205"/>
        <v>0</v>
      </c>
      <c r="AC405" s="187">
        <f t="shared" si="205"/>
        <v>0</v>
      </c>
      <c r="AD405" s="187">
        <f t="shared" si="205"/>
        <v>0</v>
      </c>
      <c r="AE405" s="187">
        <f t="shared" si="205"/>
        <v>0</v>
      </c>
      <c r="AF405" s="187">
        <f t="shared" si="205"/>
        <v>30799.610255977339</v>
      </c>
      <c r="AG405" s="187">
        <f t="shared" si="205"/>
        <v>0</v>
      </c>
      <c r="AH405" s="187">
        <f t="shared" si="205"/>
        <v>0</v>
      </c>
      <c r="AI405" s="187">
        <f t="shared" si="205"/>
        <v>0</v>
      </c>
      <c r="AJ405" s="187">
        <f t="shared" si="205"/>
        <v>0</v>
      </c>
      <c r="AK405" s="187">
        <f t="shared" si="205"/>
        <v>0</v>
      </c>
      <c r="AL405" s="187">
        <f t="shared" si="205"/>
        <v>0</v>
      </c>
      <c r="AM405" s="187">
        <f t="shared" si="205"/>
        <v>0</v>
      </c>
      <c r="AN405" s="187">
        <f t="shared" si="205"/>
        <v>0</v>
      </c>
      <c r="AO405" s="187">
        <f t="shared" si="205"/>
        <v>0</v>
      </c>
      <c r="AP405" s="187">
        <f t="shared" si="205"/>
        <v>0</v>
      </c>
    </row>
    <row r="406" spans="1:42" s="118" customFormat="1" ht="12" customHeight="1">
      <c r="A406" s="222" t="s">
        <v>53</v>
      </c>
      <c r="B406" s="141"/>
      <c r="C406" s="141">
        <f>SUM(C396:C405)</f>
        <v>0</v>
      </c>
      <c r="D406" s="141">
        <f t="shared" ref="D406:AP406" si="206">SUM(D396:D405)</f>
        <v>0</v>
      </c>
      <c r="E406" s="141">
        <f t="shared" si="206"/>
        <v>20604.499999999996</v>
      </c>
      <c r="F406" s="141">
        <f t="shared" si="206"/>
        <v>32967.19999999999</v>
      </c>
      <c r="G406" s="141">
        <f t="shared" si="206"/>
        <v>19780.319999999996</v>
      </c>
      <c r="H406" s="141">
        <f t="shared" si="206"/>
        <v>33413.872077687483</v>
      </c>
      <c r="I406" s="141">
        <f t="shared" si="206"/>
        <v>46341.28012429997</v>
      </c>
      <c r="J406" s="141">
        <f t="shared" si="206"/>
        <v>26617.948874579983</v>
      </c>
      <c r="K406" s="141">
        <f t="shared" si="206"/>
        <v>34940.163456654111</v>
      </c>
      <c r="L406" s="141">
        <f t="shared" si="206"/>
        <v>48458.074495797773</v>
      </c>
      <c r="M406" s="141">
        <f t="shared" si="206"/>
        <v>27833.813525003865</v>
      </c>
      <c r="N406" s="141">
        <f t="shared" si="206"/>
        <v>36536.173345588439</v>
      </c>
      <c r="O406" s="141">
        <f t="shared" si="206"/>
        <v>50671.560594394745</v>
      </c>
      <c r="P406" s="141">
        <f t="shared" si="206"/>
        <v>29105.216896879054</v>
      </c>
      <c r="Q406" s="141">
        <f t="shared" si="206"/>
        <v>38205.086372733211</v>
      </c>
      <c r="R406" s="141">
        <f t="shared" si="206"/>
        <v>52986.155141060706</v>
      </c>
      <c r="S406" s="141">
        <f t="shared" si="206"/>
        <v>30434.695908751019</v>
      </c>
      <c r="T406" s="141">
        <f t="shared" si="206"/>
        <v>39950.232634974287</v>
      </c>
      <c r="U406" s="141">
        <f t="shared" si="206"/>
        <v>55406.476605402226</v>
      </c>
      <c r="V406" s="141">
        <f t="shared" si="206"/>
        <v>31824.903361481898</v>
      </c>
      <c r="W406" s="141">
        <f t="shared" si="206"/>
        <v>41775.094342611868</v>
      </c>
      <c r="X406" s="141">
        <f t="shared" si="206"/>
        <v>57937.354421212491</v>
      </c>
      <c r="Y406" s="141">
        <f t="shared" si="206"/>
        <v>33278.613231566414</v>
      </c>
      <c r="Z406" s="141">
        <f t="shared" si="206"/>
        <v>43683.312767654046</v>
      </c>
      <c r="AA406" s="141">
        <f t="shared" si="206"/>
        <v>60583.838622972515</v>
      </c>
      <c r="AB406" s="141">
        <f t="shared" si="206"/>
        <v>34798.72620623785</v>
      </c>
      <c r="AC406" s="141">
        <f t="shared" si="206"/>
        <v>45678.695509497222</v>
      </c>
      <c r="AD406" s="141">
        <f t="shared" si="206"/>
        <v>63351.209922532122</v>
      </c>
      <c r="AE406" s="141">
        <f t="shared" si="206"/>
        <v>36388.275471408706</v>
      </c>
      <c r="AF406" s="141">
        <f t="shared" si="206"/>
        <v>47765.22409249084</v>
      </c>
      <c r="AG406" s="141">
        <f t="shared" si="206"/>
        <v>0</v>
      </c>
      <c r="AH406" s="141">
        <f t="shared" si="206"/>
        <v>0</v>
      </c>
      <c r="AI406" s="141">
        <f t="shared" si="206"/>
        <v>0</v>
      </c>
      <c r="AJ406" s="141">
        <f t="shared" si="206"/>
        <v>0</v>
      </c>
      <c r="AK406" s="141">
        <f t="shared" si="206"/>
        <v>0</v>
      </c>
      <c r="AL406" s="141">
        <f t="shared" si="206"/>
        <v>0</v>
      </c>
      <c r="AM406" s="141">
        <f t="shared" si="206"/>
        <v>0</v>
      </c>
      <c r="AN406" s="141">
        <f t="shared" si="206"/>
        <v>0</v>
      </c>
      <c r="AO406" s="141">
        <f t="shared" si="206"/>
        <v>0</v>
      </c>
      <c r="AP406" s="141">
        <f t="shared" si="206"/>
        <v>0</v>
      </c>
    </row>
    <row r="407" spans="1:42">
      <c r="A407" s="204"/>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195" t="s">
        <v>501</v>
      </c>
    </row>
    <row r="409" spans="1:42">
      <c r="A409" s="118" t="s">
        <v>82</v>
      </c>
      <c r="G409" s="293" t="s">
        <v>166</v>
      </c>
      <c r="H409" s="294"/>
      <c r="I409" s="294"/>
      <c r="J409" s="295"/>
      <c r="K409" s="226" t="s">
        <v>167</v>
      </c>
      <c r="L409" s="227"/>
    </row>
    <row r="410" spans="1:42" ht="51">
      <c r="A410" s="118"/>
      <c r="B410" s="129" t="s">
        <v>154</v>
      </c>
      <c r="C410" s="129" t="s">
        <v>150</v>
      </c>
      <c r="D410" s="129" t="s">
        <v>152</v>
      </c>
      <c r="E410" s="206" t="s">
        <v>153</v>
      </c>
      <c r="F410" s="129" t="s">
        <v>155</v>
      </c>
      <c r="G410" s="129" t="s">
        <v>160</v>
      </c>
      <c r="H410" s="129" t="s">
        <v>162</v>
      </c>
      <c r="I410" s="129" t="s">
        <v>161</v>
      </c>
      <c r="J410" s="129" t="s">
        <v>163</v>
      </c>
      <c r="K410" s="228" t="s">
        <v>34</v>
      </c>
      <c r="L410" s="129" t="s">
        <v>163</v>
      </c>
      <c r="M410" s="207" t="s">
        <v>168</v>
      </c>
      <c r="N410" s="207" t="s">
        <v>169</v>
      </c>
      <c r="O410" s="129" t="s">
        <v>156</v>
      </c>
      <c r="P410" s="208" t="s">
        <v>319</v>
      </c>
      <c r="Q410" s="129" t="s">
        <v>324</v>
      </c>
    </row>
    <row r="411" spans="1:42" s="118" customFormat="1">
      <c r="A411" s="257" t="str">
        <f>A277</f>
        <v>5-yr MACRS</v>
      </c>
      <c r="B411" s="351">
        <f>C411/$C$418</f>
        <v>0.93401015228426387</v>
      </c>
      <c r="C411" s="141">
        <f>'Inputs &amp; Results'!B226</f>
        <v>39520153.420000002</v>
      </c>
      <c r="D411" s="141">
        <f>IF(FedBasisReduction="5-Yr MACRS",D418,$B411*D$418)</f>
        <v>3000</v>
      </c>
      <c r="E411" s="141">
        <f>IF(FedBasisReduction="5-Yr MACRS",E418,$B411*E$418)</f>
        <v>0</v>
      </c>
      <c r="F411" s="223">
        <f>C411-D411-E411</f>
        <v>39517153.420000002</v>
      </c>
      <c r="G411" s="352">
        <f>IF('Inputs &amp; Results'!B264="Yes",F411,0)</f>
        <v>39517153.420000002</v>
      </c>
      <c r="H411" s="368">
        <f>IF($G$418=0,0,G411/$G$418)</f>
        <v>1</v>
      </c>
      <c r="I411" s="353">
        <f t="shared" ref="I411:I416" si="207">$I$418*H411</f>
        <v>0</v>
      </c>
      <c r="J411" s="354">
        <f t="shared" ref="J411:J416" si="208">I411*0.5</f>
        <v>0</v>
      </c>
      <c r="K411" s="355">
        <f t="shared" ref="K411:K416" si="209">H411*$K$418</f>
        <v>10000</v>
      </c>
      <c r="L411" s="354">
        <f>K411*0.5</f>
        <v>5000</v>
      </c>
      <c r="M411" s="141">
        <f t="shared" ref="M411:M416" si="210">IF(ITCStateFixedFedDeprec="Yes",L277,0)+IF(ITCStatePercentFedDeprec="Yes",J277,0)</f>
        <v>0</v>
      </c>
      <c r="N411" s="141">
        <f t="shared" ref="N411:N416" si="211">IF(ITCFedFixedFedDeprec="Yes",L411,0)+IF(ITCFedPercentFedDeprec="Yes",J411,0)</f>
        <v>5000</v>
      </c>
      <c r="O411" s="356">
        <f t="shared" ref="O411:O416" si="212">F411-M411-N411</f>
        <v>39512153.420000002</v>
      </c>
      <c r="P411" s="141">
        <f>IF('Inputs &amp; Results'!B247="Yes",O411*FedBonusDeprec,0)</f>
        <v>3951215.3420000002</v>
      </c>
      <c r="Q411" s="223">
        <f>O411-P411</f>
        <v>35560938.078000002</v>
      </c>
    </row>
    <row r="412" spans="1:42" s="118" customFormat="1">
      <c r="A412" s="257" t="str">
        <f t="shared" ref="A412:A416" si="213">A278</f>
        <v>15-yr MACRS</v>
      </c>
      <c r="B412" s="351">
        <f t="shared" ref="B412:B416" si="214">C412/$C$418</f>
        <v>1.5228426395939083E-2</v>
      </c>
      <c r="C412" s="141">
        <f>'Inputs &amp; Results'!B227</f>
        <v>644350.32750000001</v>
      </c>
      <c r="D412" s="141">
        <f t="shared" ref="D412:E416" si="215">IF(FedBasisReduction="5-Yr MACRS",0,$B412*D$418)</f>
        <v>0</v>
      </c>
      <c r="E412" s="141">
        <f t="shared" si="215"/>
        <v>0</v>
      </c>
      <c r="F412" s="223">
        <f t="shared" ref="F412:F416" si="216">C412-D412-E412</f>
        <v>644350.32750000001</v>
      </c>
      <c r="G412" s="355">
        <f>IF('Inputs &amp; Results'!B265="Yes",F412,0)</f>
        <v>0</v>
      </c>
      <c r="H412" s="369">
        <f t="shared" ref="H412:H416" si="217">IF($G$418=0,0,G412/$G$418)</f>
        <v>0</v>
      </c>
      <c r="I412" s="141">
        <f t="shared" si="207"/>
        <v>0</v>
      </c>
      <c r="J412" s="326">
        <f t="shared" si="208"/>
        <v>0</v>
      </c>
      <c r="K412" s="355">
        <f t="shared" si="209"/>
        <v>0</v>
      </c>
      <c r="L412" s="326">
        <f t="shared" ref="L412:L416" si="218">K412*0.5</f>
        <v>0</v>
      </c>
      <c r="M412" s="141">
        <f t="shared" si="210"/>
        <v>0</v>
      </c>
      <c r="N412" s="141">
        <f t="shared" si="211"/>
        <v>0</v>
      </c>
      <c r="O412" s="223">
        <f t="shared" si="212"/>
        <v>644350.32750000001</v>
      </c>
      <c r="P412" s="141">
        <f>IF('Inputs &amp; Results'!B248="Yes",O412*FedBonusDeprec,0)</f>
        <v>0</v>
      </c>
      <c r="Q412" s="223">
        <f t="shared" ref="Q412:Q416" si="219">O412-P412</f>
        <v>644350.32750000001</v>
      </c>
    </row>
    <row r="413" spans="1:42" s="118" customFormat="1">
      <c r="A413" s="257" t="str">
        <f t="shared" si="213"/>
        <v>5-yr SL</v>
      </c>
      <c r="B413" s="351">
        <f t="shared" si="214"/>
        <v>0</v>
      </c>
      <c r="C413" s="141">
        <f>'Inputs &amp; Results'!B228</f>
        <v>0</v>
      </c>
      <c r="D413" s="141">
        <f t="shared" si="215"/>
        <v>0</v>
      </c>
      <c r="E413" s="141">
        <f t="shared" si="215"/>
        <v>0</v>
      </c>
      <c r="F413" s="223">
        <f t="shared" si="216"/>
        <v>0</v>
      </c>
      <c r="G413" s="355">
        <f>IF('Inputs &amp; Results'!B266="Yes",F413,0)</f>
        <v>0</v>
      </c>
      <c r="H413" s="369">
        <f t="shared" si="217"/>
        <v>0</v>
      </c>
      <c r="I413" s="141">
        <f t="shared" si="207"/>
        <v>0</v>
      </c>
      <c r="J413" s="326">
        <f t="shared" si="208"/>
        <v>0</v>
      </c>
      <c r="K413" s="355">
        <f t="shared" si="209"/>
        <v>0</v>
      </c>
      <c r="L413" s="326">
        <f t="shared" si="218"/>
        <v>0</v>
      </c>
      <c r="M413" s="141">
        <f t="shared" si="210"/>
        <v>0</v>
      </c>
      <c r="N413" s="141">
        <f t="shared" si="211"/>
        <v>0</v>
      </c>
      <c r="O413" s="223">
        <f t="shared" si="212"/>
        <v>0</v>
      </c>
      <c r="P413" s="141">
        <f>IF('Inputs &amp; Results'!B249="Yes",O413*FedBonusDeprec,0)</f>
        <v>0</v>
      </c>
      <c r="Q413" s="223">
        <f t="shared" si="219"/>
        <v>0</v>
      </c>
    </row>
    <row r="414" spans="1:42" s="118" customFormat="1">
      <c r="A414" s="257" t="str">
        <f t="shared" si="213"/>
        <v>15-yr SL</v>
      </c>
      <c r="B414" s="351">
        <f t="shared" si="214"/>
        <v>1.5228426395939083E-2</v>
      </c>
      <c r="C414" s="141">
        <f>'Inputs &amp; Results'!B229</f>
        <v>644350.32750000001</v>
      </c>
      <c r="D414" s="141">
        <f t="shared" si="215"/>
        <v>0</v>
      </c>
      <c r="E414" s="141">
        <f t="shared" si="215"/>
        <v>0</v>
      </c>
      <c r="F414" s="223">
        <f t="shared" si="216"/>
        <v>644350.32750000001</v>
      </c>
      <c r="G414" s="355">
        <f>IF('Inputs &amp; Results'!B267="Yes",F414,0)</f>
        <v>0</v>
      </c>
      <c r="H414" s="369">
        <f t="shared" si="217"/>
        <v>0</v>
      </c>
      <c r="I414" s="141">
        <f t="shared" si="207"/>
        <v>0</v>
      </c>
      <c r="J414" s="326">
        <f t="shared" si="208"/>
        <v>0</v>
      </c>
      <c r="K414" s="355">
        <f t="shared" si="209"/>
        <v>0</v>
      </c>
      <c r="L414" s="326">
        <f t="shared" si="218"/>
        <v>0</v>
      </c>
      <c r="M414" s="141">
        <f t="shared" si="210"/>
        <v>0</v>
      </c>
      <c r="N414" s="141">
        <f t="shared" si="211"/>
        <v>0</v>
      </c>
      <c r="O414" s="223">
        <f t="shared" si="212"/>
        <v>644350.32750000001</v>
      </c>
      <c r="P414" s="141">
        <f>IF('Inputs &amp; Results'!B250="Yes",O414*FedBonusDeprec,0)</f>
        <v>0</v>
      </c>
      <c r="Q414" s="223">
        <f t="shared" si="219"/>
        <v>644350.32750000001</v>
      </c>
    </row>
    <row r="415" spans="1:42" s="118" customFormat="1">
      <c r="A415" s="257" t="str">
        <f t="shared" si="213"/>
        <v>20-yr SL</v>
      </c>
      <c r="B415" s="351">
        <f t="shared" si="214"/>
        <v>3.0456852791878167E-2</v>
      </c>
      <c r="C415" s="141">
        <f>'Inputs &amp; Results'!B230</f>
        <v>1288700.655</v>
      </c>
      <c r="D415" s="141">
        <f t="shared" si="215"/>
        <v>0</v>
      </c>
      <c r="E415" s="141">
        <f t="shared" si="215"/>
        <v>0</v>
      </c>
      <c r="F415" s="223">
        <f t="shared" si="216"/>
        <v>1288700.655</v>
      </c>
      <c r="G415" s="355">
        <f>IF('Inputs &amp; Results'!B268="Yes",F415,0)</f>
        <v>0</v>
      </c>
      <c r="H415" s="369">
        <f t="shared" si="217"/>
        <v>0</v>
      </c>
      <c r="I415" s="141">
        <f t="shared" si="207"/>
        <v>0</v>
      </c>
      <c r="J415" s="326">
        <f t="shared" si="208"/>
        <v>0</v>
      </c>
      <c r="K415" s="355">
        <f t="shared" si="209"/>
        <v>0</v>
      </c>
      <c r="L415" s="326">
        <f t="shared" si="218"/>
        <v>0</v>
      </c>
      <c r="M415" s="141">
        <f t="shared" si="210"/>
        <v>0</v>
      </c>
      <c r="N415" s="141">
        <f t="shared" si="211"/>
        <v>0</v>
      </c>
      <c r="O415" s="223">
        <f t="shared" si="212"/>
        <v>1288700.655</v>
      </c>
      <c r="P415" s="141">
        <f>IF('Inputs &amp; Results'!B251="Yes",O415*FedBonusDeprec,0)</f>
        <v>0</v>
      </c>
      <c r="Q415" s="223">
        <f t="shared" si="219"/>
        <v>1288700.655</v>
      </c>
    </row>
    <row r="416" spans="1:42" s="118" customFormat="1">
      <c r="A416" s="257" t="str">
        <f t="shared" si="213"/>
        <v>39-yr SL</v>
      </c>
      <c r="B416" s="351">
        <f t="shared" si="214"/>
        <v>5.076142131979695E-3</v>
      </c>
      <c r="C416" s="141">
        <f>'Inputs &amp; Results'!B231</f>
        <v>214783.4425</v>
      </c>
      <c r="D416" s="141">
        <f t="shared" si="215"/>
        <v>0</v>
      </c>
      <c r="E416" s="141">
        <f t="shared" si="215"/>
        <v>0</v>
      </c>
      <c r="F416" s="223">
        <f t="shared" si="216"/>
        <v>214783.4425</v>
      </c>
      <c r="G416" s="355">
        <f>IF('Inputs &amp; Results'!B269="Yes",F416,0)</f>
        <v>0</v>
      </c>
      <c r="H416" s="369">
        <f t="shared" si="217"/>
        <v>0</v>
      </c>
      <c r="I416" s="141">
        <f t="shared" si="207"/>
        <v>0</v>
      </c>
      <c r="J416" s="326">
        <f t="shared" si="208"/>
        <v>0</v>
      </c>
      <c r="K416" s="355">
        <f t="shared" si="209"/>
        <v>0</v>
      </c>
      <c r="L416" s="326">
        <f t="shared" si="218"/>
        <v>0</v>
      </c>
      <c r="M416" s="141">
        <f t="shared" si="210"/>
        <v>0</v>
      </c>
      <c r="N416" s="141">
        <f t="shared" si="211"/>
        <v>0</v>
      </c>
      <c r="O416" s="223">
        <f t="shared" si="212"/>
        <v>214783.4425</v>
      </c>
      <c r="P416" s="141">
        <f>IF('Inputs &amp; Results'!B252="Yes",O416*FedBonusDeprec,0)</f>
        <v>0</v>
      </c>
      <c r="Q416" s="223">
        <f t="shared" si="219"/>
        <v>214783.4425</v>
      </c>
    </row>
    <row r="417" spans="1:17">
      <c r="A417" s="261" t="s">
        <v>376</v>
      </c>
      <c r="B417" s="209"/>
      <c r="C417" s="210"/>
      <c r="D417" s="211"/>
      <c r="E417" s="211"/>
      <c r="F417" s="103"/>
      <c r="G417" s="209"/>
      <c r="H417" s="230"/>
      <c r="I417" s="230"/>
      <c r="J417" s="296"/>
      <c r="K417" s="209"/>
      <c r="L417" s="296"/>
      <c r="M417" s="211"/>
      <c r="N417" s="211"/>
      <c r="O417" s="103"/>
      <c r="P417" s="211"/>
      <c r="Q417" s="103"/>
    </row>
    <row r="418" spans="1:17" s="118" customFormat="1">
      <c r="B418" s="357">
        <f>SUM(B411:B417)</f>
        <v>1</v>
      </c>
      <c r="C418" s="203">
        <f>SUM(C411:C417)</f>
        <v>42312338.172500007</v>
      </c>
      <c r="D418" s="203">
        <f>B427+B433</f>
        <v>3000</v>
      </c>
      <c r="E418" s="203">
        <f>B439</f>
        <v>0</v>
      </c>
      <c r="F418" s="224">
        <f t="shared" ref="F418:Q418" si="220">SUM(F411:F417)</f>
        <v>42309338.172500007</v>
      </c>
      <c r="G418" s="224">
        <f>SUM(G411:G417)</f>
        <v>39517153.420000002</v>
      </c>
      <c r="H418" s="358">
        <f>SUM(H411:H417)</f>
        <v>1</v>
      </c>
      <c r="I418" s="224">
        <f>MIN(ITCFedMax,ITCFedPercent*G418)</f>
        <v>0</v>
      </c>
      <c r="J418" s="224">
        <f>SUM(J411:J417)</f>
        <v>0</v>
      </c>
      <c r="K418" s="224">
        <f>ITCFedFixed</f>
        <v>10000</v>
      </c>
      <c r="L418" s="224">
        <f>SUM(L411:L417)</f>
        <v>5000</v>
      </c>
      <c r="M418" s="203">
        <f t="shared" si="220"/>
        <v>0</v>
      </c>
      <c r="N418" s="203">
        <f t="shared" si="220"/>
        <v>5000</v>
      </c>
      <c r="O418" s="224">
        <f t="shared" si="220"/>
        <v>42304338.172500007</v>
      </c>
      <c r="P418" s="224">
        <f t="shared" si="220"/>
        <v>3951215.3420000002</v>
      </c>
      <c r="Q418" s="224">
        <f t="shared" si="220"/>
        <v>38353122.830500007</v>
      </c>
    </row>
    <row r="419" spans="1:17" s="118" customFormat="1"/>
    <row r="420" spans="1:17">
      <c r="A420" s="118" t="s">
        <v>165</v>
      </c>
    </row>
    <row r="421" spans="1:17">
      <c r="A421" s="257" t="str">
        <f>A287</f>
        <v>Investment Based Incentive (IBI)</v>
      </c>
    </row>
    <row r="422" spans="1:17">
      <c r="A422" s="258" t="str">
        <f t="shared" ref="A422:A440" si="221">A288</f>
        <v>Fixed Amount ($)</v>
      </c>
    </row>
    <row r="423" spans="1:17">
      <c r="A423" s="259" t="str">
        <f t="shared" si="221"/>
        <v>Federal</v>
      </c>
      <c r="B423" s="152">
        <f>IF(IBIFedFixedFedDeprec="Yes",IBIFedFixed,0)</f>
        <v>1000</v>
      </c>
    </row>
    <row r="424" spans="1:17">
      <c r="A424" s="259" t="str">
        <f t="shared" si="221"/>
        <v>State</v>
      </c>
      <c r="B424" s="152">
        <f>IF(IBIStateFixedFedDeprec="Yes",IBIStateFixed,0)</f>
        <v>2000</v>
      </c>
    </row>
    <row r="425" spans="1:17">
      <c r="A425" s="259" t="str">
        <f t="shared" si="221"/>
        <v>Utility</v>
      </c>
      <c r="B425" s="152">
        <f>IF(IBIUtilityFixedFedDeprec="Yes",IBIUtilityFixed,0)</f>
        <v>0</v>
      </c>
    </row>
    <row r="426" spans="1:17">
      <c r="A426" s="259" t="str">
        <f t="shared" si="221"/>
        <v>Other</v>
      </c>
      <c r="B426" s="187">
        <f>IF(IBIOtherFixedFedDeprec="Yes",IBIOtherFixed,0)</f>
        <v>0</v>
      </c>
    </row>
    <row r="427" spans="1:17">
      <c r="A427" s="259" t="str">
        <f t="shared" si="221"/>
        <v>Total</v>
      </c>
      <c r="B427" s="152">
        <f>SUM(B423:B426)</f>
        <v>3000</v>
      </c>
    </row>
    <row r="428" spans="1:17">
      <c r="A428" s="258" t="str">
        <f t="shared" si="221"/>
        <v>Percentage of Pre-Financing Costs</v>
      </c>
    </row>
    <row r="429" spans="1:17">
      <c r="A429" s="259" t="str">
        <f t="shared" si="221"/>
        <v>Federal</v>
      </c>
      <c r="B429" s="152">
        <f>IF(IBIFedPercentFedDeprec="Yes",IBIFedPercent,0)</f>
        <v>0</v>
      </c>
    </row>
    <row r="430" spans="1:17">
      <c r="A430" s="259" t="str">
        <f t="shared" si="221"/>
        <v>State</v>
      </c>
      <c r="B430" s="152">
        <f>IF(IBIStatePercentFedDeprec="Yes",IBIStatePercent,0)</f>
        <v>0</v>
      </c>
    </row>
    <row r="431" spans="1:17">
      <c r="A431" s="259" t="str">
        <f t="shared" si="221"/>
        <v>Utility</v>
      </c>
      <c r="B431" s="152">
        <f>IF(IBIUtilityPercentFedDeprec="Yes",IBIUtilityPercent,0)</f>
        <v>0</v>
      </c>
    </row>
    <row r="432" spans="1:17">
      <c r="A432" s="259" t="str">
        <f t="shared" si="221"/>
        <v>Other</v>
      </c>
      <c r="B432" s="187">
        <f>IF(IBIOtherPercentFedDeprec="Yes",IBIOtherPercent,0)</f>
        <v>0</v>
      </c>
    </row>
    <row r="433" spans="1:42">
      <c r="A433" s="259" t="str">
        <f t="shared" si="221"/>
        <v>Total</v>
      </c>
      <c r="B433" s="152">
        <f>SUM(B429:B432)</f>
        <v>0</v>
      </c>
    </row>
    <row r="434" spans="1:42">
      <c r="A434" s="257" t="str">
        <f t="shared" si="221"/>
        <v>Capacity Based Incentive (CBI)</v>
      </c>
    </row>
    <row r="435" spans="1:42">
      <c r="A435" s="258" t="str">
        <f t="shared" si="221"/>
        <v>Federal</v>
      </c>
      <c r="B435" s="152">
        <f>IF(CBIFedFedDeprec="Yes",CBIFed,0)</f>
        <v>0</v>
      </c>
    </row>
    <row r="436" spans="1:42">
      <c r="A436" s="258" t="str">
        <f t="shared" si="221"/>
        <v>State</v>
      </c>
      <c r="B436" s="152">
        <f>IF(CBIStateFedDeprec="Yes",CBIState,0)</f>
        <v>0</v>
      </c>
    </row>
    <row r="437" spans="1:42">
      <c r="A437" s="258" t="str">
        <f t="shared" si="221"/>
        <v>Utility</v>
      </c>
      <c r="B437" s="152">
        <f>IF(CBIUtilityFedDeprec="Yes",CBIUtility,0)</f>
        <v>0</v>
      </c>
    </row>
    <row r="438" spans="1:42">
      <c r="A438" s="258" t="str">
        <f t="shared" si="221"/>
        <v>Other</v>
      </c>
      <c r="B438" s="187">
        <f>IF(CBIOtherFedDeprec="Yes",CBIOther,0)</f>
        <v>0</v>
      </c>
    </row>
    <row r="439" spans="1:42">
      <c r="A439" s="258" t="str">
        <f t="shared" si="221"/>
        <v>Total</v>
      </c>
      <c r="B439" s="194">
        <f>SUM(B435:B438)</f>
        <v>0</v>
      </c>
    </row>
    <row r="440" spans="1:42">
      <c r="A440" s="257" t="str">
        <f t="shared" si="221"/>
        <v>Total Basis Reduction</v>
      </c>
      <c r="B440" s="152">
        <f>B427+B433+B439</f>
        <v>3000</v>
      </c>
    </row>
    <row r="441" spans="1:42">
      <c r="A441" s="118"/>
    </row>
    <row r="442" spans="1:42">
      <c r="A442" s="118" t="s">
        <v>253</v>
      </c>
    </row>
    <row r="443" spans="1:42">
      <c r="A443" s="257" t="s">
        <v>157</v>
      </c>
    </row>
    <row r="444" spans="1:42">
      <c r="A444" s="205" t="str">
        <f>A411</f>
        <v>5-yr MACRS</v>
      </c>
      <c r="B444" s="214">
        <f>SUM(C444:AP444)</f>
        <v>0.99999999999999989</v>
      </c>
      <c r="C444" s="215">
        <f>LOOKUP(C$2,'Depreciation Schedules'!$A$3:$A$42,'Depreciation Schedules'!$B$3:$B$42)</f>
        <v>0.2</v>
      </c>
      <c r="D444" s="215">
        <f>LOOKUP(D$2,'Depreciation Schedules'!$A$3:$A$42,'Depreciation Schedules'!$B$3:$B$42)</f>
        <v>0.32</v>
      </c>
      <c r="E444" s="215">
        <f>LOOKUP(E$2,'Depreciation Schedules'!$A$3:$A$42,'Depreciation Schedules'!$B$3:$B$42)</f>
        <v>0.192</v>
      </c>
      <c r="F444" s="215">
        <f>LOOKUP(F$2,'Depreciation Schedules'!$A$3:$A$42,'Depreciation Schedules'!$B$3:$B$42)</f>
        <v>0.1152</v>
      </c>
      <c r="G444" s="215">
        <f>LOOKUP(G$2,'Depreciation Schedules'!$A$3:$A$42,'Depreciation Schedules'!$B$3:$B$42)</f>
        <v>0.1152</v>
      </c>
      <c r="H444" s="215">
        <f>LOOKUP(H$2,'Depreciation Schedules'!$A$3:$A$42,'Depreciation Schedules'!$B$3:$B$42)</f>
        <v>5.7599999999999998E-2</v>
      </c>
      <c r="I444" s="215">
        <f>LOOKUP(I$2,'Depreciation Schedules'!$A$3:$A$42,'Depreciation Schedules'!$B$3:$B$42)</f>
        <v>0</v>
      </c>
      <c r="J444" s="215">
        <f>LOOKUP(J$2,'Depreciation Schedules'!$A$3:$A$42,'Depreciation Schedules'!$B$3:$B$42)</f>
        <v>0</v>
      </c>
      <c r="K444" s="215">
        <f>LOOKUP(K$2,'Depreciation Schedules'!$A$3:$A$42,'Depreciation Schedules'!$B$3:$B$42)</f>
        <v>0</v>
      </c>
      <c r="L444" s="215">
        <f>LOOKUP(L$2,'Depreciation Schedules'!$A$3:$A$42,'Depreciation Schedules'!$B$3:$B$42)</f>
        <v>0</v>
      </c>
      <c r="M444" s="215">
        <f>LOOKUP(M$2,'Depreciation Schedules'!$A$3:$A$42,'Depreciation Schedules'!$B$3:$B$42)</f>
        <v>0</v>
      </c>
      <c r="N444" s="215">
        <f>LOOKUP(N$2,'Depreciation Schedules'!$A$3:$A$42,'Depreciation Schedules'!$B$3:$B$42)</f>
        <v>0</v>
      </c>
      <c r="O444" s="215">
        <f>LOOKUP(O$2,'Depreciation Schedules'!$A$3:$A$42,'Depreciation Schedules'!$B$3:$B$42)</f>
        <v>0</v>
      </c>
      <c r="P444" s="215">
        <f>LOOKUP(P$2,'Depreciation Schedules'!$A$3:$A$42,'Depreciation Schedules'!$B$3:$B$42)</f>
        <v>0</v>
      </c>
      <c r="Q444" s="215">
        <f>LOOKUP(Q$2,'Depreciation Schedules'!$A$3:$A$42,'Depreciation Schedules'!$B$3:$B$42)</f>
        <v>0</v>
      </c>
      <c r="R444" s="215">
        <f>LOOKUP(R$2,'Depreciation Schedules'!$A$3:$A$42,'Depreciation Schedules'!$B$3:$B$42)</f>
        <v>0</v>
      </c>
      <c r="S444" s="215">
        <f>LOOKUP(S$2,'Depreciation Schedules'!$A$3:$A$42,'Depreciation Schedules'!$B$3:$B$42)</f>
        <v>0</v>
      </c>
      <c r="T444" s="215">
        <f>LOOKUP(T$2,'Depreciation Schedules'!$A$3:$A$42,'Depreciation Schedules'!$B$3:$B$42)</f>
        <v>0</v>
      </c>
      <c r="U444" s="215">
        <f>LOOKUP(U$2,'Depreciation Schedules'!$A$3:$A$42,'Depreciation Schedules'!$B$3:$B$42)</f>
        <v>0</v>
      </c>
      <c r="V444" s="215">
        <f>LOOKUP(V$2,'Depreciation Schedules'!$A$3:$A$42,'Depreciation Schedules'!$B$3:$B$42)</f>
        <v>0</v>
      </c>
      <c r="W444" s="215">
        <f>LOOKUP(W$2,'Depreciation Schedules'!$A$3:$A$42,'Depreciation Schedules'!$B$3:$B$42)</f>
        <v>0</v>
      </c>
      <c r="X444" s="215">
        <f>LOOKUP(X$2,'Depreciation Schedules'!$A$3:$A$42,'Depreciation Schedules'!$B$3:$B$42)</f>
        <v>0</v>
      </c>
      <c r="Y444" s="215">
        <f>LOOKUP(Y$2,'Depreciation Schedules'!$A$3:$A$42,'Depreciation Schedules'!$B$3:$B$42)</f>
        <v>0</v>
      </c>
      <c r="Z444" s="215">
        <f>LOOKUP(Z$2,'Depreciation Schedules'!$A$3:$A$42,'Depreciation Schedules'!$B$3:$B$42)</f>
        <v>0</v>
      </c>
      <c r="AA444" s="215">
        <f>LOOKUP(AA$2,'Depreciation Schedules'!$A$3:$A$42,'Depreciation Schedules'!$B$3:$B$42)</f>
        <v>0</v>
      </c>
      <c r="AB444" s="215">
        <f>LOOKUP(AB$2,'Depreciation Schedules'!$A$3:$A$42,'Depreciation Schedules'!$B$3:$B$42)</f>
        <v>0</v>
      </c>
      <c r="AC444" s="215">
        <f>LOOKUP(AC$2,'Depreciation Schedules'!$A$3:$A$42,'Depreciation Schedules'!$B$3:$B$42)</f>
        <v>0</v>
      </c>
      <c r="AD444" s="215">
        <f>LOOKUP(AD$2,'Depreciation Schedules'!$A$3:$A$42,'Depreciation Schedules'!$B$3:$B$42)</f>
        <v>0</v>
      </c>
      <c r="AE444" s="215">
        <f>LOOKUP(AE$2,'Depreciation Schedules'!$A$3:$A$42,'Depreciation Schedules'!$B$3:$B$42)</f>
        <v>0</v>
      </c>
      <c r="AF444" s="215">
        <f>LOOKUP(AF$2,'Depreciation Schedules'!$A$3:$A$42,'Depreciation Schedules'!$B$3:$B$42)</f>
        <v>0</v>
      </c>
      <c r="AG444" s="215">
        <f>LOOKUP(AG$2,'Depreciation Schedules'!$A$3:$A$42,'Depreciation Schedules'!$B$3:$B$42)</f>
        <v>0</v>
      </c>
      <c r="AH444" s="215">
        <f>LOOKUP(AH$2,'Depreciation Schedules'!$A$3:$A$42,'Depreciation Schedules'!$B$3:$B$42)</f>
        <v>0</v>
      </c>
      <c r="AI444" s="215">
        <f>LOOKUP(AI$2,'Depreciation Schedules'!$A$3:$A$42,'Depreciation Schedules'!$B$3:$B$42)</f>
        <v>0</v>
      </c>
      <c r="AJ444" s="215">
        <f>LOOKUP(AJ$2,'Depreciation Schedules'!$A$3:$A$42,'Depreciation Schedules'!$B$3:$B$42)</f>
        <v>0</v>
      </c>
      <c r="AK444" s="215">
        <f>LOOKUP(AK$2,'Depreciation Schedules'!$A$3:$A$42,'Depreciation Schedules'!$B$3:$B$42)</f>
        <v>0</v>
      </c>
      <c r="AL444" s="215">
        <f>LOOKUP(AL$2,'Depreciation Schedules'!$A$3:$A$42,'Depreciation Schedules'!$B$3:$B$42)</f>
        <v>0</v>
      </c>
      <c r="AM444" s="215">
        <f>LOOKUP(AM$2,'Depreciation Schedules'!$A$3:$A$42,'Depreciation Schedules'!$B$3:$B$42)</f>
        <v>0</v>
      </c>
      <c r="AN444" s="215">
        <f>LOOKUP(AN$2,'Depreciation Schedules'!$A$3:$A$42,'Depreciation Schedules'!$B$3:$B$42)</f>
        <v>0</v>
      </c>
      <c r="AO444" s="215">
        <f>LOOKUP(AO$2,'Depreciation Schedules'!$A$3:$A$42,'Depreciation Schedules'!$B$3:$B$42)</f>
        <v>0</v>
      </c>
      <c r="AP444" s="215">
        <f>LOOKUP(AP$2,'Depreciation Schedules'!$A$3:$A$42,'Depreciation Schedules'!$B$3:$B$42)</f>
        <v>0</v>
      </c>
    </row>
    <row r="445" spans="1:42">
      <c r="A445" s="205" t="str">
        <f t="shared" ref="A445:A449" si="222">A412</f>
        <v>15-yr MACRS</v>
      </c>
      <c r="B445" s="216">
        <f t="shared" ref="B445:B449" si="223">SUM(C445:AP445)</f>
        <v>1.0000000000000002</v>
      </c>
      <c r="C445" s="215">
        <f>LOOKUP(C$2,'Depreciation Schedules'!$A$3:$A$42,'Depreciation Schedules'!$C$3:$C$42)</f>
        <v>0.05</v>
      </c>
      <c r="D445" s="215">
        <f>LOOKUP(D$2,'Depreciation Schedules'!$A$3:$A$42,'Depreciation Schedules'!$C$3:$C$42)</f>
        <v>9.5000000000000001E-2</v>
      </c>
      <c r="E445" s="215">
        <f>LOOKUP(E$2,'Depreciation Schedules'!$A$3:$A$42,'Depreciation Schedules'!$C$3:$C$42)</f>
        <v>8.5500000000000007E-2</v>
      </c>
      <c r="F445" s="215">
        <f>LOOKUP(F$2,'Depreciation Schedules'!$A$3:$A$42,'Depreciation Schedules'!$C$3:$C$42)</f>
        <v>7.6999999999999999E-2</v>
      </c>
      <c r="G445" s="215">
        <f>LOOKUP(G$2,'Depreciation Schedules'!$A$3:$A$42,'Depreciation Schedules'!$C$3:$C$42)</f>
        <v>6.93E-2</v>
      </c>
      <c r="H445" s="215">
        <f>LOOKUP(H$2,'Depreciation Schedules'!$A$3:$A$42,'Depreciation Schedules'!$C$3:$C$42)</f>
        <v>6.2300000000000001E-2</v>
      </c>
      <c r="I445" s="215">
        <f>LOOKUP(I$2,'Depreciation Schedules'!$A$3:$A$42,'Depreciation Schedules'!$C$3:$C$42)</f>
        <v>5.8999999999999997E-2</v>
      </c>
      <c r="J445" s="215">
        <f>LOOKUP(J$2,'Depreciation Schedules'!$A$3:$A$42,'Depreciation Schedules'!$C$3:$C$42)</f>
        <v>5.8999999999999997E-2</v>
      </c>
      <c r="K445" s="215">
        <f>LOOKUP(K$2,'Depreciation Schedules'!$A$3:$A$42,'Depreciation Schedules'!$C$3:$C$42)</f>
        <v>5.91E-2</v>
      </c>
      <c r="L445" s="215">
        <f>LOOKUP(L$2,'Depreciation Schedules'!$A$3:$A$42,'Depreciation Schedules'!$C$3:$C$42)</f>
        <v>5.8999999999999997E-2</v>
      </c>
      <c r="M445" s="215">
        <f>LOOKUP(M$2,'Depreciation Schedules'!$A$3:$A$42,'Depreciation Schedules'!$C$3:$C$42)</f>
        <v>5.91E-2</v>
      </c>
      <c r="N445" s="215">
        <f>LOOKUP(N$2,'Depreciation Schedules'!$A$3:$A$42,'Depreciation Schedules'!$C$3:$C$42)</f>
        <v>5.8999999999999997E-2</v>
      </c>
      <c r="O445" s="215">
        <f>LOOKUP(O$2,'Depreciation Schedules'!$A$3:$A$42,'Depreciation Schedules'!$C$3:$C$42)</f>
        <v>5.91E-2</v>
      </c>
      <c r="P445" s="215">
        <f>LOOKUP(P$2,'Depreciation Schedules'!$A$3:$A$42,'Depreciation Schedules'!$C$3:$C$42)</f>
        <v>5.8999999999999997E-2</v>
      </c>
      <c r="Q445" s="215">
        <f>LOOKUP(Q$2,'Depreciation Schedules'!$A$3:$A$42,'Depreciation Schedules'!$C$3:$C$42)</f>
        <v>5.91E-2</v>
      </c>
      <c r="R445" s="215">
        <f>LOOKUP(R$2,'Depreciation Schedules'!$A$3:$A$42,'Depreciation Schedules'!$C$3:$C$42)</f>
        <v>2.9499999999999998E-2</v>
      </c>
      <c r="S445" s="215">
        <f>LOOKUP(S$2,'Depreciation Schedules'!$A$3:$A$42,'Depreciation Schedules'!$C$3:$C$42)</f>
        <v>0</v>
      </c>
      <c r="T445" s="215">
        <f>LOOKUP(T$2,'Depreciation Schedules'!$A$3:$A$42,'Depreciation Schedules'!$C$3:$C$42)</f>
        <v>0</v>
      </c>
      <c r="U445" s="215">
        <f>LOOKUP(U$2,'Depreciation Schedules'!$A$3:$A$42,'Depreciation Schedules'!$C$3:$C$42)</f>
        <v>0</v>
      </c>
      <c r="V445" s="215">
        <f>LOOKUP(V$2,'Depreciation Schedules'!$A$3:$A$42,'Depreciation Schedules'!$C$3:$C$42)</f>
        <v>0</v>
      </c>
      <c r="W445" s="215">
        <f>LOOKUP(W$2,'Depreciation Schedules'!$A$3:$A$42,'Depreciation Schedules'!$C$3:$C$42)</f>
        <v>0</v>
      </c>
      <c r="X445" s="215">
        <f>LOOKUP(X$2,'Depreciation Schedules'!$A$3:$A$42,'Depreciation Schedules'!$C$3:$C$42)</f>
        <v>0</v>
      </c>
      <c r="Y445" s="215">
        <f>LOOKUP(Y$2,'Depreciation Schedules'!$A$3:$A$42,'Depreciation Schedules'!$C$3:$C$42)</f>
        <v>0</v>
      </c>
      <c r="Z445" s="215">
        <f>LOOKUP(Z$2,'Depreciation Schedules'!$A$3:$A$42,'Depreciation Schedules'!$C$3:$C$42)</f>
        <v>0</v>
      </c>
      <c r="AA445" s="215">
        <f>LOOKUP(AA$2,'Depreciation Schedules'!$A$3:$A$42,'Depreciation Schedules'!$C$3:$C$42)</f>
        <v>0</v>
      </c>
      <c r="AB445" s="215">
        <f>LOOKUP(AB$2,'Depreciation Schedules'!$A$3:$A$42,'Depreciation Schedules'!$C$3:$C$42)</f>
        <v>0</v>
      </c>
      <c r="AC445" s="215">
        <f>LOOKUP(AC$2,'Depreciation Schedules'!$A$3:$A$42,'Depreciation Schedules'!$C$3:$C$42)</f>
        <v>0</v>
      </c>
      <c r="AD445" s="215">
        <f>LOOKUP(AD$2,'Depreciation Schedules'!$A$3:$A$42,'Depreciation Schedules'!$C$3:$C$42)</f>
        <v>0</v>
      </c>
      <c r="AE445" s="215">
        <f>LOOKUP(AE$2,'Depreciation Schedules'!$A$3:$A$42,'Depreciation Schedules'!$C$3:$C$42)</f>
        <v>0</v>
      </c>
      <c r="AF445" s="215">
        <f>LOOKUP(AF$2,'Depreciation Schedules'!$A$3:$A$42,'Depreciation Schedules'!$C$3:$C$42)</f>
        <v>0</v>
      </c>
      <c r="AG445" s="215">
        <f>LOOKUP(AG$2,'Depreciation Schedules'!$A$3:$A$42,'Depreciation Schedules'!$C$3:$C$42)</f>
        <v>0</v>
      </c>
      <c r="AH445" s="215">
        <f>LOOKUP(AH$2,'Depreciation Schedules'!$A$3:$A$42,'Depreciation Schedules'!$C$3:$C$42)</f>
        <v>0</v>
      </c>
      <c r="AI445" s="215">
        <f>LOOKUP(AI$2,'Depreciation Schedules'!$A$3:$A$42,'Depreciation Schedules'!$C$3:$C$42)</f>
        <v>0</v>
      </c>
      <c r="AJ445" s="215">
        <f>LOOKUP(AJ$2,'Depreciation Schedules'!$A$3:$A$42,'Depreciation Schedules'!$C$3:$C$42)</f>
        <v>0</v>
      </c>
      <c r="AK445" s="215">
        <f>LOOKUP(AK$2,'Depreciation Schedules'!$A$3:$A$42,'Depreciation Schedules'!$C$3:$C$42)</f>
        <v>0</v>
      </c>
      <c r="AL445" s="215">
        <f>LOOKUP(AL$2,'Depreciation Schedules'!$A$3:$A$42,'Depreciation Schedules'!$C$3:$C$42)</f>
        <v>0</v>
      </c>
      <c r="AM445" s="215">
        <f>LOOKUP(AM$2,'Depreciation Schedules'!$A$3:$A$42,'Depreciation Schedules'!$C$3:$C$42)</f>
        <v>0</v>
      </c>
      <c r="AN445" s="215">
        <f>LOOKUP(AN$2,'Depreciation Schedules'!$A$3:$A$42,'Depreciation Schedules'!$C$3:$C$42)</f>
        <v>0</v>
      </c>
      <c r="AO445" s="215">
        <f>LOOKUP(AO$2,'Depreciation Schedules'!$A$3:$A$42,'Depreciation Schedules'!$C$3:$C$42)</f>
        <v>0</v>
      </c>
      <c r="AP445" s="215">
        <f>LOOKUP(AP$2,'Depreciation Schedules'!$A$3:$A$42,'Depreciation Schedules'!$C$3:$C$42)</f>
        <v>0</v>
      </c>
    </row>
    <row r="446" spans="1:42">
      <c r="A446" s="205" t="str">
        <f t="shared" si="222"/>
        <v>5-yr SL</v>
      </c>
      <c r="B446" s="216">
        <f t="shared" si="223"/>
        <v>0.99999999999999989</v>
      </c>
      <c r="C446" s="215">
        <f>LOOKUP(C$2,'Depreciation Schedules'!$A$3:$A$42,'Depreciation Schedules'!$D$3:$D$42)</f>
        <v>0.1</v>
      </c>
      <c r="D446" s="215">
        <f>LOOKUP(D$2,'Depreciation Schedules'!$A$3:$A$42,'Depreciation Schedules'!$D$3:$D$42)</f>
        <v>0.2</v>
      </c>
      <c r="E446" s="215">
        <f>LOOKUP(E$2,'Depreciation Schedules'!$A$3:$A$42,'Depreciation Schedules'!$D$3:$D$42)</f>
        <v>0.2</v>
      </c>
      <c r="F446" s="215">
        <f>LOOKUP(F$2,'Depreciation Schedules'!$A$3:$A$42,'Depreciation Schedules'!$D$3:$D$42)</f>
        <v>0.2</v>
      </c>
      <c r="G446" s="215">
        <f>LOOKUP(G$2,'Depreciation Schedules'!$A$3:$A$42,'Depreciation Schedules'!$D$3:$D$42)</f>
        <v>0.2</v>
      </c>
      <c r="H446" s="215">
        <f>LOOKUP(H$2,'Depreciation Schedules'!$A$3:$A$42,'Depreciation Schedules'!$D$3:$D$42)</f>
        <v>0.1</v>
      </c>
      <c r="I446" s="215">
        <f>LOOKUP(I$2,'Depreciation Schedules'!$A$3:$A$42,'Depreciation Schedules'!$D$3:$D$42)</f>
        <v>0</v>
      </c>
      <c r="J446" s="215">
        <f>LOOKUP(J$2,'Depreciation Schedules'!$A$3:$A$42,'Depreciation Schedules'!$D$3:$D$42)</f>
        <v>0</v>
      </c>
      <c r="K446" s="215">
        <f>LOOKUP(K$2,'Depreciation Schedules'!$A$3:$A$42,'Depreciation Schedules'!$D$3:$D$42)</f>
        <v>0</v>
      </c>
      <c r="L446" s="215">
        <f>LOOKUP(L$2,'Depreciation Schedules'!$A$3:$A$42,'Depreciation Schedules'!$D$3:$D$42)</f>
        <v>0</v>
      </c>
      <c r="M446" s="215">
        <f>LOOKUP(M$2,'Depreciation Schedules'!$A$3:$A$42,'Depreciation Schedules'!$D$3:$D$42)</f>
        <v>0</v>
      </c>
      <c r="N446" s="215">
        <f>LOOKUP(N$2,'Depreciation Schedules'!$A$3:$A$42,'Depreciation Schedules'!$D$3:$D$42)</f>
        <v>0</v>
      </c>
      <c r="O446" s="215">
        <f>LOOKUP(O$2,'Depreciation Schedules'!$A$3:$A$42,'Depreciation Schedules'!$D$3:$D$42)</f>
        <v>0</v>
      </c>
      <c r="P446" s="215">
        <f>LOOKUP(P$2,'Depreciation Schedules'!$A$3:$A$42,'Depreciation Schedules'!$D$3:$D$42)</f>
        <v>0</v>
      </c>
      <c r="Q446" s="215">
        <f>LOOKUP(Q$2,'Depreciation Schedules'!$A$3:$A$42,'Depreciation Schedules'!$D$3:$D$42)</f>
        <v>0</v>
      </c>
      <c r="R446" s="215">
        <f>LOOKUP(R$2,'Depreciation Schedules'!$A$3:$A$42,'Depreciation Schedules'!$D$3:$D$42)</f>
        <v>0</v>
      </c>
      <c r="S446" s="215">
        <f>LOOKUP(S$2,'Depreciation Schedules'!$A$3:$A$42,'Depreciation Schedules'!$D$3:$D$42)</f>
        <v>0</v>
      </c>
      <c r="T446" s="215">
        <f>LOOKUP(T$2,'Depreciation Schedules'!$A$3:$A$42,'Depreciation Schedules'!$D$3:$D$42)</f>
        <v>0</v>
      </c>
      <c r="U446" s="215">
        <f>LOOKUP(U$2,'Depreciation Schedules'!$A$3:$A$42,'Depreciation Schedules'!$D$3:$D$42)</f>
        <v>0</v>
      </c>
      <c r="V446" s="215">
        <f>LOOKUP(V$2,'Depreciation Schedules'!$A$3:$A$42,'Depreciation Schedules'!$D$3:$D$42)</f>
        <v>0</v>
      </c>
      <c r="W446" s="215">
        <f>LOOKUP(W$2,'Depreciation Schedules'!$A$3:$A$42,'Depreciation Schedules'!$D$3:$D$42)</f>
        <v>0</v>
      </c>
      <c r="X446" s="215">
        <f>LOOKUP(X$2,'Depreciation Schedules'!$A$3:$A$42,'Depreciation Schedules'!$D$3:$D$42)</f>
        <v>0</v>
      </c>
      <c r="Y446" s="215">
        <f>LOOKUP(Y$2,'Depreciation Schedules'!$A$3:$A$42,'Depreciation Schedules'!$D$3:$D$42)</f>
        <v>0</v>
      </c>
      <c r="Z446" s="215">
        <f>LOOKUP(Z$2,'Depreciation Schedules'!$A$3:$A$42,'Depreciation Schedules'!$D$3:$D$42)</f>
        <v>0</v>
      </c>
      <c r="AA446" s="215">
        <f>LOOKUP(AA$2,'Depreciation Schedules'!$A$3:$A$42,'Depreciation Schedules'!$D$3:$D$42)</f>
        <v>0</v>
      </c>
      <c r="AB446" s="215">
        <f>LOOKUP(AB$2,'Depreciation Schedules'!$A$3:$A$42,'Depreciation Schedules'!$D$3:$D$42)</f>
        <v>0</v>
      </c>
      <c r="AC446" s="215">
        <f>LOOKUP(AC$2,'Depreciation Schedules'!$A$3:$A$42,'Depreciation Schedules'!$D$3:$D$42)</f>
        <v>0</v>
      </c>
      <c r="AD446" s="215">
        <f>LOOKUP(AD$2,'Depreciation Schedules'!$A$3:$A$42,'Depreciation Schedules'!$D$3:$D$42)</f>
        <v>0</v>
      </c>
      <c r="AE446" s="215">
        <f>LOOKUP(AE$2,'Depreciation Schedules'!$A$3:$A$42,'Depreciation Schedules'!$D$3:$D$42)</f>
        <v>0</v>
      </c>
      <c r="AF446" s="215">
        <f>LOOKUP(AF$2,'Depreciation Schedules'!$A$3:$A$42,'Depreciation Schedules'!$D$3:$D$42)</f>
        <v>0</v>
      </c>
      <c r="AG446" s="215">
        <f>LOOKUP(AG$2,'Depreciation Schedules'!$A$3:$A$42,'Depreciation Schedules'!$D$3:$D$42)</f>
        <v>0</v>
      </c>
      <c r="AH446" s="215">
        <f>LOOKUP(AH$2,'Depreciation Schedules'!$A$3:$A$42,'Depreciation Schedules'!$D$3:$D$42)</f>
        <v>0</v>
      </c>
      <c r="AI446" s="215">
        <f>LOOKUP(AI$2,'Depreciation Schedules'!$A$3:$A$42,'Depreciation Schedules'!$D$3:$D$42)</f>
        <v>0</v>
      </c>
      <c r="AJ446" s="215">
        <f>LOOKUP(AJ$2,'Depreciation Schedules'!$A$3:$A$42,'Depreciation Schedules'!$D$3:$D$42)</f>
        <v>0</v>
      </c>
      <c r="AK446" s="215">
        <f>LOOKUP(AK$2,'Depreciation Schedules'!$A$3:$A$42,'Depreciation Schedules'!$D$3:$D$42)</f>
        <v>0</v>
      </c>
      <c r="AL446" s="215">
        <f>LOOKUP(AL$2,'Depreciation Schedules'!$A$3:$A$42,'Depreciation Schedules'!$D$3:$D$42)</f>
        <v>0</v>
      </c>
      <c r="AM446" s="215">
        <f>LOOKUP(AM$2,'Depreciation Schedules'!$A$3:$A$42,'Depreciation Schedules'!$D$3:$D$42)</f>
        <v>0</v>
      </c>
      <c r="AN446" s="215">
        <f>LOOKUP(AN$2,'Depreciation Schedules'!$A$3:$A$42,'Depreciation Schedules'!$D$3:$D$42)</f>
        <v>0</v>
      </c>
      <c r="AO446" s="215">
        <f>LOOKUP(AO$2,'Depreciation Schedules'!$A$3:$A$42,'Depreciation Schedules'!$D$3:$D$42)</f>
        <v>0</v>
      </c>
      <c r="AP446" s="215">
        <f>LOOKUP(AP$2,'Depreciation Schedules'!$A$3:$A$42,'Depreciation Schedules'!$D$3:$D$42)</f>
        <v>0</v>
      </c>
    </row>
    <row r="447" spans="1:42">
      <c r="A447" s="205" t="str">
        <f t="shared" si="222"/>
        <v>15-yr SL</v>
      </c>
      <c r="B447" s="216">
        <f t="shared" si="223"/>
        <v>0.99999999999999989</v>
      </c>
      <c r="C447" s="215">
        <f>LOOKUP(C$2,'Depreciation Schedules'!$A$3:$A$42,'Depreciation Schedules'!$E$3:$E$42)</f>
        <v>3.3300000000000003E-2</v>
      </c>
      <c r="D447" s="215">
        <f>LOOKUP(D$2,'Depreciation Schedules'!$A$3:$A$42,'Depreciation Schedules'!$E$3:$E$42)</f>
        <v>6.6699999999999995E-2</v>
      </c>
      <c r="E447" s="215">
        <f>LOOKUP(E$2,'Depreciation Schedules'!$A$3:$A$42,'Depreciation Schedules'!$E$3:$E$42)</f>
        <v>6.6699999999999995E-2</v>
      </c>
      <c r="F447" s="215">
        <f>LOOKUP(F$2,'Depreciation Schedules'!$A$3:$A$42,'Depreciation Schedules'!$E$3:$E$42)</f>
        <v>6.6699999999999995E-2</v>
      </c>
      <c r="G447" s="215">
        <f>LOOKUP(G$2,'Depreciation Schedules'!$A$3:$A$42,'Depreciation Schedules'!$E$3:$E$42)</f>
        <v>6.6699999999999995E-2</v>
      </c>
      <c r="H447" s="215">
        <f>LOOKUP(H$2,'Depreciation Schedules'!$A$3:$A$42,'Depreciation Schedules'!$E$3:$E$42)</f>
        <v>6.6699999999999995E-2</v>
      </c>
      <c r="I447" s="215">
        <f>LOOKUP(I$2,'Depreciation Schedules'!$A$3:$A$42,'Depreciation Schedules'!$E$3:$E$42)</f>
        <v>6.6699999999999995E-2</v>
      </c>
      <c r="J447" s="215">
        <f>LOOKUP(J$2,'Depreciation Schedules'!$A$3:$A$42,'Depreciation Schedules'!$E$3:$E$42)</f>
        <v>6.6600000000000006E-2</v>
      </c>
      <c r="K447" s="215">
        <f>LOOKUP(K$2,'Depreciation Schedules'!$A$3:$A$42,'Depreciation Schedules'!$E$3:$E$42)</f>
        <v>6.6699999999999995E-2</v>
      </c>
      <c r="L447" s="215">
        <f>LOOKUP(L$2,'Depreciation Schedules'!$A$3:$A$42,'Depreciation Schedules'!$E$3:$E$42)</f>
        <v>6.6600000000000006E-2</v>
      </c>
      <c r="M447" s="215">
        <f>LOOKUP(M$2,'Depreciation Schedules'!$A$3:$A$42,'Depreciation Schedules'!$E$3:$E$42)</f>
        <v>6.6699999999999995E-2</v>
      </c>
      <c r="N447" s="215">
        <f>LOOKUP(N$2,'Depreciation Schedules'!$A$3:$A$42,'Depreciation Schedules'!$E$3:$E$42)</f>
        <v>6.6600000000000006E-2</v>
      </c>
      <c r="O447" s="215">
        <f>LOOKUP(O$2,'Depreciation Schedules'!$A$3:$A$42,'Depreciation Schedules'!$E$3:$E$42)</f>
        <v>6.6699999999999995E-2</v>
      </c>
      <c r="P447" s="215">
        <f>LOOKUP(P$2,'Depreciation Schedules'!$A$3:$A$42,'Depreciation Schedules'!$E$3:$E$42)</f>
        <v>6.6600000000000006E-2</v>
      </c>
      <c r="Q447" s="215">
        <f>LOOKUP(Q$2,'Depreciation Schedules'!$A$3:$A$42,'Depreciation Schedules'!$E$3:$E$42)</f>
        <v>6.6699999999999995E-2</v>
      </c>
      <c r="R447" s="215">
        <f>LOOKUP(R$2,'Depreciation Schedules'!$A$3:$A$42,'Depreciation Schedules'!$E$3:$E$42)</f>
        <v>3.3300000000000003E-2</v>
      </c>
      <c r="S447" s="215">
        <f>LOOKUP(S$2,'Depreciation Schedules'!$A$3:$A$42,'Depreciation Schedules'!$E$3:$E$42)</f>
        <v>0</v>
      </c>
      <c r="T447" s="215">
        <f>LOOKUP(T$2,'Depreciation Schedules'!$A$3:$A$42,'Depreciation Schedules'!$E$3:$E$42)</f>
        <v>0</v>
      </c>
      <c r="U447" s="215">
        <f>LOOKUP(U$2,'Depreciation Schedules'!$A$3:$A$42,'Depreciation Schedules'!$E$3:$E$42)</f>
        <v>0</v>
      </c>
      <c r="V447" s="215">
        <f>LOOKUP(V$2,'Depreciation Schedules'!$A$3:$A$42,'Depreciation Schedules'!$E$3:$E$42)</f>
        <v>0</v>
      </c>
      <c r="W447" s="215">
        <f>LOOKUP(W$2,'Depreciation Schedules'!$A$3:$A$42,'Depreciation Schedules'!$E$3:$E$42)</f>
        <v>0</v>
      </c>
      <c r="X447" s="215">
        <f>LOOKUP(X$2,'Depreciation Schedules'!$A$3:$A$42,'Depreciation Schedules'!$E$3:$E$42)</f>
        <v>0</v>
      </c>
      <c r="Y447" s="215">
        <f>LOOKUP(Y$2,'Depreciation Schedules'!$A$3:$A$42,'Depreciation Schedules'!$E$3:$E$42)</f>
        <v>0</v>
      </c>
      <c r="Z447" s="215">
        <f>LOOKUP(Z$2,'Depreciation Schedules'!$A$3:$A$42,'Depreciation Schedules'!$E$3:$E$42)</f>
        <v>0</v>
      </c>
      <c r="AA447" s="215">
        <f>LOOKUP(AA$2,'Depreciation Schedules'!$A$3:$A$42,'Depreciation Schedules'!$E$3:$E$42)</f>
        <v>0</v>
      </c>
      <c r="AB447" s="215">
        <f>LOOKUP(AB$2,'Depreciation Schedules'!$A$3:$A$42,'Depreciation Schedules'!$E$3:$E$42)</f>
        <v>0</v>
      </c>
      <c r="AC447" s="215">
        <f>LOOKUP(AC$2,'Depreciation Schedules'!$A$3:$A$42,'Depreciation Schedules'!$E$3:$E$42)</f>
        <v>0</v>
      </c>
      <c r="AD447" s="215">
        <f>LOOKUP(AD$2,'Depreciation Schedules'!$A$3:$A$42,'Depreciation Schedules'!$E$3:$E$42)</f>
        <v>0</v>
      </c>
      <c r="AE447" s="215">
        <f>LOOKUP(AE$2,'Depreciation Schedules'!$A$3:$A$42,'Depreciation Schedules'!$E$3:$E$42)</f>
        <v>0</v>
      </c>
      <c r="AF447" s="215">
        <f>LOOKUP(AF$2,'Depreciation Schedules'!$A$3:$A$42,'Depreciation Schedules'!$E$3:$E$42)</f>
        <v>0</v>
      </c>
      <c r="AG447" s="215">
        <f>LOOKUP(AG$2,'Depreciation Schedules'!$A$3:$A$42,'Depreciation Schedules'!$E$3:$E$42)</f>
        <v>0</v>
      </c>
      <c r="AH447" s="215">
        <f>LOOKUP(AH$2,'Depreciation Schedules'!$A$3:$A$42,'Depreciation Schedules'!$E$3:$E$42)</f>
        <v>0</v>
      </c>
      <c r="AI447" s="215">
        <f>LOOKUP(AI$2,'Depreciation Schedules'!$A$3:$A$42,'Depreciation Schedules'!$E$3:$E$42)</f>
        <v>0</v>
      </c>
      <c r="AJ447" s="215">
        <f>LOOKUP(AJ$2,'Depreciation Schedules'!$A$3:$A$42,'Depreciation Schedules'!$E$3:$E$42)</f>
        <v>0</v>
      </c>
      <c r="AK447" s="215">
        <f>LOOKUP(AK$2,'Depreciation Schedules'!$A$3:$A$42,'Depreciation Schedules'!$E$3:$E$42)</f>
        <v>0</v>
      </c>
      <c r="AL447" s="215">
        <f>LOOKUP(AL$2,'Depreciation Schedules'!$A$3:$A$42,'Depreciation Schedules'!$E$3:$E$42)</f>
        <v>0</v>
      </c>
      <c r="AM447" s="215">
        <f>LOOKUP(AM$2,'Depreciation Schedules'!$A$3:$A$42,'Depreciation Schedules'!$E$3:$E$42)</f>
        <v>0</v>
      </c>
      <c r="AN447" s="215">
        <f>LOOKUP(AN$2,'Depreciation Schedules'!$A$3:$A$42,'Depreciation Schedules'!$E$3:$E$42)</f>
        <v>0</v>
      </c>
      <c r="AO447" s="215">
        <f>LOOKUP(AO$2,'Depreciation Schedules'!$A$3:$A$42,'Depreciation Schedules'!$E$3:$E$42)</f>
        <v>0</v>
      </c>
      <c r="AP447" s="215">
        <f>LOOKUP(AP$2,'Depreciation Schedules'!$A$3:$A$42,'Depreciation Schedules'!$E$3:$E$42)</f>
        <v>0</v>
      </c>
    </row>
    <row r="448" spans="1:42">
      <c r="A448" s="205" t="str">
        <f t="shared" si="222"/>
        <v>20-yr SL</v>
      </c>
      <c r="B448" s="216">
        <f t="shared" si="223"/>
        <v>1.0000000000000002</v>
      </c>
      <c r="C448" s="215">
        <f>LOOKUP(C$2,'Depreciation Schedules'!$A$3:$A$42,'Depreciation Schedules'!$F$3:$F$42)</f>
        <v>2.5000000000000001E-2</v>
      </c>
      <c r="D448" s="215">
        <f>LOOKUP(D$2,'Depreciation Schedules'!$A$3:$A$42,'Depreciation Schedules'!$F$3:$F$42)</f>
        <v>0.05</v>
      </c>
      <c r="E448" s="215">
        <f>LOOKUP(E$2,'Depreciation Schedules'!$A$3:$A$42,'Depreciation Schedules'!$F$3:$F$42)</f>
        <v>0.05</v>
      </c>
      <c r="F448" s="215">
        <f>LOOKUP(F$2,'Depreciation Schedules'!$A$3:$A$42,'Depreciation Schedules'!$F$3:$F$42)</f>
        <v>0.05</v>
      </c>
      <c r="G448" s="215">
        <f>LOOKUP(G$2,'Depreciation Schedules'!$A$3:$A$42,'Depreciation Schedules'!$F$3:$F$42)</f>
        <v>0.05</v>
      </c>
      <c r="H448" s="215">
        <f>LOOKUP(H$2,'Depreciation Schedules'!$A$3:$A$42,'Depreciation Schedules'!$F$3:$F$42)</f>
        <v>0.05</v>
      </c>
      <c r="I448" s="215">
        <f>LOOKUP(I$2,'Depreciation Schedules'!$A$3:$A$42,'Depreciation Schedules'!$F$3:$F$42)</f>
        <v>0.05</v>
      </c>
      <c r="J448" s="215">
        <f>LOOKUP(J$2,'Depreciation Schedules'!$A$3:$A$42,'Depreciation Schedules'!$F$3:$F$42)</f>
        <v>0.05</v>
      </c>
      <c r="K448" s="215">
        <f>LOOKUP(K$2,'Depreciation Schedules'!$A$3:$A$42,'Depreciation Schedules'!$F$3:$F$42)</f>
        <v>0.05</v>
      </c>
      <c r="L448" s="215">
        <f>LOOKUP(L$2,'Depreciation Schedules'!$A$3:$A$42,'Depreciation Schedules'!$F$3:$F$42)</f>
        <v>0.05</v>
      </c>
      <c r="M448" s="215">
        <f>LOOKUP(M$2,'Depreciation Schedules'!$A$3:$A$42,'Depreciation Schedules'!$F$3:$F$42)</f>
        <v>0.05</v>
      </c>
      <c r="N448" s="215">
        <f>LOOKUP(N$2,'Depreciation Schedules'!$A$3:$A$42,'Depreciation Schedules'!$F$3:$F$42)</f>
        <v>0.05</v>
      </c>
      <c r="O448" s="215">
        <f>LOOKUP(O$2,'Depreciation Schedules'!$A$3:$A$42,'Depreciation Schedules'!$F$3:$F$42)</f>
        <v>0.05</v>
      </c>
      <c r="P448" s="215">
        <f>LOOKUP(P$2,'Depreciation Schedules'!$A$3:$A$42,'Depreciation Schedules'!$F$3:$F$42)</f>
        <v>0.05</v>
      </c>
      <c r="Q448" s="215">
        <f>LOOKUP(Q$2,'Depreciation Schedules'!$A$3:$A$42,'Depreciation Schedules'!$F$3:$F$42)</f>
        <v>0.05</v>
      </c>
      <c r="R448" s="215">
        <f>LOOKUP(R$2,'Depreciation Schedules'!$A$3:$A$42,'Depreciation Schedules'!$F$3:$F$42)</f>
        <v>0.05</v>
      </c>
      <c r="S448" s="215">
        <f>LOOKUP(S$2,'Depreciation Schedules'!$A$3:$A$42,'Depreciation Schedules'!$F$3:$F$42)</f>
        <v>0.05</v>
      </c>
      <c r="T448" s="215">
        <f>LOOKUP(T$2,'Depreciation Schedules'!$A$3:$A$42,'Depreciation Schedules'!$F$3:$F$42)</f>
        <v>0.05</v>
      </c>
      <c r="U448" s="215">
        <f>LOOKUP(U$2,'Depreciation Schedules'!$A$3:$A$42,'Depreciation Schedules'!$F$3:$F$42)</f>
        <v>0.05</v>
      </c>
      <c r="V448" s="215">
        <f>LOOKUP(V$2,'Depreciation Schedules'!$A$3:$A$42,'Depreciation Schedules'!$F$3:$F$42)</f>
        <v>0.05</v>
      </c>
      <c r="W448" s="215">
        <f>LOOKUP(W$2,'Depreciation Schedules'!$A$3:$A$42,'Depreciation Schedules'!$F$3:$F$42)</f>
        <v>2.5000000000000001E-2</v>
      </c>
      <c r="X448" s="215">
        <f>LOOKUP(X$2,'Depreciation Schedules'!$A$3:$A$42,'Depreciation Schedules'!$F$3:$F$42)</f>
        <v>0</v>
      </c>
      <c r="Y448" s="215">
        <f>LOOKUP(Y$2,'Depreciation Schedules'!$A$3:$A$42,'Depreciation Schedules'!$F$3:$F$42)</f>
        <v>0</v>
      </c>
      <c r="Z448" s="215">
        <f>LOOKUP(Z$2,'Depreciation Schedules'!$A$3:$A$42,'Depreciation Schedules'!$F$3:$F$42)</f>
        <v>0</v>
      </c>
      <c r="AA448" s="215">
        <f>LOOKUP(AA$2,'Depreciation Schedules'!$A$3:$A$42,'Depreciation Schedules'!$F$3:$F$42)</f>
        <v>0</v>
      </c>
      <c r="AB448" s="215">
        <f>LOOKUP(AB$2,'Depreciation Schedules'!$A$3:$A$42,'Depreciation Schedules'!$F$3:$F$42)</f>
        <v>0</v>
      </c>
      <c r="AC448" s="215">
        <f>LOOKUP(AC$2,'Depreciation Schedules'!$A$3:$A$42,'Depreciation Schedules'!$F$3:$F$42)</f>
        <v>0</v>
      </c>
      <c r="AD448" s="215">
        <f>LOOKUP(AD$2,'Depreciation Schedules'!$A$3:$A$42,'Depreciation Schedules'!$F$3:$F$42)</f>
        <v>0</v>
      </c>
      <c r="AE448" s="215">
        <f>LOOKUP(AE$2,'Depreciation Schedules'!$A$3:$A$42,'Depreciation Schedules'!$F$3:$F$42)</f>
        <v>0</v>
      </c>
      <c r="AF448" s="215">
        <f>LOOKUP(AF$2,'Depreciation Schedules'!$A$3:$A$42,'Depreciation Schedules'!$F$3:$F$42)</f>
        <v>0</v>
      </c>
      <c r="AG448" s="215">
        <f>LOOKUP(AG$2,'Depreciation Schedules'!$A$3:$A$42,'Depreciation Schedules'!$F$3:$F$42)</f>
        <v>0</v>
      </c>
      <c r="AH448" s="215">
        <f>LOOKUP(AH$2,'Depreciation Schedules'!$A$3:$A$42,'Depreciation Schedules'!$F$3:$F$42)</f>
        <v>0</v>
      </c>
      <c r="AI448" s="215">
        <f>LOOKUP(AI$2,'Depreciation Schedules'!$A$3:$A$42,'Depreciation Schedules'!$F$3:$F$42)</f>
        <v>0</v>
      </c>
      <c r="AJ448" s="215">
        <f>LOOKUP(AJ$2,'Depreciation Schedules'!$A$3:$A$42,'Depreciation Schedules'!$F$3:$F$42)</f>
        <v>0</v>
      </c>
      <c r="AK448" s="215">
        <f>LOOKUP(AK$2,'Depreciation Schedules'!$A$3:$A$42,'Depreciation Schedules'!$F$3:$F$42)</f>
        <v>0</v>
      </c>
      <c r="AL448" s="215">
        <f>LOOKUP(AL$2,'Depreciation Schedules'!$A$3:$A$42,'Depreciation Schedules'!$F$3:$F$42)</f>
        <v>0</v>
      </c>
      <c r="AM448" s="215">
        <f>LOOKUP(AM$2,'Depreciation Schedules'!$A$3:$A$42,'Depreciation Schedules'!$F$3:$F$42)</f>
        <v>0</v>
      </c>
      <c r="AN448" s="215">
        <f>LOOKUP(AN$2,'Depreciation Schedules'!$A$3:$A$42,'Depreciation Schedules'!$F$3:$F$42)</f>
        <v>0</v>
      </c>
      <c r="AO448" s="215">
        <f>LOOKUP(AO$2,'Depreciation Schedules'!$A$3:$A$42,'Depreciation Schedules'!$F$3:$F$42)</f>
        <v>0</v>
      </c>
      <c r="AP448" s="215">
        <f>LOOKUP(AP$2,'Depreciation Schedules'!$A$3:$A$42,'Depreciation Schedules'!$F$3:$F$42)</f>
        <v>0</v>
      </c>
    </row>
    <row r="449" spans="1:42">
      <c r="A449" s="205" t="str">
        <f t="shared" si="222"/>
        <v>39-yr SL</v>
      </c>
      <c r="B449" s="217">
        <f t="shared" si="223"/>
        <v>1.0000000000000004</v>
      </c>
      <c r="C449" s="215">
        <f>LOOKUP(C$2,'Depreciation Schedules'!$A$3:$A$42,'Depreciation Schedules'!$G$3:$G$42)</f>
        <v>1.2820512820512799E-2</v>
      </c>
      <c r="D449" s="215">
        <f>LOOKUP(D$2,'Depreciation Schedules'!$A$3:$A$42,'Depreciation Schedules'!$G$3:$G$42)</f>
        <v>2.564102564102564E-2</v>
      </c>
      <c r="E449" s="215">
        <f>LOOKUP(E$2,'Depreciation Schedules'!$A$3:$A$42,'Depreciation Schedules'!$G$3:$G$42)</f>
        <v>2.564102564102564E-2</v>
      </c>
      <c r="F449" s="215">
        <f>LOOKUP(F$2,'Depreciation Schedules'!$A$3:$A$42,'Depreciation Schedules'!$G$3:$G$42)</f>
        <v>2.564102564102564E-2</v>
      </c>
      <c r="G449" s="215">
        <f>LOOKUP(G$2,'Depreciation Schedules'!$A$3:$A$42,'Depreciation Schedules'!$G$3:$G$42)</f>
        <v>2.564102564102564E-2</v>
      </c>
      <c r="H449" s="215">
        <f>LOOKUP(H$2,'Depreciation Schedules'!$A$3:$A$42,'Depreciation Schedules'!$G$3:$G$42)</f>
        <v>2.564102564102564E-2</v>
      </c>
      <c r="I449" s="215">
        <f>LOOKUP(I$2,'Depreciation Schedules'!$A$3:$A$42,'Depreciation Schedules'!$G$3:$G$42)</f>
        <v>2.564102564102564E-2</v>
      </c>
      <c r="J449" s="215">
        <f>LOOKUP(J$2,'Depreciation Schedules'!$A$3:$A$42,'Depreciation Schedules'!$G$3:$G$42)</f>
        <v>2.564102564102564E-2</v>
      </c>
      <c r="K449" s="215">
        <f>LOOKUP(K$2,'Depreciation Schedules'!$A$3:$A$42,'Depreciation Schedules'!$G$3:$G$42)</f>
        <v>2.564102564102564E-2</v>
      </c>
      <c r="L449" s="215">
        <f>LOOKUP(L$2,'Depreciation Schedules'!$A$3:$A$42,'Depreciation Schedules'!$G$3:$G$42)</f>
        <v>2.564102564102564E-2</v>
      </c>
      <c r="M449" s="215">
        <f>LOOKUP(M$2,'Depreciation Schedules'!$A$3:$A$42,'Depreciation Schedules'!$G$3:$G$42)</f>
        <v>2.564102564102564E-2</v>
      </c>
      <c r="N449" s="215">
        <f>LOOKUP(N$2,'Depreciation Schedules'!$A$3:$A$42,'Depreciation Schedules'!$G$3:$G$42)</f>
        <v>2.564102564102564E-2</v>
      </c>
      <c r="O449" s="215">
        <f>LOOKUP(O$2,'Depreciation Schedules'!$A$3:$A$42,'Depreciation Schedules'!$G$3:$G$42)</f>
        <v>2.564102564102564E-2</v>
      </c>
      <c r="P449" s="215">
        <f>LOOKUP(P$2,'Depreciation Schedules'!$A$3:$A$42,'Depreciation Schedules'!$G$3:$G$42)</f>
        <v>2.564102564102564E-2</v>
      </c>
      <c r="Q449" s="215">
        <f>LOOKUP(Q$2,'Depreciation Schedules'!$A$3:$A$42,'Depreciation Schedules'!$G$3:$G$42)</f>
        <v>2.564102564102564E-2</v>
      </c>
      <c r="R449" s="215">
        <f>LOOKUP(R$2,'Depreciation Schedules'!$A$3:$A$42,'Depreciation Schedules'!$G$3:$G$42)</f>
        <v>2.564102564102564E-2</v>
      </c>
      <c r="S449" s="215">
        <f>LOOKUP(S$2,'Depreciation Schedules'!$A$3:$A$42,'Depreciation Schedules'!$G$3:$G$42)</f>
        <v>2.564102564102564E-2</v>
      </c>
      <c r="T449" s="215">
        <f>LOOKUP(T$2,'Depreciation Schedules'!$A$3:$A$42,'Depreciation Schedules'!$G$3:$G$42)</f>
        <v>2.564102564102564E-2</v>
      </c>
      <c r="U449" s="215">
        <f>LOOKUP(U$2,'Depreciation Schedules'!$A$3:$A$42,'Depreciation Schedules'!$G$3:$G$42)</f>
        <v>2.564102564102564E-2</v>
      </c>
      <c r="V449" s="215">
        <f>LOOKUP(V$2,'Depreciation Schedules'!$A$3:$A$42,'Depreciation Schedules'!$G$3:$G$42)</f>
        <v>2.564102564102564E-2</v>
      </c>
      <c r="W449" s="215">
        <f>LOOKUP(W$2,'Depreciation Schedules'!$A$3:$A$42,'Depreciation Schedules'!$G$3:$G$42)</f>
        <v>2.564102564102564E-2</v>
      </c>
      <c r="X449" s="215">
        <f>LOOKUP(X$2,'Depreciation Schedules'!$A$3:$A$42,'Depreciation Schedules'!$G$3:$G$42)</f>
        <v>2.564102564102564E-2</v>
      </c>
      <c r="Y449" s="215">
        <f>LOOKUP(Y$2,'Depreciation Schedules'!$A$3:$A$42,'Depreciation Schedules'!$G$3:$G$42)</f>
        <v>2.564102564102564E-2</v>
      </c>
      <c r="Z449" s="215">
        <f>LOOKUP(Z$2,'Depreciation Schedules'!$A$3:$A$42,'Depreciation Schedules'!$G$3:$G$42)</f>
        <v>2.564102564102564E-2</v>
      </c>
      <c r="AA449" s="215">
        <f>LOOKUP(AA$2,'Depreciation Schedules'!$A$3:$A$42,'Depreciation Schedules'!$G$3:$G$42)</f>
        <v>2.564102564102564E-2</v>
      </c>
      <c r="AB449" s="215">
        <f>LOOKUP(AB$2,'Depreciation Schedules'!$A$3:$A$42,'Depreciation Schedules'!$G$3:$G$42)</f>
        <v>2.564102564102564E-2</v>
      </c>
      <c r="AC449" s="215">
        <f>LOOKUP(AC$2,'Depreciation Schedules'!$A$3:$A$42,'Depreciation Schedules'!$G$3:$G$42)</f>
        <v>2.564102564102564E-2</v>
      </c>
      <c r="AD449" s="215">
        <f>LOOKUP(AD$2,'Depreciation Schedules'!$A$3:$A$42,'Depreciation Schedules'!$G$3:$G$42)</f>
        <v>2.564102564102564E-2</v>
      </c>
      <c r="AE449" s="215">
        <f>LOOKUP(AE$2,'Depreciation Schedules'!$A$3:$A$42,'Depreciation Schedules'!$G$3:$G$42)</f>
        <v>2.564102564102564E-2</v>
      </c>
      <c r="AF449" s="215">
        <f>LOOKUP(AF$2,'Depreciation Schedules'!$A$3:$A$42,'Depreciation Schedules'!$G$3:$G$42)</f>
        <v>2.564102564102564E-2</v>
      </c>
      <c r="AG449" s="215">
        <f>LOOKUP(AG$2,'Depreciation Schedules'!$A$3:$A$42,'Depreciation Schedules'!$G$3:$G$42)</f>
        <v>2.564102564102564E-2</v>
      </c>
      <c r="AH449" s="215">
        <f>LOOKUP(AH$2,'Depreciation Schedules'!$A$3:$A$42,'Depreciation Schedules'!$G$3:$G$42)</f>
        <v>2.564102564102564E-2</v>
      </c>
      <c r="AI449" s="215">
        <f>LOOKUP(AI$2,'Depreciation Schedules'!$A$3:$A$42,'Depreciation Schedules'!$G$3:$G$42)</f>
        <v>2.564102564102564E-2</v>
      </c>
      <c r="AJ449" s="215">
        <f>LOOKUP(AJ$2,'Depreciation Schedules'!$A$3:$A$42,'Depreciation Schedules'!$G$3:$G$42)</f>
        <v>2.564102564102564E-2</v>
      </c>
      <c r="AK449" s="215">
        <f>LOOKUP(AK$2,'Depreciation Schedules'!$A$3:$A$42,'Depreciation Schedules'!$G$3:$G$42)</f>
        <v>2.564102564102564E-2</v>
      </c>
      <c r="AL449" s="215">
        <f>LOOKUP(AL$2,'Depreciation Schedules'!$A$3:$A$42,'Depreciation Schedules'!$G$3:$G$42)</f>
        <v>2.564102564102564E-2</v>
      </c>
      <c r="AM449" s="215">
        <f>LOOKUP(AM$2,'Depreciation Schedules'!$A$3:$A$42,'Depreciation Schedules'!$G$3:$G$42)</f>
        <v>2.564102564102564E-2</v>
      </c>
      <c r="AN449" s="215">
        <f>LOOKUP(AN$2,'Depreciation Schedules'!$A$3:$A$42,'Depreciation Schedules'!$G$3:$G$42)</f>
        <v>2.564102564102564E-2</v>
      </c>
      <c r="AO449" s="215">
        <f>LOOKUP(AO$2,'Depreciation Schedules'!$A$3:$A$42,'Depreciation Schedules'!$G$3:$G$42)</f>
        <v>2.564102564102564E-2</v>
      </c>
      <c r="AP449" s="215">
        <f>LOOKUP(AP$2,'Depreciation Schedules'!$A$3:$A$42,'Depreciation Schedules'!$G$3:$G$42)</f>
        <v>1.2820512820512799E-2</v>
      </c>
    </row>
    <row r="450" spans="1:42">
      <c r="A450" s="257" t="s">
        <v>34</v>
      </c>
      <c r="C450" s="186"/>
      <c r="D450" s="186"/>
      <c r="E450" s="186"/>
      <c r="F450" s="186"/>
      <c r="G450" s="186"/>
      <c r="H450" s="186"/>
      <c r="I450" s="186"/>
      <c r="J450" s="186"/>
      <c r="K450" s="186"/>
      <c r="L450" s="186"/>
      <c r="M450" s="186"/>
      <c r="N450" s="186"/>
      <c r="O450" s="186"/>
      <c r="P450" s="186"/>
      <c r="Q450" s="186"/>
      <c r="R450" s="186"/>
      <c r="S450" s="186"/>
      <c r="T450" s="186"/>
      <c r="U450" s="186"/>
      <c r="V450" s="186"/>
      <c r="W450" s="186"/>
      <c r="X450" s="186"/>
      <c r="Y450" s="186"/>
      <c r="Z450" s="186"/>
      <c r="AA450" s="186"/>
      <c r="AB450" s="186"/>
      <c r="AC450" s="186"/>
      <c r="AD450" s="186"/>
      <c r="AE450" s="186"/>
      <c r="AF450" s="186"/>
      <c r="AG450" s="186"/>
      <c r="AH450" s="186"/>
      <c r="AI450" s="186"/>
      <c r="AJ450" s="186"/>
      <c r="AK450" s="186"/>
      <c r="AL450" s="186"/>
      <c r="AM450" s="186"/>
      <c r="AN450" s="186"/>
      <c r="AO450" s="186"/>
      <c r="AP450" s="186"/>
    </row>
    <row r="451" spans="1:42">
      <c r="A451" s="205" t="str">
        <f>A444</f>
        <v>5-yr MACRS</v>
      </c>
      <c r="B451" s="218">
        <f>SUM(C451:AP451)</f>
        <v>35560938.078000002</v>
      </c>
      <c r="C451" s="186">
        <f t="shared" ref="C451:AP451" si="224">C444*$Q411</f>
        <v>7112187.6156000011</v>
      </c>
      <c r="D451" s="186">
        <f t="shared" si="224"/>
        <v>11379500.18496</v>
      </c>
      <c r="E451" s="186">
        <f t="shared" si="224"/>
        <v>6827700.1109760003</v>
      </c>
      <c r="F451" s="186">
        <f t="shared" si="224"/>
        <v>4096620.0665855999</v>
      </c>
      <c r="G451" s="186">
        <f t="shared" si="224"/>
        <v>4096620.0665855999</v>
      </c>
      <c r="H451" s="186">
        <f t="shared" si="224"/>
        <v>2048310.0332928</v>
      </c>
      <c r="I451" s="186">
        <f t="shared" si="224"/>
        <v>0</v>
      </c>
      <c r="J451" s="186">
        <f t="shared" si="224"/>
        <v>0</v>
      </c>
      <c r="K451" s="186">
        <f t="shared" si="224"/>
        <v>0</v>
      </c>
      <c r="L451" s="186">
        <f t="shared" si="224"/>
        <v>0</v>
      </c>
      <c r="M451" s="186">
        <f t="shared" si="224"/>
        <v>0</v>
      </c>
      <c r="N451" s="186">
        <f t="shared" si="224"/>
        <v>0</v>
      </c>
      <c r="O451" s="186">
        <f t="shared" si="224"/>
        <v>0</v>
      </c>
      <c r="P451" s="186">
        <f t="shared" si="224"/>
        <v>0</v>
      </c>
      <c r="Q451" s="186">
        <f t="shared" si="224"/>
        <v>0</v>
      </c>
      <c r="R451" s="186">
        <f t="shared" si="224"/>
        <v>0</v>
      </c>
      <c r="S451" s="186">
        <f t="shared" si="224"/>
        <v>0</v>
      </c>
      <c r="T451" s="186">
        <f t="shared" si="224"/>
        <v>0</v>
      </c>
      <c r="U451" s="186">
        <f t="shared" si="224"/>
        <v>0</v>
      </c>
      <c r="V451" s="186">
        <f t="shared" si="224"/>
        <v>0</v>
      </c>
      <c r="W451" s="186">
        <f t="shared" si="224"/>
        <v>0</v>
      </c>
      <c r="X451" s="186">
        <f t="shared" si="224"/>
        <v>0</v>
      </c>
      <c r="Y451" s="186">
        <f t="shared" si="224"/>
        <v>0</v>
      </c>
      <c r="Z451" s="186">
        <f t="shared" si="224"/>
        <v>0</v>
      </c>
      <c r="AA451" s="186">
        <f t="shared" si="224"/>
        <v>0</v>
      </c>
      <c r="AB451" s="186">
        <f t="shared" si="224"/>
        <v>0</v>
      </c>
      <c r="AC451" s="186">
        <f t="shared" si="224"/>
        <v>0</v>
      </c>
      <c r="AD451" s="186">
        <f t="shared" si="224"/>
        <v>0</v>
      </c>
      <c r="AE451" s="186">
        <f t="shared" si="224"/>
        <v>0</v>
      </c>
      <c r="AF451" s="186">
        <f t="shared" si="224"/>
        <v>0</v>
      </c>
      <c r="AG451" s="186">
        <f t="shared" si="224"/>
        <v>0</v>
      </c>
      <c r="AH451" s="186">
        <f t="shared" si="224"/>
        <v>0</v>
      </c>
      <c r="AI451" s="186">
        <f t="shared" si="224"/>
        <v>0</v>
      </c>
      <c r="AJ451" s="186">
        <f t="shared" si="224"/>
        <v>0</v>
      </c>
      <c r="AK451" s="186">
        <f t="shared" si="224"/>
        <v>0</v>
      </c>
      <c r="AL451" s="186">
        <f t="shared" si="224"/>
        <v>0</v>
      </c>
      <c r="AM451" s="186">
        <f t="shared" si="224"/>
        <v>0</v>
      </c>
      <c r="AN451" s="186">
        <f t="shared" si="224"/>
        <v>0</v>
      </c>
      <c r="AO451" s="186">
        <f t="shared" si="224"/>
        <v>0</v>
      </c>
      <c r="AP451" s="186">
        <f t="shared" si="224"/>
        <v>0</v>
      </c>
    </row>
    <row r="452" spans="1:42">
      <c r="A452" s="205" t="str">
        <f t="shared" ref="A452:A456" si="225">A445</f>
        <v>15-yr MACRS</v>
      </c>
      <c r="B452" s="153">
        <f t="shared" ref="B452:B458" si="226">SUM(C452:AP452)</f>
        <v>644350.32750000013</v>
      </c>
      <c r="C452" s="186">
        <f t="shared" ref="C452:AP452" si="227">C445*$Q412</f>
        <v>32217.516375000003</v>
      </c>
      <c r="D452" s="186">
        <f t="shared" si="227"/>
        <v>61213.281112500001</v>
      </c>
      <c r="E452" s="186">
        <f t="shared" si="227"/>
        <v>55091.953001250004</v>
      </c>
      <c r="F452" s="186">
        <f t="shared" si="227"/>
        <v>49614.975217500003</v>
      </c>
      <c r="G452" s="186">
        <f t="shared" si="227"/>
        <v>44653.47769575</v>
      </c>
      <c r="H452" s="186">
        <f t="shared" si="227"/>
        <v>40143.025403250002</v>
      </c>
      <c r="I452" s="186">
        <f t="shared" si="227"/>
        <v>38016.669322499998</v>
      </c>
      <c r="J452" s="186">
        <f t="shared" si="227"/>
        <v>38016.669322499998</v>
      </c>
      <c r="K452" s="186">
        <f t="shared" si="227"/>
        <v>38081.104355249998</v>
      </c>
      <c r="L452" s="186">
        <f t="shared" si="227"/>
        <v>38016.669322499998</v>
      </c>
      <c r="M452" s="186">
        <f t="shared" si="227"/>
        <v>38081.104355249998</v>
      </c>
      <c r="N452" s="186">
        <f t="shared" si="227"/>
        <v>38016.669322499998</v>
      </c>
      <c r="O452" s="186">
        <f t="shared" si="227"/>
        <v>38081.104355249998</v>
      </c>
      <c r="P452" s="186">
        <f t="shared" si="227"/>
        <v>38016.669322499998</v>
      </c>
      <c r="Q452" s="186">
        <f t="shared" si="227"/>
        <v>38081.104355249998</v>
      </c>
      <c r="R452" s="186">
        <f t="shared" si="227"/>
        <v>19008.334661249999</v>
      </c>
      <c r="S452" s="186">
        <f t="shared" si="227"/>
        <v>0</v>
      </c>
      <c r="T452" s="186">
        <f t="shared" si="227"/>
        <v>0</v>
      </c>
      <c r="U452" s="186">
        <f t="shared" si="227"/>
        <v>0</v>
      </c>
      <c r="V452" s="186">
        <f t="shared" si="227"/>
        <v>0</v>
      </c>
      <c r="W452" s="186">
        <f t="shared" si="227"/>
        <v>0</v>
      </c>
      <c r="X452" s="186">
        <f t="shared" si="227"/>
        <v>0</v>
      </c>
      <c r="Y452" s="186">
        <f t="shared" si="227"/>
        <v>0</v>
      </c>
      <c r="Z452" s="186">
        <f t="shared" si="227"/>
        <v>0</v>
      </c>
      <c r="AA452" s="186">
        <f t="shared" si="227"/>
        <v>0</v>
      </c>
      <c r="AB452" s="186">
        <f t="shared" si="227"/>
        <v>0</v>
      </c>
      <c r="AC452" s="186">
        <f t="shared" si="227"/>
        <v>0</v>
      </c>
      <c r="AD452" s="186">
        <f t="shared" si="227"/>
        <v>0</v>
      </c>
      <c r="AE452" s="186">
        <f t="shared" si="227"/>
        <v>0</v>
      </c>
      <c r="AF452" s="186">
        <f t="shared" si="227"/>
        <v>0</v>
      </c>
      <c r="AG452" s="186">
        <f t="shared" si="227"/>
        <v>0</v>
      </c>
      <c r="AH452" s="186">
        <f t="shared" si="227"/>
        <v>0</v>
      </c>
      <c r="AI452" s="186">
        <f t="shared" si="227"/>
        <v>0</v>
      </c>
      <c r="AJ452" s="186">
        <f t="shared" si="227"/>
        <v>0</v>
      </c>
      <c r="AK452" s="186">
        <f t="shared" si="227"/>
        <v>0</v>
      </c>
      <c r="AL452" s="186">
        <f t="shared" si="227"/>
        <v>0</v>
      </c>
      <c r="AM452" s="186">
        <f t="shared" si="227"/>
        <v>0</v>
      </c>
      <c r="AN452" s="186">
        <f t="shared" si="227"/>
        <v>0</v>
      </c>
      <c r="AO452" s="186">
        <f t="shared" si="227"/>
        <v>0</v>
      </c>
      <c r="AP452" s="186">
        <f t="shared" si="227"/>
        <v>0</v>
      </c>
    </row>
    <row r="453" spans="1:42">
      <c r="A453" s="205" t="str">
        <f t="shared" si="225"/>
        <v>5-yr SL</v>
      </c>
      <c r="B453" s="153">
        <f t="shared" si="226"/>
        <v>0</v>
      </c>
      <c r="C453" s="186">
        <f t="shared" ref="C453:AP453" si="228">C446*$Q413</f>
        <v>0</v>
      </c>
      <c r="D453" s="186">
        <f t="shared" si="228"/>
        <v>0</v>
      </c>
      <c r="E453" s="186">
        <f t="shared" si="228"/>
        <v>0</v>
      </c>
      <c r="F453" s="186">
        <f t="shared" si="228"/>
        <v>0</v>
      </c>
      <c r="G453" s="186">
        <f t="shared" si="228"/>
        <v>0</v>
      </c>
      <c r="H453" s="186">
        <f t="shared" si="228"/>
        <v>0</v>
      </c>
      <c r="I453" s="186">
        <f t="shared" si="228"/>
        <v>0</v>
      </c>
      <c r="J453" s="186">
        <f t="shared" si="228"/>
        <v>0</v>
      </c>
      <c r="K453" s="186">
        <f t="shared" si="228"/>
        <v>0</v>
      </c>
      <c r="L453" s="186">
        <f t="shared" si="228"/>
        <v>0</v>
      </c>
      <c r="M453" s="186">
        <f t="shared" si="228"/>
        <v>0</v>
      </c>
      <c r="N453" s="186">
        <f t="shared" si="228"/>
        <v>0</v>
      </c>
      <c r="O453" s="186">
        <f t="shared" si="228"/>
        <v>0</v>
      </c>
      <c r="P453" s="186">
        <f t="shared" si="228"/>
        <v>0</v>
      </c>
      <c r="Q453" s="186">
        <f t="shared" si="228"/>
        <v>0</v>
      </c>
      <c r="R453" s="186">
        <f t="shared" si="228"/>
        <v>0</v>
      </c>
      <c r="S453" s="186">
        <f t="shared" si="228"/>
        <v>0</v>
      </c>
      <c r="T453" s="186">
        <f t="shared" si="228"/>
        <v>0</v>
      </c>
      <c r="U453" s="186">
        <f t="shared" si="228"/>
        <v>0</v>
      </c>
      <c r="V453" s="186">
        <f t="shared" si="228"/>
        <v>0</v>
      </c>
      <c r="W453" s="186">
        <f t="shared" si="228"/>
        <v>0</v>
      </c>
      <c r="X453" s="186">
        <f t="shared" si="228"/>
        <v>0</v>
      </c>
      <c r="Y453" s="186">
        <f t="shared" si="228"/>
        <v>0</v>
      </c>
      <c r="Z453" s="186">
        <f t="shared" si="228"/>
        <v>0</v>
      </c>
      <c r="AA453" s="186">
        <f t="shared" si="228"/>
        <v>0</v>
      </c>
      <c r="AB453" s="186">
        <f t="shared" si="228"/>
        <v>0</v>
      </c>
      <c r="AC453" s="186">
        <f t="shared" si="228"/>
        <v>0</v>
      </c>
      <c r="AD453" s="186">
        <f t="shared" si="228"/>
        <v>0</v>
      </c>
      <c r="AE453" s="186">
        <f t="shared" si="228"/>
        <v>0</v>
      </c>
      <c r="AF453" s="186">
        <f t="shared" si="228"/>
        <v>0</v>
      </c>
      <c r="AG453" s="186">
        <f t="shared" si="228"/>
        <v>0</v>
      </c>
      <c r="AH453" s="186">
        <f t="shared" si="228"/>
        <v>0</v>
      </c>
      <c r="AI453" s="186">
        <f t="shared" si="228"/>
        <v>0</v>
      </c>
      <c r="AJ453" s="186">
        <f t="shared" si="228"/>
        <v>0</v>
      </c>
      <c r="AK453" s="186">
        <f t="shared" si="228"/>
        <v>0</v>
      </c>
      <c r="AL453" s="186">
        <f t="shared" si="228"/>
        <v>0</v>
      </c>
      <c r="AM453" s="186">
        <f t="shared" si="228"/>
        <v>0</v>
      </c>
      <c r="AN453" s="186">
        <f t="shared" si="228"/>
        <v>0</v>
      </c>
      <c r="AO453" s="186">
        <f t="shared" si="228"/>
        <v>0</v>
      </c>
      <c r="AP453" s="186">
        <f t="shared" si="228"/>
        <v>0</v>
      </c>
    </row>
    <row r="454" spans="1:42">
      <c r="A454" s="205" t="str">
        <f t="shared" si="225"/>
        <v>15-yr SL</v>
      </c>
      <c r="B454" s="153">
        <f t="shared" si="226"/>
        <v>644350.32750000001</v>
      </c>
      <c r="C454" s="186">
        <f t="shared" ref="C454:AP454" si="229">C447*$Q414</f>
        <v>21456.865905750001</v>
      </c>
      <c r="D454" s="186">
        <f t="shared" si="229"/>
        <v>42978.166844250001</v>
      </c>
      <c r="E454" s="186">
        <f t="shared" si="229"/>
        <v>42978.166844250001</v>
      </c>
      <c r="F454" s="186">
        <f t="shared" si="229"/>
        <v>42978.166844250001</v>
      </c>
      <c r="G454" s="186">
        <f t="shared" si="229"/>
        <v>42978.166844250001</v>
      </c>
      <c r="H454" s="186">
        <f t="shared" si="229"/>
        <v>42978.166844250001</v>
      </c>
      <c r="I454" s="186">
        <f t="shared" si="229"/>
        <v>42978.166844250001</v>
      </c>
      <c r="J454" s="186">
        <f t="shared" si="229"/>
        <v>42913.731811500002</v>
      </c>
      <c r="K454" s="186">
        <f t="shared" si="229"/>
        <v>42978.166844250001</v>
      </c>
      <c r="L454" s="186">
        <f t="shared" si="229"/>
        <v>42913.731811500002</v>
      </c>
      <c r="M454" s="186">
        <f t="shared" si="229"/>
        <v>42978.166844250001</v>
      </c>
      <c r="N454" s="186">
        <f t="shared" si="229"/>
        <v>42913.731811500002</v>
      </c>
      <c r="O454" s="186">
        <f t="shared" si="229"/>
        <v>42978.166844250001</v>
      </c>
      <c r="P454" s="186">
        <f t="shared" si="229"/>
        <v>42913.731811500002</v>
      </c>
      <c r="Q454" s="186">
        <f t="shared" si="229"/>
        <v>42978.166844250001</v>
      </c>
      <c r="R454" s="186">
        <f t="shared" si="229"/>
        <v>21456.865905750001</v>
      </c>
      <c r="S454" s="186">
        <f t="shared" si="229"/>
        <v>0</v>
      </c>
      <c r="T454" s="186">
        <f t="shared" si="229"/>
        <v>0</v>
      </c>
      <c r="U454" s="186">
        <f t="shared" si="229"/>
        <v>0</v>
      </c>
      <c r="V454" s="186">
        <f t="shared" si="229"/>
        <v>0</v>
      </c>
      <c r="W454" s="186">
        <f t="shared" si="229"/>
        <v>0</v>
      </c>
      <c r="X454" s="186">
        <f t="shared" si="229"/>
        <v>0</v>
      </c>
      <c r="Y454" s="186">
        <f t="shared" si="229"/>
        <v>0</v>
      </c>
      <c r="Z454" s="186">
        <f t="shared" si="229"/>
        <v>0</v>
      </c>
      <c r="AA454" s="186">
        <f t="shared" si="229"/>
        <v>0</v>
      </c>
      <c r="AB454" s="186">
        <f t="shared" si="229"/>
        <v>0</v>
      </c>
      <c r="AC454" s="186">
        <f t="shared" si="229"/>
        <v>0</v>
      </c>
      <c r="AD454" s="186">
        <f t="shared" si="229"/>
        <v>0</v>
      </c>
      <c r="AE454" s="186">
        <f t="shared" si="229"/>
        <v>0</v>
      </c>
      <c r="AF454" s="186">
        <f t="shared" si="229"/>
        <v>0</v>
      </c>
      <c r="AG454" s="186">
        <f t="shared" si="229"/>
        <v>0</v>
      </c>
      <c r="AH454" s="186">
        <f t="shared" si="229"/>
        <v>0</v>
      </c>
      <c r="AI454" s="186">
        <f t="shared" si="229"/>
        <v>0</v>
      </c>
      <c r="AJ454" s="186">
        <f t="shared" si="229"/>
        <v>0</v>
      </c>
      <c r="AK454" s="186">
        <f t="shared" si="229"/>
        <v>0</v>
      </c>
      <c r="AL454" s="186">
        <f t="shared" si="229"/>
        <v>0</v>
      </c>
      <c r="AM454" s="186">
        <f t="shared" si="229"/>
        <v>0</v>
      </c>
      <c r="AN454" s="186">
        <f t="shared" si="229"/>
        <v>0</v>
      </c>
      <c r="AO454" s="186">
        <f t="shared" si="229"/>
        <v>0</v>
      </c>
      <c r="AP454" s="186">
        <f t="shared" si="229"/>
        <v>0</v>
      </c>
    </row>
    <row r="455" spans="1:42">
      <c r="A455" s="205" t="str">
        <f t="shared" si="225"/>
        <v>20-yr SL</v>
      </c>
      <c r="B455" s="153">
        <f t="shared" si="226"/>
        <v>1288700.655</v>
      </c>
      <c r="C455" s="186">
        <f t="shared" ref="C455:AP455" si="230">C448*$Q415</f>
        <v>32217.516375000003</v>
      </c>
      <c r="D455" s="186">
        <f t="shared" si="230"/>
        <v>64435.032750000006</v>
      </c>
      <c r="E455" s="186">
        <f t="shared" si="230"/>
        <v>64435.032750000006</v>
      </c>
      <c r="F455" s="186">
        <f t="shared" si="230"/>
        <v>64435.032750000006</v>
      </c>
      <c r="G455" s="186">
        <f t="shared" si="230"/>
        <v>64435.032750000006</v>
      </c>
      <c r="H455" s="186">
        <f t="shared" si="230"/>
        <v>64435.032750000006</v>
      </c>
      <c r="I455" s="186">
        <f t="shared" si="230"/>
        <v>64435.032750000006</v>
      </c>
      <c r="J455" s="186">
        <f t="shared" si="230"/>
        <v>64435.032750000006</v>
      </c>
      <c r="K455" s="186">
        <f t="shared" si="230"/>
        <v>64435.032750000006</v>
      </c>
      <c r="L455" s="186">
        <f t="shared" si="230"/>
        <v>64435.032750000006</v>
      </c>
      <c r="M455" s="186">
        <f t="shared" si="230"/>
        <v>64435.032750000006</v>
      </c>
      <c r="N455" s="186">
        <f t="shared" si="230"/>
        <v>64435.032750000006</v>
      </c>
      <c r="O455" s="186">
        <f t="shared" si="230"/>
        <v>64435.032750000006</v>
      </c>
      <c r="P455" s="186">
        <f t="shared" si="230"/>
        <v>64435.032750000006</v>
      </c>
      <c r="Q455" s="186">
        <f t="shared" si="230"/>
        <v>64435.032750000006</v>
      </c>
      <c r="R455" s="186">
        <f t="shared" si="230"/>
        <v>64435.032750000006</v>
      </c>
      <c r="S455" s="186">
        <f t="shared" si="230"/>
        <v>64435.032750000006</v>
      </c>
      <c r="T455" s="186">
        <f t="shared" si="230"/>
        <v>64435.032750000006</v>
      </c>
      <c r="U455" s="186">
        <f t="shared" si="230"/>
        <v>64435.032750000006</v>
      </c>
      <c r="V455" s="186">
        <f t="shared" si="230"/>
        <v>64435.032750000006</v>
      </c>
      <c r="W455" s="186">
        <f t="shared" si="230"/>
        <v>32217.516375000003</v>
      </c>
      <c r="X455" s="186">
        <f t="shared" si="230"/>
        <v>0</v>
      </c>
      <c r="Y455" s="186">
        <f t="shared" si="230"/>
        <v>0</v>
      </c>
      <c r="Z455" s="186">
        <f t="shared" si="230"/>
        <v>0</v>
      </c>
      <c r="AA455" s="186">
        <f t="shared" si="230"/>
        <v>0</v>
      </c>
      <c r="AB455" s="186">
        <f t="shared" si="230"/>
        <v>0</v>
      </c>
      <c r="AC455" s="186">
        <f t="shared" si="230"/>
        <v>0</v>
      </c>
      <c r="AD455" s="186">
        <f t="shared" si="230"/>
        <v>0</v>
      </c>
      <c r="AE455" s="186">
        <f t="shared" si="230"/>
        <v>0</v>
      </c>
      <c r="AF455" s="186">
        <f t="shared" si="230"/>
        <v>0</v>
      </c>
      <c r="AG455" s="186">
        <f t="shared" si="230"/>
        <v>0</v>
      </c>
      <c r="AH455" s="186">
        <f t="shared" si="230"/>
        <v>0</v>
      </c>
      <c r="AI455" s="186">
        <f t="shared" si="230"/>
        <v>0</v>
      </c>
      <c r="AJ455" s="186">
        <f t="shared" si="230"/>
        <v>0</v>
      </c>
      <c r="AK455" s="186">
        <f t="shared" si="230"/>
        <v>0</v>
      </c>
      <c r="AL455" s="186">
        <f t="shared" si="230"/>
        <v>0</v>
      </c>
      <c r="AM455" s="186">
        <f t="shared" si="230"/>
        <v>0</v>
      </c>
      <c r="AN455" s="186">
        <f t="shared" si="230"/>
        <v>0</v>
      </c>
      <c r="AO455" s="186">
        <f t="shared" si="230"/>
        <v>0</v>
      </c>
      <c r="AP455" s="186">
        <f t="shared" si="230"/>
        <v>0</v>
      </c>
    </row>
    <row r="456" spans="1:42">
      <c r="A456" s="205" t="str">
        <f t="shared" si="225"/>
        <v>39-yr SL</v>
      </c>
      <c r="B456" s="153">
        <f t="shared" si="226"/>
        <v>214783.44250000015</v>
      </c>
      <c r="C456" s="186">
        <f t="shared" ref="C456:AP456" si="231">C449*$Q416</f>
        <v>2753.6338782051239</v>
      </c>
      <c r="D456" s="186">
        <f t="shared" si="231"/>
        <v>5507.267756410256</v>
      </c>
      <c r="E456" s="186">
        <f t="shared" si="231"/>
        <v>5507.267756410256</v>
      </c>
      <c r="F456" s="186">
        <f t="shared" si="231"/>
        <v>5507.267756410256</v>
      </c>
      <c r="G456" s="186">
        <f t="shared" si="231"/>
        <v>5507.267756410256</v>
      </c>
      <c r="H456" s="186">
        <f t="shared" si="231"/>
        <v>5507.267756410256</v>
      </c>
      <c r="I456" s="186">
        <f t="shared" si="231"/>
        <v>5507.267756410256</v>
      </c>
      <c r="J456" s="186">
        <f t="shared" si="231"/>
        <v>5507.267756410256</v>
      </c>
      <c r="K456" s="186">
        <f t="shared" si="231"/>
        <v>5507.267756410256</v>
      </c>
      <c r="L456" s="186">
        <f t="shared" si="231"/>
        <v>5507.267756410256</v>
      </c>
      <c r="M456" s="186">
        <f t="shared" si="231"/>
        <v>5507.267756410256</v>
      </c>
      <c r="N456" s="186">
        <f t="shared" si="231"/>
        <v>5507.267756410256</v>
      </c>
      <c r="O456" s="186">
        <f t="shared" si="231"/>
        <v>5507.267756410256</v>
      </c>
      <c r="P456" s="186">
        <f t="shared" si="231"/>
        <v>5507.267756410256</v>
      </c>
      <c r="Q456" s="186">
        <f t="shared" si="231"/>
        <v>5507.267756410256</v>
      </c>
      <c r="R456" s="186">
        <f t="shared" si="231"/>
        <v>5507.267756410256</v>
      </c>
      <c r="S456" s="186">
        <f t="shared" si="231"/>
        <v>5507.267756410256</v>
      </c>
      <c r="T456" s="186">
        <f t="shared" si="231"/>
        <v>5507.267756410256</v>
      </c>
      <c r="U456" s="186">
        <f t="shared" si="231"/>
        <v>5507.267756410256</v>
      </c>
      <c r="V456" s="186">
        <f t="shared" si="231"/>
        <v>5507.267756410256</v>
      </c>
      <c r="W456" s="186">
        <f t="shared" si="231"/>
        <v>5507.267756410256</v>
      </c>
      <c r="X456" s="186">
        <f t="shared" si="231"/>
        <v>5507.267756410256</v>
      </c>
      <c r="Y456" s="186">
        <f t="shared" si="231"/>
        <v>5507.267756410256</v>
      </c>
      <c r="Z456" s="186">
        <f t="shared" si="231"/>
        <v>5507.267756410256</v>
      </c>
      <c r="AA456" s="186">
        <f t="shared" si="231"/>
        <v>5507.267756410256</v>
      </c>
      <c r="AB456" s="186">
        <f t="shared" si="231"/>
        <v>5507.267756410256</v>
      </c>
      <c r="AC456" s="186">
        <f t="shared" si="231"/>
        <v>5507.267756410256</v>
      </c>
      <c r="AD456" s="186">
        <f t="shared" si="231"/>
        <v>5507.267756410256</v>
      </c>
      <c r="AE456" s="186">
        <f t="shared" si="231"/>
        <v>5507.267756410256</v>
      </c>
      <c r="AF456" s="186">
        <f t="shared" si="231"/>
        <v>5507.267756410256</v>
      </c>
      <c r="AG456" s="186">
        <f t="shared" si="231"/>
        <v>5507.267756410256</v>
      </c>
      <c r="AH456" s="186">
        <f t="shared" si="231"/>
        <v>5507.267756410256</v>
      </c>
      <c r="AI456" s="186">
        <f t="shared" si="231"/>
        <v>5507.267756410256</v>
      </c>
      <c r="AJ456" s="186">
        <f t="shared" si="231"/>
        <v>5507.267756410256</v>
      </c>
      <c r="AK456" s="186">
        <f t="shared" si="231"/>
        <v>5507.267756410256</v>
      </c>
      <c r="AL456" s="186">
        <f t="shared" si="231"/>
        <v>5507.267756410256</v>
      </c>
      <c r="AM456" s="186">
        <f t="shared" si="231"/>
        <v>5507.267756410256</v>
      </c>
      <c r="AN456" s="186">
        <f t="shared" si="231"/>
        <v>5507.267756410256</v>
      </c>
      <c r="AO456" s="186">
        <f t="shared" si="231"/>
        <v>5507.267756410256</v>
      </c>
      <c r="AP456" s="186">
        <f t="shared" si="231"/>
        <v>2753.6338782051239</v>
      </c>
    </row>
    <row r="457" spans="1:42">
      <c r="A457" s="205" t="s">
        <v>319</v>
      </c>
      <c r="B457" s="212">
        <f t="shared" si="226"/>
        <v>3951215.3420000002</v>
      </c>
      <c r="C457" s="187">
        <f>P418</f>
        <v>3951215.3420000002</v>
      </c>
      <c r="D457" s="187">
        <v>0</v>
      </c>
      <c r="E457" s="187">
        <v>0</v>
      </c>
      <c r="F457" s="187">
        <v>0</v>
      </c>
      <c r="G457" s="187">
        <v>0</v>
      </c>
      <c r="H457" s="187">
        <v>0</v>
      </c>
      <c r="I457" s="187">
        <v>0</v>
      </c>
      <c r="J457" s="187">
        <v>0</v>
      </c>
      <c r="K457" s="187">
        <v>0</v>
      </c>
      <c r="L457" s="187">
        <v>0</v>
      </c>
      <c r="M457" s="187">
        <v>0</v>
      </c>
      <c r="N457" s="187">
        <v>0</v>
      </c>
      <c r="O457" s="187">
        <v>0</v>
      </c>
      <c r="P457" s="187">
        <v>0</v>
      </c>
      <c r="Q457" s="187">
        <v>0</v>
      </c>
      <c r="R457" s="187">
        <v>0</v>
      </c>
      <c r="S457" s="187">
        <v>0</v>
      </c>
      <c r="T457" s="187">
        <v>0</v>
      </c>
      <c r="U457" s="187">
        <v>0</v>
      </c>
      <c r="V457" s="187">
        <v>0</v>
      </c>
      <c r="W457" s="187">
        <v>0</v>
      </c>
      <c r="X457" s="187">
        <v>0</v>
      </c>
      <c r="Y457" s="187">
        <v>0</v>
      </c>
      <c r="Z457" s="187">
        <v>0</v>
      </c>
      <c r="AA457" s="187">
        <v>0</v>
      </c>
      <c r="AB457" s="187">
        <v>0</v>
      </c>
      <c r="AC457" s="187">
        <v>0</v>
      </c>
      <c r="AD457" s="187">
        <v>0</v>
      </c>
      <c r="AE457" s="187">
        <v>0</v>
      </c>
      <c r="AF457" s="187">
        <v>0</v>
      </c>
      <c r="AG457" s="187">
        <v>0</v>
      </c>
      <c r="AH457" s="187">
        <v>0</v>
      </c>
      <c r="AI457" s="187">
        <v>0</v>
      </c>
      <c r="AJ457" s="187">
        <v>0</v>
      </c>
      <c r="AK457" s="187">
        <v>0</v>
      </c>
      <c r="AL457" s="187">
        <v>0</v>
      </c>
      <c r="AM457" s="187">
        <v>0</v>
      </c>
      <c r="AN457" s="187">
        <v>0</v>
      </c>
      <c r="AO457" s="187">
        <v>0</v>
      </c>
      <c r="AP457" s="187">
        <v>0</v>
      </c>
    </row>
    <row r="458" spans="1:42">
      <c r="A458" s="204"/>
      <c r="B458" s="212">
        <f t="shared" si="226"/>
        <v>42304338.172500007</v>
      </c>
      <c r="C458" s="186">
        <f>SUM(C451:C457)</f>
        <v>11152048.490133956</v>
      </c>
      <c r="D458" s="186">
        <f t="shared" ref="D458:AP458" si="232">SUM(D451:D457)</f>
        <v>11553633.93342316</v>
      </c>
      <c r="E458" s="186">
        <f t="shared" si="232"/>
        <v>6995712.5313279098</v>
      </c>
      <c r="F458" s="186">
        <f t="shared" si="232"/>
        <v>4259155.50915376</v>
      </c>
      <c r="G458" s="186">
        <f t="shared" si="232"/>
        <v>4254194.0116320103</v>
      </c>
      <c r="H458" s="186">
        <f t="shared" si="232"/>
        <v>2201373.5260467101</v>
      </c>
      <c r="I458" s="186">
        <f t="shared" si="232"/>
        <v>150937.13667316028</v>
      </c>
      <c r="J458" s="186">
        <f t="shared" si="232"/>
        <v>150872.70164041026</v>
      </c>
      <c r="K458" s="186">
        <f t="shared" si="232"/>
        <v>151001.57170591026</v>
      </c>
      <c r="L458" s="186">
        <f t="shared" si="232"/>
        <v>150872.70164041026</v>
      </c>
      <c r="M458" s="186">
        <f t="shared" si="232"/>
        <v>151001.57170591026</v>
      </c>
      <c r="N458" s="186">
        <f t="shared" si="232"/>
        <v>150872.70164041026</v>
      </c>
      <c r="O458" s="186">
        <f t="shared" si="232"/>
        <v>151001.57170591026</v>
      </c>
      <c r="P458" s="186">
        <f t="shared" si="232"/>
        <v>150872.70164041026</v>
      </c>
      <c r="Q458" s="186">
        <f t="shared" si="232"/>
        <v>151001.57170591026</v>
      </c>
      <c r="R458" s="186">
        <f t="shared" si="232"/>
        <v>110407.50107341027</v>
      </c>
      <c r="S458" s="186">
        <f t="shared" si="232"/>
        <v>69942.300506410262</v>
      </c>
      <c r="T458" s="186">
        <f t="shared" si="232"/>
        <v>69942.300506410262</v>
      </c>
      <c r="U458" s="186">
        <f t="shared" si="232"/>
        <v>69942.300506410262</v>
      </c>
      <c r="V458" s="186">
        <f t="shared" si="232"/>
        <v>69942.300506410262</v>
      </c>
      <c r="W458" s="186">
        <f t="shared" si="232"/>
        <v>37724.784131410255</v>
      </c>
      <c r="X458" s="186">
        <f t="shared" si="232"/>
        <v>5507.267756410256</v>
      </c>
      <c r="Y458" s="186">
        <f t="shared" si="232"/>
        <v>5507.267756410256</v>
      </c>
      <c r="Z458" s="186">
        <f t="shared" si="232"/>
        <v>5507.267756410256</v>
      </c>
      <c r="AA458" s="186">
        <f t="shared" si="232"/>
        <v>5507.267756410256</v>
      </c>
      <c r="AB458" s="186">
        <f t="shared" si="232"/>
        <v>5507.267756410256</v>
      </c>
      <c r="AC458" s="186">
        <f t="shared" si="232"/>
        <v>5507.267756410256</v>
      </c>
      <c r="AD458" s="186">
        <f t="shared" si="232"/>
        <v>5507.267756410256</v>
      </c>
      <c r="AE458" s="186">
        <f t="shared" si="232"/>
        <v>5507.267756410256</v>
      </c>
      <c r="AF458" s="186">
        <f t="shared" si="232"/>
        <v>5507.267756410256</v>
      </c>
      <c r="AG458" s="186">
        <f t="shared" si="232"/>
        <v>5507.267756410256</v>
      </c>
      <c r="AH458" s="186">
        <f t="shared" si="232"/>
        <v>5507.267756410256</v>
      </c>
      <c r="AI458" s="186">
        <f t="shared" si="232"/>
        <v>5507.267756410256</v>
      </c>
      <c r="AJ458" s="186">
        <f t="shared" si="232"/>
        <v>5507.267756410256</v>
      </c>
      <c r="AK458" s="186">
        <f t="shared" si="232"/>
        <v>5507.267756410256</v>
      </c>
      <c r="AL458" s="186">
        <f t="shared" si="232"/>
        <v>5507.267756410256</v>
      </c>
      <c r="AM458" s="186">
        <f t="shared" si="232"/>
        <v>5507.267756410256</v>
      </c>
      <c r="AN458" s="186">
        <f t="shared" si="232"/>
        <v>5507.267756410256</v>
      </c>
      <c r="AO458" s="186">
        <f t="shared" si="232"/>
        <v>5507.267756410256</v>
      </c>
      <c r="AP458" s="186">
        <f t="shared" si="232"/>
        <v>2753.6338782051239</v>
      </c>
    </row>
    <row r="459" spans="1:42">
      <c r="A459" s="204"/>
      <c r="B459" s="186"/>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c r="AM459" s="186"/>
      <c r="AN459" s="186"/>
      <c r="AO459" s="186"/>
      <c r="AP459" s="186"/>
    </row>
    <row r="460" spans="1:42">
      <c r="A460" s="197" t="s">
        <v>206</v>
      </c>
      <c r="C460" s="186"/>
      <c r="D460" s="186"/>
      <c r="E460" s="186"/>
      <c r="F460" s="186"/>
      <c r="G460" s="186"/>
      <c r="H460" s="186"/>
      <c r="I460" s="186"/>
      <c r="J460" s="186"/>
      <c r="K460" s="186"/>
      <c r="L460" s="186"/>
      <c r="M460" s="186"/>
      <c r="N460" s="186"/>
      <c r="O460" s="186"/>
      <c r="P460" s="186"/>
      <c r="Q460" s="186"/>
      <c r="R460" s="186"/>
      <c r="S460" s="186"/>
      <c r="T460" s="186"/>
      <c r="U460" s="186"/>
      <c r="V460" s="186"/>
      <c r="W460" s="186"/>
      <c r="X460" s="186"/>
      <c r="Y460" s="186"/>
      <c r="Z460" s="186"/>
      <c r="AA460" s="186"/>
      <c r="AB460" s="186"/>
      <c r="AC460" s="186"/>
      <c r="AD460" s="186"/>
      <c r="AE460" s="186"/>
      <c r="AF460" s="186"/>
      <c r="AG460" s="186"/>
      <c r="AH460" s="186"/>
      <c r="AI460" s="186"/>
      <c r="AJ460" s="186"/>
      <c r="AK460" s="186"/>
      <c r="AL460" s="186"/>
      <c r="AM460" s="186"/>
      <c r="AN460" s="186"/>
      <c r="AO460" s="186"/>
      <c r="AP460" s="186"/>
    </row>
    <row r="461" spans="1:42">
      <c r="A461" s="204" t="s">
        <v>208</v>
      </c>
      <c r="B461" s="219" t="str">
        <f>MMFedTaxTreatment</f>
        <v>5-yr MACRS</v>
      </c>
      <c r="C461" s="186"/>
      <c r="D461" s="186"/>
      <c r="E461" s="186"/>
      <c r="F461" s="186"/>
      <c r="G461" s="186"/>
      <c r="H461" s="186"/>
      <c r="I461" s="186"/>
      <c r="J461" s="186"/>
      <c r="K461" s="186"/>
      <c r="L461" s="186"/>
      <c r="M461" s="186"/>
      <c r="N461" s="186"/>
      <c r="O461" s="186"/>
      <c r="P461" s="186"/>
      <c r="Q461" s="186"/>
      <c r="R461" s="186"/>
      <c r="S461" s="186"/>
      <c r="T461" s="186"/>
      <c r="U461" s="186"/>
      <c r="V461" s="186"/>
      <c r="W461" s="186"/>
      <c r="X461" s="186"/>
      <c r="Y461" s="186"/>
      <c r="Z461" s="186"/>
      <c r="AA461" s="186"/>
      <c r="AB461" s="186"/>
      <c r="AC461" s="186"/>
      <c r="AD461" s="186"/>
      <c r="AE461" s="186"/>
      <c r="AF461" s="186"/>
      <c r="AG461" s="186"/>
      <c r="AH461" s="186"/>
      <c r="AI461" s="186"/>
      <c r="AJ461" s="186"/>
      <c r="AK461" s="186"/>
      <c r="AL461" s="186"/>
      <c r="AM461" s="186"/>
      <c r="AN461" s="186"/>
      <c r="AO461" s="186"/>
      <c r="AP461" s="186"/>
    </row>
    <row r="462" spans="1:42">
      <c r="A462" s="204" t="s">
        <v>209</v>
      </c>
      <c r="B462" s="186">
        <f t="shared" ref="B462:AP462" si="233">B2</f>
        <v>0</v>
      </c>
      <c r="C462" s="186">
        <f t="shared" si="233"/>
        <v>1</v>
      </c>
      <c r="D462" s="186">
        <f t="shared" si="233"/>
        <v>2</v>
      </c>
      <c r="E462" s="186">
        <f t="shared" si="233"/>
        <v>3</v>
      </c>
      <c r="F462" s="186">
        <f t="shared" si="233"/>
        <v>4</v>
      </c>
      <c r="G462" s="186">
        <f t="shared" si="233"/>
        <v>5</v>
      </c>
      <c r="H462" s="186">
        <f t="shared" si="233"/>
        <v>6</v>
      </c>
      <c r="I462" s="186">
        <f t="shared" si="233"/>
        <v>7</v>
      </c>
      <c r="J462" s="186">
        <f t="shared" si="233"/>
        <v>8</v>
      </c>
      <c r="K462" s="186">
        <f t="shared" si="233"/>
        <v>9</v>
      </c>
      <c r="L462" s="186">
        <f t="shared" si="233"/>
        <v>10</v>
      </c>
      <c r="M462" s="186">
        <f t="shared" si="233"/>
        <v>11</v>
      </c>
      <c r="N462" s="186">
        <f t="shared" si="233"/>
        <v>12</v>
      </c>
      <c r="O462" s="186">
        <f t="shared" si="233"/>
        <v>13</v>
      </c>
      <c r="P462" s="186">
        <f t="shared" si="233"/>
        <v>14</v>
      </c>
      <c r="Q462" s="186">
        <f t="shared" si="233"/>
        <v>15</v>
      </c>
      <c r="R462" s="186">
        <f t="shared" si="233"/>
        <v>16</v>
      </c>
      <c r="S462" s="186">
        <f t="shared" si="233"/>
        <v>17</v>
      </c>
      <c r="T462" s="186">
        <f t="shared" si="233"/>
        <v>18</v>
      </c>
      <c r="U462" s="186">
        <f t="shared" si="233"/>
        <v>19</v>
      </c>
      <c r="V462" s="186">
        <f t="shared" si="233"/>
        <v>20</v>
      </c>
      <c r="W462" s="186">
        <f t="shared" si="233"/>
        <v>21</v>
      </c>
      <c r="X462" s="186">
        <f t="shared" si="233"/>
        <v>22</v>
      </c>
      <c r="Y462" s="186">
        <f t="shared" si="233"/>
        <v>23</v>
      </c>
      <c r="Z462" s="186">
        <f t="shared" si="233"/>
        <v>24</v>
      </c>
      <c r="AA462" s="186">
        <f t="shared" si="233"/>
        <v>25</v>
      </c>
      <c r="AB462" s="186">
        <f t="shared" si="233"/>
        <v>26</v>
      </c>
      <c r="AC462" s="186">
        <f t="shared" si="233"/>
        <v>27</v>
      </c>
      <c r="AD462" s="186">
        <f t="shared" si="233"/>
        <v>28</v>
      </c>
      <c r="AE462" s="186">
        <f t="shared" si="233"/>
        <v>29</v>
      </c>
      <c r="AF462" s="186">
        <f t="shared" si="233"/>
        <v>30</v>
      </c>
      <c r="AG462" s="186">
        <f t="shared" si="233"/>
        <v>31</v>
      </c>
      <c r="AH462" s="186">
        <f t="shared" si="233"/>
        <v>32</v>
      </c>
      <c r="AI462" s="186">
        <f t="shared" si="233"/>
        <v>33</v>
      </c>
      <c r="AJ462" s="186">
        <f t="shared" si="233"/>
        <v>34</v>
      </c>
      <c r="AK462" s="186">
        <f t="shared" si="233"/>
        <v>35</v>
      </c>
      <c r="AL462" s="186">
        <f t="shared" si="233"/>
        <v>36</v>
      </c>
      <c r="AM462" s="186">
        <f t="shared" si="233"/>
        <v>37</v>
      </c>
      <c r="AN462" s="186">
        <f t="shared" si="233"/>
        <v>38</v>
      </c>
      <c r="AO462" s="186">
        <f t="shared" si="233"/>
        <v>39</v>
      </c>
      <c r="AP462" s="186">
        <f t="shared" si="233"/>
        <v>40</v>
      </c>
    </row>
    <row r="463" spans="1:42">
      <c r="A463" s="204" t="s">
        <v>210</v>
      </c>
      <c r="B463" s="220">
        <v>0</v>
      </c>
      <c r="C463" s="215">
        <f t="shared" ref="C463:AP463" si="234">IF($B$461=$A444,C444,0)+IF($B$461=$A445,C445,0)+IF($B$461=$A446,C446,0)+IF($B$461=$A447,C447,0)+IF($B$461=$A448,C448,0)+IF($B$461=$A449,C449,0)</f>
        <v>0.2</v>
      </c>
      <c r="D463" s="215">
        <f t="shared" si="234"/>
        <v>0.32</v>
      </c>
      <c r="E463" s="215">
        <f t="shared" si="234"/>
        <v>0.192</v>
      </c>
      <c r="F463" s="215">
        <f t="shared" si="234"/>
        <v>0.1152</v>
      </c>
      <c r="G463" s="215">
        <f t="shared" si="234"/>
        <v>0.1152</v>
      </c>
      <c r="H463" s="215">
        <f t="shared" si="234"/>
        <v>5.7599999999999998E-2</v>
      </c>
      <c r="I463" s="215">
        <f t="shared" si="234"/>
        <v>0</v>
      </c>
      <c r="J463" s="215">
        <f t="shared" si="234"/>
        <v>0</v>
      </c>
      <c r="K463" s="215">
        <f t="shared" si="234"/>
        <v>0</v>
      </c>
      <c r="L463" s="215">
        <f t="shared" si="234"/>
        <v>0</v>
      </c>
      <c r="M463" s="215">
        <f t="shared" si="234"/>
        <v>0</v>
      </c>
      <c r="N463" s="215">
        <f t="shared" si="234"/>
        <v>0</v>
      </c>
      <c r="O463" s="215">
        <f t="shared" si="234"/>
        <v>0</v>
      </c>
      <c r="P463" s="215">
        <f t="shared" si="234"/>
        <v>0</v>
      </c>
      <c r="Q463" s="215">
        <f t="shared" si="234"/>
        <v>0</v>
      </c>
      <c r="R463" s="215">
        <f t="shared" si="234"/>
        <v>0</v>
      </c>
      <c r="S463" s="215">
        <f t="shared" si="234"/>
        <v>0</v>
      </c>
      <c r="T463" s="215">
        <f t="shared" si="234"/>
        <v>0</v>
      </c>
      <c r="U463" s="215">
        <f t="shared" si="234"/>
        <v>0</v>
      </c>
      <c r="V463" s="215">
        <f t="shared" si="234"/>
        <v>0</v>
      </c>
      <c r="W463" s="215">
        <f t="shared" si="234"/>
        <v>0</v>
      </c>
      <c r="X463" s="215">
        <f t="shared" si="234"/>
        <v>0</v>
      </c>
      <c r="Y463" s="215">
        <f t="shared" si="234"/>
        <v>0</v>
      </c>
      <c r="Z463" s="215">
        <f t="shared" si="234"/>
        <v>0</v>
      </c>
      <c r="AA463" s="215">
        <f t="shared" si="234"/>
        <v>0</v>
      </c>
      <c r="AB463" s="215">
        <f t="shared" si="234"/>
        <v>0</v>
      </c>
      <c r="AC463" s="215">
        <f t="shared" si="234"/>
        <v>0</v>
      </c>
      <c r="AD463" s="215">
        <f t="shared" si="234"/>
        <v>0</v>
      </c>
      <c r="AE463" s="215">
        <f t="shared" si="234"/>
        <v>0</v>
      </c>
      <c r="AF463" s="215">
        <f t="shared" si="234"/>
        <v>0</v>
      </c>
      <c r="AG463" s="215">
        <f t="shared" si="234"/>
        <v>0</v>
      </c>
      <c r="AH463" s="215">
        <f t="shared" si="234"/>
        <v>0</v>
      </c>
      <c r="AI463" s="215">
        <f t="shared" si="234"/>
        <v>0</v>
      </c>
      <c r="AJ463" s="215">
        <f t="shared" si="234"/>
        <v>0</v>
      </c>
      <c r="AK463" s="215">
        <f t="shared" si="234"/>
        <v>0</v>
      </c>
      <c r="AL463" s="215">
        <f t="shared" si="234"/>
        <v>0</v>
      </c>
      <c r="AM463" s="215">
        <f t="shared" si="234"/>
        <v>0</v>
      </c>
      <c r="AN463" s="215">
        <f t="shared" si="234"/>
        <v>0</v>
      </c>
      <c r="AO463" s="215">
        <f t="shared" si="234"/>
        <v>0</v>
      </c>
      <c r="AP463" s="215">
        <f t="shared" si="234"/>
        <v>0</v>
      </c>
    </row>
    <row r="464" spans="1:42">
      <c r="A464" s="197"/>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c r="AM464" s="186"/>
      <c r="AN464" s="186"/>
      <c r="AO464" s="186"/>
      <c r="AP464" s="186"/>
    </row>
    <row r="465" spans="1:42">
      <c r="A465" s="197" t="s">
        <v>368</v>
      </c>
      <c r="C465" s="186"/>
      <c r="D465" s="186"/>
      <c r="E465" s="186"/>
      <c r="F465" s="186"/>
      <c r="G465" s="186"/>
      <c r="H465" s="186"/>
      <c r="I465" s="186"/>
      <c r="J465" s="186"/>
      <c r="K465" s="186"/>
      <c r="L465" s="186"/>
      <c r="M465" s="186"/>
      <c r="N465" s="186"/>
      <c r="O465" s="186"/>
      <c r="P465" s="186"/>
      <c r="Q465" s="186"/>
      <c r="R465" s="186"/>
      <c r="S465" s="186"/>
      <c r="T465" s="186"/>
      <c r="U465" s="186"/>
      <c r="V465" s="186"/>
      <c r="W465" s="186"/>
      <c r="X465" s="186"/>
      <c r="Y465" s="186"/>
      <c r="Z465" s="186"/>
      <c r="AA465" s="186"/>
      <c r="AB465" s="186"/>
      <c r="AC465" s="186"/>
      <c r="AD465" s="186"/>
      <c r="AE465" s="186"/>
      <c r="AF465" s="186"/>
      <c r="AG465" s="186"/>
      <c r="AH465" s="186"/>
      <c r="AI465" s="186"/>
      <c r="AJ465" s="186"/>
      <c r="AK465" s="186"/>
      <c r="AL465" s="186"/>
      <c r="AM465" s="186"/>
      <c r="AN465" s="186"/>
      <c r="AO465" s="186"/>
      <c r="AP465" s="186"/>
    </row>
    <row r="466" spans="1:42">
      <c r="A466" s="204" t="s">
        <v>207</v>
      </c>
      <c r="C466" s="186"/>
      <c r="D466" s="186"/>
      <c r="E466" s="186"/>
      <c r="F466" s="186"/>
      <c r="G466" s="186"/>
      <c r="H466" s="186"/>
      <c r="I466" s="186"/>
      <c r="J466" s="186"/>
      <c r="K466" s="186"/>
      <c r="L466" s="186"/>
      <c r="M466" s="186"/>
      <c r="N466" s="186"/>
      <c r="O466" s="186"/>
      <c r="P466" s="186"/>
      <c r="Q466" s="186"/>
      <c r="R466" s="186"/>
      <c r="S466" s="186"/>
      <c r="T466" s="186"/>
      <c r="U466" s="186"/>
      <c r="V466" s="186"/>
      <c r="W466" s="186"/>
      <c r="X466" s="186"/>
      <c r="Y466" s="186"/>
      <c r="Z466" s="186"/>
      <c r="AA466" s="186"/>
      <c r="AB466" s="186"/>
      <c r="AC466" s="186"/>
      <c r="AD466" s="186"/>
      <c r="AE466" s="186"/>
      <c r="AF466" s="186"/>
      <c r="AG466" s="186"/>
      <c r="AH466" s="186"/>
      <c r="AI466" s="186"/>
      <c r="AJ466" s="186"/>
      <c r="AK466" s="186"/>
      <c r="AL466" s="186"/>
      <c r="AM466" s="186"/>
      <c r="AN466" s="186"/>
      <c r="AO466" s="186"/>
      <c r="AP466" s="186"/>
    </row>
    <row r="467" spans="1:42">
      <c r="A467" s="118">
        <v>1</v>
      </c>
      <c r="C467" s="186">
        <f>C333</f>
        <v>0</v>
      </c>
      <c r="D467" s="186">
        <f t="shared" ref="D467:AP473" si="235">D333</f>
        <v>0</v>
      </c>
      <c r="E467" s="186">
        <f t="shared" si="235"/>
        <v>0</v>
      </c>
      <c r="F467" s="186">
        <f t="shared" si="235"/>
        <v>0</v>
      </c>
      <c r="G467" s="186">
        <f t="shared" si="235"/>
        <v>0</v>
      </c>
      <c r="H467" s="186">
        <f t="shared" si="235"/>
        <v>0</v>
      </c>
      <c r="I467" s="186">
        <f t="shared" si="235"/>
        <v>0</v>
      </c>
      <c r="J467" s="186">
        <f t="shared" si="235"/>
        <v>0</v>
      </c>
      <c r="K467" s="186">
        <f t="shared" si="235"/>
        <v>0</v>
      </c>
      <c r="L467" s="186">
        <f t="shared" si="235"/>
        <v>0</v>
      </c>
      <c r="M467" s="186">
        <f t="shared" si="235"/>
        <v>0</v>
      </c>
      <c r="N467" s="186">
        <f t="shared" si="235"/>
        <v>1</v>
      </c>
      <c r="O467" s="186">
        <f t="shared" si="235"/>
        <v>2</v>
      </c>
      <c r="P467" s="186">
        <f t="shared" si="235"/>
        <v>3</v>
      </c>
      <c r="Q467" s="186">
        <f t="shared" si="235"/>
        <v>4</v>
      </c>
      <c r="R467" s="186">
        <f t="shared" si="235"/>
        <v>5</v>
      </c>
      <c r="S467" s="186">
        <f t="shared" si="235"/>
        <v>6</v>
      </c>
      <c r="T467" s="186">
        <f t="shared" si="235"/>
        <v>7</v>
      </c>
      <c r="U467" s="186">
        <f t="shared" si="235"/>
        <v>8</v>
      </c>
      <c r="V467" s="186">
        <f t="shared" si="235"/>
        <v>9</v>
      </c>
      <c r="W467" s="186">
        <f t="shared" si="235"/>
        <v>10</v>
      </c>
      <c r="X467" s="186">
        <f t="shared" si="235"/>
        <v>11</v>
      </c>
      <c r="Y467" s="186">
        <f t="shared" si="235"/>
        <v>12</v>
      </c>
      <c r="Z467" s="186">
        <f t="shared" si="235"/>
        <v>13</v>
      </c>
      <c r="AA467" s="186">
        <f t="shared" si="235"/>
        <v>14</v>
      </c>
      <c r="AB467" s="186">
        <f t="shared" si="235"/>
        <v>15</v>
      </c>
      <c r="AC467" s="186">
        <f t="shared" si="235"/>
        <v>16</v>
      </c>
      <c r="AD467" s="186">
        <f t="shared" si="235"/>
        <v>17</v>
      </c>
      <c r="AE467" s="186">
        <f t="shared" si="235"/>
        <v>18</v>
      </c>
      <c r="AF467" s="186">
        <f t="shared" si="235"/>
        <v>19</v>
      </c>
      <c r="AG467" s="186">
        <f t="shared" si="235"/>
        <v>0</v>
      </c>
      <c r="AH467" s="186">
        <f t="shared" si="235"/>
        <v>0</v>
      </c>
      <c r="AI467" s="186">
        <f t="shared" si="235"/>
        <v>0</v>
      </c>
      <c r="AJ467" s="186">
        <f t="shared" si="235"/>
        <v>0</v>
      </c>
      <c r="AK467" s="186">
        <f t="shared" si="235"/>
        <v>0</v>
      </c>
      <c r="AL467" s="186">
        <f t="shared" si="235"/>
        <v>0</v>
      </c>
      <c r="AM467" s="186">
        <f t="shared" si="235"/>
        <v>0</v>
      </c>
      <c r="AN467" s="186">
        <f t="shared" si="235"/>
        <v>0</v>
      </c>
      <c r="AO467" s="186">
        <f t="shared" si="235"/>
        <v>0</v>
      </c>
      <c r="AP467" s="186">
        <f t="shared" si="235"/>
        <v>0</v>
      </c>
    </row>
    <row r="468" spans="1:42">
      <c r="A468" s="118">
        <f>A467+1</f>
        <v>2</v>
      </c>
      <c r="C468" s="186">
        <f t="shared" ref="C468:R476" si="236">C334</f>
        <v>0</v>
      </c>
      <c r="D468" s="186">
        <f t="shared" si="235"/>
        <v>0</v>
      </c>
      <c r="E468" s="186">
        <f t="shared" si="235"/>
        <v>0</v>
      </c>
      <c r="F468" s="186">
        <f t="shared" si="235"/>
        <v>0</v>
      </c>
      <c r="G468" s="186">
        <f t="shared" si="235"/>
        <v>0</v>
      </c>
      <c r="H468" s="186">
        <f t="shared" si="235"/>
        <v>0</v>
      </c>
      <c r="I468" s="186">
        <f t="shared" si="235"/>
        <v>0</v>
      </c>
      <c r="J468" s="186">
        <f t="shared" si="235"/>
        <v>0</v>
      </c>
      <c r="K468" s="186">
        <f t="shared" si="235"/>
        <v>0</v>
      </c>
      <c r="L468" s="186">
        <f t="shared" si="235"/>
        <v>0</v>
      </c>
      <c r="M468" s="186">
        <f t="shared" si="235"/>
        <v>0</v>
      </c>
      <c r="N468" s="186">
        <f t="shared" si="235"/>
        <v>0</v>
      </c>
      <c r="O468" s="186">
        <f t="shared" si="235"/>
        <v>0</v>
      </c>
      <c r="P468" s="186">
        <f t="shared" si="235"/>
        <v>0</v>
      </c>
      <c r="Q468" s="186">
        <f t="shared" si="235"/>
        <v>0</v>
      </c>
      <c r="R468" s="186">
        <f t="shared" si="235"/>
        <v>0</v>
      </c>
      <c r="S468" s="186">
        <f t="shared" si="235"/>
        <v>0</v>
      </c>
      <c r="T468" s="186">
        <f t="shared" si="235"/>
        <v>0</v>
      </c>
      <c r="U468" s="186">
        <f t="shared" si="235"/>
        <v>0</v>
      </c>
      <c r="V468" s="186">
        <f t="shared" si="235"/>
        <v>0</v>
      </c>
      <c r="W468" s="186">
        <f t="shared" si="235"/>
        <v>0</v>
      </c>
      <c r="X468" s="186">
        <f t="shared" si="235"/>
        <v>0</v>
      </c>
      <c r="Y468" s="186">
        <f t="shared" si="235"/>
        <v>0</v>
      </c>
      <c r="Z468" s="186">
        <f t="shared" si="235"/>
        <v>1</v>
      </c>
      <c r="AA468" s="186">
        <f t="shared" si="235"/>
        <v>2</v>
      </c>
      <c r="AB468" s="186">
        <f t="shared" si="235"/>
        <v>3</v>
      </c>
      <c r="AC468" s="186">
        <f t="shared" si="235"/>
        <v>4</v>
      </c>
      <c r="AD468" s="186">
        <f t="shared" si="235"/>
        <v>5</v>
      </c>
      <c r="AE468" s="186">
        <f t="shared" si="235"/>
        <v>6</v>
      </c>
      <c r="AF468" s="186">
        <f t="shared" si="235"/>
        <v>7</v>
      </c>
      <c r="AG468" s="186">
        <f t="shared" si="235"/>
        <v>0</v>
      </c>
      <c r="AH468" s="186">
        <f t="shared" si="235"/>
        <v>0</v>
      </c>
      <c r="AI468" s="186">
        <f t="shared" si="235"/>
        <v>0</v>
      </c>
      <c r="AJ468" s="186">
        <f t="shared" si="235"/>
        <v>0</v>
      </c>
      <c r="AK468" s="186">
        <f t="shared" si="235"/>
        <v>0</v>
      </c>
      <c r="AL468" s="186">
        <f t="shared" si="235"/>
        <v>0</v>
      </c>
      <c r="AM468" s="186">
        <f t="shared" si="235"/>
        <v>0</v>
      </c>
      <c r="AN468" s="186">
        <f t="shared" si="235"/>
        <v>0</v>
      </c>
      <c r="AO468" s="186">
        <f t="shared" si="235"/>
        <v>0</v>
      </c>
      <c r="AP468" s="186">
        <f t="shared" si="235"/>
        <v>0</v>
      </c>
    </row>
    <row r="469" spans="1:42">
      <c r="A469" s="118">
        <f t="shared" ref="A469:A474" si="237">A468+1</f>
        <v>3</v>
      </c>
      <c r="C469" s="186">
        <f t="shared" si="236"/>
        <v>0</v>
      </c>
      <c r="D469" s="186">
        <f t="shared" si="235"/>
        <v>0</v>
      </c>
      <c r="E469" s="186">
        <f t="shared" si="235"/>
        <v>0</v>
      </c>
      <c r="F469" s="186">
        <f t="shared" si="235"/>
        <v>0</v>
      </c>
      <c r="G469" s="186">
        <f t="shared" si="235"/>
        <v>0</v>
      </c>
      <c r="H469" s="186">
        <f t="shared" si="235"/>
        <v>0</v>
      </c>
      <c r="I469" s="186">
        <f t="shared" si="235"/>
        <v>0</v>
      </c>
      <c r="J469" s="186">
        <f t="shared" si="235"/>
        <v>0</v>
      </c>
      <c r="K469" s="186">
        <f t="shared" si="235"/>
        <v>0</v>
      </c>
      <c r="L469" s="186">
        <f t="shared" si="235"/>
        <v>0</v>
      </c>
      <c r="M469" s="186">
        <f t="shared" si="235"/>
        <v>0</v>
      </c>
      <c r="N469" s="186">
        <f t="shared" si="235"/>
        <v>0</v>
      </c>
      <c r="O469" s="186">
        <f t="shared" si="235"/>
        <v>0</v>
      </c>
      <c r="P469" s="186">
        <f t="shared" si="235"/>
        <v>0</v>
      </c>
      <c r="Q469" s="186">
        <f t="shared" si="235"/>
        <v>0</v>
      </c>
      <c r="R469" s="186">
        <f t="shared" si="235"/>
        <v>0</v>
      </c>
      <c r="S469" s="186">
        <f t="shared" si="235"/>
        <v>0</v>
      </c>
      <c r="T469" s="186">
        <f t="shared" si="235"/>
        <v>0</v>
      </c>
      <c r="U469" s="186">
        <f t="shared" si="235"/>
        <v>0</v>
      </c>
      <c r="V469" s="186">
        <f t="shared" si="235"/>
        <v>0</v>
      </c>
      <c r="W469" s="186">
        <f t="shared" si="235"/>
        <v>0</v>
      </c>
      <c r="X469" s="186">
        <f t="shared" si="235"/>
        <v>0</v>
      </c>
      <c r="Y469" s="186">
        <f t="shared" si="235"/>
        <v>0</v>
      </c>
      <c r="Z469" s="186">
        <f t="shared" si="235"/>
        <v>0</v>
      </c>
      <c r="AA469" s="186">
        <f t="shared" si="235"/>
        <v>0</v>
      </c>
      <c r="AB469" s="186">
        <f t="shared" si="235"/>
        <v>0</v>
      </c>
      <c r="AC469" s="186">
        <f t="shared" si="235"/>
        <v>0</v>
      </c>
      <c r="AD469" s="186">
        <f t="shared" si="235"/>
        <v>0</v>
      </c>
      <c r="AE469" s="186">
        <f t="shared" si="235"/>
        <v>0</v>
      </c>
      <c r="AF469" s="186">
        <f t="shared" si="235"/>
        <v>0</v>
      </c>
      <c r="AG469" s="186">
        <f t="shared" si="235"/>
        <v>0</v>
      </c>
      <c r="AH469" s="186">
        <f t="shared" si="235"/>
        <v>0</v>
      </c>
      <c r="AI469" s="186">
        <f t="shared" si="235"/>
        <v>0</v>
      </c>
      <c r="AJ469" s="186">
        <f t="shared" si="235"/>
        <v>0</v>
      </c>
      <c r="AK469" s="186">
        <f t="shared" si="235"/>
        <v>0</v>
      </c>
      <c r="AL469" s="186">
        <f t="shared" si="235"/>
        <v>0</v>
      </c>
      <c r="AM469" s="186">
        <f t="shared" si="235"/>
        <v>0</v>
      </c>
      <c r="AN469" s="186">
        <f t="shared" si="235"/>
        <v>0</v>
      </c>
      <c r="AO469" s="186">
        <f t="shared" si="235"/>
        <v>0</v>
      </c>
      <c r="AP469" s="186">
        <f t="shared" si="235"/>
        <v>0</v>
      </c>
    </row>
    <row r="470" spans="1:42">
      <c r="A470" s="118">
        <f t="shared" si="237"/>
        <v>4</v>
      </c>
      <c r="C470" s="186">
        <f t="shared" si="236"/>
        <v>0</v>
      </c>
      <c r="D470" s="186">
        <f t="shared" si="235"/>
        <v>0</v>
      </c>
      <c r="E470" s="186">
        <f t="shared" si="235"/>
        <v>0</v>
      </c>
      <c r="F470" s="186">
        <f t="shared" si="235"/>
        <v>0</v>
      </c>
      <c r="G470" s="186">
        <f t="shared" si="235"/>
        <v>0</v>
      </c>
      <c r="H470" s="186">
        <f t="shared" si="235"/>
        <v>0</v>
      </c>
      <c r="I470" s="186">
        <f t="shared" si="235"/>
        <v>0</v>
      </c>
      <c r="J470" s="186">
        <f t="shared" si="235"/>
        <v>0</v>
      </c>
      <c r="K470" s="186">
        <f t="shared" si="235"/>
        <v>0</v>
      </c>
      <c r="L470" s="186">
        <f t="shared" si="235"/>
        <v>0</v>
      </c>
      <c r="M470" s="186">
        <f t="shared" si="235"/>
        <v>0</v>
      </c>
      <c r="N470" s="186">
        <f t="shared" si="235"/>
        <v>0</v>
      </c>
      <c r="O470" s="186">
        <f t="shared" si="235"/>
        <v>0</v>
      </c>
      <c r="P470" s="186">
        <f t="shared" si="235"/>
        <v>0</v>
      </c>
      <c r="Q470" s="186">
        <f t="shared" si="235"/>
        <v>0</v>
      </c>
      <c r="R470" s="186">
        <f t="shared" si="235"/>
        <v>0</v>
      </c>
      <c r="S470" s="186">
        <f t="shared" si="235"/>
        <v>0</v>
      </c>
      <c r="T470" s="186">
        <f t="shared" si="235"/>
        <v>0</v>
      </c>
      <c r="U470" s="186">
        <f t="shared" si="235"/>
        <v>0</v>
      </c>
      <c r="V470" s="186">
        <f t="shared" si="235"/>
        <v>0</v>
      </c>
      <c r="W470" s="186">
        <f t="shared" si="235"/>
        <v>0</v>
      </c>
      <c r="X470" s="186">
        <f t="shared" si="235"/>
        <v>0</v>
      </c>
      <c r="Y470" s="186">
        <f t="shared" si="235"/>
        <v>0</v>
      </c>
      <c r="Z470" s="186">
        <f t="shared" si="235"/>
        <v>0</v>
      </c>
      <c r="AA470" s="186">
        <f t="shared" si="235"/>
        <v>0</v>
      </c>
      <c r="AB470" s="186">
        <f t="shared" si="235"/>
        <v>0</v>
      </c>
      <c r="AC470" s="186">
        <f t="shared" si="235"/>
        <v>0</v>
      </c>
      <c r="AD470" s="186">
        <f t="shared" si="235"/>
        <v>0</v>
      </c>
      <c r="AE470" s="186">
        <f t="shared" si="235"/>
        <v>0</v>
      </c>
      <c r="AF470" s="186">
        <f t="shared" si="235"/>
        <v>0</v>
      </c>
      <c r="AG470" s="186">
        <f t="shared" si="235"/>
        <v>0</v>
      </c>
      <c r="AH470" s="186">
        <f t="shared" si="235"/>
        <v>0</v>
      </c>
      <c r="AI470" s="186">
        <f t="shared" si="235"/>
        <v>0</v>
      </c>
      <c r="AJ470" s="186">
        <f t="shared" si="235"/>
        <v>0</v>
      </c>
      <c r="AK470" s="186">
        <f t="shared" si="235"/>
        <v>0</v>
      </c>
      <c r="AL470" s="186">
        <f t="shared" si="235"/>
        <v>0</v>
      </c>
      <c r="AM470" s="186">
        <f t="shared" si="235"/>
        <v>0</v>
      </c>
      <c r="AN470" s="186">
        <f t="shared" si="235"/>
        <v>0</v>
      </c>
      <c r="AO470" s="186">
        <f t="shared" si="235"/>
        <v>0</v>
      </c>
      <c r="AP470" s="186">
        <f t="shared" si="235"/>
        <v>0</v>
      </c>
    </row>
    <row r="471" spans="1:42">
      <c r="A471" s="118">
        <f t="shared" si="237"/>
        <v>5</v>
      </c>
      <c r="C471" s="186">
        <f t="shared" si="236"/>
        <v>0</v>
      </c>
      <c r="D471" s="186">
        <f t="shared" si="235"/>
        <v>0</v>
      </c>
      <c r="E471" s="186">
        <f t="shared" si="235"/>
        <v>0</v>
      </c>
      <c r="F471" s="186">
        <f t="shared" si="235"/>
        <v>0</v>
      </c>
      <c r="G471" s="186">
        <f t="shared" si="235"/>
        <v>0</v>
      </c>
      <c r="H471" s="186">
        <f t="shared" si="235"/>
        <v>0</v>
      </c>
      <c r="I471" s="186">
        <f t="shared" si="235"/>
        <v>0</v>
      </c>
      <c r="J471" s="186">
        <f t="shared" si="235"/>
        <v>0</v>
      </c>
      <c r="K471" s="186">
        <f t="shared" si="235"/>
        <v>0</v>
      </c>
      <c r="L471" s="186">
        <f t="shared" si="235"/>
        <v>0</v>
      </c>
      <c r="M471" s="186">
        <f t="shared" si="235"/>
        <v>0</v>
      </c>
      <c r="N471" s="186">
        <f t="shared" si="235"/>
        <v>0</v>
      </c>
      <c r="O471" s="186">
        <f t="shared" si="235"/>
        <v>0</v>
      </c>
      <c r="P471" s="186">
        <f t="shared" si="235"/>
        <v>0</v>
      </c>
      <c r="Q471" s="186">
        <f t="shared" si="235"/>
        <v>0</v>
      </c>
      <c r="R471" s="186">
        <f t="shared" si="235"/>
        <v>0</v>
      </c>
      <c r="S471" s="186">
        <f t="shared" si="235"/>
        <v>0</v>
      </c>
      <c r="T471" s="186">
        <f t="shared" si="235"/>
        <v>0</v>
      </c>
      <c r="U471" s="186">
        <f t="shared" si="235"/>
        <v>0</v>
      </c>
      <c r="V471" s="186">
        <f t="shared" si="235"/>
        <v>0</v>
      </c>
      <c r="W471" s="186">
        <f t="shared" si="235"/>
        <v>0</v>
      </c>
      <c r="X471" s="186">
        <f t="shared" si="235"/>
        <v>0</v>
      </c>
      <c r="Y471" s="186">
        <f t="shared" si="235"/>
        <v>0</v>
      </c>
      <c r="Z471" s="186">
        <f t="shared" si="235"/>
        <v>0</v>
      </c>
      <c r="AA471" s="186">
        <f t="shared" si="235"/>
        <v>0</v>
      </c>
      <c r="AB471" s="186">
        <f t="shared" si="235"/>
        <v>0</v>
      </c>
      <c r="AC471" s="186">
        <f t="shared" si="235"/>
        <v>0</v>
      </c>
      <c r="AD471" s="186">
        <f t="shared" si="235"/>
        <v>0</v>
      </c>
      <c r="AE471" s="186">
        <f t="shared" si="235"/>
        <v>0</v>
      </c>
      <c r="AF471" s="186">
        <f t="shared" si="235"/>
        <v>0</v>
      </c>
      <c r="AG471" s="186">
        <f t="shared" si="235"/>
        <v>0</v>
      </c>
      <c r="AH471" s="186">
        <f t="shared" si="235"/>
        <v>0</v>
      </c>
      <c r="AI471" s="186">
        <f t="shared" si="235"/>
        <v>0</v>
      </c>
      <c r="AJ471" s="186">
        <f t="shared" si="235"/>
        <v>0</v>
      </c>
      <c r="AK471" s="186">
        <f t="shared" si="235"/>
        <v>0</v>
      </c>
      <c r="AL471" s="186">
        <f t="shared" si="235"/>
        <v>0</v>
      </c>
      <c r="AM471" s="186">
        <f t="shared" si="235"/>
        <v>0</v>
      </c>
      <c r="AN471" s="186">
        <f t="shared" si="235"/>
        <v>0</v>
      </c>
      <c r="AO471" s="186">
        <f t="shared" si="235"/>
        <v>0</v>
      </c>
      <c r="AP471" s="186">
        <f t="shared" si="235"/>
        <v>0</v>
      </c>
    </row>
    <row r="472" spans="1:42">
      <c r="A472" s="118">
        <f t="shared" si="237"/>
        <v>6</v>
      </c>
      <c r="C472" s="186">
        <f t="shared" si="236"/>
        <v>0</v>
      </c>
      <c r="D472" s="186">
        <f t="shared" si="235"/>
        <v>0</v>
      </c>
      <c r="E472" s="186">
        <f t="shared" si="235"/>
        <v>0</v>
      </c>
      <c r="F472" s="186">
        <f t="shared" si="235"/>
        <v>0</v>
      </c>
      <c r="G472" s="186">
        <f t="shared" si="235"/>
        <v>0</v>
      </c>
      <c r="H472" s="186">
        <f t="shared" si="235"/>
        <v>0</v>
      </c>
      <c r="I472" s="186">
        <f t="shared" si="235"/>
        <v>0</v>
      </c>
      <c r="J472" s="186">
        <f t="shared" si="235"/>
        <v>0</v>
      </c>
      <c r="K472" s="186">
        <f t="shared" si="235"/>
        <v>0</v>
      </c>
      <c r="L472" s="186">
        <f t="shared" si="235"/>
        <v>0</v>
      </c>
      <c r="M472" s="186">
        <f t="shared" si="235"/>
        <v>0</v>
      </c>
      <c r="N472" s="186">
        <f t="shared" si="235"/>
        <v>0</v>
      </c>
      <c r="O472" s="186">
        <f t="shared" si="235"/>
        <v>0</v>
      </c>
      <c r="P472" s="186">
        <f t="shared" si="235"/>
        <v>0</v>
      </c>
      <c r="Q472" s="186">
        <f t="shared" si="235"/>
        <v>0</v>
      </c>
      <c r="R472" s="186">
        <f t="shared" si="235"/>
        <v>0</v>
      </c>
      <c r="S472" s="186">
        <f t="shared" si="235"/>
        <v>0</v>
      </c>
      <c r="T472" s="186">
        <f t="shared" si="235"/>
        <v>0</v>
      </c>
      <c r="U472" s="186">
        <f t="shared" si="235"/>
        <v>0</v>
      </c>
      <c r="V472" s="186">
        <f t="shared" si="235"/>
        <v>0</v>
      </c>
      <c r="W472" s="186">
        <f t="shared" si="235"/>
        <v>0</v>
      </c>
      <c r="X472" s="186">
        <f t="shared" si="235"/>
        <v>0</v>
      </c>
      <c r="Y472" s="186">
        <f t="shared" si="235"/>
        <v>0</v>
      </c>
      <c r="Z472" s="186">
        <f t="shared" si="235"/>
        <v>0</v>
      </c>
      <c r="AA472" s="186">
        <f t="shared" si="235"/>
        <v>0</v>
      </c>
      <c r="AB472" s="186">
        <f t="shared" si="235"/>
        <v>0</v>
      </c>
      <c r="AC472" s="186">
        <f t="shared" si="235"/>
        <v>0</v>
      </c>
      <c r="AD472" s="186">
        <f t="shared" si="235"/>
        <v>0</v>
      </c>
      <c r="AE472" s="186">
        <f t="shared" si="235"/>
        <v>0</v>
      </c>
      <c r="AF472" s="186">
        <f t="shared" si="235"/>
        <v>0</v>
      </c>
      <c r="AG472" s="186">
        <f t="shared" si="235"/>
        <v>0</v>
      </c>
      <c r="AH472" s="186">
        <f t="shared" si="235"/>
        <v>0</v>
      </c>
      <c r="AI472" s="186">
        <f t="shared" si="235"/>
        <v>0</v>
      </c>
      <c r="AJ472" s="186">
        <f t="shared" si="235"/>
        <v>0</v>
      </c>
      <c r="AK472" s="186">
        <f t="shared" si="235"/>
        <v>0</v>
      </c>
      <c r="AL472" s="186">
        <f t="shared" si="235"/>
        <v>0</v>
      </c>
      <c r="AM472" s="186">
        <f t="shared" si="235"/>
        <v>0</v>
      </c>
      <c r="AN472" s="186">
        <f t="shared" si="235"/>
        <v>0</v>
      </c>
      <c r="AO472" s="186">
        <f t="shared" si="235"/>
        <v>0</v>
      </c>
      <c r="AP472" s="186">
        <f t="shared" si="235"/>
        <v>0</v>
      </c>
    </row>
    <row r="473" spans="1:42">
      <c r="A473" s="118">
        <f t="shared" si="237"/>
        <v>7</v>
      </c>
      <c r="C473" s="186">
        <f t="shared" si="236"/>
        <v>0</v>
      </c>
      <c r="D473" s="186">
        <f t="shared" si="235"/>
        <v>0</v>
      </c>
      <c r="E473" s="186">
        <f t="shared" si="235"/>
        <v>0</v>
      </c>
      <c r="F473" s="186">
        <f t="shared" si="235"/>
        <v>0</v>
      </c>
      <c r="G473" s="186">
        <f t="shared" si="235"/>
        <v>0</v>
      </c>
      <c r="H473" s="186">
        <f t="shared" si="235"/>
        <v>0</v>
      </c>
      <c r="I473" s="186">
        <f t="shared" si="235"/>
        <v>0</v>
      </c>
      <c r="J473" s="186">
        <f t="shared" si="235"/>
        <v>0</v>
      </c>
      <c r="K473" s="186">
        <f t="shared" si="235"/>
        <v>0</v>
      </c>
      <c r="L473" s="186">
        <f t="shared" si="235"/>
        <v>0</v>
      </c>
      <c r="M473" s="186">
        <f t="shared" si="235"/>
        <v>0</v>
      </c>
      <c r="N473" s="186">
        <f t="shared" si="235"/>
        <v>0</v>
      </c>
      <c r="O473" s="186">
        <f t="shared" si="235"/>
        <v>0</v>
      </c>
      <c r="P473" s="186">
        <f t="shared" si="235"/>
        <v>0</v>
      </c>
      <c r="Q473" s="186">
        <f t="shared" si="235"/>
        <v>0</v>
      </c>
      <c r="R473" s="186">
        <f t="shared" si="235"/>
        <v>0</v>
      </c>
      <c r="S473" s="186">
        <f t="shared" si="235"/>
        <v>0</v>
      </c>
      <c r="T473" s="186">
        <f t="shared" si="235"/>
        <v>0</v>
      </c>
      <c r="U473" s="186">
        <f t="shared" si="235"/>
        <v>0</v>
      </c>
      <c r="V473" s="186">
        <f t="shared" si="235"/>
        <v>0</v>
      </c>
      <c r="W473" s="186">
        <f t="shared" si="235"/>
        <v>0</v>
      </c>
      <c r="X473" s="186">
        <f t="shared" si="235"/>
        <v>0</v>
      </c>
      <c r="Y473" s="186">
        <f t="shared" ref="Y473:AP473" si="238">Y339</f>
        <v>0</v>
      </c>
      <c r="Z473" s="186">
        <f t="shared" si="238"/>
        <v>0</v>
      </c>
      <c r="AA473" s="186">
        <f t="shared" si="238"/>
        <v>0</v>
      </c>
      <c r="AB473" s="186">
        <f t="shared" si="238"/>
        <v>0</v>
      </c>
      <c r="AC473" s="186">
        <f t="shared" si="238"/>
        <v>0</v>
      </c>
      <c r="AD473" s="186">
        <f t="shared" si="238"/>
        <v>0</v>
      </c>
      <c r="AE473" s="186">
        <f t="shared" si="238"/>
        <v>0</v>
      </c>
      <c r="AF473" s="186">
        <f t="shared" si="238"/>
        <v>0</v>
      </c>
      <c r="AG473" s="186">
        <f t="shared" si="238"/>
        <v>0</v>
      </c>
      <c r="AH473" s="186">
        <f t="shared" si="238"/>
        <v>0</v>
      </c>
      <c r="AI473" s="186">
        <f t="shared" si="238"/>
        <v>0</v>
      </c>
      <c r="AJ473" s="186">
        <f t="shared" si="238"/>
        <v>0</v>
      </c>
      <c r="AK473" s="186">
        <f t="shared" si="238"/>
        <v>0</v>
      </c>
      <c r="AL473" s="186">
        <f t="shared" si="238"/>
        <v>0</v>
      </c>
      <c r="AM473" s="186">
        <f t="shared" si="238"/>
        <v>0</v>
      </c>
      <c r="AN473" s="186">
        <f t="shared" si="238"/>
        <v>0</v>
      </c>
      <c r="AO473" s="186">
        <f t="shared" si="238"/>
        <v>0</v>
      </c>
      <c r="AP473" s="186">
        <f t="shared" si="238"/>
        <v>0</v>
      </c>
    </row>
    <row r="474" spans="1:42">
      <c r="A474" s="118">
        <f t="shared" si="237"/>
        <v>8</v>
      </c>
      <c r="C474" s="186">
        <f t="shared" si="236"/>
        <v>0</v>
      </c>
      <c r="D474" s="186">
        <f t="shared" si="236"/>
        <v>0</v>
      </c>
      <c r="E474" s="186">
        <f t="shared" si="236"/>
        <v>0</v>
      </c>
      <c r="F474" s="186">
        <f t="shared" si="236"/>
        <v>0</v>
      </c>
      <c r="G474" s="186">
        <f t="shared" si="236"/>
        <v>0</v>
      </c>
      <c r="H474" s="186">
        <f t="shared" si="236"/>
        <v>0</v>
      </c>
      <c r="I474" s="186">
        <f t="shared" si="236"/>
        <v>0</v>
      </c>
      <c r="J474" s="186">
        <f t="shared" si="236"/>
        <v>0</v>
      </c>
      <c r="K474" s="186">
        <f t="shared" si="236"/>
        <v>0</v>
      </c>
      <c r="L474" s="186">
        <f t="shared" si="236"/>
        <v>0</v>
      </c>
      <c r="M474" s="186">
        <f t="shared" si="236"/>
        <v>0</v>
      </c>
      <c r="N474" s="186">
        <f t="shared" si="236"/>
        <v>0</v>
      </c>
      <c r="O474" s="186">
        <f t="shared" si="236"/>
        <v>0</v>
      </c>
      <c r="P474" s="186">
        <f t="shared" si="236"/>
        <v>0</v>
      </c>
      <c r="Q474" s="186">
        <f t="shared" si="236"/>
        <v>0</v>
      </c>
      <c r="R474" s="186">
        <f t="shared" si="236"/>
        <v>0</v>
      </c>
      <c r="S474" s="186">
        <f t="shared" ref="S474:AP476" si="239">S340</f>
        <v>0</v>
      </c>
      <c r="T474" s="186">
        <f t="shared" si="239"/>
        <v>0</v>
      </c>
      <c r="U474" s="186">
        <f t="shared" si="239"/>
        <v>0</v>
      </c>
      <c r="V474" s="186">
        <f t="shared" si="239"/>
        <v>0</v>
      </c>
      <c r="W474" s="186">
        <f t="shared" si="239"/>
        <v>0</v>
      </c>
      <c r="X474" s="186">
        <f t="shared" si="239"/>
        <v>0</v>
      </c>
      <c r="Y474" s="186">
        <f t="shared" si="239"/>
        <v>0</v>
      </c>
      <c r="Z474" s="186">
        <f t="shared" si="239"/>
        <v>0</v>
      </c>
      <c r="AA474" s="186">
        <f t="shared" si="239"/>
        <v>0</v>
      </c>
      <c r="AB474" s="186">
        <f t="shared" si="239"/>
        <v>0</v>
      </c>
      <c r="AC474" s="186">
        <f t="shared" si="239"/>
        <v>0</v>
      </c>
      <c r="AD474" s="186">
        <f t="shared" si="239"/>
        <v>0</v>
      </c>
      <c r="AE474" s="186">
        <f t="shared" si="239"/>
        <v>0</v>
      </c>
      <c r="AF474" s="186">
        <f t="shared" si="239"/>
        <v>0</v>
      </c>
      <c r="AG474" s="186">
        <f t="shared" si="239"/>
        <v>0</v>
      </c>
      <c r="AH474" s="186">
        <f t="shared" si="239"/>
        <v>0</v>
      </c>
      <c r="AI474" s="186">
        <f t="shared" si="239"/>
        <v>0</v>
      </c>
      <c r="AJ474" s="186">
        <f t="shared" si="239"/>
        <v>0</v>
      </c>
      <c r="AK474" s="186">
        <f t="shared" si="239"/>
        <v>0</v>
      </c>
      <c r="AL474" s="186">
        <f t="shared" si="239"/>
        <v>0</v>
      </c>
      <c r="AM474" s="186">
        <f t="shared" si="239"/>
        <v>0</v>
      </c>
      <c r="AN474" s="186">
        <f t="shared" si="239"/>
        <v>0</v>
      </c>
      <c r="AO474" s="186">
        <f t="shared" si="239"/>
        <v>0</v>
      </c>
      <c r="AP474" s="186">
        <f t="shared" si="239"/>
        <v>0</v>
      </c>
    </row>
    <row r="475" spans="1:42">
      <c r="A475" s="118">
        <f>A474+1</f>
        <v>9</v>
      </c>
      <c r="C475" s="186">
        <f t="shared" si="236"/>
        <v>0</v>
      </c>
      <c r="D475" s="186">
        <f t="shared" si="236"/>
        <v>0</v>
      </c>
      <c r="E475" s="186">
        <f t="shared" si="236"/>
        <v>0</v>
      </c>
      <c r="F475" s="186">
        <f t="shared" si="236"/>
        <v>0</v>
      </c>
      <c r="G475" s="186">
        <f t="shared" si="236"/>
        <v>0</v>
      </c>
      <c r="H475" s="186">
        <f t="shared" si="236"/>
        <v>0</v>
      </c>
      <c r="I475" s="186">
        <f t="shared" si="236"/>
        <v>0</v>
      </c>
      <c r="J475" s="186">
        <f t="shared" si="236"/>
        <v>0</v>
      </c>
      <c r="K475" s="186">
        <f t="shared" si="236"/>
        <v>0</v>
      </c>
      <c r="L475" s="186">
        <f t="shared" si="236"/>
        <v>0</v>
      </c>
      <c r="M475" s="186">
        <f t="shared" si="236"/>
        <v>0</v>
      </c>
      <c r="N475" s="186">
        <f t="shared" si="236"/>
        <v>0</v>
      </c>
      <c r="O475" s="186">
        <f t="shared" si="236"/>
        <v>0</v>
      </c>
      <c r="P475" s="186">
        <f t="shared" si="236"/>
        <v>0</v>
      </c>
      <c r="Q475" s="186">
        <f t="shared" si="236"/>
        <v>0</v>
      </c>
      <c r="R475" s="186">
        <f t="shared" si="236"/>
        <v>0</v>
      </c>
      <c r="S475" s="186">
        <f t="shared" si="239"/>
        <v>0</v>
      </c>
      <c r="T475" s="186">
        <f t="shared" si="239"/>
        <v>0</v>
      </c>
      <c r="U475" s="186">
        <f t="shared" si="239"/>
        <v>0</v>
      </c>
      <c r="V475" s="186">
        <f t="shared" si="239"/>
        <v>0</v>
      </c>
      <c r="W475" s="186">
        <f t="shared" si="239"/>
        <v>0</v>
      </c>
      <c r="X475" s="186">
        <f t="shared" si="239"/>
        <v>0</v>
      </c>
      <c r="Y475" s="186">
        <f t="shared" si="239"/>
        <v>0</v>
      </c>
      <c r="Z475" s="186">
        <f t="shared" si="239"/>
        <v>0</v>
      </c>
      <c r="AA475" s="186">
        <f t="shared" si="239"/>
        <v>0</v>
      </c>
      <c r="AB475" s="186">
        <f t="shared" si="239"/>
        <v>0</v>
      </c>
      <c r="AC475" s="186">
        <f t="shared" si="239"/>
        <v>0</v>
      </c>
      <c r="AD475" s="186">
        <f t="shared" si="239"/>
        <v>0</v>
      </c>
      <c r="AE475" s="186">
        <f t="shared" si="239"/>
        <v>0</v>
      </c>
      <c r="AF475" s="186">
        <f t="shared" si="239"/>
        <v>0</v>
      </c>
      <c r="AG475" s="186">
        <f t="shared" si="239"/>
        <v>0</v>
      </c>
      <c r="AH475" s="186">
        <f t="shared" si="239"/>
        <v>0</v>
      </c>
      <c r="AI475" s="186">
        <f t="shared" si="239"/>
        <v>0</v>
      </c>
      <c r="AJ475" s="186">
        <f t="shared" si="239"/>
        <v>0</v>
      </c>
      <c r="AK475" s="186">
        <f t="shared" si="239"/>
        <v>0</v>
      </c>
      <c r="AL475" s="186">
        <f t="shared" si="239"/>
        <v>0</v>
      </c>
      <c r="AM475" s="186">
        <f t="shared" si="239"/>
        <v>0</v>
      </c>
      <c r="AN475" s="186">
        <f t="shared" si="239"/>
        <v>0</v>
      </c>
      <c r="AO475" s="186">
        <f t="shared" si="239"/>
        <v>0</v>
      </c>
      <c r="AP475" s="186">
        <f t="shared" si="239"/>
        <v>0</v>
      </c>
    </row>
    <row r="476" spans="1:42">
      <c r="A476" s="118">
        <f t="shared" ref="A476" si="240">A475+1</f>
        <v>10</v>
      </c>
      <c r="C476" s="186">
        <f t="shared" si="236"/>
        <v>0</v>
      </c>
      <c r="D476" s="186">
        <f t="shared" si="236"/>
        <v>0</v>
      </c>
      <c r="E476" s="186">
        <f t="shared" si="236"/>
        <v>0</v>
      </c>
      <c r="F476" s="186">
        <f t="shared" si="236"/>
        <v>0</v>
      </c>
      <c r="G476" s="186">
        <f t="shared" si="236"/>
        <v>0</v>
      </c>
      <c r="H476" s="186">
        <f t="shared" si="236"/>
        <v>0</v>
      </c>
      <c r="I476" s="186">
        <f t="shared" si="236"/>
        <v>0</v>
      </c>
      <c r="J476" s="186">
        <f t="shared" si="236"/>
        <v>0</v>
      </c>
      <c r="K476" s="186">
        <f t="shared" si="236"/>
        <v>0</v>
      </c>
      <c r="L476" s="186">
        <f t="shared" si="236"/>
        <v>0</v>
      </c>
      <c r="M476" s="186">
        <f t="shared" si="236"/>
        <v>0</v>
      </c>
      <c r="N476" s="186">
        <f t="shared" si="236"/>
        <v>0</v>
      </c>
      <c r="O476" s="186">
        <f t="shared" si="236"/>
        <v>0</v>
      </c>
      <c r="P476" s="186">
        <f t="shared" si="236"/>
        <v>0</v>
      </c>
      <c r="Q476" s="186">
        <f t="shared" si="236"/>
        <v>0</v>
      </c>
      <c r="R476" s="186">
        <f t="shared" si="236"/>
        <v>0</v>
      </c>
      <c r="S476" s="186">
        <f t="shared" si="239"/>
        <v>0</v>
      </c>
      <c r="T476" s="186">
        <f t="shared" si="239"/>
        <v>0</v>
      </c>
      <c r="U476" s="186">
        <f t="shared" si="239"/>
        <v>0</v>
      </c>
      <c r="V476" s="186">
        <f t="shared" si="239"/>
        <v>0</v>
      </c>
      <c r="W476" s="186">
        <f t="shared" si="239"/>
        <v>0</v>
      </c>
      <c r="X476" s="186">
        <f t="shared" si="239"/>
        <v>0</v>
      </c>
      <c r="Y476" s="186">
        <f t="shared" si="239"/>
        <v>0</v>
      </c>
      <c r="Z476" s="186">
        <f t="shared" si="239"/>
        <v>0</v>
      </c>
      <c r="AA476" s="186">
        <f t="shared" si="239"/>
        <v>0</v>
      </c>
      <c r="AB476" s="186">
        <f t="shared" si="239"/>
        <v>0</v>
      </c>
      <c r="AC476" s="186">
        <f t="shared" si="239"/>
        <v>0</v>
      </c>
      <c r="AD476" s="186">
        <f t="shared" si="239"/>
        <v>0</v>
      </c>
      <c r="AE476" s="186">
        <f t="shared" si="239"/>
        <v>0</v>
      </c>
      <c r="AF476" s="186">
        <f t="shared" si="239"/>
        <v>0</v>
      </c>
      <c r="AG476" s="186">
        <f t="shared" si="239"/>
        <v>0</v>
      </c>
      <c r="AH476" s="186">
        <f t="shared" si="239"/>
        <v>0</v>
      </c>
      <c r="AI476" s="186">
        <f t="shared" si="239"/>
        <v>0</v>
      </c>
      <c r="AJ476" s="186">
        <f t="shared" si="239"/>
        <v>0</v>
      </c>
      <c r="AK476" s="186">
        <f t="shared" si="239"/>
        <v>0</v>
      </c>
      <c r="AL476" s="186">
        <f t="shared" si="239"/>
        <v>0</v>
      </c>
      <c r="AM476" s="186">
        <f t="shared" si="239"/>
        <v>0</v>
      </c>
      <c r="AN476" s="186">
        <f t="shared" si="239"/>
        <v>0</v>
      </c>
      <c r="AO476" s="186">
        <f t="shared" si="239"/>
        <v>0</v>
      </c>
      <c r="AP476" s="186">
        <f t="shared" si="239"/>
        <v>0</v>
      </c>
    </row>
    <row r="477" spans="1:42">
      <c r="A477" s="204"/>
      <c r="C477" s="186"/>
      <c r="D477" s="186"/>
      <c r="E477" s="186"/>
      <c r="F477" s="186"/>
      <c r="G477" s="186"/>
      <c r="H477" s="186"/>
      <c r="I477" s="186"/>
      <c r="J477" s="186"/>
      <c r="K477" s="186"/>
      <c r="L477" s="186"/>
      <c r="M477" s="186"/>
      <c r="N477" s="186"/>
      <c r="O477" s="186"/>
      <c r="P477" s="186"/>
      <c r="Q477" s="186"/>
      <c r="R477" s="186"/>
      <c r="S477" s="186"/>
      <c r="T477" s="186"/>
      <c r="U477" s="186"/>
      <c r="V477" s="186"/>
      <c r="W477" s="186"/>
      <c r="X477" s="186"/>
      <c r="Y477" s="186"/>
      <c r="Z477" s="186"/>
      <c r="AA477" s="186"/>
      <c r="AB477" s="186"/>
      <c r="AC477" s="186"/>
      <c r="AD477" s="186"/>
      <c r="AE477" s="186"/>
      <c r="AF477" s="186"/>
      <c r="AG477" s="186"/>
      <c r="AH477" s="186"/>
      <c r="AI477" s="186"/>
      <c r="AJ477" s="186"/>
      <c r="AK477" s="186"/>
      <c r="AL477" s="186"/>
      <c r="AM477" s="186"/>
      <c r="AN477" s="186"/>
      <c r="AO477" s="186"/>
      <c r="AP477" s="186"/>
    </row>
    <row r="478" spans="1:42">
      <c r="A478" s="204" t="s">
        <v>211</v>
      </c>
      <c r="C478" s="186"/>
      <c r="D478" s="186"/>
      <c r="E478" s="186"/>
      <c r="F478" s="186"/>
      <c r="G478" s="186"/>
      <c r="H478" s="186"/>
      <c r="I478" s="186"/>
      <c r="J478" s="186"/>
      <c r="K478" s="186"/>
      <c r="L478" s="186"/>
      <c r="M478" s="186"/>
      <c r="N478" s="186"/>
      <c r="O478" s="186"/>
      <c r="P478" s="186"/>
      <c r="Q478" s="186"/>
      <c r="R478" s="186"/>
      <c r="S478" s="186"/>
      <c r="T478" s="186"/>
      <c r="U478" s="186"/>
      <c r="V478" s="186"/>
      <c r="W478" s="186"/>
      <c r="X478" s="186"/>
      <c r="Y478" s="186"/>
      <c r="Z478" s="186"/>
      <c r="AA478" s="186"/>
      <c r="AB478" s="186"/>
      <c r="AC478" s="186"/>
      <c r="AD478" s="186"/>
      <c r="AE478" s="186"/>
      <c r="AF478" s="186"/>
      <c r="AG478" s="186"/>
      <c r="AH478" s="186"/>
      <c r="AI478" s="186"/>
      <c r="AJ478" s="186"/>
      <c r="AK478" s="186"/>
      <c r="AL478" s="186"/>
      <c r="AM478" s="186"/>
      <c r="AN478" s="186"/>
      <c r="AO478" s="186"/>
      <c r="AP478" s="186"/>
    </row>
    <row r="479" spans="1:42">
      <c r="A479" s="118">
        <v>1</v>
      </c>
      <c r="B479" s="196">
        <f t="shared" ref="B479:B488" si="241">SUM(C479:AP479)</f>
        <v>2944872.3435013141</v>
      </c>
      <c r="C479" s="225">
        <f t="shared" ref="C479:AP479" si="242">LOOKUP(C467,$B$462:$AP$462,$B$463:$AP$463)*$B611</f>
        <v>0</v>
      </c>
      <c r="D479" s="186">
        <f t="shared" si="242"/>
        <v>0</v>
      </c>
      <c r="E479" s="186">
        <f t="shared" si="242"/>
        <v>0</v>
      </c>
      <c r="F479" s="186">
        <f t="shared" si="242"/>
        <v>0</v>
      </c>
      <c r="G479" s="186">
        <f t="shared" si="242"/>
        <v>0</v>
      </c>
      <c r="H479" s="186">
        <f t="shared" si="242"/>
        <v>0</v>
      </c>
      <c r="I479" s="186">
        <f t="shared" si="242"/>
        <v>0</v>
      </c>
      <c r="J479" s="186">
        <f t="shared" si="242"/>
        <v>0</v>
      </c>
      <c r="K479" s="186">
        <f t="shared" si="242"/>
        <v>0</v>
      </c>
      <c r="L479" s="186">
        <f t="shared" si="242"/>
        <v>0</v>
      </c>
      <c r="M479" s="186">
        <f t="shared" si="242"/>
        <v>0</v>
      </c>
      <c r="N479" s="186">
        <f t="shared" si="242"/>
        <v>588974.46870026283</v>
      </c>
      <c r="O479" s="186">
        <f t="shared" si="242"/>
        <v>942359.14992042049</v>
      </c>
      <c r="P479" s="186">
        <f t="shared" si="242"/>
        <v>565415.48995225236</v>
      </c>
      <c r="Q479" s="186">
        <f t="shared" si="242"/>
        <v>339249.29397135135</v>
      </c>
      <c r="R479" s="186">
        <f t="shared" si="242"/>
        <v>339249.29397135135</v>
      </c>
      <c r="S479" s="186">
        <f t="shared" si="242"/>
        <v>169624.64698567567</v>
      </c>
      <c r="T479" s="186">
        <f t="shared" si="242"/>
        <v>0</v>
      </c>
      <c r="U479" s="186">
        <f t="shared" si="242"/>
        <v>0</v>
      </c>
      <c r="V479" s="186">
        <f t="shared" si="242"/>
        <v>0</v>
      </c>
      <c r="W479" s="186">
        <f t="shared" si="242"/>
        <v>0</v>
      </c>
      <c r="X479" s="186">
        <f t="shared" si="242"/>
        <v>0</v>
      </c>
      <c r="Y479" s="186">
        <f t="shared" si="242"/>
        <v>0</v>
      </c>
      <c r="Z479" s="186">
        <f t="shared" si="242"/>
        <v>0</v>
      </c>
      <c r="AA479" s="186">
        <f t="shared" si="242"/>
        <v>0</v>
      </c>
      <c r="AB479" s="186">
        <f t="shared" si="242"/>
        <v>0</v>
      </c>
      <c r="AC479" s="186">
        <f t="shared" si="242"/>
        <v>0</v>
      </c>
      <c r="AD479" s="186">
        <f t="shared" si="242"/>
        <v>0</v>
      </c>
      <c r="AE479" s="186">
        <f t="shared" si="242"/>
        <v>0</v>
      </c>
      <c r="AF479" s="186">
        <f t="shared" si="242"/>
        <v>0</v>
      </c>
      <c r="AG479" s="186">
        <f t="shared" si="242"/>
        <v>0</v>
      </c>
      <c r="AH479" s="186">
        <f t="shared" si="242"/>
        <v>0</v>
      </c>
      <c r="AI479" s="186">
        <f t="shared" si="242"/>
        <v>0</v>
      </c>
      <c r="AJ479" s="186">
        <f t="shared" si="242"/>
        <v>0</v>
      </c>
      <c r="AK479" s="186">
        <f t="shared" si="242"/>
        <v>0</v>
      </c>
      <c r="AL479" s="186">
        <f t="shared" si="242"/>
        <v>0</v>
      </c>
      <c r="AM479" s="186">
        <f t="shared" si="242"/>
        <v>0</v>
      </c>
      <c r="AN479" s="186">
        <f t="shared" si="242"/>
        <v>0</v>
      </c>
      <c r="AO479" s="186">
        <f t="shared" si="242"/>
        <v>0</v>
      </c>
      <c r="AP479" s="186">
        <f t="shared" si="242"/>
        <v>0</v>
      </c>
    </row>
    <row r="480" spans="1:42">
      <c r="A480" s="118">
        <f>A479+1</f>
        <v>2</v>
      </c>
      <c r="B480" s="196">
        <f t="shared" si="241"/>
        <v>3520942.886524681</v>
      </c>
      <c r="C480" s="225">
        <f t="shared" ref="C480:AP480" si="243">LOOKUP(C468,$B$462:$AP$462,$B$463:$AP$463)*$B612</f>
        <v>0</v>
      </c>
      <c r="D480" s="186">
        <f t="shared" si="243"/>
        <v>0</v>
      </c>
      <c r="E480" s="186">
        <f t="shared" si="243"/>
        <v>0</v>
      </c>
      <c r="F480" s="186">
        <f t="shared" si="243"/>
        <v>0</v>
      </c>
      <c r="G480" s="186">
        <f t="shared" si="243"/>
        <v>0</v>
      </c>
      <c r="H480" s="186">
        <f t="shared" si="243"/>
        <v>0</v>
      </c>
      <c r="I480" s="186">
        <f t="shared" si="243"/>
        <v>0</v>
      </c>
      <c r="J480" s="186">
        <f t="shared" si="243"/>
        <v>0</v>
      </c>
      <c r="K480" s="186">
        <f t="shared" si="243"/>
        <v>0</v>
      </c>
      <c r="L480" s="186">
        <f t="shared" si="243"/>
        <v>0</v>
      </c>
      <c r="M480" s="186">
        <f t="shared" si="243"/>
        <v>0</v>
      </c>
      <c r="N480" s="186">
        <f t="shared" si="243"/>
        <v>0</v>
      </c>
      <c r="O480" s="186">
        <f t="shared" si="243"/>
        <v>0</v>
      </c>
      <c r="P480" s="186">
        <f t="shared" si="243"/>
        <v>0</v>
      </c>
      <c r="Q480" s="186">
        <f t="shared" si="243"/>
        <v>0</v>
      </c>
      <c r="R480" s="186">
        <f t="shared" si="243"/>
        <v>0</v>
      </c>
      <c r="S480" s="186">
        <f t="shared" si="243"/>
        <v>0</v>
      </c>
      <c r="T480" s="186">
        <f t="shared" si="243"/>
        <v>0</v>
      </c>
      <c r="U480" s="186">
        <f t="shared" si="243"/>
        <v>0</v>
      </c>
      <c r="V480" s="186">
        <f t="shared" si="243"/>
        <v>0</v>
      </c>
      <c r="W480" s="186">
        <f t="shared" si="243"/>
        <v>0</v>
      </c>
      <c r="X480" s="186">
        <f t="shared" si="243"/>
        <v>0</v>
      </c>
      <c r="Y480" s="186">
        <f t="shared" si="243"/>
        <v>0</v>
      </c>
      <c r="Z480" s="186">
        <f t="shared" si="243"/>
        <v>704188.57730493625</v>
      </c>
      <c r="AA480" s="186">
        <f t="shared" si="243"/>
        <v>1126701.7236878979</v>
      </c>
      <c r="AB480" s="186">
        <f t="shared" si="243"/>
        <v>676021.03421273874</v>
      </c>
      <c r="AC480" s="186">
        <f t="shared" si="243"/>
        <v>405612.62052764324</v>
      </c>
      <c r="AD480" s="186">
        <f t="shared" si="243"/>
        <v>405612.62052764324</v>
      </c>
      <c r="AE480" s="186">
        <f t="shared" si="243"/>
        <v>202806.31026382162</v>
      </c>
      <c r="AF480" s="186">
        <f t="shared" si="243"/>
        <v>0</v>
      </c>
      <c r="AG480" s="186">
        <f t="shared" si="243"/>
        <v>0</v>
      </c>
      <c r="AH480" s="186">
        <f t="shared" si="243"/>
        <v>0</v>
      </c>
      <c r="AI480" s="186">
        <f t="shared" si="243"/>
        <v>0</v>
      </c>
      <c r="AJ480" s="186">
        <f t="shared" si="243"/>
        <v>0</v>
      </c>
      <c r="AK480" s="186">
        <f t="shared" si="243"/>
        <v>0</v>
      </c>
      <c r="AL480" s="186">
        <f t="shared" si="243"/>
        <v>0</v>
      </c>
      <c r="AM480" s="186">
        <f t="shared" si="243"/>
        <v>0</v>
      </c>
      <c r="AN480" s="186">
        <f t="shared" si="243"/>
        <v>0</v>
      </c>
      <c r="AO480" s="186">
        <f t="shared" si="243"/>
        <v>0</v>
      </c>
      <c r="AP480" s="186">
        <f t="shared" si="243"/>
        <v>0</v>
      </c>
    </row>
    <row r="481" spans="1:42">
      <c r="A481" s="118">
        <f t="shared" ref="A481:A486" si="244">A480+1</f>
        <v>3</v>
      </c>
      <c r="B481" s="196">
        <f t="shared" si="241"/>
        <v>0</v>
      </c>
      <c r="C481" s="225">
        <f t="shared" ref="C481:AP481" si="245">LOOKUP(C469,$B$462:$AP$462,$B$463:$AP$463)*$B613</f>
        <v>0</v>
      </c>
      <c r="D481" s="186">
        <f t="shared" si="245"/>
        <v>0</v>
      </c>
      <c r="E481" s="186">
        <f t="shared" si="245"/>
        <v>0</v>
      </c>
      <c r="F481" s="186">
        <f t="shared" si="245"/>
        <v>0</v>
      </c>
      <c r="G481" s="186">
        <f t="shared" si="245"/>
        <v>0</v>
      </c>
      <c r="H481" s="186">
        <f t="shared" si="245"/>
        <v>0</v>
      </c>
      <c r="I481" s="186">
        <f t="shared" si="245"/>
        <v>0</v>
      </c>
      <c r="J481" s="186">
        <f t="shared" si="245"/>
        <v>0</v>
      </c>
      <c r="K481" s="186">
        <f t="shared" si="245"/>
        <v>0</v>
      </c>
      <c r="L481" s="186">
        <f t="shared" si="245"/>
        <v>0</v>
      </c>
      <c r="M481" s="186">
        <f t="shared" si="245"/>
        <v>0</v>
      </c>
      <c r="N481" s="186">
        <f t="shared" si="245"/>
        <v>0</v>
      </c>
      <c r="O481" s="186">
        <f t="shared" si="245"/>
        <v>0</v>
      </c>
      <c r="P481" s="186">
        <f t="shared" si="245"/>
        <v>0</v>
      </c>
      <c r="Q481" s="186">
        <f t="shared" si="245"/>
        <v>0</v>
      </c>
      <c r="R481" s="186">
        <f t="shared" si="245"/>
        <v>0</v>
      </c>
      <c r="S481" s="186">
        <f t="shared" si="245"/>
        <v>0</v>
      </c>
      <c r="T481" s="186">
        <f t="shared" si="245"/>
        <v>0</v>
      </c>
      <c r="U481" s="186">
        <f t="shared" si="245"/>
        <v>0</v>
      </c>
      <c r="V481" s="186">
        <f t="shared" si="245"/>
        <v>0</v>
      </c>
      <c r="W481" s="186">
        <f t="shared" si="245"/>
        <v>0</v>
      </c>
      <c r="X481" s="186">
        <f t="shared" si="245"/>
        <v>0</v>
      </c>
      <c r="Y481" s="186">
        <f t="shared" si="245"/>
        <v>0</v>
      </c>
      <c r="Z481" s="186">
        <f t="shared" si="245"/>
        <v>0</v>
      </c>
      <c r="AA481" s="186">
        <f t="shared" si="245"/>
        <v>0</v>
      </c>
      <c r="AB481" s="186">
        <f t="shared" si="245"/>
        <v>0</v>
      </c>
      <c r="AC481" s="186">
        <f t="shared" si="245"/>
        <v>0</v>
      </c>
      <c r="AD481" s="186">
        <f t="shared" si="245"/>
        <v>0</v>
      </c>
      <c r="AE481" s="186">
        <f t="shared" si="245"/>
        <v>0</v>
      </c>
      <c r="AF481" s="186">
        <f t="shared" si="245"/>
        <v>0</v>
      </c>
      <c r="AG481" s="186">
        <f t="shared" si="245"/>
        <v>0</v>
      </c>
      <c r="AH481" s="186">
        <f t="shared" si="245"/>
        <v>0</v>
      </c>
      <c r="AI481" s="186">
        <f t="shared" si="245"/>
        <v>0</v>
      </c>
      <c r="AJ481" s="186">
        <f t="shared" si="245"/>
        <v>0</v>
      </c>
      <c r="AK481" s="186">
        <f t="shared" si="245"/>
        <v>0</v>
      </c>
      <c r="AL481" s="186">
        <f t="shared" si="245"/>
        <v>0</v>
      </c>
      <c r="AM481" s="186">
        <f t="shared" si="245"/>
        <v>0</v>
      </c>
      <c r="AN481" s="186">
        <f t="shared" si="245"/>
        <v>0</v>
      </c>
      <c r="AO481" s="186">
        <f t="shared" si="245"/>
        <v>0</v>
      </c>
      <c r="AP481" s="186">
        <f t="shared" si="245"/>
        <v>0</v>
      </c>
    </row>
    <row r="482" spans="1:42">
      <c r="A482" s="118">
        <f t="shared" si="244"/>
        <v>4</v>
      </c>
      <c r="B482" s="196">
        <f t="shared" si="241"/>
        <v>0</v>
      </c>
      <c r="C482" s="225">
        <f t="shared" ref="C482:AP482" si="246">LOOKUP(C470,$B$462:$AP$462,$B$463:$AP$463)*$B614</f>
        <v>0</v>
      </c>
      <c r="D482" s="186">
        <f t="shared" si="246"/>
        <v>0</v>
      </c>
      <c r="E482" s="186">
        <f t="shared" si="246"/>
        <v>0</v>
      </c>
      <c r="F482" s="186">
        <f t="shared" si="246"/>
        <v>0</v>
      </c>
      <c r="G482" s="186">
        <f t="shared" si="246"/>
        <v>0</v>
      </c>
      <c r="H482" s="186">
        <f t="shared" si="246"/>
        <v>0</v>
      </c>
      <c r="I482" s="186">
        <f t="shared" si="246"/>
        <v>0</v>
      </c>
      <c r="J482" s="186">
        <f t="shared" si="246"/>
        <v>0</v>
      </c>
      <c r="K482" s="186">
        <f t="shared" si="246"/>
        <v>0</v>
      </c>
      <c r="L482" s="186">
        <f t="shared" si="246"/>
        <v>0</v>
      </c>
      <c r="M482" s="186">
        <f t="shared" si="246"/>
        <v>0</v>
      </c>
      <c r="N482" s="186">
        <f t="shared" si="246"/>
        <v>0</v>
      </c>
      <c r="O482" s="186">
        <f t="shared" si="246"/>
        <v>0</v>
      </c>
      <c r="P482" s="186">
        <f t="shared" si="246"/>
        <v>0</v>
      </c>
      <c r="Q482" s="186">
        <f t="shared" si="246"/>
        <v>0</v>
      </c>
      <c r="R482" s="186">
        <f t="shared" si="246"/>
        <v>0</v>
      </c>
      <c r="S482" s="186">
        <f t="shared" si="246"/>
        <v>0</v>
      </c>
      <c r="T482" s="186">
        <f t="shared" si="246"/>
        <v>0</v>
      </c>
      <c r="U482" s="186">
        <f t="shared" si="246"/>
        <v>0</v>
      </c>
      <c r="V482" s="186">
        <f t="shared" si="246"/>
        <v>0</v>
      </c>
      <c r="W482" s="186">
        <f t="shared" si="246"/>
        <v>0</v>
      </c>
      <c r="X482" s="186">
        <f t="shared" si="246"/>
        <v>0</v>
      </c>
      <c r="Y482" s="186">
        <f t="shared" si="246"/>
        <v>0</v>
      </c>
      <c r="Z482" s="186">
        <f t="shared" si="246"/>
        <v>0</v>
      </c>
      <c r="AA482" s="186">
        <f t="shared" si="246"/>
        <v>0</v>
      </c>
      <c r="AB482" s="186">
        <f t="shared" si="246"/>
        <v>0</v>
      </c>
      <c r="AC482" s="186">
        <f t="shared" si="246"/>
        <v>0</v>
      </c>
      <c r="AD482" s="186">
        <f t="shared" si="246"/>
        <v>0</v>
      </c>
      <c r="AE482" s="186">
        <f t="shared" si="246"/>
        <v>0</v>
      </c>
      <c r="AF482" s="186">
        <f t="shared" si="246"/>
        <v>0</v>
      </c>
      <c r="AG482" s="186">
        <f t="shared" si="246"/>
        <v>0</v>
      </c>
      <c r="AH482" s="186">
        <f t="shared" si="246"/>
        <v>0</v>
      </c>
      <c r="AI482" s="186">
        <f t="shared" si="246"/>
        <v>0</v>
      </c>
      <c r="AJ482" s="186">
        <f t="shared" si="246"/>
        <v>0</v>
      </c>
      <c r="AK482" s="186">
        <f t="shared" si="246"/>
        <v>0</v>
      </c>
      <c r="AL482" s="186">
        <f t="shared" si="246"/>
        <v>0</v>
      </c>
      <c r="AM482" s="186">
        <f t="shared" si="246"/>
        <v>0</v>
      </c>
      <c r="AN482" s="186">
        <f t="shared" si="246"/>
        <v>0</v>
      </c>
      <c r="AO482" s="186">
        <f t="shared" si="246"/>
        <v>0</v>
      </c>
      <c r="AP482" s="186">
        <f t="shared" si="246"/>
        <v>0</v>
      </c>
    </row>
    <row r="483" spans="1:42">
      <c r="A483" s="118">
        <f t="shared" si="244"/>
        <v>5</v>
      </c>
      <c r="B483" s="196">
        <f t="shared" si="241"/>
        <v>0</v>
      </c>
      <c r="C483" s="225">
        <f t="shared" ref="C483:AP483" si="247">LOOKUP(C471,$B$462:$AP$462,$B$463:$AP$463)*$B615</f>
        <v>0</v>
      </c>
      <c r="D483" s="186">
        <f t="shared" si="247"/>
        <v>0</v>
      </c>
      <c r="E483" s="186">
        <f t="shared" si="247"/>
        <v>0</v>
      </c>
      <c r="F483" s="186">
        <f t="shared" si="247"/>
        <v>0</v>
      </c>
      <c r="G483" s="186">
        <f t="shared" si="247"/>
        <v>0</v>
      </c>
      <c r="H483" s="186">
        <f t="shared" si="247"/>
        <v>0</v>
      </c>
      <c r="I483" s="186">
        <f t="shared" si="247"/>
        <v>0</v>
      </c>
      <c r="J483" s="186">
        <f t="shared" si="247"/>
        <v>0</v>
      </c>
      <c r="K483" s="186">
        <f t="shared" si="247"/>
        <v>0</v>
      </c>
      <c r="L483" s="186">
        <f t="shared" si="247"/>
        <v>0</v>
      </c>
      <c r="M483" s="186">
        <f t="shared" si="247"/>
        <v>0</v>
      </c>
      <c r="N483" s="186">
        <f t="shared" si="247"/>
        <v>0</v>
      </c>
      <c r="O483" s="186">
        <f t="shared" si="247"/>
        <v>0</v>
      </c>
      <c r="P483" s="186">
        <f t="shared" si="247"/>
        <v>0</v>
      </c>
      <c r="Q483" s="186">
        <f t="shared" si="247"/>
        <v>0</v>
      </c>
      <c r="R483" s="186">
        <f t="shared" si="247"/>
        <v>0</v>
      </c>
      <c r="S483" s="186">
        <f t="shared" si="247"/>
        <v>0</v>
      </c>
      <c r="T483" s="186">
        <f t="shared" si="247"/>
        <v>0</v>
      </c>
      <c r="U483" s="186">
        <f t="shared" si="247"/>
        <v>0</v>
      </c>
      <c r="V483" s="186">
        <f t="shared" si="247"/>
        <v>0</v>
      </c>
      <c r="W483" s="186">
        <f t="shared" si="247"/>
        <v>0</v>
      </c>
      <c r="X483" s="186">
        <f t="shared" si="247"/>
        <v>0</v>
      </c>
      <c r="Y483" s="186">
        <f t="shared" si="247"/>
        <v>0</v>
      </c>
      <c r="Z483" s="186">
        <f t="shared" si="247"/>
        <v>0</v>
      </c>
      <c r="AA483" s="186">
        <f t="shared" si="247"/>
        <v>0</v>
      </c>
      <c r="AB483" s="186">
        <f t="shared" si="247"/>
        <v>0</v>
      </c>
      <c r="AC483" s="186">
        <f t="shared" si="247"/>
        <v>0</v>
      </c>
      <c r="AD483" s="186">
        <f t="shared" si="247"/>
        <v>0</v>
      </c>
      <c r="AE483" s="186">
        <f t="shared" si="247"/>
        <v>0</v>
      </c>
      <c r="AF483" s="186">
        <f t="shared" si="247"/>
        <v>0</v>
      </c>
      <c r="AG483" s="186">
        <f t="shared" si="247"/>
        <v>0</v>
      </c>
      <c r="AH483" s="186">
        <f t="shared" si="247"/>
        <v>0</v>
      </c>
      <c r="AI483" s="186">
        <f t="shared" si="247"/>
        <v>0</v>
      </c>
      <c r="AJ483" s="186">
        <f t="shared" si="247"/>
        <v>0</v>
      </c>
      <c r="AK483" s="186">
        <f t="shared" si="247"/>
        <v>0</v>
      </c>
      <c r="AL483" s="186">
        <f t="shared" si="247"/>
        <v>0</v>
      </c>
      <c r="AM483" s="186">
        <f t="shared" si="247"/>
        <v>0</v>
      </c>
      <c r="AN483" s="186">
        <f t="shared" si="247"/>
        <v>0</v>
      </c>
      <c r="AO483" s="186">
        <f t="shared" si="247"/>
        <v>0</v>
      </c>
      <c r="AP483" s="186">
        <f t="shared" si="247"/>
        <v>0</v>
      </c>
    </row>
    <row r="484" spans="1:42">
      <c r="A484" s="118">
        <f t="shared" si="244"/>
        <v>6</v>
      </c>
      <c r="B484" s="196">
        <f t="shared" si="241"/>
        <v>0</v>
      </c>
      <c r="C484" s="225">
        <f t="shared" ref="C484:AP484" si="248">LOOKUP(C472,$B$462:$AP$462,$B$463:$AP$463)*$B616</f>
        <v>0</v>
      </c>
      <c r="D484" s="186">
        <f t="shared" si="248"/>
        <v>0</v>
      </c>
      <c r="E484" s="186">
        <f t="shared" si="248"/>
        <v>0</v>
      </c>
      <c r="F484" s="186">
        <f t="shared" si="248"/>
        <v>0</v>
      </c>
      <c r="G484" s="186">
        <f t="shared" si="248"/>
        <v>0</v>
      </c>
      <c r="H484" s="186">
        <f t="shared" si="248"/>
        <v>0</v>
      </c>
      <c r="I484" s="186">
        <f t="shared" si="248"/>
        <v>0</v>
      </c>
      <c r="J484" s="186">
        <f t="shared" si="248"/>
        <v>0</v>
      </c>
      <c r="K484" s="186">
        <f t="shared" si="248"/>
        <v>0</v>
      </c>
      <c r="L484" s="186">
        <f t="shared" si="248"/>
        <v>0</v>
      </c>
      <c r="M484" s="186">
        <f t="shared" si="248"/>
        <v>0</v>
      </c>
      <c r="N484" s="186">
        <f t="shared" si="248"/>
        <v>0</v>
      </c>
      <c r="O484" s="186">
        <f t="shared" si="248"/>
        <v>0</v>
      </c>
      <c r="P484" s="186">
        <f t="shared" si="248"/>
        <v>0</v>
      </c>
      <c r="Q484" s="186">
        <f t="shared" si="248"/>
        <v>0</v>
      </c>
      <c r="R484" s="186">
        <f t="shared" si="248"/>
        <v>0</v>
      </c>
      <c r="S484" s="186">
        <f t="shared" si="248"/>
        <v>0</v>
      </c>
      <c r="T484" s="186">
        <f t="shared" si="248"/>
        <v>0</v>
      </c>
      <c r="U484" s="186">
        <f t="shared" si="248"/>
        <v>0</v>
      </c>
      <c r="V484" s="186">
        <f t="shared" si="248"/>
        <v>0</v>
      </c>
      <c r="W484" s="186">
        <f t="shared" si="248"/>
        <v>0</v>
      </c>
      <c r="X484" s="186">
        <f t="shared" si="248"/>
        <v>0</v>
      </c>
      <c r="Y484" s="186">
        <f t="shared" si="248"/>
        <v>0</v>
      </c>
      <c r="Z484" s="186">
        <f t="shared" si="248"/>
        <v>0</v>
      </c>
      <c r="AA484" s="186">
        <f t="shared" si="248"/>
        <v>0</v>
      </c>
      <c r="AB484" s="186">
        <f t="shared" si="248"/>
        <v>0</v>
      </c>
      <c r="AC484" s="186">
        <f t="shared" si="248"/>
        <v>0</v>
      </c>
      <c r="AD484" s="186">
        <f t="shared" si="248"/>
        <v>0</v>
      </c>
      <c r="AE484" s="186">
        <f t="shared" si="248"/>
        <v>0</v>
      </c>
      <c r="AF484" s="186">
        <f t="shared" si="248"/>
        <v>0</v>
      </c>
      <c r="AG484" s="186">
        <f t="shared" si="248"/>
        <v>0</v>
      </c>
      <c r="AH484" s="186">
        <f t="shared" si="248"/>
        <v>0</v>
      </c>
      <c r="AI484" s="186">
        <f t="shared" si="248"/>
        <v>0</v>
      </c>
      <c r="AJ484" s="186">
        <f t="shared" si="248"/>
        <v>0</v>
      </c>
      <c r="AK484" s="186">
        <f t="shared" si="248"/>
        <v>0</v>
      </c>
      <c r="AL484" s="186">
        <f t="shared" si="248"/>
        <v>0</v>
      </c>
      <c r="AM484" s="186">
        <f t="shared" si="248"/>
        <v>0</v>
      </c>
      <c r="AN484" s="186">
        <f t="shared" si="248"/>
        <v>0</v>
      </c>
      <c r="AO484" s="186">
        <f t="shared" si="248"/>
        <v>0</v>
      </c>
      <c r="AP484" s="186">
        <f t="shared" si="248"/>
        <v>0</v>
      </c>
    </row>
    <row r="485" spans="1:42">
      <c r="A485" s="118">
        <f t="shared" si="244"/>
        <v>7</v>
      </c>
      <c r="B485" s="196">
        <f t="shared" si="241"/>
        <v>0</v>
      </c>
      <c r="C485" s="225">
        <f t="shared" ref="C485:AP485" si="249">LOOKUP(C473,$B$462:$AP$462,$B$463:$AP$463)*$B617</f>
        <v>0</v>
      </c>
      <c r="D485" s="186">
        <f t="shared" si="249"/>
        <v>0</v>
      </c>
      <c r="E485" s="186">
        <f t="shared" si="249"/>
        <v>0</v>
      </c>
      <c r="F485" s="186">
        <f t="shared" si="249"/>
        <v>0</v>
      </c>
      <c r="G485" s="186">
        <f t="shared" si="249"/>
        <v>0</v>
      </c>
      <c r="H485" s="186">
        <f t="shared" si="249"/>
        <v>0</v>
      </c>
      <c r="I485" s="186">
        <f t="shared" si="249"/>
        <v>0</v>
      </c>
      <c r="J485" s="186">
        <f t="shared" si="249"/>
        <v>0</v>
      </c>
      <c r="K485" s="186">
        <f t="shared" si="249"/>
        <v>0</v>
      </c>
      <c r="L485" s="186">
        <f t="shared" si="249"/>
        <v>0</v>
      </c>
      <c r="M485" s="186">
        <f t="shared" si="249"/>
        <v>0</v>
      </c>
      <c r="N485" s="186">
        <f t="shared" si="249"/>
        <v>0</v>
      </c>
      <c r="O485" s="186">
        <f t="shared" si="249"/>
        <v>0</v>
      </c>
      <c r="P485" s="186">
        <f t="shared" si="249"/>
        <v>0</v>
      </c>
      <c r="Q485" s="186">
        <f t="shared" si="249"/>
        <v>0</v>
      </c>
      <c r="R485" s="186">
        <f t="shared" si="249"/>
        <v>0</v>
      </c>
      <c r="S485" s="186">
        <f t="shared" si="249"/>
        <v>0</v>
      </c>
      <c r="T485" s="186">
        <f t="shared" si="249"/>
        <v>0</v>
      </c>
      <c r="U485" s="186">
        <f t="shared" si="249"/>
        <v>0</v>
      </c>
      <c r="V485" s="186">
        <f t="shared" si="249"/>
        <v>0</v>
      </c>
      <c r="W485" s="186">
        <f t="shared" si="249"/>
        <v>0</v>
      </c>
      <c r="X485" s="186">
        <f t="shared" si="249"/>
        <v>0</v>
      </c>
      <c r="Y485" s="186">
        <f t="shared" si="249"/>
        <v>0</v>
      </c>
      <c r="Z485" s="186">
        <f t="shared" si="249"/>
        <v>0</v>
      </c>
      <c r="AA485" s="186">
        <f t="shared" si="249"/>
        <v>0</v>
      </c>
      <c r="AB485" s="186">
        <f t="shared" si="249"/>
        <v>0</v>
      </c>
      <c r="AC485" s="186">
        <f t="shared" si="249"/>
        <v>0</v>
      </c>
      <c r="AD485" s="186">
        <f t="shared" si="249"/>
        <v>0</v>
      </c>
      <c r="AE485" s="186">
        <f t="shared" si="249"/>
        <v>0</v>
      </c>
      <c r="AF485" s="186">
        <f t="shared" si="249"/>
        <v>0</v>
      </c>
      <c r="AG485" s="186">
        <f t="shared" si="249"/>
        <v>0</v>
      </c>
      <c r="AH485" s="186">
        <f t="shared" si="249"/>
        <v>0</v>
      </c>
      <c r="AI485" s="186">
        <f t="shared" si="249"/>
        <v>0</v>
      </c>
      <c r="AJ485" s="186">
        <f t="shared" si="249"/>
        <v>0</v>
      </c>
      <c r="AK485" s="186">
        <f t="shared" si="249"/>
        <v>0</v>
      </c>
      <c r="AL485" s="186">
        <f t="shared" si="249"/>
        <v>0</v>
      </c>
      <c r="AM485" s="186">
        <f t="shared" si="249"/>
        <v>0</v>
      </c>
      <c r="AN485" s="186">
        <f t="shared" si="249"/>
        <v>0</v>
      </c>
      <c r="AO485" s="186">
        <f t="shared" si="249"/>
        <v>0</v>
      </c>
      <c r="AP485" s="186">
        <f t="shared" si="249"/>
        <v>0</v>
      </c>
    </row>
    <row r="486" spans="1:42">
      <c r="A486" s="118">
        <f t="shared" si="244"/>
        <v>8</v>
      </c>
      <c r="B486" s="196">
        <f t="shared" si="241"/>
        <v>0</v>
      </c>
      <c r="C486" s="225">
        <f t="shared" ref="C486:AP486" si="250">LOOKUP(C474,$B$462:$AP$462,$B$463:$AP$463)*$B618</f>
        <v>0</v>
      </c>
      <c r="D486" s="186">
        <f t="shared" si="250"/>
        <v>0</v>
      </c>
      <c r="E486" s="186">
        <f t="shared" si="250"/>
        <v>0</v>
      </c>
      <c r="F486" s="186">
        <f t="shared" si="250"/>
        <v>0</v>
      </c>
      <c r="G486" s="186">
        <f t="shared" si="250"/>
        <v>0</v>
      </c>
      <c r="H486" s="186">
        <f t="shared" si="250"/>
        <v>0</v>
      </c>
      <c r="I486" s="186">
        <f t="shared" si="250"/>
        <v>0</v>
      </c>
      <c r="J486" s="186">
        <f t="shared" si="250"/>
        <v>0</v>
      </c>
      <c r="K486" s="186">
        <f t="shared" si="250"/>
        <v>0</v>
      </c>
      <c r="L486" s="186">
        <f t="shared" si="250"/>
        <v>0</v>
      </c>
      <c r="M486" s="186">
        <f t="shared" si="250"/>
        <v>0</v>
      </c>
      <c r="N486" s="186">
        <f t="shared" si="250"/>
        <v>0</v>
      </c>
      <c r="O486" s="186">
        <f t="shared" si="250"/>
        <v>0</v>
      </c>
      <c r="P486" s="186">
        <f t="shared" si="250"/>
        <v>0</v>
      </c>
      <c r="Q486" s="186">
        <f t="shared" si="250"/>
        <v>0</v>
      </c>
      <c r="R486" s="186">
        <f t="shared" si="250"/>
        <v>0</v>
      </c>
      <c r="S486" s="186">
        <f t="shared" si="250"/>
        <v>0</v>
      </c>
      <c r="T486" s="186">
        <f t="shared" si="250"/>
        <v>0</v>
      </c>
      <c r="U486" s="186">
        <f t="shared" si="250"/>
        <v>0</v>
      </c>
      <c r="V486" s="186">
        <f t="shared" si="250"/>
        <v>0</v>
      </c>
      <c r="W486" s="186">
        <f t="shared" si="250"/>
        <v>0</v>
      </c>
      <c r="X486" s="186">
        <f t="shared" si="250"/>
        <v>0</v>
      </c>
      <c r="Y486" s="186">
        <f t="shared" si="250"/>
        <v>0</v>
      </c>
      <c r="Z486" s="186">
        <f t="shared" si="250"/>
        <v>0</v>
      </c>
      <c r="AA486" s="186">
        <f t="shared" si="250"/>
        <v>0</v>
      </c>
      <c r="AB486" s="186">
        <f t="shared" si="250"/>
        <v>0</v>
      </c>
      <c r="AC486" s="186">
        <f t="shared" si="250"/>
        <v>0</v>
      </c>
      <c r="AD486" s="186">
        <f t="shared" si="250"/>
        <v>0</v>
      </c>
      <c r="AE486" s="186">
        <f t="shared" si="250"/>
        <v>0</v>
      </c>
      <c r="AF486" s="186">
        <f t="shared" si="250"/>
        <v>0</v>
      </c>
      <c r="AG486" s="186">
        <f t="shared" si="250"/>
        <v>0</v>
      </c>
      <c r="AH486" s="186">
        <f t="shared" si="250"/>
        <v>0</v>
      </c>
      <c r="AI486" s="186">
        <f t="shared" si="250"/>
        <v>0</v>
      </c>
      <c r="AJ486" s="186">
        <f t="shared" si="250"/>
        <v>0</v>
      </c>
      <c r="AK486" s="186">
        <f t="shared" si="250"/>
        <v>0</v>
      </c>
      <c r="AL486" s="186">
        <f t="shared" si="250"/>
        <v>0</v>
      </c>
      <c r="AM486" s="186">
        <f t="shared" si="250"/>
        <v>0</v>
      </c>
      <c r="AN486" s="186">
        <f t="shared" si="250"/>
        <v>0</v>
      </c>
      <c r="AO486" s="186">
        <f t="shared" si="250"/>
        <v>0</v>
      </c>
      <c r="AP486" s="186">
        <f t="shared" si="250"/>
        <v>0</v>
      </c>
    </row>
    <row r="487" spans="1:42">
      <c r="A487" s="118">
        <f>A486+1</f>
        <v>9</v>
      </c>
      <c r="B487" s="196">
        <f t="shared" si="241"/>
        <v>0</v>
      </c>
      <c r="C487" s="225">
        <f t="shared" ref="C487:AP487" si="251">LOOKUP(C475,$B$462:$AP$462,$B$463:$AP$463)*$B619</f>
        <v>0</v>
      </c>
      <c r="D487" s="186">
        <f t="shared" si="251"/>
        <v>0</v>
      </c>
      <c r="E487" s="186">
        <f t="shared" si="251"/>
        <v>0</v>
      </c>
      <c r="F487" s="186">
        <f t="shared" si="251"/>
        <v>0</v>
      </c>
      <c r="G487" s="186">
        <f t="shared" si="251"/>
        <v>0</v>
      </c>
      <c r="H487" s="186">
        <f t="shared" si="251"/>
        <v>0</v>
      </c>
      <c r="I487" s="186">
        <f t="shared" si="251"/>
        <v>0</v>
      </c>
      <c r="J487" s="186">
        <f t="shared" si="251"/>
        <v>0</v>
      </c>
      <c r="K487" s="186">
        <f t="shared" si="251"/>
        <v>0</v>
      </c>
      <c r="L487" s="186">
        <f t="shared" si="251"/>
        <v>0</v>
      </c>
      <c r="M487" s="186">
        <f t="shared" si="251"/>
        <v>0</v>
      </c>
      <c r="N487" s="186">
        <f t="shared" si="251"/>
        <v>0</v>
      </c>
      <c r="O487" s="186">
        <f t="shared" si="251"/>
        <v>0</v>
      </c>
      <c r="P487" s="186">
        <f t="shared" si="251"/>
        <v>0</v>
      </c>
      <c r="Q487" s="186">
        <f t="shared" si="251"/>
        <v>0</v>
      </c>
      <c r="R487" s="186">
        <f t="shared" si="251"/>
        <v>0</v>
      </c>
      <c r="S487" s="186">
        <f t="shared" si="251"/>
        <v>0</v>
      </c>
      <c r="T487" s="186">
        <f t="shared" si="251"/>
        <v>0</v>
      </c>
      <c r="U487" s="186">
        <f t="shared" si="251"/>
        <v>0</v>
      </c>
      <c r="V487" s="186">
        <f t="shared" si="251"/>
        <v>0</v>
      </c>
      <c r="W487" s="186">
        <f t="shared" si="251"/>
        <v>0</v>
      </c>
      <c r="X487" s="186">
        <f t="shared" si="251"/>
        <v>0</v>
      </c>
      <c r="Y487" s="186">
        <f t="shared" si="251"/>
        <v>0</v>
      </c>
      <c r="Z487" s="186">
        <f t="shared" si="251"/>
        <v>0</v>
      </c>
      <c r="AA487" s="186">
        <f t="shared" si="251"/>
        <v>0</v>
      </c>
      <c r="AB487" s="186">
        <f t="shared" si="251"/>
        <v>0</v>
      </c>
      <c r="AC487" s="186">
        <f t="shared" si="251"/>
        <v>0</v>
      </c>
      <c r="AD487" s="186">
        <f t="shared" si="251"/>
        <v>0</v>
      </c>
      <c r="AE487" s="186">
        <f t="shared" si="251"/>
        <v>0</v>
      </c>
      <c r="AF487" s="186">
        <f t="shared" si="251"/>
        <v>0</v>
      </c>
      <c r="AG487" s="186">
        <f t="shared" si="251"/>
        <v>0</v>
      </c>
      <c r="AH487" s="186">
        <f t="shared" si="251"/>
        <v>0</v>
      </c>
      <c r="AI487" s="186">
        <f t="shared" si="251"/>
        <v>0</v>
      </c>
      <c r="AJ487" s="186">
        <f t="shared" si="251"/>
        <v>0</v>
      </c>
      <c r="AK487" s="186">
        <f t="shared" si="251"/>
        <v>0</v>
      </c>
      <c r="AL487" s="186">
        <f t="shared" si="251"/>
        <v>0</v>
      </c>
      <c r="AM487" s="186">
        <f t="shared" si="251"/>
        <v>0</v>
      </c>
      <c r="AN487" s="186">
        <f t="shared" si="251"/>
        <v>0</v>
      </c>
      <c r="AO487" s="186">
        <f t="shared" si="251"/>
        <v>0</v>
      </c>
      <c r="AP487" s="186">
        <f t="shared" si="251"/>
        <v>0</v>
      </c>
    </row>
    <row r="488" spans="1:42">
      <c r="A488" s="118">
        <f t="shared" ref="A488" si="252">A487+1</f>
        <v>10</v>
      </c>
      <c r="B488" s="196">
        <f t="shared" si="241"/>
        <v>0</v>
      </c>
      <c r="C488" s="221">
        <f t="shared" ref="C488:AP488" si="253">LOOKUP(C476,$B$462:$AP$462,$B$463:$AP$463)*$B620</f>
        <v>0</v>
      </c>
      <c r="D488" s="187">
        <f t="shared" si="253"/>
        <v>0</v>
      </c>
      <c r="E488" s="187">
        <f t="shared" si="253"/>
        <v>0</v>
      </c>
      <c r="F488" s="187">
        <f t="shared" si="253"/>
        <v>0</v>
      </c>
      <c r="G488" s="187">
        <f t="shared" si="253"/>
        <v>0</v>
      </c>
      <c r="H488" s="187">
        <f t="shared" si="253"/>
        <v>0</v>
      </c>
      <c r="I488" s="187">
        <f t="shared" si="253"/>
        <v>0</v>
      </c>
      <c r="J488" s="187">
        <f t="shared" si="253"/>
        <v>0</v>
      </c>
      <c r="K488" s="187">
        <f t="shared" si="253"/>
        <v>0</v>
      </c>
      <c r="L488" s="187">
        <f t="shared" si="253"/>
        <v>0</v>
      </c>
      <c r="M488" s="187">
        <f t="shared" si="253"/>
        <v>0</v>
      </c>
      <c r="N488" s="187">
        <f t="shared" si="253"/>
        <v>0</v>
      </c>
      <c r="O488" s="187">
        <f t="shared" si="253"/>
        <v>0</v>
      </c>
      <c r="P488" s="187">
        <f t="shared" si="253"/>
        <v>0</v>
      </c>
      <c r="Q488" s="187">
        <f t="shared" si="253"/>
        <v>0</v>
      </c>
      <c r="R488" s="187">
        <f t="shared" si="253"/>
        <v>0</v>
      </c>
      <c r="S488" s="187">
        <f t="shared" si="253"/>
        <v>0</v>
      </c>
      <c r="T488" s="187">
        <f t="shared" si="253"/>
        <v>0</v>
      </c>
      <c r="U488" s="187">
        <f t="shared" si="253"/>
        <v>0</v>
      </c>
      <c r="V488" s="187">
        <f t="shared" si="253"/>
        <v>0</v>
      </c>
      <c r="W488" s="187">
        <f t="shared" si="253"/>
        <v>0</v>
      </c>
      <c r="X488" s="187">
        <f t="shared" si="253"/>
        <v>0</v>
      </c>
      <c r="Y488" s="187">
        <f t="shared" si="253"/>
        <v>0</v>
      </c>
      <c r="Z488" s="187">
        <f t="shared" si="253"/>
        <v>0</v>
      </c>
      <c r="AA488" s="187">
        <f t="shared" si="253"/>
        <v>0</v>
      </c>
      <c r="AB488" s="187">
        <f t="shared" si="253"/>
        <v>0</v>
      </c>
      <c r="AC488" s="187">
        <f t="shared" si="253"/>
        <v>0</v>
      </c>
      <c r="AD488" s="187">
        <f t="shared" si="253"/>
        <v>0</v>
      </c>
      <c r="AE488" s="187">
        <f t="shared" si="253"/>
        <v>0</v>
      </c>
      <c r="AF488" s="187">
        <f t="shared" si="253"/>
        <v>0</v>
      </c>
      <c r="AG488" s="187">
        <f t="shared" si="253"/>
        <v>0</v>
      </c>
      <c r="AH488" s="187">
        <f t="shared" si="253"/>
        <v>0</v>
      </c>
      <c r="AI488" s="187">
        <f t="shared" si="253"/>
        <v>0</v>
      </c>
      <c r="AJ488" s="187">
        <f t="shared" si="253"/>
        <v>0</v>
      </c>
      <c r="AK488" s="187">
        <f t="shared" si="253"/>
        <v>0</v>
      </c>
      <c r="AL488" s="187">
        <f t="shared" si="253"/>
        <v>0</v>
      </c>
      <c r="AM488" s="187">
        <f t="shared" si="253"/>
        <v>0</v>
      </c>
      <c r="AN488" s="187">
        <f t="shared" si="253"/>
        <v>0</v>
      </c>
      <c r="AO488" s="187">
        <f t="shared" si="253"/>
        <v>0</v>
      </c>
      <c r="AP488" s="187">
        <f t="shared" si="253"/>
        <v>0</v>
      </c>
    </row>
    <row r="489" spans="1:42" s="118" customFormat="1">
      <c r="A489" s="222" t="s">
        <v>53</v>
      </c>
      <c r="B489" s="141"/>
      <c r="C489" s="141">
        <f>SUM(C479:C488)</f>
        <v>0</v>
      </c>
      <c r="D489" s="141">
        <f t="shared" ref="D489:AP489" si="254">SUM(D479:D488)</f>
        <v>0</v>
      </c>
      <c r="E489" s="141">
        <f t="shared" si="254"/>
        <v>0</v>
      </c>
      <c r="F489" s="141">
        <f t="shared" si="254"/>
        <v>0</v>
      </c>
      <c r="G489" s="141">
        <f t="shared" si="254"/>
        <v>0</v>
      </c>
      <c r="H489" s="141">
        <f t="shared" si="254"/>
        <v>0</v>
      </c>
      <c r="I489" s="141">
        <f t="shared" si="254"/>
        <v>0</v>
      </c>
      <c r="J489" s="141">
        <f t="shared" si="254"/>
        <v>0</v>
      </c>
      <c r="K489" s="141">
        <f t="shared" si="254"/>
        <v>0</v>
      </c>
      <c r="L489" s="141">
        <f t="shared" si="254"/>
        <v>0</v>
      </c>
      <c r="M489" s="141">
        <f t="shared" si="254"/>
        <v>0</v>
      </c>
      <c r="N489" s="141">
        <f t="shared" si="254"/>
        <v>588974.46870026283</v>
      </c>
      <c r="O489" s="141">
        <f t="shared" si="254"/>
        <v>942359.14992042049</v>
      </c>
      <c r="P489" s="141">
        <f t="shared" si="254"/>
        <v>565415.48995225236</v>
      </c>
      <c r="Q489" s="141">
        <f t="shared" si="254"/>
        <v>339249.29397135135</v>
      </c>
      <c r="R489" s="141">
        <f t="shared" si="254"/>
        <v>339249.29397135135</v>
      </c>
      <c r="S489" s="141">
        <f t="shared" si="254"/>
        <v>169624.64698567567</v>
      </c>
      <c r="T489" s="141">
        <f t="shared" si="254"/>
        <v>0</v>
      </c>
      <c r="U489" s="141">
        <f t="shared" si="254"/>
        <v>0</v>
      </c>
      <c r="V489" s="141">
        <f t="shared" si="254"/>
        <v>0</v>
      </c>
      <c r="W489" s="141">
        <f t="shared" si="254"/>
        <v>0</v>
      </c>
      <c r="X489" s="141">
        <f t="shared" si="254"/>
        <v>0</v>
      </c>
      <c r="Y489" s="141">
        <f t="shared" si="254"/>
        <v>0</v>
      </c>
      <c r="Z489" s="141">
        <f t="shared" si="254"/>
        <v>704188.57730493625</v>
      </c>
      <c r="AA489" s="141">
        <f t="shared" si="254"/>
        <v>1126701.7236878979</v>
      </c>
      <c r="AB489" s="141">
        <f t="shared" si="254"/>
        <v>676021.03421273874</v>
      </c>
      <c r="AC489" s="141">
        <f t="shared" si="254"/>
        <v>405612.62052764324</v>
      </c>
      <c r="AD489" s="141">
        <f t="shared" si="254"/>
        <v>405612.62052764324</v>
      </c>
      <c r="AE489" s="141">
        <f t="shared" si="254"/>
        <v>202806.31026382162</v>
      </c>
      <c r="AF489" s="141">
        <f t="shared" si="254"/>
        <v>0</v>
      </c>
      <c r="AG489" s="141">
        <f t="shared" si="254"/>
        <v>0</v>
      </c>
      <c r="AH489" s="141">
        <f t="shared" si="254"/>
        <v>0</v>
      </c>
      <c r="AI489" s="141">
        <f t="shared" si="254"/>
        <v>0</v>
      </c>
      <c r="AJ489" s="141">
        <f t="shared" si="254"/>
        <v>0</v>
      </c>
      <c r="AK489" s="141">
        <f t="shared" si="254"/>
        <v>0</v>
      </c>
      <c r="AL489" s="141">
        <f t="shared" si="254"/>
        <v>0</v>
      </c>
      <c r="AM489" s="141">
        <f t="shared" si="254"/>
        <v>0</v>
      </c>
      <c r="AN489" s="141">
        <f t="shared" si="254"/>
        <v>0</v>
      </c>
      <c r="AO489" s="141">
        <f t="shared" si="254"/>
        <v>0</v>
      </c>
      <c r="AP489" s="141">
        <f t="shared" si="254"/>
        <v>0</v>
      </c>
    </row>
    <row r="490" spans="1:42" s="118" customFormat="1">
      <c r="A490" s="222"/>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c r="AA490" s="141"/>
      <c r="AB490" s="141"/>
      <c r="AC490" s="141"/>
      <c r="AD490" s="141"/>
      <c r="AE490" s="141"/>
      <c r="AF490" s="141"/>
      <c r="AG490" s="141"/>
      <c r="AH490" s="141"/>
      <c r="AI490" s="141"/>
      <c r="AJ490" s="141"/>
      <c r="AK490" s="141"/>
      <c r="AL490" s="141"/>
      <c r="AM490" s="141"/>
      <c r="AN490" s="141"/>
      <c r="AO490" s="141"/>
      <c r="AP490" s="141"/>
    </row>
    <row r="491" spans="1:42">
      <c r="A491" s="197" t="s">
        <v>371</v>
      </c>
      <c r="C491" s="186"/>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row>
    <row r="492" spans="1:42">
      <c r="A492" s="204" t="s">
        <v>207</v>
      </c>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row>
    <row r="493" spans="1:42">
      <c r="A493" s="118">
        <v>1</v>
      </c>
      <c r="C493" s="186">
        <f>C358</f>
        <v>0</v>
      </c>
      <c r="D493" s="186">
        <f t="shared" ref="D493:AP499" si="255">D358</f>
        <v>0</v>
      </c>
      <c r="E493" s="186">
        <f t="shared" si="255"/>
        <v>0</v>
      </c>
      <c r="F493" s="186">
        <f t="shared" si="255"/>
        <v>0</v>
      </c>
      <c r="G493" s="186">
        <f t="shared" si="255"/>
        <v>0</v>
      </c>
      <c r="H493" s="186">
        <f t="shared" si="255"/>
        <v>0</v>
      </c>
      <c r="I493" s="186">
        <f t="shared" si="255"/>
        <v>0</v>
      </c>
      <c r="J493" s="186">
        <f t="shared" si="255"/>
        <v>0</v>
      </c>
      <c r="K493" s="186">
        <f t="shared" si="255"/>
        <v>0</v>
      </c>
      <c r="L493" s="186">
        <f t="shared" si="255"/>
        <v>0</v>
      </c>
      <c r="M493" s="186">
        <f t="shared" si="255"/>
        <v>0</v>
      </c>
      <c r="N493" s="186">
        <f t="shared" si="255"/>
        <v>0</v>
      </c>
      <c r="O493" s="186">
        <f t="shared" si="255"/>
        <v>0</v>
      </c>
      <c r="P493" s="186">
        <f t="shared" si="255"/>
        <v>0</v>
      </c>
      <c r="Q493" s="186">
        <f t="shared" si="255"/>
        <v>1</v>
      </c>
      <c r="R493" s="186">
        <f t="shared" si="255"/>
        <v>2</v>
      </c>
      <c r="S493" s="186">
        <f t="shared" si="255"/>
        <v>3</v>
      </c>
      <c r="T493" s="186">
        <f t="shared" si="255"/>
        <v>4</v>
      </c>
      <c r="U493" s="186">
        <f t="shared" si="255"/>
        <v>5</v>
      </c>
      <c r="V493" s="186">
        <f t="shared" si="255"/>
        <v>6</v>
      </c>
      <c r="W493" s="186">
        <f t="shared" si="255"/>
        <v>7</v>
      </c>
      <c r="X493" s="186">
        <f t="shared" si="255"/>
        <v>8</v>
      </c>
      <c r="Y493" s="186">
        <f t="shared" si="255"/>
        <v>9</v>
      </c>
      <c r="Z493" s="186">
        <f t="shared" si="255"/>
        <v>10</v>
      </c>
      <c r="AA493" s="186">
        <f t="shared" si="255"/>
        <v>11</v>
      </c>
      <c r="AB493" s="186">
        <f t="shared" si="255"/>
        <v>12</v>
      </c>
      <c r="AC493" s="186">
        <f t="shared" si="255"/>
        <v>13</v>
      </c>
      <c r="AD493" s="186">
        <f t="shared" si="255"/>
        <v>14</v>
      </c>
      <c r="AE493" s="186">
        <f t="shared" si="255"/>
        <v>15</v>
      </c>
      <c r="AF493" s="186">
        <f t="shared" si="255"/>
        <v>16</v>
      </c>
      <c r="AG493" s="186">
        <f t="shared" si="255"/>
        <v>0</v>
      </c>
      <c r="AH493" s="186">
        <f t="shared" si="255"/>
        <v>0</v>
      </c>
      <c r="AI493" s="186">
        <f t="shared" si="255"/>
        <v>0</v>
      </c>
      <c r="AJ493" s="186">
        <f t="shared" si="255"/>
        <v>0</v>
      </c>
      <c r="AK493" s="186">
        <f t="shared" si="255"/>
        <v>0</v>
      </c>
      <c r="AL493" s="186">
        <f t="shared" si="255"/>
        <v>0</v>
      </c>
      <c r="AM493" s="186">
        <f t="shared" si="255"/>
        <v>0</v>
      </c>
      <c r="AN493" s="186">
        <f t="shared" si="255"/>
        <v>0</v>
      </c>
      <c r="AO493" s="186">
        <f t="shared" si="255"/>
        <v>0</v>
      </c>
      <c r="AP493" s="186">
        <f t="shared" si="255"/>
        <v>0</v>
      </c>
    </row>
    <row r="494" spans="1:42">
      <c r="A494" s="118">
        <f>A493+1</f>
        <v>2</v>
      </c>
      <c r="C494" s="186">
        <f t="shared" ref="C494:R502" si="256">C359</f>
        <v>0</v>
      </c>
      <c r="D494" s="186">
        <f t="shared" si="256"/>
        <v>0</v>
      </c>
      <c r="E494" s="186">
        <f t="shared" si="256"/>
        <v>0</v>
      </c>
      <c r="F494" s="186">
        <f t="shared" si="256"/>
        <v>0</v>
      </c>
      <c r="G494" s="186">
        <f t="shared" si="256"/>
        <v>0</v>
      </c>
      <c r="H494" s="186">
        <f t="shared" si="256"/>
        <v>0</v>
      </c>
      <c r="I494" s="186">
        <f t="shared" si="256"/>
        <v>0</v>
      </c>
      <c r="J494" s="186">
        <f t="shared" si="256"/>
        <v>0</v>
      </c>
      <c r="K494" s="186">
        <f t="shared" si="256"/>
        <v>0</v>
      </c>
      <c r="L494" s="186">
        <f t="shared" si="256"/>
        <v>0</v>
      </c>
      <c r="M494" s="186">
        <f t="shared" si="256"/>
        <v>0</v>
      </c>
      <c r="N494" s="186">
        <f t="shared" si="256"/>
        <v>0</v>
      </c>
      <c r="O494" s="186">
        <f t="shared" si="256"/>
        <v>0</v>
      </c>
      <c r="P494" s="186">
        <f t="shared" si="256"/>
        <v>0</v>
      </c>
      <c r="Q494" s="186">
        <f t="shared" si="256"/>
        <v>0</v>
      </c>
      <c r="R494" s="186">
        <f t="shared" si="256"/>
        <v>0</v>
      </c>
      <c r="S494" s="186">
        <f t="shared" si="255"/>
        <v>0</v>
      </c>
      <c r="T494" s="186">
        <f t="shared" si="255"/>
        <v>0</v>
      </c>
      <c r="U494" s="186">
        <f t="shared" si="255"/>
        <v>0</v>
      </c>
      <c r="V494" s="186">
        <f t="shared" si="255"/>
        <v>0</v>
      </c>
      <c r="W494" s="186">
        <f t="shared" si="255"/>
        <v>0</v>
      </c>
      <c r="X494" s="186">
        <f t="shared" si="255"/>
        <v>0</v>
      </c>
      <c r="Y494" s="186">
        <f t="shared" si="255"/>
        <v>0</v>
      </c>
      <c r="Z494" s="186">
        <f t="shared" si="255"/>
        <v>0</v>
      </c>
      <c r="AA494" s="186">
        <f t="shared" si="255"/>
        <v>0</v>
      </c>
      <c r="AB494" s="186">
        <f t="shared" si="255"/>
        <v>0</v>
      </c>
      <c r="AC494" s="186">
        <f t="shared" si="255"/>
        <v>0</v>
      </c>
      <c r="AD494" s="186">
        <f t="shared" si="255"/>
        <v>0</v>
      </c>
      <c r="AE494" s="186">
        <f t="shared" si="255"/>
        <v>0</v>
      </c>
      <c r="AF494" s="186">
        <f t="shared" si="255"/>
        <v>1</v>
      </c>
      <c r="AG494" s="186">
        <f t="shared" si="255"/>
        <v>0</v>
      </c>
      <c r="AH494" s="186">
        <f t="shared" si="255"/>
        <v>0</v>
      </c>
      <c r="AI494" s="186">
        <f t="shared" si="255"/>
        <v>0</v>
      </c>
      <c r="AJ494" s="186">
        <f t="shared" si="255"/>
        <v>0</v>
      </c>
      <c r="AK494" s="186">
        <f t="shared" si="255"/>
        <v>0</v>
      </c>
      <c r="AL494" s="186">
        <f t="shared" si="255"/>
        <v>0</v>
      </c>
      <c r="AM494" s="186">
        <f t="shared" si="255"/>
        <v>0</v>
      </c>
      <c r="AN494" s="186">
        <f t="shared" si="255"/>
        <v>0</v>
      </c>
      <c r="AO494" s="186">
        <f t="shared" si="255"/>
        <v>0</v>
      </c>
      <c r="AP494" s="186">
        <f t="shared" si="255"/>
        <v>0</v>
      </c>
    </row>
    <row r="495" spans="1:42">
      <c r="A495" s="118">
        <f t="shared" ref="A495:A500" si="257">A494+1</f>
        <v>3</v>
      </c>
      <c r="C495" s="186">
        <f t="shared" si="256"/>
        <v>0</v>
      </c>
      <c r="D495" s="186">
        <f t="shared" si="255"/>
        <v>0</v>
      </c>
      <c r="E495" s="186">
        <f t="shared" si="255"/>
        <v>0</v>
      </c>
      <c r="F495" s="186">
        <f t="shared" si="255"/>
        <v>0</v>
      </c>
      <c r="G495" s="186">
        <f t="shared" si="255"/>
        <v>0</v>
      </c>
      <c r="H495" s="186">
        <f t="shared" si="255"/>
        <v>0</v>
      </c>
      <c r="I495" s="186">
        <f t="shared" si="255"/>
        <v>0</v>
      </c>
      <c r="J495" s="186">
        <f t="shared" si="255"/>
        <v>0</v>
      </c>
      <c r="K495" s="186">
        <f t="shared" si="255"/>
        <v>0</v>
      </c>
      <c r="L495" s="186">
        <f t="shared" si="255"/>
        <v>0</v>
      </c>
      <c r="M495" s="186">
        <f t="shared" si="255"/>
        <v>0</v>
      </c>
      <c r="N495" s="186">
        <f t="shared" si="255"/>
        <v>0</v>
      </c>
      <c r="O495" s="186">
        <f t="shared" si="255"/>
        <v>0</v>
      </c>
      <c r="P495" s="186">
        <f t="shared" si="255"/>
        <v>0</v>
      </c>
      <c r="Q495" s="186">
        <f t="shared" si="255"/>
        <v>0</v>
      </c>
      <c r="R495" s="186">
        <f t="shared" si="255"/>
        <v>0</v>
      </c>
      <c r="S495" s="186">
        <f t="shared" si="255"/>
        <v>0</v>
      </c>
      <c r="T495" s="186">
        <f t="shared" si="255"/>
        <v>0</v>
      </c>
      <c r="U495" s="186">
        <f t="shared" si="255"/>
        <v>0</v>
      </c>
      <c r="V495" s="186">
        <f t="shared" si="255"/>
        <v>0</v>
      </c>
      <c r="W495" s="186">
        <f t="shared" si="255"/>
        <v>0</v>
      </c>
      <c r="X495" s="186">
        <f t="shared" si="255"/>
        <v>0</v>
      </c>
      <c r="Y495" s="186">
        <f t="shared" si="255"/>
        <v>0</v>
      </c>
      <c r="Z495" s="186">
        <f t="shared" si="255"/>
        <v>0</v>
      </c>
      <c r="AA495" s="186">
        <f t="shared" si="255"/>
        <v>0</v>
      </c>
      <c r="AB495" s="186">
        <f t="shared" si="255"/>
        <v>0</v>
      </c>
      <c r="AC495" s="186">
        <f t="shared" si="255"/>
        <v>0</v>
      </c>
      <c r="AD495" s="186">
        <f t="shared" si="255"/>
        <v>0</v>
      </c>
      <c r="AE495" s="186">
        <f t="shared" si="255"/>
        <v>0</v>
      </c>
      <c r="AF495" s="186">
        <f t="shared" si="255"/>
        <v>0</v>
      </c>
      <c r="AG495" s="186">
        <f t="shared" si="255"/>
        <v>0</v>
      </c>
      <c r="AH495" s="186">
        <f t="shared" si="255"/>
        <v>0</v>
      </c>
      <c r="AI495" s="186">
        <f t="shared" si="255"/>
        <v>0</v>
      </c>
      <c r="AJ495" s="186">
        <f t="shared" si="255"/>
        <v>0</v>
      </c>
      <c r="AK495" s="186">
        <f t="shared" si="255"/>
        <v>0</v>
      </c>
      <c r="AL495" s="186">
        <f t="shared" si="255"/>
        <v>0</v>
      </c>
      <c r="AM495" s="186">
        <f t="shared" si="255"/>
        <v>0</v>
      </c>
      <c r="AN495" s="186">
        <f t="shared" si="255"/>
        <v>0</v>
      </c>
      <c r="AO495" s="186">
        <f t="shared" si="255"/>
        <v>0</v>
      </c>
      <c r="AP495" s="186">
        <f t="shared" si="255"/>
        <v>0</v>
      </c>
    </row>
    <row r="496" spans="1:42">
      <c r="A496" s="118">
        <f t="shared" si="257"/>
        <v>4</v>
      </c>
      <c r="C496" s="186">
        <f t="shared" si="256"/>
        <v>0</v>
      </c>
      <c r="D496" s="186">
        <f t="shared" si="255"/>
        <v>0</v>
      </c>
      <c r="E496" s="186">
        <f t="shared" si="255"/>
        <v>0</v>
      </c>
      <c r="F496" s="186">
        <f t="shared" si="255"/>
        <v>0</v>
      </c>
      <c r="G496" s="186">
        <f t="shared" si="255"/>
        <v>0</v>
      </c>
      <c r="H496" s="186">
        <f t="shared" si="255"/>
        <v>0</v>
      </c>
      <c r="I496" s="186">
        <f t="shared" si="255"/>
        <v>0</v>
      </c>
      <c r="J496" s="186">
        <f t="shared" si="255"/>
        <v>0</v>
      </c>
      <c r="K496" s="186">
        <f t="shared" si="255"/>
        <v>0</v>
      </c>
      <c r="L496" s="186">
        <f t="shared" si="255"/>
        <v>0</v>
      </c>
      <c r="M496" s="186">
        <f t="shared" si="255"/>
        <v>0</v>
      </c>
      <c r="N496" s="186">
        <f t="shared" si="255"/>
        <v>0</v>
      </c>
      <c r="O496" s="186">
        <f t="shared" si="255"/>
        <v>0</v>
      </c>
      <c r="P496" s="186">
        <f t="shared" si="255"/>
        <v>0</v>
      </c>
      <c r="Q496" s="186">
        <f t="shared" si="255"/>
        <v>0</v>
      </c>
      <c r="R496" s="186">
        <f t="shared" si="255"/>
        <v>0</v>
      </c>
      <c r="S496" s="186">
        <f t="shared" si="255"/>
        <v>0</v>
      </c>
      <c r="T496" s="186">
        <f t="shared" si="255"/>
        <v>0</v>
      </c>
      <c r="U496" s="186">
        <f t="shared" si="255"/>
        <v>0</v>
      </c>
      <c r="V496" s="186">
        <f t="shared" si="255"/>
        <v>0</v>
      </c>
      <c r="W496" s="186">
        <f t="shared" si="255"/>
        <v>0</v>
      </c>
      <c r="X496" s="186">
        <f t="shared" si="255"/>
        <v>0</v>
      </c>
      <c r="Y496" s="186">
        <f t="shared" si="255"/>
        <v>0</v>
      </c>
      <c r="Z496" s="186">
        <f t="shared" si="255"/>
        <v>0</v>
      </c>
      <c r="AA496" s="186">
        <f t="shared" si="255"/>
        <v>0</v>
      </c>
      <c r="AB496" s="186">
        <f t="shared" si="255"/>
        <v>0</v>
      </c>
      <c r="AC496" s="186">
        <f t="shared" si="255"/>
        <v>0</v>
      </c>
      <c r="AD496" s="186">
        <f t="shared" si="255"/>
        <v>0</v>
      </c>
      <c r="AE496" s="186">
        <f t="shared" si="255"/>
        <v>0</v>
      </c>
      <c r="AF496" s="186">
        <f t="shared" si="255"/>
        <v>0</v>
      </c>
      <c r="AG496" s="186">
        <f t="shared" si="255"/>
        <v>0</v>
      </c>
      <c r="AH496" s="186">
        <f t="shared" si="255"/>
        <v>0</v>
      </c>
      <c r="AI496" s="186">
        <f t="shared" si="255"/>
        <v>0</v>
      </c>
      <c r="AJ496" s="186">
        <f t="shared" si="255"/>
        <v>0</v>
      </c>
      <c r="AK496" s="186">
        <f t="shared" si="255"/>
        <v>0</v>
      </c>
      <c r="AL496" s="186">
        <f t="shared" si="255"/>
        <v>0</v>
      </c>
      <c r="AM496" s="186">
        <f t="shared" si="255"/>
        <v>0</v>
      </c>
      <c r="AN496" s="186">
        <f t="shared" si="255"/>
        <v>0</v>
      </c>
      <c r="AO496" s="186">
        <f t="shared" si="255"/>
        <v>0</v>
      </c>
      <c r="AP496" s="186">
        <f t="shared" si="255"/>
        <v>0</v>
      </c>
    </row>
    <row r="497" spans="1:42">
      <c r="A497" s="118">
        <f t="shared" si="257"/>
        <v>5</v>
      </c>
      <c r="C497" s="186">
        <f t="shared" si="256"/>
        <v>0</v>
      </c>
      <c r="D497" s="186">
        <f t="shared" si="255"/>
        <v>0</v>
      </c>
      <c r="E497" s="186">
        <f t="shared" si="255"/>
        <v>0</v>
      </c>
      <c r="F497" s="186">
        <f t="shared" si="255"/>
        <v>0</v>
      </c>
      <c r="G497" s="186">
        <f t="shared" si="255"/>
        <v>0</v>
      </c>
      <c r="H497" s="186">
        <f t="shared" si="255"/>
        <v>0</v>
      </c>
      <c r="I497" s="186">
        <f t="shared" si="255"/>
        <v>0</v>
      </c>
      <c r="J497" s="186">
        <f t="shared" si="255"/>
        <v>0</v>
      </c>
      <c r="K497" s="186">
        <f t="shared" si="255"/>
        <v>0</v>
      </c>
      <c r="L497" s="186">
        <f t="shared" si="255"/>
        <v>0</v>
      </c>
      <c r="M497" s="186">
        <f t="shared" si="255"/>
        <v>0</v>
      </c>
      <c r="N497" s="186">
        <f t="shared" si="255"/>
        <v>0</v>
      </c>
      <c r="O497" s="186">
        <f t="shared" si="255"/>
        <v>0</v>
      </c>
      <c r="P497" s="186">
        <f t="shared" si="255"/>
        <v>0</v>
      </c>
      <c r="Q497" s="186">
        <f t="shared" si="255"/>
        <v>0</v>
      </c>
      <c r="R497" s="186">
        <f t="shared" si="255"/>
        <v>0</v>
      </c>
      <c r="S497" s="186">
        <f t="shared" si="255"/>
        <v>0</v>
      </c>
      <c r="T497" s="186">
        <f t="shared" si="255"/>
        <v>0</v>
      </c>
      <c r="U497" s="186">
        <f t="shared" si="255"/>
        <v>0</v>
      </c>
      <c r="V497" s="186">
        <f t="shared" si="255"/>
        <v>0</v>
      </c>
      <c r="W497" s="186">
        <f t="shared" si="255"/>
        <v>0</v>
      </c>
      <c r="X497" s="186">
        <f t="shared" si="255"/>
        <v>0</v>
      </c>
      <c r="Y497" s="186">
        <f t="shared" si="255"/>
        <v>0</v>
      </c>
      <c r="Z497" s="186">
        <f t="shared" si="255"/>
        <v>0</v>
      </c>
      <c r="AA497" s="186">
        <f t="shared" si="255"/>
        <v>0</v>
      </c>
      <c r="AB497" s="186">
        <f t="shared" si="255"/>
        <v>0</v>
      </c>
      <c r="AC497" s="186">
        <f t="shared" si="255"/>
        <v>0</v>
      </c>
      <c r="AD497" s="186">
        <f t="shared" si="255"/>
        <v>0</v>
      </c>
      <c r="AE497" s="186">
        <f t="shared" si="255"/>
        <v>0</v>
      </c>
      <c r="AF497" s="186">
        <f t="shared" si="255"/>
        <v>0</v>
      </c>
      <c r="AG497" s="186">
        <f t="shared" si="255"/>
        <v>0</v>
      </c>
      <c r="AH497" s="186">
        <f t="shared" si="255"/>
        <v>0</v>
      </c>
      <c r="AI497" s="186">
        <f t="shared" si="255"/>
        <v>0</v>
      </c>
      <c r="AJ497" s="186">
        <f t="shared" si="255"/>
        <v>0</v>
      </c>
      <c r="AK497" s="186">
        <f t="shared" si="255"/>
        <v>0</v>
      </c>
      <c r="AL497" s="186">
        <f t="shared" si="255"/>
        <v>0</v>
      </c>
      <c r="AM497" s="186">
        <f t="shared" si="255"/>
        <v>0</v>
      </c>
      <c r="AN497" s="186">
        <f t="shared" si="255"/>
        <v>0</v>
      </c>
      <c r="AO497" s="186">
        <f t="shared" si="255"/>
        <v>0</v>
      </c>
      <c r="AP497" s="186">
        <f t="shared" si="255"/>
        <v>0</v>
      </c>
    </row>
    <row r="498" spans="1:42">
      <c r="A498" s="118">
        <f t="shared" si="257"/>
        <v>6</v>
      </c>
      <c r="C498" s="186">
        <f t="shared" si="256"/>
        <v>0</v>
      </c>
      <c r="D498" s="186">
        <f t="shared" si="255"/>
        <v>0</v>
      </c>
      <c r="E498" s="186">
        <f t="shared" si="255"/>
        <v>0</v>
      </c>
      <c r="F498" s="186">
        <f t="shared" si="255"/>
        <v>0</v>
      </c>
      <c r="G498" s="186">
        <f t="shared" si="255"/>
        <v>0</v>
      </c>
      <c r="H498" s="186">
        <f t="shared" si="255"/>
        <v>0</v>
      </c>
      <c r="I498" s="186">
        <f t="shared" si="255"/>
        <v>0</v>
      </c>
      <c r="J498" s="186">
        <f t="shared" si="255"/>
        <v>0</v>
      </c>
      <c r="K498" s="186">
        <f t="shared" si="255"/>
        <v>0</v>
      </c>
      <c r="L498" s="186">
        <f t="shared" si="255"/>
        <v>0</v>
      </c>
      <c r="M498" s="186">
        <f t="shared" si="255"/>
        <v>0</v>
      </c>
      <c r="N498" s="186">
        <f t="shared" si="255"/>
        <v>0</v>
      </c>
      <c r="O498" s="186">
        <f t="shared" si="255"/>
        <v>0</v>
      </c>
      <c r="P498" s="186">
        <f t="shared" si="255"/>
        <v>0</v>
      </c>
      <c r="Q498" s="186">
        <f t="shared" si="255"/>
        <v>0</v>
      </c>
      <c r="R498" s="186">
        <f t="shared" si="255"/>
        <v>0</v>
      </c>
      <c r="S498" s="186">
        <f t="shared" si="255"/>
        <v>0</v>
      </c>
      <c r="T498" s="186">
        <f t="shared" si="255"/>
        <v>0</v>
      </c>
      <c r="U498" s="186">
        <f t="shared" si="255"/>
        <v>0</v>
      </c>
      <c r="V498" s="186">
        <f t="shared" si="255"/>
        <v>0</v>
      </c>
      <c r="W498" s="186">
        <f t="shared" si="255"/>
        <v>0</v>
      </c>
      <c r="X498" s="186">
        <f t="shared" si="255"/>
        <v>0</v>
      </c>
      <c r="Y498" s="186">
        <f t="shared" si="255"/>
        <v>0</v>
      </c>
      <c r="Z498" s="186">
        <f t="shared" si="255"/>
        <v>0</v>
      </c>
      <c r="AA498" s="186">
        <f t="shared" si="255"/>
        <v>0</v>
      </c>
      <c r="AB498" s="186">
        <f t="shared" si="255"/>
        <v>0</v>
      </c>
      <c r="AC498" s="186">
        <f t="shared" si="255"/>
        <v>0</v>
      </c>
      <c r="AD498" s="186">
        <f t="shared" si="255"/>
        <v>0</v>
      </c>
      <c r="AE498" s="186">
        <f t="shared" si="255"/>
        <v>0</v>
      </c>
      <c r="AF498" s="186">
        <f t="shared" si="255"/>
        <v>0</v>
      </c>
      <c r="AG498" s="186">
        <f t="shared" si="255"/>
        <v>0</v>
      </c>
      <c r="AH498" s="186">
        <f t="shared" si="255"/>
        <v>0</v>
      </c>
      <c r="AI498" s="186">
        <f t="shared" si="255"/>
        <v>0</v>
      </c>
      <c r="AJ498" s="186">
        <f t="shared" si="255"/>
        <v>0</v>
      </c>
      <c r="AK498" s="186">
        <f t="shared" si="255"/>
        <v>0</v>
      </c>
      <c r="AL498" s="186">
        <f t="shared" si="255"/>
        <v>0</v>
      </c>
      <c r="AM498" s="186">
        <f t="shared" si="255"/>
        <v>0</v>
      </c>
      <c r="AN498" s="186">
        <f t="shared" si="255"/>
        <v>0</v>
      </c>
      <c r="AO498" s="186">
        <f t="shared" si="255"/>
        <v>0</v>
      </c>
      <c r="AP498" s="186">
        <f t="shared" si="255"/>
        <v>0</v>
      </c>
    </row>
    <row r="499" spans="1:42">
      <c r="A499" s="118">
        <f t="shared" si="257"/>
        <v>7</v>
      </c>
      <c r="C499" s="186">
        <f t="shared" si="256"/>
        <v>0</v>
      </c>
      <c r="D499" s="186">
        <f t="shared" si="255"/>
        <v>0</v>
      </c>
      <c r="E499" s="186">
        <f t="shared" si="255"/>
        <v>0</v>
      </c>
      <c r="F499" s="186">
        <f t="shared" si="255"/>
        <v>0</v>
      </c>
      <c r="G499" s="186">
        <f t="shared" si="255"/>
        <v>0</v>
      </c>
      <c r="H499" s="186">
        <f t="shared" si="255"/>
        <v>0</v>
      </c>
      <c r="I499" s="186">
        <f t="shared" si="255"/>
        <v>0</v>
      </c>
      <c r="J499" s="186">
        <f t="shared" si="255"/>
        <v>0</v>
      </c>
      <c r="K499" s="186">
        <f t="shared" si="255"/>
        <v>0</v>
      </c>
      <c r="L499" s="186">
        <f t="shared" si="255"/>
        <v>0</v>
      </c>
      <c r="M499" s="186">
        <f t="shared" si="255"/>
        <v>0</v>
      </c>
      <c r="N499" s="186">
        <f t="shared" si="255"/>
        <v>0</v>
      </c>
      <c r="O499" s="186">
        <f t="shared" si="255"/>
        <v>0</v>
      </c>
      <c r="P499" s="186">
        <f t="shared" si="255"/>
        <v>0</v>
      </c>
      <c r="Q499" s="186">
        <f t="shared" si="255"/>
        <v>0</v>
      </c>
      <c r="R499" s="186">
        <f t="shared" si="255"/>
        <v>0</v>
      </c>
      <c r="S499" s="186">
        <f t="shared" si="255"/>
        <v>0</v>
      </c>
      <c r="T499" s="186">
        <f t="shared" si="255"/>
        <v>0</v>
      </c>
      <c r="U499" s="186">
        <f t="shared" si="255"/>
        <v>0</v>
      </c>
      <c r="V499" s="186">
        <f t="shared" si="255"/>
        <v>0</v>
      </c>
      <c r="W499" s="186">
        <f t="shared" si="255"/>
        <v>0</v>
      </c>
      <c r="X499" s="186">
        <f t="shared" si="255"/>
        <v>0</v>
      </c>
      <c r="Y499" s="186">
        <f t="shared" si="255"/>
        <v>0</v>
      </c>
      <c r="Z499" s="186">
        <f t="shared" si="255"/>
        <v>0</v>
      </c>
      <c r="AA499" s="186">
        <f t="shared" si="255"/>
        <v>0</v>
      </c>
      <c r="AB499" s="186">
        <f t="shared" si="255"/>
        <v>0</v>
      </c>
      <c r="AC499" s="186">
        <f t="shared" si="255"/>
        <v>0</v>
      </c>
      <c r="AD499" s="186">
        <f t="shared" si="255"/>
        <v>0</v>
      </c>
      <c r="AE499" s="186">
        <f t="shared" si="255"/>
        <v>0</v>
      </c>
      <c r="AF499" s="186">
        <f t="shared" si="255"/>
        <v>0</v>
      </c>
      <c r="AG499" s="186">
        <f t="shared" si="255"/>
        <v>0</v>
      </c>
      <c r="AH499" s="186">
        <f t="shared" si="255"/>
        <v>0</v>
      </c>
      <c r="AI499" s="186">
        <f t="shared" si="255"/>
        <v>0</v>
      </c>
      <c r="AJ499" s="186">
        <f t="shared" si="255"/>
        <v>0</v>
      </c>
      <c r="AK499" s="186">
        <f t="shared" si="255"/>
        <v>0</v>
      </c>
      <c r="AL499" s="186">
        <f t="shared" si="255"/>
        <v>0</v>
      </c>
      <c r="AM499" s="186">
        <f t="shared" si="255"/>
        <v>0</v>
      </c>
      <c r="AN499" s="186">
        <f t="shared" ref="AN499:AP499" si="258">AN364</f>
        <v>0</v>
      </c>
      <c r="AO499" s="186">
        <f t="shared" si="258"/>
        <v>0</v>
      </c>
      <c r="AP499" s="186">
        <f t="shared" si="258"/>
        <v>0</v>
      </c>
    </row>
    <row r="500" spans="1:42">
      <c r="A500" s="118">
        <f t="shared" si="257"/>
        <v>8</v>
      </c>
      <c r="C500" s="186">
        <f t="shared" si="256"/>
        <v>0</v>
      </c>
      <c r="D500" s="186">
        <f t="shared" si="256"/>
        <v>0</v>
      </c>
      <c r="E500" s="186">
        <f t="shared" si="256"/>
        <v>0</v>
      </c>
      <c r="F500" s="186">
        <f t="shared" si="256"/>
        <v>0</v>
      </c>
      <c r="G500" s="186">
        <f t="shared" si="256"/>
        <v>0</v>
      </c>
      <c r="H500" s="186">
        <f t="shared" si="256"/>
        <v>0</v>
      </c>
      <c r="I500" s="186">
        <f t="shared" si="256"/>
        <v>0</v>
      </c>
      <c r="J500" s="186">
        <f t="shared" si="256"/>
        <v>0</v>
      </c>
      <c r="K500" s="186">
        <f t="shared" si="256"/>
        <v>0</v>
      </c>
      <c r="L500" s="186">
        <f t="shared" si="256"/>
        <v>0</v>
      </c>
      <c r="M500" s="186">
        <f t="shared" si="256"/>
        <v>0</v>
      </c>
      <c r="N500" s="186">
        <f t="shared" si="256"/>
        <v>0</v>
      </c>
      <c r="O500" s="186">
        <f t="shared" si="256"/>
        <v>0</v>
      </c>
      <c r="P500" s="186">
        <f t="shared" si="256"/>
        <v>0</v>
      </c>
      <c r="Q500" s="186">
        <f t="shared" si="256"/>
        <v>0</v>
      </c>
      <c r="R500" s="186">
        <f t="shared" si="256"/>
        <v>0</v>
      </c>
      <c r="S500" s="186">
        <f t="shared" ref="D500:AP502" si="259">S365</f>
        <v>0</v>
      </c>
      <c r="T500" s="186">
        <f t="shared" si="259"/>
        <v>0</v>
      </c>
      <c r="U500" s="186">
        <f t="shared" si="259"/>
        <v>0</v>
      </c>
      <c r="V500" s="186">
        <f t="shared" si="259"/>
        <v>0</v>
      </c>
      <c r="W500" s="186">
        <f t="shared" si="259"/>
        <v>0</v>
      </c>
      <c r="X500" s="186">
        <f t="shared" si="259"/>
        <v>0</v>
      </c>
      <c r="Y500" s="186">
        <f t="shared" si="259"/>
        <v>0</v>
      </c>
      <c r="Z500" s="186">
        <f t="shared" si="259"/>
        <v>0</v>
      </c>
      <c r="AA500" s="186">
        <f t="shared" si="259"/>
        <v>0</v>
      </c>
      <c r="AB500" s="186">
        <f t="shared" si="259"/>
        <v>0</v>
      </c>
      <c r="AC500" s="186">
        <f t="shared" si="259"/>
        <v>0</v>
      </c>
      <c r="AD500" s="186">
        <f t="shared" si="259"/>
        <v>0</v>
      </c>
      <c r="AE500" s="186">
        <f t="shared" si="259"/>
        <v>0</v>
      </c>
      <c r="AF500" s="186">
        <f t="shared" si="259"/>
        <v>0</v>
      </c>
      <c r="AG500" s="186">
        <f t="shared" si="259"/>
        <v>0</v>
      </c>
      <c r="AH500" s="186">
        <f t="shared" si="259"/>
        <v>0</v>
      </c>
      <c r="AI500" s="186">
        <f t="shared" si="259"/>
        <v>0</v>
      </c>
      <c r="AJ500" s="186">
        <f t="shared" si="259"/>
        <v>0</v>
      </c>
      <c r="AK500" s="186">
        <f t="shared" si="259"/>
        <v>0</v>
      </c>
      <c r="AL500" s="186">
        <f t="shared" si="259"/>
        <v>0</v>
      </c>
      <c r="AM500" s="186">
        <f t="shared" si="259"/>
        <v>0</v>
      </c>
      <c r="AN500" s="186">
        <f t="shared" si="259"/>
        <v>0</v>
      </c>
      <c r="AO500" s="186">
        <f t="shared" si="259"/>
        <v>0</v>
      </c>
      <c r="AP500" s="186">
        <f t="shared" si="259"/>
        <v>0</v>
      </c>
    </row>
    <row r="501" spans="1:42">
      <c r="A501" s="118">
        <f>A500+1</f>
        <v>9</v>
      </c>
      <c r="C501" s="186">
        <f t="shared" si="256"/>
        <v>0</v>
      </c>
      <c r="D501" s="186">
        <f t="shared" si="259"/>
        <v>0</v>
      </c>
      <c r="E501" s="186">
        <f t="shared" si="259"/>
        <v>0</v>
      </c>
      <c r="F501" s="186">
        <f t="shared" si="259"/>
        <v>0</v>
      </c>
      <c r="G501" s="186">
        <f t="shared" si="259"/>
        <v>0</v>
      </c>
      <c r="H501" s="186">
        <f t="shared" si="259"/>
        <v>0</v>
      </c>
      <c r="I501" s="186">
        <f t="shared" si="259"/>
        <v>0</v>
      </c>
      <c r="J501" s="186">
        <f t="shared" si="259"/>
        <v>0</v>
      </c>
      <c r="K501" s="186">
        <f t="shared" si="259"/>
        <v>0</v>
      </c>
      <c r="L501" s="186">
        <f t="shared" si="259"/>
        <v>0</v>
      </c>
      <c r="M501" s="186">
        <f t="shared" si="259"/>
        <v>0</v>
      </c>
      <c r="N501" s="186">
        <f t="shared" si="259"/>
        <v>0</v>
      </c>
      <c r="O501" s="186">
        <f t="shared" si="259"/>
        <v>0</v>
      </c>
      <c r="P501" s="186">
        <f t="shared" si="259"/>
        <v>0</v>
      </c>
      <c r="Q501" s="186">
        <f t="shared" si="259"/>
        <v>0</v>
      </c>
      <c r="R501" s="186">
        <f t="shared" si="259"/>
        <v>0</v>
      </c>
      <c r="S501" s="186">
        <f t="shared" si="259"/>
        <v>0</v>
      </c>
      <c r="T501" s="186">
        <f t="shared" si="259"/>
        <v>0</v>
      </c>
      <c r="U501" s="186">
        <f t="shared" si="259"/>
        <v>0</v>
      </c>
      <c r="V501" s="186">
        <f t="shared" si="259"/>
        <v>0</v>
      </c>
      <c r="W501" s="186">
        <f t="shared" si="259"/>
        <v>0</v>
      </c>
      <c r="X501" s="186">
        <f t="shared" si="259"/>
        <v>0</v>
      </c>
      <c r="Y501" s="186">
        <f t="shared" si="259"/>
        <v>0</v>
      </c>
      <c r="Z501" s="186">
        <f t="shared" si="259"/>
        <v>0</v>
      </c>
      <c r="AA501" s="186">
        <f t="shared" si="259"/>
        <v>0</v>
      </c>
      <c r="AB501" s="186">
        <f t="shared" si="259"/>
        <v>0</v>
      </c>
      <c r="AC501" s="186">
        <f t="shared" si="259"/>
        <v>0</v>
      </c>
      <c r="AD501" s="186">
        <f t="shared" si="259"/>
        <v>0</v>
      </c>
      <c r="AE501" s="186">
        <f t="shared" si="259"/>
        <v>0</v>
      </c>
      <c r="AF501" s="186">
        <f t="shared" si="259"/>
        <v>0</v>
      </c>
      <c r="AG501" s="186">
        <f t="shared" si="259"/>
        <v>0</v>
      </c>
      <c r="AH501" s="186">
        <f t="shared" si="259"/>
        <v>0</v>
      </c>
      <c r="AI501" s="186">
        <f t="shared" si="259"/>
        <v>0</v>
      </c>
      <c r="AJ501" s="186">
        <f t="shared" si="259"/>
        <v>0</v>
      </c>
      <c r="AK501" s="186">
        <f t="shared" si="259"/>
        <v>0</v>
      </c>
      <c r="AL501" s="186">
        <f t="shared" si="259"/>
        <v>0</v>
      </c>
      <c r="AM501" s="186">
        <f t="shared" si="259"/>
        <v>0</v>
      </c>
      <c r="AN501" s="186">
        <f t="shared" si="259"/>
        <v>0</v>
      </c>
      <c r="AO501" s="186">
        <f t="shared" si="259"/>
        <v>0</v>
      </c>
      <c r="AP501" s="186">
        <f t="shared" si="259"/>
        <v>0</v>
      </c>
    </row>
    <row r="502" spans="1:42">
      <c r="A502" s="118">
        <f t="shared" ref="A502" si="260">A501+1</f>
        <v>10</v>
      </c>
      <c r="C502" s="186">
        <f t="shared" si="256"/>
        <v>0</v>
      </c>
      <c r="D502" s="186">
        <f t="shared" si="259"/>
        <v>0</v>
      </c>
      <c r="E502" s="186">
        <f t="shared" si="259"/>
        <v>0</v>
      </c>
      <c r="F502" s="186">
        <f t="shared" si="259"/>
        <v>0</v>
      </c>
      <c r="G502" s="186">
        <f t="shared" si="259"/>
        <v>0</v>
      </c>
      <c r="H502" s="186">
        <f t="shared" si="259"/>
        <v>0</v>
      </c>
      <c r="I502" s="186">
        <f t="shared" si="259"/>
        <v>0</v>
      </c>
      <c r="J502" s="186">
        <f t="shared" si="259"/>
        <v>0</v>
      </c>
      <c r="K502" s="186">
        <f t="shared" si="259"/>
        <v>0</v>
      </c>
      <c r="L502" s="186">
        <f t="shared" si="259"/>
        <v>0</v>
      </c>
      <c r="M502" s="186">
        <f t="shared" si="259"/>
        <v>0</v>
      </c>
      <c r="N502" s="186">
        <f t="shared" si="259"/>
        <v>0</v>
      </c>
      <c r="O502" s="186">
        <f t="shared" si="259"/>
        <v>0</v>
      </c>
      <c r="P502" s="186">
        <f t="shared" si="259"/>
        <v>0</v>
      </c>
      <c r="Q502" s="186">
        <f t="shared" si="259"/>
        <v>0</v>
      </c>
      <c r="R502" s="186">
        <f t="shared" si="259"/>
        <v>0</v>
      </c>
      <c r="S502" s="186">
        <f t="shared" si="259"/>
        <v>0</v>
      </c>
      <c r="T502" s="186">
        <f t="shared" si="259"/>
        <v>0</v>
      </c>
      <c r="U502" s="186">
        <f t="shared" si="259"/>
        <v>0</v>
      </c>
      <c r="V502" s="186">
        <f t="shared" si="259"/>
        <v>0</v>
      </c>
      <c r="W502" s="186">
        <f t="shared" si="259"/>
        <v>0</v>
      </c>
      <c r="X502" s="186">
        <f t="shared" si="259"/>
        <v>0</v>
      </c>
      <c r="Y502" s="186">
        <f t="shared" si="259"/>
        <v>0</v>
      </c>
      <c r="Z502" s="186">
        <f t="shared" si="259"/>
        <v>0</v>
      </c>
      <c r="AA502" s="186">
        <f t="shared" si="259"/>
        <v>0</v>
      </c>
      <c r="AB502" s="186">
        <f t="shared" si="259"/>
        <v>0</v>
      </c>
      <c r="AC502" s="186">
        <f t="shared" si="259"/>
        <v>0</v>
      </c>
      <c r="AD502" s="186">
        <f t="shared" si="259"/>
        <v>0</v>
      </c>
      <c r="AE502" s="186">
        <f t="shared" si="259"/>
        <v>0</v>
      </c>
      <c r="AF502" s="186">
        <f t="shared" si="259"/>
        <v>0</v>
      </c>
      <c r="AG502" s="186">
        <f t="shared" si="259"/>
        <v>0</v>
      </c>
      <c r="AH502" s="186">
        <f t="shared" si="259"/>
        <v>0</v>
      </c>
      <c r="AI502" s="186">
        <f t="shared" si="259"/>
        <v>0</v>
      </c>
      <c r="AJ502" s="186">
        <f t="shared" si="259"/>
        <v>0</v>
      </c>
      <c r="AK502" s="186">
        <f t="shared" si="259"/>
        <v>0</v>
      </c>
      <c r="AL502" s="186">
        <f t="shared" si="259"/>
        <v>0</v>
      </c>
      <c r="AM502" s="186">
        <f t="shared" si="259"/>
        <v>0</v>
      </c>
      <c r="AN502" s="186">
        <f t="shared" si="259"/>
        <v>0</v>
      </c>
      <c r="AO502" s="186">
        <f t="shared" si="259"/>
        <v>0</v>
      </c>
      <c r="AP502" s="186">
        <f t="shared" si="259"/>
        <v>0</v>
      </c>
    </row>
    <row r="503" spans="1:42">
      <c r="A503" s="204"/>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A504" s="204" t="s">
        <v>211</v>
      </c>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118">
        <v>1</v>
      </c>
      <c r="B505" s="196">
        <f t="shared" ref="B505:B514" si="261">SUM(C505:AP505)</f>
        <v>6158778.6534697898</v>
      </c>
      <c r="C505" s="225">
        <f t="shared" ref="C505:AP505" si="262">LOOKUP(C493,$B$462:$AP$462,$B$463:$AP$463)*$B643</f>
        <v>0</v>
      </c>
      <c r="D505" s="186">
        <f t="shared" si="262"/>
        <v>0</v>
      </c>
      <c r="E505" s="186">
        <f t="shared" si="262"/>
        <v>0</v>
      </c>
      <c r="F505" s="186">
        <f t="shared" si="262"/>
        <v>0</v>
      </c>
      <c r="G505" s="186">
        <f t="shared" si="262"/>
        <v>0</v>
      </c>
      <c r="H505" s="186">
        <f t="shared" si="262"/>
        <v>0</v>
      </c>
      <c r="I505" s="186">
        <f t="shared" si="262"/>
        <v>0</v>
      </c>
      <c r="J505" s="186">
        <f t="shared" si="262"/>
        <v>0</v>
      </c>
      <c r="K505" s="186">
        <f t="shared" si="262"/>
        <v>0</v>
      </c>
      <c r="L505" s="186">
        <f t="shared" si="262"/>
        <v>0</v>
      </c>
      <c r="M505" s="186">
        <f t="shared" si="262"/>
        <v>0</v>
      </c>
      <c r="N505" s="186">
        <f t="shared" si="262"/>
        <v>0</v>
      </c>
      <c r="O505" s="186">
        <f t="shared" si="262"/>
        <v>0</v>
      </c>
      <c r="P505" s="186">
        <f t="shared" si="262"/>
        <v>0</v>
      </c>
      <c r="Q505" s="186">
        <f t="shared" si="262"/>
        <v>1231755.7306939578</v>
      </c>
      <c r="R505" s="186">
        <f t="shared" si="262"/>
        <v>1970809.1691103324</v>
      </c>
      <c r="S505" s="186">
        <f t="shared" si="262"/>
        <v>1182485.5014661995</v>
      </c>
      <c r="T505" s="186">
        <f t="shared" si="262"/>
        <v>709491.30087971967</v>
      </c>
      <c r="U505" s="186">
        <f t="shared" si="262"/>
        <v>709491.30087971967</v>
      </c>
      <c r="V505" s="186">
        <f t="shared" si="262"/>
        <v>354745.65043985983</v>
      </c>
      <c r="W505" s="186">
        <f t="shared" si="262"/>
        <v>0</v>
      </c>
      <c r="X505" s="186">
        <f t="shared" si="262"/>
        <v>0</v>
      </c>
      <c r="Y505" s="186">
        <f t="shared" si="262"/>
        <v>0</v>
      </c>
      <c r="Z505" s="186">
        <f t="shared" si="262"/>
        <v>0</v>
      </c>
      <c r="AA505" s="186">
        <f t="shared" si="262"/>
        <v>0</v>
      </c>
      <c r="AB505" s="186">
        <f t="shared" si="262"/>
        <v>0</v>
      </c>
      <c r="AC505" s="186">
        <f t="shared" si="262"/>
        <v>0</v>
      </c>
      <c r="AD505" s="186">
        <f t="shared" si="262"/>
        <v>0</v>
      </c>
      <c r="AE505" s="186">
        <f t="shared" si="262"/>
        <v>0</v>
      </c>
      <c r="AF505" s="186">
        <f t="shared" si="262"/>
        <v>0</v>
      </c>
      <c r="AG505" s="186">
        <f t="shared" si="262"/>
        <v>0</v>
      </c>
      <c r="AH505" s="186">
        <f t="shared" si="262"/>
        <v>0</v>
      </c>
      <c r="AI505" s="186">
        <f t="shared" si="262"/>
        <v>0</v>
      </c>
      <c r="AJ505" s="186">
        <f t="shared" si="262"/>
        <v>0</v>
      </c>
      <c r="AK505" s="186">
        <f t="shared" si="262"/>
        <v>0</v>
      </c>
      <c r="AL505" s="186">
        <f t="shared" si="262"/>
        <v>0</v>
      </c>
      <c r="AM505" s="186">
        <f t="shared" si="262"/>
        <v>0</v>
      </c>
      <c r="AN505" s="186">
        <f t="shared" si="262"/>
        <v>0</v>
      </c>
      <c r="AO505" s="186">
        <f t="shared" si="262"/>
        <v>0</v>
      </c>
      <c r="AP505" s="186">
        <f t="shared" si="262"/>
        <v>0</v>
      </c>
    </row>
    <row r="506" spans="1:42">
      <c r="A506" s="118">
        <f>A505+1</f>
        <v>2</v>
      </c>
      <c r="B506" s="196">
        <f t="shared" si="261"/>
        <v>1539980.512798867</v>
      </c>
      <c r="C506" s="225">
        <f t="shared" ref="C506:AP506" si="263">LOOKUP(C494,$B$462:$AP$462,$B$463:$AP$463)*$B644</f>
        <v>0</v>
      </c>
      <c r="D506" s="186">
        <f t="shared" si="263"/>
        <v>0</v>
      </c>
      <c r="E506" s="186">
        <f t="shared" si="263"/>
        <v>0</v>
      </c>
      <c r="F506" s="186">
        <f t="shared" si="263"/>
        <v>0</v>
      </c>
      <c r="G506" s="186">
        <f t="shared" si="263"/>
        <v>0</v>
      </c>
      <c r="H506" s="186">
        <f t="shared" si="263"/>
        <v>0</v>
      </c>
      <c r="I506" s="186">
        <f t="shared" si="263"/>
        <v>0</v>
      </c>
      <c r="J506" s="186">
        <f t="shared" si="263"/>
        <v>0</v>
      </c>
      <c r="K506" s="186">
        <f t="shared" si="263"/>
        <v>0</v>
      </c>
      <c r="L506" s="186">
        <f t="shared" si="263"/>
        <v>0</v>
      </c>
      <c r="M506" s="186">
        <f t="shared" si="263"/>
        <v>0</v>
      </c>
      <c r="N506" s="186">
        <f t="shared" si="263"/>
        <v>0</v>
      </c>
      <c r="O506" s="186">
        <f t="shared" si="263"/>
        <v>0</v>
      </c>
      <c r="P506" s="186">
        <f t="shared" si="263"/>
        <v>0</v>
      </c>
      <c r="Q506" s="186">
        <f t="shared" si="263"/>
        <v>0</v>
      </c>
      <c r="R506" s="186">
        <f t="shared" si="263"/>
        <v>0</v>
      </c>
      <c r="S506" s="186">
        <f t="shared" si="263"/>
        <v>0</v>
      </c>
      <c r="T506" s="186">
        <f t="shared" si="263"/>
        <v>0</v>
      </c>
      <c r="U506" s="186">
        <f t="shared" si="263"/>
        <v>0</v>
      </c>
      <c r="V506" s="186">
        <f t="shared" si="263"/>
        <v>0</v>
      </c>
      <c r="W506" s="186">
        <f t="shared" si="263"/>
        <v>0</v>
      </c>
      <c r="X506" s="186">
        <f t="shared" si="263"/>
        <v>0</v>
      </c>
      <c r="Y506" s="186">
        <f t="shared" si="263"/>
        <v>0</v>
      </c>
      <c r="Z506" s="186">
        <f t="shared" si="263"/>
        <v>0</v>
      </c>
      <c r="AA506" s="186">
        <f t="shared" si="263"/>
        <v>0</v>
      </c>
      <c r="AB506" s="186">
        <f t="shared" si="263"/>
        <v>0</v>
      </c>
      <c r="AC506" s="186">
        <f t="shared" si="263"/>
        <v>0</v>
      </c>
      <c r="AD506" s="186">
        <f t="shared" si="263"/>
        <v>0</v>
      </c>
      <c r="AE506" s="186">
        <f t="shared" si="263"/>
        <v>0</v>
      </c>
      <c r="AF506" s="186">
        <f t="shared" si="263"/>
        <v>1539980.512798867</v>
      </c>
      <c r="AG506" s="186">
        <f t="shared" si="263"/>
        <v>0</v>
      </c>
      <c r="AH506" s="186">
        <f t="shared" si="263"/>
        <v>0</v>
      </c>
      <c r="AI506" s="186">
        <f t="shared" si="263"/>
        <v>0</v>
      </c>
      <c r="AJ506" s="186">
        <f t="shared" si="263"/>
        <v>0</v>
      </c>
      <c r="AK506" s="186">
        <f t="shared" si="263"/>
        <v>0</v>
      </c>
      <c r="AL506" s="186">
        <f t="shared" si="263"/>
        <v>0</v>
      </c>
      <c r="AM506" s="186">
        <f t="shared" si="263"/>
        <v>0</v>
      </c>
      <c r="AN506" s="186">
        <f t="shared" si="263"/>
        <v>0</v>
      </c>
      <c r="AO506" s="186">
        <f t="shared" si="263"/>
        <v>0</v>
      </c>
      <c r="AP506" s="186">
        <f t="shared" si="263"/>
        <v>0</v>
      </c>
    </row>
    <row r="507" spans="1:42">
      <c r="A507" s="118">
        <f t="shared" ref="A507:A512" si="264">A506+1</f>
        <v>3</v>
      </c>
      <c r="B507" s="196">
        <f t="shared" si="261"/>
        <v>0</v>
      </c>
      <c r="C507" s="225">
        <f t="shared" ref="C507:AP507" si="265">LOOKUP(C495,$B$462:$AP$462,$B$463:$AP$463)*$B645</f>
        <v>0</v>
      </c>
      <c r="D507" s="186">
        <f t="shared" si="265"/>
        <v>0</v>
      </c>
      <c r="E507" s="186">
        <f t="shared" si="265"/>
        <v>0</v>
      </c>
      <c r="F507" s="186">
        <f t="shared" si="265"/>
        <v>0</v>
      </c>
      <c r="G507" s="186">
        <f t="shared" si="265"/>
        <v>0</v>
      </c>
      <c r="H507" s="186">
        <f t="shared" si="265"/>
        <v>0</v>
      </c>
      <c r="I507" s="186">
        <f t="shared" si="265"/>
        <v>0</v>
      </c>
      <c r="J507" s="186">
        <f t="shared" si="265"/>
        <v>0</v>
      </c>
      <c r="K507" s="186">
        <f t="shared" si="265"/>
        <v>0</v>
      </c>
      <c r="L507" s="186">
        <f t="shared" si="265"/>
        <v>0</v>
      </c>
      <c r="M507" s="186">
        <f t="shared" si="265"/>
        <v>0</v>
      </c>
      <c r="N507" s="186">
        <f t="shared" si="265"/>
        <v>0</v>
      </c>
      <c r="O507" s="186">
        <f t="shared" si="265"/>
        <v>0</v>
      </c>
      <c r="P507" s="186">
        <f t="shared" si="265"/>
        <v>0</v>
      </c>
      <c r="Q507" s="186">
        <f t="shared" si="265"/>
        <v>0</v>
      </c>
      <c r="R507" s="186">
        <f t="shared" si="265"/>
        <v>0</v>
      </c>
      <c r="S507" s="186">
        <f t="shared" si="265"/>
        <v>0</v>
      </c>
      <c r="T507" s="186">
        <f t="shared" si="265"/>
        <v>0</v>
      </c>
      <c r="U507" s="186">
        <f t="shared" si="265"/>
        <v>0</v>
      </c>
      <c r="V507" s="186">
        <f t="shared" si="265"/>
        <v>0</v>
      </c>
      <c r="W507" s="186">
        <f t="shared" si="265"/>
        <v>0</v>
      </c>
      <c r="X507" s="186">
        <f t="shared" si="265"/>
        <v>0</v>
      </c>
      <c r="Y507" s="186">
        <f t="shared" si="265"/>
        <v>0</v>
      </c>
      <c r="Z507" s="186">
        <f t="shared" si="265"/>
        <v>0</v>
      </c>
      <c r="AA507" s="186">
        <f t="shared" si="265"/>
        <v>0</v>
      </c>
      <c r="AB507" s="186">
        <f t="shared" si="265"/>
        <v>0</v>
      </c>
      <c r="AC507" s="186">
        <f t="shared" si="265"/>
        <v>0</v>
      </c>
      <c r="AD507" s="186">
        <f t="shared" si="265"/>
        <v>0</v>
      </c>
      <c r="AE507" s="186">
        <f t="shared" si="265"/>
        <v>0</v>
      </c>
      <c r="AF507" s="186">
        <f t="shared" si="265"/>
        <v>0</v>
      </c>
      <c r="AG507" s="186">
        <f t="shared" si="265"/>
        <v>0</v>
      </c>
      <c r="AH507" s="186">
        <f t="shared" si="265"/>
        <v>0</v>
      </c>
      <c r="AI507" s="186">
        <f t="shared" si="265"/>
        <v>0</v>
      </c>
      <c r="AJ507" s="186">
        <f t="shared" si="265"/>
        <v>0</v>
      </c>
      <c r="AK507" s="186">
        <f t="shared" si="265"/>
        <v>0</v>
      </c>
      <c r="AL507" s="186">
        <f t="shared" si="265"/>
        <v>0</v>
      </c>
      <c r="AM507" s="186">
        <f t="shared" si="265"/>
        <v>0</v>
      </c>
      <c r="AN507" s="186">
        <f t="shared" si="265"/>
        <v>0</v>
      </c>
      <c r="AO507" s="186">
        <f t="shared" si="265"/>
        <v>0</v>
      </c>
      <c r="AP507" s="186">
        <f t="shared" si="265"/>
        <v>0</v>
      </c>
    </row>
    <row r="508" spans="1:42">
      <c r="A508" s="118">
        <f t="shared" si="264"/>
        <v>4</v>
      </c>
      <c r="B508" s="196">
        <f t="shared" si="261"/>
        <v>0</v>
      </c>
      <c r="C508" s="225">
        <f t="shared" ref="C508:AP508" si="266">LOOKUP(C496,$B$462:$AP$462,$B$463:$AP$463)*$B646</f>
        <v>0</v>
      </c>
      <c r="D508" s="186">
        <f t="shared" si="266"/>
        <v>0</v>
      </c>
      <c r="E508" s="186">
        <f t="shared" si="266"/>
        <v>0</v>
      </c>
      <c r="F508" s="186">
        <f t="shared" si="266"/>
        <v>0</v>
      </c>
      <c r="G508" s="186">
        <f t="shared" si="266"/>
        <v>0</v>
      </c>
      <c r="H508" s="186">
        <f t="shared" si="266"/>
        <v>0</v>
      </c>
      <c r="I508" s="186">
        <f t="shared" si="266"/>
        <v>0</v>
      </c>
      <c r="J508" s="186">
        <f t="shared" si="266"/>
        <v>0</v>
      </c>
      <c r="K508" s="186">
        <f t="shared" si="266"/>
        <v>0</v>
      </c>
      <c r="L508" s="186">
        <f t="shared" si="266"/>
        <v>0</v>
      </c>
      <c r="M508" s="186">
        <f t="shared" si="266"/>
        <v>0</v>
      </c>
      <c r="N508" s="186">
        <f t="shared" si="266"/>
        <v>0</v>
      </c>
      <c r="O508" s="186">
        <f t="shared" si="266"/>
        <v>0</v>
      </c>
      <c r="P508" s="186">
        <f t="shared" si="266"/>
        <v>0</v>
      </c>
      <c r="Q508" s="186">
        <f t="shared" si="266"/>
        <v>0</v>
      </c>
      <c r="R508" s="186">
        <f t="shared" si="266"/>
        <v>0</v>
      </c>
      <c r="S508" s="186">
        <f t="shared" si="266"/>
        <v>0</v>
      </c>
      <c r="T508" s="186">
        <f t="shared" si="266"/>
        <v>0</v>
      </c>
      <c r="U508" s="186">
        <f t="shared" si="266"/>
        <v>0</v>
      </c>
      <c r="V508" s="186">
        <f t="shared" si="266"/>
        <v>0</v>
      </c>
      <c r="W508" s="186">
        <f t="shared" si="266"/>
        <v>0</v>
      </c>
      <c r="X508" s="186">
        <f t="shared" si="266"/>
        <v>0</v>
      </c>
      <c r="Y508" s="186">
        <f t="shared" si="266"/>
        <v>0</v>
      </c>
      <c r="Z508" s="186">
        <f t="shared" si="266"/>
        <v>0</v>
      </c>
      <c r="AA508" s="186">
        <f t="shared" si="266"/>
        <v>0</v>
      </c>
      <c r="AB508" s="186">
        <f t="shared" si="266"/>
        <v>0</v>
      </c>
      <c r="AC508" s="186">
        <f t="shared" si="266"/>
        <v>0</v>
      </c>
      <c r="AD508" s="186">
        <f t="shared" si="266"/>
        <v>0</v>
      </c>
      <c r="AE508" s="186">
        <f t="shared" si="266"/>
        <v>0</v>
      </c>
      <c r="AF508" s="186">
        <f t="shared" si="266"/>
        <v>0</v>
      </c>
      <c r="AG508" s="186">
        <f t="shared" si="266"/>
        <v>0</v>
      </c>
      <c r="AH508" s="186">
        <f t="shared" si="266"/>
        <v>0</v>
      </c>
      <c r="AI508" s="186">
        <f t="shared" si="266"/>
        <v>0</v>
      </c>
      <c r="AJ508" s="186">
        <f t="shared" si="266"/>
        <v>0</v>
      </c>
      <c r="AK508" s="186">
        <f t="shared" si="266"/>
        <v>0</v>
      </c>
      <c r="AL508" s="186">
        <f t="shared" si="266"/>
        <v>0</v>
      </c>
      <c r="AM508" s="186">
        <f t="shared" si="266"/>
        <v>0</v>
      </c>
      <c r="AN508" s="186">
        <f t="shared" si="266"/>
        <v>0</v>
      </c>
      <c r="AO508" s="186">
        <f t="shared" si="266"/>
        <v>0</v>
      </c>
      <c r="AP508" s="186">
        <f t="shared" si="266"/>
        <v>0</v>
      </c>
    </row>
    <row r="509" spans="1:42">
      <c r="A509" s="118">
        <f t="shared" si="264"/>
        <v>5</v>
      </c>
      <c r="B509" s="196">
        <f t="shared" si="261"/>
        <v>0</v>
      </c>
      <c r="C509" s="225">
        <f t="shared" ref="C509:AP509" si="267">LOOKUP(C497,$B$462:$AP$462,$B$463:$AP$463)*$B647</f>
        <v>0</v>
      </c>
      <c r="D509" s="186">
        <f t="shared" si="267"/>
        <v>0</v>
      </c>
      <c r="E509" s="186">
        <f t="shared" si="267"/>
        <v>0</v>
      </c>
      <c r="F509" s="186">
        <f t="shared" si="267"/>
        <v>0</v>
      </c>
      <c r="G509" s="186">
        <f t="shared" si="267"/>
        <v>0</v>
      </c>
      <c r="H509" s="186">
        <f t="shared" si="267"/>
        <v>0</v>
      </c>
      <c r="I509" s="186">
        <f t="shared" si="267"/>
        <v>0</v>
      </c>
      <c r="J509" s="186">
        <f t="shared" si="267"/>
        <v>0</v>
      </c>
      <c r="K509" s="186">
        <f t="shared" si="267"/>
        <v>0</v>
      </c>
      <c r="L509" s="186">
        <f t="shared" si="267"/>
        <v>0</v>
      </c>
      <c r="M509" s="186">
        <f t="shared" si="267"/>
        <v>0</v>
      </c>
      <c r="N509" s="186">
        <f t="shared" si="267"/>
        <v>0</v>
      </c>
      <c r="O509" s="186">
        <f t="shared" si="267"/>
        <v>0</v>
      </c>
      <c r="P509" s="186">
        <f t="shared" si="267"/>
        <v>0</v>
      </c>
      <c r="Q509" s="186">
        <f t="shared" si="267"/>
        <v>0</v>
      </c>
      <c r="R509" s="186">
        <f t="shared" si="267"/>
        <v>0</v>
      </c>
      <c r="S509" s="186">
        <f t="shared" si="267"/>
        <v>0</v>
      </c>
      <c r="T509" s="186">
        <f t="shared" si="267"/>
        <v>0</v>
      </c>
      <c r="U509" s="186">
        <f t="shared" si="267"/>
        <v>0</v>
      </c>
      <c r="V509" s="186">
        <f t="shared" si="267"/>
        <v>0</v>
      </c>
      <c r="W509" s="186">
        <f t="shared" si="267"/>
        <v>0</v>
      </c>
      <c r="X509" s="186">
        <f t="shared" si="267"/>
        <v>0</v>
      </c>
      <c r="Y509" s="186">
        <f t="shared" si="267"/>
        <v>0</v>
      </c>
      <c r="Z509" s="186">
        <f t="shared" si="267"/>
        <v>0</v>
      </c>
      <c r="AA509" s="186">
        <f t="shared" si="267"/>
        <v>0</v>
      </c>
      <c r="AB509" s="186">
        <f t="shared" si="267"/>
        <v>0</v>
      </c>
      <c r="AC509" s="186">
        <f t="shared" si="267"/>
        <v>0</v>
      </c>
      <c r="AD509" s="186">
        <f t="shared" si="267"/>
        <v>0</v>
      </c>
      <c r="AE509" s="186">
        <f t="shared" si="267"/>
        <v>0</v>
      </c>
      <c r="AF509" s="186">
        <f t="shared" si="267"/>
        <v>0</v>
      </c>
      <c r="AG509" s="186">
        <f t="shared" si="267"/>
        <v>0</v>
      </c>
      <c r="AH509" s="186">
        <f t="shared" si="267"/>
        <v>0</v>
      </c>
      <c r="AI509" s="186">
        <f t="shared" si="267"/>
        <v>0</v>
      </c>
      <c r="AJ509" s="186">
        <f t="shared" si="267"/>
        <v>0</v>
      </c>
      <c r="AK509" s="186">
        <f t="shared" si="267"/>
        <v>0</v>
      </c>
      <c r="AL509" s="186">
        <f t="shared" si="267"/>
        <v>0</v>
      </c>
      <c r="AM509" s="186">
        <f t="shared" si="267"/>
        <v>0</v>
      </c>
      <c r="AN509" s="186">
        <f t="shared" si="267"/>
        <v>0</v>
      </c>
      <c r="AO509" s="186">
        <f t="shared" si="267"/>
        <v>0</v>
      </c>
      <c r="AP509" s="186">
        <f t="shared" si="267"/>
        <v>0</v>
      </c>
    </row>
    <row r="510" spans="1:42">
      <c r="A510" s="118">
        <f t="shared" si="264"/>
        <v>6</v>
      </c>
      <c r="B510" s="196">
        <f t="shared" si="261"/>
        <v>0</v>
      </c>
      <c r="C510" s="225">
        <f t="shared" ref="C510:AP510" si="268">LOOKUP(C498,$B$462:$AP$462,$B$463:$AP$463)*$B648</f>
        <v>0</v>
      </c>
      <c r="D510" s="186">
        <f t="shared" si="268"/>
        <v>0</v>
      </c>
      <c r="E510" s="186">
        <f t="shared" si="268"/>
        <v>0</v>
      </c>
      <c r="F510" s="186">
        <f t="shared" si="268"/>
        <v>0</v>
      </c>
      <c r="G510" s="186">
        <f t="shared" si="268"/>
        <v>0</v>
      </c>
      <c r="H510" s="186">
        <f t="shared" si="268"/>
        <v>0</v>
      </c>
      <c r="I510" s="186">
        <f t="shared" si="268"/>
        <v>0</v>
      </c>
      <c r="J510" s="186">
        <f t="shared" si="268"/>
        <v>0</v>
      </c>
      <c r="K510" s="186">
        <f t="shared" si="268"/>
        <v>0</v>
      </c>
      <c r="L510" s="186">
        <f t="shared" si="268"/>
        <v>0</v>
      </c>
      <c r="M510" s="186">
        <f t="shared" si="268"/>
        <v>0</v>
      </c>
      <c r="N510" s="186">
        <f t="shared" si="268"/>
        <v>0</v>
      </c>
      <c r="O510" s="186">
        <f t="shared" si="268"/>
        <v>0</v>
      </c>
      <c r="P510" s="186">
        <f t="shared" si="268"/>
        <v>0</v>
      </c>
      <c r="Q510" s="186">
        <f t="shared" si="268"/>
        <v>0</v>
      </c>
      <c r="R510" s="186">
        <f t="shared" si="268"/>
        <v>0</v>
      </c>
      <c r="S510" s="186">
        <f t="shared" si="268"/>
        <v>0</v>
      </c>
      <c r="T510" s="186">
        <f t="shared" si="268"/>
        <v>0</v>
      </c>
      <c r="U510" s="186">
        <f t="shared" si="268"/>
        <v>0</v>
      </c>
      <c r="V510" s="186">
        <f t="shared" si="268"/>
        <v>0</v>
      </c>
      <c r="W510" s="186">
        <f t="shared" si="268"/>
        <v>0</v>
      </c>
      <c r="X510" s="186">
        <f t="shared" si="268"/>
        <v>0</v>
      </c>
      <c r="Y510" s="186">
        <f t="shared" si="268"/>
        <v>0</v>
      </c>
      <c r="Z510" s="186">
        <f t="shared" si="268"/>
        <v>0</v>
      </c>
      <c r="AA510" s="186">
        <f t="shared" si="268"/>
        <v>0</v>
      </c>
      <c r="AB510" s="186">
        <f t="shared" si="268"/>
        <v>0</v>
      </c>
      <c r="AC510" s="186">
        <f t="shared" si="268"/>
        <v>0</v>
      </c>
      <c r="AD510" s="186">
        <f t="shared" si="268"/>
        <v>0</v>
      </c>
      <c r="AE510" s="186">
        <f t="shared" si="268"/>
        <v>0</v>
      </c>
      <c r="AF510" s="186">
        <f t="shared" si="268"/>
        <v>0</v>
      </c>
      <c r="AG510" s="186">
        <f t="shared" si="268"/>
        <v>0</v>
      </c>
      <c r="AH510" s="186">
        <f t="shared" si="268"/>
        <v>0</v>
      </c>
      <c r="AI510" s="186">
        <f t="shared" si="268"/>
        <v>0</v>
      </c>
      <c r="AJ510" s="186">
        <f t="shared" si="268"/>
        <v>0</v>
      </c>
      <c r="AK510" s="186">
        <f t="shared" si="268"/>
        <v>0</v>
      </c>
      <c r="AL510" s="186">
        <f t="shared" si="268"/>
        <v>0</v>
      </c>
      <c r="AM510" s="186">
        <f t="shared" si="268"/>
        <v>0</v>
      </c>
      <c r="AN510" s="186">
        <f t="shared" si="268"/>
        <v>0</v>
      </c>
      <c r="AO510" s="186">
        <f t="shared" si="268"/>
        <v>0</v>
      </c>
      <c r="AP510" s="186">
        <f t="shared" si="268"/>
        <v>0</v>
      </c>
    </row>
    <row r="511" spans="1:42">
      <c r="A511" s="118">
        <f t="shared" si="264"/>
        <v>7</v>
      </c>
      <c r="B511" s="196">
        <f t="shared" si="261"/>
        <v>0</v>
      </c>
      <c r="C511" s="225">
        <f t="shared" ref="C511:AP511" si="269">LOOKUP(C499,$B$462:$AP$462,$B$463:$AP$463)*$B649</f>
        <v>0</v>
      </c>
      <c r="D511" s="186">
        <f t="shared" si="269"/>
        <v>0</v>
      </c>
      <c r="E511" s="186">
        <f t="shared" si="269"/>
        <v>0</v>
      </c>
      <c r="F511" s="186">
        <f t="shared" si="269"/>
        <v>0</v>
      </c>
      <c r="G511" s="186">
        <f t="shared" si="269"/>
        <v>0</v>
      </c>
      <c r="H511" s="186">
        <f t="shared" si="269"/>
        <v>0</v>
      </c>
      <c r="I511" s="186">
        <f t="shared" si="269"/>
        <v>0</v>
      </c>
      <c r="J511" s="186">
        <f t="shared" si="269"/>
        <v>0</v>
      </c>
      <c r="K511" s="186">
        <f t="shared" si="269"/>
        <v>0</v>
      </c>
      <c r="L511" s="186">
        <f t="shared" si="269"/>
        <v>0</v>
      </c>
      <c r="M511" s="186">
        <f t="shared" si="269"/>
        <v>0</v>
      </c>
      <c r="N511" s="186">
        <f t="shared" si="269"/>
        <v>0</v>
      </c>
      <c r="O511" s="186">
        <f t="shared" si="269"/>
        <v>0</v>
      </c>
      <c r="P511" s="186">
        <f t="shared" si="269"/>
        <v>0</v>
      </c>
      <c r="Q511" s="186">
        <f t="shared" si="269"/>
        <v>0</v>
      </c>
      <c r="R511" s="186">
        <f t="shared" si="269"/>
        <v>0</v>
      </c>
      <c r="S511" s="186">
        <f t="shared" si="269"/>
        <v>0</v>
      </c>
      <c r="T511" s="186">
        <f t="shared" si="269"/>
        <v>0</v>
      </c>
      <c r="U511" s="186">
        <f t="shared" si="269"/>
        <v>0</v>
      </c>
      <c r="V511" s="186">
        <f t="shared" si="269"/>
        <v>0</v>
      </c>
      <c r="W511" s="186">
        <f t="shared" si="269"/>
        <v>0</v>
      </c>
      <c r="X511" s="186">
        <f t="shared" si="269"/>
        <v>0</v>
      </c>
      <c r="Y511" s="186">
        <f t="shared" si="269"/>
        <v>0</v>
      </c>
      <c r="Z511" s="186">
        <f t="shared" si="269"/>
        <v>0</v>
      </c>
      <c r="AA511" s="186">
        <f t="shared" si="269"/>
        <v>0</v>
      </c>
      <c r="AB511" s="186">
        <f t="shared" si="269"/>
        <v>0</v>
      </c>
      <c r="AC511" s="186">
        <f t="shared" si="269"/>
        <v>0</v>
      </c>
      <c r="AD511" s="186">
        <f t="shared" si="269"/>
        <v>0</v>
      </c>
      <c r="AE511" s="186">
        <f t="shared" si="269"/>
        <v>0</v>
      </c>
      <c r="AF511" s="186">
        <f t="shared" si="269"/>
        <v>0</v>
      </c>
      <c r="AG511" s="186">
        <f t="shared" si="269"/>
        <v>0</v>
      </c>
      <c r="AH511" s="186">
        <f t="shared" si="269"/>
        <v>0</v>
      </c>
      <c r="AI511" s="186">
        <f t="shared" si="269"/>
        <v>0</v>
      </c>
      <c r="AJ511" s="186">
        <f t="shared" si="269"/>
        <v>0</v>
      </c>
      <c r="AK511" s="186">
        <f t="shared" si="269"/>
        <v>0</v>
      </c>
      <c r="AL511" s="186">
        <f t="shared" si="269"/>
        <v>0</v>
      </c>
      <c r="AM511" s="186">
        <f t="shared" si="269"/>
        <v>0</v>
      </c>
      <c r="AN511" s="186">
        <f t="shared" si="269"/>
        <v>0</v>
      </c>
      <c r="AO511" s="186">
        <f t="shared" si="269"/>
        <v>0</v>
      </c>
      <c r="AP511" s="186">
        <f t="shared" si="269"/>
        <v>0</v>
      </c>
    </row>
    <row r="512" spans="1:42">
      <c r="A512" s="118">
        <f t="shared" si="264"/>
        <v>8</v>
      </c>
      <c r="B512" s="196">
        <f t="shared" si="261"/>
        <v>0</v>
      </c>
      <c r="C512" s="225">
        <f t="shared" ref="C512:AP512" si="270">LOOKUP(C500,$B$462:$AP$462,$B$463:$AP$463)*$B650</f>
        <v>0</v>
      </c>
      <c r="D512" s="186">
        <f t="shared" si="270"/>
        <v>0</v>
      </c>
      <c r="E512" s="186">
        <f t="shared" si="270"/>
        <v>0</v>
      </c>
      <c r="F512" s="186">
        <f t="shared" si="270"/>
        <v>0</v>
      </c>
      <c r="G512" s="186">
        <f t="shared" si="270"/>
        <v>0</v>
      </c>
      <c r="H512" s="186">
        <f t="shared" si="270"/>
        <v>0</v>
      </c>
      <c r="I512" s="186">
        <f t="shared" si="270"/>
        <v>0</v>
      </c>
      <c r="J512" s="186">
        <f t="shared" si="270"/>
        <v>0</v>
      </c>
      <c r="K512" s="186">
        <f t="shared" si="270"/>
        <v>0</v>
      </c>
      <c r="L512" s="186">
        <f t="shared" si="270"/>
        <v>0</v>
      </c>
      <c r="M512" s="186">
        <f t="shared" si="270"/>
        <v>0</v>
      </c>
      <c r="N512" s="186">
        <f t="shared" si="270"/>
        <v>0</v>
      </c>
      <c r="O512" s="186">
        <f t="shared" si="270"/>
        <v>0</v>
      </c>
      <c r="P512" s="186">
        <f t="shared" si="270"/>
        <v>0</v>
      </c>
      <c r="Q512" s="186">
        <f t="shared" si="270"/>
        <v>0</v>
      </c>
      <c r="R512" s="186">
        <f t="shared" si="270"/>
        <v>0</v>
      </c>
      <c r="S512" s="186">
        <f t="shared" si="270"/>
        <v>0</v>
      </c>
      <c r="T512" s="186">
        <f t="shared" si="270"/>
        <v>0</v>
      </c>
      <c r="U512" s="186">
        <f t="shared" si="270"/>
        <v>0</v>
      </c>
      <c r="V512" s="186">
        <f t="shared" si="270"/>
        <v>0</v>
      </c>
      <c r="W512" s="186">
        <f t="shared" si="270"/>
        <v>0</v>
      </c>
      <c r="X512" s="186">
        <f t="shared" si="270"/>
        <v>0</v>
      </c>
      <c r="Y512" s="186">
        <f t="shared" si="270"/>
        <v>0</v>
      </c>
      <c r="Z512" s="186">
        <f t="shared" si="270"/>
        <v>0</v>
      </c>
      <c r="AA512" s="186">
        <f t="shared" si="270"/>
        <v>0</v>
      </c>
      <c r="AB512" s="186">
        <f t="shared" si="270"/>
        <v>0</v>
      </c>
      <c r="AC512" s="186">
        <f t="shared" si="270"/>
        <v>0</v>
      </c>
      <c r="AD512" s="186">
        <f t="shared" si="270"/>
        <v>0</v>
      </c>
      <c r="AE512" s="186">
        <f t="shared" si="270"/>
        <v>0</v>
      </c>
      <c r="AF512" s="186">
        <f t="shared" si="270"/>
        <v>0</v>
      </c>
      <c r="AG512" s="186">
        <f t="shared" si="270"/>
        <v>0</v>
      </c>
      <c r="AH512" s="186">
        <f t="shared" si="270"/>
        <v>0</v>
      </c>
      <c r="AI512" s="186">
        <f t="shared" si="270"/>
        <v>0</v>
      </c>
      <c r="AJ512" s="186">
        <f t="shared" si="270"/>
        <v>0</v>
      </c>
      <c r="AK512" s="186">
        <f t="shared" si="270"/>
        <v>0</v>
      </c>
      <c r="AL512" s="186">
        <f t="shared" si="270"/>
        <v>0</v>
      </c>
      <c r="AM512" s="186">
        <f t="shared" si="270"/>
        <v>0</v>
      </c>
      <c r="AN512" s="186">
        <f t="shared" si="270"/>
        <v>0</v>
      </c>
      <c r="AO512" s="186">
        <f t="shared" si="270"/>
        <v>0</v>
      </c>
      <c r="AP512" s="186">
        <f t="shared" si="270"/>
        <v>0</v>
      </c>
    </row>
    <row r="513" spans="1:42">
      <c r="A513" s="118">
        <f>A512+1</f>
        <v>9</v>
      </c>
      <c r="B513" s="196">
        <f t="shared" si="261"/>
        <v>0</v>
      </c>
      <c r="C513" s="225">
        <f t="shared" ref="C513:AP513" si="271">LOOKUP(C501,$B$462:$AP$462,$B$463:$AP$463)*$B651</f>
        <v>0</v>
      </c>
      <c r="D513" s="186">
        <f t="shared" si="271"/>
        <v>0</v>
      </c>
      <c r="E513" s="186">
        <f t="shared" si="271"/>
        <v>0</v>
      </c>
      <c r="F513" s="186">
        <f t="shared" si="271"/>
        <v>0</v>
      </c>
      <c r="G513" s="186">
        <f t="shared" si="271"/>
        <v>0</v>
      </c>
      <c r="H513" s="186">
        <f t="shared" si="271"/>
        <v>0</v>
      </c>
      <c r="I513" s="186">
        <f t="shared" si="271"/>
        <v>0</v>
      </c>
      <c r="J513" s="186">
        <f t="shared" si="271"/>
        <v>0</v>
      </c>
      <c r="K513" s="186">
        <f t="shared" si="271"/>
        <v>0</v>
      </c>
      <c r="L513" s="186">
        <f t="shared" si="271"/>
        <v>0</v>
      </c>
      <c r="M513" s="186">
        <f t="shared" si="271"/>
        <v>0</v>
      </c>
      <c r="N513" s="186">
        <f t="shared" si="271"/>
        <v>0</v>
      </c>
      <c r="O513" s="186">
        <f t="shared" si="271"/>
        <v>0</v>
      </c>
      <c r="P513" s="186">
        <f t="shared" si="271"/>
        <v>0</v>
      </c>
      <c r="Q513" s="186">
        <f t="shared" si="271"/>
        <v>0</v>
      </c>
      <c r="R513" s="186">
        <f t="shared" si="271"/>
        <v>0</v>
      </c>
      <c r="S513" s="186">
        <f t="shared" si="271"/>
        <v>0</v>
      </c>
      <c r="T513" s="186">
        <f t="shared" si="271"/>
        <v>0</v>
      </c>
      <c r="U513" s="186">
        <f t="shared" si="271"/>
        <v>0</v>
      </c>
      <c r="V513" s="186">
        <f t="shared" si="271"/>
        <v>0</v>
      </c>
      <c r="W513" s="186">
        <f t="shared" si="271"/>
        <v>0</v>
      </c>
      <c r="X513" s="186">
        <f t="shared" si="271"/>
        <v>0</v>
      </c>
      <c r="Y513" s="186">
        <f t="shared" si="271"/>
        <v>0</v>
      </c>
      <c r="Z513" s="186">
        <f t="shared" si="271"/>
        <v>0</v>
      </c>
      <c r="AA513" s="186">
        <f t="shared" si="271"/>
        <v>0</v>
      </c>
      <c r="AB513" s="186">
        <f t="shared" si="271"/>
        <v>0</v>
      </c>
      <c r="AC513" s="186">
        <f t="shared" si="271"/>
        <v>0</v>
      </c>
      <c r="AD513" s="186">
        <f t="shared" si="271"/>
        <v>0</v>
      </c>
      <c r="AE513" s="186">
        <f t="shared" si="271"/>
        <v>0</v>
      </c>
      <c r="AF513" s="186">
        <f t="shared" si="271"/>
        <v>0</v>
      </c>
      <c r="AG513" s="186">
        <f t="shared" si="271"/>
        <v>0</v>
      </c>
      <c r="AH513" s="186">
        <f t="shared" si="271"/>
        <v>0</v>
      </c>
      <c r="AI513" s="186">
        <f t="shared" si="271"/>
        <v>0</v>
      </c>
      <c r="AJ513" s="186">
        <f t="shared" si="271"/>
        <v>0</v>
      </c>
      <c r="AK513" s="186">
        <f t="shared" si="271"/>
        <v>0</v>
      </c>
      <c r="AL513" s="186">
        <f t="shared" si="271"/>
        <v>0</v>
      </c>
      <c r="AM513" s="186">
        <f t="shared" si="271"/>
        <v>0</v>
      </c>
      <c r="AN513" s="186">
        <f t="shared" si="271"/>
        <v>0</v>
      </c>
      <c r="AO513" s="186">
        <f t="shared" si="271"/>
        <v>0</v>
      </c>
      <c r="AP513" s="186">
        <f t="shared" si="271"/>
        <v>0</v>
      </c>
    </row>
    <row r="514" spans="1:42">
      <c r="A514" s="118">
        <f t="shared" ref="A514" si="272">A513+1</f>
        <v>10</v>
      </c>
      <c r="B514" s="196">
        <f t="shared" si="261"/>
        <v>0</v>
      </c>
      <c r="C514" s="221">
        <f t="shared" ref="C514:AP514" si="273">LOOKUP(C502,$B$462:$AP$462,$B$463:$AP$463)*$B652</f>
        <v>0</v>
      </c>
      <c r="D514" s="187">
        <f t="shared" si="273"/>
        <v>0</v>
      </c>
      <c r="E514" s="187">
        <f t="shared" si="273"/>
        <v>0</v>
      </c>
      <c r="F514" s="187">
        <f t="shared" si="273"/>
        <v>0</v>
      </c>
      <c r="G514" s="187">
        <f t="shared" si="273"/>
        <v>0</v>
      </c>
      <c r="H514" s="187">
        <f t="shared" si="273"/>
        <v>0</v>
      </c>
      <c r="I514" s="187">
        <f t="shared" si="273"/>
        <v>0</v>
      </c>
      <c r="J514" s="187">
        <f t="shared" si="273"/>
        <v>0</v>
      </c>
      <c r="K514" s="187">
        <f t="shared" si="273"/>
        <v>0</v>
      </c>
      <c r="L514" s="187">
        <f t="shared" si="273"/>
        <v>0</v>
      </c>
      <c r="M514" s="187">
        <f t="shared" si="273"/>
        <v>0</v>
      </c>
      <c r="N514" s="187">
        <f t="shared" si="273"/>
        <v>0</v>
      </c>
      <c r="O514" s="187">
        <f t="shared" si="273"/>
        <v>0</v>
      </c>
      <c r="P514" s="187">
        <f t="shared" si="273"/>
        <v>0</v>
      </c>
      <c r="Q514" s="187">
        <f t="shared" si="273"/>
        <v>0</v>
      </c>
      <c r="R514" s="187">
        <f t="shared" si="273"/>
        <v>0</v>
      </c>
      <c r="S514" s="187">
        <f t="shared" si="273"/>
        <v>0</v>
      </c>
      <c r="T514" s="187">
        <f t="shared" si="273"/>
        <v>0</v>
      </c>
      <c r="U514" s="187">
        <f t="shared" si="273"/>
        <v>0</v>
      </c>
      <c r="V514" s="187">
        <f t="shared" si="273"/>
        <v>0</v>
      </c>
      <c r="W514" s="187">
        <f t="shared" si="273"/>
        <v>0</v>
      </c>
      <c r="X514" s="187">
        <f t="shared" si="273"/>
        <v>0</v>
      </c>
      <c r="Y514" s="187">
        <f t="shared" si="273"/>
        <v>0</v>
      </c>
      <c r="Z514" s="187">
        <f t="shared" si="273"/>
        <v>0</v>
      </c>
      <c r="AA514" s="187">
        <f t="shared" si="273"/>
        <v>0</v>
      </c>
      <c r="AB514" s="187">
        <f t="shared" si="273"/>
        <v>0</v>
      </c>
      <c r="AC514" s="187">
        <f t="shared" si="273"/>
        <v>0</v>
      </c>
      <c r="AD514" s="187">
        <f t="shared" si="273"/>
        <v>0</v>
      </c>
      <c r="AE514" s="187">
        <f t="shared" si="273"/>
        <v>0</v>
      </c>
      <c r="AF514" s="187">
        <f t="shared" si="273"/>
        <v>0</v>
      </c>
      <c r="AG514" s="187">
        <f t="shared" si="273"/>
        <v>0</v>
      </c>
      <c r="AH514" s="187">
        <f t="shared" si="273"/>
        <v>0</v>
      </c>
      <c r="AI514" s="187">
        <f t="shared" si="273"/>
        <v>0</v>
      </c>
      <c r="AJ514" s="187">
        <f t="shared" si="273"/>
        <v>0</v>
      </c>
      <c r="AK514" s="187">
        <f t="shared" si="273"/>
        <v>0</v>
      </c>
      <c r="AL514" s="187">
        <f t="shared" si="273"/>
        <v>0</v>
      </c>
      <c r="AM514" s="187">
        <f t="shared" si="273"/>
        <v>0</v>
      </c>
      <c r="AN514" s="187">
        <f t="shared" si="273"/>
        <v>0</v>
      </c>
      <c r="AO514" s="187">
        <f t="shared" si="273"/>
        <v>0</v>
      </c>
      <c r="AP514" s="187">
        <f t="shared" si="273"/>
        <v>0</v>
      </c>
    </row>
    <row r="515" spans="1:42" s="118" customFormat="1">
      <c r="A515" s="222" t="s">
        <v>53</v>
      </c>
      <c r="B515" s="141"/>
      <c r="C515" s="141">
        <f>SUM(C505:C514)</f>
        <v>0</v>
      </c>
      <c r="D515" s="141">
        <f t="shared" ref="D515:AP515" si="274">SUM(D505:D514)</f>
        <v>0</v>
      </c>
      <c r="E515" s="141">
        <f t="shared" si="274"/>
        <v>0</v>
      </c>
      <c r="F515" s="141">
        <f t="shared" si="274"/>
        <v>0</v>
      </c>
      <c r="G515" s="141">
        <f t="shared" si="274"/>
        <v>0</v>
      </c>
      <c r="H515" s="141">
        <f t="shared" si="274"/>
        <v>0</v>
      </c>
      <c r="I515" s="141">
        <f t="shared" si="274"/>
        <v>0</v>
      </c>
      <c r="J515" s="141">
        <f t="shared" si="274"/>
        <v>0</v>
      </c>
      <c r="K515" s="141">
        <f t="shared" si="274"/>
        <v>0</v>
      </c>
      <c r="L515" s="141">
        <f t="shared" si="274"/>
        <v>0</v>
      </c>
      <c r="M515" s="141">
        <f t="shared" si="274"/>
        <v>0</v>
      </c>
      <c r="N515" s="141">
        <f t="shared" si="274"/>
        <v>0</v>
      </c>
      <c r="O515" s="141">
        <f t="shared" si="274"/>
        <v>0</v>
      </c>
      <c r="P515" s="141">
        <f t="shared" si="274"/>
        <v>0</v>
      </c>
      <c r="Q515" s="141">
        <f t="shared" si="274"/>
        <v>1231755.7306939578</v>
      </c>
      <c r="R515" s="141">
        <f t="shared" si="274"/>
        <v>1970809.1691103324</v>
      </c>
      <c r="S515" s="141">
        <f t="shared" si="274"/>
        <v>1182485.5014661995</v>
      </c>
      <c r="T515" s="141">
        <f t="shared" si="274"/>
        <v>709491.30087971967</v>
      </c>
      <c r="U515" s="141">
        <f t="shared" si="274"/>
        <v>709491.30087971967</v>
      </c>
      <c r="V515" s="141">
        <f t="shared" si="274"/>
        <v>354745.65043985983</v>
      </c>
      <c r="W515" s="141">
        <f t="shared" si="274"/>
        <v>0</v>
      </c>
      <c r="X515" s="141">
        <f t="shared" si="274"/>
        <v>0</v>
      </c>
      <c r="Y515" s="141">
        <f t="shared" si="274"/>
        <v>0</v>
      </c>
      <c r="Z515" s="141">
        <f t="shared" si="274"/>
        <v>0</v>
      </c>
      <c r="AA515" s="141">
        <f t="shared" si="274"/>
        <v>0</v>
      </c>
      <c r="AB515" s="141">
        <f t="shared" si="274"/>
        <v>0</v>
      </c>
      <c r="AC515" s="141">
        <f t="shared" si="274"/>
        <v>0</v>
      </c>
      <c r="AD515" s="141">
        <f t="shared" si="274"/>
        <v>0</v>
      </c>
      <c r="AE515" s="141">
        <f t="shared" si="274"/>
        <v>0</v>
      </c>
      <c r="AF515" s="141">
        <f t="shared" si="274"/>
        <v>1539980.512798867</v>
      </c>
      <c r="AG515" s="141">
        <f t="shared" si="274"/>
        <v>0</v>
      </c>
      <c r="AH515" s="141">
        <f t="shared" si="274"/>
        <v>0</v>
      </c>
      <c r="AI515" s="141">
        <f t="shared" si="274"/>
        <v>0</v>
      </c>
      <c r="AJ515" s="141">
        <f t="shared" si="274"/>
        <v>0</v>
      </c>
      <c r="AK515" s="141">
        <f t="shared" si="274"/>
        <v>0</v>
      </c>
      <c r="AL515" s="141">
        <f t="shared" si="274"/>
        <v>0</v>
      </c>
      <c r="AM515" s="141">
        <f t="shared" si="274"/>
        <v>0</v>
      </c>
      <c r="AN515" s="141">
        <f t="shared" si="274"/>
        <v>0</v>
      </c>
      <c r="AO515" s="141">
        <f t="shared" si="274"/>
        <v>0</v>
      </c>
      <c r="AP515" s="141">
        <f t="shared" si="274"/>
        <v>0</v>
      </c>
    </row>
    <row r="516" spans="1:42" s="118" customFormat="1">
      <c r="A516" s="222"/>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c r="AA516" s="141"/>
      <c r="AB516" s="141"/>
      <c r="AC516" s="141"/>
      <c r="AD516" s="141"/>
      <c r="AE516" s="141"/>
      <c r="AF516" s="141"/>
      <c r="AG516" s="141"/>
      <c r="AH516" s="141"/>
      <c r="AI516" s="141"/>
      <c r="AJ516" s="141"/>
      <c r="AK516" s="141"/>
      <c r="AL516" s="141"/>
      <c r="AM516" s="141"/>
      <c r="AN516" s="141"/>
      <c r="AO516" s="141"/>
      <c r="AP516" s="141"/>
    </row>
    <row r="517" spans="1:42">
      <c r="A517" s="197" t="s">
        <v>372</v>
      </c>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c r="AM517" s="186"/>
      <c r="AN517" s="186"/>
      <c r="AO517" s="186"/>
      <c r="AP517" s="186"/>
    </row>
    <row r="518" spans="1:42">
      <c r="A518" s="204" t="s">
        <v>207</v>
      </c>
      <c r="C518" s="186"/>
      <c r="D518" s="186"/>
      <c r="E518" s="186"/>
      <c r="F518" s="186"/>
      <c r="G518" s="186"/>
      <c r="H518" s="186"/>
      <c r="I518" s="186"/>
      <c r="J518" s="186"/>
      <c r="K518" s="186"/>
      <c r="L518" s="186"/>
      <c r="M518" s="186"/>
      <c r="N518" s="186"/>
      <c r="O518" s="186"/>
      <c r="P518" s="186"/>
      <c r="Q518" s="186"/>
      <c r="R518" s="186"/>
      <c r="S518" s="186"/>
      <c r="T518" s="186"/>
      <c r="U518" s="186"/>
      <c r="V518" s="186"/>
      <c r="W518" s="186"/>
      <c r="X518" s="186"/>
      <c r="Y518" s="186"/>
      <c r="Z518" s="186"/>
      <c r="AA518" s="186"/>
      <c r="AB518" s="186"/>
      <c r="AC518" s="186"/>
      <c r="AD518" s="186"/>
      <c r="AE518" s="186"/>
      <c r="AF518" s="186"/>
      <c r="AG518" s="186"/>
      <c r="AH518" s="186"/>
      <c r="AI518" s="186"/>
      <c r="AJ518" s="186"/>
      <c r="AK518" s="186"/>
      <c r="AL518" s="186"/>
      <c r="AM518" s="186"/>
      <c r="AN518" s="186"/>
      <c r="AO518" s="186"/>
      <c r="AP518" s="186"/>
    </row>
    <row r="519" spans="1:42">
      <c r="A519" s="37">
        <v>1</v>
      </c>
      <c r="C519" s="186">
        <f>C384</f>
        <v>0</v>
      </c>
      <c r="D519" s="186">
        <f t="shared" ref="D519:AP525" si="275">D384</f>
        <v>0</v>
      </c>
      <c r="E519" s="186">
        <f t="shared" si="275"/>
        <v>1</v>
      </c>
      <c r="F519" s="186">
        <f t="shared" si="275"/>
        <v>2</v>
      </c>
      <c r="G519" s="186">
        <f t="shared" si="275"/>
        <v>3</v>
      </c>
      <c r="H519" s="186">
        <f t="shared" si="275"/>
        <v>4</v>
      </c>
      <c r="I519" s="186">
        <f t="shared" si="275"/>
        <v>5</v>
      </c>
      <c r="J519" s="186">
        <f t="shared" si="275"/>
        <v>6</v>
      </c>
      <c r="K519" s="186">
        <f t="shared" si="275"/>
        <v>7</v>
      </c>
      <c r="L519" s="186">
        <f t="shared" si="275"/>
        <v>8</v>
      </c>
      <c r="M519" s="186">
        <f t="shared" si="275"/>
        <v>9</v>
      </c>
      <c r="N519" s="186">
        <f t="shared" si="275"/>
        <v>10</v>
      </c>
      <c r="O519" s="186">
        <f t="shared" si="275"/>
        <v>11</v>
      </c>
      <c r="P519" s="186">
        <f t="shared" si="275"/>
        <v>12</v>
      </c>
      <c r="Q519" s="186">
        <f t="shared" si="275"/>
        <v>13</v>
      </c>
      <c r="R519" s="186">
        <f t="shared" si="275"/>
        <v>14</v>
      </c>
      <c r="S519" s="186">
        <f t="shared" si="275"/>
        <v>15</v>
      </c>
      <c r="T519" s="186">
        <f t="shared" si="275"/>
        <v>16</v>
      </c>
      <c r="U519" s="186">
        <f t="shared" si="275"/>
        <v>17</v>
      </c>
      <c r="V519" s="186">
        <f t="shared" si="275"/>
        <v>18</v>
      </c>
      <c r="W519" s="186">
        <f t="shared" si="275"/>
        <v>19</v>
      </c>
      <c r="X519" s="186">
        <f t="shared" si="275"/>
        <v>20</v>
      </c>
      <c r="Y519" s="186">
        <f t="shared" si="275"/>
        <v>21</v>
      </c>
      <c r="Z519" s="186">
        <f t="shared" si="275"/>
        <v>22</v>
      </c>
      <c r="AA519" s="186">
        <f t="shared" si="275"/>
        <v>23</v>
      </c>
      <c r="AB519" s="186">
        <f t="shared" si="275"/>
        <v>24</v>
      </c>
      <c r="AC519" s="186">
        <f t="shared" si="275"/>
        <v>25</v>
      </c>
      <c r="AD519" s="186">
        <f t="shared" si="275"/>
        <v>26</v>
      </c>
      <c r="AE519" s="186">
        <f t="shared" si="275"/>
        <v>27</v>
      </c>
      <c r="AF519" s="186">
        <f t="shared" si="275"/>
        <v>28</v>
      </c>
      <c r="AG519" s="186">
        <f t="shared" si="275"/>
        <v>0</v>
      </c>
      <c r="AH519" s="186">
        <f t="shared" si="275"/>
        <v>0</v>
      </c>
      <c r="AI519" s="186">
        <f t="shared" si="275"/>
        <v>0</v>
      </c>
      <c r="AJ519" s="186">
        <f t="shared" si="275"/>
        <v>0</v>
      </c>
      <c r="AK519" s="186">
        <f t="shared" si="275"/>
        <v>0</v>
      </c>
      <c r="AL519" s="186">
        <f t="shared" si="275"/>
        <v>0</v>
      </c>
      <c r="AM519" s="186">
        <f t="shared" si="275"/>
        <v>0</v>
      </c>
      <c r="AN519" s="186">
        <f t="shared" si="275"/>
        <v>0</v>
      </c>
      <c r="AO519" s="186">
        <f t="shared" si="275"/>
        <v>0</v>
      </c>
      <c r="AP519" s="186">
        <f t="shared" si="275"/>
        <v>0</v>
      </c>
    </row>
    <row r="520" spans="1:42">
      <c r="A520" s="37">
        <f>A519+1</f>
        <v>2</v>
      </c>
      <c r="C520" s="186">
        <f t="shared" ref="C520:R528" si="276">C385</f>
        <v>0</v>
      </c>
      <c r="D520" s="186">
        <f t="shared" si="276"/>
        <v>0</v>
      </c>
      <c r="E520" s="186">
        <f t="shared" si="276"/>
        <v>0</v>
      </c>
      <c r="F520" s="186">
        <f t="shared" si="276"/>
        <v>0</v>
      </c>
      <c r="G520" s="186">
        <f t="shared" si="276"/>
        <v>0</v>
      </c>
      <c r="H520" s="186">
        <f t="shared" si="276"/>
        <v>1</v>
      </c>
      <c r="I520" s="186">
        <f t="shared" si="276"/>
        <v>2</v>
      </c>
      <c r="J520" s="186">
        <f t="shared" si="276"/>
        <v>3</v>
      </c>
      <c r="K520" s="186">
        <f t="shared" si="276"/>
        <v>4</v>
      </c>
      <c r="L520" s="186">
        <f t="shared" si="276"/>
        <v>5</v>
      </c>
      <c r="M520" s="186">
        <f t="shared" si="276"/>
        <v>6</v>
      </c>
      <c r="N520" s="186">
        <f t="shared" si="276"/>
        <v>7</v>
      </c>
      <c r="O520" s="186">
        <f t="shared" si="276"/>
        <v>8</v>
      </c>
      <c r="P520" s="186">
        <f t="shared" si="276"/>
        <v>9</v>
      </c>
      <c r="Q520" s="186">
        <f t="shared" si="276"/>
        <v>10</v>
      </c>
      <c r="R520" s="186">
        <f t="shared" si="276"/>
        <v>11</v>
      </c>
      <c r="S520" s="186">
        <f t="shared" si="275"/>
        <v>12</v>
      </c>
      <c r="T520" s="186">
        <f t="shared" si="275"/>
        <v>13</v>
      </c>
      <c r="U520" s="186">
        <f t="shared" si="275"/>
        <v>14</v>
      </c>
      <c r="V520" s="186">
        <f t="shared" si="275"/>
        <v>15</v>
      </c>
      <c r="W520" s="186">
        <f t="shared" si="275"/>
        <v>16</v>
      </c>
      <c r="X520" s="186">
        <f t="shared" si="275"/>
        <v>17</v>
      </c>
      <c r="Y520" s="186">
        <f t="shared" si="275"/>
        <v>18</v>
      </c>
      <c r="Z520" s="186">
        <f t="shared" si="275"/>
        <v>19</v>
      </c>
      <c r="AA520" s="186">
        <f t="shared" si="275"/>
        <v>20</v>
      </c>
      <c r="AB520" s="186">
        <f t="shared" si="275"/>
        <v>21</v>
      </c>
      <c r="AC520" s="186">
        <f t="shared" si="275"/>
        <v>22</v>
      </c>
      <c r="AD520" s="186">
        <f t="shared" si="275"/>
        <v>23</v>
      </c>
      <c r="AE520" s="186">
        <f t="shared" si="275"/>
        <v>24</v>
      </c>
      <c r="AF520" s="186">
        <f t="shared" si="275"/>
        <v>25</v>
      </c>
      <c r="AG520" s="186">
        <f t="shared" si="275"/>
        <v>0</v>
      </c>
      <c r="AH520" s="186">
        <f t="shared" si="275"/>
        <v>0</v>
      </c>
      <c r="AI520" s="186">
        <f t="shared" si="275"/>
        <v>0</v>
      </c>
      <c r="AJ520" s="186">
        <f t="shared" si="275"/>
        <v>0</v>
      </c>
      <c r="AK520" s="186">
        <f t="shared" si="275"/>
        <v>0</v>
      </c>
      <c r="AL520" s="186">
        <f t="shared" si="275"/>
        <v>0</v>
      </c>
      <c r="AM520" s="186">
        <f t="shared" si="275"/>
        <v>0</v>
      </c>
      <c r="AN520" s="186">
        <f t="shared" si="275"/>
        <v>0</v>
      </c>
      <c r="AO520" s="186">
        <f t="shared" si="275"/>
        <v>0</v>
      </c>
      <c r="AP520" s="186">
        <f t="shared" si="275"/>
        <v>0</v>
      </c>
    </row>
    <row r="521" spans="1:42">
      <c r="A521" s="37">
        <f t="shared" ref="A521:A526" si="277">A520+1</f>
        <v>3</v>
      </c>
      <c r="C521" s="186">
        <f t="shared" si="276"/>
        <v>0</v>
      </c>
      <c r="D521" s="186">
        <f t="shared" si="275"/>
        <v>0</v>
      </c>
      <c r="E521" s="186">
        <f t="shared" si="275"/>
        <v>0</v>
      </c>
      <c r="F521" s="186">
        <f t="shared" si="275"/>
        <v>0</v>
      </c>
      <c r="G521" s="186">
        <f t="shared" si="275"/>
        <v>0</v>
      </c>
      <c r="H521" s="186">
        <f t="shared" si="275"/>
        <v>0</v>
      </c>
      <c r="I521" s="186">
        <f t="shared" si="275"/>
        <v>0</v>
      </c>
      <c r="J521" s="186">
        <f t="shared" si="275"/>
        <v>0</v>
      </c>
      <c r="K521" s="186">
        <f t="shared" si="275"/>
        <v>1</v>
      </c>
      <c r="L521" s="186">
        <f t="shared" si="275"/>
        <v>2</v>
      </c>
      <c r="M521" s="186">
        <f t="shared" si="275"/>
        <v>3</v>
      </c>
      <c r="N521" s="186">
        <f t="shared" si="275"/>
        <v>4</v>
      </c>
      <c r="O521" s="186">
        <f t="shared" si="275"/>
        <v>5</v>
      </c>
      <c r="P521" s="186">
        <f t="shared" si="275"/>
        <v>6</v>
      </c>
      <c r="Q521" s="186">
        <f t="shared" si="275"/>
        <v>7</v>
      </c>
      <c r="R521" s="186">
        <f t="shared" si="275"/>
        <v>8</v>
      </c>
      <c r="S521" s="186">
        <f t="shared" si="275"/>
        <v>9</v>
      </c>
      <c r="T521" s="186">
        <f t="shared" si="275"/>
        <v>10</v>
      </c>
      <c r="U521" s="186">
        <f t="shared" si="275"/>
        <v>11</v>
      </c>
      <c r="V521" s="186">
        <f t="shared" si="275"/>
        <v>12</v>
      </c>
      <c r="W521" s="186">
        <f t="shared" si="275"/>
        <v>13</v>
      </c>
      <c r="X521" s="186">
        <f t="shared" si="275"/>
        <v>14</v>
      </c>
      <c r="Y521" s="186">
        <f t="shared" si="275"/>
        <v>15</v>
      </c>
      <c r="Z521" s="186">
        <f t="shared" si="275"/>
        <v>16</v>
      </c>
      <c r="AA521" s="186">
        <f t="shared" si="275"/>
        <v>17</v>
      </c>
      <c r="AB521" s="186">
        <f t="shared" si="275"/>
        <v>18</v>
      </c>
      <c r="AC521" s="186">
        <f t="shared" si="275"/>
        <v>19</v>
      </c>
      <c r="AD521" s="186">
        <f t="shared" si="275"/>
        <v>20</v>
      </c>
      <c r="AE521" s="186">
        <f t="shared" si="275"/>
        <v>21</v>
      </c>
      <c r="AF521" s="186">
        <f t="shared" si="275"/>
        <v>22</v>
      </c>
      <c r="AG521" s="186">
        <f t="shared" si="275"/>
        <v>0</v>
      </c>
      <c r="AH521" s="186">
        <f t="shared" si="275"/>
        <v>0</v>
      </c>
      <c r="AI521" s="186">
        <f t="shared" si="275"/>
        <v>0</v>
      </c>
      <c r="AJ521" s="186">
        <f t="shared" si="275"/>
        <v>0</v>
      </c>
      <c r="AK521" s="186">
        <f t="shared" si="275"/>
        <v>0</v>
      </c>
      <c r="AL521" s="186">
        <f t="shared" si="275"/>
        <v>0</v>
      </c>
      <c r="AM521" s="186">
        <f t="shared" si="275"/>
        <v>0</v>
      </c>
      <c r="AN521" s="186">
        <f t="shared" si="275"/>
        <v>0</v>
      </c>
      <c r="AO521" s="186">
        <f t="shared" si="275"/>
        <v>0</v>
      </c>
      <c r="AP521" s="186">
        <f t="shared" si="275"/>
        <v>0</v>
      </c>
    </row>
    <row r="522" spans="1:42">
      <c r="A522" s="37">
        <f t="shared" si="277"/>
        <v>4</v>
      </c>
      <c r="C522" s="186">
        <f t="shared" si="276"/>
        <v>0</v>
      </c>
      <c r="D522" s="186">
        <f t="shared" si="275"/>
        <v>0</v>
      </c>
      <c r="E522" s="186">
        <f t="shared" si="275"/>
        <v>0</v>
      </c>
      <c r="F522" s="186">
        <f t="shared" si="275"/>
        <v>0</v>
      </c>
      <c r="G522" s="186">
        <f t="shared" si="275"/>
        <v>0</v>
      </c>
      <c r="H522" s="186">
        <f t="shared" si="275"/>
        <v>0</v>
      </c>
      <c r="I522" s="186">
        <f t="shared" si="275"/>
        <v>0</v>
      </c>
      <c r="J522" s="186">
        <f t="shared" si="275"/>
        <v>0</v>
      </c>
      <c r="K522" s="186">
        <f t="shared" si="275"/>
        <v>0</v>
      </c>
      <c r="L522" s="186">
        <f t="shared" si="275"/>
        <v>0</v>
      </c>
      <c r="M522" s="186">
        <f t="shared" si="275"/>
        <v>0</v>
      </c>
      <c r="N522" s="186">
        <f t="shared" si="275"/>
        <v>1</v>
      </c>
      <c r="O522" s="186">
        <f t="shared" si="275"/>
        <v>2</v>
      </c>
      <c r="P522" s="186">
        <f t="shared" si="275"/>
        <v>3</v>
      </c>
      <c r="Q522" s="186">
        <f t="shared" si="275"/>
        <v>4</v>
      </c>
      <c r="R522" s="186">
        <f t="shared" si="275"/>
        <v>5</v>
      </c>
      <c r="S522" s="186">
        <f t="shared" si="275"/>
        <v>6</v>
      </c>
      <c r="T522" s="186">
        <f t="shared" si="275"/>
        <v>7</v>
      </c>
      <c r="U522" s="186">
        <f t="shared" si="275"/>
        <v>8</v>
      </c>
      <c r="V522" s="186">
        <f t="shared" si="275"/>
        <v>9</v>
      </c>
      <c r="W522" s="186">
        <f t="shared" si="275"/>
        <v>10</v>
      </c>
      <c r="X522" s="186">
        <f t="shared" si="275"/>
        <v>11</v>
      </c>
      <c r="Y522" s="186">
        <f t="shared" si="275"/>
        <v>12</v>
      </c>
      <c r="Z522" s="186">
        <f t="shared" si="275"/>
        <v>13</v>
      </c>
      <c r="AA522" s="186">
        <f t="shared" si="275"/>
        <v>14</v>
      </c>
      <c r="AB522" s="186">
        <f t="shared" si="275"/>
        <v>15</v>
      </c>
      <c r="AC522" s="186">
        <f t="shared" si="275"/>
        <v>16</v>
      </c>
      <c r="AD522" s="186">
        <f t="shared" si="275"/>
        <v>17</v>
      </c>
      <c r="AE522" s="186">
        <f t="shared" si="275"/>
        <v>18</v>
      </c>
      <c r="AF522" s="186">
        <f t="shared" si="275"/>
        <v>19</v>
      </c>
      <c r="AG522" s="186">
        <f t="shared" si="275"/>
        <v>0</v>
      </c>
      <c r="AH522" s="186">
        <f t="shared" si="275"/>
        <v>0</v>
      </c>
      <c r="AI522" s="186">
        <f t="shared" si="275"/>
        <v>0</v>
      </c>
      <c r="AJ522" s="186">
        <f t="shared" si="275"/>
        <v>0</v>
      </c>
      <c r="AK522" s="186">
        <f t="shared" si="275"/>
        <v>0</v>
      </c>
      <c r="AL522" s="186">
        <f t="shared" si="275"/>
        <v>0</v>
      </c>
      <c r="AM522" s="186">
        <f t="shared" si="275"/>
        <v>0</v>
      </c>
      <c r="AN522" s="186">
        <f t="shared" si="275"/>
        <v>0</v>
      </c>
      <c r="AO522" s="186">
        <f t="shared" si="275"/>
        <v>0</v>
      </c>
      <c r="AP522" s="186">
        <f t="shared" si="275"/>
        <v>0</v>
      </c>
    </row>
    <row r="523" spans="1:42">
      <c r="A523" s="37">
        <f t="shared" si="277"/>
        <v>5</v>
      </c>
      <c r="C523" s="186">
        <f t="shared" si="276"/>
        <v>0</v>
      </c>
      <c r="D523" s="186">
        <f t="shared" si="275"/>
        <v>0</v>
      </c>
      <c r="E523" s="186">
        <f t="shared" si="275"/>
        <v>0</v>
      </c>
      <c r="F523" s="186">
        <f t="shared" si="275"/>
        <v>0</v>
      </c>
      <c r="G523" s="186">
        <f t="shared" si="275"/>
        <v>0</v>
      </c>
      <c r="H523" s="186">
        <f t="shared" si="275"/>
        <v>0</v>
      </c>
      <c r="I523" s="186">
        <f t="shared" si="275"/>
        <v>0</v>
      </c>
      <c r="J523" s="186">
        <f t="shared" si="275"/>
        <v>0</v>
      </c>
      <c r="K523" s="186">
        <f t="shared" si="275"/>
        <v>0</v>
      </c>
      <c r="L523" s="186">
        <f t="shared" si="275"/>
        <v>0</v>
      </c>
      <c r="M523" s="186">
        <f t="shared" si="275"/>
        <v>0</v>
      </c>
      <c r="N523" s="186">
        <f t="shared" si="275"/>
        <v>0</v>
      </c>
      <c r="O523" s="186">
        <f t="shared" si="275"/>
        <v>0</v>
      </c>
      <c r="P523" s="186">
        <f t="shared" si="275"/>
        <v>0</v>
      </c>
      <c r="Q523" s="186">
        <f t="shared" si="275"/>
        <v>1</v>
      </c>
      <c r="R523" s="186">
        <f t="shared" si="275"/>
        <v>2</v>
      </c>
      <c r="S523" s="186">
        <f t="shared" si="275"/>
        <v>3</v>
      </c>
      <c r="T523" s="186">
        <f t="shared" si="275"/>
        <v>4</v>
      </c>
      <c r="U523" s="186">
        <f t="shared" si="275"/>
        <v>5</v>
      </c>
      <c r="V523" s="186">
        <f t="shared" si="275"/>
        <v>6</v>
      </c>
      <c r="W523" s="186">
        <f t="shared" si="275"/>
        <v>7</v>
      </c>
      <c r="X523" s="186">
        <f t="shared" si="275"/>
        <v>8</v>
      </c>
      <c r="Y523" s="186">
        <f t="shared" si="275"/>
        <v>9</v>
      </c>
      <c r="Z523" s="186">
        <f t="shared" si="275"/>
        <v>10</v>
      </c>
      <c r="AA523" s="186">
        <f t="shared" si="275"/>
        <v>11</v>
      </c>
      <c r="AB523" s="186">
        <f t="shared" si="275"/>
        <v>12</v>
      </c>
      <c r="AC523" s="186">
        <f t="shared" si="275"/>
        <v>13</v>
      </c>
      <c r="AD523" s="186">
        <f t="shared" si="275"/>
        <v>14</v>
      </c>
      <c r="AE523" s="186">
        <f t="shared" si="275"/>
        <v>15</v>
      </c>
      <c r="AF523" s="186">
        <f t="shared" si="275"/>
        <v>16</v>
      </c>
      <c r="AG523" s="186">
        <f t="shared" si="275"/>
        <v>0</v>
      </c>
      <c r="AH523" s="186">
        <f t="shared" si="275"/>
        <v>0</v>
      </c>
      <c r="AI523" s="186">
        <f t="shared" si="275"/>
        <v>0</v>
      </c>
      <c r="AJ523" s="186">
        <f t="shared" si="275"/>
        <v>0</v>
      </c>
      <c r="AK523" s="186">
        <f t="shared" si="275"/>
        <v>0</v>
      </c>
      <c r="AL523" s="186">
        <f t="shared" si="275"/>
        <v>0</v>
      </c>
      <c r="AM523" s="186">
        <f t="shared" si="275"/>
        <v>0</v>
      </c>
      <c r="AN523" s="186">
        <f t="shared" si="275"/>
        <v>0</v>
      </c>
      <c r="AO523" s="186">
        <f t="shared" si="275"/>
        <v>0</v>
      </c>
      <c r="AP523" s="186">
        <f t="shared" si="275"/>
        <v>0</v>
      </c>
    </row>
    <row r="524" spans="1:42">
      <c r="A524" s="37">
        <f t="shared" si="277"/>
        <v>6</v>
      </c>
      <c r="C524" s="186">
        <f t="shared" si="276"/>
        <v>0</v>
      </c>
      <c r="D524" s="186">
        <f t="shared" si="275"/>
        <v>0</v>
      </c>
      <c r="E524" s="186">
        <f t="shared" si="275"/>
        <v>0</v>
      </c>
      <c r="F524" s="186">
        <f t="shared" si="275"/>
        <v>0</v>
      </c>
      <c r="G524" s="186">
        <f t="shared" si="275"/>
        <v>0</v>
      </c>
      <c r="H524" s="186">
        <f t="shared" si="275"/>
        <v>0</v>
      </c>
      <c r="I524" s="186">
        <f t="shared" si="275"/>
        <v>0</v>
      </c>
      <c r="J524" s="186">
        <f t="shared" si="275"/>
        <v>0</v>
      </c>
      <c r="K524" s="186">
        <f t="shared" si="275"/>
        <v>0</v>
      </c>
      <c r="L524" s="186">
        <f t="shared" si="275"/>
        <v>0</v>
      </c>
      <c r="M524" s="186">
        <f t="shared" si="275"/>
        <v>0</v>
      </c>
      <c r="N524" s="186">
        <f t="shared" si="275"/>
        <v>0</v>
      </c>
      <c r="O524" s="186">
        <f t="shared" si="275"/>
        <v>0</v>
      </c>
      <c r="P524" s="186">
        <f t="shared" si="275"/>
        <v>0</v>
      </c>
      <c r="Q524" s="186">
        <f t="shared" si="275"/>
        <v>0</v>
      </c>
      <c r="R524" s="186">
        <f t="shared" si="275"/>
        <v>0</v>
      </c>
      <c r="S524" s="186">
        <f t="shared" si="275"/>
        <v>0</v>
      </c>
      <c r="T524" s="186">
        <f t="shared" si="275"/>
        <v>1</v>
      </c>
      <c r="U524" s="186">
        <f t="shared" si="275"/>
        <v>2</v>
      </c>
      <c r="V524" s="186">
        <f t="shared" si="275"/>
        <v>3</v>
      </c>
      <c r="W524" s="186">
        <f t="shared" si="275"/>
        <v>4</v>
      </c>
      <c r="X524" s="186">
        <f t="shared" si="275"/>
        <v>5</v>
      </c>
      <c r="Y524" s="186">
        <f t="shared" si="275"/>
        <v>6</v>
      </c>
      <c r="Z524" s="186">
        <f t="shared" si="275"/>
        <v>7</v>
      </c>
      <c r="AA524" s="186">
        <f t="shared" si="275"/>
        <v>8</v>
      </c>
      <c r="AB524" s="186">
        <f t="shared" si="275"/>
        <v>9</v>
      </c>
      <c r="AC524" s="186">
        <f t="shared" si="275"/>
        <v>10</v>
      </c>
      <c r="AD524" s="186">
        <f t="shared" si="275"/>
        <v>11</v>
      </c>
      <c r="AE524" s="186">
        <f t="shared" si="275"/>
        <v>12</v>
      </c>
      <c r="AF524" s="186">
        <f t="shared" si="275"/>
        <v>13</v>
      </c>
      <c r="AG524" s="186">
        <f t="shared" si="275"/>
        <v>0</v>
      </c>
      <c r="AH524" s="186">
        <f t="shared" si="275"/>
        <v>0</v>
      </c>
      <c r="AI524" s="186">
        <f t="shared" si="275"/>
        <v>0</v>
      </c>
      <c r="AJ524" s="186">
        <f t="shared" si="275"/>
        <v>0</v>
      </c>
      <c r="AK524" s="186">
        <f t="shared" si="275"/>
        <v>0</v>
      </c>
      <c r="AL524" s="186">
        <f t="shared" si="275"/>
        <v>0</v>
      </c>
      <c r="AM524" s="186">
        <f t="shared" si="275"/>
        <v>0</v>
      </c>
      <c r="AN524" s="186">
        <f t="shared" si="275"/>
        <v>0</v>
      </c>
      <c r="AO524" s="186">
        <f t="shared" si="275"/>
        <v>0</v>
      </c>
      <c r="AP524" s="186">
        <f t="shared" si="275"/>
        <v>0</v>
      </c>
    </row>
    <row r="525" spans="1:42">
      <c r="A525" s="37">
        <f t="shared" si="277"/>
        <v>7</v>
      </c>
      <c r="C525" s="186">
        <f t="shared" si="276"/>
        <v>0</v>
      </c>
      <c r="D525" s="186">
        <f t="shared" si="275"/>
        <v>0</v>
      </c>
      <c r="E525" s="186">
        <f t="shared" si="275"/>
        <v>0</v>
      </c>
      <c r="F525" s="186">
        <f t="shared" si="275"/>
        <v>0</v>
      </c>
      <c r="G525" s="186">
        <f t="shared" si="275"/>
        <v>0</v>
      </c>
      <c r="H525" s="186">
        <f t="shared" si="275"/>
        <v>0</v>
      </c>
      <c r="I525" s="186">
        <f t="shared" si="275"/>
        <v>0</v>
      </c>
      <c r="J525" s="186">
        <f t="shared" si="275"/>
        <v>0</v>
      </c>
      <c r="K525" s="186">
        <f t="shared" si="275"/>
        <v>0</v>
      </c>
      <c r="L525" s="186">
        <f t="shared" si="275"/>
        <v>0</v>
      </c>
      <c r="M525" s="186">
        <f t="shared" si="275"/>
        <v>0</v>
      </c>
      <c r="N525" s="186">
        <f t="shared" si="275"/>
        <v>0</v>
      </c>
      <c r="O525" s="186">
        <f t="shared" si="275"/>
        <v>0</v>
      </c>
      <c r="P525" s="186">
        <f t="shared" si="275"/>
        <v>0</v>
      </c>
      <c r="Q525" s="186">
        <f t="shared" si="275"/>
        <v>0</v>
      </c>
      <c r="R525" s="186">
        <f t="shared" si="275"/>
        <v>0</v>
      </c>
      <c r="S525" s="186">
        <f t="shared" si="275"/>
        <v>0</v>
      </c>
      <c r="T525" s="186">
        <f t="shared" si="275"/>
        <v>0</v>
      </c>
      <c r="U525" s="186">
        <f t="shared" si="275"/>
        <v>0</v>
      </c>
      <c r="V525" s="186">
        <f t="shared" si="275"/>
        <v>0</v>
      </c>
      <c r="W525" s="186">
        <f t="shared" si="275"/>
        <v>1</v>
      </c>
      <c r="X525" s="186">
        <f t="shared" si="275"/>
        <v>2</v>
      </c>
      <c r="Y525" s="186">
        <f t="shared" si="275"/>
        <v>3</v>
      </c>
      <c r="Z525" s="186">
        <f t="shared" si="275"/>
        <v>4</v>
      </c>
      <c r="AA525" s="186">
        <f t="shared" si="275"/>
        <v>5</v>
      </c>
      <c r="AB525" s="186">
        <f t="shared" si="275"/>
        <v>6</v>
      </c>
      <c r="AC525" s="186">
        <f t="shared" si="275"/>
        <v>7</v>
      </c>
      <c r="AD525" s="186">
        <f t="shared" si="275"/>
        <v>8</v>
      </c>
      <c r="AE525" s="186">
        <f t="shared" si="275"/>
        <v>9</v>
      </c>
      <c r="AF525" s="186">
        <f t="shared" si="275"/>
        <v>10</v>
      </c>
      <c r="AG525" s="186">
        <f t="shared" si="275"/>
        <v>0</v>
      </c>
      <c r="AH525" s="186">
        <f t="shared" si="275"/>
        <v>0</v>
      </c>
      <c r="AI525" s="186">
        <f t="shared" si="275"/>
        <v>0</v>
      </c>
      <c r="AJ525" s="186">
        <f t="shared" si="275"/>
        <v>0</v>
      </c>
      <c r="AK525" s="186">
        <f t="shared" si="275"/>
        <v>0</v>
      </c>
      <c r="AL525" s="186">
        <f t="shared" si="275"/>
        <v>0</v>
      </c>
      <c r="AM525" s="186">
        <f t="shared" si="275"/>
        <v>0</v>
      </c>
      <c r="AN525" s="186">
        <f t="shared" ref="AN525:AP525" si="278">AN390</f>
        <v>0</v>
      </c>
      <c r="AO525" s="186">
        <f t="shared" si="278"/>
        <v>0</v>
      </c>
      <c r="AP525" s="186">
        <f t="shared" si="278"/>
        <v>0</v>
      </c>
    </row>
    <row r="526" spans="1:42">
      <c r="A526" s="37">
        <f t="shared" si="277"/>
        <v>8</v>
      </c>
      <c r="C526" s="186">
        <f t="shared" si="276"/>
        <v>0</v>
      </c>
      <c r="D526" s="186">
        <f t="shared" si="276"/>
        <v>0</v>
      </c>
      <c r="E526" s="186">
        <f t="shared" si="276"/>
        <v>0</v>
      </c>
      <c r="F526" s="186">
        <f t="shared" si="276"/>
        <v>0</v>
      </c>
      <c r="G526" s="186">
        <f t="shared" si="276"/>
        <v>0</v>
      </c>
      <c r="H526" s="186">
        <f t="shared" si="276"/>
        <v>0</v>
      </c>
      <c r="I526" s="186">
        <f t="shared" si="276"/>
        <v>0</v>
      </c>
      <c r="J526" s="186">
        <f t="shared" si="276"/>
        <v>0</v>
      </c>
      <c r="K526" s="186">
        <f t="shared" si="276"/>
        <v>0</v>
      </c>
      <c r="L526" s="186">
        <f t="shared" si="276"/>
        <v>0</v>
      </c>
      <c r="M526" s="186">
        <f t="shared" si="276"/>
        <v>0</v>
      </c>
      <c r="N526" s="186">
        <f t="shared" si="276"/>
        <v>0</v>
      </c>
      <c r="O526" s="186">
        <f t="shared" si="276"/>
        <v>0</v>
      </c>
      <c r="P526" s="186">
        <f t="shared" si="276"/>
        <v>0</v>
      </c>
      <c r="Q526" s="186">
        <f t="shared" si="276"/>
        <v>0</v>
      </c>
      <c r="R526" s="186">
        <f t="shared" si="276"/>
        <v>0</v>
      </c>
      <c r="S526" s="186">
        <f t="shared" ref="S526:AP528" si="279">S391</f>
        <v>0</v>
      </c>
      <c r="T526" s="186">
        <f t="shared" si="279"/>
        <v>0</v>
      </c>
      <c r="U526" s="186">
        <f t="shared" si="279"/>
        <v>0</v>
      </c>
      <c r="V526" s="186">
        <f t="shared" si="279"/>
        <v>0</v>
      </c>
      <c r="W526" s="186">
        <f t="shared" si="279"/>
        <v>0</v>
      </c>
      <c r="X526" s="186">
        <f t="shared" si="279"/>
        <v>0</v>
      </c>
      <c r="Y526" s="186">
        <f t="shared" si="279"/>
        <v>0</v>
      </c>
      <c r="Z526" s="186">
        <f t="shared" si="279"/>
        <v>1</v>
      </c>
      <c r="AA526" s="186">
        <f t="shared" si="279"/>
        <v>2</v>
      </c>
      <c r="AB526" s="186">
        <f t="shared" si="279"/>
        <v>3</v>
      </c>
      <c r="AC526" s="186">
        <f t="shared" si="279"/>
        <v>4</v>
      </c>
      <c r="AD526" s="186">
        <f t="shared" si="279"/>
        <v>5</v>
      </c>
      <c r="AE526" s="186">
        <f t="shared" si="279"/>
        <v>6</v>
      </c>
      <c r="AF526" s="186">
        <f t="shared" si="279"/>
        <v>7</v>
      </c>
      <c r="AG526" s="186">
        <f t="shared" si="279"/>
        <v>0</v>
      </c>
      <c r="AH526" s="186">
        <f t="shared" si="279"/>
        <v>0</v>
      </c>
      <c r="AI526" s="186">
        <f t="shared" si="279"/>
        <v>0</v>
      </c>
      <c r="AJ526" s="186">
        <f t="shared" si="279"/>
        <v>0</v>
      </c>
      <c r="AK526" s="186">
        <f t="shared" si="279"/>
        <v>0</v>
      </c>
      <c r="AL526" s="186">
        <f t="shared" si="279"/>
        <v>0</v>
      </c>
      <c r="AM526" s="186">
        <f t="shared" si="279"/>
        <v>0</v>
      </c>
      <c r="AN526" s="186">
        <f t="shared" si="279"/>
        <v>0</v>
      </c>
      <c r="AO526" s="186">
        <f t="shared" si="279"/>
        <v>0</v>
      </c>
      <c r="AP526" s="186">
        <f t="shared" si="279"/>
        <v>0</v>
      </c>
    </row>
    <row r="527" spans="1:42">
      <c r="A527" s="37">
        <f>A526+1</f>
        <v>9</v>
      </c>
      <c r="C527" s="186">
        <f t="shared" si="276"/>
        <v>0</v>
      </c>
      <c r="D527" s="186">
        <f t="shared" si="276"/>
        <v>0</v>
      </c>
      <c r="E527" s="186">
        <f t="shared" si="276"/>
        <v>0</v>
      </c>
      <c r="F527" s="186">
        <f t="shared" si="276"/>
        <v>0</v>
      </c>
      <c r="G527" s="186">
        <f t="shared" si="276"/>
        <v>0</v>
      </c>
      <c r="H527" s="186">
        <f t="shared" si="276"/>
        <v>0</v>
      </c>
      <c r="I527" s="186">
        <f t="shared" si="276"/>
        <v>0</v>
      </c>
      <c r="J527" s="186">
        <f t="shared" si="276"/>
        <v>0</v>
      </c>
      <c r="K527" s="186">
        <f t="shared" si="276"/>
        <v>0</v>
      </c>
      <c r="L527" s="186">
        <f t="shared" si="276"/>
        <v>0</v>
      </c>
      <c r="M527" s="186">
        <f t="shared" si="276"/>
        <v>0</v>
      </c>
      <c r="N527" s="186">
        <f t="shared" si="276"/>
        <v>0</v>
      </c>
      <c r="O527" s="186">
        <f t="shared" si="276"/>
        <v>0</v>
      </c>
      <c r="P527" s="186">
        <f t="shared" si="276"/>
        <v>0</v>
      </c>
      <c r="Q527" s="186">
        <f t="shared" si="276"/>
        <v>0</v>
      </c>
      <c r="R527" s="186">
        <f t="shared" si="276"/>
        <v>0</v>
      </c>
      <c r="S527" s="186">
        <f t="shared" si="279"/>
        <v>0</v>
      </c>
      <c r="T527" s="186">
        <f t="shared" si="279"/>
        <v>0</v>
      </c>
      <c r="U527" s="186">
        <f t="shared" si="279"/>
        <v>0</v>
      </c>
      <c r="V527" s="186">
        <f t="shared" si="279"/>
        <v>0</v>
      </c>
      <c r="W527" s="186">
        <f t="shared" si="279"/>
        <v>0</v>
      </c>
      <c r="X527" s="186">
        <f t="shared" si="279"/>
        <v>0</v>
      </c>
      <c r="Y527" s="186">
        <f t="shared" si="279"/>
        <v>0</v>
      </c>
      <c r="Z527" s="186">
        <f t="shared" si="279"/>
        <v>0</v>
      </c>
      <c r="AA527" s="186">
        <f t="shared" si="279"/>
        <v>0</v>
      </c>
      <c r="AB527" s="186">
        <f t="shared" si="279"/>
        <v>0</v>
      </c>
      <c r="AC527" s="186">
        <f t="shared" si="279"/>
        <v>1</v>
      </c>
      <c r="AD527" s="186">
        <f t="shared" si="279"/>
        <v>2</v>
      </c>
      <c r="AE527" s="186">
        <f t="shared" si="279"/>
        <v>3</v>
      </c>
      <c r="AF527" s="186">
        <f t="shared" si="279"/>
        <v>4</v>
      </c>
      <c r="AG527" s="186">
        <f t="shared" si="279"/>
        <v>0</v>
      </c>
      <c r="AH527" s="186">
        <f t="shared" si="279"/>
        <v>0</v>
      </c>
      <c r="AI527" s="186">
        <f t="shared" si="279"/>
        <v>0</v>
      </c>
      <c r="AJ527" s="186">
        <f t="shared" si="279"/>
        <v>0</v>
      </c>
      <c r="AK527" s="186">
        <f t="shared" si="279"/>
        <v>0</v>
      </c>
      <c r="AL527" s="186">
        <f t="shared" si="279"/>
        <v>0</v>
      </c>
      <c r="AM527" s="186">
        <f t="shared" si="279"/>
        <v>0</v>
      </c>
      <c r="AN527" s="186">
        <f t="shared" si="279"/>
        <v>0</v>
      </c>
      <c r="AO527" s="186">
        <f t="shared" si="279"/>
        <v>0</v>
      </c>
      <c r="AP527" s="186">
        <f t="shared" si="279"/>
        <v>0</v>
      </c>
    </row>
    <row r="528" spans="1:42">
      <c r="A528" s="37">
        <f t="shared" ref="A528" si="280">A527+1</f>
        <v>10</v>
      </c>
      <c r="C528" s="186">
        <f t="shared" si="276"/>
        <v>0</v>
      </c>
      <c r="D528" s="186">
        <f t="shared" si="276"/>
        <v>0</v>
      </c>
      <c r="E528" s="186">
        <f t="shared" si="276"/>
        <v>0</v>
      </c>
      <c r="F528" s="186">
        <f t="shared" si="276"/>
        <v>0</v>
      </c>
      <c r="G528" s="186">
        <f t="shared" si="276"/>
        <v>0</v>
      </c>
      <c r="H528" s="186">
        <f t="shared" si="276"/>
        <v>0</v>
      </c>
      <c r="I528" s="186">
        <f t="shared" si="276"/>
        <v>0</v>
      </c>
      <c r="J528" s="186">
        <f t="shared" si="276"/>
        <v>0</v>
      </c>
      <c r="K528" s="186">
        <f t="shared" si="276"/>
        <v>0</v>
      </c>
      <c r="L528" s="186">
        <f t="shared" si="276"/>
        <v>0</v>
      </c>
      <c r="M528" s="186">
        <f t="shared" si="276"/>
        <v>0</v>
      </c>
      <c r="N528" s="186">
        <f t="shared" si="276"/>
        <v>0</v>
      </c>
      <c r="O528" s="186">
        <f t="shared" si="276"/>
        <v>0</v>
      </c>
      <c r="P528" s="186">
        <f t="shared" si="276"/>
        <v>0</v>
      </c>
      <c r="Q528" s="186">
        <f t="shared" si="276"/>
        <v>0</v>
      </c>
      <c r="R528" s="186">
        <f t="shared" si="276"/>
        <v>0</v>
      </c>
      <c r="S528" s="186">
        <f t="shared" si="279"/>
        <v>0</v>
      </c>
      <c r="T528" s="186">
        <f t="shared" si="279"/>
        <v>0</v>
      </c>
      <c r="U528" s="186">
        <f t="shared" si="279"/>
        <v>0</v>
      </c>
      <c r="V528" s="186">
        <f t="shared" si="279"/>
        <v>0</v>
      </c>
      <c r="W528" s="186">
        <f t="shared" si="279"/>
        <v>0</v>
      </c>
      <c r="X528" s="186">
        <f t="shared" si="279"/>
        <v>0</v>
      </c>
      <c r="Y528" s="186">
        <f t="shared" si="279"/>
        <v>0</v>
      </c>
      <c r="Z528" s="186">
        <f t="shared" si="279"/>
        <v>0</v>
      </c>
      <c r="AA528" s="186">
        <f t="shared" si="279"/>
        <v>0</v>
      </c>
      <c r="AB528" s="186">
        <f t="shared" si="279"/>
        <v>0</v>
      </c>
      <c r="AC528" s="186">
        <f t="shared" si="279"/>
        <v>0</v>
      </c>
      <c r="AD528" s="186">
        <f t="shared" si="279"/>
        <v>0</v>
      </c>
      <c r="AE528" s="186">
        <f t="shared" si="279"/>
        <v>0</v>
      </c>
      <c r="AF528" s="186">
        <f t="shared" si="279"/>
        <v>1</v>
      </c>
      <c r="AG528" s="186">
        <f t="shared" si="279"/>
        <v>0</v>
      </c>
      <c r="AH528" s="186">
        <f t="shared" si="279"/>
        <v>0</v>
      </c>
      <c r="AI528" s="186">
        <f t="shared" si="279"/>
        <v>0</v>
      </c>
      <c r="AJ528" s="186">
        <f t="shared" si="279"/>
        <v>0</v>
      </c>
      <c r="AK528" s="186">
        <f t="shared" si="279"/>
        <v>0</v>
      </c>
      <c r="AL528" s="186">
        <f t="shared" si="279"/>
        <v>0</v>
      </c>
      <c r="AM528" s="186">
        <f t="shared" si="279"/>
        <v>0</v>
      </c>
      <c r="AN528" s="186">
        <f t="shared" si="279"/>
        <v>0</v>
      </c>
      <c r="AO528" s="186">
        <f t="shared" si="279"/>
        <v>0</v>
      </c>
      <c r="AP528" s="186">
        <f t="shared" si="279"/>
        <v>0</v>
      </c>
    </row>
    <row r="529" spans="1:42">
      <c r="A529" s="204"/>
      <c r="C529" s="186"/>
      <c r="D529" s="186"/>
      <c r="E529" s="186"/>
      <c r="F529" s="186"/>
      <c r="G529" s="186"/>
      <c r="H529" s="186"/>
      <c r="I529" s="186"/>
      <c r="J529" s="186"/>
      <c r="K529" s="186"/>
      <c r="L529" s="186"/>
      <c r="M529" s="186"/>
      <c r="N529" s="186"/>
      <c r="O529" s="186"/>
      <c r="P529" s="186"/>
      <c r="Q529" s="186"/>
      <c r="R529" s="186"/>
      <c r="S529" s="186"/>
      <c r="T529" s="186"/>
      <c r="U529" s="186"/>
      <c r="V529" s="186"/>
      <c r="W529" s="186"/>
      <c r="X529" s="186"/>
      <c r="Y529" s="186"/>
      <c r="Z529" s="186"/>
      <c r="AA529" s="186"/>
      <c r="AB529" s="186"/>
      <c r="AC529" s="186"/>
      <c r="AD529" s="186"/>
      <c r="AE529" s="186"/>
      <c r="AF529" s="186"/>
      <c r="AG529" s="186"/>
      <c r="AH529" s="186"/>
      <c r="AI529" s="186"/>
      <c r="AJ529" s="186"/>
      <c r="AK529" s="186"/>
      <c r="AL529" s="186"/>
      <c r="AM529" s="186"/>
      <c r="AN529" s="186"/>
      <c r="AO529" s="186"/>
      <c r="AP529" s="186"/>
    </row>
    <row r="530" spans="1:42">
      <c r="A530" s="204" t="s">
        <v>211</v>
      </c>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c r="AM530" s="186"/>
      <c r="AN530" s="186"/>
      <c r="AO530" s="186"/>
      <c r="AP530" s="186"/>
    </row>
    <row r="531" spans="1:42">
      <c r="A531" s="37">
        <v>1</v>
      </c>
      <c r="B531" s="196">
        <f t="shared" ref="B531:B540" si="281">SUM(C531:AP531)</f>
        <v>103022.49999999997</v>
      </c>
      <c r="C531" s="225">
        <f t="shared" ref="C531:AP531" si="282">LOOKUP(C519,$B$462:$AP$462,$B$463:$AP$463)*$B675</f>
        <v>0</v>
      </c>
      <c r="D531" s="186">
        <f t="shared" si="282"/>
        <v>0</v>
      </c>
      <c r="E531" s="186">
        <f t="shared" si="282"/>
        <v>20604.499999999996</v>
      </c>
      <c r="F531" s="186">
        <f t="shared" si="282"/>
        <v>32967.19999999999</v>
      </c>
      <c r="G531" s="186">
        <f t="shared" si="282"/>
        <v>19780.319999999996</v>
      </c>
      <c r="H531" s="186">
        <f t="shared" si="282"/>
        <v>11868.191999999995</v>
      </c>
      <c r="I531" s="186">
        <f t="shared" si="282"/>
        <v>11868.191999999995</v>
      </c>
      <c r="J531" s="186">
        <f t="shared" si="282"/>
        <v>5934.0959999999977</v>
      </c>
      <c r="K531" s="186">
        <f t="shared" si="282"/>
        <v>0</v>
      </c>
      <c r="L531" s="186">
        <f t="shared" si="282"/>
        <v>0</v>
      </c>
      <c r="M531" s="186">
        <f t="shared" si="282"/>
        <v>0</v>
      </c>
      <c r="N531" s="186">
        <f t="shared" si="282"/>
        <v>0</v>
      </c>
      <c r="O531" s="186">
        <f t="shared" si="282"/>
        <v>0</v>
      </c>
      <c r="P531" s="186">
        <f t="shared" si="282"/>
        <v>0</v>
      </c>
      <c r="Q531" s="186">
        <f t="shared" si="282"/>
        <v>0</v>
      </c>
      <c r="R531" s="186">
        <f t="shared" si="282"/>
        <v>0</v>
      </c>
      <c r="S531" s="186">
        <f t="shared" si="282"/>
        <v>0</v>
      </c>
      <c r="T531" s="186">
        <f t="shared" si="282"/>
        <v>0</v>
      </c>
      <c r="U531" s="186">
        <f t="shared" si="282"/>
        <v>0</v>
      </c>
      <c r="V531" s="186">
        <f t="shared" si="282"/>
        <v>0</v>
      </c>
      <c r="W531" s="186">
        <f t="shared" si="282"/>
        <v>0</v>
      </c>
      <c r="X531" s="186">
        <f t="shared" si="282"/>
        <v>0</v>
      </c>
      <c r="Y531" s="186">
        <f t="shared" si="282"/>
        <v>0</v>
      </c>
      <c r="Z531" s="186">
        <f t="shared" si="282"/>
        <v>0</v>
      </c>
      <c r="AA531" s="186">
        <f t="shared" si="282"/>
        <v>0</v>
      </c>
      <c r="AB531" s="186">
        <f t="shared" si="282"/>
        <v>0</v>
      </c>
      <c r="AC531" s="186">
        <f t="shared" si="282"/>
        <v>0</v>
      </c>
      <c r="AD531" s="186">
        <f t="shared" si="282"/>
        <v>0</v>
      </c>
      <c r="AE531" s="186">
        <f t="shared" si="282"/>
        <v>0</v>
      </c>
      <c r="AF531" s="186">
        <f t="shared" si="282"/>
        <v>0</v>
      </c>
      <c r="AG531" s="186">
        <f t="shared" si="282"/>
        <v>0</v>
      </c>
      <c r="AH531" s="186">
        <f t="shared" si="282"/>
        <v>0</v>
      </c>
      <c r="AI531" s="186">
        <f t="shared" si="282"/>
        <v>0</v>
      </c>
      <c r="AJ531" s="186">
        <f t="shared" si="282"/>
        <v>0</v>
      </c>
      <c r="AK531" s="186">
        <f t="shared" si="282"/>
        <v>0</v>
      </c>
      <c r="AL531" s="186">
        <f t="shared" si="282"/>
        <v>0</v>
      </c>
      <c r="AM531" s="186">
        <f t="shared" si="282"/>
        <v>0</v>
      </c>
      <c r="AN531" s="186">
        <f t="shared" si="282"/>
        <v>0</v>
      </c>
      <c r="AO531" s="186">
        <f t="shared" si="282"/>
        <v>0</v>
      </c>
      <c r="AP531" s="186">
        <f t="shared" si="282"/>
        <v>0</v>
      </c>
    </row>
    <row r="532" spans="1:42">
      <c r="A532" s="37">
        <f>A531+1</f>
        <v>2</v>
      </c>
      <c r="B532" s="196">
        <f t="shared" si="281"/>
        <v>107728.40038843744</v>
      </c>
      <c r="C532" s="225">
        <f t="shared" ref="C532:AP532" si="283">LOOKUP(C520,$B$462:$AP$462,$B$463:$AP$463)*$B676</f>
        <v>0</v>
      </c>
      <c r="D532" s="186">
        <f t="shared" si="283"/>
        <v>0</v>
      </c>
      <c r="E532" s="186">
        <f t="shared" si="283"/>
        <v>0</v>
      </c>
      <c r="F532" s="186">
        <f t="shared" si="283"/>
        <v>0</v>
      </c>
      <c r="G532" s="186">
        <f t="shared" si="283"/>
        <v>0</v>
      </c>
      <c r="H532" s="186">
        <f t="shared" si="283"/>
        <v>21545.680077687488</v>
      </c>
      <c r="I532" s="186">
        <f t="shared" si="283"/>
        <v>34473.088124299975</v>
      </c>
      <c r="J532" s="186">
        <f t="shared" si="283"/>
        <v>20683.852874579985</v>
      </c>
      <c r="K532" s="186">
        <f t="shared" si="283"/>
        <v>12410.311724747991</v>
      </c>
      <c r="L532" s="186">
        <f t="shared" si="283"/>
        <v>12410.311724747991</v>
      </c>
      <c r="M532" s="186">
        <f t="shared" si="283"/>
        <v>6205.1558623739957</v>
      </c>
      <c r="N532" s="186">
        <f t="shared" si="283"/>
        <v>0</v>
      </c>
      <c r="O532" s="186">
        <f t="shared" si="283"/>
        <v>0</v>
      </c>
      <c r="P532" s="186">
        <f t="shared" si="283"/>
        <v>0</v>
      </c>
      <c r="Q532" s="186">
        <f t="shared" si="283"/>
        <v>0</v>
      </c>
      <c r="R532" s="186">
        <f t="shared" si="283"/>
        <v>0</v>
      </c>
      <c r="S532" s="186">
        <f t="shared" si="283"/>
        <v>0</v>
      </c>
      <c r="T532" s="186">
        <f t="shared" si="283"/>
        <v>0</v>
      </c>
      <c r="U532" s="186">
        <f t="shared" si="283"/>
        <v>0</v>
      </c>
      <c r="V532" s="186">
        <f t="shared" si="283"/>
        <v>0</v>
      </c>
      <c r="W532" s="186">
        <f t="shared" si="283"/>
        <v>0</v>
      </c>
      <c r="X532" s="186">
        <f t="shared" si="283"/>
        <v>0</v>
      </c>
      <c r="Y532" s="186">
        <f t="shared" si="283"/>
        <v>0</v>
      </c>
      <c r="Z532" s="186">
        <f t="shared" si="283"/>
        <v>0</v>
      </c>
      <c r="AA532" s="186">
        <f t="shared" si="283"/>
        <v>0</v>
      </c>
      <c r="AB532" s="186">
        <f t="shared" si="283"/>
        <v>0</v>
      </c>
      <c r="AC532" s="186">
        <f t="shared" si="283"/>
        <v>0</v>
      </c>
      <c r="AD532" s="186">
        <f t="shared" si="283"/>
        <v>0</v>
      </c>
      <c r="AE532" s="186">
        <f t="shared" si="283"/>
        <v>0</v>
      </c>
      <c r="AF532" s="186">
        <f t="shared" si="283"/>
        <v>0</v>
      </c>
      <c r="AG532" s="186">
        <f t="shared" si="283"/>
        <v>0</v>
      </c>
      <c r="AH532" s="186">
        <f t="shared" si="283"/>
        <v>0</v>
      </c>
      <c r="AI532" s="186">
        <f t="shared" si="283"/>
        <v>0</v>
      </c>
      <c r="AJ532" s="186">
        <f t="shared" si="283"/>
        <v>0</v>
      </c>
      <c r="AK532" s="186">
        <f t="shared" si="283"/>
        <v>0</v>
      </c>
      <c r="AL532" s="186">
        <f t="shared" si="283"/>
        <v>0</v>
      </c>
      <c r="AM532" s="186">
        <f t="shared" si="283"/>
        <v>0</v>
      </c>
      <c r="AN532" s="186">
        <f t="shared" si="283"/>
        <v>0</v>
      </c>
      <c r="AO532" s="186">
        <f t="shared" si="283"/>
        <v>0</v>
      </c>
      <c r="AP532" s="186">
        <f t="shared" si="283"/>
        <v>0</v>
      </c>
    </row>
    <row r="533" spans="1:42">
      <c r="A533" s="37">
        <f t="shared" ref="A533:A538" si="284">A532+1</f>
        <v>3</v>
      </c>
      <c r="B533" s="196">
        <f t="shared" si="281"/>
        <v>112649.25865953058</v>
      </c>
      <c r="C533" s="225">
        <f t="shared" ref="C533:AP533" si="285">LOOKUP(C521,$B$462:$AP$462,$B$463:$AP$463)*$B677</f>
        <v>0</v>
      </c>
      <c r="D533" s="186">
        <f t="shared" si="285"/>
        <v>0</v>
      </c>
      <c r="E533" s="186">
        <f t="shared" si="285"/>
        <v>0</v>
      </c>
      <c r="F533" s="186">
        <f t="shared" si="285"/>
        <v>0</v>
      </c>
      <c r="G533" s="186">
        <f t="shared" si="285"/>
        <v>0</v>
      </c>
      <c r="H533" s="186">
        <f t="shared" si="285"/>
        <v>0</v>
      </c>
      <c r="I533" s="186">
        <f t="shared" si="285"/>
        <v>0</v>
      </c>
      <c r="J533" s="186">
        <f t="shared" si="285"/>
        <v>0</v>
      </c>
      <c r="K533" s="186">
        <f t="shared" si="285"/>
        <v>22529.851731906117</v>
      </c>
      <c r="L533" s="186">
        <f t="shared" si="285"/>
        <v>36047.762771049784</v>
      </c>
      <c r="M533" s="186">
        <f t="shared" si="285"/>
        <v>21628.65766262987</v>
      </c>
      <c r="N533" s="186">
        <f t="shared" si="285"/>
        <v>12977.194597577922</v>
      </c>
      <c r="O533" s="186">
        <f t="shared" si="285"/>
        <v>12977.194597577922</v>
      </c>
      <c r="P533" s="186">
        <f t="shared" si="285"/>
        <v>6488.5972987889609</v>
      </c>
      <c r="Q533" s="186">
        <f t="shared" si="285"/>
        <v>0</v>
      </c>
      <c r="R533" s="186">
        <f t="shared" si="285"/>
        <v>0</v>
      </c>
      <c r="S533" s="186">
        <f t="shared" si="285"/>
        <v>0</v>
      </c>
      <c r="T533" s="186">
        <f t="shared" si="285"/>
        <v>0</v>
      </c>
      <c r="U533" s="186">
        <f t="shared" si="285"/>
        <v>0</v>
      </c>
      <c r="V533" s="186">
        <f t="shared" si="285"/>
        <v>0</v>
      </c>
      <c r="W533" s="186">
        <f t="shared" si="285"/>
        <v>0</v>
      </c>
      <c r="X533" s="186">
        <f t="shared" si="285"/>
        <v>0</v>
      </c>
      <c r="Y533" s="186">
        <f t="shared" si="285"/>
        <v>0</v>
      </c>
      <c r="Z533" s="186">
        <f t="shared" si="285"/>
        <v>0</v>
      </c>
      <c r="AA533" s="186">
        <f t="shared" si="285"/>
        <v>0</v>
      </c>
      <c r="AB533" s="186">
        <f t="shared" si="285"/>
        <v>0</v>
      </c>
      <c r="AC533" s="186">
        <f t="shared" si="285"/>
        <v>0</v>
      </c>
      <c r="AD533" s="186">
        <f t="shared" si="285"/>
        <v>0</v>
      </c>
      <c r="AE533" s="186">
        <f t="shared" si="285"/>
        <v>0</v>
      </c>
      <c r="AF533" s="186">
        <f t="shared" si="285"/>
        <v>0</v>
      </c>
      <c r="AG533" s="186">
        <f t="shared" si="285"/>
        <v>0</v>
      </c>
      <c r="AH533" s="186">
        <f t="shared" si="285"/>
        <v>0</v>
      </c>
      <c r="AI533" s="186">
        <f t="shared" si="285"/>
        <v>0</v>
      </c>
      <c r="AJ533" s="186">
        <f t="shared" si="285"/>
        <v>0</v>
      </c>
      <c r="AK533" s="186">
        <f t="shared" si="285"/>
        <v>0</v>
      </c>
      <c r="AL533" s="186">
        <f t="shared" si="285"/>
        <v>0</v>
      </c>
      <c r="AM533" s="186">
        <f t="shared" si="285"/>
        <v>0</v>
      </c>
      <c r="AN533" s="186">
        <f t="shared" si="285"/>
        <v>0</v>
      </c>
      <c r="AO533" s="186">
        <f t="shared" si="285"/>
        <v>0</v>
      </c>
      <c r="AP533" s="186">
        <f t="shared" si="285"/>
        <v>0</v>
      </c>
    </row>
    <row r="534" spans="1:42">
      <c r="A534" s="37">
        <f t="shared" si="284"/>
        <v>4</v>
      </c>
      <c r="B534" s="196">
        <f t="shared" si="281"/>
        <v>117794.89374005256</v>
      </c>
      <c r="C534" s="225">
        <f t="shared" ref="C534:AP534" si="286">LOOKUP(C522,$B$462:$AP$462,$B$463:$AP$463)*$B678</f>
        <v>0</v>
      </c>
      <c r="D534" s="186">
        <f t="shared" si="286"/>
        <v>0</v>
      </c>
      <c r="E534" s="186">
        <f t="shared" si="286"/>
        <v>0</v>
      </c>
      <c r="F534" s="186">
        <f t="shared" si="286"/>
        <v>0</v>
      </c>
      <c r="G534" s="186">
        <f t="shared" si="286"/>
        <v>0</v>
      </c>
      <c r="H534" s="186">
        <f t="shared" si="286"/>
        <v>0</v>
      </c>
      <c r="I534" s="186">
        <f t="shared" si="286"/>
        <v>0</v>
      </c>
      <c r="J534" s="186">
        <f t="shared" si="286"/>
        <v>0</v>
      </c>
      <c r="K534" s="186">
        <f t="shared" si="286"/>
        <v>0</v>
      </c>
      <c r="L534" s="186">
        <f t="shared" si="286"/>
        <v>0</v>
      </c>
      <c r="M534" s="186">
        <f t="shared" si="286"/>
        <v>0</v>
      </c>
      <c r="N534" s="186">
        <f t="shared" si="286"/>
        <v>23558.978748010515</v>
      </c>
      <c r="O534" s="186">
        <f t="shared" si="286"/>
        <v>37694.365996816821</v>
      </c>
      <c r="P534" s="186">
        <f t="shared" si="286"/>
        <v>22616.619598090092</v>
      </c>
      <c r="Q534" s="186">
        <f t="shared" si="286"/>
        <v>13569.971758854055</v>
      </c>
      <c r="R534" s="186">
        <f t="shared" si="286"/>
        <v>13569.971758854055</v>
      </c>
      <c r="S534" s="186">
        <f t="shared" si="286"/>
        <v>6784.9858794270276</v>
      </c>
      <c r="T534" s="186">
        <f t="shared" si="286"/>
        <v>0</v>
      </c>
      <c r="U534" s="186">
        <f t="shared" si="286"/>
        <v>0</v>
      </c>
      <c r="V534" s="186">
        <f t="shared" si="286"/>
        <v>0</v>
      </c>
      <c r="W534" s="186">
        <f t="shared" si="286"/>
        <v>0</v>
      </c>
      <c r="X534" s="186">
        <f t="shared" si="286"/>
        <v>0</v>
      </c>
      <c r="Y534" s="186">
        <f t="shared" si="286"/>
        <v>0</v>
      </c>
      <c r="Z534" s="186">
        <f t="shared" si="286"/>
        <v>0</v>
      </c>
      <c r="AA534" s="186">
        <f t="shared" si="286"/>
        <v>0</v>
      </c>
      <c r="AB534" s="186">
        <f t="shared" si="286"/>
        <v>0</v>
      </c>
      <c r="AC534" s="186">
        <f t="shared" si="286"/>
        <v>0</v>
      </c>
      <c r="AD534" s="186">
        <f t="shared" si="286"/>
        <v>0</v>
      </c>
      <c r="AE534" s="186">
        <f t="shared" si="286"/>
        <v>0</v>
      </c>
      <c r="AF534" s="186">
        <f t="shared" si="286"/>
        <v>0</v>
      </c>
      <c r="AG534" s="186">
        <f t="shared" si="286"/>
        <v>0</v>
      </c>
      <c r="AH534" s="186">
        <f t="shared" si="286"/>
        <v>0</v>
      </c>
      <c r="AI534" s="186">
        <f t="shared" si="286"/>
        <v>0</v>
      </c>
      <c r="AJ534" s="186">
        <f t="shared" si="286"/>
        <v>0</v>
      </c>
      <c r="AK534" s="186">
        <f t="shared" si="286"/>
        <v>0</v>
      </c>
      <c r="AL534" s="186">
        <f t="shared" si="286"/>
        <v>0</v>
      </c>
      <c r="AM534" s="186">
        <f t="shared" si="286"/>
        <v>0</v>
      </c>
      <c r="AN534" s="186">
        <f t="shared" si="286"/>
        <v>0</v>
      </c>
      <c r="AO534" s="186">
        <f t="shared" si="286"/>
        <v>0</v>
      </c>
      <c r="AP534" s="186">
        <f t="shared" si="286"/>
        <v>0</v>
      </c>
    </row>
    <row r="535" spans="1:42">
      <c r="A535" s="37">
        <f t="shared" si="284"/>
        <v>5</v>
      </c>
      <c r="B535" s="196">
        <f t="shared" si="281"/>
        <v>123175.57306939577</v>
      </c>
      <c r="C535" s="225">
        <f t="shared" ref="C535:AP535" si="287">LOOKUP(C523,$B$462:$AP$462,$B$463:$AP$463)*$B679</f>
        <v>0</v>
      </c>
      <c r="D535" s="186">
        <f t="shared" si="287"/>
        <v>0</v>
      </c>
      <c r="E535" s="186">
        <f t="shared" si="287"/>
        <v>0</v>
      </c>
      <c r="F535" s="186">
        <f t="shared" si="287"/>
        <v>0</v>
      </c>
      <c r="G535" s="186">
        <f t="shared" si="287"/>
        <v>0</v>
      </c>
      <c r="H535" s="186">
        <f t="shared" si="287"/>
        <v>0</v>
      </c>
      <c r="I535" s="186">
        <f t="shared" si="287"/>
        <v>0</v>
      </c>
      <c r="J535" s="186">
        <f t="shared" si="287"/>
        <v>0</v>
      </c>
      <c r="K535" s="186">
        <f t="shared" si="287"/>
        <v>0</v>
      </c>
      <c r="L535" s="186">
        <f t="shared" si="287"/>
        <v>0</v>
      </c>
      <c r="M535" s="186">
        <f t="shared" si="287"/>
        <v>0</v>
      </c>
      <c r="N535" s="186">
        <f t="shared" si="287"/>
        <v>0</v>
      </c>
      <c r="O535" s="186">
        <f t="shared" si="287"/>
        <v>0</v>
      </c>
      <c r="P535" s="186">
        <f t="shared" si="287"/>
        <v>0</v>
      </c>
      <c r="Q535" s="186">
        <f t="shared" si="287"/>
        <v>24635.114613879156</v>
      </c>
      <c r="R535" s="186">
        <f t="shared" si="287"/>
        <v>39416.183382206647</v>
      </c>
      <c r="S535" s="186">
        <f t="shared" si="287"/>
        <v>23649.710029323989</v>
      </c>
      <c r="T535" s="186">
        <f t="shared" si="287"/>
        <v>14189.826017594392</v>
      </c>
      <c r="U535" s="186">
        <f t="shared" si="287"/>
        <v>14189.826017594392</v>
      </c>
      <c r="V535" s="186">
        <f t="shared" si="287"/>
        <v>7094.9130087971962</v>
      </c>
      <c r="W535" s="186">
        <f t="shared" si="287"/>
        <v>0</v>
      </c>
      <c r="X535" s="186">
        <f t="shared" si="287"/>
        <v>0</v>
      </c>
      <c r="Y535" s="186">
        <f t="shared" si="287"/>
        <v>0</v>
      </c>
      <c r="Z535" s="186">
        <f t="shared" si="287"/>
        <v>0</v>
      </c>
      <c r="AA535" s="186">
        <f t="shared" si="287"/>
        <v>0</v>
      </c>
      <c r="AB535" s="186">
        <f t="shared" si="287"/>
        <v>0</v>
      </c>
      <c r="AC535" s="186">
        <f t="shared" si="287"/>
        <v>0</v>
      </c>
      <c r="AD535" s="186">
        <f t="shared" si="287"/>
        <v>0</v>
      </c>
      <c r="AE535" s="186">
        <f t="shared" si="287"/>
        <v>0</v>
      </c>
      <c r="AF535" s="186">
        <f t="shared" si="287"/>
        <v>0</v>
      </c>
      <c r="AG535" s="186">
        <f t="shared" si="287"/>
        <v>0</v>
      </c>
      <c r="AH535" s="186">
        <f t="shared" si="287"/>
        <v>0</v>
      </c>
      <c r="AI535" s="186">
        <f t="shared" si="287"/>
        <v>0</v>
      </c>
      <c r="AJ535" s="186">
        <f t="shared" si="287"/>
        <v>0</v>
      </c>
      <c r="AK535" s="186">
        <f t="shared" si="287"/>
        <v>0</v>
      </c>
      <c r="AL535" s="186">
        <f t="shared" si="287"/>
        <v>0</v>
      </c>
      <c r="AM535" s="186">
        <f t="shared" si="287"/>
        <v>0</v>
      </c>
      <c r="AN535" s="186">
        <f t="shared" si="287"/>
        <v>0</v>
      </c>
      <c r="AO535" s="186">
        <f t="shared" si="287"/>
        <v>0</v>
      </c>
      <c r="AP535" s="186">
        <f t="shared" si="287"/>
        <v>0</v>
      </c>
    </row>
    <row r="536" spans="1:42">
      <c r="A536" s="37">
        <f t="shared" si="284"/>
        <v>6</v>
      </c>
      <c r="B536" s="196">
        <f t="shared" si="281"/>
        <v>128802.03308689946</v>
      </c>
      <c r="C536" s="225">
        <f t="shared" ref="C536:AP536" si="288">LOOKUP(C524,$B$462:$AP$462,$B$463:$AP$463)*$B680</f>
        <v>0</v>
      </c>
      <c r="D536" s="186">
        <f t="shared" si="288"/>
        <v>0</v>
      </c>
      <c r="E536" s="186">
        <f t="shared" si="288"/>
        <v>0</v>
      </c>
      <c r="F536" s="186">
        <f t="shared" si="288"/>
        <v>0</v>
      </c>
      <c r="G536" s="186">
        <f t="shared" si="288"/>
        <v>0</v>
      </c>
      <c r="H536" s="186">
        <f t="shared" si="288"/>
        <v>0</v>
      </c>
      <c r="I536" s="186">
        <f t="shared" si="288"/>
        <v>0</v>
      </c>
      <c r="J536" s="186">
        <f t="shared" si="288"/>
        <v>0</v>
      </c>
      <c r="K536" s="186">
        <f t="shared" si="288"/>
        <v>0</v>
      </c>
      <c r="L536" s="186">
        <f t="shared" si="288"/>
        <v>0</v>
      </c>
      <c r="M536" s="186">
        <f t="shared" si="288"/>
        <v>0</v>
      </c>
      <c r="N536" s="186">
        <f t="shared" si="288"/>
        <v>0</v>
      </c>
      <c r="O536" s="186">
        <f t="shared" si="288"/>
        <v>0</v>
      </c>
      <c r="P536" s="186">
        <f t="shared" si="288"/>
        <v>0</v>
      </c>
      <c r="Q536" s="186">
        <f t="shared" si="288"/>
        <v>0</v>
      </c>
      <c r="R536" s="186">
        <f t="shared" si="288"/>
        <v>0</v>
      </c>
      <c r="S536" s="186">
        <f t="shared" si="288"/>
        <v>0</v>
      </c>
      <c r="T536" s="186">
        <f t="shared" si="288"/>
        <v>25760.406617379896</v>
      </c>
      <c r="U536" s="186">
        <f t="shared" si="288"/>
        <v>41216.650587807831</v>
      </c>
      <c r="V536" s="186">
        <f t="shared" si="288"/>
        <v>24729.990352684701</v>
      </c>
      <c r="W536" s="186">
        <f t="shared" si="288"/>
        <v>14837.99421161082</v>
      </c>
      <c r="X536" s="186">
        <f t="shared" si="288"/>
        <v>14837.99421161082</v>
      </c>
      <c r="Y536" s="186">
        <f t="shared" si="288"/>
        <v>7418.9971058054098</v>
      </c>
      <c r="Z536" s="186">
        <f t="shared" si="288"/>
        <v>0</v>
      </c>
      <c r="AA536" s="186">
        <f t="shared" si="288"/>
        <v>0</v>
      </c>
      <c r="AB536" s="186">
        <f t="shared" si="288"/>
        <v>0</v>
      </c>
      <c r="AC536" s="186">
        <f t="shared" si="288"/>
        <v>0</v>
      </c>
      <c r="AD536" s="186">
        <f t="shared" si="288"/>
        <v>0</v>
      </c>
      <c r="AE536" s="186">
        <f t="shared" si="288"/>
        <v>0</v>
      </c>
      <c r="AF536" s="186">
        <f t="shared" si="288"/>
        <v>0</v>
      </c>
      <c r="AG536" s="186">
        <f t="shared" si="288"/>
        <v>0</v>
      </c>
      <c r="AH536" s="186">
        <f t="shared" si="288"/>
        <v>0</v>
      </c>
      <c r="AI536" s="186">
        <f t="shared" si="288"/>
        <v>0</v>
      </c>
      <c r="AJ536" s="186">
        <f t="shared" si="288"/>
        <v>0</v>
      </c>
      <c r="AK536" s="186">
        <f t="shared" si="288"/>
        <v>0</v>
      </c>
      <c r="AL536" s="186">
        <f t="shared" si="288"/>
        <v>0</v>
      </c>
      <c r="AM536" s="186">
        <f t="shared" si="288"/>
        <v>0</v>
      </c>
      <c r="AN536" s="186">
        <f t="shared" si="288"/>
        <v>0</v>
      </c>
      <c r="AO536" s="186">
        <f t="shared" si="288"/>
        <v>0</v>
      </c>
      <c r="AP536" s="186">
        <f t="shared" si="288"/>
        <v>0</v>
      </c>
    </row>
    <row r="537" spans="1:42">
      <c r="A537" s="37">
        <f t="shared" si="284"/>
        <v>7</v>
      </c>
      <c r="B537" s="196">
        <f t="shared" si="281"/>
        <v>134685.50065500522</v>
      </c>
      <c r="C537" s="225">
        <f t="shared" ref="C537:AP537" si="289">LOOKUP(C525,$B$462:$AP$462,$B$463:$AP$463)*$B681</f>
        <v>0</v>
      </c>
      <c r="D537" s="186">
        <f t="shared" si="289"/>
        <v>0</v>
      </c>
      <c r="E537" s="186">
        <f t="shared" si="289"/>
        <v>0</v>
      </c>
      <c r="F537" s="186">
        <f t="shared" si="289"/>
        <v>0</v>
      </c>
      <c r="G537" s="186">
        <f t="shared" si="289"/>
        <v>0</v>
      </c>
      <c r="H537" s="186">
        <f t="shared" si="289"/>
        <v>0</v>
      </c>
      <c r="I537" s="186">
        <f t="shared" si="289"/>
        <v>0</v>
      </c>
      <c r="J537" s="186">
        <f t="shared" si="289"/>
        <v>0</v>
      </c>
      <c r="K537" s="186">
        <f t="shared" si="289"/>
        <v>0</v>
      </c>
      <c r="L537" s="186">
        <f t="shared" si="289"/>
        <v>0</v>
      </c>
      <c r="M537" s="186">
        <f t="shared" si="289"/>
        <v>0</v>
      </c>
      <c r="N537" s="186">
        <f t="shared" si="289"/>
        <v>0</v>
      </c>
      <c r="O537" s="186">
        <f t="shared" si="289"/>
        <v>0</v>
      </c>
      <c r="P537" s="186">
        <f t="shared" si="289"/>
        <v>0</v>
      </c>
      <c r="Q537" s="186">
        <f t="shared" si="289"/>
        <v>0</v>
      </c>
      <c r="R537" s="186">
        <f t="shared" si="289"/>
        <v>0</v>
      </c>
      <c r="S537" s="186">
        <f t="shared" si="289"/>
        <v>0</v>
      </c>
      <c r="T537" s="186">
        <f t="shared" si="289"/>
        <v>0</v>
      </c>
      <c r="U537" s="186">
        <f t="shared" si="289"/>
        <v>0</v>
      </c>
      <c r="V537" s="186">
        <f t="shared" si="289"/>
        <v>0</v>
      </c>
      <c r="W537" s="186">
        <f t="shared" si="289"/>
        <v>26937.100131001047</v>
      </c>
      <c r="X537" s="186">
        <f t="shared" si="289"/>
        <v>43099.360209601669</v>
      </c>
      <c r="Y537" s="186">
        <f t="shared" si="289"/>
        <v>25859.616125761004</v>
      </c>
      <c r="Z537" s="186">
        <f t="shared" si="289"/>
        <v>15515.7696754566</v>
      </c>
      <c r="AA537" s="186">
        <f t="shared" si="289"/>
        <v>15515.7696754566</v>
      </c>
      <c r="AB537" s="186">
        <f t="shared" si="289"/>
        <v>7757.8848377283002</v>
      </c>
      <c r="AC537" s="186">
        <f t="shared" si="289"/>
        <v>0</v>
      </c>
      <c r="AD537" s="186">
        <f t="shared" si="289"/>
        <v>0</v>
      </c>
      <c r="AE537" s="186">
        <f t="shared" si="289"/>
        <v>0</v>
      </c>
      <c r="AF537" s="186">
        <f t="shared" si="289"/>
        <v>0</v>
      </c>
      <c r="AG537" s="186">
        <f t="shared" si="289"/>
        <v>0</v>
      </c>
      <c r="AH537" s="186">
        <f t="shared" si="289"/>
        <v>0</v>
      </c>
      <c r="AI537" s="186">
        <f t="shared" si="289"/>
        <v>0</v>
      </c>
      <c r="AJ537" s="186">
        <f t="shared" si="289"/>
        <v>0</v>
      </c>
      <c r="AK537" s="186">
        <f t="shared" si="289"/>
        <v>0</v>
      </c>
      <c r="AL537" s="186">
        <f t="shared" si="289"/>
        <v>0</v>
      </c>
      <c r="AM537" s="186">
        <f t="shared" si="289"/>
        <v>0</v>
      </c>
      <c r="AN537" s="186">
        <f t="shared" si="289"/>
        <v>0</v>
      </c>
      <c r="AO537" s="186">
        <f t="shared" si="289"/>
        <v>0</v>
      </c>
      <c r="AP537" s="186">
        <f t="shared" si="289"/>
        <v>0</v>
      </c>
    </row>
    <row r="538" spans="1:42">
      <c r="A538" s="37">
        <f t="shared" si="284"/>
        <v>8</v>
      </c>
      <c r="B538" s="196">
        <f t="shared" si="281"/>
        <v>140837.71546098724</v>
      </c>
      <c r="C538" s="225">
        <f t="shared" ref="C538:AP538" si="290">LOOKUP(C526,$B$462:$AP$462,$B$463:$AP$463)*$B682</f>
        <v>0</v>
      </c>
      <c r="D538" s="186">
        <f t="shared" si="290"/>
        <v>0</v>
      </c>
      <c r="E538" s="186">
        <f t="shared" si="290"/>
        <v>0</v>
      </c>
      <c r="F538" s="186">
        <f t="shared" si="290"/>
        <v>0</v>
      </c>
      <c r="G538" s="186">
        <f t="shared" si="290"/>
        <v>0</v>
      </c>
      <c r="H538" s="186">
        <f t="shared" si="290"/>
        <v>0</v>
      </c>
      <c r="I538" s="186">
        <f t="shared" si="290"/>
        <v>0</v>
      </c>
      <c r="J538" s="186">
        <f t="shared" si="290"/>
        <v>0</v>
      </c>
      <c r="K538" s="186">
        <f t="shared" si="290"/>
        <v>0</v>
      </c>
      <c r="L538" s="186">
        <f t="shared" si="290"/>
        <v>0</v>
      </c>
      <c r="M538" s="186">
        <f t="shared" si="290"/>
        <v>0</v>
      </c>
      <c r="N538" s="186">
        <f t="shared" si="290"/>
        <v>0</v>
      </c>
      <c r="O538" s="186">
        <f t="shared" si="290"/>
        <v>0</v>
      </c>
      <c r="P538" s="186">
        <f t="shared" si="290"/>
        <v>0</v>
      </c>
      <c r="Q538" s="186">
        <f t="shared" si="290"/>
        <v>0</v>
      </c>
      <c r="R538" s="186">
        <f t="shared" si="290"/>
        <v>0</v>
      </c>
      <c r="S538" s="186">
        <f t="shared" si="290"/>
        <v>0</v>
      </c>
      <c r="T538" s="186">
        <f t="shared" si="290"/>
        <v>0</v>
      </c>
      <c r="U538" s="186">
        <f t="shared" si="290"/>
        <v>0</v>
      </c>
      <c r="V538" s="186">
        <f t="shared" si="290"/>
        <v>0</v>
      </c>
      <c r="W538" s="186">
        <f t="shared" si="290"/>
        <v>0</v>
      </c>
      <c r="X538" s="186">
        <f t="shared" si="290"/>
        <v>0</v>
      </c>
      <c r="Y538" s="186">
        <f t="shared" si="290"/>
        <v>0</v>
      </c>
      <c r="Z538" s="186">
        <f t="shared" si="290"/>
        <v>28167.543092197448</v>
      </c>
      <c r="AA538" s="186">
        <f t="shared" si="290"/>
        <v>45068.068947515916</v>
      </c>
      <c r="AB538" s="186">
        <f t="shared" si="290"/>
        <v>27040.841368509551</v>
      </c>
      <c r="AC538" s="186">
        <f t="shared" si="290"/>
        <v>16224.504821105729</v>
      </c>
      <c r="AD538" s="186">
        <f t="shared" si="290"/>
        <v>16224.504821105729</v>
      </c>
      <c r="AE538" s="186">
        <f t="shared" si="290"/>
        <v>8112.2524105528646</v>
      </c>
      <c r="AF538" s="186">
        <f t="shared" si="290"/>
        <v>0</v>
      </c>
      <c r="AG538" s="186">
        <f t="shared" si="290"/>
        <v>0</v>
      </c>
      <c r="AH538" s="186">
        <f t="shared" si="290"/>
        <v>0</v>
      </c>
      <c r="AI538" s="186">
        <f t="shared" si="290"/>
        <v>0</v>
      </c>
      <c r="AJ538" s="186">
        <f t="shared" si="290"/>
        <v>0</v>
      </c>
      <c r="AK538" s="186">
        <f t="shared" si="290"/>
        <v>0</v>
      </c>
      <c r="AL538" s="186">
        <f t="shared" si="290"/>
        <v>0</v>
      </c>
      <c r="AM538" s="186">
        <f t="shared" si="290"/>
        <v>0</v>
      </c>
      <c r="AN538" s="186">
        <f t="shared" si="290"/>
        <v>0</v>
      </c>
      <c r="AO538" s="186">
        <f t="shared" si="290"/>
        <v>0</v>
      </c>
      <c r="AP538" s="186">
        <f t="shared" si="290"/>
        <v>0</v>
      </c>
    </row>
    <row r="539" spans="1:42">
      <c r="A539" s="37">
        <f>A538+1</f>
        <v>9</v>
      </c>
      <c r="B539" s="196">
        <f t="shared" si="281"/>
        <v>121822.53268718722</v>
      </c>
      <c r="C539" s="225">
        <f t="shared" ref="C539:AP539" si="291">LOOKUP(C527,$B$462:$AP$462,$B$463:$AP$463)*$B683</f>
        <v>0</v>
      </c>
      <c r="D539" s="186">
        <f t="shared" si="291"/>
        <v>0</v>
      </c>
      <c r="E539" s="186">
        <f t="shared" si="291"/>
        <v>0</v>
      </c>
      <c r="F539" s="186">
        <f t="shared" si="291"/>
        <v>0</v>
      </c>
      <c r="G539" s="186">
        <f t="shared" si="291"/>
        <v>0</v>
      </c>
      <c r="H539" s="186">
        <f t="shared" si="291"/>
        <v>0</v>
      </c>
      <c r="I539" s="186">
        <f t="shared" si="291"/>
        <v>0</v>
      </c>
      <c r="J539" s="186">
        <f t="shared" si="291"/>
        <v>0</v>
      </c>
      <c r="K539" s="186">
        <f t="shared" si="291"/>
        <v>0</v>
      </c>
      <c r="L539" s="186">
        <f t="shared" si="291"/>
        <v>0</v>
      </c>
      <c r="M539" s="186">
        <f t="shared" si="291"/>
        <v>0</v>
      </c>
      <c r="N539" s="186">
        <f t="shared" si="291"/>
        <v>0</v>
      </c>
      <c r="O539" s="186">
        <f t="shared" si="291"/>
        <v>0</v>
      </c>
      <c r="P539" s="186">
        <f t="shared" si="291"/>
        <v>0</v>
      </c>
      <c r="Q539" s="186">
        <f t="shared" si="291"/>
        <v>0</v>
      </c>
      <c r="R539" s="186">
        <f t="shared" si="291"/>
        <v>0</v>
      </c>
      <c r="S539" s="186">
        <f t="shared" si="291"/>
        <v>0</v>
      </c>
      <c r="T539" s="186">
        <f t="shared" si="291"/>
        <v>0</v>
      </c>
      <c r="U539" s="186">
        <f t="shared" si="291"/>
        <v>0</v>
      </c>
      <c r="V539" s="186">
        <f t="shared" si="291"/>
        <v>0</v>
      </c>
      <c r="W539" s="186">
        <f t="shared" si="291"/>
        <v>0</v>
      </c>
      <c r="X539" s="186">
        <f t="shared" si="291"/>
        <v>0</v>
      </c>
      <c r="Y539" s="186">
        <f t="shared" si="291"/>
        <v>0</v>
      </c>
      <c r="Z539" s="186">
        <f t="shared" si="291"/>
        <v>0</v>
      </c>
      <c r="AA539" s="186">
        <f t="shared" si="291"/>
        <v>0</v>
      </c>
      <c r="AB539" s="186">
        <f t="shared" si="291"/>
        <v>0</v>
      </c>
      <c r="AC539" s="186">
        <f t="shared" si="291"/>
        <v>29454.190688391496</v>
      </c>
      <c r="AD539" s="186">
        <f t="shared" si="291"/>
        <v>47126.705101426393</v>
      </c>
      <c r="AE539" s="186">
        <f t="shared" si="291"/>
        <v>28276.023060855838</v>
      </c>
      <c r="AF539" s="186">
        <f t="shared" si="291"/>
        <v>16965.613836513501</v>
      </c>
      <c r="AG539" s="186">
        <f t="shared" si="291"/>
        <v>0</v>
      </c>
      <c r="AH539" s="186">
        <f t="shared" si="291"/>
        <v>0</v>
      </c>
      <c r="AI539" s="186">
        <f t="shared" si="291"/>
        <v>0</v>
      </c>
      <c r="AJ539" s="186">
        <f t="shared" si="291"/>
        <v>0</v>
      </c>
      <c r="AK539" s="186">
        <f t="shared" si="291"/>
        <v>0</v>
      </c>
      <c r="AL539" s="186">
        <f t="shared" si="291"/>
        <v>0</v>
      </c>
      <c r="AM539" s="186">
        <f t="shared" si="291"/>
        <v>0</v>
      </c>
      <c r="AN539" s="186">
        <f t="shared" si="291"/>
        <v>0</v>
      </c>
      <c r="AO539" s="186">
        <f t="shared" si="291"/>
        <v>0</v>
      </c>
      <c r="AP539" s="186">
        <f t="shared" si="291"/>
        <v>0</v>
      </c>
    </row>
    <row r="540" spans="1:42">
      <c r="A540" s="37">
        <f t="shared" ref="A540" si="292">A539+1</f>
        <v>10</v>
      </c>
      <c r="B540" s="196">
        <f t="shared" si="281"/>
        <v>30799.610255977339</v>
      </c>
      <c r="C540" s="221">
        <f t="shared" ref="C540:AP540" si="293">LOOKUP(C528,$B$462:$AP$462,$B$463:$AP$463)*$B684</f>
        <v>0</v>
      </c>
      <c r="D540" s="187">
        <f t="shared" si="293"/>
        <v>0</v>
      </c>
      <c r="E540" s="187">
        <f t="shared" si="293"/>
        <v>0</v>
      </c>
      <c r="F540" s="187">
        <f t="shared" si="293"/>
        <v>0</v>
      </c>
      <c r="G540" s="187">
        <f t="shared" si="293"/>
        <v>0</v>
      </c>
      <c r="H540" s="187">
        <f t="shared" si="293"/>
        <v>0</v>
      </c>
      <c r="I540" s="187">
        <f t="shared" si="293"/>
        <v>0</v>
      </c>
      <c r="J540" s="187">
        <f t="shared" si="293"/>
        <v>0</v>
      </c>
      <c r="K540" s="187">
        <f t="shared" si="293"/>
        <v>0</v>
      </c>
      <c r="L540" s="187">
        <f t="shared" si="293"/>
        <v>0</v>
      </c>
      <c r="M540" s="187">
        <f t="shared" si="293"/>
        <v>0</v>
      </c>
      <c r="N540" s="187">
        <f t="shared" si="293"/>
        <v>0</v>
      </c>
      <c r="O540" s="187">
        <f t="shared" si="293"/>
        <v>0</v>
      </c>
      <c r="P540" s="187">
        <f t="shared" si="293"/>
        <v>0</v>
      </c>
      <c r="Q540" s="187">
        <f t="shared" si="293"/>
        <v>0</v>
      </c>
      <c r="R540" s="187">
        <f t="shared" si="293"/>
        <v>0</v>
      </c>
      <c r="S540" s="187">
        <f t="shared" si="293"/>
        <v>0</v>
      </c>
      <c r="T540" s="187">
        <f t="shared" si="293"/>
        <v>0</v>
      </c>
      <c r="U540" s="187">
        <f t="shared" si="293"/>
        <v>0</v>
      </c>
      <c r="V540" s="187">
        <f t="shared" si="293"/>
        <v>0</v>
      </c>
      <c r="W540" s="187">
        <f t="shared" si="293"/>
        <v>0</v>
      </c>
      <c r="X540" s="187">
        <f t="shared" si="293"/>
        <v>0</v>
      </c>
      <c r="Y540" s="187">
        <f t="shared" si="293"/>
        <v>0</v>
      </c>
      <c r="Z540" s="187">
        <f t="shared" si="293"/>
        <v>0</v>
      </c>
      <c r="AA540" s="187">
        <f t="shared" si="293"/>
        <v>0</v>
      </c>
      <c r="AB540" s="187">
        <f t="shared" si="293"/>
        <v>0</v>
      </c>
      <c r="AC540" s="187">
        <f t="shared" si="293"/>
        <v>0</v>
      </c>
      <c r="AD540" s="187">
        <f t="shared" si="293"/>
        <v>0</v>
      </c>
      <c r="AE540" s="187">
        <f t="shared" si="293"/>
        <v>0</v>
      </c>
      <c r="AF540" s="187">
        <f t="shared" si="293"/>
        <v>30799.610255977339</v>
      </c>
      <c r="AG540" s="187">
        <f t="shared" si="293"/>
        <v>0</v>
      </c>
      <c r="AH540" s="187">
        <f t="shared" si="293"/>
        <v>0</v>
      </c>
      <c r="AI540" s="187">
        <f t="shared" si="293"/>
        <v>0</v>
      </c>
      <c r="AJ540" s="187">
        <f t="shared" si="293"/>
        <v>0</v>
      </c>
      <c r="AK540" s="187">
        <f t="shared" si="293"/>
        <v>0</v>
      </c>
      <c r="AL540" s="187">
        <f t="shared" si="293"/>
        <v>0</v>
      </c>
      <c r="AM540" s="187">
        <f t="shared" si="293"/>
        <v>0</v>
      </c>
      <c r="AN540" s="187">
        <f t="shared" si="293"/>
        <v>0</v>
      </c>
      <c r="AO540" s="187">
        <f t="shared" si="293"/>
        <v>0</v>
      </c>
      <c r="AP540" s="187">
        <f t="shared" si="293"/>
        <v>0</v>
      </c>
    </row>
    <row r="541" spans="1:42" s="118" customFormat="1">
      <c r="A541" s="222" t="s">
        <v>53</v>
      </c>
      <c r="B541" s="141"/>
      <c r="C541" s="141">
        <f>SUM(C531:C540)</f>
        <v>0</v>
      </c>
      <c r="D541" s="141">
        <f t="shared" ref="D541:AP541" si="294">SUM(D531:D540)</f>
        <v>0</v>
      </c>
      <c r="E541" s="141">
        <f t="shared" si="294"/>
        <v>20604.499999999996</v>
      </c>
      <c r="F541" s="141">
        <f t="shared" si="294"/>
        <v>32967.19999999999</v>
      </c>
      <c r="G541" s="141">
        <f t="shared" si="294"/>
        <v>19780.319999999996</v>
      </c>
      <c r="H541" s="141">
        <f t="shared" si="294"/>
        <v>33413.872077687483</v>
      </c>
      <c r="I541" s="141">
        <f t="shared" si="294"/>
        <v>46341.28012429997</v>
      </c>
      <c r="J541" s="141">
        <f t="shared" si="294"/>
        <v>26617.948874579983</v>
      </c>
      <c r="K541" s="141">
        <f t="shared" si="294"/>
        <v>34940.163456654111</v>
      </c>
      <c r="L541" s="141">
        <f t="shared" si="294"/>
        <v>48458.074495797773</v>
      </c>
      <c r="M541" s="141">
        <f t="shared" si="294"/>
        <v>27833.813525003865</v>
      </c>
      <c r="N541" s="141">
        <f t="shared" si="294"/>
        <v>36536.173345588439</v>
      </c>
      <c r="O541" s="141">
        <f t="shared" si="294"/>
        <v>50671.560594394745</v>
      </c>
      <c r="P541" s="141">
        <f t="shared" si="294"/>
        <v>29105.216896879054</v>
      </c>
      <c r="Q541" s="141">
        <f t="shared" si="294"/>
        <v>38205.086372733211</v>
      </c>
      <c r="R541" s="141">
        <f t="shared" si="294"/>
        <v>52986.155141060706</v>
      </c>
      <c r="S541" s="141">
        <f t="shared" si="294"/>
        <v>30434.695908751019</v>
      </c>
      <c r="T541" s="141">
        <f t="shared" si="294"/>
        <v>39950.232634974287</v>
      </c>
      <c r="U541" s="141">
        <f t="shared" si="294"/>
        <v>55406.476605402226</v>
      </c>
      <c r="V541" s="141">
        <f t="shared" si="294"/>
        <v>31824.903361481898</v>
      </c>
      <c r="W541" s="141">
        <f t="shared" si="294"/>
        <v>41775.094342611868</v>
      </c>
      <c r="X541" s="141">
        <f t="shared" si="294"/>
        <v>57937.354421212491</v>
      </c>
      <c r="Y541" s="141">
        <f t="shared" si="294"/>
        <v>33278.613231566414</v>
      </c>
      <c r="Z541" s="141">
        <f t="shared" si="294"/>
        <v>43683.312767654046</v>
      </c>
      <c r="AA541" s="141">
        <f t="shared" si="294"/>
        <v>60583.838622972515</v>
      </c>
      <c r="AB541" s="141">
        <f t="shared" si="294"/>
        <v>34798.72620623785</v>
      </c>
      <c r="AC541" s="141">
        <f t="shared" si="294"/>
        <v>45678.695509497222</v>
      </c>
      <c r="AD541" s="141">
        <f t="shared" si="294"/>
        <v>63351.209922532122</v>
      </c>
      <c r="AE541" s="141">
        <f t="shared" si="294"/>
        <v>36388.275471408706</v>
      </c>
      <c r="AF541" s="141">
        <f t="shared" si="294"/>
        <v>47765.22409249084</v>
      </c>
      <c r="AG541" s="141">
        <f t="shared" si="294"/>
        <v>0</v>
      </c>
      <c r="AH541" s="141">
        <f t="shared" si="294"/>
        <v>0</v>
      </c>
      <c r="AI541" s="141">
        <f t="shared" si="294"/>
        <v>0</v>
      </c>
      <c r="AJ541" s="141">
        <f t="shared" si="294"/>
        <v>0</v>
      </c>
      <c r="AK541" s="141">
        <f t="shared" si="294"/>
        <v>0</v>
      </c>
      <c r="AL541" s="141">
        <f t="shared" si="294"/>
        <v>0</v>
      </c>
      <c r="AM541" s="141">
        <f t="shared" si="294"/>
        <v>0</v>
      </c>
      <c r="AN541" s="141">
        <f t="shared" si="294"/>
        <v>0</v>
      </c>
      <c r="AO541" s="141">
        <f t="shared" si="294"/>
        <v>0</v>
      </c>
      <c r="AP541" s="141">
        <f t="shared" si="294"/>
        <v>0</v>
      </c>
    </row>
    <row r="542" spans="1:42" s="118" customFormat="1">
      <c r="A542" s="222"/>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c r="AA542" s="141"/>
      <c r="AB542" s="141"/>
      <c r="AC542" s="141"/>
      <c r="AD542" s="141"/>
      <c r="AE542" s="141"/>
      <c r="AF542" s="141"/>
      <c r="AG542" s="141"/>
      <c r="AH542" s="141"/>
      <c r="AI542" s="141"/>
      <c r="AJ542" s="141"/>
      <c r="AK542" s="141"/>
      <c r="AL542" s="141"/>
      <c r="AM542" s="141"/>
      <c r="AN542" s="141"/>
      <c r="AO542" s="141"/>
      <c r="AP542" s="141"/>
    </row>
    <row r="543" spans="1:42" s="118" customFormat="1">
      <c r="A543" s="179" t="s">
        <v>171</v>
      </c>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c r="AA543" s="141"/>
      <c r="AB543" s="141"/>
      <c r="AC543" s="141"/>
      <c r="AD543" s="141"/>
      <c r="AE543" s="141"/>
      <c r="AF543" s="141"/>
      <c r="AG543" s="141"/>
      <c r="AH543" s="141"/>
      <c r="AI543" s="141"/>
      <c r="AJ543" s="141"/>
      <c r="AK543" s="141"/>
      <c r="AL543" s="141"/>
      <c r="AM543" s="141"/>
      <c r="AN543" s="141"/>
      <c r="AO543" s="141"/>
      <c r="AP543" s="141"/>
    </row>
    <row r="544" spans="1:42" s="118" customFormat="1">
      <c r="A544" s="197" t="s">
        <v>37</v>
      </c>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c r="AA544" s="141"/>
      <c r="AB544" s="141"/>
      <c r="AC544" s="141"/>
      <c r="AD544" s="141"/>
      <c r="AE544" s="141"/>
      <c r="AF544" s="141"/>
      <c r="AG544" s="141"/>
      <c r="AH544" s="141"/>
      <c r="AI544" s="141"/>
      <c r="AJ544" s="141"/>
      <c r="AK544" s="141"/>
      <c r="AL544" s="141"/>
      <c r="AM544" s="141"/>
      <c r="AN544" s="141"/>
      <c r="AO544" s="141"/>
      <c r="AP544" s="141"/>
    </row>
    <row r="545" spans="1:42" s="118" customFormat="1">
      <c r="A545" s="204" t="s">
        <v>173</v>
      </c>
      <c r="C545" s="232">
        <f t="shared" ref="C545:AP545" si="295">IF(C$2&lt;=StatePTCTerm,StatePTCAmount*(1+Inflation)^B$2,0)</f>
        <v>0</v>
      </c>
      <c r="D545" s="232">
        <f t="shared" si="295"/>
        <v>0</v>
      </c>
      <c r="E545" s="232">
        <f t="shared" si="295"/>
        <v>0</v>
      </c>
      <c r="F545" s="232">
        <f t="shared" si="295"/>
        <v>0</v>
      </c>
      <c r="G545" s="232">
        <f t="shared" si="295"/>
        <v>0</v>
      </c>
      <c r="H545" s="232">
        <f t="shared" si="295"/>
        <v>0</v>
      </c>
      <c r="I545" s="232">
        <f t="shared" si="295"/>
        <v>0</v>
      </c>
      <c r="J545" s="232">
        <f t="shared" si="295"/>
        <v>0</v>
      </c>
      <c r="K545" s="232">
        <f t="shared" si="295"/>
        <v>0</v>
      </c>
      <c r="L545" s="232">
        <f t="shared" si="295"/>
        <v>0</v>
      </c>
      <c r="M545" s="232">
        <f t="shared" si="295"/>
        <v>0</v>
      </c>
      <c r="N545" s="232">
        <f t="shared" si="295"/>
        <v>0</v>
      </c>
      <c r="O545" s="232">
        <f t="shared" si="295"/>
        <v>0</v>
      </c>
      <c r="P545" s="232">
        <f t="shared" si="295"/>
        <v>0</v>
      </c>
      <c r="Q545" s="232">
        <f t="shared" si="295"/>
        <v>0</v>
      </c>
      <c r="R545" s="232">
        <f t="shared" si="295"/>
        <v>0</v>
      </c>
      <c r="S545" s="232">
        <f t="shared" si="295"/>
        <v>0</v>
      </c>
      <c r="T545" s="232">
        <f t="shared" si="295"/>
        <v>0</v>
      </c>
      <c r="U545" s="232">
        <f t="shared" si="295"/>
        <v>0</v>
      </c>
      <c r="V545" s="232">
        <f t="shared" si="295"/>
        <v>0</v>
      </c>
      <c r="W545" s="232">
        <f t="shared" si="295"/>
        <v>0</v>
      </c>
      <c r="X545" s="232">
        <f t="shared" si="295"/>
        <v>0</v>
      </c>
      <c r="Y545" s="232">
        <f t="shared" si="295"/>
        <v>0</v>
      </c>
      <c r="Z545" s="232">
        <f t="shared" si="295"/>
        <v>0</v>
      </c>
      <c r="AA545" s="232">
        <f t="shared" si="295"/>
        <v>0</v>
      </c>
      <c r="AB545" s="232">
        <f t="shared" si="295"/>
        <v>0</v>
      </c>
      <c r="AC545" s="232">
        <f t="shared" si="295"/>
        <v>0</v>
      </c>
      <c r="AD545" s="232">
        <f t="shared" si="295"/>
        <v>0</v>
      </c>
      <c r="AE545" s="232">
        <f t="shared" si="295"/>
        <v>0</v>
      </c>
      <c r="AF545" s="232">
        <f t="shared" si="295"/>
        <v>0</v>
      </c>
      <c r="AG545" s="232">
        <f t="shared" si="295"/>
        <v>0</v>
      </c>
      <c r="AH545" s="232">
        <f t="shared" si="295"/>
        <v>0</v>
      </c>
      <c r="AI545" s="232">
        <f t="shared" si="295"/>
        <v>0</v>
      </c>
      <c r="AJ545" s="232">
        <f t="shared" si="295"/>
        <v>0</v>
      </c>
      <c r="AK545" s="232">
        <f t="shared" si="295"/>
        <v>0</v>
      </c>
      <c r="AL545" s="232">
        <f t="shared" si="295"/>
        <v>0</v>
      </c>
      <c r="AM545" s="232">
        <f t="shared" si="295"/>
        <v>0</v>
      </c>
      <c r="AN545" s="232">
        <f t="shared" si="295"/>
        <v>0</v>
      </c>
      <c r="AO545" s="232">
        <f t="shared" si="295"/>
        <v>0</v>
      </c>
      <c r="AP545" s="232">
        <f t="shared" si="295"/>
        <v>0</v>
      </c>
    </row>
    <row r="546" spans="1:42" s="118" customFormat="1">
      <c r="A546" s="204" t="s">
        <v>174</v>
      </c>
      <c r="C546" s="233">
        <f>ROUND(C545*1000,0)</f>
        <v>0</v>
      </c>
      <c r="D546" s="233">
        <f>ROUND(D545*1000,0)</f>
        <v>0</v>
      </c>
      <c r="E546" s="233">
        <f t="shared" ref="E546:AP546" si="296">ROUND(E545*1000,0)</f>
        <v>0</v>
      </c>
      <c r="F546" s="233">
        <f t="shared" si="296"/>
        <v>0</v>
      </c>
      <c r="G546" s="233">
        <f t="shared" si="296"/>
        <v>0</v>
      </c>
      <c r="H546" s="233">
        <f t="shared" si="296"/>
        <v>0</v>
      </c>
      <c r="I546" s="233">
        <f t="shared" si="296"/>
        <v>0</v>
      </c>
      <c r="J546" s="233">
        <f t="shared" si="296"/>
        <v>0</v>
      </c>
      <c r="K546" s="233">
        <f t="shared" si="296"/>
        <v>0</v>
      </c>
      <c r="L546" s="233">
        <f t="shared" si="296"/>
        <v>0</v>
      </c>
      <c r="M546" s="233">
        <f t="shared" si="296"/>
        <v>0</v>
      </c>
      <c r="N546" s="233">
        <f t="shared" si="296"/>
        <v>0</v>
      </c>
      <c r="O546" s="233">
        <f t="shared" si="296"/>
        <v>0</v>
      </c>
      <c r="P546" s="233">
        <f t="shared" si="296"/>
        <v>0</v>
      </c>
      <c r="Q546" s="233">
        <f t="shared" si="296"/>
        <v>0</v>
      </c>
      <c r="R546" s="233">
        <f t="shared" si="296"/>
        <v>0</v>
      </c>
      <c r="S546" s="233">
        <f t="shared" si="296"/>
        <v>0</v>
      </c>
      <c r="T546" s="233">
        <f t="shared" si="296"/>
        <v>0</v>
      </c>
      <c r="U546" s="233">
        <f t="shared" si="296"/>
        <v>0</v>
      </c>
      <c r="V546" s="233">
        <f t="shared" si="296"/>
        <v>0</v>
      </c>
      <c r="W546" s="233">
        <f t="shared" si="296"/>
        <v>0</v>
      </c>
      <c r="X546" s="233">
        <f t="shared" si="296"/>
        <v>0</v>
      </c>
      <c r="Y546" s="233">
        <f t="shared" si="296"/>
        <v>0</v>
      </c>
      <c r="Z546" s="233">
        <f t="shared" si="296"/>
        <v>0</v>
      </c>
      <c r="AA546" s="233">
        <f t="shared" si="296"/>
        <v>0</v>
      </c>
      <c r="AB546" s="233">
        <f t="shared" si="296"/>
        <v>0</v>
      </c>
      <c r="AC546" s="233">
        <f t="shared" si="296"/>
        <v>0</v>
      </c>
      <c r="AD546" s="233">
        <f t="shared" si="296"/>
        <v>0</v>
      </c>
      <c r="AE546" s="233">
        <f t="shared" si="296"/>
        <v>0</v>
      </c>
      <c r="AF546" s="233">
        <f t="shared" si="296"/>
        <v>0</v>
      </c>
      <c r="AG546" s="233">
        <f t="shared" si="296"/>
        <v>0</v>
      </c>
      <c r="AH546" s="233">
        <f t="shared" si="296"/>
        <v>0</v>
      </c>
      <c r="AI546" s="233">
        <f t="shared" si="296"/>
        <v>0</v>
      </c>
      <c r="AJ546" s="233">
        <f t="shared" si="296"/>
        <v>0</v>
      </c>
      <c r="AK546" s="233">
        <f t="shared" si="296"/>
        <v>0</v>
      </c>
      <c r="AL546" s="233">
        <f t="shared" si="296"/>
        <v>0</v>
      </c>
      <c r="AM546" s="233">
        <f t="shared" si="296"/>
        <v>0</v>
      </c>
      <c r="AN546" s="233">
        <f t="shared" si="296"/>
        <v>0</v>
      </c>
      <c r="AO546" s="233">
        <f t="shared" si="296"/>
        <v>0</v>
      </c>
      <c r="AP546" s="233">
        <f t="shared" si="296"/>
        <v>0</v>
      </c>
    </row>
    <row r="547" spans="1:42" s="118" customFormat="1">
      <c r="A547" s="204" t="s">
        <v>175</v>
      </c>
      <c r="C547" s="203">
        <f>C$5/1000</f>
        <v>17000</v>
      </c>
      <c r="D547" s="203">
        <f>D$5/1000</f>
        <v>16915</v>
      </c>
      <c r="E547" s="203">
        <f t="shared" ref="E547:AP547" si="297">E$5/1000</f>
        <v>16830.424999999999</v>
      </c>
      <c r="F547" s="203">
        <f t="shared" si="297"/>
        <v>16746.272874999999</v>
      </c>
      <c r="G547" s="203">
        <f t="shared" si="297"/>
        <v>16662.541510625</v>
      </c>
      <c r="H547" s="203">
        <f t="shared" si="297"/>
        <v>16579.228803071874</v>
      </c>
      <c r="I547" s="203">
        <f t="shared" si="297"/>
        <v>16496.332659056516</v>
      </c>
      <c r="J547" s="203">
        <f t="shared" si="297"/>
        <v>16413.850995761233</v>
      </c>
      <c r="K547" s="203">
        <f t="shared" si="297"/>
        <v>16331.781740782426</v>
      </c>
      <c r="L547" s="203">
        <f t="shared" si="297"/>
        <v>16250.122832078514</v>
      </c>
      <c r="M547" s="203">
        <f t="shared" si="297"/>
        <v>16168.872217918122</v>
      </c>
      <c r="N547" s="203">
        <f t="shared" si="297"/>
        <v>16088.027856828532</v>
      </c>
      <c r="O547" s="203">
        <f t="shared" si="297"/>
        <v>16007.587717544387</v>
      </c>
      <c r="P547" s="203">
        <f t="shared" si="297"/>
        <v>15927.549778956667</v>
      </c>
      <c r="Q547" s="203">
        <f t="shared" si="297"/>
        <v>15847.912030061883</v>
      </c>
      <c r="R547" s="203">
        <f t="shared" si="297"/>
        <v>15768.672469911573</v>
      </c>
      <c r="S547" s="203">
        <f t="shared" si="297"/>
        <v>15689.829107562015</v>
      </c>
      <c r="T547" s="203">
        <f t="shared" si="297"/>
        <v>15611.379962024204</v>
      </c>
      <c r="U547" s="203">
        <f t="shared" si="297"/>
        <v>15533.323062214084</v>
      </c>
      <c r="V547" s="203">
        <f t="shared" si="297"/>
        <v>15455.656446903013</v>
      </c>
      <c r="W547" s="203">
        <f t="shared" si="297"/>
        <v>15378.378164668497</v>
      </c>
      <c r="X547" s="203">
        <f t="shared" si="297"/>
        <v>15301.486273845156</v>
      </c>
      <c r="Y547" s="203">
        <f t="shared" si="297"/>
        <v>15224.978842475928</v>
      </c>
      <c r="Z547" s="203">
        <f t="shared" si="297"/>
        <v>15148.853948263548</v>
      </c>
      <c r="AA547" s="203">
        <f t="shared" si="297"/>
        <v>15073.109678522231</v>
      </c>
      <c r="AB547" s="203">
        <f t="shared" si="297"/>
        <v>14997.74413012962</v>
      </c>
      <c r="AC547" s="203">
        <f t="shared" si="297"/>
        <v>14922.755409478972</v>
      </c>
      <c r="AD547" s="203">
        <f t="shared" si="297"/>
        <v>14848.141632431576</v>
      </c>
      <c r="AE547" s="203">
        <f t="shared" si="297"/>
        <v>14773.900924269417</v>
      </c>
      <c r="AF547" s="203">
        <f t="shared" si="297"/>
        <v>14700.03141964807</v>
      </c>
      <c r="AG547" s="203">
        <f t="shared" si="297"/>
        <v>0</v>
      </c>
      <c r="AH547" s="203">
        <f t="shared" si="297"/>
        <v>0</v>
      </c>
      <c r="AI547" s="203">
        <f t="shared" si="297"/>
        <v>0</v>
      </c>
      <c r="AJ547" s="203">
        <f t="shared" si="297"/>
        <v>0</v>
      </c>
      <c r="AK547" s="203">
        <f t="shared" si="297"/>
        <v>0</v>
      </c>
      <c r="AL547" s="203">
        <f t="shared" si="297"/>
        <v>0</v>
      </c>
      <c r="AM547" s="203">
        <f t="shared" si="297"/>
        <v>0</v>
      </c>
      <c r="AN547" s="203">
        <f t="shared" si="297"/>
        <v>0</v>
      </c>
      <c r="AO547" s="203">
        <f t="shared" si="297"/>
        <v>0</v>
      </c>
      <c r="AP547" s="203">
        <f t="shared" si="297"/>
        <v>0</v>
      </c>
    </row>
    <row r="548" spans="1:42" s="118" customFormat="1">
      <c r="A548" s="204" t="s">
        <v>53</v>
      </c>
      <c r="C548" s="141">
        <f>C546*C547</f>
        <v>0</v>
      </c>
      <c r="D548" s="141">
        <f>D546*D547</f>
        <v>0</v>
      </c>
      <c r="E548" s="141">
        <f t="shared" ref="E548:AP548" si="298">E546*E547</f>
        <v>0</v>
      </c>
      <c r="F548" s="141">
        <f t="shared" si="298"/>
        <v>0</v>
      </c>
      <c r="G548" s="141">
        <f t="shared" si="298"/>
        <v>0</v>
      </c>
      <c r="H548" s="141">
        <f t="shared" si="298"/>
        <v>0</v>
      </c>
      <c r="I548" s="141">
        <f t="shared" si="298"/>
        <v>0</v>
      </c>
      <c r="J548" s="141">
        <f t="shared" si="298"/>
        <v>0</v>
      </c>
      <c r="K548" s="141">
        <f t="shared" si="298"/>
        <v>0</v>
      </c>
      <c r="L548" s="141">
        <f t="shared" si="298"/>
        <v>0</v>
      </c>
      <c r="M548" s="141">
        <f t="shared" si="298"/>
        <v>0</v>
      </c>
      <c r="N548" s="141">
        <f t="shared" si="298"/>
        <v>0</v>
      </c>
      <c r="O548" s="141">
        <f t="shared" si="298"/>
        <v>0</v>
      </c>
      <c r="P548" s="141">
        <f t="shared" si="298"/>
        <v>0</v>
      </c>
      <c r="Q548" s="141">
        <f t="shared" si="298"/>
        <v>0</v>
      </c>
      <c r="R548" s="141">
        <f t="shared" si="298"/>
        <v>0</v>
      </c>
      <c r="S548" s="141">
        <f t="shared" si="298"/>
        <v>0</v>
      </c>
      <c r="T548" s="141">
        <f t="shared" si="298"/>
        <v>0</v>
      </c>
      <c r="U548" s="141">
        <f t="shared" si="298"/>
        <v>0</v>
      </c>
      <c r="V548" s="141">
        <f t="shared" si="298"/>
        <v>0</v>
      </c>
      <c r="W548" s="141">
        <f t="shared" si="298"/>
        <v>0</v>
      </c>
      <c r="X548" s="141">
        <f t="shared" si="298"/>
        <v>0</v>
      </c>
      <c r="Y548" s="141">
        <f t="shared" si="298"/>
        <v>0</v>
      </c>
      <c r="Z548" s="141">
        <f t="shared" si="298"/>
        <v>0</v>
      </c>
      <c r="AA548" s="141">
        <f t="shared" si="298"/>
        <v>0</v>
      </c>
      <c r="AB548" s="141">
        <f t="shared" si="298"/>
        <v>0</v>
      </c>
      <c r="AC548" s="141">
        <f t="shared" si="298"/>
        <v>0</v>
      </c>
      <c r="AD548" s="141">
        <f t="shared" si="298"/>
        <v>0</v>
      </c>
      <c r="AE548" s="141">
        <f t="shared" si="298"/>
        <v>0</v>
      </c>
      <c r="AF548" s="141">
        <f t="shared" si="298"/>
        <v>0</v>
      </c>
      <c r="AG548" s="141">
        <f t="shared" si="298"/>
        <v>0</v>
      </c>
      <c r="AH548" s="141">
        <f t="shared" si="298"/>
        <v>0</v>
      </c>
      <c r="AI548" s="141">
        <f t="shared" si="298"/>
        <v>0</v>
      </c>
      <c r="AJ548" s="141">
        <f t="shared" si="298"/>
        <v>0</v>
      </c>
      <c r="AK548" s="141">
        <f t="shared" si="298"/>
        <v>0</v>
      </c>
      <c r="AL548" s="141">
        <f t="shared" si="298"/>
        <v>0</v>
      </c>
      <c r="AM548" s="141">
        <f t="shared" si="298"/>
        <v>0</v>
      </c>
      <c r="AN548" s="141">
        <f t="shared" si="298"/>
        <v>0</v>
      </c>
      <c r="AO548" s="141">
        <f t="shared" si="298"/>
        <v>0</v>
      </c>
      <c r="AP548" s="141">
        <f t="shared" si="298"/>
        <v>0</v>
      </c>
    </row>
    <row r="549" spans="1:42" s="118" customFormat="1">
      <c r="A549" s="197"/>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c r="AA549" s="141"/>
      <c r="AB549" s="141"/>
      <c r="AC549" s="141"/>
      <c r="AD549" s="141"/>
      <c r="AE549" s="141"/>
      <c r="AF549" s="141"/>
      <c r="AG549" s="141"/>
      <c r="AH549" s="141"/>
      <c r="AI549" s="141"/>
      <c r="AJ549" s="141"/>
      <c r="AK549" s="141"/>
      <c r="AL549" s="141"/>
      <c r="AM549" s="141"/>
      <c r="AN549" s="141"/>
      <c r="AO549" s="141"/>
      <c r="AP549" s="141"/>
    </row>
    <row r="550" spans="1:42" s="118" customFormat="1">
      <c r="A550" s="197" t="s">
        <v>36</v>
      </c>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c r="AA550" s="141"/>
      <c r="AB550" s="141"/>
      <c r="AC550" s="141"/>
      <c r="AD550" s="141"/>
      <c r="AE550" s="141"/>
      <c r="AF550" s="141"/>
      <c r="AG550" s="141"/>
      <c r="AH550" s="141"/>
      <c r="AI550" s="141"/>
      <c r="AJ550" s="141"/>
      <c r="AK550" s="141"/>
      <c r="AL550" s="141"/>
      <c r="AM550" s="141"/>
      <c r="AN550" s="141"/>
      <c r="AO550" s="141"/>
      <c r="AP550" s="141"/>
    </row>
    <row r="551" spans="1:42" s="118" customFormat="1">
      <c r="A551" s="204" t="s">
        <v>173</v>
      </c>
      <c r="C551" s="232">
        <f t="shared" ref="C551:AP551" si="299">IF(C$2&lt;=FedPTCTerm,FedPTCAmount*(1+Inflation)^B$2,0)</f>
        <v>0</v>
      </c>
      <c r="D551" s="232">
        <f t="shared" si="299"/>
        <v>0</v>
      </c>
      <c r="E551" s="232">
        <f t="shared" si="299"/>
        <v>0</v>
      </c>
      <c r="F551" s="232">
        <f t="shared" si="299"/>
        <v>0</v>
      </c>
      <c r="G551" s="232">
        <f t="shared" si="299"/>
        <v>0</v>
      </c>
      <c r="H551" s="232">
        <f t="shared" si="299"/>
        <v>0</v>
      </c>
      <c r="I551" s="232">
        <f t="shared" si="299"/>
        <v>0</v>
      </c>
      <c r="J551" s="232">
        <f t="shared" si="299"/>
        <v>0</v>
      </c>
      <c r="K551" s="232">
        <f t="shared" si="299"/>
        <v>0</v>
      </c>
      <c r="L551" s="232">
        <f t="shared" si="299"/>
        <v>0</v>
      </c>
      <c r="M551" s="232">
        <f t="shared" si="299"/>
        <v>0</v>
      </c>
      <c r="N551" s="232">
        <f t="shared" si="299"/>
        <v>0</v>
      </c>
      <c r="O551" s="232">
        <f t="shared" si="299"/>
        <v>0</v>
      </c>
      <c r="P551" s="232">
        <f t="shared" si="299"/>
        <v>0</v>
      </c>
      <c r="Q551" s="232">
        <f t="shared" si="299"/>
        <v>0</v>
      </c>
      <c r="R551" s="232">
        <f t="shared" si="299"/>
        <v>0</v>
      </c>
      <c r="S551" s="232">
        <f t="shared" si="299"/>
        <v>0</v>
      </c>
      <c r="T551" s="232">
        <f t="shared" si="299"/>
        <v>0</v>
      </c>
      <c r="U551" s="232">
        <f t="shared" si="299"/>
        <v>0</v>
      </c>
      <c r="V551" s="232">
        <f t="shared" si="299"/>
        <v>0</v>
      </c>
      <c r="W551" s="232">
        <f t="shared" si="299"/>
        <v>0</v>
      </c>
      <c r="X551" s="232">
        <f t="shared" si="299"/>
        <v>0</v>
      </c>
      <c r="Y551" s="232">
        <f t="shared" si="299"/>
        <v>0</v>
      </c>
      <c r="Z551" s="232">
        <f t="shared" si="299"/>
        <v>0</v>
      </c>
      <c r="AA551" s="232">
        <f t="shared" si="299"/>
        <v>0</v>
      </c>
      <c r="AB551" s="232">
        <f t="shared" si="299"/>
        <v>0</v>
      </c>
      <c r="AC551" s="232">
        <f t="shared" si="299"/>
        <v>0</v>
      </c>
      <c r="AD551" s="232">
        <f t="shared" si="299"/>
        <v>0</v>
      </c>
      <c r="AE551" s="232">
        <f t="shared" si="299"/>
        <v>0</v>
      </c>
      <c r="AF551" s="232">
        <f t="shared" si="299"/>
        <v>0</v>
      </c>
      <c r="AG551" s="232">
        <f t="shared" si="299"/>
        <v>0</v>
      </c>
      <c r="AH551" s="232">
        <f t="shared" si="299"/>
        <v>0</v>
      </c>
      <c r="AI551" s="232">
        <f t="shared" si="299"/>
        <v>0</v>
      </c>
      <c r="AJ551" s="232">
        <f t="shared" si="299"/>
        <v>0</v>
      </c>
      <c r="AK551" s="232">
        <f t="shared" si="299"/>
        <v>0</v>
      </c>
      <c r="AL551" s="232">
        <f t="shared" si="299"/>
        <v>0</v>
      </c>
      <c r="AM551" s="232">
        <f t="shared" si="299"/>
        <v>0</v>
      </c>
      <c r="AN551" s="232">
        <f t="shared" si="299"/>
        <v>0</v>
      </c>
      <c r="AO551" s="232">
        <f t="shared" si="299"/>
        <v>0</v>
      </c>
      <c r="AP551" s="232">
        <f t="shared" si="299"/>
        <v>0</v>
      </c>
    </row>
    <row r="552" spans="1:42" s="118" customFormat="1">
      <c r="A552" s="204" t="s">
        <v>174</v>
      </c>
      <c r="C552" s="233">
        <f>ROUND(C551*1000,0)</f>
        <v>0</v>
      </c>
      <c r="D552" s="233">
        <f>ROUND(D551*1000,0)</f>
        <v>0</v>
      </c>
      <c r="E552" s="233">
        <f t="shared" ref="E552:AP552" si="300">ROUND(E551*1000,0)</f>
        <v>0</v>
      </c>
      <c r="F552" s="233">
        <f t="shared" si="300"/>
        <v>0</v>
      </c>
      <c r="G552" s="233">
        <f t="shared" si="300"/>
        <v>0</v>
      </c>
      <c r="H552" s="233">
        <f t="shared" si="300"/>
        <v>0</v>
      </c>
      <c r="I552" s="233">
        <f t="shared" si="300"/>
        <v>0</v>
      </c>
      <c r="J552" s="233">
        <f t="shared" si="300"/>
        <v>0</v>
      </c>
      <c r="K552" s="233">
        <f t="shared" si="300"/>
        <v>0</v>
      </c>
      <c r="L552" s="233">
        <f t="shared" si="300"/>
        <v>0</v>
      </c>
      <c r="M552" s="233">
        <f t="shared" si="300"/>
        <v>0</v>
      </c>
      <c r="N552" s="233">
        <f t="shared" si="300"/>
        <v>0</v>
      </c>
      <c r="O552" s="233">
        <f t="shared" si="300"/>
        <v>0</v>
      </c>
      <c r="P552" s="233">
        <f t="shared" si="300"/>
        <v>0</v>
      </c>
      <c r="Q552" s="233">
        <f t="shared" si="300"/>
        <v>0</v>
      </c>
      <c r="R552" s="233">
        <f t="shared" si="300"/>
        <v>0</v>
      </c>
      <c r="S552" s="233">
        <f t="shared" si="300"/>
        <v>0</v>
      </c>
      <c r="T552" s="233">
        <f t="shared" si="300"/>
        <v>0</v>
      </c>
      <c r="U552" s="233">
        <f t="shared" si="300"/>
        <v>0</v>
      </c>
      <c r="V552" s="233">
        <f t="shared" si="300"/>
        <v>0</v>
      </c>
      <c r="W552" s="233">
        <f t="shared" si="300"/>
        <v>0</v>
      </c>
      <c r="X552" s="233">
        <f t="shared" si="300"/>
        <v>0</v>
      </c>
      <c r="Y552" s="233">
        <f t="shared" si="300"/>
        <v>0</v>
      </c>
      <c r="Z552" s="233">
        <f t="shared" si="300"/>
        <v>0</v>
      </c>
      <c r="AA552" s="233">
        <f t="shared" si="300"/>
        <v>0</v>
      </c>
      <c r="AB552" s="233">
        <f t="shared" si="300"/>
        <v>0</v>
      </c>
      <c r="AC552" s="233">
        <f t="shared" si="300"/>
        <v>0</v>
      </c>
      <c r="AD552" s="233">
        <f t="shared" si="300"/>
        <v>0</v>
      </c>
      <c r="AE552" s="233">
        <f t="shared" si="300"/>
        <v>0</v>
      </c>
      <c r="AF552" s="233">
        <f t="shared" si="300"/>
        <v>0</v>
      </c>
      <c r="AG552" s="233">
        <f t="shared" si="300"/>
        <v>0</v>
      </c>
      <c r="AH552" s="233">
        <f t="shared" si="300"/>
        <v>0</v>
      </c>
      <c r="AI552" s="233">
        <f t="shared" si="300"/>
        <v>0</v>
      </c>
      <c r="AJ552" s="233">
        <f t="shared" si="300"/>
        <v>0</v>
      </c>
      <c r="AK552" s="233">
        <f t="shared" si="300"/>
        <v>0</v>
      </c>
      <c r="AL552" s="233">
        <f t="shared" si="300"/>
        <v>0</v>
      </c>
      <c r="AM552" s="233">
        <f t="shared" si="300"/>
        <v>0</v>
      </c>
      <c r="AN552" s="233">
        <f t="shared" si="300"/>
        <v>0</v>
      </c>
      <c r="AO552" s="233">
        <f t="shared" si="300"/>
        <v>0</v>
      </c>
      <c r="AP552" s="233">
        <f t="shared" si="300"/>
        <v>0</v>
      </c>
    </row>
    <row r="553" spans="1:42" s="118" customFormat="1">
      <c r="A553" s="204" t="s">
        <v>175</v>
      </c>
      <c r="C553" s="203">
        <f>C$5/1000</f>
        <v>17000</v>
      </c>
      <c r="D553" s="203">
        <f>D$5/1000</f>
        <v>16915</v>
      </c>
      <c r="E553" s="203">
        <f t="shared" ref="E553:AP553" si="301">E$5/1000</f>
        <v>16830.424999999999</v>
      </c>
      <c r="F553" s="203">
        <f t="shared" si="301"/>
        <v>16746.272874999999</v>
      </c>
      <c r="G553" s="203">
        <f t="shared" si="301"/>
        <v>16662.541510625</v>
      </c>
      <c r="H553" s="203">
        <f t="shared" si="301"/>
        <v>16579.228803071874</v>
      </c>
      <c r="I553" s="203">
        <f t="shared" si="301"/>
        <v>16496.332659056516</v>
      </c>
      <c r="J553" s="203">
        <f t="shared" si="301"/>
        <v>16413.850995761233</v>
      </c>
      <c r="K553" s="203">
        <f t="shared" si="301"/>
        <v>16331.781740782426</v>
      </c>
      <c r="L553" s="203">
        <f t="shared" si="301"/>
        <v>16250.122832078514</v>
      </c>
      <c r="M553" s="203">
        <f t="shared" si="301"/>
        <v>16168.872217918122</v>
      </c>
      <c r="N553" s="203">
        <f t="shared" si="301"/>
        <v>16088.027856828532</v>
      </c>
      <c r="O553" s="203">
        <f t="shared" si="301"/>
        <v>16007.587717544387</v>
      </c>
      <c r="P553" s="203">
        <f t="shared" si="301"/>
        <v>15927.549778956667</v>
      </c>
      <c r="Q553" s="203">
        <f t="shared" si="301"/>
        <v>15847.912030061883</v>
      </c>
      <c r="R553" s="203">
        <f t="shared" si="301"/>
        <v>15768.672469911573</v>
      </c>
      <c r="S553" s="203">
        <f t="shared" si="301"/>
        <v>15689.829107562015</v>
      </c>
      <c r="T553" s="203">
        <f t="shared" si="301"/>
        <v>15611.379962024204</v>
      </c>
      <c r="U553" s="203">
        <f t="shared" si="301"/>
        <v>15533.323062214084</v>
      </c>
      <c r="V553" s="203">
        <f t="shared" si="301"/>
        <v>15455.656446903013</v>
      </c>
      <c r="W553" s="203">
        <f t="shared" si="301"/>
        <v>15378.378164668497</v>
      </c>
      <c r="X553" s="203">
        <f t="shared" si="301"/>
        <v>15301.486273845156</v>
      </c>
      <c r="Y553" s="203">
        <f t="shared" si="301"/>
        <v>15224.978842475928</v>
      </c>
      <c r="Z553" s="203">
        <f t="shared" si="301"/>
        <v>15148.853948263548</v>
      </c>
      <c r="AA553" s="203">
        <f t="shared" si="301"/>
        <v>15073.109678522231</v>
      </c>
      <c r="AB553" s="203">
        <f t="shared" si="301"/>
        <v>14997.74413012962</v>
      </c>
      <c r="AC553" s="203">
        <f t="shared" si="301"/>
        <v>14922.755409478972</v>
      </c>
      <c r="AD553" s="203">
        <f t="shared" si="301"/>
        <v>14848.141632431576</v>
      </c>
      <c r="AE553" s="203">
        <f t="shared" si="301"/>
        <v>14773.900924269417</v>
      </c>
      <c r="AF553" s="203">
        <f t="shared" si="301"/>
        <v>14700.03141964807</v>
      </c>
      <c r="AG553" s="203">
        <f t="shared" si="301"/>
        <v>0</v>
      </c>
      <c r="AH553" s="203">
        <f t="shared" si="301"/>
        <v>0</v>
      </c>
      <c r="AI553" s="203">
        <f t="shared" si="301"/>
        <v>0</v>
      </c>
      <c r="AJ553" s="203">
        <f t="shared" si="301"/>
        <v>0</v>
      </c>
      <c r="AK553" s="203">
        <f t="shared" si="301"/>
        <v>0</v>
      </c>
      <c r="AL553" s="203">
        <f t="shared" si="301"/>
        <v>0</v>
      </c>
      <c r="AM553" s="203">
        <f t="shared" si="301"/>
        <v>0</v>
      </c>
      <c r="AN553" s="203">
        <f t="shared" si="301"/>
        <v>0</v>
      </c>
      <c r="AO553" s="203">
        <f t="shared" si="301"/>
        <v>0</v>
      </c>
      <c r="AP553" s="203">
        <f t="shared" si="301"/>
        <v>0</v>
      </c>
    </row>
    <row r="554" spans="1:42" s="118" customFormat="1">
      <c r="A554" s="204" t="s">
        <v>53</v>
      </c>
      <c r="C554" s="141">
        <f>C552*C553</f>
        <v>0</v>
      </c>
      <c r="D554" s="141">
        <f>D552*D553</f>
        <v>0</v>
      </c>
      <c r="E554" s="141">
        <f t="shared" ref="E554:AP554" si="302">E552*E553</f>
        <v>0</v>
      </c>
      <c r="F554" s="141">
        <f t="shared" si="302"/>
        <v>0</v>
      </c>
      <c r="G554" s="141">
        <f t="shared" si="302"/>
        <v>0</v>
      </c>
      <c r="H554" s="141">
        <f t="shared" si="302"/>
        <v>0</v>
      </c>
      <c r="I554" s="141">
        <f t="shared" si="302"/>
        <v>0</v>
      </c>
      <c r="J554" s="141">
        <f t="shared" si="302"/>
        <v>0</v>
      </c>
      <c r="K554" s="141">
        <f t="shared" si="302"/>
        <v>0</v>
      </c>
      <c r="L554" s="141">
        <f t="shared" si="302"/>
        <v>0</v>
      </c>
      <c r="M554" s="141">
        <f t="shared" si="302"/>
        <v>0</v>
      </c>
      <c r="N554" s="141">
        <f t="shared" si="302"/>
        <v>0</v>
      </c>
      <c r="O554" s="141">
        <f t="shared" si="302"/>
        <v>0</v>
      </c>
      <c r="P554" s="141">
        <f t="shared" si="302"/>
        <v>0</v>
      </c>
      <c r="Q554" s="141">
        <f t="shared" si="302"/>
        <v>0</v>
      </c>
      <c r="R554" s="141">
        <f t="shared" si="302"/>
        <v>0</v>
      </c>
      <c r="S554" s="141">
        <f t="shared" si="302"/>
        <v>0</v>
      </c>
      <c r="T554" s="141">
        <f t="shared" si="302"/>
        <v>0</v>
      </c>
      <c r="U554" s="141">
        <f t="shared" si="302"/>
        <v>0</v>
      </c>
      <c r="V554" s="141">
        <f t="shared" si="302"/>
        <v>0</v>
      </c>
      <c r="W554" s="141">
        <f t="shared" si="302"/>
        <v>0</v>
      </c>
      <c r="X554" s="141">
        <f t="shared" si="302"/>
        <v>0</v>
      </c>
      <c r="Y554" s="141">
        <f t="shared" si="302"/>
        <v>0</v>
      </c>
      <c r="Z554" s="141">
        <f t="shared" si="302"/>
        <v>0</v>
      </c>
      <c r="AA554" s="141">
        <f t="shared" si="302"/>
        <v>0</v>
      </c>
      <c r="AB554" s="141">
        <f t="shared" si="302"/>
        <v>0</v>
      </c>
      <c r="AC554" s="141">
        <f t="shared" si="302"/>
        <v>0</v>
      </c>
      <c r="AD554" s="141">
        <f t="shared" si="302"/>
        <v>0</v>
      </c>
      <c r="AE554" s="141">
        <f t="shared" si="302"/>
        <v>0</v>
      </c>
      <c r="AF554" s="141">
        <f t="shared" si="302"/>
        <v>0</v>
      </c>
      <c r="AG554" s="141">
        <f t="shared" si="302"/>
        <v>0</v>
      </c>
      <c r="AH554" s="141">
        <f t="shared" si="302"/>
        <v>0</v>
      </c>
      <c r="AI554" s="141">
        <f t="shared" si="302"/>
        <v>0</v>
      </c>
      <c r="AJ554" s="141">
        <f t="shared" si="302"/>
        <v>0</v>
      </c>
      <c r="AK554" s="141">
        <f t="shared" si="302"/>
        <v>0</v>
      </c>
      <c r="AL554" s="141">
        <f t="shared" si="302"/>
        <v>0</v>
      </c>
      <c r="AM554" s="141">
        <f t="shared" si="302"/>
        <v>0</v>
      </c>
      <c r="AN554" s="141">
        <f t="shared" si="302"/>
        <v>0</v>
      </c>
      <c r="AO554" s="141">
        <f t="shared" si="302"/>
        <v>0</v>
      </c>
      <c r="AP554" s="141">
        <f t="shared" si="302"/>
        <v>0</v>
      </c>
    </row>
    <row r="555" spans="1:42" s="118" customFormat="1">
      <c r="A555" s="204"/>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141"/>
      <c r="AD555" s="141"/>
      <c r="AE555" s="141"/>
      <c r="AF555" s="141"/>
      <c r="AG555" s="141"/>
      <c r="AH555" s="141"/>
      <c r="AI555" s="141"/>
      <c r="AJ555" s="141"/>
      <c r="AK555" s="141"/>
      <c r="AL555" s="141"/>
      <c r="AM555" s="141"/>
      <c r="AN555" s="141"/>
      <c r="AO555" s="141"/>
      <c r="AP555" s="141"/>
    </row>
    <row r="556" spans="1:42">
      <c r="A556" s="179" t="s">
        <v>58</v>
      </c>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row>
    <row r="557" spans="1:42">
      <c r="A557" s="197" t="str">
        <f>'Inputs &amp; Results'!A49</f>
        <v>Fixed Amount ($)</v>
      </c>
      <c r="B557" s="118"/>
      <c r="C557" s="118"/>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row>
    <row r="558" spans="1:42">
      <c r="A558" s="204" t="str">
        <f>'Inputs &amp; Results'!A50</f>
        <v>Federal</v>
      </c>
      <c r="B558" s="118"/>
      <c r="C558" s="198">
        <f>IBIFedFixed</f>
        <v>1000</v>
      </c>
      <c r="D558" s="186"/>
      <c r="E558" s="186"/>
      <c r="F558" s="186"/>
      <c r="G558" s="186"/>
      <c r="H558" s="186"/>
      <c r="I558" s="186"/>
      <c r="J558" s="186"/>
      <c r="K558" s="186"/>
      <c r="L558" s="186"/>
      <c r="M558" s="186"/>
      <c r="N558" s="186"/>
      <c r="O558" s="186"/>
      <c r="P558" s="186"/>
      <c r="Q558" s="186"/>
      <c r="R558" s="186"/>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row>
    <row r="559" spans="1:42">
      <c r="A559" s="204" t="str">
        <f>'Inputs &amp; Results'!A51</f>
        <v>State</v>
      </c>
      <c r="B559" s="118"/>
      <c r="C559" s="198">
        <f>IBIStateFixed</f>
        <v>2000</v>
      </c>
      <c r="D559" s="186"/>
      <c r="E559" s="186"/>
      <c r="F559" s="186"/>
      <c r="G559" s="186"/>
      <c r="H559" s="186"/>
      <c r="I559" s="186"/>
      <c r="J559" s="186"/>
      <c r="K559" s="186"/>
      <c r="L559" s="186"/>
      <c r="M559" s="186"/>
      <c r="N559" s="186"/>
      <c r="O559" s="186"/>
      <c r="P559" s="186"/>
      <c r="Q559" s="186"/>
      <c r="R559" s="186"/>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row>
    <row r="560" spans="1:42">
      <c r="A560" s="204" t="str">
        <f>'Inputs &amp; Results'!A52</f>
        <v>Utility</v>
      </c>
      <c r="B560" s="118"/>
      <c r="C560" s="198">
        <f>IBIUtilityFixed</f>
        <v>500</v>
      </c>
      <c r="D560" s="186"/>
      <c r="E560" s="186"/>
      <c r="F560" s="186"/>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204" t="str">
        <f>'Inputs &amp; Results'!A53</f>
        <v>Other</v>
      </c>
      <c r="C561" s="203">
        <f>IBIOtherFixed</f>
        <v>250</v>
      </c>
      <c r="D561" s="186"/>
      <c r="E561" s="186"/>
      <c r="F561" s="186"/>
      <c r="G561" s="186"/>
      <c r="H561" s="186"/>
      <c r="I561" s="186"/>
      <c r="J561" s="186"/>
      <c r="K561" s="186"/>
      <c r="L561" s="186"/>
      <c r="M561" s="186"/>
      <c r="N561" s="186"/>
      <c r="O561" s="186"/>
      <c r="P561" s="186"/>
      <c r="Q561" s="186"/>
      <c r="R561" s="186"/>
      <c r="S561" s="186"/>
      <c r="T561" s="186"/>
      <c r="U561" s="186"/>
      <c r="V561" s="186"/>
      <c r="W561" s="186"/>
      <c r="X561" s="186"/>
      <c r="Y561" s="186"/>
      <c r="Z561" s="186"/>
      <c r="AA561" s="186"/>
      <c r="AB561" s="186"/>
      <c r="AC561" s="186"/>
      <c r="AD561" s="186"/>
      <c r="AE561" s="186"/>
      <c r="AF561" s="186"/>
      <c r="AG561" s="186"/>
      <c r="AH561" s="186"/>
      <c r="AI561" s="186"/>
      <c r="AJ561" s="186"/>
      <c r="AK561" s="186"/>
      <c r="AL561" s="186"/>
      <c r="AM561" s="186"/>
      <c r="AN561" s="186"/>
      <c r="AO561" s="186"/>
      <c r="AP561" s="186"/>
    </row>
    <row r="562" spans="1:42">
      <c r="A562" s="184" t="s">
        <v>53</v>
      </c>
      <c r="C562" s="186">
        <f>SUM(C558:C561)</f>
        <v>3750</v>
      </c>
      <c r="D562" s="186"/>
      <c r="E562" s="186"/>
      <c r="F562" s="186"/>
      <c r="G562" s="186"/>
      <c r="H562" s="186"/>
      <c r="I562" s="186"/>
      <c r="J562" s="186"/>
      <c r="K562" s="186"/>
      <c r="L562" s="186"/>
      <c r="M562" s="186"/>
      <c r="N562" s="186"/>
      <c r="O562" s="186"/>
      <c r="P562" s="186"/>
      <c r="Q562" s="186"/>
      <c r="R562" s="186"/>
      <c r="S562" s="186"/>
      <c r="T562" s="186"/>
      <c r="U562" s="186"/>
      <c r="V562" s="186"/>
      <c r="W562" s="186"/>
      <c r="X562" s="186"/>
      <c r="Y562" s="186"/>
      <c r="Z562" s="186"/>
      <c r="AA562" s="186"/>
      <c r="AB562" s="186"/>
      <c r="AC562" s="186"/>
      <c r="AD562" s="186"/>
      <c r="AE562" s="186"/>
      <c r="AF562" s="186"/>
      <c r="AG562" s="186"/>
      <c r="AH562" s="186"/>
      <c r="AI562" s="186"/>
      <c r="AJ562" s="186"/>
      <c r="AK562" s="186"/>
      <c r="AL562" s="186"/>
      <c r="AM562" s="186"/>
      <c r="AN562" s="186"/>
      <c r="AO562" s="186"/>
      <c r="AP562" s="186"/>
    </row>
    <row r="563" spans="1:42">
      <c r="A563" s="197" t="str">
        <f>'Inputs &amp; Results'!A54</f>
        <v>Percentage of Pre-Financing Costs</v>
      </c>
      <c r="C563" s="186"/>
      <c r="D563" s="186"/>
      <c r="E563" s="186"/>
      <c r="F563" s="186"/>
      <c r="G563" s="186"/>
      <c r="H563" s="186"/>
      <c r="I563" s="186"/>
      <c r="J563" s="186"/>
      <c r="K563" s="186"/>
      <c r="L563" s="186"/>
      <c r="M563" s="186"/>
      <c r="N563" s="186"/>
      <c r="O563" s="186"/>
      <c r="P563" s="186"/>
      <c r="Q563" s="186"/>
      <c r="R563" s="186"/>
      <c r="S563" s="186"/>
      <c r="T563" s="186"/>
      <c r="U563" s="186"/>
      <c r="V563" s="186"/>
      <c r="W563" s="186"/>
      <c r="X563" s="186"/>
      <c r="Y563" s="186"/>
      <c r="Z563" s="186"/>
      <c r="AA563" s="186"/>
      <c r="AB563" s="186"/>
      <c r="AC563" s="186"/>
      <c r="AD563" s="186"/>
      <c r="AE563" s="186"/>
      <c r="AF563" s="186"/>
      <c r="AG563" s="186"/>
      <c r="AH563" s="186"/>
      <c r="AI563" s="186"/>
      <c r="AJ563" s="186"/>
      <c r="AK563" s="186"/>
      <c r="AL563" s="186"/>
      <c r="AM563" s="186"/>
      <c r="AN563" s="186"/>
      <c r="AO563" s="186"/>
      <c r="AP563" s="186"/>
    </row>
    <row r="564" spans="1:42">
      <c r="A564" s="204" t="str">
        <f>'Inputs &amp; Results'!A55</f>
        <v>Federal</v>
      </c>
      <c r="C564" s="198">
        <f>IBIFedPercent</f>
        <v>2011357.5</v>
      </c>
      <c r="D564" s="186"/>
      <c r="E564" s="186"/>
      <c r="F564" s="186"/>
      <c r="G564" s="186"/>
      <c r="H564" s="186"/>
      <c r="I564" s="186"/>
      <c r="J564" s="186"/>
      <c r="K564" s="186"/>
      <c r="L564" s="186"/>
      <c r="M564" s="186"/>
      <c r="N564" s="186"/>
      <c r="O564" s="186"/>
      <c r="P564" s="186"/>
      <c r="Q564" s="186"/>
      <c r="R564" s="186"/>
      <c r="S564" s="186"/>
      <c r="T564" s="186"/>
      <c r="U564" s="186"/>
      <c r="V564" s="186"/>
      <c r="W564" s="186"/>
      <c r="X564" s="186"/>
      <c r="Y564" s="186"/>
      <c r="Z564" s="186"/>
      <c r="AA564" s="186"/>
      <c r="AB564" s="186"/>
      <c r="AC564" s="186"/>
      <c r="AD564" s="186"/>
      <c r="AE564" s="186"/>
      <c r="AF564" s="186"/>
      <c r="AG564" s="186"/>
      <c r="AH564" s="186"/>
      <c r="AI564" s="186"/>
      <c r="AJ564" s="186"/>
      <c r="AK564" s="186"/>
      <c r="AL564" s="186"/>
      <c r="AM564" s="186"/>
      <c r="AN564" s="186"/>
      <c r="AO564" s="186"/>
      <c r="AP564" s="186"/>
    </row>
    <row r="565" spans="1:42">
      <c r="A565" s="204" t="str">
        <f>'Inputs &amp; Results'!A56</f>
        <v>State</v>
      </c>
      <c r="C565" s="198">
        <f>IBIStatePercent</f>
        <v>4022715</v>
      </c>
      <c r="D565" s="186"/>
      <c r="E565" s="186"/>
      <c r="F565" s="186"/>
      <c r="G565" s="186"/>
      <c r="H565" s="186"/>
      <c r="I565" s="186"/>
      <c r="J565" s="186"/>
      <c r="K565" s="186"/>
      <c r="L565" s="186"/>
      <c r="M565" s="186"/>
      <c r="N565" s="186"/>
      <c r="O565" s="186"/>
      <c r="P565" s="186"/>
      <c r="Q565" s="186"/>
      <c r="R565" s="186"/>
      <c r="S565" s="186"/>
      <c r="T565" s="186"/>
      <c r="U565" s="186"/>
      <c r="V565" s="186"/>
      <c r="W565" s="186"/>
      <c r="X565" s="186"/>
      <c r="Y565" s="186"/>
      <c r="Z565" s="186"/>
      <c r="AA565" s="186"/>
      <c r="AB565" s="186"/>
      <c r="AC565" s="186"/>
      <c r="AD565" s="186"/>
      <c r="AE565" s="186"/>
      <c r="AF565" s="186"/>
      <c r="AG565" s="186"/>
      <c r="AH565" s="186"/>
      <c r="AI565" s="186"/>
      <c r="AJ565" s="186"/>
      <c r="AK565" s="186"/>
      <c r="AL565" s="186"/>
      <c r="AM565" s="186"/>
      <c r="AN565" s="186"/>
      <c r="AO565" s="186"/>
      <c r="AP565" s="186"/>
    </row>
    <row r="566" spans="1:42">
      <c r="A566" s="204" t="str">
        <f>'Inputs &amp; Results'!A57</f>
        <v>Utility</v>
      </c>
      <c r="C566" s="198">
        <f>IBIUtilityPercent</f>
        <v>402271.5</v>
      </c>
      <c r="D566" s="186"/>
      <c r="E566" s="186"/>
      <c r="F566" s="186"/>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204" t="str">
        <f>'Inputs &amp; Results'!A58</f>
        <v>Other</v>
      </c>
      <c r="C567" s="203">
        <f>IBIOtherPercent</f>
        <v>201135.75</v>
      </c>
      <c r="D567" s="186"/>
      <c r="E567" s="186"/>
      <c r="F567" s="186"/>
      <c r="G567" s="186"/>
      <c r="H567" s="186"/>
      <c r="I567" s="186"/>
      <c r="J567" s="186"/>
      <c r="K567" s="186"/>
      <c r="L567" s="186"/>
      <c r="M567" s="186"/>
      <c r="N567" s="186"/>
      <c r="O567" s="186"/>
      <c r="P567" s="186"/>
      <c r="Q567" s="186"/>
      <c r="R567" s="186"/>
      <c r="S567" s="186"/>
      <c r="T567" s="186"/>
      <c r="U567" s="186"/>
      <c r="V567" s="186"/>
      <c r="W567" s="186"/>
      <c r="X567" s="186"/>
      <c r="Y567" s="186"/>
      <c r="Z567" s="186"/>
      <c r="AA567" s="186"/>
      <c r="AB567" s="186"/>
      <c r="AC567" s="186"/>
      <c r="AD567" s="186"/>
      <c r="AE567" s="186"/>
      <c r="AF567" s="186"/>
      <c r="AG567" s="186"/>
      <c r="AH567" s="186"/>
      <c r="AI567" s="186"/>
      <c r="AJ567" s="186"/>
      <c r="AK567" s="186"/>
      <c r="AL567" s="186"/>
      <c r="AM567" s="186"/>
      <c r="AN567" s="186"/>
      <c r="AO567" s="186"/>
      <c r="AP567" s="186"/>
    </row>
    <row r="568" spans="1:42">
      <c r="A568" s="204" t="s">
        <v>53</v>
      </c>
      <c r="C568" s="186">
        <f>SUM(C564:C567)</f>
        <v>6637479.75</v>
      </c>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179" t="s">
        <v>128</v>
      </c>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197" t="str">
        <f>'Inputs &amp; Results'!A60</f>
        <v>Federal</v>
      </c>
      <c r="B570" s="118"/>
      <c r="C570" s="198">
        <f>CBIFed</f>
        <v>5000000</v>
      </c>
      <c r="D570" s="186"/>
      <c r="E570" s="186"/>
      <c r="F570" s="186"/>
      <c r="G570" s="186"/>
      <c r="H570" s="186"/>
      <c r="I570" s="186"/>
      <c r="J570" s="186"/>
      <c r="K570" s="186"/>
      <c r="L570" s="186"/>
      <c r="M570" s="186"/>
      <c r="N570" s="186"/>
      <c r="O570" s="186"/>
      <c r="P570" s="186"/>
      <c r="Q570" s="186"/>
      <c r="R570" s="186"/>
      <c r="S570" s="186"/>
      <c r="T570" s="186"/>
      <c r="U570" s="186"/>
      <c r="V570" s="186"/>
      <c r="W570" s="186"/>
      <c r="X570" s="186"/>
      <c r="Y570" s="186"/>
      <c r="Z570" s="186"/>
      <c r="AA570" s="186"/>
      <c r="AB570" s="186"/>
      <c r="AC570" s="186"/>
      <c r="AD570" s="186"/>
      <c r="AE570" s="186"/>
      <c r="AF570" s="186"/>
      <c r="AG570" s="186"/>
      <c r="AH570" s="186"/>
      <c r="AI570" s="186"/>
      <c r="AJ570" s="186"/>
      <c r="AK570" s="186"/>
      <c r="AL570" s="186"/>
      <c r="AM570" s="186"/>
      <c r="AN570" s="186"/>
      <c r="AO570" s="186"/>
      <c r="AP570" s="186"/>
    </row>
    <row r="571" spans="1:42">
      <c r="A571" s="197" t="str">
        <f>'Inputs &amp; Results'!A61</f>
        <v>State</v>
      </c>
      <c r="B571" s="118"/>
      <c r="C571" s="198">
        <f>CBIState</f>
        <v>2000000</v>
      </c>
      <c r="D571" s="186"/>
      <c r="E571" s="186"/>
      <c r="F571" s="186"/>
      <c r="G571" s="186"/>
      <c r="H571" s="186"/>
      <c r="I571" s="186"/>
      <c r="J571" s="186"/>
      <c r="K571" s="186"/>
      <c r="L571" s="186"/>
      <c r="M571" s="186"/>
      <c r="N571" s="186"/>
      <c r="O571" s="186"/>
      <c r="P571" s="186"/>
      <c r="Q571" s="186"/>
      <c r="R571" s="186"/>
      <c r="S571" s="186"/>
      <c r="T571" s="186"/>
      <c r="U571" s="186"/>
      <c r="V571" s="186"/>
      <c r="W571" s="186"/>
      <c r="X571" s="186"/>
      <c r="Y571" s="186"/>
      <c r="Z571" s="186"/>
      <c r="AA571" s="186"/>
      <c r="AB571" s="186"/>
      <c r="AC571" s="186"/>
      <c r="AD571" s="186"/>
      <c r="AE571" s="186"/>
      <c r="AF571" s="186"/>
      <c r="AG571" s="186"/>
      <c r="AH571" s="186"/>
      <c r="AI571" s="186"/>
      <c r="AJ571" s="186"/>
      <c r="AK571" s="186"/>
      <c r="AL571" s="186"/>
      <c r="AM571" s="186"/>
      <c r="AN571" s="186"/>
      <c r="AO571" s="186"/>
      <c r="AP571" s="186"/>
    </row>
    <row r="572" spans="1:42">
      <c r="A572" s="197" t="str">
        <f>'Inputs &amp; Results'!A62</f>
        <v>Utility</v>
      </c>
      <c r="B572" s="118"/>
      <c r="C572" s="198">
        <f>CBIUtility</f>
        <v>100000</v>
      </c>
      <c r="D572" s="186"/>
      <c r="E572" s="186"/>
      <c r="F572" s="186"/>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197" t="str">
        <f>'Inputs &amp; Results'!A63</f>
        <v>Other</v>
      </c>
      <c r="C573" s="203">
        <f>CBIOther</f>
        <v>50000</v>
      </c>
      <c r="D573" s="186"/>
      <c r="E573" s="186"/>
      <c r="F573" s="186"/>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180" t="s">
        <v>53</v>
      </c>
      <c r="C574" s="186">
        <f>SUM(C570:C573)</f>
        <v>7150000</v>
      </c>
      <c r="D574" s="186"/>
      <c r="E574" s="186"/>
      <c r="F574" s="186"/>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C575" s="186"/>
      <c r="D575" s="186"/>
      <c r="E575" s="186"/>
      <c r="F575" s="186"/>
      <c r="G575" s="186"/>
      <c r="H575" s="186"/>
      <c r="I575" s="186"/>
      <c r="J575" s="186"/>
      <c r="K575" s="186"/>
      <c r="L575" s="186"/>
      <c r="M575" s="186"/>
      <c r="N575" s="186"/>
      <c r="O575" s="186"/>
      <c r="P575" s="186"/>
      <c r="Q575" s="186"/>
      <c r="R575" s="186"/>
      <c r="S575" s="186"/>
      <c r="T575" s="186"/>
      <c r="U575" s="186"/>
      <c r="V575" s="186"/>
      <c r="W575" s="186"/>
      <c r="X575" s="186"/>
      <c r="Y575" s="186"/>
      <c r="Z575" s="186"/>
      <c r="AA575" s="186"/>
      <c r="AB575" s="186"/>
      <c r="AC575" s="186"/>
      <c r="AD575" s="186"/>
      <c r="AE575" s="186"/>
      <c r="AF575" s="186"/>
      <c r="AG575" s="186"/>
      <c r="AH575" s="186"/>
      <c r="AI575" s="186"/>
      <c r="AJ575" s="186"/>
      <c r="AK575" s="186"/>
      <c r="AL575" s="186"/>
      <c r="AM575" s="186"/>
      <c r="AN575" s="186"/>
      <c r="AO575" s="186"/>
      <c r="AP575" s="186"/>
    </row>
    <row r="576" spans="1:42">
      <c r="A576" s="179" t="s">
        <v>125</v>
      </c>
    </row>
    <row r="577" spans="1:42">
      <c r="A577" s="180" t="str">
        <f>'Inputs &amp; Results'!A67</f>
        <v>Federal</v>
      </c>
    </row>
    <row r="578" spans="1:42">
      <c r="A578" s="184" t="s">
        <v>126</v>
      </c>
      <c r="C578" s="232">
        <f t="shared" ref="C578:AP578" si="303">IF(AND(C$2&lt;=PBIFedTerm,C$2&lt;=AnalysisPeriod),PBIFed*(1+PBIFedEsc)^B$2,0)</f>
        <v>0</v>
      </c>
      <c r="D578" s="232">
        <f t="shared" si="303"/>
        <v>0</v>
      </c>
      <c r="E578" s="232">
        <f t="shared" si="303"/>
        <v>0</v>
      </c>
      <c r="F578" s="232">
        <f t="shared" si="303"/>
        <v>0</v>
      </c>
      <c r="G578" s="232">
        <f t="shared" si="303"/>
        <v>0</v>
      </c>
      <c r="H578" s="232">
        <f t="shared" si="303"/>
        <v>0</v>
      </c>
      <c r="I578" s="232">
        <f t="shared" si="303"/>
        <v>0</v>
      </c>
      <c r="J578" s="232">
        <f t="shared" si="303"/>
        <v>0</v>
      </c>
      <c r="K578" s="232">
        <f t="shared" si="303"/>
        <v>0</v>
      </c>
      <c r="L578" s="232">
        <f t="shared" si="303"/>
        <v>0</v>
      </c>
      <c r="M578" s="232">
        <f t="shared" si="303"/>
        <v>0</v>
      </c>
      <c r="N578" s="232">
        <f t="shared" si="303"/>
        <v>0</v>
      </c>
      <c r="O578" s="232">
        <f t="shared" si="303"/>
        <v>0</v>
      </c>
      <c r="P578" s="232">
        <f t="shared" si="303"/>
        <v>0</v>
      </c>
      <c r="Q578" s="232">
        <f t="shared" si="303"/>
        <v>0</v>
      </c>
      <c r="R578" s="232">
        <f t="shared" si="303"/>
        <v>0</v>
      </c>
      <c r="S578" s="232">
        <f t="shared" si="303"/>
        <v>0</v>
      </c>
      <c r="T578" s="232">
        <f t="shared" si="303"/>
        <v>0</v>
      </c>
      <c r="U578" s="232">
        <f t="shared" si="303"/>
        <v>0</v>
      </c>
      <c r="V578" s="232">
        <f t="shared" si="303"/>
        <v>0</v>
      </c>
      <c r="W578" s="232">
        <f t="shared" si="303"/>
        <v>0</v>
      </c>
      <c r="X578" s="232">
        <f t="shared" si="303"/>
        <v>0</v>
      </c>
      <c r="Y578" s="232">
        <f t="shared" si="303"/>
        <v>0</v>
      </c>
      <c r="Z578" s="232">
        <f t="shared" si="303"/>
        <v>0</v>
      </c>
      <c r="AA578" s="232">
        <f t="shared" si="303"/>
        <v>0</v>
      </c>
      <c r="AB578" s="232">
        <f t="shared" si="303"/>
        <v>0</v>
      </c>
      <c r="AC578" s="232">
        <f t="shared" si="303"/>
        <v>0</v>
      </c>
      <c r="AD578" s="232">
        <f t="shared" si="303"/>
        <v>0</v>
      </c>
      <c r="AE578" s="232">
        <f t="shared" si="303"/>
        <v>0</v>
      </c>
      <c r="AF578" s="232">
        <f t="shared" si="303"/>
        <v>0</v>
      </c>
      <c r="AG578" s="232">
        <f t="shared" si="303"/>
        <v>0</v>
      </c>
      <c r="AH578" s="232">
        <f t="shared" si="303"/>
        <v>0</v>
      </c>
      <c r="AI578" s="232">
        <f t="shared" si="303"/>
        <v>0</v>
      </c>
      <c r="AJ578" s="232">
        <f t="shared" si="303"/>
        <v>0</v>
      </c>
      <c r="AK578" s="232">
        <f t="shared" si="303"/>
        <v>0</v>
      </c>
      <c r="AL578" s="232">
        <f t="shared" si="303"/>
        <v>0</v>
      </c>
      <c r="AM578" s="232">
        <f t="shared" si="303"/>
        <v>0</v>
      </c>
      <c r="AN578" s="232">
        <f t="shared" si="303"/>
        <v>0</v>
      </c>
      <c r="AO578" s="232">
        <f t="shared" si="303"/>
        <v>0</v>
      </c>
      <c r="AP578" s="232">
        <f t="shared" si="303"/>
        <v>0</v>
      </c>
    </row>
    <row r="579" spans="1:42">
      <c r="A579" s="184" t="s">
        <v>127</v>
      </c>
      <c r="C579" s="203">
        <f>C$5</f>
        <v>17000000</v>
      </c>
      <c r="D579" s="203">
        <f t="shared" ref="D579:AP579" si="304">D$5</f>
        <v>16915000</v>
      </c>
      <c r="E579" s="203">
        <f t="shared" si="304"/>
        <v>16830425</v>
      </c>
      <c r="F579" s="203">
        <f t="shared" si="304"/>
        <v>16746272.875</v>
      </c>
      <c r="G579" s="203">
        <f t="shared" si="304"/>
        <v>16662541.510624999</v>
      </c>
      <c r="H579" s="203">
        <f t="shared" si="304"/>
        <v>16579228.803071873</v>
      </c>
      <c r="I579" s="203">
        <f t="shared" si="304"/>
        <v>16496332.659056515</v>
      </c>
      <c r="J579" s="203">
        <f t="shared" si="304"/>
        <v>16413850.995761232</v>
      </c>
      <c r="K579" s="203">
        <f t="shared" si="304"/>
        <v>16331781.740782427</v>
      </c>
      <c r="L579" s="203">
        <f t="shared" si="304"/>
        <v>16250122.832078515</v>
      </c>
      <c r="M579" s="203">
        <f t="shared" si="304"/>
        <v>16168872.217918122</v>
      </c>
      <c r="N579" s="203">
        <f t="shared" si="304"/>
        <v>16088027.856828531</v>
      </c>
      <c r="O579" s="203">
        <f t="shared" si="304"/>
        <v>16007587.717544388</v>
      </c>
      <c r="P579" s="203">
        <f t="shared" si="304"/>
        <v>15927549.778956667</v>
      </c>
      <c r="Q579" s="203">
        <f t="shared" si="304"/>
        <v>15847912.030061884</v>
      </c>
      <c r="R579" s="203">
        <f t="shared" si="304"/>
        <v>15768672.469911573</v>
      </c>
      <c r="S579" s="203">
        <f t="shared" si="304"/>
        <v>15689829.107562015</v>
      </c>
      <c r="T579" s="203">
        <f t="shared" si="304"/>
        <v>15611379.962024204</v>
      </c>
      <c r="U579" s="203">
        <f t="shared" si="304"/>
        <v>15533323.062214084</v>
      </c>
      <c r="V579" s="203">
        <f t="shared" si="304"/>
        <v>15455656.446903013</v>
      </c>
      <c r="W579" s="203">
        <f t="shared" si="304"/>
        <v>15378378.164668497</v>
      </c>
      <c r="X579" s="203">
        <f t="shared" si="304"/>
        <v>15301486.273845155</v>
      </c>
      <c r="Y579" s="203">
        <f t="shared" si="304"/>
        <v>15224978.842475928</v>
      </c>
      <c r="Z579" s="203">
        <f t="shared" si="304"/>
        <v>15148853.948263548</v>
      </c>
      <c r="AA579" s="203">
        <f t="shared" si="304"/>
        <v>15073109.678522231</v>
      </c>
      <c r="AB579" s="203">
        <f t="shared" si="304"/>
        <v>14997744.13012962</v>
      </c>
      <c r="AC579" s="203">
        <f t="shared" si="304"/>
        <v>14922755.409478972</v>
      </c>
      <c r="AD579" s="203">
        <f t="shared" si="304"/>
        <v>14848141.632431576</v>
      </c>
      <c r="AE579" s="203">
        <f t="shared" si="304"/>
        <v>14773900.924269417</v>
      </c>
      <c r="AF579" s="203">
        <f t="shared" si="304"/>
        <v>14700031.41964807</v>
      </c>
      <c r="AG579" s="203">
        <f t="shared" si="304"/>
        <v>0</v>
      </c>
      <c r="AH579" s="203">
        <f t="shared" si="304"/>
        <v>0</v>
      </c>
      <c r="AI579" s="203">
        <f t="shared" si="304"/>
        <v>0</v>
      </c>
      <c r="AJ579" s="203">
        <f t="shared" si="304"/>
        <v>0</v>
      </c>
      <c r="AK579" s="203">
        <f t="shared" si="304"/>
        <v>0</v>
      </c>
      <c r="AL579" s="203">
        <f t="shared" si="304"/>
        <v>0</v>
      </c>
      <c r="AM579" s="203">
        <f t="shared" si="304"/>
        <v>0</v>
      </c>
      <c r="AN579" s="203">
        <f t="shared" si="304"/>
        <v>0</v>
      </c>
      <c r="AO579" s="203">
        <f t="shared" si="304"/>
        <v>0</v>
      </c>
      <c r="AP579" s="203">
        <f t="shared" si="304"/>
        <v>0</v>
      </c>
    </row>
    <row r="580" spans="1:42">
      <c r="A580" s="184" t="s">
        <v>53</v>
      </c>
      <c r="C580" s="198">
        <f>C578*C579</f>
        <v>0</v>
      </c>
      <c r="D580" s="198">
        <f t="shared" ref="D580:AP580" si="305">D578*D579</f>
        <v>0</v>
      </c>
      <c r="E580" s="198">
        <f t="shared" si="305"/>
        <v>0</v>
      </c>
      <c r="F580" s="198">
        <f t="shared" si="305"/>
        <v>0</v>
      </c>
      <c r="G580" s="198">
        <f t="shared" si="305"/>
        <v>0</v>
      </c>
      <c r="H580" s="198">
        <f t="shared" si="305"/>
        <v>0</v>
      </c>
      <c r="I580" s="198">
        <f t="shared" si="305"/>
        <v>0</v>
      </c>
      <c r="J580" s="198">
        <f t="shared" si="305"/>
        <v>0</v>
      </c>
      <c r="K580" s="198">
        <f t="shared" si="305"/>
        <v>0</v>
      </c>
      <c r="L580" s="198">
        <f t="shared" si="305"/>
        <v>0</v>
      </c>
      <c r="M580" s="198">
        <f t="shared" si="305"/>
        <v>0</v>
      </c>
      <c r="N580" s="198">
        <f t="shared" si="305"/>
        <v>0</v>
      </c>
      <c r="O580" s="198">
        <f t="shared" si="305"/>
        <v>0</v>
      </c>
      <c r="P580" s="198">
        <f t="shared" si="305"/>
        <v>0</v>
      </c>
      <c r="Q580" s="198">
        <f t="shared" si="305"/>
        <v>0</v>
      </c>
      <c r="R580" s="198">
        <f t="shared" si="305"/>
        <v>0</v>
      </c>
      <c r="S580" s="198">
        <f t="shared" si="305"/>
        <v>0</v>
      </c>
      <c r="T580" s="198">
        <f t="shared" si="305"/>
        <v>0</v>
      </c>
      <c r="U580" s="198">
        <f t="shared" si="305"/>
        <v>0</v>
      </c>
      <c r="V580" s="198">
        <f t="shared" si="305"/>
        <v>0</v>
      </c>
      <c r="W580" s="198">
        <f t="shared" si="305"/>
        <v>0</v>
      </c>
      <c r="X580" s="198">
        <f t="shared" si="305"/>
        <v>0</v>
      </c>
      <c r="Y580" s="198">
        <f t="shared" si="305"/>
        <v>0</v>
      </c>
      <c r="Z580" s="198">
        <f t="shared" si="305"/>
        <v>0</v>
      </c>
      <c r="AA580" s="198">
        <f t="shared" si="305"/>
        <v>0</v>
      </c>
      <c r="AB580" s="198">
        <f t="shared" si="305"/>
        <v>0</v>
      </c>
      <c r="AC580" s="198">
        <f t="shared" si="305"/>
        <v>0</v>
      </c>
      <c r="AD580" s="198">
        <f t="shared" si="305"/>
        <v>0</v>
      </c>
      <c r="AE580" s="198">
        <f t="shared" si="305"/>
        <v>0</v>
      </c>
      <c r="AF580" s="198">
        <f t="shared" si="305"/>
        <v>0</v>
      </c>
      <c r="AG580" s="198">
        <f t="shared" si="305"/>
        <v>0</v>
      </c>
      <c r="AH580" s="198">
        <f t="shared" si="305"/>
        <v>0</v>
      </c>
      <c r="AI580" s="198">
        <f t="shared" si="305"/>
        <v>0</v>
      </c>
      <c r="AJ580" s="198">
        <f t="shared" si="305"/>
        <v>0</v>
      </c>
      <c r="AK580" s="198">
        <f t="shared" si="305"/>
        <v>0</v>
      </c>
      <c r="AL580" s="198">
        <f t="shared" si="305"/>
        <v>0</v>
      </c>
      <c r="AM580" s="198">
        <f t="shared" si="305"/>
        <v>0</v>
      </c>
      <c r="AN580" s="198">
        <f t="shared" si="305"/>
        <v>0</v>
      </c>
      <c r="AO580" s="198">
        <f t="shared" si="305"/>
        <v>0</v>
      </c>
      <c r="AP580" s="198">
        <f t="shared" si="305"/>
        <v>0</v>
      </c>
    </row>
    <row r="581" spans="1:42">
      <c r="A581" s="180" t="str">
        <f>'Inputs &amp; Results'!A68</f>
        <v>State</v>
      </c>
      <c r="D581" s="289"/>
    </row>
    <row r="582" spans="1:42">
      <c r="A582" s="184" t="s">
        <v>126</v>
      </c>
      <c r="C582" s="232">
        <f t="shared" ref="C582:AP582" si="306">IF(AND(C$2&lt;=PBIStateTerm,C$2&lt;=AnalysisPeriod),PBIState*(1+PBIStateEsc)^B$2,0)</f>
        <v>0</v>
      </c>
      <c r="D582" s="232">
        <f t="shared" si="306"/>
        <v>0</v>
      </c>
      <c r="E582" s="232">
        <f t="shared" si="306"/>
        <v>0</v>
      </c>
      <c r="F582" s="232">
        <f t="shared" si="306"/>
        <v>0</v>
      </c>
      <c r="G582" s="232">
        <f t="shared" si="306"/>
        <v>0</v>
      </c>
      <c r="H582" s="232">
        <f t="shared" si="306"/>
        <v>0</v>
      </c>
      <c r="I582" s="232">
        <f t="shared" si="306"/>
        <v>0</v>
      </c>
      <c r="J582" s="232">
        <f t="shared" si="306"/>
        <v>0</v>
      </c>
      <c r="K582" s="232">
        <f t="shared" si="306"/>
        <v>0</v>
      </c>
      <c r="L582" s="232">
        <f t="shared" si="306"/>
        <v>0</v>
      </c>
      <c r="M582" s="232">
        <f t="shared" si="306"/>
        <v>0</v>
      </c>
      <c r="N582" s="232">
        <f t="shared" si="306"/>
        <v>0</v>
      </c>
      <c r="O582" s="232">
        <f t="shared" si="306"/>
        <v>0</v>
      </c>
      <c r="P582" s="232">
        <f t="shared" si="306"/>
        <v>0</v>
      </c>
      <c r="Q582" s="232">
        <f t="shared" si="306"/>
        <v>0</v>
      </c>
      <c r="R582" s="232">
        <f t="shared" si="306"/>
        <v>0</v>
      </c>
      <c r="S582" s="232">
        <f t="shared" si="306"/>
        <v>0</v>
      </c>
      <c r="T582" s="232">
        <f t="shared" si="306"/>
        <v>0</v>
      </c>
      <c r="U582" s="232">
        <f t="shared" si="306"/>
        <v>0</v>
      </c>
      <c r="V582" s="232">
        <f t="shared" si="306"/>
        <v>0</v>
      </c>
      <c r="W582" s="232">
        <f t="shared" si="306"/>
        <v>0</v>
      </c>
      <c r="X582" s="232">
        <f t="shared" si="306"/>
        <v>0</v>
      </c>
      <c r="Y582" s="232">
        <f t="shared" si="306"/>
        <v>0</v>
      </c>
      <c r="Z582" s="232">
        <f t="shared" si="306"/>
        <v>0</v>
      </c>
      <c r="AA582" s="232">
        <f t="shared" si="306"/>
        <v>0</v>
      </c>
      <c r="AB582" s="232">
        <f t="shared" si="306"/>
        <v>0</v>
      </c>
      <c r="AC582" s="232">
        <f t="shared" si="306"/>
        <v>0</v>
      </c>
      <c r="AD582" s="232">
        <f t="shared" si="306"/>
        <v>0</v>
      </c>
      <c r="AE582" s="232">
        <f t="shared" si="306"/>
        <v>0</v>
      </c>
      <c r="AF582" s="232">
        <f t="shared" si="306"/>
        <v>0</v>
      </c>
      <c r="AG582" s="232">
        <f t="shared" si="306"/>
        <v>0</v>
      </c>
      <c r="AH582" s="232">
        <f t="shared" si="306"/>
        <v>0</v>
      </c>
      <c r="AI582" s="232">
        <f t="shared" si="306"/>
        <v>0</v>
      </c>
      <c r="AJ582" s="232">
        <f t="shared" si="306"/>
        <v>0</v>
      </c>
      <c r="AK582" s="232">
        <f t="shared" si="306"/>
        <v>0</v>
      </c>
      <c r="AL582" s="232">
        <f t="shared" si="306"/>
        <v>0</v>
      </c>
      <c r="AM582" s="232">
        <f t="shared" si="306"/>
        <v>0</v>
      </c>
      <c r="AN582" s="232">
        <f t="shared" si="306"/>
        <v>0</v>
      </c>
      <c r="AO582" s="232">
        <f t="shared" si="306"/>
        <v>0</v>
      </c>
      <c r="AP582" s="232">
        <f t="shared" si="306"/>
        <v>0</v>
      </c>
    </row>
    <row r="583" spans="1:42">
      <c r="A583" s="184" t="s">
        <v>127</v>
      </c>
      <c r="C583" s="203">
        <f>C$5</f>
        <v>17000000</v>
      </c>
      <c r="D583" s="203">
        <f t="shared" ref="D583:AP583" si="307">D$5</f>
        <v>16915000</v>
      </c>
      <c r="E583" s="203">
        <f t="shared" si="307"/>
        <v>16830425</v>
      </c>
      <c r="F583" s="203">
        <f t="shared" si="307"/>
        <v>16746272.875</v>
      </c>
      <c r="G583" s="203">
        <f t="shared" si="307"/>
        <v>16662541.510624999</v>
      </c>
      <c r="H583" s="203">
        <f t="shared" si="307"/>
        <v>16579228.803071873</v>
      </c>
      <c r="I583" s="203">
        <f t="shared" si="307"/>
        <v>16496332.659056515</v>
      </c>
      <c r="J583" s="203">
        <f t="shared" si="307"/>
        <v>16413850.995761232</v>
      </c>
      <c r="K583" s="203">
        <f t="shared" si="307"/>
        <v>16331781.740782427</v>
      </c>
      <c r="L583" s="203">
        <f t="shared" si="307"/>
        <v>16250122.832078515</v>
      </c>
      <c r="M583" s="203">
        <f t="shared" si="307"/>
        <v>16168872.217918122</v>
      </c>
      <c r="N583" s="203">
        <f t="shared" si="307"/>
        <v>16088027.856828531</v>
      </c>
      <c r="O583" s="203">
        <f t="shared" si="307"/>
        <v>16007587.717544388</v>
      </c>
      <c r="P583" s="203">
        <f t="shared" si="307"/>
        <v>15927549.778956667</v>
      </c>
      <c r="Q583" s="203">
        <f t="shared" si="307"/>
        <v>15847912.030061884</v>
      </c>
      <c r="R583" s="203">
        <f t="shared" si="307"/>
        <v>15768672.469911573</v>
      </c>
      <c r="S583" s="203">
        <f t="shared" si="307"/>
        <v>15689829.107562015</v>
      </c>
      <c r="T583" s="203">
        <f t="shared" si="307"/>
        <v>15611379.962024204</v>
      </c>
      <c r="U583" s="203">
        <f t="shared" si="307"/>
        <v>15533323.062214084</v>
      </c>
      <c r="V583" s="203">
        <f t="shared" si="307"/>
        <v>15455656.446903013</v>
      </c>
      <c r="W583" s="203">
        <f t="shared" si="307"/>
        <v>15378378.164668497</v>
      </c>
      <c r="X583" s="203">
        <f t="shared" si="307"/>
        <v>15301486.273845155</v>
      </c>
      <c r="Y583" s="203">
        <f t="shared" si="307"/>
        <v>15224978.842475928</v>
      </c>
      <c r="Z583" s="203">
        <f t="shared" si="307"/>
        <v>15148853.948263548</v>
      </c>
      <c r="AA583" s="203">
        <f t="shared" si="307"/>
        <v>15073109.678522231</v>
      </c>
      <c r="AB583" s="203">
        <f t="shared" si="307"/>
        <v>14997744.13012962</v>
      </c>
      <c r="AC583" s="203">
        <f t="shared" si="307"/>
        <v>14922755.409478972</v>
      </c>
      <c r="AD583" s="203">
        <f t="shared" si="307"/>
        <v>14848141.632431576</v>
      </c>
      <c r="AE583" s="203">
        <f t="shared" si="307"/>
        <v>14773900.924269417</v>
      </c>
      <c r="AF583" s="203">
        <f t="shared" si="307"/>
        <v>14700031.41964807</v>
      </c>
      <c r="AG583" s="203">
        <f t="shared" si="307"/>
        <v>0</v>
      </c>
      <c r="AH583" s="203">
        <f t="shared" si="307"/>
        <v>0</v>
      </c>
      <c r="AI583" s="203">
        <f t="shared" si="307"/>
        <v>0</v>
      </c>
      <c r="AJ583" s="203">
        <f t="shared" si="307"/>
        <v>0</v>
      </c>
      <c r="AK583" s="203">
        <f t="shared" si="307"/>
        <v>0</v>
      </c>
      <c r="AL583" s="203">
        <f t="shared" si="307"/>
        <v>0</v>
      </c>
      <c r="AM583" s="203">
        <f t="shared" si="307"/>
        <v>0</v>
      </c>
      <c r="AN583" s="203">
        <f t="shared" si="307"/>
        <v>0</v>
      </c>
      <c r="AO583" s="203">
        <f t="shared" si="307"/>
        <v>0</v>
      </c>
      <c r="AP583" s="203">
        <f t="shared" si="307"/>
        <v>0</v>
      </c>
    </row>
    <row r="584" spans="1:42">
      <c r="A584" s="184" t="s">
        <v>53</v>
      </c>
      <c r="C584" s="198">
        <f>C582*C583</f>
        <v>0</v>
      </c>
      <c r="D584" s="198">
        <f t="shared" ref="D584:AP584" si="308">D582*D583</f>
        <v>0</v>
      </c>
      <c r="E584" s="198">
        <f t="shared" si="308"/>
        <v>0</v>
      </c>
      <c r="F584" s="198">
        <f t="shared" si="308"/>
        <v>0</v>
      </c>
      <c r="G584" s="198">
        <f t="shared" si="308"/>
        <v>0</v>
      </c>
      <c r="H584" s="198">
        <f t="shared" si="308"/>
        <v>0</v>
      </c>
      <c r="I584" s="198">
        <f t="shared" si="308"/>
        <v>0</v>
      </c>
      <c r="J584" s="198">
        <f t="shared" si="308"/>
        <v>0</v>
      </c>
      <c r="K584" s="198">
        <f t="shared" si="308"/>
        <v>0</v>
      </c>
      <c r="L584" s="198">
        <f t="shared" si="308"/>
        <v>0</v>
      </c>
      <c r="M584" s="198">
        <f t="shared" si="308"/>
        <v>0</v>
      </c>
      <c r="N584" s="198">
        <f t="shared" si="308"/>
        <v>0</v>
      </c>
      <c r="O584" s="198">
        <f t="shared" si="308"/>
        <v>0</v>
      </c>
      <c r="P584" s="198">
        <f t="shared" si="308"/>
        <v>0</v>
      </c>
      <c r="Q584" s="198">
        <f t="shared" si="308"/>
        <v>0</v>
      </c>
      <c r="R584" s="198">
        <f t="shared" si="308"/>
        <v>0</v>
      </c>
      <c r="S584" s="198">
        <f t="shared" si="308"/>
        <v>0</v>
      </c>
      <c r="T584" s="198">
        <f t="shared" si="308"/>
        <v>0</v>
      </c>
      <c r="U584" s="198">
        <f t="shared" si="308"/>
        <v>0</v>
      </c>
      <c r="V584" s="198">
        <f t="shared" si="308"/>
        <v>0</v>
      </c>
      <c r="W584" s="198">
        <f t="shared" si="308"/>
        <v>0</v>
      </c>
      <c r="X584" s="198">
        <f t="shared" si="308"/>
        <v>0</v>
      </c>
      <c r="Y584" s="198">
        <f t="shared" si="308"/>
        <v>0</v>
      </c>
      <c r="Z584" s="198">
        <f t="shared" si="308"/>
        <v>0</v>
      </c>
      <c r="AA584" s="198">
        <f t="shared" si="308"/>
        <v>0</v>
      </c>
      <c r="AB584" s="198">
        <f t="shared" si="308"/>
        <v>0</v>
      </c>
      <c r="AC584" s="198">
        <f t="shared" si="308"/>
        <v>0</v>
      </c>
      <c r="AD584" s="198">
        <f t="shared" si="308"/>
        <v>0</v>
      </c>
      <c r="AE584" s="198">
        <f t="shared" si="308"/>
        <v>0</v>
      </c>
      <c r="AF584" s="198">
        <f t="shared" si="308"/>
        <v>0</v>
      </c>
      <c r="AG584" s="198">
        <f t="shared" si="308"/>
        <v>0</v>
      </c>
      <c r="AH584" s="198">
        <f t="shared" si="308"/>
        <v>0</v>
      </c>
      <c r="AI584" s="198">
        <f t="shared" si="308"/>
        <v>0</v>
      </c>
      <c r="AJ584" s="198">
        <f t="shared" si="308"/>
        <v>0</v>
      </c>
      <c r="AK584" s="198">
        <f t="shared" si="308"/>
        <v>0</v>
      </c>
      <c r="AL584" s="198">
        <f t="shared" si="308"/>
        <v>0</v>
      </c>
      <c r="AM584" s="198">
        <f t="shared" si="308"/>
        <v>0</v>
      </c>
      <c r="AN584" s="198">
        <f t="shared" si="308"/>
        <v>0</v>
      </c>
      <c r="AO584" s="198">
        <f t="shared" si="308"/>
        <v>0</v>
      </c>
      <c r="AP584" s="198">
        <f t="shared" si="308"/>
        <v>0</v>
      </c>
    </row>
    <row r="585" spans="1:42">
      <c r="A585" s="180" t="str">
        <f>'Inputs &amp; Results'!A69</f>
        <v>Utility</v>
      </c>
    </row>
    <row r="586" spans="1:42">
      <c r="A586" s="184" t="s">
        <v>126</v>
      </c>
      <c r="C586" s="232">
        <f t="shared" ref="C586:AP586" si="309">IF(AND(C$2&lt;=PBIUtilityTerm,C$2&lt;=AnalysisPeriod),PBIUtility*(1+PBIUtilityEsc)^B$2,0)</f>
        <v>0</v>
      </c>
      <c r="D586" s="232">
        <f t="shared" si="309"/>
        <v>0</v>
      </c>
      <c r="E586" s="232">
        <f t="shared" si="309"/>
        <v>0</v>
      </c>
      <c r="F586" s="232">
        <f t="shared" si="309"/>
        <v>0</v>
      </c>
      <c r="G586" s="232">
        <f t="shared" si="309"/>
        <v>0</v>
      </c>
      <c r="H586" s="232">
        <f t="shared" si="309"/>
        <v>0</v>
      </c>
      <c r="I586" s="232">
        <f t="shared" si="309"/>
        <v>0</v>
      </c>
      <c r="J586" s="232">
        <f t="shared" si="309"/>
        <v>0</v>
      </c>
      <c r="K586" s="232">
        <f t="shared" si="309"/>
        <v>0</v>
      </c>
      <c r="L586" s="232">
        <f t="shared" si="309"/>
        <v>0</v>
      </c>
      <c r="M586" s="232">
        <f t="shared" si="309"/>
        <v>0</v>
      </c>
      <c r="N586" s="232">
        <f t="shared" si="309"/>
        <v>0</v>
      </c>
      <c r="O586" s="232">
        <f t="shared" si="309"/>
        <v>0</v>
      </c>
      <c r="P586" s="232">
        <f t="shared" si="309"/>
        <v>0</v>
      </c>
      <c r="Q586" s="232">
        <f t="shared" si="309"/>
        <v>0</v>
      </c>
      <c r="R586" s="232">
        <f t="shared" si="309"/>
        <v>0</v>
      </c>
      <c r="S586" s="232">
        <f t="shared" si="309"/>
        <v>0</v>
      </c>
      <c r="T586" s="232">
        <f t="shared" si="309"/>
        <v>0</v>
      </c>
      <c r="U586" s="232">
        <f t="shared" si="309"/>
        <v>0</v>
      </c>
      <c r="V586" s="232">
        <f t="shared" si="309"/>
        <v>0</v>
      </c>
      <c r="W586" s="232">
        <f t="shared" si="309"/>
        <v>0</v>
      </c>
      <c r="X586" s="232">
        <f t="shared" si="309"/>
        <v>0</v>
      </c>
      <c r="Y586" s="232">
        <f t="shared" si="309"/>
        <v>0</v>
      </c>
      <c r="Z586" s="232">
        <f t="shared" si="309"/>
        <v>0</v>
      </c>
      <c r="AA586" s="232">
        <f t="shared" si="309"/>
        <v>0</v>
      </c>
      <c r="AB586" s="232">
        <f t="shared" si="309"/>
        <v>0</v>
      </c>
      <c r="AC586" s="232">
        <f t="shared" si="309"/>
        <v>0</v>
      </c>
      <c r="AD586" s="232">
        <f t="shared" si="309"/>
        <v>0</v>
      </c>
      <c r="AE586" s="232">
        <f t="shared" si="309"/>
        <v>0</v>
      </c>
      <c r="AF586" s="232">
        <f t="shared" si="309"/>
        <v>0</v>
      </c>
      <c r="AG586" s="232">
        <f t="shared" si="309"/>
        <v>0</v>
      </c>
      <c r="AH586" s="232">
        <f t="shared" si="309"/>
        <v>0</v>
      </c>
      <c r="AI586" s="232">
        <f t="shared" si="309"/>
        <v>0</v>
      </c>
      <c r="AJ586" s="232">
        <f t="shared" si="309"/>
        <v>0</v>
      </c>
      <c r="AK586" s="232">
        <f t="shared" si="309"/>
        <v>0</v>
      </c>
      <c r="AL586" s="232">
        <f t="shared" si="309"/>
        <v>0</v>
      </c>
      <c r="AM586" s="232">
        <f t="shared" si="309"/>
        <v>0</v>
      </c>
      <c r="AN586" s="232">
        <f t="shared" si="309"/>
        <v>0</v>
      </c>
      <c r="AO586" s="232">
        <f t="shared" si="309"/>
        <v>0</v>
      </c>
      <c r="AP586" s="232">
        <f t="shared" si="309"/>
        <v>0</v>
      </c>
    </row>
    <row r="587" spans="1:42">
      <c r="A587" s="184" t="s">
        <v>127</v>
      </c>
      <c r="C587" s="203">
        <f>C$5</f>
        <v>17000000</v>
      </c>
      <c r="D587" s="203">
        <f t="shared" ref="D587:AP587" si="310">D$5</f>
        <v>16915000</v>
      </c>
      <c r="E587" s="203">
        <f t="shared" si="310"/>
        <v>16830425</v>
      </c>
      <c r="F587" s="203">
        <f t="shared" si="310"/>
        <v>16746272.875</v>
      </c>
      <c r="G587" s="203">
        <f t="shared" si="310"/>
        <v>16662541.510624999</v>
      </c>
      <c r="H587" s="203">
        <f t="shared" si="310"/>
        <v>16579228.803071873</v>
      </c>
      <c r="I587" s="203">
        <f t="shared" si="310"/>
        <v>16496332.659056515</v>
      </c>
      <c r="J587" s="203">
        <f t="shared" si="310"/>
        <v>16413850.995761232</v>
      </c>
      <c r="K587" s="203">
        <f t="shared" si="310"/>
        <v>16331781.740782427</v>
      </c>
      <c r="L587" s="203">
        <f t="shared" si="310"/>
        <v>16250122.832078515</v>
      </c>
      <c r="M587" s="203">
        <f t="shared" si="310"/>
        <v>16168872.217918122</v>
      </c>
      <c r="N587" s="203">
        <f t="shared" si="310"/>
        <v>16088027.856828531</v>
      </c>
      <c r="O587" s="203">
        <f t="shared" si="310"/>
        <v>16007587.717544388</v>
      </c>
      <c r="P587" s="203">
        <f t="shared" si="310"/>
        <v>15927549.778956667</v>
      </c>
      <c r="Q587" s="203">
        <f t="shared" si="310"/>
        <v>15847912.030061884</v>
      </c>
      <c r="R587" s="203">
        <f t="shared" si="310"/>
        <v>15768672.469911573</v>
      </c>
      <c r="S587" s="203">
        <f t="shared" si="310"/>
        <v>15689829.107562015</v>
      </c>
      <c r="T587" s="203">
        <f t="shared" si="310"/>
        <v>15611379.962024204</v>
      </c>
      <c r="U587" s="203">
        <f t="shared" si="310"/>
        <v>15533323.062214084</v>
      </c>
      <c r="V587" s="203">
        <f t="shared" si="310"/>
        <v>15455656.446903013</v>
      </c>
      <c r="W587" s="203">
        <f t="shared" si="310"/>
        <v>15378378.164668497</v>
      </c>
      <c r="X587" s="203">
        <f t="shared" si="310"/>
        <v>15301486.273845155</v>
      </c>
      <c r="Y587" s="203">
        <f t="shared" si="310"/>
        <v>15224978.842475928</v>
      </c>
      <c r="Z587" s="203">
        <f t="shared" si="310"/>
        <v>15148853.948263548</v>
      </c>
      <c r="AA587" s="203">
        <f t="shared" si="310"/>
        <v>15073109.678522231</v>
      </c>
      <c r="AB587" s="203">
        <f t="shared" si="310"/>
        <v>14997744.13012962</v>
      </c>
      <c r="AC587" s="203">
        <f t="shared" si="310"/>
        <v>14922755.409478972</v>
      </c>
      <c r="AD587" s="203">
        <f t="shared" si="310"/>
        <v>14848141.632431576</v>
      </c>
      <c r="AE587" s="203">
        <f t="shared" si="310"/>
        <v>14773900.924269417</v>
      </c>
      <c r="AF587" s="203">
        <f t="shared" si="310"/>
        <v>14700031.41964807</v>
      </c>
      <c r="AG587" s="203">
        <f t="shared" si="310"/>
        <v>0</v>
      </c>
      <c r="AH587" s="203">
        <f t="shared" si="310"/>
        <v>0</v>
      </c>
      <c r="AI587" s="203">
        <f t="shared" si="310"/>
        <v>0</v>
      </c>
      <c r="AJ587" s="203">
        <f t="shared" si="310"/>
        <v>0</v>
      </c>
      <c r="AK587" s="203">
        <f t="shared" si="310"/>
        <v>0</v>
      </c>
      <c r="AL587" s="203">
        <f t="shared" si="310"/>
        <v>0</v>
      </c>
      <c r="AM587" s="203">
        <f t="shared" si="310"/>
        <v>0</v>
      </c>
      <c r="AN587" s="203">
        <f t="shared" si="310"/>
        <v>0</v>
      </c>
      <c r="AO587" s="203">
        <f t="shared" si="310"/>
        <v>0</v>
      </c>
      <c r="AP587" s="203">
        <f t="shared" si="310"/>
        <v>0</v>
      </c>
    </row>
    <row r="588" spans="1:42">
      <c r="A588" s="184" t="s">
        <v>53</v>
      </c>
      <c r="C588" s="198">
        <f>C586*C587</f>
        <v>0</v>
      </c>
      <c r="D588" s="198">
        <f t="shared" ref="D588:AP588" si="311">D586*D587</f>
        <v>0</v>
      </c>
      <c r="E588" s="198">
        <f t="shared" si="311"/>
        <v>0</v>
      </c>
      <c r="F588" s="198">
        <f t="shared" si="311"/>
        <v>0</v>
      </c>
      <c r="G588" s="198">
        <f t="shared" si="311"/>
        <v>0</v>
      </c>
      <c r="H588" s="198">
        <f t="shared" si="311"/>
        <v>0</v>
      </c>
      <c r="I588" s="198">
        <f t="shared" si="311"/>
        <v>0</v>
      </c>
      <c r="J588" s="198">
        <f t="shared" si="311"/>
        <v>0</v>
      </c>
      <c r="K588" s="198">
        <f t="shared" si="311"/>
        <v>0</v>
      </c>
      <c r="L588" s="198">
        <f t="shared" si="311"/>
        <v>0</v>
      </c>
      <c r="M588" s="198">
        <f t="shared" si="311"/>
        <v>0</v>
      </c>
      <c r="N588" s="198">
        <f t="shared" si="311"/>
        <v>0</v>
      </c>
      <c r="O588" s="198">
        <f t="shared" si="311"/>
        <v>0</v>
      </c>
      <c r="P588" s="198">
        <f t="shared" si="311"/>
        <v>0</v>
      </c>
      <c r="Q588" s="198">
        <f t="shared" si="311"/>
        <v>0</v>
      </c>
      <c r="R588" s="198">
        <f t="shared" si="311"/>
        <v>0</v>
      </c>
      <c r="S588" s="198">
        <f t="shared" si="311"/>
        <v>0</v>
      </c>
      <c r="T588" s="198">
        <f t="shared" si="311"/>
        <v>0</v>
      </c>
      <c r="U588" s="198">
        <f t="shared" si="311"/>
        <v>0</v>
      </c>
      <c r="V588" s="198">
        <f t="shared" si="311"/>
        <v>0</v>
      </c>
      <c r="W588" s="198">
        <f t="shared" si="311"/>
        <v>0</v>
      </c>
      <c r="X588" s="198">
        <f t="shared" si="311"/>
        <v>0</v>
      </c>
      <c r="Y588" s="198">
        <f t="shared" si="311"/>
        <v>0</v>
      </c>
      <c r="Z588" s="198">
        <f t="shared" si="311"/>
        <v>0</v>
      </c>
      <c r="AA588" s="198">
        <f t="shared" si="311"/>
        <v>0</v>
      </c>
      <c r="AB588" s="198">
        <f t="shared" si="311"/>
        <v>0</v>
      </c>
      <c r="AC588" s="198">
        <f t="shared" si="311"/>
        <v>0</v>
      </c>
      <c r="AD588" s="198">
        <f t="shared" si="311"/>
        <v>0</v>
      </c>
      <c r="AE588" s="198">
        <f t="shared" si="311"/>
        <v>0</v>
      </c>
      <c r="AF588" s="198">
        <f t="shared" si="311"/>
        <v>0</v>
      </c>
      <c r="AG588" s="198">
        <f t="shared" si="311"/>
        <v>0</v>
      </c>
      <c r="AH588" s="198">
        <f t="shared" si="311"/>
        <v>0</v>
      </c>
      <c r="AI588" s="198">
        <f t="shared" si="311"/>
        <v>0</v>
      </c>
      <c r="AJ588" s="198">
        <f t="shared" si="311"/>
        <v>0</v>
      </c>
      <c r="AK588" s="198">
        <f t="shared" si="311"/>
        <v>0</v>
      </c>
      <c r="AL588" s="198">
        <f t="shared" si="311"/>
        <v>0</v>
      </c>
      <c r="AM588" s="198">
        <f t="shared" si="311"/>
        <v>0</v>
      </c>
      <c r="AN588" s="198">
        <f t="shared" si="311"/>
        <v>0</v>
      </c>
      <c r="AO588" s="198">
        <f t="shared" si="311"/>
        <v>0</v>
      </c>
      <c r="AP588" s="198">
        <f t="shared" si="311"/>
        <v>0</v>
      </c>
    </row>
    <row r="589" spans="1:42">
      <c r="A589" s="180" t="str">
        <f>'Inputs &amp; Results'!A70</f>
        <v>Other</v>
      </c>
    </row>
    <row r="590" spans="1:42">
      <c r="A590" s="184" t="s">
        <v>126</v>
      </c>
      <c r="C590" s="234">
        <f t="shared" ref="C590:AP590" si="312">IF(AND(C$2&lt;=PBIOtherTerm,C$2&lt;=AnalysisPeriod),PBIOther*(1+PBIOtherEsc)^B$2,0)</f>
        <v>0</v>
      </c>
      <c r="D590" s="234">
        <f t="shared" si="312"/>
        <v>0</v>
      </c>
      <c r="E590" s="234">
        <f t="shared" si="312"/>
        <v>0</v>
      </c>
      <c r="F590" s="234">
        <f t="shared" si="312"/>
        <v>0</v>
      </c>
      <c r="G590" s="234">
        <f t="shared" si="312"/>
        <v>0</v>
      </c>
      <c r="H590" s="234">
        <f t="shared" si="312"/>
        <v>0</v>
      </c>
      <c r="I590" s="234">
        <f t="shared" si="312"/>
        <v>0</v>
      </c>
      <c r="J590" s="234">
        <f t="shared" si="312"/>
        <v>0</v>
      </c>
      <c r="K590" s="234">
        <f t="shared" si="312"/>
        <v>0</v>
      </c>
      <c r="L590" s="234">
        <f t="shared" si="312"/>
        <v>0</v>
      </c>
      <c r="M590" s="234">
        <f t="shared" si="312"/>
        <v>0</v>
      </c>
      <c r="N590" s="234">
        <f t="shared" si="312"/>
        <v>0</v>
      </c>
      <c r="O590" s="234">
        <f t="shared" si="312"/>
        <v>0</v>
      </c>
      <c r="P590" s="234">
        <f t="shared" si="312"/>
        <v>0</v>
      </c>
      <c r="Q590" s="234">
        <f t="shared" si="312"/>
        <v>0</v>
      </c>
      <c r="R590" s="234">
        <f t="shared" si="312"/>
        <v>0</v>
      </c>
      <c r="S590" s="234">
        <f t="shared" si="312"/>
        <v>0</v>
      </c>
      <c r="T590" s="234">
        <f t="shared" si="312"/>
        <v>0</v>
      </c>
      <c r="U590" s="234">
        <f t="shared" si="312"/>
        <v>0</v>
      </c>
      <c r="V590" s="234">
        <f t="shared" si="312"/>
        <v>0</v>
      </c>
      <c r="W590" s="234">
        <f t="shared" si="312"/>
        <v>0</v>
      </c>
      <c r="X590" s="234">
        <f t="shared" si="312"/>
        <v>0</v>
      </c>
      <c r="Y590" s="234">
        <f t="shared" si="312"/>
        <v>0</v>
      </c>
      <c r="Z590" s="234">
        <f t="shared" si="312"/>
        <v>0</v>
      </c>
      <c r="AA590" s="234">
        <f t="shared" si="312"/>
        <v>0</v>
      </c>
      <c r="AB590" s="234">
        <f t="shared" si="312"/>
        <v>0</v>
      </c>
      <c r="AC590" s="234">
        <f t="shared" si="312"/>
        <v>0</v>
      </c>
      <c r="AD590" s="234">
        <f t="shared" si="312"/>
        <v>0</v>
      </c>
      <c r="AE590" s="234">
        <f t="shared" si="312"/>
        <v>0</v>
      </c>
      <c r="AF590" s="234">
        <f t="shared" si="312"/>
        <v>0</v>
      </c>
      <c r="AG590" s="234">
        <f t="shared" si="312"/>
        <v>0</v>
      </c>
      <c r="AH590" s="234">
        <f t="shared" si="312"/>
        <v>0</v>
      </c>
      <c r="AI590" s="234">
        <f t="shared" si="312"/>
        <v>0</v>
      </c>
      <c r="AJ590" s="234">
        <f t="shared" si="312"/>
        <v>0</v>
      </c>
      <c r="AK590" s="234">
        <f t="shared" si="312"/>
        <v>0</v>
      </c>
      <c r="AL590" s="234">
        <f t="shared" si="312"/>
        <v>0</v>
      </c>
      <c r="AM590" s="234">
        <f t="shared" si="312"/>
        <v>0</v>
      </c>
      <c r="AN590" s="234">
        <f t="shared" si="312"/>
        <v>0</v>
      </c>
      <c r="AO590" s="234">
        <f t="shared" si="312"/>
        <v>0</v>
      </c>
      <c r="AP590" s="234">
        <f t="shared" si="312"/>
        <v>0</v>
      </c>
    </row>
    <row r="591" spans="1:42">
      <c r="A591" s="184" t="s">
        <v>127</v>
      </c>
      <c r="C591" s="203">
        <f>C$5</f>
        <v>17000000</v>
      </c>
      <c r="D591" s="203">
        <f t="shared" ref="D591:AP591" si="313">D$5</f>
        <v>16915000</v>
      </c>
      <c r="E591" s="203">
        <f t="shared" si="313"/>
        <v>16830425</v>
      </c>
      <c r="F591" s="203">
        <f t="shared" si="313"/>
        <v>16746272.875</v>
      </c>
      <c r="G591" s="203">
        <f t="shared" si="313"/>
        <v>16662541.510624999</v>
      </c>
      <c r="H591" s="203">
        <f t="shared" si="313"/>
        <v>16579228.803071873</v>
      </c>
      <c r="I591" s="203">
        <f t="shared" si="313"/>
        <v>16496332.659056515</v>
      </c>
      <c r="J591" s="203">
        <f t="shared" si="313"/>
        <v>16413850.995761232</v>
      </c>
      <c r="K591" s="203">
        <f t="shared" si="313"/>
        <v>16331781.740782427</v>
      </c>
      <c r="L591" s="203">
        <f t="shared" si="313"/>
        <v>16250122.832078515</v>
      </c>
      <c r="M591" s="203">
        <f t="shared" si="313"/>
        <v>16168872.217918122</v>
      </c>
      <c r="N591" s="203">
        <f t="shared" si="313"/>
        <v>16088027.856828531</v>
      </c>
      <c r="O591" s="203">
        <f t="shared" si="313"/>
        <v>16007587.717544388</v>
      </c>
      <c r="P591" s="203">
        <f t="shared" si="313"/>
        <v>15927549.778956667</v>
      </c>
      <c r="Q591" s="203">
        <f t="shared" si="313"/>
        <v>15847912.030061884</v>
      </c>
      <c r="R591" s="203">
        <f t="shared" si="313"/>
        <v>15768672.469911573</v>
      </c>
      <c r="S591" s="203">
        <f t="shared" si="313"/>
        <v>15689829.107562015</v>
      </c>
      <c r="T591" s="203">
        <f t="shared" si="313"/>
        <v>15611379.962024204</v>
      </c>
      <c r="U591" s="203">
        <f t="shared" si="313"/>
        <v>15533323.062214084</v>
      </c>
      <c r="V591" s="203">
        <f t="shared" si="313"/>
        <v>15455656.446903013</v>
      </c>
      <c r="W591" s="203">
        <f t="shared" si="313"/>
        <v>15378378.164668497</v>
      </c>
      <c r="X591" s="203">
        <f t="shared" si="313"/>
        <v>15301486.273845155</v>
      </c>
      <c r="Y591" s="203">
        <f t="shared" si="313"/>
        <v>15224978.842475928</v>
      </c>
      <c r="Z591" s="203">
        <f t="shared" si="313"/>
        <v>15148853.948263548</v>
      </c>
      <c r="AA591" s="203">
        <f t="shared" si="313"/>
        <v>15073109.678522231</v>
      </c>
      <c r="AB591" s="203">
        <f t="shared" si="313"/>
        <v>14997744.13012962</v>
      </c>
      <c r="AC591" s="203">
        <f t="shared" si="313"/>
        <v>14922755.409478972</v>
      </c>
      <c r="AD591" s="203">
        <f t="shared" si="313"/>
        <v>14848141.632431576</v>
      </c>
      <c r="AE591" s="203">
        <f t="shared" si="313"/>
        <v>14773900.924269417</v>
      </c>
      <c r="AF591" s="203">
        <f t="shared" si="313"/>
        <v>14700031.41964807</v>
      </c>
      <c r="AG591" s="203">
        <f t="shared" si="313"/>
        <v>0</v>
      </c>
      <c r="AH591" s="203">
        <f t="shared" si="313"/>
        <v>0</v>
      </c>
      <c r="AI591" s="203">
        <f t="shared" si="313"/>
        <v>0</v>
      </c>
      <c r="AJ591" s="203">
        <f t="shared" si="313"/>
        <v>0</v>
      </c>
      <c r="AK591" s="203">
        <f t="shared" si="313"/>
        <v>0</v>
      </c>
      <c r="AL591" s="203">
        <f t="shared" si="313"/>
        <v>0</v>
      </c>
      <c r="AM591" s="203">
        <f t="shared" si="313"/>
        <v>0</v>
      </c>
      <c r="AN591" s="203">
        <f t="shared" si="313"/>
        <v>0</v>
      </c>
      <c r="AO591" s="203">
        <f t="shared" si="313"/>
        <v>0</v>
      </c>
      <c r="AP591" s="203">
        <f t="shared" si="313"/>
        <v>0</v>
      </c>
    </row>
    <row r="592" spans="1:42">
      <c r="A592" s="184" t="s">
        <v>53</v>
      </c>
      <c r="C592" s="198">
        <f>C590*C591</f>
        <v>0</v>
      </c>
      <c r="D592" s="198">
        <f t="shared" ref="D592:AP592" si="314">D590*D591</f>
        <v>0</v>
      </c>
      <c r="E592" s="198">
        <f t="shared" si="314"/>
        <v>0</v>
      </c>
      <c r="F592" s="198">
        <f t="shared" si="314"/>
        <v>0</v>
      </c>
      <c r="G592" s="198">
        <f t="shared" si="314"/>
        <v>0</v>
      </c>
      <c r="H592" s="198">
        <f t="shared" si="314"/>
        <v>0</v>
      </c>
      <c r="I592" s="198">
        <f t="shared" si="314"/>
        <v>0</v>
      </c>
      <c r="J592" s="198">
        <f t="shared" si="314"/>
        <v>0</v>
      </c>
      <c r="K592" s="198">
        <f t="shared" si="314"/>
        <v>0</v>
      </c>
      <c r="L592" s="198">
        <f t="shared" si="314"/>
        <v>0</v>
      </c>
      <c r="M592" s="198">
        <f t="shared" si="314"/>
        <v>0</v>
      </c>
      <c r="N592" s="198">
        <f t="shared" si="314"/>
        <v>0</v>
      </c>
      <c r="O592" s="198">
        <f t="shared" si="314"/>
        <v>0</v>
      </c>
      <c r="P592" s="198">
        <f t="shared" si="314"/>
        <v>0</v>
      </c>
      <c r="Q592" s="198">
        <f t="shared" si="314"/>
        <v>0</v>
      </c>
      <c r="R592" s="198">
        <f t="shared" si="314"/>
        <v>0</v>
      </c>
      <c r="S592" s="198">
        <f t="shared" si="314"/>
        <v>0</v>
      </c>
      <c r="T592" s="198">
        <f t="shared" si="314"/>
        <v>0</v>
      </c>
      <c r="U592" s="198">
        <f t="shared" si="314"/>
        <v>0</v>
      </c>
      <c r="V592" s="198">
        <f t="shared" si="314"/>
        <v>0</v>
      </c>
      <c r="W592" s="198">
        <f t="shared" si="314"/>
        <v>0</v>
      </c>
      <c r="X592" s="198">
        <f t="shared" si="314"/>
        <v>0</v>
      </c>
      <c r="Y592" s="198">
        <f t="shared" si="314"/>
        <v>0</v>
      </c>
      <c r="Z592" s="198">
        <f t="shared" si="314"/>
        <v>0</v>
      </c>
      <c r="AA592" s="198">
        <f t="shared" si="314"/>
        <v>0</v>
      </c>
      <c r="AB592" s="198">
        <f t="shared" si="314"/>
        <v>0</v>
      </c>
      <c r="AC592" s="198">
        <f t="shared" si="314"/>
        <v>0</v>
      </c>
      <c r="AD592" s="198">
        <f t="shared" si="314"/>
        <v>0</v>
      </c>
      <c r="AE592" s="198">
        <f t="shared" si="314"/>
        <v>0</v>
      </c>
      <c r="AF592" s="198">
        <f t="shared" si="314"/>
        <v>0</v>
      </c>
      <c r="AG592" s="198">
        <f t="shared" si="314"/>
        <v>0</v>
      </c>
      <c r="AH592" s="198">
        <f t="shared" si="314"/>
        <v>0</v>
      </c>
      <c r="AI592" s="198">
        <f t="shared" si="314"/>
        <v>0</v>
      </c>
      <c r="AJ592" s="198">
        <f t="shared" si="314"/>
        <v>0</v>
      </c>
      <c r="AK592" s="198">
        <f t="shared" si="314"/>
        <v>0</v>
      </c>
      <c r="AL592" s="198">
        <f t="shared" si="314"/>
        <v>0</v>
      </c>
      <c r="AM592" s="198">
        <f t="shared" si="314"/>
        <v>0</v>
      </c>
      <c r="AN592" s="198">
        <f t="shared" si="314"/>
        <v>0</v>
      </c>
      <c r="AO592" s="198">
        <f t="shared" si="314"/>
        <v>0</v>
      </c>
      <c r="AP592" s="198">
        <f t="shared" si="314"/>
        <v>0</v>
      </c>
    </row>
    <row r="593" spans="1:42">
      <c r="C593" s="186"/>
      <c r="D593" s="186"/>
      <c r="E593" s="186"/>
      <c r="F593" s="186"/>
      <c r="G593" s="186"/>
      <c r="H593" s="186"/>
      <c r="I593" s="186"/>
      <c r="J593" s="186"/>
      <c r="K593" s="186"/>
      <c r="L593" s="186"/>
      <c r="M593" s="186"/>
      <c r="N593" s="186"/>
      <c r="O593" s="186"/>
      <c r="P593" s="186"/>
      <c r="Q593" s="186"/>
      <c r="R593" s="186"/>
      <c r="S593" s="186"/>
      <c r="T593" s="186"/>
      <c r="U593" s="186"/>
      <c r="V593" s="186"/>
      <c r="W593" s="186"/>
      <c r="X593" s="186"/>
      <c r="Y593" s="186"/>
      <c r="Z593" s="186"/>
      <c r="AA593" s="186"/>
      <c r="AB593" s="186"/>
      <c r="AC593" s="186"/>
      <c r="AD593" s="186"/>
      <c r="AE593" s="186"/>
      <c r="AF593" s="186"/>
      <c r="AG593" s="186"/>
      <c r="AH593" s="186"/>
      <c r="AI593" s="186"/>
      <c r="AJ593" s="186"/>
      <c r="AK593" s="186"/>
      <c r="AL593" s="186"/>
      <c r="AM593" s="186"/>
      <c r="AN593" s="186"/>
      <c r="AO593" s="186"/>
      <c r="AP593" s="186"/>
    </row>
    <row r="594" spans="1:42">
      <c r="A594" s="37" t="s">
        <v>53</v>
      </c>
      <c r="C594" s="194">
        <f>C580+C584+C588+C592</f>
        <v>0</v>
      </c>
      <c r="D594" s="194">
        <f t="shared" ref="D594:AP594" si="315">D580+D584+D588+D592</f>
        <v>0</v>
      </c>
      <c r="E594" s="194">
        <f t="shared" si="315"/>
        <v>0</v>
      </c>
      <c r="F594" s="194">
        <f t="shared" si="315"/>
        <v>0</v>
      </c>
      <c r="G594" s="194">
        <f t="shared" si="315"/>
        <v>0</v>
      </c>
      <c r="H594" s="194">
        <f t="shared" si="315"/>
        <v>0</v>
      </c>
      <c r="I594" s="194">
        <f t="shared" si="315"/>
        <v>0</v>
      </c>
      <c r="J594" s="194">
        <f t="shared" si="315"/>
        <v>0</v>
      </c>
      <c r="K594" s="194">
        <f t="shared" si="315"/>
        <v>0</v>
      </c>
      <c r="L594" s="194">
        <f t="shared" si="315"/>
        <v>0</v>
      </c>
      <c r="M594" s="194">
        <f t="shared" si="315"/>
        <v>0</v>
      </c>
      <c r="N594" s="194">
        <f t="shared" si="315"/>
        <v>0</v>
      </c>
      <c r="O594" s="194">
        <f t="shared" si="315"/>
        <v>0</v>
      </c>
      <c r="P594" s="194">
        <f t="shared" si="315"/>
        <v>0</v>
      </c>
      <c r="Q594" s="194">
        <f t="shared" si="315"/>
        <v>0</v>
      </c>
      <c r="R594" s="194">
        <f t="shared" si="315"/>
        <v>0</v>
      </c>
      <c r="S594" s="194">
        <f t="shared" si="315"/>
        <v>0</v>
      </c>
      <c r="T594" s="194">
        <f t="shared" si="315"/>
        <v>0</v>
      </c>
      <c r="U594" s="194">
        <f t="shared" si="315"/>
        <v>0</v>
      </c>
      <c r="V594" s="194">
        <f t="shared" si="315"/>
        <v>0</v>
      </c>
      <c r="W594" s="194">
        <f t="shared" si="315"/>
        <v>0</v>
      </c>
      <c r="X594" s="194">
        <f t="shared" si="315"/>
        <v>0</v>
      </c>
      <c r="Y594" s="194">
        <f t="shared" si="315"/>
        <v>0</v>
      </c>
      <c r="Z594" s="194">
        <f t="shared" si="315"/>
        <v>0</v>
      </c>
      <c r="AA594" s="194">
        <f t="shared" si="315"/>
        <v>0</v>
      </c>
      <c r="AB594" s="194">
        <f t="shared" si="315"/>
        <v>0</v>
      </c>
      <c r="AC594" s="194">
        <f t="shared" si="315"/>
        <v>0</v>
      </c>
      <c r="AD594" s="194">
        <f t="shared" si="315"/>
        <v>0</v>
      </c>
      <c r="AE594" s="194">
        <f t="shared" si="315"/>
        <v>0</v>
      </c>
      <c r="AF594" s="194">
        <f t="shared" si="315"/>
        <v>0</v>
      </c>
      <c r="AG594" s="194">
        <f t="shared" si="315"/>
        <v>0</v>
      </c>
      <c r="AH594" s="194">
        <f t="shared" si="315"/>
        <v>0</v>
      </c>
      <c r="AI594" s="194">
        <f t="shared" si="315"/>
        <v>0</v>
      </c>
      <c r="AJ594" s="194">
        <f t="shared" si="315"/>
        <v>0</v>
      </c>
      <c r="AK594" s="194">
        <f t="shared" si="315"/>
        <v>0</v>
      </c>
      <c r="AL594" s="194">
        <f t="shared" si="315"/>
        <v>0</v>
      </c>
      <c r="AM594" s="194">
        <f t="shared" si="315"/>
        <v>0</v>
      </c>
      <c r="AN594" s="194">
        <f t="shared" si="315"/>
        <v>0</v>
      </c>
      <c r="AO594" s="194">
        <f t="shared" si="315"/>
        <v>0</v>
      </c>
      <c r="AP594" s="194">
        <f t="shared" si="315"/>
        <v>0</v>
      </c>
    </row>
    <row r="596" spans="1:42">
      <c r="A596" s="179" t="s">
        <v>192</v>
      </c>
      <c r="B596" s="152"/>
      <c r="C596" s="152"/>
      <c r="D596" s="152"/>
      <c r="E596" s="152"/>
      <c r="F596" s="152"/>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182" t="str">
        <f>'Inputs &amp; Results'!A152</f>
        <v>Working Capital Reserve</v>
      </c>
      <c r="C597" s="152"/>
      <c r="D597" s="152"/>
      <c r="E597" s="152"/>
      <c r="F597" s="152"/>
      <c r="G597" s="152"/>
      <c r="H597" s="152"/>
      <c r="I597" s="152"/>
      <c r="J597" s="152"/>
      <c r="K597" s="152"/>
      <c r="L597" s="152"/>
      <c r="M597" s="152"/>
      <c r="N597" s="152"/>
      <c r="O597" s="152"/>
      <c r="P597" s="152"/>
      <c r="Q597" s="152"/>
      <c r="R597" s="152"/>
      <c r="S597" s="152"/>
      <c r="T597" s="152"/>
      <c r="U597" s="152"/>
      <c r="V597" s="152"/>
      <c r="W597" s="152"/>
      <c r="X597" s="152"/>
      <c r="Y597" s="152"/>
      <c r="Z597" s="152"/>
      <c r="AA597" s="152"/>
      <c r="AB597" s="152"/>
      <c r="AC597" s="152"/>
      <c r="AD597" s="152"/>
      <c r="AE597" s="152"/>
      <c r="AF597" s="152"/>
      <c r="AG597" s="152"/>
      <c r="AH597" s="152"/>
      <c r="AI597" s="152"/>
      <c r="AJ597" s="152"/>
      <c r="AK597" s="152"/>
      <c r="AL597" s="152"/>
      <c r="AM597" s="152"/>
      <c r="AN597" s="152"/>
      <c r="AO597" s="152"/>
      <c r="AP597" s="152"/>
    </row>
    <row r="598" spans="1:42">
      <c r="A598" s="37" t="s">
        <v>99</v>
      </c>
      <c r="B598" s="152">
        <v>0</v>
      </c>
      <c r="C598" s="152">
        <f>B601</f>
        <v>350000</v>
      </c>
      <c r="D598" s="152">
        <f t="shared" ref="D598:AP598" si="316">C601</f>
        <v>350000</v>
      </c>
      <c r="E598" s="152">
        <f t="shared" si="316"/>
        <v>350000</v>
      </c>
      <c r="F598" s="152">
        <f t="shared" si="316"/>
        <v>350000</v>
      </c>
      <c r="G598" s="152">
        <f t="shared" si="316"/>
        <v>350000</v>
      </c>
      <c r="H598" s="152">
        <f t="shared" si="316"/>
        <v>350000</v>
      </c>
      <c r="I598" s="152">
        <f t="shared" si="316"/>
        <v>350000</v>
      </c>
      <c r="J598" s="152">
        <f t="shared" si="316"/>
        <v>350000</v>
      </c>
      <c r="K598" s="152">
        <f t="shared" si="316"/>
        <v>350000</v>
      </c>
      <c r="L598" s="152">
        <f t="shared" si="316"/>
        <v>350000</v>
      </c>
      <c r="M598" s="152">
        <f t="shared" si="316"/>
        <v>350000</v>
      </c>
      <c r="N598" s="152">
        <f t="shared" si="316"/>
        <v>350000</v>
      </c>
      <c r="O598" s="152">
        <f t="shared" si="316"/>
        <v>350000</v>
      </c>
      <c r="P598" s="152">
        <f t="shared" si="316"/>
        <v>350000</v>
      </c>
      <c r="Q598" s="152">
        <f t="shared" si="316"/>
        <v>350000</v>
      </c>
      <c r="R598" s="152">
        <f t="shared" si="316"/>
        <v>350000</v>
      </c>
      <c r="S598" s="152">
        <f t="shared" si="316"/>
        <v>350000</v>
      </c>
      <c r="T598" s="152">
        <f t="shared" si="316"/>
        <v>350000</v>
      </c>
      <c r="U598" s="152">
        <f t="shared" si="316"/>
        <v>350000</v>
      </c>
      <c r="V598" s="152">
        <f t="shared" si="316"/>
        <v>350000</v>
      </c>
      <c r="W598" s="152">
        <f t="shared" si="316"/>
        <v>350000</v>
      </c>
      <c r="X598" s="152">
        <f t="shared" si="316"/>
        <v>350000</v>
      </c>
      <c r="Y598" s="152">
        <f t="shared" si="316"/>
        <v>350000</v>
      </c>
      <c r="Z598" s="152">
        <f t="shared" si="316"/>
        <v>350000</v>
      </c>
      <c r="AA598" s="152">
        <f t="shared" si="316"/>
        <v>350000</v>
      </c>
      <c r="AB598" s="152">
        <f t="shared" si="316"/>
        <v>350000</v>
      </c>
      <c r="AC598" s="152">
        <f t="shared" si="316"/>
        <v>350000</v>
      </c>
      <c r="AD598" s="152">
        <f t="shared" si="316"/>
        <v>350000</v>
      </c>
      <c r="AE598" s="152">
        <f t="shared" si="316"/>
        <v>350000</v>
      </c>
      <c r="AF598" s="152">
        <f t="shared" si="316"/>
        <v>350000</v>
      </c>
      <c r="AG598" s="152">
        <f t="shared" si="316"/>
        <v>0</v>
      </c>
      <c r="AH598" s="152">
        <f t="shared" si="316"/>
        <v>0</v>
      </c>
      <c r="AI598" s="152">
        <f t="shared" si="316"/>
        <v>0</v>
      </c>
      <c r="AJ598" s="152">
        <f t="shared" si="316"/>
        <v>0</v>
      </c>
      <c r="AK598" s="152">
        <f t="shared" si="316"/>
        <v>0</v>
      </c>
      <c r="AL598" s="152">
        <f t="shared" si="316"/>
        <v>0</v>
      </c>
      <c r="AM598" s="152">
        <f t="shared" si="316"/>
        <v>0</v>
      </c>
      <c r="AN598" s="152">
        <f t="shared" si="316"/>
        <v>0</v>
      </c>
      <c r="AO598" s="152">
        <f t="shared" si="316"/>
        <v>0</v>
      </c>
      <c r="AP598" s="152">
        <f t="shared" si="316"/>
        <v>0</v>
      </c>
    </row>
    <row r="599" spans="1:42">
      <c r="A599" s="37" t="s">
        <v>100</v>
      </c>
      <c r="B599" s="152">
        <f>'Inputs &amp; Results'!$B$152</f>
        <v>350000</v>
      </c>
      <c r="C599" s="152"/>
      <c r="D599" s="152"/>
      <c r="E599" s="152"/>
      <c r="F599" s="152"/>
      <c r="G599" s="152"/>
      <c r="H599" s="152"/>
      <c r="I599" s="152"/>
      <c r="J599" s="152"/>
      <c r="K599" s="152"/>
      <c r="L599" s="152"/>
      <c r="M599" s="152"/>
      <c r="N599" s="152"/>
      <c r="O599" s="152"/>
      <c r="P599" s="152"/>
      <c r="Q599" s="152"/>
      <c r="R599" s="152"/>
      <c r="S599" s="152"/>
      <c r="T599" s="152"/>
      <c r="U599" s="152"/>
      <c r="V599" s="152"/>
      <c r="W599" s="152"/>
      <c r="X599" s="152"/>
      <c r="Y599" s="152"/>
      <c r="Z599" s="152"/>
      <c r="AA599" s="152"/>
      <c r="AB599" s="152"/>
      <c r="AC599" s="152"/>
      <c r="AD599" s="152"/>
      <c r="AE599" s="152"/>
      <c r="AF599" s="152"/>
      <c r="AG599" s="152"/>
      <c r="AH599" s="152"/>
      <c r="AI599" s="152"/>
      <c r="AJ599" s="152"/>
      <c r="AK599" s="152"/>
      <c r="AL599" s="152"/>
      <c r="AM599" s="152"/>
      <c r="AN599" s="152"/>
      <c r="AO599" s="152"/>
      <c r="AP599" s="152"/>
    </row>
    <row r="600" spans="1:42">
      <c r="A600" s="37" t="s">
        <v>106</v>
      </c>
      <c r="B600" s="187">
        <v>0</v>
      </c>
      <c r="C600" s="187">
        <f t="shared" ref="C600:AP600" si="317">IF(C$2=AnalysisPeriod,-C598,0)</f>
        <v>0</v>
      </c>
      <c r="D600" s="187">
        <f t="shared" si="317"/>
        <v>0</v>
      </c>
      <c r="E600" s="187">
        <f t="shared" si="317"/>
        <v>0</v>
      </c>
      <c r="F600" s="187">
        <f t="shared" si="317"/>
        <v>0</v>
      </c>
      <c r="G600" s="187">
        <f t="shared" si="317"/>
        <v>0</v>
      </c>
      <c r="H600" s="187">
        <f t="shared" si="317"/>
        <v>0</v>
      </c>
      <c r="I600" s="187">
        <f t="shared" si="317"/>
        <v>0</v>
      </c>
      <c r="J600" s="187">
        <f t="shared" si="317"/>
        <v>0</v>
      </c>
      <c r="K600" s="187">
        <f t="shared" si="317"/>
        <v>0</v>
      </c>
      <c r="L600" s="187">
        <f t="shared" si="317"/>
        <v>0</v>
      </c>
      <c r="M600" s="187">
        <f t="shared" si="317"/>
        <v>0</v>
      </c>
      <c r="N600" s="187">
        <f t="shared" si="317"/>
        <v>0</v>
      </c>
      <c r="O600" s="187">
        <f t="shared" si="317"/>
        <v>0</v>
      </c>
      <c r="P600" s="187">
        <f t="shared" si="317"/>
        <v>0</v>
      </c>
      <c r="Q600" s="187">
        <f t="shared" si="317"/>
        <v>0</v>
      </c>
      <c r="R600" s="187">
        <f t="shared" si="317"/>
        <v>0</v>
      </c>
      <c r="S600" s="187">
        <f t="shared" si="317"/>
        <v>0</v>
      </c>
      <c r="T600" s="187">
        <f t="shared" si="317"/>
        <v>0</v>
      </c>
      <c r="U600" s="187">
        <f t="shared" si="317"/>
        <v>0</v>
      </c>
      <c r="V600" s="187">
        <f t="shared" si="317"/>
        <v>0</v>
      </c>
      <c r="W600" s="187">
        <f t="shared" si="317"/>
        <v>0</v>
      </c>
      <c r="X600" s="187">
        <f t="shared" si="317"/>
        <v>0</v>
      </c>
      <c r="Y600" s="187">
        <f t="shared" si="317"/>
        <v>0</v>
      </c>
      <c r="Z600" s="187">
        <f t="shared" si="317"/>
        <v>0</v>
      </c>
      <c r="AA600" s="187">
        <f t="shared" si="317"/>
        <v>0</v>
      </c>
      <c r="AB600" s="187">
        <f t="shared" si="317"/>
        <v>0</v>
      </c>
      <c r="AC600" s="187">
        <f t="shared" si="317"/>
        <v>0</v>
      </c>
      <c r="AD600" s="187">
        <f t="shared" si="317"/>
        <v>0</v>
      </c>
      <c r="AE600" s="187">
        <f t="shared" si="317"/>
        <v>0</v>
      </c>
      <c r="AF600" s="187">
        <f t="shared" si="317"/>
        <v>-350000</v>
      </c>
      <c r="AG600" s="187">
        <f t="shared" si="317"/>
        <v>0</v>
      </c>
      <c r="AH600" s="187">
        <f t="shared" si="317"/>
        <v>0</v>
      </c>
      <c r="AI600" s="187">
        <f t="shared" si="317"/>
        <v>0</v>
      </c>
      <c r="AJ600" s="187">
        <f t="shared" si="317"/>
        <v>0</v>
      </c>
      <c r="AK600" s="187">
        <f t="shared" si="317"/>
        <v>0</v>
      </c>
      <c r="AL600" s="187">
        <f t="shared" si="317"/>
        <v>0</v>
      </c>
      <c r="AM600" s="187">
        <f t="shared" si="317"/>
        <v>0</v>
      </c>
      <c r="AN600" s="187">
        <f t="shared" si="317"/>
        <v>0</v>
      </c>
      <c r="AO600" s="187">
        <f t="shared" si="317"/>
        <v>0</v>
      </c>
      <c r="AP600" s="187">
        <f t="shared" si="317"/>
        <v>0</v>
      </c>
    </row>
    <row r="601" spans="1:42">
      <c r="A601" s="37" t="s">
        <v>102</v>
      </c>
      <c r="B601" s="152">
        <f>SUM(B598:B600)</f>
        <v>350000</v>
      </c>
      <c r="C601" s="152">
        <f>SUM(C598:C600)</f>
        <v>350000</v>
      </c>
      <c r="D601" s="152">
        <f t="shared" ref="D601:AP601" si="318">SUM(D598:D600)</f>
        <v>350000</v>
      </c>
      <c r="E601" s="152">
        <f t="shared" si="318"/>
        <v>350000</v>
      </c>
      <c r="F601" s="152">
        <f t="shared" si="318"/>
        <v>350000</v>
      </c>
      <c r="G601" s="152">
        <f t="shared" si="318"/>
        <v>350000</v>
      </c>
      <c r="H601" s="152">
        <f t="shared" si="318"/>
        <v>350000</v>
      </c>
      <c r="I601" s="152">
        <f t="shared" si="318"/>
        <v>350000</v>
      </c>
      <c r="J601" s="152">
        <f t="shared" si="318"/>
        <v>350000</v>
      </c>
      <c r="K601" s="152">
        <f t="shared" si="318"/>
        <v>350000</v>
      </c>
      <c r="L601" s="152">
        <f t="shared" si="318"/>
        <v>350000</v>
      </c>
      <c r="M601" s="152">
        <f t="shared" si="318"/>
        <v>350000</v>
      </c>
      <c r="N601" s="152">
        <f t="shared" si="318"/>
        <v>350000</v>
      </c>
      <c r="O601" s="152">
        <f t="shared" si="318"/>
        <v>350000</v>
      </c>
      <c r="P601" s="152">
        <f t="shared" si="318"/>
        <v>350000</v>
      </c>
      <c r="Q601" s="152">
        <f t="shared" si="318"/>
        <v>350000</v>
      </c>
      <c r="R601" s="152">
        <f t="shared" si="318"/>
        <v>350000</v>
      </c>
      <c r="S601" s="152">
        <f t="shared" si="318"/>
        <v>350000</v>
      </c>
      <c r="T601" s="152">
        <f t="shared" si="318"/>
        <v>350000</v>
      </c>
      <c r="U601" s="152">
        <f t="shared" si="318"/>
        <v>350000</v>
      </c>
      <c r="V601" s="152">
        <f t="shared" si="318"/>
        <v>350000</v>
      </c>
      <c r="W601" s="152">
        <f t="shared" si="318"/>
        <v>350000</v>
      </c>
      <c r="X601" s="152">
        <f t="shared" si="318"/>
        <v>350000</v>
      </c>
      <c r="Y601" s="152">
        <f t="shared" si="318"/>
        <v>350000</v>
      </c>
      <c r="Z601" s="152">
        <f t="shared" si="318"/>
        <v>350000</v>
      </c>
      <c r="AA601" s="152">
        <f t="shared" si="318"/>
        <v>350000</v>
      </c>
      <c r="AB601" s="152">
        <f t="shared" si="318"/>
        <v>350000</v>
      </c>
      <c r="AC601" s="152">
        <f t="shared" si="318"/>
        <v>350000</v>
      </c>
      <c r="AD601" s="152">
        <f t="shared" si="318"/>
        <v>350000</v>
      </c>
      <c r="AE601" s="152">
        <f t="shared" si="318"/>
        <v>350000</v>
      </c>
      <c r="AF601" s="152">
        <f t="shared" si="318"/>
        <v>0</v>
      </c>
      <c r="AG601" s="152">
        <f t="shared" si="318"/>
        <v>0</v>
      </c>
      <c r="AH601" s="152">
        <f t="shared" si="318"/>
        <v>0</v>
      </c>
      <c r="AI601" s="152">
        <f t="shared" si="318"/>
        <v>0</v>
      </c>
      <c r="AJ601" s="152">
        <f t="shared" si="318"/>
        <v>0</v>
      </c>
      <c r="AK601" s="152">
        <f t="shared" si="318"/>
        <v>0</v>
      </c>
      <c r="AL601" s="152">
        <f t="shared" si="318"/>
        <v>0</v>
      </c>
      <c r="AM601" s="152">
        <f t="shared" si="318"/>
        <v>0</v>
      </c>
      <c r="AN601" s="152">
        <f t="shared" si="318"/>
        <v>0</v>
      </c>
      <c r="AO601" s="152">
        <f t="shared" si="318"/>
        <v>0</v>
      </c>
      <c r="AP601" s="152">
        <f t="shared" si="318"/>
        <v>0</v>
      </c>
    </row>
    <row r="602" spans="1:42">
      <c r="B602" s="152"/>
      <c r="C602" s="152"/>
      <c r="D602" s="152"/>
      <c r="E602" s="152"/>
      <c r="F602" s="152"/>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row>
    <row r="603" spans="1:42">
      <c r="A603" s="182" t="s">
        <v>360</v>
      </c>
      <c r="C603" s="152"/>
      <c r="D603" s="152"/>
      <c r="E603" s="152"/>
      <c r="F603" s="152"/>
      <c r="G603" s="152"/>
      <c r="H603" s="152"/>
      <c r="I603" s="152"/>
      <c r="J603" s="152"/>
      <c r="K603" s="152"/>
      <c r="L603" s="152"/>
      <c r="M603" s="152"/>
      <c r="N603" s="152"/>
      <c r="O603" s="152"/>
      <c r="P603" s="152"/>
      <c r="Q603" s="152"/>
      <c r="R603" s="152"/>
      <c r="S603" s="152"/>
      <c r="T603" s="152"/>
      <c r="U603" s="152"/>
      <c r="V603" s="152"/>
      <c r="W603" s="152"/>
      <c r="X603" s="152"/>
      <c r="Y603" s="152"/>
      <c r="Z603" s="152"/>
      <c r="AA603" s="152"/>
      <c r="AB603" s="152"/>
      <c r="AC603" s="152"/>
      <c r="AD603" s="152"/>
      <c r="AE603" s="152"/>
      <c r="AF603" s="152"/>
      <c r="AG603" s="152"/>
      <c r="AH603" s="152"/>
      <c r="AI603" s="152"/>
      <c r="AJ603" s="152"/>
      <c r="AK603" s="152"/>
      <c r="AL603" s="152"/>
      <c r="AM603" s="152"/>
      <c r="AN603" s="152"/>
      <c r="AO603" s="152"/>
      <c r="AP603" s="152"/>
    </row>
    <row r="604" spans="1:42">
      <c r="A604" s="37" t="s">
        <v>99</v>
      </c>
      <c r="B604" s="152">
        <v>0</v>
      </c>
      <c r="C604" s="152">
        <f>B607</f>
        <v>0</v>
      </c>
      <c r="D604" s="152">
        <f t="shared" ref="D604:AP604" si="319">C607</f>
        <v>245406.02862510949</v>
      </c>
      <c r="E604" s="152">
        <f t="shared" si="319"/>
        <v>490812.05725021899</v>
      </c>
      <c r="F604" s="152">
        <f t="shared" si="319"/>
        <v>736218.08587532851</v>
      </c>
      <c r="G604" s="152">
        <f t="shared" si="319"/>
        <v>981624.11450043798</v>
      </c>
      <c r="H604" s="152">
        <f t="shared" si="319"/>
        <v>1227030.1431255476</v>
      </c>
      <c r="I604" s="152">
        <f t="shared" si="319"/>
        <v>1472436.171750657</v>
      </c>
      <c r="J604" s="152">
        <f t="shared" si="319"/>
        <v>1717842.2003757665</v>
      </c>
      <c r="K604" s="152">
        <f t="shared" si="319"/>
        <v>1963248.229000876</v>
      </c>
      <c r="L604" s="152">
        <f t="shared" si="319"/>
        <v>2208654.2576259854</v>
      </c>
      <c r="M604" s="152">
        <f t="shared" si="319"/>
        <v>2454060.2862510951</v>
      </c>
      <c r="N604" s="152">
        <f t="shared" si="319"/>
        <v>2699466.3148762048</v>
      </c>
      <c r="O604" s="152">
        <f t="shared" si="319"/>
        <v>0</v>
      </c>
      <c r="P604" s="152">
        <f t="shared" si="319"/>
        <v>293411.90721039008</v>
      </c>
      <c r="Q604" s="152">
        <f t="shared" si="319"/>
        <v>586823.81442078017</v>
      </c>
      <c r="R604" s="152">
        <f t="shared" si="319"/>
        <v>880235.72163117025</v>
      </c>
      <c r="S604" s="152">
        <f t="shared" si="319"/>
        <v>1173647.6288415603</v>
      </c>
      <c r="T604" s="152">
        <f t="shared" si="319"/>
        <v>1467059.5360519504</v>
      </c>
      <c r="U604" s="152">
        <f t="shared" si="319"/>
        <v>1760471.4432623405</v>
      </c>
      <c r="V604" s="152">
        <f t="shared" si="319"/>
        <v>2053883.3504727306</v>
      </c>
      <c r="W604" s="152">
        <f t="shared" si="319"/>
        <v>2347295.2576831207</v>
      </c>
      <c r="X604" s="152">
        <f t="shared" si="319"/>
        <v>2640707.1648935108</v>
      </c>
      <c r="Y604" s="152">
        <f t="shared" si="319"/>
        <v>2934119.0721039008</v>
      </c>
      <c r="Z604" s="152">
        <f t="shared" si="319"/>
        <v>3227530.9793142909</v>
      </c>
      <c r="AA604" s="152">
        <f t="shared" si="319"/>
        <v>0</v>
      </c>
      <c r="AB604" s="152">
        <f t="shared" si="319"/>
        <v>0</v>
      </c>
      <c r="AC604" s="152">
        <f t="shared" si="319"/>
        <v>0</v>
      </c>
      <c r="AD604" s="152">
        <f t="shared" si="319"/>
        <v>0</v>
      </c>
      <c r="AE604" s="152">
        <f t="shared" si="319"/>
        <v>0</v>
      </c>
      <c r="AF604" s="152">
        <f t="shared" si="319"/>
        <v>0</v>
      </c>
      <c r="AG604" s="152">
        <f t="shared" si="319"/>
        <v>0</v>
      </c>
      <c r="AH604" s="152">
        <f t="shared" si="319"/>
        <v>0</v>
      </c>
      <c r="AI604" s="152">
        <f t="shared" si="319"/>
        <v>0</v>
      </c>
      <c r="AJ604" s="152">
        <f t="shared" si="319"/>
        <v>0</v>
      </c>
      <c r="AK604" s="152">
        <f t="shared" si="319"/>
        <v>0</v>
      </c>
      <c r="AL604" s="152">
        <f t="shared" si="319"/>
        <v>0</v>
      </c>
      <c r="AM604" s="152">
        <f t="shared" si="319"/>
        <v>0</v>
      </c>
      <c r="AN604" s="152">
        <f t="shared" si="319"/>
        <v>0</v>
      </c>
      <c r="AO604" s="152">
        <f t="shared" si="319"/>
        <v>0</v>
      </c>
      <c r="AP604" s="152">
        <f t="shared" si="319"/>
        <v>0</v>
      </c>
    </row>
    <row r="605" spans="1:42">
      <c r="A605" s="37" t="s">
        <v>198</v>
      </c>
      <c r="B605" s="152">
        <v>0</v>
      </c>
      <c r="C605" s="152">
        <f>C633</f>
        <v>245406.02862510949</v>
      </c>
      <c r="D605" s="152">
        <f t="shared" ref="D605:AP605" si="320">D633</f>
        <v>245406.02862510949</v>
      </c>
      <c r="E605" s="152">
        <f t="shared" si="320"/>
        <v>245406.02862510949</v>
      </c>
      <c r="F605" s="152">
        <f t="shared" si="320"/>
        <v>245406.02862510949</v>
      </c>
      <c r="G605" s="152">
        <f t="shared" si="320"/>
        <v>245406.02862510949</v>
      </c>
      <c r="H605" s="152">
        <f t="shared" si="320"/>
        <v>245406.02862510949</v>
      </c>
      <c r="I605" s="152">
        <f t="shared" si="320"/>
        <v>245406.02862510949</v>
      </c>
      <c r="J605" s="152">
        <f t="shared" si="320"/>
        <v>245406.02862510949</v>
      </c>
      <c r="K605" s="152">
        <f t="shared" si="320"/>
        <v>245406.02862510949</v>
      </c>
      <c r="L605" s="152">
        <f t="shared" si="320"/>
        <v>245406.02862510949</v>
      </c>
      <c r="M605" s="152">
        <f t="shared" si="320"/>
        <v>245406.02862510949</v>
      </c>
      <c r="N605" s="152">
        <f t="shared" si="320"/>
        <v>245406.02862510949</v>
      </c>
      <c r="O605" s="152">
        <f t="shared" si="320"/>
        <v>293411.90721039008</v>
      </c>
      <c r="P605" s="152">
        <f t="shared" si="320"/>
        <v>293411.90721039008</v>
      </c>
      <c r="Q605" s="152">
        <f t="shared" si="320"/>
        <v>293411.90721039008</v>
      </c>
      <c r="R605" s="152">
        <f t="shared" si="320"/>
        <v>293411.90721039008</v>
      </c>
      <c r="S605" s="152">
        <f t="shared" si="320"/>
        <v>293411.90721039008</v>
      </c>
      <c r="T605" s="152">
        <f t="shared" si="320"/>
        <v>293411.90721039008</v>
      </c>
      <c r="U605" s="152">
        <f t="shared" si="320"/>
        <v>293411.90721039008</v>
      </c>
      <c r="V605" s="152">
        <f t="shared" si="320"/>
        <v>293411.90721039008</v>
      </c>
      <c r="W605" s="152">
        <f t="shared" si="320"/>
        <v>293411.90721039008</v>
      </c>
      <c r="X605" s="152">
        <f t="shared" si="320"/>
        <v>293411.90721039008</v>
      </c>
      <c r="Y605" s="152">
        <f t="shared" si="320"/>
        <v>293411.90721039008</v>
      </c>
      <c r="Z605" s="152">
        <f t="shared" si="320"/>
        <v>293411.90721039008</v>
      </c>
      <c r="AA605" s="152">
        <f t="shared" si="320"/>
        <v>0</v>
      </c>
      <c r="AB605" s="152">
        <f t="shared" si="320"/>
        <v>0</v>
      </c>
      <c r="AC605" s="152">
        <f t="shared" si="320"/>
        <v>0</v>
      </c>
      <c r="AD605" s="152">
        <f t="shared" si="320"/>
        <v>0</v>
      </c>
      <c r="AE605" s="152">
        <f t="shared" si="320"/>
        <v>0</v>
      </c>
      <c r="AF605" s="152">
        <f t="shared" si="320"/>
        <v>0</v>
      </c>
      <c r="AG605" s="152">
        <f t="shared" si="320"/>
        <v>0</v>
      </c>
      <c r="AH605" s="152">
        <f t="shared" si="320"/>
        <v>0</v>
      </c>
      <c r="AI605" s="152">
        <f t="shared" si="320"/>
        <v>0</v>
      </c>
      <c r="AJ605" s="152">
        <f t="shared" si="320"/>
        <v>0</v>
      </c>
      <c r="AK605" s="152">
        <f t="shared" si="320"/>
        <v>0</v>
      </c>
      <c r="AL605" s="152">
        <f t="shared" si="320"/>
        <v>0</v>
      </c>
      <c r="AM605" s="152">
        <f t="shared" si="320"/>
        <v>0</v>
      </c>
      <c r="AN605" s="152">
        <f t="shared" si="320"/>
        <v>0</v>
      </c>
      <c r="AO605" s="152">
        <f t="shared" si="320"/>
        <v>0</v>
      </c>
      <c r="AP605" s="152">
        <f t="shared" si="320"/>
        <v>0</v>
      </c>
    </row>
    <row r="606" spans="1:42">
      <c r="A606" s="37" t="s">
        <v>106</v>
      </c>
      <c r="B606" s="187">
        <v>0</v>
      </c>
      <c r="C606" s="187">
        <f>-C621</f>
        <v>0</v>
      </c>
      <c r="D606" s="187">
        <f t="shared" ref="D606:AP606" si="321">-D621</f>
        <v>0</v>
      </c>
      <c r="E606" s="187">
        <f t="shared" si="321"/>
        <v>0</v>
      </c>
      <c r="F606" s="187">
        <f t="shared" si="321"/>
        <v>0</v>
      </c>
      <c r="G606" s="187">
        <f t="shared" si="321"/>
        <v>0</v>
      </c>
      <c r="H606" s="187">
        <f t="shared" si="321"/>
        <v>0</v>
      </c>
      <c r="I606" s="187">
        <f t="shared" si="321"/>
        <v>0</v>
      </c>
      <c r="J606" s="187">
        <f t="shared" si="321"/>
        <v>0</v>
      </c>
      <c r="K606" s="187">
        <f t="shared" si="321"/>
        <v>0</v>
      </c>
      <c r="L606" s="187">
        <f t="shared" si="321"/>
        <v>0</v>
      </c>
      <c r="M606" s="187">
        <f t="shared" si="321"/>
        <v>0</v>
      </c>
      <c r="N606" s="187">
        <f t="shared" si="321"/>
        <v>-2944872.3435013141</v>
      </c>
      <c r="O606" s="187">
        <f t="shared" si="321"/>
        <v>0</v>
      </c>
      <c r="P606" s="187">
        <f t="shared" si="321"/>
        <v>0</v>
      </c>
      <c r="Q606" s="187">
        <f t="shared" si="321"/>
        <v>0</v>
      </c>
      <c r="R606" s="187">
        <f t="shared" si="321"/>
        <v>0</v>
      </c>
      <c r="S606" s="187">
        <f t="shared" si="321"/>
        <v>0</v>
      </c>
      <c r="T606" s="187">
        <f t="shared" si="321"/>
        <v>0</v>
      </c>
      <c r="U606" s="187">
        <f t="shared" si="321"/>
        <v>0</v>
      </c>
      <c r="V606" s="187">
        <f t="shared" si="321"/>
        <v>0</v>
      </c>
      <c r="W606" s="187">
        <f t="shared" si="321"/>
        <v>0</v>
      </c>
      <c r="X606" s="187">
        <f t="shared" si="321"/>
        <v>0</v>
      </c>
      <c r="Y606" s="187">
        <f t="shared" si="321"/>
        <v>0</v>
      </c>
      <c r="Z606" s="187">
        <f t="shared" si="321"/>
        <v>-3520942.886524681</v>
      </c>
      <c r="AA606" s="187">
        <f t="shared" si="321"/>
        <v>0</v>
      </c>
      <c r="AB606" s="187">
        <f t="shared" si="321"/>
        <v>0</v>
      </c>
      <c r="AC606" s="187">
        <f t="shared" si="321"/>
        <v>0</v>
      </c>
      <c r="AD606" s="187">
        <f t="shared" si="321"/>
        <v>0</v>
      </c>
      <c r="AE606" s="187">
        <f t="shared" si="321"/>
        <v>0</v>
      </c>
      <c r="AF606" s="187">
        <f t="shared" si="321"/>
        <v>0</v>
      </c>
      <c r="AG606" s="187">
        <f t="shared" si="321"/>
        <v>0</v>
      </c>
      <c r="AH606" s="187">
        <f t="shared" si="321"/>
        <v>0</v>
      </c>
      <c r="AI606" s="187">
        <f t="shared" si="321"/>
        <v>0</v>
      </c>
      <c r="AJ606" s="187">
        <f t="shared" si="321"/>
        <v>0</v>
      </c>
      <c r="AK606" s="187">
        <f t="shared" si="321"/>
        <v>0</v>
      </c>
      <c r="AL606" s="187">
        <f t="shared" si="321"/>
        <v>0</v>
      </c>
      <c r="AM606" s="187">
        <f t="shared" si="321"/>
        <v>0</v>
      </c>
      <c r="AN606" s="187">
        <f t="shared" si="321"/>
        <v>0</v>
      </c>
      <c r="AO606" s="187">
        <f t="shared" si="321"/>
        <v>0</v>
      </c>
      <c r="AP606" s="187">
        <f t="shared" si="321"/>
        <v>0</v>
      </c>
    </row>
    <row r="607" spans="1:42">
      <c r="A607" s="37" t="s">
        <v>102</v>
      </c>
      <c r="B607" s="152">
        <f>SUM(B604:B606)</f>
        <v>0</v>
      </c>
      <c r="C607" s="152">
        <f>SUM(C604:C606)</f>
        <v>245406.02862510949</v>
      </c>
      <c r="D607" s="152">
        <f t="shared" ref="D607:AP607" si="322">SUM(D604:D606)</f>
        <v>490812.05725021899</v>
      </c>
      <c r="E607" s="152">
        <f t="shared" si="322"/>
        <v>736218.08587532851</v>
      </c>
      <c r="F607" s="152">
        <f t="shared" si="322"/>
        <v>981624.11450043798</v>
      </c>
      <c r="G607" s="152">
        <f t="shared" si="322"/>
        <v>1227030.1431255476</v>
      </c>
      <c r="H607" s="152">
        <f t="shared" si="322"/>
        <v>1472436.171750657</v>
      </c>
      <c r="I607" s="152">
        <f t="shared" si="322"/>
        <v>1717842.2003757665</v>
      </c>
      <c r="J607" s="152">
        <f t="shared" si="322"/>
        <v>1963248.229000876</v>
      </c>
      <c r="K607" s="152">
        <f t="shared" si="322"/>
        <v>2208654.2576259854</v>
      </c>
      <c r="L607" s="152">
        <f t="shared" si="322"/>
        <v>2454060.2862510951</v>
      </c>
      <c r="M607" s="152">
        <f t="shared" si="322"/>
        <v>2699466.3148762048</v>
      </c>
      <c r="N607" s="152">
        <f t="shared" si="322"/>
        <v>0</v>
      </c>
      <c r="O607" s="152">
        <f t="shared" si="322"/>
        <v>293411.90721039008</v>
      </c>
      <c r="P607" s="152">
        <f t="shared" si="322"/>
        <v>586823.81442078017</v>
      </c>
      <c r="Q607" s="152">
        <f t="shared" si="322"/>
        <v>880235.72163117025</v>
      </c>
      <c r="R607" s="152">
        <f t="shared" si="322"/>
        <v>1173647.6288415603</v>
      </c>
      <c r="S607" s="152">
        <f t="shared" si="322"/>
        <v>1467059.5360519504</v>
      </c>
      <c r="T607" s="152">
        <f t="shared" si="322"/>
        <v>1760471.4432623405</v>
      </c>
      <c r="U607" s="152">
        <f t="shared" si="322"/>
        <v>2053883.3504727306</v>
      </c>
      <c r="V607" s="152">
        <f t="shared" si="322"/>
        <v>2347295.2576831207</v>
      </c>
      <c r="W607" s="152">
        <f t="shared" si="322"/>
        <v>2640707.1648935108</v>
      </c>
      <c r="X607" s="152">
        <f t="shared" si="322"/>
        <v>2934119.0721039008</v>
      </c>
      <c r="Y607" s="152">
        <f t="shared" si="322"/>
        <v>3227530.9793142909</v>
      </c>
      <c r="Z607" s="152">
        <f t="shared" si="322"/>
        <v>0</v>
      </c>
      <c r="AA607" s="152">
        <f t="shared" si="322"/>
        <v>0</v>
      </c>
      <c r="AB607" s="152">
        <f t="shared" si="322"/>
        <v>0</v>
      </c>
      <c r="AC607" s="152">
        <f t="shared" si="322"/>
        <v>0</v>
      </c>
      <c r="AD607" s="152">
        <f t="shared" si="322"/>
        <v>0</v>
      </c>
      <c r="AE607" s="152">
        <f t="shared" si="322"/>
        <v>0</v>
      </c>
      <c r="AF607" s="152">
        <f t="shared" si="322"/>
        <v>0</v>
      </c>
      <c r="AG607" s="152">
        <f t="shared" si="322"/>
        <v>0</v>
      </c>
      <c r="AH607" s="152">
        <f t="shared" si="322"/>
        <v>0</v>
      </c>
      <c r="AI607" s="152">
        <f t="shared" si="322"/>
        <v>0</v>
      </c>
      <c r="AJ607" s="152">
        <f t="shared" si="322"/>
        <v>0</v>
      </c>
      <c r="AK607" s="152">
        <f t="shared" si="322"/>
        <v>0</v>
      </c>
      <c r="AL607" s="152">
        <f t="shared" si="322"/>
        <v>0</v>
      </c>
      <c r="AM607" s="152">
        <f t="shared" si="322"/>
        <v>0</v>
      </c>
      <c r="AN607" s="152">
        <f t="shared" si="322"/>
        <v>0</v>
      </c>
      <c r="AO607" s="152">
        <f t="shared" si="322"/>
        <v>0</v>
      </c>
      <c r="AP607" s="152">
        <f t="shared" si="322"/>
        <v>0</v>
      </c>
    </row>
    <row r="608" spans="1:42">
      <c r="B608" s="152"/>
      <c r="C608" s="152"/>
      <c r="D608" s="152"/>
      <c r="E608" s="152"/>
      <c r="F608" s="152"/>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row>
    <row r="609" spans="1:42">
      <c r="A609" s="37" t="s">
        <v>196</v>
      </c>
      <c r="B609" s="152"/>
      <c r="C609" s="152"/>
      <c r="D609" s="152"/>
      <c r="E609" s="152"/>
      <c r="F609" s="152"/>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row>
    <row r="610" spans="1:42">
      <c r="A610" s="37" t="s">
        <v>197</v>
      </c>
      <c r="B610" s="152"/>
      <c r="C610" s="152"/>
      <c r="D610" s="152"/>
      <c r="E610" s="152"/>
      <c r="F610" s="152"/>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c r="AM610" s="186"/>
      <c r="AN610" s="186"/>
      <c r="AO610" s="186"/>
      <c r="AP610" s="186"/>
    </row>
    <row r="611" spans="1:42">
      <c r="A611" s="37">
        <v>1</v>
      </c>
      <c r="B611" s="196">
        <f t="shared" ref="B611:B620" si="323">SUM(C611:AP611)</f>
        <v>2944872.3435013141</v>
      </c>
      <c r="C611" s="186">
        <f t="shared" ref="C611:AP617" si="324">IF(C$2&gt;AnalysisPeriod,0,IF(C$2=MMFrequency*$A611,MMCost*CapacityDC*1000*(1+Inflation)^B$2,0))</f>
        <v>0</v>
      </c>
      <c r="D611" s="186">
        <f t="shared" si="324"/>
        <v>0</v>
      </c>
      <c r="E611" s="186">
        <f t="shared" si="324"/>
        <v>0</v>
      </c>
      <c r="F611" s="186">
        <f t="shared" si="324"/>
        <v>0</v>
      </c>
      <c r="G611" s="186">
        <f t="shared" si="324"/>
        <v>0</v>
      </c>
      <c r="H611" s="186">
        <f t="shared" si="324"/>
        <v>0</v>
      </c>
      <c r="I611" s="186">
        <f t="shared" si="324"/>
        <v>0</v>
      </c>
      <c r="J611" s="186">
        <f t="shared" si="324"/>
        <v>0</v>
      </c>
      <c r="K611" s="186">
        <f t="shared" si="324"/>
        <v>0</v>
      </c>
      <c r="L611" s="186">
        <f t="shared" si="324"/>
        <v>0</v>
      </c>
      <c r="M611" s="186">
        <f t="shared" si="324"/>
        <v>0</v>
      </c>
      <c r="N611" s="186">
        <f t="shared" si="324"/>
        <v>2944872.3435013141</v>
      </c>
      <c r="O611" s="186">
        <f t="shared" si="324"/>
        <v>0</v>
      </c>
      <c r="P611" s="186">
        <f t="shared" si="324"/>
        <v>0</v>
      </c>
      <c r="Q611" s="186">
        <f t="shared" si="324"/>
        <v>0</v>
      </c>
      <c r="R611" s="186">
        <f t="shared" si="324"/>
        <v>0</v>
      </c>
      <c r="S611" s="186">
        <f t="shared" si="324"/>
        <v>0</v>
      </c>
      <c r="T611" s="186">
        <f t="shared" si="324"/>
        <v>0</v>
      </c>
      <c r="U611" s="186">
        <f t="shared" si="324"/>
        <v>0</v>
      </c>
      <c r="V611" s="186">
        <f t="shared" si="324"/>
        <v>0</v>
      </c>
      <c r="W611" s="186">
        <f t="shared" si="324"/>
        <v>0</v>
      </c>
      <c r="X611" s="186">
        <f t="shared" si="324"/>
        <v>0</v>
      </c>
      <c r="Y611" s="186">
        <f t="shared" si="324"/>
        <v>0</v>
      </c>
      <c r="Z611" s="186">
        <f t="shared" si="324"/>
        <v>0</v>
      </c>
      <c r="AA611" s="186">
        <f t="shared" si="324"/>
        <v>0</v>
      </c>
      <c r="AB611" s="186">
        <f t="shared" si="324"/>
        <v>0</v>
      </c>
      <c r="AC611" s="186">
        <f t="shared" si="324"/>
        <v>0</v>
      </c>
      <c r="AD611" s="186">
        <f t="shared" si="324"/>
        <v>0</v>
      </c>
      <c r="AE611" s="186">
        <f t="shared" si="324"/>
        <v>0</v>
      </c>
      <c r="AF611" s="186">
        <f t="shared" si="324"/>
        <v>0</v>
      </c>
      <c r="AG611" s="186">
        <f t="shared" si="324"/>
        <v>0</v>
      </c>
      <c r="AH611" s="186">
        <f t="shared" si="324"/>
        <v>0</v>
      </c>
      <c r="AI611" s="186">
        <f t="shared" si="324"/>
        <v>0</v>
      </c>
      <c r="AJ611" s="186">
        <f t="shared" si="324"/>
        <v>0</v>
      </c>
      <c r="AK611" s="186">
        <f t="shared" si="324"/>
        <v>0</v>
      </c>
      <c r="AL611" s="186">
        <f t="shared" si="324"/>
        <v>0</v>
      </c>
      <c r="AM611" s="186">
        <f t="shared" si="324"/>
        <v>0</v>
      </c>
      <c r="AN611" s="186">
        <f t="shared" si="324"/>
        <v>0</v>
      </c>
      <c r="AO611" s="186">
        <f t="shared" si="324"/>
        <v>0</v>
      </c>
      <c r="AP611" s="186">
        <f t="shared" si="324"/>
        <v>0</v>
      </c>
    </row>
    <row r="612" spans="1:42">
      <c r="A612" s="37">
        <f>A611+1</f>
        <v>2</v>
      </c>
      <c r="B612" s="196">
        <f t="shared" si="323"/>
        <v>3520942.886524681</v>
      </c>
      <c r="C612" s="186">
        <f t="shared" si="324"/>
        <v>0</v>
      </c>
      <c r="D612" s="186">
        <f t="shared" si="324"/>
        <v>0</v>
      </c>
      <c r="E612" s="186">
        <f t="shared" si="324"/>
        <v>0</v>
      </c>
      <c r="F612" s="186">
        <f t="shared" si="324"/>
        <v>0</v>
      </c>
      <c r="G612" s="186">
        <f t="shared" si="324"/>
        <v>0</v>
      </c>
      <c r="H612" s="186">
        <f t="shared" si="324"/>
        <v>0</v>
      </c>
      <c r="I612" s="186">
        <f t="shared" si="324"/>
        <v>0</v>
      </c>
      <c r="J612" s="186">
        <f t="shared" si="324"/>
        <v>0</v>
      </c>
      <c r="K612" s="186">
        <f t="shared" si="324"/>
        <v>0</v>
      </c>
      <c r="L612" s="186">
        <f t="shared" si="324"/>
        <v>0</v>
      </c>
      <c r="M612" s="186">
        <f t="shared" si="324"/>
        <v>0</v>
      </c>
      <c r="N612" s="186">
        <f t="shared" si="324"/>
        <v>0</v>
      </c>
      <c r="O612" s="186">
        <f t="shared" si="324"/>
        <v>0</v>
      </c>
      <c r="P612" s="186">
        <f t="shared" si="324"/>
        <v>0</v>
      </c>
      <c r="Q612" s="186">
        <f t="shared" si="324"/>
        <v>0</v>
      </c>
      <c r="R612" s="186">
        <f t="shared" si="324"/>
        <v>0</v>
      </c>
      <c r="S612" s="186">
        <f t="shared" si="324"/>
        <v>0</v>
      </c>
      <c r="T612" s="186">
        <f t="shared" si="324"/>
        <v>0</v>
      </c>
      <c r="U612" s="186">
        <f t="shared" si="324"/>
        <v>0</v>
      </c>
      <c r="V612" s="186">
        <f t="shared" si="324"/>
        <v>0</v>
      </c>
      <c r="W612" s="186">
        <f t="shared" si="324"/>
        <v>0</v>
      </c>
      <c r="X612" s="186">
        <f t="shared" si="324"/>
        <v>0</v>
      </c>
      <c r="Y612" s="186">
        <f t="shared" si="324"/>
        <v>0</v>
      </c>
      <c r="Z612" s="186">
        <f t="shared" si="324"/>
        <v>3520942.886524681</v>
      </c>
      <c r="AA612" s="186">
        <f t="shared" si="324"/>
        <v>0</v>
      </c>
      <c r="AB612" s="186">
        <f t="shared" si="324"/>
        <v>0</v>
      </c>
      <c r="AC612" s="186">
        <f t="shared" si="324"/>
        <v>0</v>
      </c>
      <c r="AD612" s="186">
        <f t="shared" si="324"/>
        <v>0</v>
      </c>
      <c r="AE612" s="186">
        <f t="shared" si="324"/>
        <v>0</v>
      </c>
      <c r="AF612" s="186">
        <f t="shared" si="324"/>
        <v>0</v>
      </c>
      <c r="AG612" s="186">
        <f t="shared" si="324"/>
        <v>0</v>
      </c>
      <c r="AH612" s="186">
        <f t="shared" si="324"/>
        <v>0</v>
      </c>
      <c r="AI612" s="186">
        <f t="shared" si="324"/>
        <v>0</v>
      </c>
      <c r="AJ612" s="186">
        <f t="shared" si="324"/>
        <v>0</v>
      </c>
      <c r="AK612" s="186">
        <f t="shared" si="324"/>
        <v>0</v>
      </c>
      <c r="AL612" s="186">
        <f t="shared" si="324"/>
        <v>0</v>
      </c>
      <c r="AM612" s="186">
        <f t="shared" si="324"/>
        <v>0</v>
      </c>
      <c r="AN612" s="186">
        <f t="shared" si="324"/>
        <v>0</v>
      </c>
      <c r="AO612" s="186">
        <f t="shared" si="324"/>
        <v>0</v>
      </c>
      <c r="AP612" s="186">
        <f t="shared" si="324"/>
        <v>0</v>
      </c>
    </row>
    <row r="613" spans="1:42">
      <c r="A613" s="37">
        <f t="shared" ref="A613:A620" si="325">A612+1</f>
        <v>3</v>
      </c>
      <c r="B613" s="196">
        <f t="shared" si="323"/>
        <v>0</v>
      </c>
      <c r="C613" s="186">
        <f t="shared" si="324"/>
        <v>0</v>
      </c>
      <c r="D613" s="186">
        <f t="shared" si="324"/>
        <v>0</v>
      </c>
      <c r="E613" s="186">
        <f t="shared" si="324"/>
        <v>0</v>
      </c>
      <c r="F613" s="186">
        <f t="shared" si="324"/>
        <v>0</v>
      </c>
      <c r="G613" s="186">
        <f t="shared" si="324"/>
        <v>0</v>
      </c>
      <c r="H613" s="186">
        <f t="shared" si="324"/>
        <v>0</v>
      </c>
      <c r="I613" s="186">
        <f t="shared" si="324"/>
        <v>0</v>
      </c>
      <c r="J613" s="186">
        <f t="shared" si="324"/>
        <v>0</v>
      </c>
      <c r="K613" s="186">
        <f t="shared" si="324"/>
        <v>0</v>
      </c>
      <c r="L613" s="186">
        <f t="shared" si="324"/>
        <v>0</v>
      </c>
      <c r="M613" s="186">
        <f t="shared" si="324"/>
        <v>0</v>
      </c>
      <c r="N613" s="186">
        <f t="shared" si="324"/>
        <v>0</v>
      </c>
      <c r="O613" s="186">
        <f t="shared" si="324"/>
        <v>0</v>
      </c>
      <c r="P613" s="186">
        <f t="shared" si="324"/>
        <v>0</v>
      </c>
      <c r="Q613" s="186">
        <f t="shared" si="324"/>
        <v>0</v>
      </c>
      <c r="R613" s="186">
        <f t="shared" si="324"/>
        <v>0</v>
      </c>
      <c r="S613" s="186">
        <f t="shared" si="324"/>
        <v>0</v>
      </c>
      <c r="T613" s="186">
        <f t="shared" si="324"/>
        <v>0</v>
      </c>
      <c r="U613" s="186">
        <f t="shared" si="324"/>
        <v>0</v>
      </c>
      <c r="V613" s="186">
        <f t="shared" si="324"/>
        <v>0</v>
      </c>
      <c r="W613" s="186">
        <f t="shared" si="324"/>
        <v>0</v>
      </c>
      <c r="X613" s="186">
        <f t="shared" si="324"/>
        <v>0</v>
      </c>
      <c r="Y613" s="186">
        <f t="shared" si="324"/>
        <v>0</v>
      </c>
      <c r="Z613" s="186">
        <f t="shared" si="324"/>
        <v>0</v>
      </c>
      <c r="AA613" s="186">
        <f t="shared" si="324"/>
        <v>0</v>
      </c>
      <c r="AB613" s="186">
        <f t="shared" si="324"/>
        <v>0</v>
      </c>
      <c r="AC613" s="186">
        <f t="shared" si="324"/>
        <v>0</v>
      </c>
      <c r="AD613" s="186">
        <f t="shared" si="324"/>
        <v>0</v>
      </c>
      <c r="AE613" s="186">
        <f t="shared" si="324"/>
        <v>0</v>
      </c>
      <c r="AF613" s="186">
        <f t="shared" si="324"/>
        <v>0</v>
      </c>
      <c r="AG613" s="186">
        <f t="shared" si="324"/>
        <v>0</v>
      </c>
      <c r="AH613" s="186">
        <f t="shared" si="324"/>
        <v>0</v>
      </c>
      <c r="AI613" s="186">
        <f t="shared" si="324"/>
        <v>0</v>
      </c>
      <c r="AJ613" s="186">
        <f t="shared" si="324"/>
        <v>0</v>
      </c>
      <c r="AK613" s="186">
        <f t="shared" si="324"/>
        <v>0</v>
      </c>
      <c r="AL613" s="186">
        <f t="shared" si="324"/>
        <v>0</v>
      </c>
      <c r="AM613" s="186">
        <f t="shared" si="324"/>
        <v>0</v>
      </c>
      <c r="AN613" s="186">
        <f t="shared" si="324"/>
        <v>0</v>
      </c>
      <c r="AO613" s="186">
        <f t="shared" si="324"/>
        <v>0</v>
      </c>
      <c r="AP613" s="186">
        <f t="shared" si="324"/>
        <v>0</v>
      </c>
    </row>
    <row r="614" spans="1:42">
      <c r="A614" s="37">
        <f t="shared" si="325"/>
        <v>4</v>
      </c>
      <c r="B614" s="196">
        <f t="shared" si="323"/>
        <v>0</v>
      </c>
      <c r="C614" s="186">
        <f t="shared" si="324"/>
        <v>0</v>
      </c>
      <c r="D614" s="186">
        <f t="shared" si="324"/>
        <v>0</v>
      </c>
      <c r="E614" s="186">
        <f t="shared" si="324"/>
        <v>0</v>
      </c>
      <c r="F614" s="186">
        <f t="shared" si="324"/>
        <v>0</v>
      </c>
      <c r="G614" s="186">
        <f t="shared" si="324"/>
        <v>0</v>
      </c>
      <c r="H614" s="186">
        <f t="shared" si="324"/>
        <v>0</v>
      </c>
      <c r="I614" s="186">
        <f t="shared" si="324"/>
        <v>0</v>
      </c>
      <c r="J614" s="186">
        <f t="shared" si="324"/>
        <v>0</v>
      </c>
      <c r="K614" s="186">
        <f t="shared" si="324"/>
        <v>0</v>
      </c>
      <c r="L614" s="186">
        <f t="shared" si="324"/>
        <v>0</v>
      </c>
      <c r="M614" s="186">
        <f t="shared" si="324"/>
        <v>0</v>
      </c>
      <c r="N614" s="186">
        <f t="shared" si="324"/>
        <v>0</v>
      </c>
      <c r="O614" s="186">
        <f t="shared" si="324"/>
        <v>0</v>
      </c>
      <c r="P614" s="186">
        <f t="shared" si="324"/>
        <v>0</v>
      </c>
      <c r="Q614" s="186">
        <f t="shared" si="324"/>
        <v>0</v>
      </c>
      <c r="R614" s="186">
        <f t="shared" si="324"/>
        <v>0</v>
      </c>
      <c r="S614" s="186">
        <f t="shared" si="324"/>
        <v>0</v>
      </c>
      <c r="T614" s="186">
        <f t="shared" si="324"/>
        <v>0</v>
      </c>
      <c r="U614" s="186">
        <f t="shared" si="324"/>
        <v>0</v>
      </c>
      <c r="V614" s="186">
        <f t="shared" si="324"/>
        <v>0</v>
      </c>
      <c r="W614" s="186">
        <f t="shared" si="324"/>
        <v>0</v>
      </c>
      <c r="X614" s="186">
        <f t="shared" si="324"/>
        <v>0</v>
      </c>
      <c r="Y614" s="186">
        <f t="shared" si="324"/>
        <v>0</v>
      </c>
      <c r="Z614" s="186">
        <f t="shared" si="324"/>
        <v>0</v>
      </c>
      <c r="AA614" s="186">
        <f t="shared" si="324"/>
        <v>0</v>
      </c>
      <c r="AB614" s="186">
        <f t="shared" si="324"/>
        <v>0</v>
      </c>
      <c r="AC614" s="186">
        <f t="shared" si="324"/>
        <v>0</v>
      </c>
      <c r="AD614" s="186">
        <f t="shared" si="324"/>
        <v>0</v>
      </c>
      <c r="AE614" s="186">
        <f t="shared" si="324"/>
        <v>0</v>
      </c>
      <c r="AF614" s="186">
        <f t="shared" si="324"/>
        <v>0</v>
      </c>
      <c r="AG614" s="186">
        <f t="shared" si="324"/>
        <v>0</v>
      </c>
      <c r="AH614" s="186">
        <f t="shared" si="324"/>
        <v>0</v>
      </c>
      <c r="AI614" s="186">
        <f t="shared" si="324"/>
        <v>0</v>
      </c>
      <c r="AJ614" s="186">
        <f t="shared" si="324"/>
        <v>0</v>
      </c>
      <c r="AK614" s="186">
        <f t="shared" si="324"/>
        <v>0</v>
      </c>
      <c r="AL614" s="186">
        <f t="shared" si="324"/>
        <v>0</v>
      </c>
      <c r="AM614" s="186">
        <f t="shared" si="324"/>
        <v>0</v>
      </c>
      <c r="AN614" s="186">
        <f t="shared" si="324"/>
        <v>0</v>
      </c>
      <c r="AO614" s="186">
        <f t="shared" si="324"/>
        <v>0</v>
      </c>
      <c r="AP614" s="186">
        <f t="shared" si="324"/>
        <v>0</v>
      </c>
    </row>
    <row r="615" spans="1:42">
      <c r="A615" s="37">
        <f t="shared" si="325"/>
        <v>5</v>
      </c>
      <c r="B615" s="196">
        <f t="shared" si="323"/>
        <v>0</v>
      </c>
      <c r="C615" s="186">
        <f t="shared" si="324"/>
        <v>0</v>
      </c>
      <c r="D615" s="186">
        <f t="shared" si="324"/>
        <v>0</v>
      </c>
      <c r="E615" s="186">
        <f t="shared" si="324"/>
        <v>0</v>
      </c>
      <c r="F615" s="186">
        <f t="shared" si="324"/>
        <v>0</v>
      </c>
      <c r="G615" s="186">
        <f t="shared" si="324"/>
        <v>0</v>
      </c>
      <c r="H615" s="186">
        <f t="shared" si="324"/>
        <v>0</v>
      </c>
      <c r="I615" s="186">
        <f t="shared" si="324"/>
        <v>0</v>
      </c>
      <c r="J615" s="186">
        <f t="shared" si="324"/>
        <v>0</v>
      </c>
      <c r="K615" s="186">
        <f t="shared" si="324"/>
        <v>0</v>
      </c>
      <c r="L615" s="186">
        <f t="shared" si="324"/>
        <v>0</v>
      </c>
      <c r="M615" s="186">
        <f t="shared" si="324"/>
        <v>0</v>
      </c>
      <c r="N615" s="186">
        <f t="shared" si="324"/>
        <v>0</v>
      </c>
      <c r="O615" s="186">
        <f t="shared" si="324"/>
        <v>0</v>
      </c>
      <c r="P615" s="186">
        <f t="shared" si="324"/>
        <v>0</v>
      </c>
      <c r="Q615" s="186">
        <f t="shared" si="324"/>
        <v>0</v>
      </c>
      <c r="R615" s="186">
        <f t="shared" si="324"/>
        <v>0</v>
      </c>
      <c r="S615" s="186">
        <f t="shared" si="324"/>
        <v>0</v>
      </c>
      <c r="T615" s="186">
        <f t="shared" si="324"/>
        <v>0</v>
      </c>
      <c r="U615" s="186">
        <f t="shared" si="324"/>
        <v>0</v>
      </c>
      <c r="V615" s="186">
        <f t="shared" si="324"/>
        <v>0</v>
      </c>
      <c r="W615" s="186">
        <f t="shared" si="324"/>
        <v>0</v>
      </c>
      <c r="X615" s="186">
        <f t="shared" si="324"/>
        <v>0</v>
      </c>
      <c r="Y615" s="186">
        <f t="shared" si="324"/>
        <v>0</v>
      </c>
      <c r="Z615" s="186">
        <f t="shared" si="324"/>
        <v>0</v>
      </c>
      <c r="AA615" s="186">
        <f t="shared" si="324"/>
        <v>0</v>
      </c>
      <c r="AB615" s="186">
        <f t="shared" si="324"/>
        <v>0</v>
      </c>
      <c r="AC615" s="186">
        <f t="shared" si="324"/>
        <v>0</v>
      </c>
      <c r="AD615" s="186">
        <f t="shared" si="324"/>
        <v>0</v>
      </c>
      <c r="AE615" s="186">
        <f t="shared" si="324"/>
        <v>0</v>
      </c>
      <c r="AF615" s="186">
        <f t="shared" si="324"/>
        <v>0</v>
      </c>
      <c r="AG615" s="186">
        <f t="shared" si="324"/>
        <v>0</v>
      </c>
      <c r="AH615" s="186">
        <f t="shared" si="324"/>
        <v>0</v>
      </c>
      <c r="AI615" s="186">
        <f t="shared" si="324"/>
        <v>0</v>
      </c>
      <c r="AJ615" s="186">
        <f t="shared" si="324"/>
        <v>0</v>
      </c>
      <c r="AK615" s="186">
        <f t="shared" si="324"/>
        <v>0</v>
      </c>
      <c r="AL615" s="186">
        <f t="shared" si="324"/>
        <v>0</v>
      </c>
      <c r="AM615" s="186">
        <f t="shared" si="324"/>
        <v>0</v>
      </c>
      <c r="AN615" s="186">
        <f t="shared" si="324"/>
        <v>0</v>
      </c>
      <c r="AO615" s="186">
        <f t="shared" si="324"/>
        <v>0</v>
      </c>
      <c r="AP615" s="186">
        <f t="shared" si="324"/>
        <v>0</v>
      </c>
    </row>
    <row r="616" spans="1:42">
      <c r="A616" s="37">
        <f t="shared" si="325"/>
        <v>6</v>
      </c>
      <c r="B616" s="196">
        <f t="shared" si="323"/>
        <v>0</v>
      </c>
      <c r="C616" s="186">
        <f t="shared" si="324"/>
        <v>0</v>
      </c>
      <c r="D616" s="186">
        <f t="shared" si="324"/>
        <v>0</v>
      </c>
      <c r="E616" s="186">
        <f t="shared" si="324"/>
        <v>0</v>
      </c>
      <c r="F616" s="186">
        <f t="shared" si="324"/>
        <v>0</v>
      </c>
      <c r="G616" s="186">
        <f t="shared" si="324"/>
        <v>0</v>
      </c>
      <c r="H616" s="186">
        <f t="shared" si="324"/>
        <v>0</v>
      </c>
      <c r="I616" s="186">
        <f t="shared" si="324"/>
        <v>0</v>
      </c>
      <c r="J616" s="186">
        <f t="shared" si="324"/>
        <v>0</v>
      </c>
      <c r="K616" s="186">
        <f t="shared" si="324"/>
        <v>0</v>
      </c>
      <c r="L616" s="186">
        <f t="shared" si="324"/>
        <v>0</v>
      </c>
      <c r="M616" s="186">
        <f t="shared" si="324"/>
        <v>0</v>
      </c>
      <c r="N616" s="186">
        <f t="shared" si="324"/>
        <v>0</v>
      </c>
      <c r="O616" s="186">
        <f t="shared" si="324"/>
        <v>0</v>
      </c>
      <c r="P616" s="186">
        <f t="shared" si="324"/>
        <v>0</v>
      </c>
      <c r="Q616" s="186">
        <f t="shared" si="324"/>
        <v>0</v>
      </c>
      <c r="R616" s="186">
        <f t="shared" si="324"/>
        <v>0</v>
      </c>
      <c r="S616" s="186">
        <f t="shared" si="324"/>
        <v>0</v>
      </c>
      <c r="T616" s="186">
        <f t="shared" si="324"/>
        <v>0</v>
      </c>
      <c r="U616" s="186">
        <f t="shared" si="324"/>
        <v>0</v>
      </c>
      <c r="V616" s="186">
        <f t="shared" si="324"/>
        <v>0</v>
      </c>
      <c r="W616" s="186">
        <f t="shared" si="324"/>
        <v>0</v>
      </c>
      <c r="X616" s="186">
        <f t="shared" si="324"/>
        <v>0</v>
      </c>
      <c r="Y616" s="186">
        <f t="shared" si="324"/>
        <v>0</v>
      </c>
      <c r="Z616" s="186">
        <f t="shared" si="324"/>
        <v>0</v>
      </c>
      <c r="AA616" s="186">
        <f t="shared" si="324"/>
        <v>0</v>
      </c>
      <c r="AB616" s="186">
        <f t="shared" si="324"/>
        <v>0</v>
      </c>
      <c r="AC616" s="186">
        <f t="shared" si="324"/>
        <v>0</v>
      </c>
      <c r="AD616" s="186">
        <f t="shared" si="324"/>
        <v>0</v>
      </c>
      <c r="AE616" s="186">
        <f t="shared" si="324"/>
        <v>0</v>
      </c>
      <c r="AF616" s="186">
        <f t="shared" si="324"/>
        <v>0</v>
      </c>
      <c r="AG616" s="186">
        <f t="shared" si="324"/>
        <v>0</v>
      </c>
      <c r="AH616" s="186">
        <f t="shared" si="324"/>
        <v>0</v>
      </c>
      <c r="AI616" s="186">
        <f t="shared" si="324"/>
        <v>0</v>
      </c>
      <c r="AJ616" s="186">
        <f t="shared" si="324"/>
        <v>0</v>
      </c>
      <c r="AK616" s="186">
        <f t="shared" si="324"/>
        <v>0</v>
      </c>
      <c r="AL616" s="186">
        <f t="shared" si="324"/>
        <v>0</v>
      </c>
      <c r="AM616" s="186">
        <f t="shared" si="324"/>
        <v>0</v>
      </c>
      <c r="AN616" s="186">
        <f t="shared" si="324"/>
        <v>0</v>
      </c>
      <c r="AO616" s="186">
        <f t="shared" si="324"/>
        <v>0</v>
      </c>
      <c r="AP616" s="186">
        <f t="shared" si="324"/>
        <v>0</v>
      </c>
    </row>
    <row r="617" spans="1:42">
      <c r="A617" s="37">
        <f t="shared" si="325"/>
        <v>7</v>
      </c>
      <c r="B617" s="196">
        <f t="shared" si="323"/>
        <v>0</v>
      </c>
      <c r="C617" s="186">
        <f t="shared" si="324"/>
        <v>0</v>
      </c>
      <c r="D617" s="186">
        <f t="shared" si="324"/>
        <v>0</v>
      </c>
      <c r="E617" s="186">
        <f t="shared" si="324"/>
        <v>0</v>
      </c>
      <c r="F617" s="186">
        <f t="shared" si="324"/>
        <v>0</v>
      </c>
      <c r="G617" s="186">
        <f t="shared" si="324"/>
        <v>0</v>
      </c>
      <c r="H617" s="186">
        <f t="shared" si="324"/>
        <v>0</v>
      </c>
      <c r="I617" s="186">
        <f t="shared" si="324"/>
        <v>0</v>
      </c>
      <c r="J617" s="186">
        <f t="shared" si="324"/>
        <v>0</v>
      </c>
      <c r="K617" s="186">
        <f t="shared" si="324"/>
        <v>0</v>
      </c>
      <c r="L617" s="186">
        <f t="shared" si="324"/>
        <v>0</v>
      </c>
      <c r="M617" s="186">
        <f t="shared" si="324"/>
        <v>0</v>
      </c>
      <c r="N617" s="186">
        <f t="shared" si="324"/>
        <v>0</v>
      </c>
      <c r="O617" s="186">
        <f t="shared" si="324"/>
        <v>0</v>
      </c>
      <c r="P617" s="186">
        <f t="shared" si="324"/>
        <v>0</v>
      </c>
      <c r="Q617" s="186">
        <f t="shared" si="324"/>
        <v>0</v>
      </c>
      <c r="R617" s="186">
        <f t="shared" ref="R617:AP617" si="326">IF(R$2&gt;AnalysisPeriod,0,IF(R$2=MMFrequency*$A617,MMCost*CapacityDC*1000*(1+Inflation)^Q$2,0))</f>
        <v>0</v>
      </c>
      <c r="S617" s="186">
        <f t="shared" si="326"/>
        <v>0</v>
      </c>
      <c r="T617" s="186">
        <f t="shared" si="326"/>
        <v>0</v>
      </c>
      <c r="U617" s="186">
        <f t="shared" si="326"/>
        <v>0</v>
      </c>
      <c r="V617" s="186">
        <f t="shared" si="326"/>
        <v>0</v>
      </c>
      <c r="W617" s="186">
        <f t="shared" si="326"/>
        <v>0</v>
      </c>
      <c r="X617" s="186">
        <f t="shared" si="326"/>
        <v>0</v>
      </c>
      <c r="Y617" s="186">
        <f t="shared" si="326"/>
        <v>0</v>
      </c>
      <c r="Z617" s="186">
        <f t="shared" si="326"/>
        <v>0</v>
      </c>
      <c r="AA617" s="186">
        <f t="shared" si="326"/>
        <v>0</v>
      </c>
      <c r="AB617" s="186">
        <f t="shared" si="326"/>
        <v>0</v>
      </c>
      <c r="AC617" s="186">
        <f t="shared" si="326"/>
        <v>0</v>
      </c>
      <c r="AD617" s="186">
        <f t="shared" si="326"/>
        <v>0</v>
      </c>
      <c r="AE617" s="186">
        <f t="shared" si="326"/>
        <v>0</v>
      </c>
      <c r="AF617" s="186">
        <f t="shared" si="326"/>
        <v>0</v>
      </c>
      <c r="AG617" s="186">
        <f t="shared" si="326"/>
        <v>0</v>
      </c>
      <c r="AH617" s="186">
        <f t="shared" si="326"/>
        <v>0</v>
      </c>
      <c r="AI617" s="186">
        <f t="shared" si="326"/>
        <v>0</v>
      </c>
      <c r="AJ617" s="186">
        <f t="shared" si="326"/>
        <v>0</v>
      </c>
      <c r="AK617" s="186">
        <f t="shared" si="326"/>
        <v>0</v>
      </c>
      <c r="AL617" s="186">
        <f t="shared" si="326"/>
        <v>0</v>
      </c>
      <c r="AM617" s="186">
        <f t="shared" si="326"/>
        <v>0</v>
      </c>
      <c r="AN617" s="186">
        <f t="shared" si="326"/>
        <v>0</v>
      </c>
      <c r="AO617" s="186">
        <f t="shared" si="326"/>
        <v>0</v>
      </c>
      <c r="AP617" s="186">
        <f t="shared" si="326"/>
        <v>0</v>
      </c>
    </row>
    <row r="618" spans="1:42">
      <c r="A618" s="37">
        <f t="shared" si="325"/>
        <v>8</v>
      </c>
      <c r="B618" s="196">
        <f t="shared" si="323"/>
        <v>0</v>
      </c>
      <c r="C618" s="186">
        <f t="shared" ref="C618:AP620" si="327">IF(C$2&gt;AnalysisPeriod,0,IF(C$2=MMFrequency*$A618,MMCost*CapacityDC*1000*(1+Inflation)^B$2,0))</f>
        <v>0</v>
      </c>
      <c r="D618" s="186">
        <f t="shared" si="327"/>
        <v>0</v>
      </c>
      <c r="E618" s="186">
        <f t="shared" si="327"/>
        <v>0</v>
      </c>
      <c r="F618" s="186">
        <f t="shared" si="327"/>
        <v>0</v>
      </c>
      <c r="G618" s="186">
        <f t="shared" si="327"/>
        <v>0</v>
      </c>
      <c r="H618" s="186">
        <f t="shared" si="327"/>
        <v>0</v>
      </c>
      <c r="I618" s="186">
        <f t="shared" si="327"/>
        <v>0</v>
      </c>
      <c r="J618" s="186">
        <f t="shared" si="327"/>
        <v>0</v>
      </c>
      <c r="K618" s="186">
        <f t="shared" si="327"/>
        <v>0</v>
      </c>
      <c r="L618" s="186">
        <f t="shared" si="327"/>
        <v>0</v>
      </c>
      <c r="M618" s="186">
        <f t="shared" si="327"/>
        <v>0</v>
      </c>
      <c r="N618" s="186">
        <f t="shared" si="327"/>
        <v>0</v>
      </c>
      <c r="O618" s="186">
        <f t="shared" si="327"/>
        <v>0</v>
      </c>
      <c r="P618" s="186">
        <f t="shared" si="327"/>
        <v>0</v>
      </c>
      <c r="Q618" s="186">
        <f t="shared" si="327"/>
        <v>0</v>
      </c>
      <c r="R618" s="186">
        <f t="shared" si="327"/>
        <v>0</v>
      </c>
      <c r="S618" s="186">
        <f t="shared" si="327"/>
        <v>0</v>
      </c>
      <c r="T618" s="186">
        <f t="shared" si="327"/>
        <v>0</v>
      </c>
      <c r="U618" s="186">
        <f t="shared" si="327"/>
        <v>0</v>
      </c>
      <c r="V618" s="186">
        <f t="shared" si="327"/>
        <v>0</v>
      </c>
      <c r="W618" s="186">
        <f t="shared" si="327"/>
        <v>0</v>
      </c>
      <c r="X618" s="186">
        <f t="shared" si="327"/>
        <v>0</v>
      </c>
      <c r="Y618" s="186">
        <f t="shared" si="327"/>
        <v>0</v>
      </c>
      <c r="Z618" s="186">
        <f t="shared" si="327"/>
        <v>0</v>
      </c>
      <c r="AA618" s="186">
        <f t="shared" si="327"/>
        <v>0</v>
      </c>
      <c r="AB618" s="186">
        <f t="shared" si="327"/>
        <v>0</v>
      </c>
      <c r="AC618" s="186">
        <f t="shared" si="327"/>
        <v>0</v>
      </c>
      <c r="AD618" s="186">
        <f t="shared" si="327"/>
        <v>0</v>
      </c>
      <c r="AE618" s="186">
        <f t="shared" si="327"/>
        <v>0</v>
      </c>
      <c r="AF618" s="186">
        <f t="shared" si="327"/>
        <v>0</v>
      </c>
      <c r="AG618" s="186">
        <f t="shared" si="327"/>
        <v>0</v>
      </c>
      <c r="AH618" s="186">
        <f t="shared" si="327"/>
        <v>0</v>
      </c>
      <c r="AI618" s="186">
        <f t="shared" si="327"/>
        <v>0</v>
      </c>
      <c r="AJ618" s="186">
        <f t="shared" si="327"/>
        <v>0</v>
      </c>
      <c r="AK618" s="186">
        <f t="shared" si="327"/>
        <v>0</v>
      </c>
      <c r="AL618" s="186">
        <f t="shared" si="327"/>
        <v>0</v>
      </c>
      <c r="AM618" s="186">
        <f t="shared" si="327"/>
        <v>0</v>
      </c>
      <c r="AN618" s="186">
        <f t="shared" si="327"/>
        <v>0</v>
      </c>
      <c r="AO618" s="186">
        <f t="shared" si="327"/>
        <v>0</v>
      </c>
      <c r="AP618" s="186">
        <f t="shared" si="327"/>
        <v>0</v>
      </c>
    </row>
    <row r="619" spans="1:42">
      <c r="A619" s="37">
        <f>A618+1</f>
        <v>9</v>
      </c>
      <c r="B619" s="196">
        <f t="shared" si="323"/>
        <v>0</v>
      </c>
      <c r="C619" s="186">
        <f t="shared" si="327"/>
        <v>0</v>
      </c>
      <c r="D619" s="186">
        <f t="shared" si="327"/>
        <v>0</v>
      </c>
      <c r="E619" s="186">
        <f t="shared" si="327"/>
        <v>0</v>
      </c>
      <c r="F619" s="186">
        <f t="shared" si="327"/>
        <v>0</v>
      </c>
      <c r="G619" s="186">
        <f t="shared" si="327"/>
        <v>0</v>
      </c>
      <c r="H619" s="186">
        <f t="shared" si="327"/>
        <v>0</v>
      </c>
      <c r="I619" s="186">
        <f t="shared" si="327"/>
        <v>0</v>
      </c>
      <c r="J619" s="186">
        <f t="shared" si="327"/>
        <v>0</v>
      </c>
      <c r="K619" s="186">
        <f t="shared" si="327"/>
        <v>0</v>
      </c>
      <c r="L619" s="186">
        <f t="shared" si="327"/>
        <v>0</v>
      </c>
      <c r="M619" s="186">
        <f t="shared" si="327"/>
        <v>0</v>
      </c>
      <c r="N619" s="186">
        <f t="shared" si="327"/>
        <v>0</v>
      </c>
      <c r="O619" s="186">
        <f t="shared" si="327"/>
        <v>0</v>
      </c>
      <c r="P619" s="186">
        <f t="shared" si="327"/>
        <v>0</v>
      </c>
      <c r="Q619" s="186">
        <f t="shared" si="327"/>
        <v>0</v>
      </c>
      <c r="R619" s="186">
        <f t="shared" si="327"/>
        <v>0</v>
      </c>
      <c r="S619" s="186">
        <f t="shared" si="327"/>
        <v>0</v>
      </c>
      <c r="T619" s="186">
        <f t="shared" si="327"/>
        <v>0</v>
      </c>
      <c r="U619" s="186">
        <f t="shared" si="327"/>
        <v>0</v>
      </c>
      <c r="V619" s="186">
        <f t="shared" si="327"/>
        <v>0</v>
      </c>
      <c r="W619" s="186">
        <f t="shared" si="327"/>
        <v>0</v>
      </c>
      <c r="X619" s="186">
        <f t="shared" si="327"/>
        <v>0</v>
      </c>
      <c r="Y619" s="186">
        <f t="shared" si="327"/>
        <v>0</v>
      </c>
      <c r="Z619" s="186">
        <f t="shared" si="327"/>
        <v>0</v>
      </c>
      <c r="AA619" s="186">
        <f t="shared" si="327"/>
        <v>0</v>
      </c>
      <c r="AB619" s="186">
        <f t="shared" si="327"/>
        <v>0</v>
      </c>
      <c r="AC619" s="186">
        <f t="shared" si="327"/>
        <v>0</v>
      </c>
      <c r="AD619" s="186">
        <f t="shared" si="327"/>
        <v>0</v>
      </c>
      <c r="AE619" s="186">
        <f t="shared" si="327"/>
        <v>0</v>
      </c>
      <c r="AF619" s="186">
        <f t="shared" si="327"/>
        <v>0</v>
      </c>
      <c r="AG619" s="186">
        <f t="shared" si="327"/>
        <v>0</v>
      </c>
      <c r="AH619" s="186">
        <f t="shared" si="327"/>
        <v>0</v>
      </c>
      <c r="AI619" s="186">
        <f t="shared" si="327"/>
        <v>0</v>
      </c>
      <c r="AJ619" s="186">
        <f t="shared" si="327"/>
        <v>0</v>
      </c>
      <c r="AK619" s="186">
        <f t="shared" si="327"/>
        <v>0</v>
      </c>
      <c r="AL619" s="186">
        <f t="shared" si="327"/>
        <v>0</v>
      </c>
      <c r="AM619" s="186">
        <f t="shared" si="327"/>
        <v>0</v>
      </c>
      <c r="AN619" s="186">
        <f t="shared" si="327"/>
        <v>0</v>
      </c>
      <c r="AO619" s="186">
        <f t="shared" si="327"/>
        <v>0</v>
      </c>
      <c r="AP619" s="186">
        <f t="shared" si="327"/>
        <v>0</v>
      </c>
    </row>
    <row r="620" spans="1:42">
      <c r="A620" s="37">
        <f t="shared" si="325"/>
        <v>10</v>
      </c>
      <c r="B620" s="196">
        <f t="shared" si="323"/>
        <v>0</v>
      </c>
      <c r="C620" s="187">
        <f t="shared" si="327"/>
        <v>0</v>
      </c>
      <c r="D620" s="187">
        <f t="shared" si="327"/>
        <v>0</v>
      </c>
      <c r="E620" s="187">
        <f t="shared" si="327"/>
        <v>0</v>
      </c>
      <c r="F620" s="187">
        <f t="shared" si="327"/>
        <v>0</v>
      </c>
      <c r="G620" s="187">
        <f t="shared" si="327"/>
        <v>0</v>
      </c>
      <c r="H620" s="187">
        <f t="shared" si="327"/>
        <v>0</v>
      </c>
      <c r="I620" s="187">
        <f t="shared" si="327"/>
        <v>0</v>
      </c>
      <c r="J620" s="187">
        <f t="shared" si="327"/>
        <v>0</v>
      </c>
      <c r="K620" s="187">
        <f t="shared" si="327"/>
        <v>0</v>
      </c>
      <c r="L620" s="187">
        <f t="shared" si="327"/>
        <v>0</v>
      </c>
      <c r="M620" s="187">
        <f t="shared" si="327"/>
        <v>0</v>
      </c>
      <c r="N620" s="187">
        <f t="shared" si="327"/>
        <v>0</v>
      </c>
      <c r="O620" s="187">
        <f t="shared" si="327"/>
        <v>0</v>
      </c>
      <c r="P620" s="187">
        <f t="shared" si="327"/>
        <v>0</v>
      </c>
      <c r="Q620" s="187">
        <f t="shared" si="327"/>
        <v>0</v>
      </c>
      <c r="R620" s="187">
        <f t="shared" si="327"/>
        <v>0</v>
      </c>
      <c r="S620" s="187">
        <f t="shared" si="327"/>
        <v>0</v>
      </c>
      <c r="T620" s="187">
        <f t="shared" si="327"/>
        <v>0</v>
      </c>
      <c r="U620" s="187">
        <f t="shared" si="327"/>
        <v>0</v>
      </c>
      <c r="V620" s="187">
        <f t="shared" si="327"/>
        <v>0</v>
      </c>
      <c r="W620" s="187">
        <f t="shared" si="327"/>
        <v>0</v>
      </c>
      <c r="X620" s="187">
        <f t="shared" si="327"/>
        <v>0</v>
      </c>
      <c r="Y620" s="187">
        <f t="shared" si="327"/>
        <v>0</v>
      </c>
      <c r="Z620" s="187">
        <f t="shared" si="327"/>
        <v>0</v>
      </c>
      <c r="AA620" s="187">
        <f t="shared" si="327"/>
        <v>0</v>
      </c>
      <c r="AB620" s="187">
        <f t="shared" si="327"/>
        <v>0</v>
      </c>
      <c r="AC620" s="187">
        <f t="shared" si="327"/>
        <v>0</v>
      </c>
      <c r="AD620" s="187">
        <f t="shared" si="327"/>
        <v>0</v>
      </c>
      <c r="AE620" s="187">
        <f t="shared" si="327"/>
        <v>0</v>
      </c>
      <c r="AF620" s="187">
        <f t="shared" si="327"/>
        <v>0</v>
      </c>
      <c r="AG620" s="187">
        <f t="shared" si="327"/>
        <v>0</v>
      </c>
      <c r="AH620" s="187">
        <f t="shared" si="327"/>
        <v>0</v>
      </c>
      <c r="AI620" s="187">
        <f t="shared" si="327"/>
        <v>0</v>
      </c>
      <c r="AJ620" s="187">
        <f t="shared" si="327"/>
        <v>0</v>
      </c>
      <c r="AK620" s="187">
        <f t="shared" si="327"/>
        <v>0</v>
      </c>
      <c r="AL620" s="187">
        <f t="shared" si="327"/>
        <v>0</v>
      </c>
      <c r="AM620" s="187">
        <f t="shared" si="327"/>
        <v>0</v>
      </c>
      <c r="AN620" s="187">
        <f t="shared" si="327"/>
        <v>0</v>
      </c>
      <c r="AO620" s="187">
        <f t="shared" si="327"/>
        <v>0</v>
      </c>
      <c r="AP620" s="187">
        <f t="shared" si="327"/>
        <v>0</v>
      </c>
    </row>
    <row r="621" spans="1:42">
      <c r="A621" s="219" t="s">
        <v>53</v>
      </c>
      <c r="B621" s="186"/>
      <c r="C621" s="152">
        <f>SUM(C611:C620)</f>
        <v>0</v>
      </c>
      <c r="D621" s="152">
        <f t="shared" ref="D621:AD621" si="328">SUM(D611:D620)</f>
        <v>0</v>
      </c>
      <c r="E621" s="152">
        <f t="shared" si="328"/>
        <v>0</v>
      </c>
      <c r="F621" s="152">
        <f t="shared" si="328"/>
        <v>0</v>
      </c>
      <c r="G621" s="152">
        <f t="shared" si="328"/>
        <v>0</v>
      </c>
      <c r="H621" s="152">
        <f t="shared" si="328"/>
        <v>0</v>
      </c>
      <c r="I621" s="152">
        <f t="shared" si="328"/>
        <v>0</v>
      </c>
      <c r="J621" s="152">
        <f t="shared" si="328"/>
        <v>0</v>
      </c>
      <c r="K621" s="152">
        <f t="shared" si="328"/>
        <v>0</v>
      </c>
      <c r="L621" s="152">
        <f t="shared" si="328"/>
        <v>0</v>
      </c>
      <c r="M621" s="152">
        <f t="shared" si="328"/>
        <v>0</v>
      </c>
      <c r="N621" s="152">
        <f t="shared" si="328"/>
        <v>2944872.3435013141</v>
      </c>
      <c r="O621" s="152">
        <f t="shared" si="328"/>
        <v>0</v>
      </c>
      <c r="P621" s="152">
        <f t="shared" si="328"/>
        <v>0</v>
      </c>
      <c r="Q621" s="152">
        <f t="shared" si="328"/>
        <v>0</v>
      </c>
      <c r="R621" s="152">
        <f t="shared" si="328"/>
        <v>0</v>
      </c>
      <c r="S621" s="152">
        <f t="shared" si="328"/>
        <v>0</v>
      </c>
      <c r="T621" s="152">
        <f t="shared" si="328"/>
        <v>0</v>
      </c>
      <c r="U621" s="152">
        <f t="shared" si="328"/>
        <v>0</v>
      </c>
      <c r="V621" s="152">
        <f t="shared" si="328"/>
        <v>0</v>
      </c>
      <c r="W621" s="152">
        <f t="shared" si="328"/>
        <v>0</v>
      </c>
      <c r="X621" s="152">
        <f t="shared" si="328"/>
        <v>0</v>
      </c>
      <c r="Y621" s="152">
        <f t="shared" si="328"/>
        <v>0</v>
      </c>
      <c r="Z621" s="152">
        <f t="shared" si="328"/>
        <v>3520942.886524681</v>
      </c>
      <c r="AA621" s="152">
        <f t="shared" si="328"/>
        <v>0</v>
      </c>
      <c r="AB621" s="152">
        <f t="shared" si="328"/>
        <v>0</v>
      </c>
      <c r="AC621" s="152">
        <f t="shared" si="328"/>
        <v>0</v>
      </c>
      <c r="AD621" s="152">
        <f t="shared" si="328"/>
        <v>0</v>
      </c>
      <c r="AE621" s="152">
        <f t="shared" ref="AE621" si="329">SUM(AE611:AE620)</f>
        <v>0</v>
      </c>
      <c r="AF621" s="152">
        <f t="shared" ref="AF621:AP621" si="330">SUM(AF611:AF620)</f>
        <v>0</v>
      </c>
      <c r="AG621" s="152">
        <f t="shared" si="330"/>
        <v>0</v>
      </c>
      <c r="AH621" s="152">
        <f t="shared" si="330"/>
        <v>0</v>
      </c>
      <c r="AI621" s="152">
        <f t="shared" si="330"/>
        <v>0</v>
      </c>
      <c r="AJ621" s="152">
        <f t="shared" si="330"/>
        <v>0</v>
      </c>
      <c r="AK621" s="152">
        <f t="shared" si="330"/>
        <v>0</v>
      </c>
      <c r="AL621" s="152">
        <f t="shared" si="330"/>
        <v>0</v>
      </c>
      <c r="AM621" s="152">
        <f t="shared" si="330"/>
        <v>0</v>
      </c>
      <c r="AN621" s="152">
        <f t="shared" si="330"/>
        <v>0</v>
      </c>
      <c r="AO621" s="152">
        <f t="shared" si="330"/>
        <v>0</v>
      </c>
      <c r="AP621" s="152">
        <f t="shared" si="330"/>
        <v>0</v>
      </c>
    </row>
    <row r="622" spans="1:42">
      <c r="A622" s="37" t="s">
        <v>199</v>
      </c>
      <c r="B622" s="152"/>
      <c r="C622" s="152"/>
      <c r="D622" s="152"/>
      <c r="E622" s="152"/>
      <c r="F622" s="152"/>
      <c r="G622" s="186"/>
      <c r="H622" s="186"/>
      <c r="I622" s="186"/>
      <c r="J622" s="186"/>
      <c r="K622" s="186"/>
      <c r="L622" s="186"/>
      <c r="M622" s="186"/>
      <c r="N622" s="186"/>
      <c r="O622" s="186"/>
      <c r="P622" s="186"/>
      <c r="Q622" s="186"/>
      <c r="R622" s="186"/>
      <c r="S622" s="186"/>
      <c r="T622" s="186"/>
      <c r="U622" s="186"/>
      <c r="V622" s="186"/>
      <c r="W622" s="186"/>
      <c r="X622" s="186"/>
      <c r="Y622" s="186"/>
      <c r="Z622" s="186"/>
      <c r="AA622" s="186"/>
      <c r="AB622" s="186"/>
      <c r="AC622" s="186"/>
      <c r="AD622" s="186"/>
      <c r="AE622" s="186"/>
      <c r="AF622" s="186"/>
      <c r="AG622" s="186"/>
      <c r="AH622" s="186"/>
      <c r="AI622" s="186"/>
      <c r="AJ622" s="186"/>
      <c r="AK622" s="186"/>
      <c r="AL622" s="186"/>
      <c r="AM622" s="186"/>
      <c r="AN622" s="186"/>
      <c r="AO622" s="186"/>
      <c r="AP622" s="186"/>
    </row>
    <row r="623" spans="1:42">
      <c r="A623" s="37">
        <v>1</v>
      </c>
      <c r="B623" s="196">
        <f t="shared" ref="B623:B632" si="331">SUM(C623:AP623)</f>
        <v>2944872.3435013145</v>
      </c>
      <c r="C623" s="152">
        <f t="shared" ref="C623:AP623" si="332">IF(C$2&lt;=MMFrequency*$A$611,$B$611/(MMFrequency),0)</f>
        <v>245406.02862510949</v>
      </c>
      <c r="D623" s="152">
        <f t="shared" si="332"/>
        <v>245406.02862510949</v>
      </c>
      <c r="E623" s="152">
        <f t="shared" si="332"/>
        <v>245406.02862510949</v>
      </c>
      <c r="F623" s="152">
        <f t="shared" si="332"/>
        <v>245406.02862510949</v>
      </c>
      <c r="G623" s="152">
        <f t="shared" si="332"/>
        <v>245406.02862510949</v>
      </c>
      <c r="H623" s="152">
        <f t="shared" si="332"/>
        <v>245406.02862510949</v>
      </c>
      <c r="I623" s="152">
        <f t="shared" si="332"/>
        <v>245406.02862510949</v>
      </c>
      <c r="J623" s="152">
        <f t="shared" si="332"/>
        <v>245406.02862510949</v>
      </c>
      <c r="K623" s="152">
        <f t="shared" si="332"/>
        <v>245406.02862510949</v>
      </c>
      <c r="L623" s="152">
        <f t="shared" si="332"/>
        <v>245406.02862510949</v>
      </c>
      <c r="M623" s="152">
        <f t="shared" si="332"/>
        <v>245406.02862510949</v>
      </c>
      <c r="N623" s="152">
        <f t="shared" si="332"/>
        <v>245406.02862510949</v>
      </c>
      <c r="O623" s="152">
        <f t="shared" si="332"/>
        <v>0</v>
      </c>
      <c r="P623" s="152">
        <f t="shared" si="332"/>
        <v>0</v>
      </c>
      <c r="Q623" s="152">
        <f t="shared" si="332"/>
        <v>0</v>
      </c>
      <c r="R623" s="152">
        <f t="shared" si="332"/>
        <v>0</v>
      </c>
      <c r="S623" s="152">
        <f t="shared" si="332"/>
        <v>0</v>
      </c>
      <c r="T623" s="152">
        <f t="shared" si="332"/>
        <v>0</v>
      </c>
      <c r="U623" s="152">
        <f t="shared" si="332"/>
        <v>0</v>
      </c>
      <c r="V623" s="152">
        <f t="shared" si="332"/>
        <v>0</v>
      </c>
      <c r="W623" s="152">
        <f t="shared" si="332"/>
        <v>0</v>
      </c>
      <c r="X623" s="152">
        <f t="shared" si="332"/>
        <v>0</v>
      </c>
      <c r="Y623" s="152">
        <f t="shared" si="332"/>
        <v>0</v>
      </c>
      <c r="Z623" s="152">
        <f t="shared" si="332"/>
        <v>0</v>
      </c>
      <c r="AA623" s="152">
        <f t="shared" si="332"/>
        <v>0</v>
      </c>
      <c r="AB623" s="152">
        <f t="shared" si="332"/>
        <v>0</v>
      </c>
      <c r="AC623" s="152">
        <f t="shared" si="332"/>
        <v>0</v>
      </c>
      <c r="AD623" s="152">
        <f t="shared" si="332"/>
        <v>0</v>
      </c>
      <c r="AE623" s="152">
        <f t="shared" si="332"/>
        <v>0</v>
      </c>
      <c r="AF623" s="152">
        <f t="shared" si="332"/>
        <v>0</v>
      </c>
      <c r="AG623" s="152">
        <f t="shared" si="332"/>
        <v>0</v>
      </c>
      <c r="AH623" s="152">
        <f t="shared" si="332"/>
        <v>0</v>
      </c>
      <c r="AI623" s="152">
        <f t="shared" si="332"/>
        <v>0</v>
      </c>
      <c r="AJ623" s="152">
        <f t="shared" si="332"/>
        <v>0</v>
      </c>
      <c r="AK623" s="152">
        <f t="shared" si="332"/>
        <v>0</v>
      </c>
      <c r="AL623" s="152">
        <f t="shared" si="332"/>
        <v>0</v>
      </c>
      <c r="AM623" s="152">
        <f t="shared" si="332"/>
        <v>0</v>
      </c>
      <c r="AN623" s="152">
        <f t="shared" si="332"/>
        <v>0</v>
      </c>
      <c r="AO623" s="152">
        <f t="shared" si="332"/>
        <v>0</v>
      </c>
      <c r="AP623" s="152">
        <f t="shared" si="332"/>
        <v>0</v>
      </c>
    </row>
    <row r="624" spans="1:42">
      <c r="A624" s="37">
        <f>A623+1</f>
        <v>2</v>
      </c>
      <c r="B624" s="196">
        <f t="shared" si="331"/>
        <v>3520942.886524681</v>
      </c>
      <c r="C624" s="225">
        <f t="shared" ref="C624:AP630" si="333">IF(AND(C$2&gt;MMFrequency*$A611,C$2&lt;=MMFrequency*$A612),$B612/(MMFrequency),0)</f>
        <v>0</v>
      </c>
      <c r="D624" s="186">
        <f t="shared" si="333"/>
        <v>0</v>
      </c>
      <c r="E624" s="186">
        <f t="shared" si="333"/>
        <v>0</v>
      </c>
      <c r="F624" s="186">
        <f t="shared" si="333"/>
        <v>0</v>
      </c>
      <c r="G624" s="186">
        <f t="shared" si="333"/>
        <v>0</v>
      </c>
      <c r="H624" s="186">
        <f t="shared" si="333"/>
        <v>0</v>
      </c>
      <c r="I624" s="186">
        <f t="shared" si="333"/>
        <v>0</v>
      </c>
      <c r="J624" s="186">
        <f t="shared" si="333"/>
        <v>0</v>
      </c>
      <c r="K624" s="186">
        <f t="shared" si="333"/>
        <v>0</v>
      </c>
      <c r="L624" s="186">
        <f t="shared" si="333"/>
        <v>0</v>
      </c>
      <c r="M624" s="186">
        <f t="shared" si="333"/>
        <v>0</v>
      </c>
      <c r="N624" s="186">
        <f t="shared" si="333"/>
        <v>0</v>
      </c>
      <c r="O624" s="186">
        <f t="shared" si="333"/>
        <v>293411.90721039008</v>
      </c>
      <c r="P624" s="186">
        <f t="shared" si="333"/>
        <v>293411.90721039008</v>
      </c>
      <c r="Q624" s="186">
        <f t="shared" si="333"/>
        <v>293411.90721039008</v>
      </c>
      <c r="R624" s="186">
        <f t="shared" si="333"/>
        <v>293411.90721039008</v>
      </c>
      <c r="S624" s="186">
        <f t="shared" si="333"/>
        <v>293411.90721039008</v>
      </c>
      <c r="T624" s="186">
        <f t="shared" si="333"/>
        <v>293411.90721039008</v>
      </c>
      <c r="U624" s="186">
        <f t="shared" si="333"/>
        <v>293411.90721039008</v>
      </c>
      <c r="V624" s="186">
        <f t="shared" si="333"/>
        <v>293411.90721039008</v>
      </c>
      <c r="W624" s="186">
        <f t="shared" si="333"/>
        <v>293411.90721039008</v>
      </c>
      <c r="X624" s="186">
        <f t="shared" si="333"/>
        <v>293411.90721039008</v>
      </c>
      <c r="Y624" s="186">
        <f t="shared" si="333"/>
        <v>293411.90721039008</v>
      </c>
      <c r="Z624" s="186">
        <f t="shared" si="333"/>
        <v>293411.90721039008</v>
      </c>
      <c r="AA624" s="186">
        <f t="shared" si="333"/>
        <v>0</v>
      </c>
      <c r="AB624" s="186">
        <f t="shared" si="333"/>
        <v>0</v>
      </c>
      <c r="AC624" s="186">
        <f t="shared" si="333"/>
        <v>0</v>
      </c>
      <c r="AD624" s="186">
        <f t="shared" si="333"/>
        <v>0</v>
      </c>
      <c r="AE624" s="186">
        <f t="shared" si="333"/>
        <v>0</v>
      </c>
      <c r="AF624" s="186">
        <f t="shared" si="333"/>
        <v>0</v>
      </c>
      <c r="AG624" s="186">
        <f t="shared" si="333"/>
        <v>0</v>
      </c>
      <c r="AH624" s="186">
        <f t="shared" si="333"/>
        <v>0</v>
      </c>
      <c r="AI624" s="186">
        <f t="shared" si="333"/>
        <v>0</v>
      </c>
      <c r="AJ624" s="186">
        <f t="shared" si="333"/>
        <v>0</v>
      </c>
      <c r="AK624" s="186">
        <f t="shared" si="333"/>
        <v>0</v>
      </c>
      <c r="AL624" s="186">
        <f t="shared" si="333"/>
        <v>0</v>
      </c>
      <c r="AM624" s="186">
        <f t="shared" si="333"/>
        <v>0</v>
      </c>
      <c r="AN624" s="186">
        <f t="shared" si="333"/>
        <v>0</v>
      </c>
      <c r="AO624" s="186">
        <f t="shared" si="333"/>
        <v>0</v>
      </c>
      <c r="AP624" s="186">
        <f t="shared" si="333"/>
        <v>0</v>
      </c>
    </row>
    <row r="625" spans="1:42">
      <c r="A625" s="37">
        <f t="shared" ref="A625:A630" si="334">A624+1</f>
        <v>3</v>
      </c>
      <c r="B625" s="196">
        <f t="shared" si="331"/>
        <v>0</v>
      </c>
      <c r="C625" s="225">
        <f t="shared" si="333"/>
        <v>0</v>
      </c>
      <c r="D625" s="186">
        <f t="shared" si="333"/>
        <v>0</v>
      </c>
      <c r="E625" s="186">
        <f t="shared" si="333"/>
        <v>0</v>
      </c>
      <c r="F625" s="186">
        <f t="shared" si="333"/>
        <v>0</v>
      </c>
      <c r="G625" s="186">
        <f t="shared" si="333"/>
        <v>0</v>
      </c>
      <c r="H625" s="186">
        <f t="shared" si="333"/>
        <v>0</v>
      </c>
      <c r="I625" s="186">
        <f t="shared" si="333"/>
        <v>0</v>
      </c>
      <c r="J625" s="186">
        <f t="shared" si="333"/>
        <v>0</v>
      </c>
      <c r="K625" s="186">
        <f t="shared" si="333"/>
        <v>0</v>
      </c>
      <c r="L625" s="186">
        <f t="shared" si="333"/>
        <v>0</v>
      </c>
      <c r="M625" s="186">
        <f t="shared" si="333"/>
        <v>0</v>
      </c>
      <c r="N625" s="186">
        <f t="shared" si="333"/>
        <v>0</v>
      </c>
      <c r="O625" s="186">
        <f t="shared" si="333"/>
        <v>0</v>
      </c>
      <c r="P625" s="186">
        <f t="shared" si="333"/>
        <v>0</v>
      </c>
      <c r="Q625" s="186">
        <f t="shared" si="333"/>
        <v>0</v>
      </c>
      <c r="R625" s="186">
        <f t="shared" si="333"/>
        <v>0</v>
      </c>
      <c r="S625" s="186">
        <f t="shared" si="333"/>
        <v>0</v>
      </c>
      <c r="T625" s="186">
        <f t="shared" si="333"/>
        <v>0</v>
      </c>
      <c r="U625" s="186">
        <f t="shared" si="333"/>
        <v>0</v>
      </c>
      <c r="V625" s="186">
        <f t="shared" si="333"/>
        <v>0</v>
      </c>
      <c r="W625" s="186">
        <f t="shared" si="333"/>
        <v>0</v>
      </c>
      <c r="X625" s="186">
        <f t="shared" si="333"/>
        <v>0</v>
      </c>
      <c r="Y625" s="186">
        <f t="shared" si="333"/>
        <v>0</v>
      </c>
      <c r="Z625" s="186">
        <f t="shared" si="333"/>
        <v>0</v>
      </c>
      <c r="AA625" s="186">
        <f t="shared" si="333"/>
        <v>0</v>
      </c>
      <c r="AB625" s="186">
        <f t="shared" si="333"/>
        <v>0</v>
      </c>
      <c r="AC625" s="186">
        <f t="shared" si="333"/>
        <v>0</v>
      </c>
      <c r="AD625" s="186">
        <f t="shared" si="333"/>
        <v>0</v>
      </c>
      <c r="AE625" s="186">
        <f t="shared" si="333"/>
        <v>0</v>
      </c>
      <c r="AF625" s="186">
        <f t="shared" si="333"/>
        <v>0</v>
      </c>
      <c r="AG625" s="186">
        <f t="shared" si="333"/>
        <v>0</v>
      </c>
      <c r="AH625" s="186">
        <f t="shared" si="333"/>
        <v>0</v>
      </c>
      <c r="AI625" s="186">
        <f t="shared" si="333"/>
        <v>0</v>
      </c>
      <c r="AJ625" s="186">
        <f t="shared" si="333"/>
        <v>0</v>
      </c>
      <c r="AK625" s="186">
        <f t="shared" si="333"/>
        <v>0</v>
      </c>
      <c r="AL625" s="186">
        <f t="shared" si="333"/>
        <v>0</v>
      </c>
      <c r="AM625" s="186">
        <f t="shared" si="333"/>
        <v>0</v>
      </c>
      <c r="AN625" s="186">
        <f t="shared" si="333"/>
        <v>0</v>
      </c>
      <c r="AO625" s="186">
        <f t="shared" si="333"/>
        <v>0</v>
      </c>
      <c r="AP625" s="186">
        <f t="shared" si="333"/>
        <v>0</v>
      </c>
    </row>
    <row r="626" spans="1:42">
      <c r="A626" s="37">
        <f t="shared" si="334"/>
        <v>4</v>
      </c>
      <c r="B626" s="196">
        <f t="shared" si="331"/>
        <v>0</v>
      </c>
      <c r="C626" s="225">
        <f t="shared" si="333"/>
        <v>0</v>
      </c>
      <c r="D626" s="186">
        <f t="shared" si="333"/>
        <v>0</v>
      </c>
      <c r="E626" s="186">
        <f t="shared" si="333"/>
        <v>0</v>
      </c>
      <c r="F626" s="186">
        <f t="shared" si="333"/>
        <v>0</v>
      </c>
      <c r="G626" s="186">
        <f t="shared" si="333"/>
        <v>0</v>
      </c>
      <c r="H626" s="186">
        <f t="shared" si="333"/>
        <v>0</v>
      </c>
      <c r="I626" s="186">
        <f t="shared" si="333"/>
        <v>0</v>
      </c>
      <c r="J626" s="186">
        <f t="shared" si="333"/>
        <v>0</v>
      </c>
      <c r="K626" s="186">
        <f t="shared" si="333"/>
        <v>0</v>
      </c>
      <c r="L626" s="186">
        <f t="shared" si="333"/>
        <v>0</v>
      </c>
      <c r="M626" s="186">
        <f t="shared" si="333"/>
        <v>0</v>
      </c>
      <c r="N626" s="186">
        <f t="shared" si="333"/>
        <v>0</v>
      </c>
      <c r="O626" s="186">
        <f t="shared" si="333"/>
        <v>0</v>
      </c>
      <c r="P626" s="186">
        <f t="shared" si="333"/>
        <v>0</v>
      </c>
      <c r="Q626" s="186">
        <f t="shared" si="333"/>
        <v>0</v>
      </c>
      <c r="R626" s="186">
        <f t="shared" si="333"/>
        <v>0</v>
      </c>
      <c r="S626" s="186">
        <f t="shared" si="333"/>
        <v>0</v>
      </c>
      <c r="T626" s="186">
        <f t="shared" si="333"/>
        <v>0</v>
      </c>
      <c r="U626" s="186">
        <f t="shared" si="333"/>
        <v>0</v>
      </c>
      <c r="V626" s="186">
        <f t="shared" si="333"/>
        <v>0</v>
      </c>
      <c r="W626" s="186">
        <f t="shared" si="333"/>
        <v>0</v>
      </c>
      <c r="X626" s="186">
        <f t="shared" si="333"/>
        <v>0</v>
      </c>
      <c r="Y626" s="186">
        <f t="shared" si="333"/>
        <v>0</v>
      </c>
      <c r="Z626" s="186">
        <f t="shared" si="333"/>
        <v>0</v>
      </c>
      <c r="AA626" s="186">
        <f t="shared" si="333"/>
        <v>0</v>
      </c>
      <c r="AB626" s="186">
        <f t="shared" si="333"/>
        <v>0</v>
      </c>
      <c r="AC626" s="186">
        <f t="shared" si="333"/>
        <v>0</v>
      </c>
      <c r="AD626" s="186">
        <f t="shared" si="333"/>
        <v>0</v>
      </c>
      <c r="AE626" s="186">
        <f t="shared" si="333"/>
        <v>0</v>
      </c>
      <c r="AF626" s="186">
        <f t="shared" si="333"/>
        <v>0</v>
      </c>
      <c r="AG626" s="186">
        <f t="shared" si="333"/>
        <v>0</v>
      </c>
      <c r="AH626" s="186">
        <f t="shared" si="333"/>
        <v>0</v>
      </c>
      <c r="AI626" s="186">
        <f t="shared" si="333"/>
        <v>0</v>
      </c>
      <c r="AJ626" s="186">
        <f t="shared" si="333"/>
        <v>0</v>
      </c>
      <c r="AK626" s="186">
        <f t="shared" si="333"/>
        <v>0</v>
      </c>
      <c r="AL626" s="186">
        <f t="shared" si="333"/>
        <v>0</v>
      </c>
      <c r="AM626" s="186">
        <f t="shared" si="333"/>
        <v>0</v>
      </c>
      <c r="AN626" s="186">
        <f t="shared" si="333"/>
        <v>0</v>
      </c>
      <c r="AO626" s="186">
        <f t="shared" si="333"/>
        <v>0</v>
      </c>
      <c r="AP626" s="186">
        <f t="shared" si="333"/>
        <v>0</v>
      </c>
    </row>
    <row r="627" spans="1:42">
      <c r="A627" s="37">
        <f t="shared" si="334"/>
        <v>5</v>
      </c>
      <c r="B627" s="196">
        <f t="shared" si="331"/>
        <v>0</v>
      </c>
      <c r="C627" s="225">
        <f t="shared" si="333"/>
        <v>0</v>
      </c>
      <c r="D627" s="186">
        <f t="shared" si="333"/>
        <v>0</v>
      </c>
      <c r="E627" s="186">
        <f t="shared" si="333"/>
        <v>0</v>
      </c>
      <c r="F627" s="186">
        <f t="shared" si="333"/>
        <v>0</v>
      </c>
      <c r="G627" s="186">
        <f t="shared" si="333"/>
        <v>0</v>
      </c>
      <c r="H627" s="186">
        <f t="shared" si="333"/>
        <v>0</v>
      </c>
      <c r="I627" s="186">
        <f t="shared" si="333"/>
        <v>0</v>
      </c>
      <c r="J627" s="186">
        <f t="shared" si="333"/>
        <v>0</v>
      </c>
      <c r="K627" s="186">
        <f t="shared" si="333"/>
        <v>0</v>
      </c>
      <c r="L627" s="186">
        <f t="shared" si="333"/>
        <v>0</v>
      </c>
      <c r="M627" s="186">
        <f t="shared" si="333"/>
        <v>0</v>
      </c>
      <c r="N627" s="186">
        <f t="shared" si="333"/>
        <v>0</v>
      </c>
      <c r="O627" s="186">
        <f t="shared" si="333"/>
        <v>0</v>
      </c>
      <c r="P627" s="186">
        <f t="shared" si="333"/>
        <v>0</v>
      </c>
      <c r="Q627" s="186">
        <f t="shared" si="333"/>
        <v>0</v>
      </c>
      <c r="R627" s="186">
        <f t="shared" si="333"/>
        <v>0</v>
      </c>
      <c r="S627" s="186">
        <f t="shared" si="333"/>
        <v>0</v>
      </c>
      <c r="T627" s="186">
        <f t="shared" si="333"/>
        <v>0</v>
      </c>
      <c r="U627" s="186">
        <f t="shared" si="333"/>
        <v>0</v>
      </c>
      <c r="V627" s="186">
        <f t="shared" si="333"/>
        <v>0</v>
      </c>
      <c r="W627" s="186">
        <f t="shared" si="333"/>
        <v>0</v>
      </c>
      <c r="X627" s="186">
        <f t="shared" si="333"/>
        <v>0</v>
      </c>
      <c r="Y627" s="186">
        <f t="shared" si="333"/>
        <v>0</v>
      </c>
      <c r="Z627" s="186">
        <f t="shared" si="333"/>
        <v>0</v>
      </c>
      <c r="AA627" s="186">
        <f t="shared" si="333"/>
        <v>0</v>
      </c>
      <c r="AB627" s="186">
        <f t="shared" si="333"/>
        <v>0</v>
      </c>
      <c r="AC627" s="186">
        <f t="shared" si="333"/>
        <v>0</v>
      </c>
      <c r="AD627" s="186">
        <f t="shared" si="333"/>
        <v>0</v>
      </c>
      <c r="AE627" s="186">
        <f t="shared" si="333"/>
        <v>0</v>
      </c>
      <c r="AF627" s="186">
        <f t="shared" si="333"/>
        <v>0</v>
      </c>
      <c r="AG627" s="186">
        <f t="shared" si="333"/>
        <v>0</v>
      </c>
      <c r="AH627" s="186">
        <f t="shared" si="333"/>
        <v>0</v>
      </c>
      <c r="AI627" s="186">
        <f t="shared" si="333"/>
        <v>0</v>
      </c>
      <c r="AJ627" s="186">
        <f t="shared" si="333"/>
        <v>0</v>
      </c>
      <c r="AK627" s="186">
        <f t="shared" si="333"/>
        <v>0</v>
      </c>
      <c r="AL627" s="186">
        <f t="shared" si="333"/>
        <v>0</v>
      </c>
      <c r="AM627" s="186">
        <f t="shared" si="333"/>
        <v>0</v>
      </c>
      <c r="AN627" s="186">
        <f t="shared" si="333"/>
        <v>0</v>
      </c>
      <c r="AO627" s="186">
        <f t="shared" si="333"/>
        <v>0</v>
      </c>
      <c r="AP627" s="186">
        <f t="shared" si="333"/>
        <v>0</v>
      </c>
    </row>
    <row r="628" spans="1:42">
      <c r="A628" s="37">
        <f t="shared" si="334"/>
        <v>6</v>
      </c>
      <c r="B628" s="196">
        <f t="shared" si="331"/>
        <v>0</v>
      </c>
      <c r="C628" s="225">
        <f t="shared" si="333"/>
        <v>0</v>
      </c>
      <c r="D628" s="186">
        <f t="shared" si="333"/>
        <v>0</v>
      </c>
      <c r="E628" s="186">
        <f t="shared" si="333"/>
        <v>0</v>
      </c>
      <c r="F628" s="186">
        <f t="shared" si="333"/>
        <v>0</v>
      </c>
      <c r="G628" s="186">
        <f t="shared" si="333"/>
        <v>0</v>
      </c>
      <c r="H628" s="186">
        <f t="shared" si="333"/>
        <v>0</v>
      </c>
      <c r="I628" s="186">
        <f t="shared" si="333"/>
        <v>0</v>
      </c>
      <c r="J628" s="186">
        <f t="shared" si="333"/>
        <v>0</v>
      </c>
      <c r="K628" s="186">
        <f t="shared" si="333"/>
        <v>0</v>
      </c>
      <c r="L628" s="186">
        <f t="shared" si="333"/>
        <v>0</v>
      </c>
      <c r="M628" s="186">
        <f t="shared" si="333"/>
        <v>0</v>
      </c>
      <c r="N628" s="186">
        <f t="shared" si="333"/>
        <v>0</v>
      </c>
      <c r="O628" s="186">
        <f t="shared" si="333"/>
        <v>0</v>
      </c>
      <c r="P628" s="186">
        <f t="shared" si="333"/>
        <v>0</v>
      </c>
      <c r="Q628" s="186">
        <f t="shared" si="333"/>
        <v>0</v>
      </c>
      <c r="R628" s="186">
        <f t="shared" si="333"/>
        <v>0</v>
      </c>
      <c r="S628" s="186">
        <f t="shared" si="333"/>
        <v>0</v>
      </c>
      <c r="T628" s="186">
        <f t="shared" si="333"/>
        <v>0</v>
      </c>
      <c r="U628" s="186">
        <f t="shared" si="333"/>
        <v>0</v>
      </c>
      <c r="V628" s="186">
        <f t="shared" si="333"/>
        <v>0</v>
      </c>
      <c r="W628" s="186">
        <f t="shared" si="333"/>
        <v>0</v>
      </c>
      <c r="X628" s="186">
        <f t="shared" si="333"/>
        <v>0</v>
      </c>
      <c r="Y628" s="186">
        <f t="shared" si="333"/>
        <v>0</v>
      </c>
      <c r="Z628" s="186">
        <f t="shared" si="333"/>
        <v>0</v>
      </c>
      <c r="AA628" s="186">
        <f t="shared" si="333"/>
        <v>0</v>
      </c>
      <c r="AB628" s="186">
        <f t="shared" si="333"/>
        <v>0</v>
      </c>
      <c r="AC628" s="186">
        <f t="shared" si="333"/>
        <v>0</v>
      </c>
      <c r="AD628" s="186">
        <f t="shared" si="333"/>
        <v>0</v>
      </c>
      <c r="AE628" s="186">
        <f t="shared" si="333"/>
        <v>0</v>
      </c>
      <c r="AF628" s="186">
        <f t="shared" si="333"/>
        <v>0</v>
      </c>
      <c r="AG628" s="186">
        <f t="shared" si="333"/>
        <v>0</v>
      </c>
      <c r="AH628" s="186">
        <f t="shared" si="333"/>
        <v>0</v>
      </c>
      <c r="AI628" s="186">
        <f t="shared" si="333"/>
        <v>0</v>
      </c>
      <c r="AJ628" s="186">
        <f t="shared" si="333"/>
        <v>0</v>
      </c>
      <c r="AK628" s="186">
        <f t="shared" si="333"/>
        <v>0</v>
      </c>
      <c r="AL628" s="186">
        <f t="shared" si="333"/>
        <v>0</v>
      </c>
      <c r="AM628" s="186">
        <f t="shared" si="333"/>
        <v>0</v>
      </c>
      <c r="AN628" s="186">
        <f t="shared" si="333"/>
        <v>0</v>
      </c>
      <c r="AO628" s="186">
        <f t="shared" si="333"/>
        <v>0</v>
      </c>
      <c r="AP628" s="186">
        <f t="shared" si="333"/>
        <v>0</v>
      </c>
    </row>
    <row r="629" spans="1:42">
      <c r="A629" s="37">
        <f t="shared" si="334"/>
        <v>7</v>
      </c>
      <c r="B629" s="196">
        <f t="shared" si="331"/>
        <v>0</v>
      </c>
      <c r="C629" s="225">
        <f t="shared" si="333"/>
        <v>0</v>
      </c>
      <c r="D629" s="186">
        <f t="shared" si="333"/>
        <v>0</v>
      </c>
      <c r="E629" s="186">
        <f t="shared" si="333"/>
        <v>0</v>
      </c>
      <c r="F629" s="186">
        <f t="shared" si="333"/>
        <v>0</v>
      </c>
      <c r="G629" s="186">
        <f t="shared" si="333"/>
        <v>0</v>
      </c>
      <c r="H629" s="186">
        <f t="shared" si="333"/>
        <v>0</v>
      </c>
      <c r="I629" s="186">
        <f t="shared" si="333"/>
        <v>0</v>
      </c>
      <c r="J629" s="186">
        <f t="shared" si="333"/>
        <v>0</v>
      </c>
      <c r="K629" s="186">
        <f t="shared" si="333"/>
        <v>0</v>
      </c>
      <c r="L629" s="186">
        <f t="shared" si="333"/>
        <v>0</v>
      </c>
      <c r="M629" s="186">
        <f t="shared" si="333"/>
        <v>0</v>
      </c>
      <c r="N629" s="186">
        <f t="shared" si="333"/>
        <v>0</v>
      </c>
      <c r="O629" s="186">
        <f t="shared" si="333"/>
        <v>0</v>
      </c>
      <c r="P629" s="186">
        <f t="shared" si="333"/>
        <v>0</v>
      </c>
      <c r="Q629" s="186">
        <f t="shared" si="333"/>
        <v>0</v>
      </c>
      <c r="R629" s="186">
        <f t="shared" si="333"/>
        <v>0</v>
      </c>
      <c r="S629" s="186">
        <f t="shared" si="333"/>
        <v>0</v>
      </c>
      <c r="T629" s="186">
        <f t="shared" si="333"/>
        <v>0</v>
      </c>
      <c r="U629" s="186">
        <f t="shared" si="333"/>
        <v>0</v>
      </c>
      <c r="V629" s="186">
        <f t="shared" si="333"/>
        <v>0</v>
      </c>
      <c r="W629" s="186">
        <f t="shared" si="333"/>
        <v>0</v>
      </c>
      <c r="X629" s="186">
        <f t="shared" si="333"/>
        <v>0</v>
      </c>
      <c r="Y629" s="186">
        <f t="shared" si="333"/>
        <v>0</v>
      </c>
      <c r="Z629" s="186">
        <f t="shared" si="333"/>
        <v>0</v>
      </c>
      <c r="AA629" s="186">
        <f t="shared" si="333"/>
        <v>0</v>
      </c>
      <c r="AB629" s="186">
        <f t="shared" si="333"/>
        <v>0</v>
      </c>
      <c r="AC629" s="186">
        <f t="shared" si="333"/>
        <v>0</v>
      </c>
      <c r="AD629" s="186">
        <f t="shared" si="333"/>
        <v>0</v>
      </c>
      <c r="AE629" s="186">
        <f t="shared" si="333"/>
        <v>0</v>
      </c>
      <c r="AF629" s="186">
        <f t="shared" si="333"/>
        <v>0</v>
      </c>
      <c r="AG629" s="186">
        <f t="shared" si="333"/>
        <v>0</v>
      </c>
      <c r="AH629" s="186">
        <f t="shared" si="333"/>
        <v>0</v>
      </c>
      <c r="AI629" s="186">
        <f t="shared" si="333"/>
        <v>0</v>
      </c>
      <c r="AJ629" s="186">
        <f t="shared" si="333"/>
        <v>0</v>
      </c>
      <c r="AK629" s="186">
        <f t="shared" si="333"/>
        <v>0</v>
      </c>
      <c r="AL629" s="186">
        <f t="shared" si="333"/>
        <v>0</v>
      </c>
      <c r="AM629" s="186">
        <f t="shared" si="333"/>
        <v>0</v>
      </c>
      <c r="AN629" s="186">
        <f t="shared" si="333"/>
        <v>0</v>
      </c>
      <c r="AO629" s="186">
        <f t="shared" si="333"/>
        <v>0</v>
      </c>
      <c r="AP629" s="186">
        <f t="shared" si="333"/>
        <v>0</v>
      </c>
    </row>
    <row r="630" spans="1:42">
      <c r="A630" s="37">
        <f t="shared" si="334"/>
        <v>8</v>
      </c>
      <c r="B630" s="196">
        <f t="shared" si="331"/>
        <v>0</v>
      </c>
      <c r="C630" s="225">
        <f t="shared" si="333"/>
        <v>0</v>
      </c>
      <c r="D630" s="186">
        <f t="shared" si="333"/>
        <v>0</v>
      </c>
      <c r="E630" s="186">
        <f t="shared" si="333"/>
        <v>0</v>
      </c>
      <c r="F630" s="186">
        <f t="shared" si="333"/>
        <v>0</v>
      </c>
      <c r="G630" s="186">
        <f t="shared" si="333"/>
        <v>0</v>
      </c>
      <c r="H630" s="186">
        <f t="shared" si="333"/>
        <v>0</v>
      </c>
      <c r="I630" s="186">
        <f t="shared" si="333"/>
        <v>0</v>
      </c>
      <c r="J630" s="186">
        <f t="shared" si="333"/>
        <v>0</v>
      </c>
      <c r="K630" s="186">
        <f t="shared" si="333"/>
        <v>0</v>
      </c>
      <c r="L630" s="186">
        <f t="shared" si="333"/>
        <v>0</v>
      </c>
      <c r="M630" s="186">
        <f t="shared" si="333"/>
        <v>0</v>
      </c>
      <c r="N630" s="186">
        <f t="shared" si="333"/>
        <v>0</v>
      </c>
      <c r="O630" s="186">
        <f t="shared" si="333"/>
        <v>0</v>
      </c>
      <c r="P630" s="186">
        <f t="shared" si="333"/>
        <v>0</v>
      </c>
      <c r="Q630" s="186">
        <f t="shared" si="333"/>
        <v>0</v>
      </c>
      <c r="R630" s="186">
        <f t="shared" ref="R630:AP630" si="335">IF(AND(R$2&gt;MMFrequency*$A617,R$2&lt;=MMFrequency*$A618),$B618/(MMFrequency),0)</f>
        <v>0</v>
      </c>
      <c r="S630" s="186">
        <f t="shared" si="335"/>
        <v>0</v>
      </c>
      <c r="T630" s="186">
        <f t="shared" si="335"/>
        <v>0</v>
      </c>
      <c r="U630" s="186">
        <f t="shared" si="335"/>
        <v>0</v>
      </c>
      <c r="V630" s="186">
        <f t="shared" si="335"/>
        <v>0</v>
      </c>
      <c r="W630" s="186">
        <f t="shared" si="335"/>
        <v>0</v>
      </c>
      <c r="X630" s="186">
        <f t="shared" si="335"/>
        <v>0</v>
      </c>
      <c r="Y630" s="186">
        <f t="shared" si="335"/>
        <v>0</v>
      </c>
      <c r="Z630" s="186">
        <f t="shared" si="335"/>
        <v>0</v>
      </c>
      <c r="AA630" s="186">
        <f t="shared" si="335"/>
        <v>0</v>
      </c>
      <c r="AB630" s="186">
        <f t="shared" si="335"/>
        <v>0</v>
      </c>
      <c r="AC630" s="186">
        <f t="shared" si="335"/>
        <v>0</v>
      </c>
      <c r="AD630" s="186">
        <f t="shared" si="335"/>
        <v>0</v>
      </c>
      <c r="AE630" s="186">
        <f t="shared" si="335"/>
        <v>0</v>
      </c>
      <c r="AF630" s="186">
        <f t="shared" si="335"/>
        <v>0</v>
      </c>
      <c r="AG630" s="186">
        <f t="shared" si="335"/>
        <v>0</v>
      </c>
      <c r="AH630" s="186">
        <f t="shared" si="335"/>
        <v>0</v>
      </c>
      <c r="AI630" s="186">
        <f t="shared" si="335"/>
        <v>0</v>
      </c>
      <c r="AJ630" s="186">
        <f t="shared" si="335"/>
        <v>0</v>
      </c>
      <c r="AK630" s="186">
        <f t="shared" si="335"/>
        <v>0</v>
      </c>
      <c r="AL630" s="186">
        <f t="shared" si="335"/>
        <v>0</v>
      </c>
      <c r="AM630" s="186">
        <f t="shared" si="335"/>
        <v>0</v>
      </c>
      <c r="AN630" s="186">
        <f t="shared" si="335"/>
        <v>0</v>
      </c>
      <c r="AO630" s="186">
        <f t="shared" si="335"/>
        <v>0</v>
      </c>
      <c r="AP630" s="186">
        <f t="shared" si="335"/>
        <v>0</v>
      </c>
    </row>
    <row r="631" spans="1:42">
      <c r="A631" s="37">
        <f>A630+1</f>
        <v>9</v>
      </c>
      <c r="B631" s="196">
        <f t="shared" si="331"/>
        <v>0</v>
      </c>
      <c r="C631" s="225">
        <f t="shared" ref="C631:AP632" si="336">IF(AND(C$2&gt;MMFrequency*$A618,C$2&lt;=MMFrequency*$A619),$B619/(MMFrequency),0)</f>
        <v>0</v>
      </c>
      <c r="D631" s="186">
        <f t="shared" si="336"/>
        <v>0</v>
      </c>
      <c r="E631" s="186">
        <f t="shared" si="336"/>
        <v>0</v>
      </c>
      <c r="F631" s="186">
        <f t="shared" si="336"/>
        <v>0</v>
      </c>
      <c r="G631" s="186">
        <f t="shared" si="336"/>
        <v>0</v>
      </c>
      <c r="H631" s="186">
        <f t="shared" si="336"/>
        <v>0</v>
      </c>
      <c r="I631" s="186">
        <f t="shared" si="336"/>
        <v>0</v>
      </c>
      <c r="J631" s="186">
        <f t="shared" si="336"/>
        <v>0</v>
      </c>
      <c r="K631" s="186">
        <f t="shared" si="336"/>
        <v>0</v>
      </c>
      <c r="L631" s="186">
        <f t="shared" si="336"/>
        <v>0</v>
      </c>
      <c r="M631" s="186">
        <f t="shared" si="336"/>
        <v>0</v>
      </c>
      <c r="N631" s="186">
        <f t="shared" si="336"/>
        <v>0</v>
      </c>
      <c r="O631" s="186">
        <f t="shared" si="336"/>
        <v>0</v>
      </c>
      <c r="P631" s="186">
        <f t="shared" si="336"/>
        <v>0</v>
      </c>
      <c r="Q631" s="186">
        <f t="shared" si="336"/>
        <v>0</v>
      </c>
      <c r="R631" s="186">
        <f t="shared" si="336"/>
        <v>0</v>
      </c>
      <c r="S631" s="186">
        <f t="shared" si="336"/>
        <v>0</v>
      </c>
      <c r="T631" s="186">
        <f t="shared" si="336"/>
        <v>0</v>
      </c>
      <c r="U631" s="186">
        <f t="shared" si="336"/>
        <v>0</v>
      </c>
      <c r="V631" s="186">
        <f t="shared" si="336"/>
        <v>0</v>
      </c>
      <c r="W631" s="186">
        <f t="shared" si="336"/>
        <v>0</v>
      </c>
      <c r="X631" s="186">
        <f t="shared" si="336"/>
        <v>0</v>
      </c>
      <c r="Y631" s="186">
        <f t="shared" si="336"/>
        <v>0</v>
      </c>
      <c r="Z631" s="186">
        <f t="shared" si="336"/>
        <v>0</v>
      </c>
      <c r="AA631" s="186">
        <f t="shared" si="336"/>
        <v>0</v>
      </c>
      <c r="AB631" s="186">
        <f t="shared" si="336"/>
        <v>0</v>
      </c>
      <c r="AC631" s="186">
        <f t="shared" si="336"/>
        <v>0</v>
      </c>
      <c r="AD631" s="186">
        <f t="shared" si="336"/>
        <v>0</v>
      </c>
      <c r="AE631" s="186">
        <f t="shared" si="336"/>
        <v>0</v>
      </c>
      <c r="AF631" s="186">
        <f t="shared" si="336"/>
        <v>0</v>
      </c>
      <c r="AG631" s="186">
        <f t="shared" si="336"/>
        <v>0</v>
      </c>
      <c r="AH631" s="186">
        <f t="shared" si="336"/>
        <v>0</v>
      </c>
      <c r="AI631" s="186">
        <f t="shared" si="336"/>
        <v>0</v>
      </c>
      <c r="AJ631" s="186">
        <f t="shared" si="336"/>
        <v>0</v>
      </c>
      <c r="AK631" s="186">
        <f t="shared" si="336"/>
        <v>0</v>
      </c>
      <c r="AL631" s="186">
        <f t="shared" si="336"/>
        <v>0</v>
      </c>
      <c r="AM631" s="186">
        <f t="shared" si="336"/>
        <v>0</v>
      </c>
      <c r="AN631" s="186">
        <f t="shared" si="336"/>
        <v>0</v>
      </c>
      <c r="AO631" s="186">
        <f t="shared" si="336"/>
        <v>0</v>
      </c>
      <c r="AP631" s="186">
        <f t="shared" si="336"/>
        <v>0</v>
      </c>
    </row>
    <row r="632" spans="1:42">
      <c r="A632" s="37">
        <f t="shared" ref="A632" si="337">A631+1</f>
        <v>10</v>
      </c>
      <c r="B632" s="196">
        <f t="shared" si="331"/>
        <v>0</v>
      </c>
      <c r="C632" s="221">
        <f t="shared" si="336"/>
        <v>0</v>
      </c>
      <c r="D632" s="187">
        <f t="shared" si="336"/>
        <v>0</v>
      </c>
      <c r="E632" s="187">
        <f t="shared" si="336"/>
        <v>0</v>
      </c>
      <c r="F632" s="187">
        <f t="shared" si="336"/>
        <v>0</v>
      </c>
      <c r="G632" s="187">
        <f t="shared" si="336"/>
        <v>0</v>
      </c>
      <c r="H632" s="187">
        <f t="shared" si="336"/>
        <v>0</v>
      </c>
      <c r="I632" s="187">
        <f t="shared" si="336"/>
        <v>0</v>
      </c>
      <c r="J632" s="187">
        <f t="shared" si="336"/>
        <v>0</v>
      </c>
      <c r="K632" s="187">
        <f t="shared" si="336"/>
        <v>0</v>
      </c>
      <c r="L632" s="187">
        <f t="shared" si="336"/>
        <v>0</v>
      </c>
      <c r="M632" s="187">
        <f t="shared" si="336"/>
        <v>0</v>
      </c>
      <c r="N632" s="187">
        <f t="shared" si="336"/>
        <v>0</v>
      </c>
      <c r="O632" s="187">
        <f t="shared" si="336"/>
        <v>0</v>
      </c>
      <c r="P632" s="187">
        <f t="shared" si="336"/>
        <v>0</v>
      </c>
      <c r="Q632" s="187">
        <f t="shared" si="336"/>
        <v>0</v>
      </c>
      <c r="R632" s="187">
        <f t="shared" si="336"/>
        <v>0</v>
      </c>
      <c r="S632" s="187">
        <f t="shared" si="336"/>
        <v>0</v>
      </c>
      <c r="T632" s="187">
        <f t="shared" si="336"/>
        <v>0</v>
      </c>
      <c r="U632" s="187">
        <f t="shared" si="336"/>
        <v>0</v>
      </c>
      <c r="V632" s="187">
        <f t="shared" si="336"/>
        <v>0</v>
      </c>
      <c r="W632" s="187">
        <f t="shared" si="336"/>
        <v>0</v>
      </c>
      <c r="X632" s="187">
        <f t="shared" si="336"/>
        <v>0</v>
      </c>
      <c r="Y632" s="187">
        <f t="shared" si="336"/>
        <v>0</v>
      </c>
      <c r="Z632" s="187">
        <f t="shared" si="336"/>
        <v>0</v>
      </c>
      <c r="AA632" s="187">
        <f t="shared" si="336"/>
        <v>0</v>
      </c>
      <c r="AB632" s="187">
        <f t="shared" si="336"/>
        <v>0</v>
      </c>
      <c r="AC632" s="187">
        <f t="shared" si="336"/>
        <v>0</v>
      </c>
      <c r="AD632" s="187">
        <f t="shared" si="336"/>
        <v>0</v>
      </c>
      <c r="AE632" s="187">
        <f t="shared" si="336"/>
        <v>0</v>
      </c>
      <c r="AF632" s="187">
        <f t="shared" si="336"/>
        <v>0</v>
      </c>
      <c r="AG632" s="187">
        <f t="shared" si="336"/>
        <v>0</v>
      </c>
      <c r="AH632" s="187">
        <f t="shared" si="336"/>
        <v>0</v>
      </c>
      <c r="AI632" s="187">
        <f t="shared" si="336"/>
        <v>0</v>
      </c>
      <c r="AJ632" s="187">
        <f t="shared" si="336"/>
        <v>0</v>
      </c>
      <c r="AK632" s="187">
        <f t="shared" si="336"/>
        <v>0</v>
      </c>
      <c r="AL632" s="187">
        <f t="shared" si="336"/>
        <v>0</v>
      </c>
      <c r="AM632" s="187">
        <f t="shared" si="336"/>
        <v>0</v>
      </c>
      <c r="AN632" s="187">
        <f t="shared" si="336"/>
        <v>0</v>
      </c>
      <c r="AO632" s="187">
        <f t="shared" si="336"/>
        <v>0</v>
      </c>
      <c r="AP632" s="187">
        <f t="shared" si="336"/>
        <v>0</v>
      </c>
    </row>
    <row r="633" spans="1:42">
      <c r="A633" s="219" t="s">
        <v>53</v>
      </c>
      <c r="B633" s="186"/>
      <c r="C633" s="152">
        <f>SUM(C623:C632)</f>
        <v>245406.02862510949</v>
      </c>
      <c r="D633" s="152">
        <f t="shared" ref="D633:AP633" si="338">SUM(D623:D632)</f>
        <v>245406.02862510949</v>
      </c>
      <c r="E633" s="152">
        <f t="shared" si="338"/>
        <v>245406.02862510949</v>
      </c>
      <c r="F633" s="152">
        <f t="shared" si="338"/>
        <v>245406.02862510949</v>
      </c>
      <c r="G633" s="152">
        <f t="shared" si="338"/>
        <v>245406.02862510949</v>
      </c>
      <c r="H633" s="152">
        <f t="shared" si="338"/>
        <v>245406.02862510949</v>
      </c>
      <c r="I633" s="152">
        <f t="shared" si="338"/>
        <v>245406.02862510949</v>
      </c>
      <c r="J633" s="152">
        <f t="shared" si="338"/>
        <v>245406.02862510949</v>
      </c>
      <c r="K633" s="152">
        <f t="shared" si="338"/>
        <v>245406.02862510949</v>
      </c>
      <c r="L633" s="152">
        <f t="shared" si="338"/>
        <v>245406.02862510949</v>
      </c>
      <c r="M633" s="152">
        <f t="shared" si="338"/>
        <v>245406.02862510949</v>
      </c>
      <c r="N633" s="152">
        <f t="shared" si="338"/>
        <v>245406.02862510949</v>
      </c>
      <c r="O633" s="152">
        <f t="shared" si="338"/>
        <v>293411.90721039008</v>
      </c>
      <c r="P633" s="152">
        <f t="shared" si="338"/>
        <v>293411.90721039008</v>
      </c>
      <c r="Q633" s="152">
        <f t="shared" si="338"/>
        <v>293411.90721039008</v>
      </c>
      <c r="R633" s="152">
        <f t="shared" si="338"/>
        <v>293411.90721039008</v>
      </c>
      <c r="S633" s="152">
        <f t="shared" si="338"/>
        <v>293411.90721039008</v>
      </c>
      <c r="T633" s="152">
        <f t="shared" si="338"/>
        <v>293411.90721039008</v>
      </c>
      <c r="U633" s="152">
        <f t="shared" si="338"/>
        <v>293411.90721039008</v>
      </c>
      <c r="V633" s="152">
        <f t="shared" si="338"/>
        <v>293411.90721039008</v>
      </c>
      <c r="W633" s="152">
        <f t="shared" si="338"/>
        <v>293411.90721039008</v>
      </c>
      <c r="X633" s="152">
        <f t="shared" si="338"/>
        <v>293411.90721039008</v>
      </c>
      <c r="Y633" s="152">
        <f t="shared" si="338"/>
        <v>293411.90721039008</v>
      </c>
      <c r="Z633" s="152">
        <f t="shared" si="338"/>
        <v>293411.90721039008</v>
      </c>
      <c r="AA633" s="152">
        <f t="shared" si="338"/>
        <v>0</v>
      </c>
      <c r="AB633" s="152">
        <f t="shared" si="338"/>
        <v>0</v>
      </c>
      <c r="AC633" s="152">
        <f t="shared" si="338"/>
        <v>0</v>
      </c>
      <c r="AD633" s="152">
        <f t="shared" si="338"/>
        <v>0</v>
      </c>
      <c r="AE633" s="152">
        <f t="shared" si="338"/>
        <v>0</v>
      </c>
      <c r="AF633" s="152">
        <f t="shared" si="338"/>
        <v>0</v>
      </c>
      <c r="AG633" s="152">
        <f t="shared" si="338"/>
        <v>0</v>
      </c>
      <c r="AH633" s="152">
        <f t="shared" si="338"/>
        <v>0</v>
      </c>
      <c r="AI633" s="152">
        <f t="shared" si="338"/>
        <v>0</v>
      </c>
      <c r="AJ633" s="152">
        <f t="shared" si="338"/>
        <v>0</v>
      </c>
      <c r="AK633" s="152">
        <f t="shared" si="338"/>
        <v>0</v>
      </c>
      <c r="AL633" s="152">
        <f t="shared" si="338"/>
        <v>0</v>
      </c>
      <c r="AM633" s="152">
        <f t="shared" si="338"/>
        <v>0</v>
      </c>
      <c r="AN633" s="152">
        <f t="shared" si="338"/>
        <v>0</v>
      </c>
      <c r="AO633" s="152">
        <f t="shared" si="338"/>
        <v>0</v>
      </c>
      <c r="AP633" s="152">
        <f t="shared" si="338"/>
        <v>0</v>
      </c>
    </row>
    <row r="634" spans="1:42">
      <c r="B634" s="186"/>
      <c r="C634" s="152"/>
      <c r="D634" s="152"/>
      <c r="E634" s="152"/>
      <c r="F634" s="152"/>
      <c r="G634" s="152"/>
      <c r="H634" s="152"/>
      <c r="I634" s="152"/>
      <c r="J634" s="152"/>
      <c r="K634" s="152"/>
      <c r="L634" s="152"/>
      <c r="M634" s="152"/>
      <c r="N634" s="152"/>
      <c r="O634" s="152"/>
      <c r="P634" s="152"/>
      <c r="Q634" s="152"/>
      <c r="R634" s="152"/>
      <c r="S634" s="152"/>
      <c r="T634" s="152"/>
      <c r="U634" s="152"/>
      <c r="V634" s="152"/>
      <c r="W634" s="152"/>
      <c r="X634" s="152"/>
      <c r="Y634" s="152"/>
      <c r="Z634" s="152"/>
      <c r="AA634" s="152"/>
      <c r="AB634" s="152"/>
      <c r="AC634" s="152"/>
      <c r="AD634" s="152"/>
      <c r="AE634" s="152"/>
      <c r="AF634" s="152"/>
      <c r="AG634" s="152"/>
      <c r="AH634" s="152"/>
      <c r="AI634" s="152"/>
      <c r="AJ634" s="152"/>
      <c r="AK634" s="152"/>
      <c r="AL634" s="152"/>
      <c r="AM634" s="152"/>
      <c r="AN634" s="152"/>
      <c r="AO634" s="152"/>
      <c r="AP634" s="152"/>
    </row>
    <row r="635" spans="1:42">
      <c r="A635" s="182" t="s">
        <v>361</v>
      </c>
      <c r="C635" s="152"/>
      <c r="D635" s="152"/>
      <c r="E635" s="152"/>
      <c r="F635" s="152"/>
      <c r="G635" s="152"/>
      <c r="H635" s="152"/>
      <c r="I635" s="152"/>
      <c r="J635" s="152"/>
      <c r="K635" s="152"/>
      <c r="L635" s="152"/>
      <c r="M635" s="152"/>
      <c r="N635" s="152"/>
      <c r="O635" s="152"/>
      <c r="P635" s="152"/>
      <c r="Q635" s="152"/>
      <c r="R635" s="152"/>
      <c r="S635" s="152"/>
      <c r="T635" s="152"/>
      <c r="U635" s="152"/>
      <c r="V635" s="152"/>
      <c r="W635" s="152"/>
      <c r="X635" s="152"/>
      <c r="Y635" s="152"/>
      <c r="Z635" s="152"/>
      <c r="AA635" s="152"/>
      <c r="AB635" s="152"/>
      <c r="AC635" s="152"/>
      <c r="AD635" s="152"/>
      <c r="AE635" s="152"/>
      <c r="AF635" s="152"/>
      <c r="AG635" s="152"/>
      <c r="AH635" s="152"/>
      <c r="AI635" s="152"/>
      <c r="AJ635" s="152"/>
      <c r="AK635" s="152"/>
      <c r="AL635" s="152"/>
      <c r="AM635" s="152"/>
      <c r="AN635" s="152"/>
      <c r="AO635" s="152"/>
      <c r="AP635" s="152"/>
    </row>
    <row r="636" spans="1:42">
      <c r="A636" s="37" t="s">
        <v>99</v>
      </c>
      <c r="B636" s="152">
        <v>0</v>
      </c>
      <c r="C636" s="152">
        <f>B639</f>
        <v>0</v>
      </c>
      <c r="D636" s="152">
        <f t="shared" ref="D636:AP636" si="339">C639</f>
        <v>410585.24356465257</v>
      </c>
      <c r="E636" s="152">
        <f t="shared" si="339"/>
        <v>821170.48712930514</v>
      </c>
      <c r="F636" s="152">
        <f t="shared" si="339"/>
        <v>1231755.7306939578</v>
      </c>
      <c r="G636" s="152">
        <f t="shared" si="339"/>
        <v>1642340.9742586103</v>
      </c>
      <c r="H636" s="152">
        <f t="shared" si="339"/>
        <v>2052926.2178232628</v>
      </c>
      <c r="I636" s="152">
        <f t="shared" si="339"/>
        <v>2463511.4613879155</v>
      </c>
      <c r="J636" s="152">
        <f t="shared" si="339"/>
        <v>2874096.7049525683</v>
      </c>
      <c r="K636" s="152">
        <f t="shared" si="339"/>
        <v>3284681.948517221</v>
      </c>
      <c r="L636" s="152">
        <f t="shared" si="339"/>
        <v>3695267.1920818738</v>
      </c>
      <c r="M636" s="152">
        <f t="shared" si="339"/>
        <v>4105852.4356465265</v>
      </c>
      <c r="N636" s="152">
        <f t="shared" si="339"/>
        <v>4516437.6792111788</v>
      </c>
      <c r="O636" s="152">
        <f t="shared" si="339"/>
        <v>4927022.9227758311</v>
      </c>
      <c r="P636" s="152">
        <f t="shared" si="339"/>
        <v>5337608.1663404834</v>
      </c>
      <c r="Q636" s="152">
        <f t="shared" si="339"/>
        <v>5748193.4099051356</v>
      </c>
      <c r="R636" s="152">
        <f t="shared" si="339"/>
        <v>0</v>
      </c>
      <c r="S636" s="152">
        <f t="shared" si="339"/>
        <v>513326.83759962226</v>
      </c>
      <c r="T636" s="152">
        <f t="shared" si="339"/>
        <v>1026653.6751992445</v>
      </c>
      <c r="U636" s="152">
        <f t="shared" si="339"/>
        <v>1539980.5127988667</v>
      </c>
      <c r="V636" s="152">
        <f t="shared" si="339"/>
        <v>2053307.350398489</v>
      </c>
      <c r="W636" s="152">
        <f t="shared" si="339"/>
        <v>2566634.1879981114</v>
      </c>
      <c r="X636" s="152">
        <f t="shared" si="339"/>
        <v>3079961.0255977334</v>
      </c>
      <c r="Y636" s="152">
        <f t="shared" si="339"/>
        <v>3593287.8631973555</v>
      </c>
      <c r="Z636" s="152">
        <f t="shared" si="339"/>
        <v>4106614.7007969776</v>
      </c>
      <c r="AA636" s="152">
        <f t="shared" si="339"/>
        <v>4619941.5383965997</v>
      </c>
      <c r="AB636" s="152">
        <f t="shared" si="339"/>
        <v>5133268.3759962218</v>
      </c>
      <c r="AC636" s="152">
        <f t="shared" si="339"/>
        <v>5646595.2135958439</v>
      </c>
      <c r="AD636" s="152">
        <f t="shared" si="339"/>
        <v>6159922.051195466</v>
      </c>
      <c r="AE636" s="152">
        <f t="shared" si="339"/>
        <v>6673248.888795088</v>
      </c>
      <c r="AF636" s="152">
        <f t="shared" si="339"/>
        <v>7186575.7263947101</v>
      </c>
      <c r="AG636" s="152">
        <f t="shared" si="339"/>
        <v>0</v>
      </c>
      <c r="AH636" s="152">
        <f t="shared" si="339"/>
        <v>0</v>
      </c>
      <c r="AI636" s="152">
        <f t="shared" si="339"/>
        <v>0</v>
      </c>
      <c r="AJ636" s="152">
        <f t="shared" si="339"/>
        <v>0</v>
      </c>
      <c r="AK636" s="152">
        <f t="shared" si="339"/>
        <v>0</v>
      </c>
      <c r="AL636" s="152">
        <f t="shared" si="339"/>
        <v>0</v>
      </c>
      <c r="AM636" s="152">
        <f t="shared" si="339"/>
        <v>0</v>
      </c>
      <c r="AN636" s="152">
        <f t="shared" si="339"/>
        <v>0</v>
      </c>
      <c r="AO636" s="152">
        <f t="shared" si="339"/>
        <v>0</v>
      </c>
      <c r="AP636" s="152">
        <f t="shared" si="339"/>
        <v>0</v>
      </c>
    </row>
    <row r="637" spans="1:42">
      <c r="A637" s="37" t="s">
        <v>198</v>
      </c>
      <c r="B637" s="152">
        <v>0</v>
      </c>
      <c r="C637" s="152">
        <f>C665</f>
        <v>410585.24356465257</v>
      </c>
      <c r="D637" s="152">
        <f t="shared" ref="D637:AP637" si="340">D665</f>
        <v>410585.24356465257</v>
      </c>
      <c r="E637" s="152">
        <f t="shared" si="340"/>
        <v>410585.24356465257</v>
      </c>
      <c r="F637" s="152">
        <f t="shared" si="340"/>
        <v>410585.24356465257</v>
      </c>
      <c r="G637" s="152">
        <f t="shared" si="340"/>
        <v>410585.24356465257</v>
      </c>
      <c r="H637" s="152">
        <f t="shared" si="340"/>
        <v>410585.24356465257</v>
      </c>
      <c r="I637" s="152">
        <f t="shared" si="340"/>
        <v>410585.24356465257</v>
      </c>
      <c r="J637" s="152">
        <f t="shared" si="340"/>
        <v>410585.24356465257</v>
      </c>
      <c r="K637" s="152">
        <f t="shared" si="340"/>
        <v>410585.24356465257</v>
      </c>
      <c r="L637" s="152">
        <f t="shared" si="340"/>
        <v>410585.24356465257</v>
      </c>
      <c r="M637" s="152">
        <f t="shared" si="340"/>
        <v>410585.24356465257</v>
      </c>
      <c r="N637" s="152">
        <f t="shared" si="340"/>
        <v>410585.24356465257</v>
      </c>
      <c r="O637" s="152">
        <f t="shared" si="340"/>
        <v>410585.24356465257</v>
      </c>
      <c r="P637" s="152">
        <f t="shared" si="340"/>
        <v>410585.24356465257</v>
      </c>
      <c r="Q637" s="152">
        <f t="shared" si="340"/>
        <v>410585.24356465257</v>
      </c>
      <c r="R637" s="152">
        <f t="shared" si="340"/>
        <v>513326.83759962226</v>
      </c>
      <c r="S637" s="152">
        <f t="shared" si="340"/>
        <v>513326.83759962226</v>
      </c>
      <c r="T637" s="152">
        <f t="shared" si="340"/>
        <v>513326.83759962226</v>
      </c>
      <c r="U637" s="152">
        <f t="shared" si="340"/>
        <v>513326.83759962226</v>
      </c>
      <c r="V637" s="152">
        <f t="shared" si="340"/>
        <v>513326.83759962226</v>
      </c>
      <c r="W637" s="152">
        <f t="shared" si="340"/>
        <v>513326.83759962226</v>
      </c>
      <c r="X637" s="152">
        <f t="shared" si="340"/>
        <v>513326.83759962226</v>
      </c>
      <c r="Y637" s="152">
        <f t="shared" si="340"/>
        <v>513326.83759962226</v>
      </c>
      <c r="Z637" s="152">
        <f t="shared" si="340"/>
        <v>513326.83759962226</v>
      </c>
      <c r="AA637" s="152">
        <f t="shared" si="340"/>
        <v>513326.83759962226</v>
      </c>
      <c r="AB637" s="152">
        <f t="shared" si="340"/>
        <v>513326.83759962226</v>
      </c>
      <c r="AC637" s="152">
        <f t="shared" si="340"/>
        <v>513326.83759962226</v>
      </c>
      <c r="AD637" s="152">
        <f t="shared" si="340"/>
        <v>513326.83759962226</v>
      </c>
      <c r="AE637" s="152">
        <f t="shared" si="340"/>
        <v>513326.83759962226</v>
      </c>
      <c r="AF637" s="152">
        <f t="shared" si="340"/>
        <v>513326.83759962226</v>
      </c>
      <c r="AG637" s="152">
        <f t="shared" si="340"/>
        <v>0</v>
      </c>
      <c r="AH637" s="152">
        <f t="shared" si="340"/>
        <v>0</v>
      </c>
      <c r="AI637" s="152">
        <f t="shared" si="340"/>
        <v>0</v>
      </c>
      <c r="AJ637" s="152">
        <f t="shared" si="340"/>
        <v>0</v>
      </c>
      <c r="AK637" s="152">
        <f t="shared" si="340"/>
        <v>0</v>
      </c>
      <c r="AL637" s="152">
        <f t="shared" si="340"/>
        <v>0</v>
      </c>
      <c r="AM637" s="152">
        <f t="shared" si="340"/>
        <v>0</v>
      </c>
      <c r="AN637" s="152">
        <f t="shared" si="340"/>
        <v>0</v>
      </c>
      <c r="AO637" s="152">
        <f t="shared" si="340"/>
        <v>0</v>
      </c>
      <c r="AP637" s="152">
        <f t="shared" si="340"/>
        <v>0</v>
      </c>
    </row>
    <row r="638" spans="1:42">
      <c r="A638" s="37" t="s">
        <v>106</v>
      </c>
      <c r="B638" s="187">
        <v>0</v>
      </c>
      <c r="C638" s="187">
        <f>-C653</f>
        <v>0</v>
      </c>
      <c r="D638" s="187">
        <f t="shared" ref="D638:AP638" si="341">-D653</f>
        <v>0</v>
      </c>
      <c r="E638" s="187">
        <f t="shared" si="341"/>
        <v>0</v>
      </c>
      <c r="F638" s="187">
        <f t="shared" si="341"/>
        <v>0</v>
      </c>
      <c r="G638" s="187">
        <f t="shared" si="341"/>
        <v>0</v>
      </c>
      <c r="H638" s="187">
        <f t="shared" si="341"/>
        <v>0</v>
      </c>
      <c r="I638" s="187">
        <f t="shared" si="341"/>
        <v>0</v>
      </c>
      <c r="J638" s="187">
        <f t="shared" si="341"/>
        <v>0</v>
      </c>
      <c r="K638" s="187">
        <f t="shared" si="341"/>
        <v>0</v>
      </c>
      <c r="L638" s="187">
        <f t="shared" si="341"/>
        <v>0</v>
      </c>
      <c r="M638" s="187">
        <f t="shared" si="341"/>
        <v>0</v>
      </c>
      <c r="N638" s="187">
        <f t="shared" si="341"/>
        <v>0</v>
      </c>
      <c r="O638" s="187">
        <f t="shared" si="341"/>
        <v>0</v>
      </c>
      <c r="P638" s="187">
        <f t="shared" si="341"/>
        <v>0</v>
      </c>
      <c r="Q638" s="187">
        <f t="shared" si="341"/>
        <v>-6158778.6534697888</v>
      </c>
      <c r="R638" s="187">
        <f t="shared" si="341"/>
        <v>0</v>
      </c>
      <c r="S638" s="187">
        <f t="shared" si="341"/>
        <v>0</v>
      </c>
      <c r="T638" s="187">
        <f t="shared" si="341"/>
        <v>0</v>
      </c>
      <c r="U638" s="187">
        <f t="shared" si="341"/>
        <v>0</v>
      </c>
      <c r="V638" s="187">
        <f t="shared" si="341"/>
        <v>0</v>
      </c>
      <c r="W638" s="187">
        <f t="shared" si="341"/>
        <v>0</v>
      </c>
      <c r="X638" s="187">
        <f t="shared" si="341"/>
        <v>0</v>
      </c>
      <c r="Y638" s="187">
        <f t="shared" si="341"/>
        <v>0</v>
      </c>
      <c r="Z638" s="187">
        <f t="shared" si="341"/>
        <v>0</v>
      </c>
      <c r="AA638" s="187">
        <f t="shared" si="341"/>
        <v>0</v>
      </c>
      <c r="AB638" s="187">
        <f t="shared" si="341"/>
        <v>0</v>
      </c>
      <c r="AC638" s="187">
        <f t="shared" si="341"/>
        <v>0</v>
      </c>
      <c r="AD638" s="187">
        <f t="shared" si="341"/>
        <v>0</v>
      </c>
      <c r="AE638" s="187">
        <f t="shared" si="341"/>
        <v>0</v>
      </c>
      <c r="AF638" s="187">
        <f t="shared" si="341"/>
        <v>-7699902.5639943341</v>
      </c>
      <c r="AG638" s="187">
        <f t="shared" si="341"/>
        <v>0</v>
      </c>
      <c r="AH638" s="187">
        <f t="shared" si="341"/>
        <v>0</v>
      </c>
      <c r="AI638" s="187">
        <f t="shared" si="341"/>
        <v>0</v>
      </c>
      <c r="AJ638" s="187">
        <f t="shared" si="341"/>
        <v>0</v>
      </c>
      <c r="AK638" s="187">
        <f t="shared" si="341"/>
        <v>0</v>
      </c>
      <c r="AL638" s="187">
        <f t="shared" si="341"/>
        <v>0</v>
      </c>
      <c r="AM638" s="187">
        <f t="shared" si="341"/>
        <v>0</v>
      </c>
      <c r="AN638" s="187">
        <f t="shared" si="341"/>
        <v>0</v>
      </c>
      <c r="AO638" s="187">
        <f t="shared" si="341"/>
        <v>0</v>
      </c>
      <c r="AP638" s="187">
        <f t="shared" si="341"/>
        <v>0</v>
      </c>
    </row>
    <row r="639" spans="1:42">
      <c r="A639" s="37" t="s">
        <v>102</v>
      </c>
      <c r="B639" s="152">
        <f>SUM(B636:B638)</f>
        <v>0</v>
      </c>
      <c r="C639" s="152">
        <f>SUM(C636:C638)</f>
        <v>410585.24356465257</v>
      </c>
      <c r="D639" s="152">
        <f t="shared" ref="D639:AP639" si="342">SUM(D636:D638)</f>
        <v>821170.48712930514</v>
      </c>
      <c r="E639" s="152">
        <f t="shared" si="342"/>
        <v>1231755.7306939578</v>
      </c>
      <c r="F639" s="152">
        <f t="shared" si="342"/>
        <v>1642340.9742586103</v>
      </c>
      <c r="G639" s="152">
        <f t="shared" si="342"/>
        <v>2052926.2178232628</v>
      </c>
      <c r="H639" s="152">
        <f t="shared" si="342"/>
        <v>2463511.4613879155</v>
      </c>
      <c r="I639" s="152">
        <f t="shared" si="342"/>
        <v>2874096.7049525683</v>
      </c>
      <c r="J639" s="152">
        <f t="shared" si="342"/>
        <v>3284681.948517221</v>
      </c>
      <c r="K639" s="152">
        <f t="shared" si="342"/>
        <v>3695267.1920818738</v>
      </c>
      <c r="L639" s="152">
        <f t="shared" si="342"/>
        <v>4105852.4356465265</v>
      </c>
      <c r="M639" s="152">
        <f t="shared" si="342"/>
        <v>4516437.6792111788</v>
      </c>
      <c r="N639" s="152">
        <f t="shared" si="342"/>
        <v>4927022.9227758311</v>
      </c>
      <c r="O639" s="152">
        <f t="shared" si="342"/>
        <v>5337608.1663404834</v>
      </c>
      <c r="P639" s="152">
        <f t="shared" si="342"/>
        <v>5748193.4099051356</v>
      </c>
      <c r="Q639" s="152">
        <f t="shared" si="342"/>
        <v>0</v>
      </c>
      <c r="R639" s="152">
        <f t="shared" si="342"/>
        <v>513326.83759962226</v>
      </c>
      <c r="S639" s="152">
        <f t="shared" si="342"/>
        <v>1026653.6751992445</v>
      </c>
      <c r="T639" s="152">
        <f t="shared" si="342"/>
        <v>1539980.5127988667</v>
      </c>
      <c r="U639" s="152">
        <f t="shared" si="342"/>
        <v>2053307.350398489</v>
      </c>
      <c r="V639" s="152">
        <f t="shared" si="342"/>
        <v>2566634.1879981114</v>
      </c>
      <c r="W639" s="152">
        <f t="shared" si="342"/>
        <v>3079961.0255977334</v>
      </c>
      <c r="X639" s="152">
        <f t="shared" si="342"/>
        <v>3593287.8631973555</v>
      </c>
      <c r="Y639" s="152">
        <f t="shared" si="342"/>
        <v>4106614.7007969776</v>
      </c>
      <c r="Z639" s="152">
        <f t="shared" si="342"/>
        <v>4619941.5383965997</v>
      </c>
      <c r="AA639" s="152">
        <f t="shared" si="342"/>
        <v>5133268.3759962218</v>
      </c>
      <c r="AB639" s="152">
        <f t="shared" si="342"/>
        <v>5646595.2135958439</v>
      </c>
      <c r="AC639" s="152">
        <f t="shared" si="342"/>
        <v>6159922.051195466</v>
      </c>
      <c r="AD639" s="152">
        <f t="shared" si="342"/>
        <v>6673248.888795088</v>
      </c>
      <c r="AE639" s="152">
        <f t="shared" si="342"/>
        <v>7186575.7263947101</v>
      </c>
      <c r="AF639" s="152">
        <f t="shared" si="342"/>
        <v>0</v>
      </c>
      <c r="AG639" s="152">
        <f t="shared" si="342"/>
        <v>0</v>
      </c>
      <c r="AH639" s="152">
        <f t="shared" si="342"/>
        <v>0</v>
      </c>
      <c r="AI639" s="152">
        <f t="shared" si="342"/>
        <v>0</v>
      </c>
      <c r="AJ639" s="152">
        <f t="shared" si="342"/>
        <v>0</v>
      </c>
      <c r="AK639" s="152">
        <f t="shared" si="342"/>
        <v>0</v>
      </c>
      <c r="AL639" s="152">
        <f t="shared" si="342"/>
        <v>0</v>
      </c>
      <c r="AM639" s="152">
        <f t="shared" si="342"/>
        <v>0</v>
      </c>
      <c r="AN639" s="152">
        <f t="shared" si="342"/>
        <v>0</v>
      </c>
      <c r="AO639" s="152">
        <f t="shared" si="342"/>
        <v>0</v>
      </c>
      <c r="AP639" s="152">
        <f t="shared" si="342"/>
        <v>0</v>
      </c>
    </row>
    <row r="640" spans="1:42">
      <c r="B640" s="152"/>
      <c r="C640" s="152"/>
      <c r="D640" s="152"/>
      <c r="E640" s="152"/>
      <c r="F640" s="152"/>
      <c r="G640" s="186"/>
      <c r="H640" s="186"/>
      <c r="I640" s="186"/>
      <c r="J640" s="186"/>
      <c r="K640" s="186"/>
      <c r="L640" s="186"/>
      <c r="M640" s="186"/>
      <c r="N640" s="186"/>
      <c r="O640" s="186"/>
      <c r="P640" s="186"/>
      <c r="Q640" s="186"/>
      <c r="R640" s="186"/>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row>
    <row r="641" spans="1:42">
      <c r="A641" s="37" t="s">
        <v>196</v>
      </c>
      <c r="B641" s="152"/>
      <c r="C641" s="152"/>
      <c r="D641" s="152"/>
      <c r="E641" s="152"/>
      <c r="F641" s="152"/>
      <c r="G641" s="186"/>
      <c r="H641" s="186"/>
      <c r="I641" s="186"/>
      <c r="J641" s="186"/>
      <c r="K641" s="186"/>
      <c r="L641" s="186"/>
      <c r="M641" s="186"/>
      <c r="N641" s="186"/>
      <c r="O641" s="186"/>
      <c r="P641" s="186"/>
      <c r="Q641" s="186"/>
      <c r="R641" s="186"/>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row>
    <row r="642" spans="1:42">
      <c r="A642" s="37" t="s">
        <v>197</v>
      </c>
      <c r="B642" s="152"/>
      <c r="C642" s="152"/>
      <c r="D642" s="152"/>
      <c r="E642" s="152"/>
      <c r="F642" s="152"/>
      <c r="G642" s="186"/>
      <c r="H642" s="186"/>
      <c r="I642" s="186"/>
      <c r="J642" s="186"/>
      <c r="K642" s="186"/>
      <c r="L642" s="186"/>
      <c r="M642" s="186"/>
      <c r="N642" s="186"/>
      <c r="O642" s="186"/>
      <c r="P642" s="186"/>
      <c r="Q642" s="186"/>
      <c r="R642" s="186"/>
      <c r="S642" s="186"/>
      <c r="T642" s="186"/>
      <c r="U642" s="186"/>
      <c r="V642" s="186"/>
      <c r="W642" s="186"/>
      <c r="X642" s="186"/>
      <c r="Y642" s="186"/>
      <c r="Z642" s="186"/>
      <c r="AA642" s="186"/>
      <c r="AB642" s="186"/>
      <c r="AC642" s="186"/>
      <c r="AD642" s="186"/>
      <c r="AE642" s="186"/>
      <c r="AF642" s="186"/>
      <c r="AG642" s="186"/>
      <c r="AH642" s="186"/>
      <c r="AI642" s="186"/>
      <c r="AJ642" s="186"/>
      <c r="AK642" s="186"/>
      <c r="AL642" s="186"/>
      <c r="AM642" s="186"/>
      <c r="AN642" s="186"/>
      <c r="AO642" s="186"/>
      <c r="AP642" s="186"/>
    </row>
    <row r="643" spans="1:42">
      <c r="A643" s="37">
        <v>1</v>
      </c>
      <c r="B643" s="196">
        <f t="shared" ref="B643:B652" si="343">SUM(C643:AP643)</f>
        <v>6158778.6534697888</v>
      </c>
      <c r="C643" s="186">
        <f t="shared" ref="C643:AP649" si="344">IF(C$2&gt;AnalysisPeriod,0,IF(C$2=MMFrequency2*$A643,MMCost2*CapacityDC*1000*(1+Inflation)^B$2,0))</f>
        <v>0</v>
      </c>
      <c r="D643" s="186">
        <f t="shared" si="344"/>
        <v>0</v>
      </c>
      <c r="E643" s="186">
        <f t="shared" si="344"/>
        <v>0</v>
      </c>
      <c r="F643" s="186">
        <f t="shared" si="344"/>
        <v>0</v>
      </c>
      <c r="G643" s="186">
        <f t="shared" si="344"/>
        <v>0</v>
      </c>
      <c r="H643" s="186">
        <f t="shared" si="344"/>
        <v>0</v>
      </c>
      <c r="I643" s="186">
        <f t="shared" si="344"/>
        <v>0</v>
      </c>
      <c r="J643" s="186">
        <f t="shared" si="344"/>
        <v>0</v>
      </c>
      <c r="K643" s="186">
        <f t="shared" si="344"/>
        <v>0</v>
      </c>
      <c r="L643" s="186">
        <f t="shared" si="344"/>
        <v>0</v>
      </c>
      <c r="M643" s="186">
        <f t="shared" si="344"/>
        <v>0</v>
      </c>
      <c r="N643" s="186">
        <f t="shared" si="344"/>
        <v>0</v>
      </c>
      <c r="O643" s="186">
        <f t="shared" si="344"/>
        <v>0</v>
      </c>
      <c r="P643" s="186">
        <f t="shared" si="344"/>
        <v>0</v>
      </c>
      <c r="Q643" s="186">
        <f t="shared" si="344"/>
        <v>6158778.6534697888</v>
      </c>
      <c r="R643" s="186">
        <f t="shared" si="344"/>
        <v>0</v>
      </c>
      <c r="S643" s="186">
        <f t="shared" si="344"/>
        <v>0</v>
      </c>
      <c r="T643" s="186">
        <f t="shared" si="344"/>
        <v>0</v>
      </c>
      <c r="U643" s="186">
        <f t="shared" si="344"/>
        <v>0</v>
      </c>
      <c r="V643" s="186">
        <f t="shared" si="344"/>
        <v>0</v>
      </c>
      <c r="W643" s="186">
        <f t="shared" si="344"/>
        <v>0</v>
      </c>
      <c r="X643" s="186">
        <f t="shared" si="344"/>
        <v>0</v>
      </c>
      <c r="Y643" s="186">
        <f t="shared" si="344"/>
        <v>0</v>
      </c>
      <c r="Z643" s="186">
        <f t="shared" si="344"/>
        <v>0</v>
      </c>
      <c r="AA643" s="186">
        <f t="shared" si="344"/>
        <v>0</v>
      </c>
      <c r="AB643" s="186">
        <f t="shared" si="344"/>
        <v>0</v>
      </c>
      <c r="AC643" s="186">
        <f t="shared" si="344"/>
        <v>0</v>
      </c>
      <c r="AD643" s="186">
        <f t="shared" si="344"/>
        <v>0</v>
      </c>
      <c r="AE643" s="186">
        <f t="shared" si="344"/>
        <v>0</v>
      </c>
      <c r="AF643" s="186">
        <f t="shared" si="344"/>
        <v>0</v>
      </c>
      <c r="AG643" s="186">
        <f t="shared" si="344"/>
        <v>0</v>
      </c>
      <c r="AH643" s="186">
        <f t="shared" si="344"/>
        <v>0</v>
      </c>
      <c r="AI643" s="186">
        <f t="shared" si="344"/>
        <v>0</v>
      </c>
      <c r="AJ643" s="186">
        <f t="shared" si="344"/>
        <v>0</v>
      </c>
      <c r="AK643" s="186">
        <f t="shared" si="344"/>
        <v>0</v>
      </c>
      <c r="AL643" s="186">
        <f t="shared" si="344"/>
        <v>0</v>
      </c>
      <c r="AM643" s="186">
        <f t="shared" si="344"/>
        <v>0</v>
      </c>
      <c r="AN643" s="186">
        <f t="shared" si="344"/>
        <v>0</v>
      </c>
      <c r="AO643" s="186">
        <f t="shared" si="344"/>
        <v>0</v>
      </c>
      <c r="AP643" s="186">
        <f t="shared" si="344"/>
        <v>0</v>
      </c>
    </row>
    <row r="644" spans="1:42">
      <c r="A644" s="37">
        <f>A643+1</f>
        <v>2</v>
      </c>
      <c r="B644" s="196">
        <f t="shared" si="343"/>
        <v>7699902.5639943341</v>
      </c>
      <c r="C644" s="186">
        <f t="shared" si="344"/>
        <v>0</v>
      </c>
      <c r="D644" s="186">
        <f t="shared" si="344"/>
        <v>0</v>
      </c>
      <c r="E644" s="186">
        <f t="shared" si="344"/>
        <v>0</v>
      </c>
      <c r="F644" s="186">
        <f t="shared" si="344"/>
        <v>0</v>
      </c>
      <c r="G644" s="186">
        <f t="shared" si="344"/>
        <v>0</v>
      </c>
      <c r="H644" s="186">
        <f t="shared" si="344"/>
        <v>0</v>
      </c>
      <c r="I644" s="186">
        <f t="shared" si="344"/>
        <v>0</v>
      </c>
      <c r="J644" s="186">
        <f t="shared" si="344"/>
        <v>0</v>
      </c>
      <c r="K644" s="186">
        <f t="shared" si="344"/>
        <v>0</v>
      </c>
      <c r="L644" s="186">
        <f t="shared" si="344"/>
        <v>0</v>
      </c>
      <c r="M644" s="186">
        <f t="shared" si="344"/>
        <v>0</v>
      </c>
      <c r="N644" s="186">
        <f t="shared" si="344"/>
        <v>0</v>
      </c>
      <c r="O644" s="186">
        <f t="shared" si="344"/>
        <v>0</v>
      </c>
      <c r="P644" s="186">
        <f t="shared" si="344"/>
        <v>0</v>
      </c>
      <c r="Q644" s="186">
        <f t="shared" si="344"/>
        <v>0</v>
      </c>
      <c r="R644" s="186">
        <f t="shared" si="344"/>
        <v>0</v>
      </c>
      <c r="S644" s="186">
        <f t="shared" si="344"/>
        <v>0</v>
      </c>
      <c r="T644" s="186">
        <f t="shared" si="344"/>
        <v>0</v>
      </c>
      <c r="U644" s="186">
        <f t="shared" si="344"/>
        <v>0</v>
      </c>
      <c r="V644" s="186">
        <f t="shared" si="344"/>
        <v>0</v>
      </c>
      <c r="W644" s="186">
        <f t="shared" si="344"/>
        <v>0</v>
      </c>
      <c r="X644" s="186">
        <f t="shared" si="344"/>
        <v>0</v>
      </c>
      <c r="Y644" s="186">
        <f t="shared" si="344"/>
        <v>0</v>
      </c>
      <c r="Z644" s="186">
        <f t="shared" si="344"/>
        <v>0</v>
      </c>
      <c r="AA644" s="186">
        <f t="shared" si="344"/>
        <v>0</v>
      </c>
      <c r="AB644" s="186">
        <f t="shared" si="344"/>
        <v>0</v>
      </c>
      <c r="AC644" s="186">
        <f t="shared" si="344"/>
        <v>0</v>
      </c>
      <c r="AD644" s="186">
        <f t="shared" si="344"/>
        <v>0</v>
      </c>
      <c r="AE644" s="186">
        <f t="shared" si="344"/>
        <v>0</v>
      </c>
      <c r="AF644" s="186">
        <f t="shared" si="344"/>
        <v>7699902.5639943341</v>
      </c>
      <c r="AG644" s="186">
        <f t="shared" si="344"/>
        <v>0</v>
      </c>
      <c r="AH644" s="186">
        <f t="shared" si="344"/>
        <v>0</v>
      </c>
      <c r="AI644" s="186">
        <f t="shared" si="344"/>
        <v>0</v>
      </c>
      <c r="AJ644" s="186">
        <f t="shared" si="344"/>
        <v>0</v>
      </c>
      <c r="AK644" s="186">
        <f t="shared" si="344"/>
        <v>0</v>
      </c>
      <c r="AL644" s="186">
        <f t="shared" si="344"/>
        <v>0</v>
      </c>
      <c r="AM644" s="186">
        <f t="shared" si="344"/>
        <v>0</v>
      </c>
      <c r="AN644" s="186">
        <f t="shared" si="344"/>
        <v>0</v>
      </c>
      <c r="AO644" s="186">
        <f t="shared" si="344"/>
        <v>0</v>
      </c>
      <c r="AP644" s="186">
        <f t="shared" si="344"/>
        <v>0</v>
      </c>
    </row>
    <row r="645" spans="1:42">
      <c r="A645" s="37">
        <f t="shared" ref="A645:A652" si="345">A644+1</f>
        <v>3</v>
      </c>
      <c r="B645" s="196">
        <f t="shared" si="343"/>
        <v>0</v>
      </c>
      <c r="C645" s="186">
        <f t="shared" si="344"/>
        <v>0</v>
      </c>
      <c r="D645" s="186">
        <f t="shared" si="344"/>
        <v>0</v>
      </c>
      <c r="E645" s="186">
        <f t="shared" si="344"/>
        <v>0</v>
      </c>
      <c r="F645" s="186">
        <f t="shared" si="344"/>
        <v>0</v>
      </c>
      <c r="G645" s="186">
        <f t="shared" si="344"/>
        <v>0</v>
      </c>
      <c r="H645" s="186">
        <f t="shared" si="344"/>
        <v>0</v>
      </c>
      <c r="I645" s="186">
        <f t="shared" si="344"/>
        <v>0</v>
      </c>
      <c r="J645" s="186">
        <f t="shared" si="344"/>
        <v>0</v>
      </c>
      <c r="K645" s="186">
        <f t="shared" si="344"/>
        <v>0</v>
      </c>
      <c r="L645" s="186">
        <f t="shared" si="344"/>
        <v>0</v>
      </c>
      <c r="M645" s="186">
        <f t="shared" si="344"/>
        <v>0</v>
      </c>
      <c r="N645" s="186">
        <f t="shared" si="344"/>
        <v>0</v>
      </c>
      <c r="O645" s="186">
        <f t="shared" si="344"/>
        <v>0</v>
      </c>
      <c r="P645" s="186">
        <f t="shared" si="344"/>
        <v>0</v>
      </c>
      <c r="Q645" s="186">
        <f t="shared" si="344"/>
        <v>0</v>
      </c>
      <c r="R645" s="186">
        <f t="shared" si="344"/>
        <v>0</v>
      </c>
      <c r="S645" s="186">
        <f t="shared" si="344"/>
        <v>0</v>
      </c>
      <c r="T645" s="186">
        <f t="shared" si="344"/>
        <v>0</v>
      </c>
      <c r="U645" s="186">
        <f t="shared" si="344"/>
        <v>0</v>
      </c>
      <c r="V645" s="186">
        <f t="shared" si="344"/>
        <v>0</v>
      </c>
      <c r="W645" s="186">
        <f t="shared" si="344"/>
        <v>0</v>
      </c>
      <c r="X645" s="186">
        <f t="shared" si="344"/>
        <v>0</v>
      </c>
      <c r="Y645" s="186">
        <f t="shared" si="344"/>
        <v>0</v>
      </c>
      <c r="Z645" s="186">
        <f t="shared" si="344"/>
        <v>0</v>
      </c>
      <c r="AA645" s="186">
        <f t="shared" si="344"/>
        <v>0</v>
      </c>
      <c r="AB645" s="186">
        <f t="shared" si="344"/>
        <v>0</v>
      </c>
      <c r="AC645" s="186">
        <f t="shared" si="344"/>
        <v>0</v>
      </c>
      <c r="AD645" s="186">
        <f t="shared" si="344"/>
        <v>0</v>
      </c>
      <c r="AE645" s="186">
        <f t="shared" si="344"/>
        <v>0</v>
      </c>
      <c r="AF645" s="186">
        <f t="shared" si="344"/>
        <v>0</v>
      </c>
      <c r="AG645" s="186">
        <f t="shared" si="344"/>
        <v>0</v>
      </c>
      <c r="AH645" s="186">
        <f t="shared" si="344"/>
        <v>0</v>
      </c>
      <c r="AI645" s="186">
        <f t="shared" si="344"/>
        <v>0</v>
      </c>
      <c r="AJ645" s="186">
        <f t="shared" si="344"/>
        <v>0</v>
      </c>
      <c r="AK645" s="186">
        <f t="shared" si="344"/>
        <v>0</v>
      </c>
      <c r="AL645" s="186">
        <f t="shared" si="344"/>
        <v>0</v>
      </c>
      <c r="AM645" s="186">
        <f t="shared" si="344"/>
        <v>0</v>
      </c>
      <c r="AN645" s="186">
        <f t="shared" si="344"/>
        <v>0</v>
      </c>
      <c r="AO645" s="186">
        <f t="shared" si="344"/>
        <v>0</v>
      </c>
      <c r="AP645" s="186">
        <f t="shared" si="344"/>
        <v>0</v>
      </c>
    </row>
    <row r="646" spans="1:42">
      <c r="A646" s="37">
        <f t="shared" si="345"/>
        <v>4</v>
      </c>
      <c r="B646" s="196">
        <f t="shared" si="343"/>
        <v>0</v>
      </c>
      <c r="C646" s="186">
        <f t="shared" si="344"/>
        <v>0</v>
      </c>
      <c r="D646" s="186">
        <f t="shared" si="344"/>
        <v>0</v>
      </c>
      <c r="E646" s="186">
        <f t="shared" si="344"/>
        <v>0</v>
      </c>
      <c r="F646" s="186">
        <f t="shared" si="344"/>
        <v>0</v>
      </c>
      <c r="G646" s="186">
        <f t="shared" si="344"/>
        <v>0</v>
      </c>
      <c r="H646" s="186">
        <f t="shared" si="344"/>
        <v>0</v>
      </c>
      <c r="I646" s="186">
        <f t="shared" si="344"/>
        <v>0</v>
      </c>
      <c r="J646" s="186">
        <f t="shared" si="344"/>
        <v>0</v>
      </c>
      <c r="K646" s="186">
        <f t="shared" si="344"/>
        <v>0</v>
      </c>
      <c r="L646" s="186">
        <f t="shared" si="344"/>
        <v>0</v>
      </c>
      <c r="M646" s="186">
        <f t="shared" si="344"/>
        <v>0</v>
      </c>
      <c r="N646" s="186">
        <f t="shared" si="344"/>
        <v>0</v>
      </c>
      <c r="O646" s="186">
        <f t="shared" si="344"/>
        <v>0</v>
      </c>
      <c r="P646" s="186">
        <f t="shared" si="344"/>
        <v>0</v>
      </c>
      <c r="Q646" s="186">
        <f t="shared" si="344"/>
        <v>0</v>
      </c>
      <c r="R646" s="186">
        <f t="shared" si="344"/>
        <v>0</v>
      </c>
      <c r="S646" s="186">
        <f t="shared" si="344"/>
        <v>0</v>
      </c>
      <c r="T646" s="186">
        <f t="shared" si="344"/>
        <v>0</v>
      </c>
      <c r="U646" s="186">
        <f t="shared" si="344"/>
        <v>0</v>
      </c>
      <c r="V646" s="186">
        <f t="shared" si="344"/>
        <v>0</v>
      </c>
      <c r="W646" s="186">
        <f t="shared" si="344"/>
        <v>0</v>
      </c>
      <c r="X646" s="186">
        <f t="shared" si="344"/>
        <v>0</v>
      </c>
      <c r="Y646" s="186">
        <f t="shared" si="344"/>
        <v>0</v>
      </c>
      <c r="Z646" s="186">
        <f t="shared" si="344"/>
        <v>0</v>
      </c>
      <c r="AA646" s="186">
        <f t="shared" si="344"/>
        <v>0</v>
      </c>
      <c r="AB646" s="186">
        <f t="shared" si="344"/>
        <v>0</v>
      </c>
      <c r="AC646" s="186">
        <f t="shared" si="344"/>
        <v>0</v>
      </c>
      <c r="AD646" s="186">
        <f t="shared" si="344"/>
        <v>0</v>
      </c>
      <c r="AE646" s="186">
        <f t="shared" si="344"/>
        <v>0</v>
      </c>
      <c r="AF646" s="186">
        <f t="shared" si="344"/>
        <v>0</v>
      </c>
      <c r="AG646" s="186">
        <f t="shared" si="344"/>
        <v>0</v>
      </c>
      <c r="AH646" s="186">
        <f t="shared" si="344"/>
        <v>0</v>
      </c>
      <c r="AI646" s="186">
        <f t="shared" si="344"/>
        <v>0</v>
      </c>
      <c r="AJ646" s="186">
        <f t="shared" si="344"/>
        <v>0</v>
      </c>
      <c r="AK646" s="186">
        <f t="shared" si="344"/>
        <v>0</v>
      </c>
      <c r="AL646" s="186">
        <f t="shared" si="344"/>
        <v>0</v>
      </c>
      <c r="AM646" s="186">
        <f t="shared" si="344"/>
        <v>0</v>
      </c>
      <c r="AN646" s="186">
        <f t="shared" si="344"/>
        <v>0</v>
      </c>
      <c r="AO646" s="186">
        <f t="shared" si="344"/>
        <v>0</v>
      </c>
      <c r="AP646" s="186">
        <f t="shared" si="344"/>
        <v>0</v>
      </c>
    </row>
    <row r="647" spans="1:42">
      <c r="A647" s="37">
        <f t="shared" si="345"/>
        <v>5</v>
      </c>
      <c r="B647" s="196">
        <f t="shared" si="343"/>
        <v>0</v>
      </c>
      <c r="C647" s="186">
        <f t="shared" si="344"/>
        <v>0</v>
      </c>
      <c r="D647" s="186">
        <f t="shared" si="344"/>
        <v>0</v>
      </c>
      <c r="E647" s="186">
        <f t="shared" si="344"/>
        <v>0</v>
      </c>
      <c r="F647" s="186">
        <f t="shared" si="344"/>
        <v>0</v>
      </c>
      <c r="G647" s="186">
        <f t="shared" si="344"/>
        <v>0</v>
      </c>
      <c r="H647" s="186">
        <f t="shared" si="344"/>
        <v>0</v>
      </c>
      <c r="I647" s="186">
        <f t="shared" si="344"/>
        <v>0</v>
      </c>
      <c r="J647" s="186">
        <f t="shared" si="344"/>
        <v>0</v>
      </c>
      <c r="K647" s="186">
        <f t="shared" si="344"/>
        <v>0</v>
      </c>
      <c r="L647" s="186">
        <f t="shared" si="344"/>
        <v>0</v>
      </c>
      <c r="M647" s="186">
        <f t="shared" si="344"/>
        <v>0</v>
      </c>
      <c r="N647" s="186">
        <f t="shared" si="344"/>
        <v>0</v>
      </c>
      <c r="O647" s="186">
        <f t="shared" si="344"/>
        <v>0</v>
      </c>
      <c r="P647" s="186">
        <f t="shared" si="344"/>
        <v>0</v>
      </c>
      <c r="Q647" s="186">
        <f t="shared" si="344"/>
        <v>0</v>
      </c>
      <c r="R647" s="186">
        <f t="shared" si="344"/>
        <v>0</v>
      </c>
      <c r="S647" s="186">
        <f t="shared" si="344"/>
        <v>0</v>
      </c>
      <c r="T647" s="186">
        <f t="shared" si="344"/>
        <v>0</v>
      </c>
      <c r="U647" s="186">
        <f t="shared" si="344"/>
        <v>0</v>
      </c>
      <c r="V647" s="186">
        <f t="shared" si="344"/>
        <v>0</v>
      </c>
      <c r="W647" s="186">
        <f t="shared" si="344"/>
        <v>0</v>
      </c>
      <c r="X647" s="186">
        <f t="shared" si="344"/>
        <v>0</v>
      </c>
      <c r="Y647" s="186">
        <f t="shared" si="344"/>
        <v>0</v>
      </c>
      <c r="Z647" s="186">
        <f t="shared" si="344"/>
        <v>0</v>
      </c>
      <c r="AA647" s="186">
        <f t="shared" si="344"/>
        <v>0</v>
      </c>
      <c r="AB647" s="186">
        <f t="shared" si="344"/>
        <v>0</v>
      </c>
      <c r="AC647" s="186">
        <f t="shared" si="344"/>
        <v>0</v>
      </c>
      <c r="AD647" s="186">
        <f t="shared" si="344"/>
        <v>0</v>
      </c>
      <c r="AE647" s="186">
        <f t="shared" si="344"/>
        <v>0</v>
      </c>
      <c r="AF647" s="186">
        <f t="shared" si="344"/>
        <v>0</v>
      </c>
      <c r="AG647" s="186">
        <f t="shared" si="344"/>
        <v>0</v>
      </c>
      <c r="AH647" s="186">
        <f t="shared" si="344"/>
        <v>0</v>
      </c>
      <c r="AI647" s="186">
        <f t="shared" si="344"/>
        <v>0</v>
      </c>
      <c r="AJ647" s="186">
        <f t="shared" si="344"/>
        <v>0</v>
      </c>
      <c r="AK647" s="186">
        <f t="shared" si="344"/>
        <v>0</v>
      </c>
      <c r="AL647" s="186">
        <f t="shared" si="344"/>
        <v>0</v>
      </c>
      <c r="AM647" s="186">
        <f t="shared" si="344"/>
        <v>0</v>
      </c>
      <c r="AN647" s="186">
        <f t="shared" si="344"/>
        <v>0</v>
      </c>
      <c r="AO647" s="186">
        <f t="shared" si="344"/>
        <v>0</v>
      </c>
      <c r="AP647" s="186">
        <f t="shared" si="344"/>
        <v>0</v>
      </c>
    </row>
    <row r="648" spans="1:42">
      <c r="A648" s="37">
        <f t="shared" si="345"/>
        <v>6</v>
      </c>
      <c r="B648" s="196">
        <f t="shared" si="343"/>
        <v>0</v>
      </c>
      <c r="C648" s="186">
        <f t="shared" si="344"/>
        <v>0</v>
      </c>
      <c r="D648" s="186">
        <f t="shared" si="344"/>
        <v>0</v>
      </c>
      <c r="E648" s="186">
        <f t="shared" si="344"/>
        <v>0</v>
      </c>
      <c r="F648" s="186">
        <f t="shared" si="344"/>
        <v>0</v>
      </c>
      <c r="G648" s="186">
        <f t="shared" si="344"/>
        <v>0</v>
      </c>
      <c r="H648" s="186">
        <f t="shared" si="344"/>
        <v>0</v>
      </c>
      <c r="I648" s="186">
        <f t="shared" si="344"/>
        <v>0</v>
      </c>
      <c r="J648" s="186">
        <f t="shared" si="344"/>
        <v>0</v>
      </c>
      <c r="K648" s="186">
        <f t="shared" si="344"/>
        <v>0</v>
      </c>
      <c r="L648" s="186">
        <f t="shared" si="344"/>
        <v>0</v>
      </c>
      <c r="M648" s="186">
        <f t="shared" si="344"/>
        <v>0</v>
      </c>
      <c r="N648" s="186">
        <f t="shared" si="344"/>
        <v>0</v>
      </c>
      <c r="O648" s="186">
        <f t="shared" si="344"/>
        <v>0</v>
      </c>
      <c r="P648" s="186">
        <f t="shared" si="344"/>
        <v>0</v>
      </c>
      <c r="Q648" s="186">
        <f t="shared" si="344"/>
        <v>0</v>
      </c>
      <c r="R648" s="186">
        <f t="shared" si="344"/>
        <v>0</v>
      </c>
      <c r="S648" s="186">
        <f t="shared" si="344"/>
        <v>0</v>
      </c>
      <c r="T648" s="186">
        <f t="shared" si="344"/>
        <v>0</v>
      </c>
      <c r="U648" s="186">
        <f t="shared" si="344"/>
        <v>0</v>
      </c>
      <c r="V648" s="186">
        <f t="shared" si="344"/>
        <v>0</v>
      </c>
      <c r="W648" s="186">
        <f t="shared" si="344"/>
        <v>0</v>
      </c>
      <c r="X648" s="186">
        <f t="shared" si="344"/>
        <v>0</v>
      </c>
      <c r="Y648" s="186">
        <f t="shared" si="344"/>
        <v>0</v>
      </c>
      <c r="Z648" s="186">
        <f t="shared" si="344"/>
        <v>0</v>
      </c>
      <c r="AA648" s="186">
        <f t="shared" si="344"/>
        <v>0</v>
      </c>
      <c r="AB648" s="186">
        <f t="shared" si="344"/>
        <v>0</v>
      </c>
      <c r="AC648" s="186">
        <f t="shared" si="344"/>
        <v>0</v>
      </c>
      <c r="AD648" s="186">
        <f t="shared" si="344"/>
        <v>0</v>
      </c>
      <c r="AE648" s="186">
        <f t="shared" si="344"/>
        <v>0</v>
      </c>
      <c r="AF648" s="186">
        <f t="shared" si="344"/>
        <v>0</v>
      </c>
      <c r="AG648" s="186">
        <f t="shared" si="344"/>
        <v>0</v>
      </c>
      <c r="AH648" s="186">
        <f t="shared" si="344"/>
        <v>0</v>
      </c>
      <c r="AI648" s="186">
        <f t="shared" si="344"/>
        <v>0</v>
      </c>
      <c r="AJ648" s="186">
        <f t="shared" si="344"/>
        <v>0</v>
      </c>
      <c r="AK648" s="186">
        <f t="shared" si="344"/>
        <v>0</v>
      </c>
      <c r="AL648" s="186">
        <f t="shared" si="344"/>
        <v>0</v>
      </c>
      <c r="AM648" s="186">
        <f t="shared" si="344"/>
        <v>0</v>
      </c>
      <c r="AN648" s="186">
        <f t="shared" si="344"/>
        <v>0</v>
      </c>
      <c r="AO648" s="186">
        <f t="shared" si="344"/>
        <v>0</v>
      </c>
      <c r="AP648" s="186">
        <f t="shared" si="344"/>
        <v>0</v>
      </c>
    </row>
    <row r="649" spans="1:42">
      <c r="A649" s="37">
        <f t="shared" si="345"/>
        <v>7</v>
      </c>
      <c r="B649" s="196">
        <f t="shared" si="343"/>
        <v>0</v>
      </c>
      <c r="C649" s="186">
        <f t="shared" si="344"/>
        <v>0</v>
      </c>
      <c r="D649" s="186">
        <f t="shared" si="344"/>
        <v>0</v>
      </c>
      <c r="E649" s="186">
        <f t="shared" si="344"/>
        <v>0</v>
      </c>
      <c r="F649" s="186">
        <f t="shared" si="344"/>
        <v>0</v>
      </c>
      <c r="G649" s="186">
        <f t="shared" si="344"/>
        <v>0</v>
      </c>
      <c r="H649" s="186">
        <f t="shared" si="344"/>
        <v>0</v>
      </c>
      <c r="I649" s="186">
        <f t="shared" si="344"/>
        <v>0</v>
      </c>
      <c r="J649" s="186">
        <f t="shared" si="344"/>
        <v>0</v>
      </c>
      <c r="K649" s="186">
        <f t="shared" si="344"/>
        <v>0</v>
      </c>
      <c r="L649" s="186">
        <f t="shared" si="344"/>
        <v>0</v>
      </c>
      <c r="M649" s="186">
        <f t="shared" si="344"/>
        <v>0</v>
      </c>
      <c r="N649" s="186">
        <f t="shared" si="344"/>
        <v>0</v>
      </c>
      <c r="O649" s="186">
        <f t="shared" si="344"/>
        <v>0</v>
      </c>
      <c r="P649" s="186">
        <f t="shared" si="344"/>
        <v>0</v>
      </c>
      <c r="Q649" s="186">
        <f t="shared" si="344"/>
        <v>0</v>
      </c>
      <c r="R649" s="186">
        <f t="shared" ref="R649:AP649" si="346">IF(R$2&gt;AnalysisPeriod,0,IF(R$2=MMFrequency2*$A649,MMCost2*CapacityDC*1000*(1+Inflation)^Q$2,0))</f>
        <v>0</v>
      </c>
      <c r="S649" s="186">
        <f t="shared" si="346"/>
        <v>0</v>
      </c>
      <c r="T649" s="186">
        <f t="shared" si="346"/>
        <v>0</v>
      </c>
      <c r="U649" s="186">
        <f t="shared" si="346"/>
        <v>0</v>
      </c>
      <c r="V649" s="186">
        <f t="shared" si="346"/>
        <v>0</v>
      </c>
      <c r="W649" s="186">
        <f t="shared" si="346"/>
        <v>0</v>
      </c>
      <c r="X649" s="186">
        <f t="shared" si="346"/>
        <v>0</v>
      </c>
      <c r="Y649" s="186">
        <f t="shared" si="346"/>
        <v>0</v>
      </c>
      <c r="Z649" s="186">
        <f t="shared" si="346"/>
        <v>0</v>
      </c>
      <c r="AA649" s="186">
        <f t="shared" si="346"/>
        <v>0</v>
      </c>
      <c r="AB649" s="186">
        <f t="shared" si="346"/>
        <v>0</v>
      </c>
      <c r="AC649" s="186">
        <f t="shared" si="346"/>
        <v>0</v>
      </c>
      <c r="AD649" s="186">
        <f t="shared" si="346"/>
        <v>0</v>
      </c>
      <c r="AE649" s="186">
        <f t="shared" si="346"/>
        <v>0</v>
      </c>
      <c r="AF649" s="186">
        <f t="shared" si="346"/>
        <v>0</v>
      </c>
      <c r="AG649" s="186">
        <f t="shared" si="346"/>
        <v>0</v>
      </c>
      <c r="AH649" s="186">
        <f t="shared" si="346"/>
        <v>0</v>
      </c>
      <c r="AI649" s="186">
        <f t="shared" si="346"/>
        <v>0</v>
      </c>
      <c r="AJ649" s="186">
        <f t="shared" si="346"/>
        <v>0</v>
      </c>
      <c r="AK649" s="186">
        <f t="shared" si="346"/>
        <v>0</v>
      </c>
      <c r="AL649" s="186">
        <f t="shared" si="346"/>
        <v>0</v>
      </c>
      <c r="AM649" s="186">
        <f t="shared" si="346"/>
        <v>0</v>
      </c>
      <c r="AN649" s="186">
        <f t="shared" si="346"/>
        <v>0</v>
      </c>
      <c r="AO649" s="186">
        <f t="shared" si="346"/>
        <v>0</v>
      </c>
      <c r="AP649" s="186">
        <f t="shared" si="346"/>
        <v>0</v>
      </c>
    </row>
    <row r="650" spans="1:42">
      <c r="A650" s="37">
        <f t="shared" si="345"/>
        <v>8</v>
      </c>
      <c r="B650" s="196">
        <f t="shared" si="343"/>
        <v>0</v>
      </c>
      <c r="C650" s="186">
        <f t="shared" ref="C650:AP652" si="347">IF(C$2&gt;AnalysisPeriod,0,IF(C$2=MMFrequency2*$A650,MMCost2*CapacityDC*1000*(1+Inflation)^B$2,0))</f>
        <v>0</v>
      </c>
      <c r="D650" s="186">
        <f t="shared" si="347"/>
        <v>0</v>
      </c>
      <c r="E650" s="186">
        <f t="shared" si="347"/>
        <v>0</v>
      </c>
      <c r="F650" s="186">
        <f t="shared" si="347"/>
        <v>0</v>
      </c>
      <c r="G650" s="186">
        <f t="shared" si="347"/>
        <v>0</v>
      </c>
      <c r="H650" s="186">
        <f t="shared" si="347"/>
        <v>0</v>
      </c>
      <c r="I650" s="186">
        <f t="shared" si="347"/>
        <v>0</v>
      </c>
      <c r="J650" s="186">
        <f t="shared" si="347"/>
        <v>0</v>
      </c>
      <c r="K650" s="186">
        <f t="shared" si="347"/>
        <v>0</v>
      </c>
      <c r="L650" s="186">
        <f t="shared" si="347"/>
        <v>0</v>
      </c>
      <c r="M650" s="186">
        <f t="shared" si="347"/>
        <v>0</v>
      </c>
      <c r="N650" s="186">
        <f t="shared" si="347"/>
        <v>0</v>
      </c>
      <c r="O650" s="186">
        <f t="shared" si="347"/>
        <v>0</v>
      </c>
      <c r="P650" s="186">
        <f t="shared" si="347"/>
        <v>0</v>
      </c>
      <c r="Q650" s="186">
        <f t="shared" si="347"/>
        <v>0</v>
      </c>
      <c r="R650" s="186">
        <f t="shared" si="347"/>
        <v>0</v>
      </c>
      <c r="S650" s="186">
        <f t="shared" si="347"/>
        <v>0</v>
      </c>
      <c r="T650" s="186">
        <f t="shared" si="347"/>
        <v>0</v>
      </c>
      <c r="U650" s="186">
        <f t="shared" si="347"/>
        <v>0</v>
      </c>
      <c r="V650" s="186">
        <f t="shared" si="347"/>
        <v>0</v>
      </c>
      <c r="W650" s="186">
        <f t="shared" si="347"/>
        <v>0</v>
      </c>
      <c r="X650" s="186">
        <f t="shared" si="347"/>
        <v>0</v>
      </c>
      <c r="Y650" s="186">
        <f t="shared" si="347"/>
        <v>0</v>
      </c>
      <c r="Z650" s="186">
        <f t="shared" si="347"/>
        <v>0</v>
      </c>
      <c r="AA650" s="186">
        <f t="shared" si="347"/>
        <v>0</v>
      </c>
      <c r="AB650" s="186">
        <f t="shared" si="347"/>
        <v>0</v>
      </c>
      <c r="AC650" s="186">
        <f t="shared" si="347"/>
        <v>0</v>
      </c>
      <c r="AD650" s="186">
        <f t="shared" si="347"/>
        <v>0</v>
      </c>
      <c r="AE650" s="186">
        <f t="shared" si="347"/>
        <v>0</v>
      </c>
      <c r="AF650" s="186">
        <f t="shared" si="347"/>
        <v>0</v>
      </c>
      <c r="AG650" s="186">
        <f t="shared" si="347"/>
        <v>0</v>
      </c>
      <c r="AH650" s="186">
        <f t="shared" si="347"/>
        <v>0</v>
      </c>
      <c r="AI650" s="186">
        <f t="shared" si="347"/>
        <v>0</v>
      </c>
      <c r="AJ650" s="186">
        <f t="shared" si="347"/>
        <v>0</v>
      </c>
      <c r="AK650" s="186">
        <f t="shared" si="347"/>
        <v>0</v>
      </c>
      <c r="AL650" s="186">
        <f t="shared" si="347"/>
        <v>0</v>
      </c>
      <c r="AM650" s="186">
        <f t="shared" si="347"/>
        <v>0</v>
      </c>
      <c r="AN650" s="186">
        <f t="shared" si="347"/>
        <v>0</v>
      </c>
      <c r="AO650" s="186">
        <f t="shared" si="347"/>
        <v>0</v>
      </c>
      <c r="AP650" s="186">
        <f t="shared" si="347"/>
        <v>0</v>
      </c>
    </row>
    <row r="651" spans="1:42">
      <c r="A651" s="37">
        <f>A650+1</f>
        <v>9</v>
      </c>
      <c r="B651" s="196">
        <f t="shared" si="343"/>
        <v>0</v>
      </c>
      <c r="C651" s="186">
        <f t="shared" si="347"/>
        <v>0</v>
      </c>
      <c r="D651" s="186">
        <f t="shared" si="347"/>
        <v>0</v>
      </c>
      <c r="E651" s="186">
        <f t="shared" si="347"/>
        <v>0</v>
      </c>
      <c r="F651" s="186">
        <f t="shared" si="347"/>
        <v>0</v>
      </c>
      <c r="G651" s="186">
        <f t="shared" si="347"/>
        <v>0</v>
      </c>
      <c r="H651" s="186">
        <f t="shared" si="347"/>
        <v>0</v>
      </c>
      <c r="I651" s="186">
        <f t="shared" si="347"/>
        <v>0</v>
      </c>
      <c r="J651" s="186">
        <f t="shared" si="347"/>
        <v>0</v>
      </c>
      <c r="K651" s="186">
        <f t="shared" si="347"/>
        <v>0</v>
      </c>
      <c r="L651" s="186">
        <f t="shared" si="347"/>
        <v>0</v>
      </c>
      <c r="M651" s="186">
        <f t="shared" si="347"/>
        <v>0</v>
      </c>
      <c r="N651" s="186">
        <f t="shared" si="347"/>
        <v>0</v>
      </c>
      <c r="O651" s="186">
        <f t="shared" si="347"/>
        <v>0</v>
      </c>
      <c r="P651" s="186">
        <f t="shared" si="347"/>
        <v>0</v>
      </c>
      <c r="Q651" s="186">
        <f t="shared" si="347"/>
        <v>0</v>
      </c>
      <c r="R651" s="186">
        <f t="shared" si="347"/>
        <v>0</v>
      </c>
      <c r="S651" s="186">
        <f t="shared" si="347"/>
        <v>0</v>
      </c>
      <c r="T651" s="186">
        <f t="shared" si="347"/>
        <v>0</v>
      </c>
      <c r="U651" s="186">
        <f t="shared" si="347"/>
        <v>0</v>
      </c>
      <c r="V651" s="186">
        <f t="shared" si="347"/>
        <v>0</v>
      </c>
      <c r="W651" s="186">
        <f t="shared" si="347"/>
        <v>0</v>
      </c>
      <c r="X651" s="186">
        <f t="shared" si="347"/>
        <v>0</v>
      </c>
      <c r="Y651" s="186">
        <f t="shared" si="347"/>
        <v>0</v>
      </c>
      <c r="Z651" s="186">
        <f t="shared" si="347"/>
        <v>0</v>
      </c>
      <c r="AA651" s="186">
        <f t="shared" si="347"/>
        <v>0</v>
      </c>
      <c r="AB651" s="186">
        <f t="shared" si="347"/>
        <v>0</v>
      </c>
      <c r="AC651" s="186">
        <f t="shared" si="347"/>
        <v>0</v>
      </c>
      <c r="AD651" s="186">
        <f t="shared" si="347"/>
        <v>0</v>
      </c>
      <c r="AE651" s="186">
        <f t="shared" si="347"/>
        <v>0</v>
      </c>
      <c r="AF651" s="186">
        <f t="shared" si="347"/>
        <v>0</v>
      </c>
      <c r="AG651" s="186">
        <f t="shared" si="347"/>
        <v>0</v>
      </c>
      <c r="AH651" s="186">
        <f t="shared" si="347"/>
        <v>0</v>
      </c>
      <c r="AI651" s="186">
        <f t="shared" si="347"/>
        <v>0</v>
      </c>
      <c r="AJ651" s="186">
        <f t="shared" si="347"/>
        <v>0</v>
      </c>
      <c r="AK651" s="186">
        <f t="shared" si="347"/>
        <v>0</v>
      </c>
      <c r="AL651" s="186">
        <f t="shared" si="347"/>
        <v>0</v>
      </c>
      <c r="AM651" s="186">
        <f t="shared" si="347"/>
        <v>0</v>
      </c>
      <c r="AN651" s="186">
        <f t="shared" si="347"/>
        <v>0</v>
      </c>
      <c r="AO651" s="186">
        <f t="shared" si="347"/>
        <v>0</v>
      </c>
      <c r="AP651" s="186">
        <f t="shared" si="347"/>
        <v>0</v>
      </c>
    </row>
    <row r="652" spans="1:42">
      <c r="A652" s="37">
        <f t="shared" si="345"/>
        <v>10</v>
      </c>
      <c r="B652" s="196">
        <f t="shared" si="343"/>
        <v>0</v>
      </c>
      <c r="C652" s="187">
        <f t="shared" si="347"/>
        <v>0</v>
      </c>
      <c r="D652" s="187">
        <f t="shared" si="347"/>
        <v>0</v>
      </c>
      <c r="E652" s="187">
        <f t="shared" si="347"/>
        <v>0</v>
      </c>
      <c r="F652" s="187">
        <f t="shared" si="347"/>
        <v>0</v>
      </c>
      <c r="G652" s="187">
        <f t="shared" si="347"/>
        <v>0</v>
      </c>
      <c r="H652" s="187">
        <f t="shared" si="347"/>
        <v>0</v>
      </c>
      <c r="I652" s="187">
        <f t="shared" si="347"/>
        <v>0</v>
      </c>
      <c r="J652" s="187">
        <f t="shared" si="347"/>
        <v>0</v>
      </c>
      <c r="K652" s="187">
        <f t="shared" si="347"/>
        <v>0</v>
      </c>
      <c r="L652" s="187">
        <f t="shared" si="347"/>
        <v>0</v>
      </c>
      <c r="M652" s="187">
        <f t="shared" si="347"/>
        <v>0</v>
      </c>
      <c r="N652" s="187">
        <f t="shared" si="347"/>
        <v>0</v>
      </c>
      <c r="O652" s="187">
        <f t="shared" si="347"/>
        <v>0</v>
      </c>
      <c r="P652" s="187">
        <f t="shared" si="347"/>
        <v>0</v>
      </c>
      <c r="Q652" s="187">
        <f t="shared" si="347"/>
        <v>0</v>
      </c>
      <c r="R652" s="187">
        <f t="shared" si="347"/>
        <v>0</v>
      </c>
      <c r="S652" s="187">
        <f t="shared" si="347"/>
        <v>0</v>
      </c>
      <c r="T652" s="187">
        <f t="shared" si="347"/>
        <v>0</v>
      </c>
      <c r="U652" s="187">
        <f t="shared" si="347"/>
        <v>0</v>
      </c>
      <c r="V652" s="187">
        <f t="shared" si="347"/>
        <v>0</v>
      </c>
      <c r="W652" s="187">
        <f t="shared" si="347"/>
        <v>0</v>
      </c>
      <c r="X652" s="187">
        <f t="shared" si="347"/>
        <v>0</v>
      </c>
      <c r="Y652" s="187">
        <f t="shared" si="347"/>
        <v>0</v>
      </c>
      <c r="Z652" s="187">
        <f t="shared" si="347"/>
        <v>0</v>
      </c>
      <c r="AA652" s="187">
        <f t="shared" si="347"/>
        <v>0</v>
      </c>
      <c r="AB652" s="187">
        <f t="shared" si="347"/>
        <v>0</v>
      </c>
      <c r="AC652" s="187">
        <f t="shared" si="347"/>
        <v>0</v>
      </c>
      <c r="AD652" s="187">
        <f t="shared" si="347"/>
        <v>0</v>
      </c>
      <c r="AE652" s="187">
        <f t="shared" si="347"/>
        <v>0</v>
      </c>
      <c r="AF652" s="187">
        <f t="shared" si="347"/>
        <v>0</v>
      </c>
      <c r="AG652" s="187">
        <f t="shared" si="347"/>
        <v>0</v>
      </c>
      <c r="AH652" s="187">
        <f t="shared" si="347"/>
        <v>0</v>
      </c>
      <c r="AI652" s="187">
        <f t="shared" si="347"/>
        <v>0</v>
      </c>
      <c r="AJ652" s="187">
        <f t="shared" si="347"/>
        <v>0</v>
      </c>
      <c r="AK652" s="187">
        <f t="shared" si="347"/>
        <v>0</v>
      </c>
      <c r="AL652" s="187">
        <f t="shared" si="347"/>
        <v>0</v>
      </c>
      <c r="AM652" s="187">
        <f t="shared" si="347"/>
        <v>0</v>
      </c>
      <c r="AN652" s="187">
        <f t="shared" si="347"/>
        <v>0</v>
      </c>
      <c r="AO652" s="187">
        <f t="shared" si="347"/>
        <v>0</v>
      </c>
      <c r="AP652" s="187">
        <f t="shared" si="347"/>
        <v>0</v>
      </c>
    </row>
    <row r="653" spans="1:42">
      <c r="A653" s="219" t="s">
        <v>53</v>
      </c>
      <c r="B653" s="186"/>
      <c r="C653" s="152">
        <f>SUM(C643:C652)</f>
        <v>0</v>
      </c>
      <c r="D653" s="152">
        <f t="shared" ref="D653:AP653" si="348">SUM(D643:D652)</f>
        <v>0</v>
      </c>
      <c r="E653" s="152">
        <f t="shared" si="348"/>
        <v>0</v>
      </c>
      <c r="F653" s="152">
        <f t="shared" si="348"/>
        <v>0</v>
      </c>
      <c r="G653" s="152">
        <f t="shared" si="348"/>
        <v>0</v>
      </c>
      <c r="H653" s="152">
        <f t="shared" si="348"/>
        <v>0</v>
      </c>
      <c r="I653" s="152">
        <f t="shared" si="348"/>
        <v>0</v>
      </c>
      <c r="J653" s="152">
        <f t="shared" si="348"/>
        <v>0</v>
      </c>
      <c r="K653" s="152">
        <f t="shared" si="348"/>
        <v>0</v>
      </c>
      <c r="L653" s="152">
        <f t="shared" si="348"/>
        <v>0</v>
      </c>
      <c r="M653" s="152">
        <f t="shared" si="348"/>
        <v>0</v>
      </c>
      <c r="N653" s="152">
        <f t="shared" si="348"/>
        <v>0</v>
      </c>
      <c r="O653" s="152">
        <f t="shared" si="348"/>
        <v>0</v>
      </c>
      <c r="P653" s="152">
        <f t="shared" si="348"/>
        <v>0</v>
      </c>
      <c r="Q653" s="152">
        <f t="shared" si="348"/>
        <v>6158778.6534697888</v>
      </c>
      <c r="R653" s="152">
        <f t="shared" si="348"/>
        <v>0</v>
      </c>
      <c r="S653" s="152">
        <f t="shared" si="348"/>
        <v>0</v>
      </c>
      <c r="T653" s="152">
        <f t="shared" si="348"/>
        <v>0</v>
      </c>
      <c r="U653" s="152">
        <f t="shared" si="348"/>
        <v>0</v>
      </c>
      <c r="V653" s="152">
        <f t="shared" si="348"/>
        <v>0</v>
      </c>
      <c r="W653" s="152">
        <f t="shared" si="348"/>
        <v>0</v>
      </c>
      <c r="X653" s="152">
        <f t="shared" si="348"/>
        <v>0</v>
      </c>
      <c r="Y653" s="152">
        <f t="shared" si="348"/>
        <v>0</v>
      </c>
      <c r="Z653" s="152">
        <f t="shared" si="348"/>
        <v>0</v>
      </c>
      <c r="AA653" s="152">
        <f t="shared" si="348"/>
        <v>0</v>
      </c>
      <c r="AB653" s="152">
        <f t="shared" si="348"/>
        <v>0</v>
      </c>
      <c r="AC653" s="152">
        <f t="shared" si="348"/>
        <v>0</v>
      </c>
      <c r="AD653" s="152">
        <f t="shared" si="348"/>
        <v>0</v>
      </c>
      <c r="AE653" s="152">
        <f t="shared" si="348"/>
        <v>0</v>
      </c>
      <c r="AF653" s="152">
        <f t="shared" si="348"/>
        <v>7699902.5639943341</v>
      </c>
      <c r="AG653" s="152">
        <f t="shared" si="348"/>
        <v>0</v>
      </c>
      <c r="AH653" s="152">
        <f t="shared" si="348"/>
        <v>0</v>
      </c>
      <c r="AI653" s="152">
        <f t="shared" si="348"/>
        <v>0</v>
      </c>
      <c r="AJ653" s="152">
        <f t="shared" si="348"/>
        <v>0</v>
      </c>
      <c r="AK653" s="152">
        <f t="shared" si="348"/>
        <v>0</v>
      </c>
      <c r="AL653" s="152">
        <f t="shared" si="348"/>
        <v>0</v>
      </c>
      <c r="AM653" s="152">
        <f t="shared" si="348"/>
        <v>0</v>
      </c>
      <c r="AN653" s="152">
        <f t="shared" si="348"/>
        <v>0</v>
      </c>
      <c r="AO653" s="152">
        <f t="shared" si="348"/>
        <v>0</v>
      </c>
      <c r="AP653" s="152">
        <f t="shared" si="348"/>
        <v>0</v>
      </c>
    </row>
    <row r="654" spans="1:42">
      <c r="A654" s="37" t="s">
        <v>199</v>
      </c>
      <c r="B654" s="152"/>
      <c r="C654" s="152"/>
      <c r="D654" s="152"/>
      <c r="E654" s="152"/>
      <c r="F654" s="152"/>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row>
    <row r="655" spans="1:42">
      <c r="A655" s="37">
        <v>1</v>
      </c>
      <c r="B655" s="255">
        <f t="shared" ref="B655:B664" si="349">SUM(C655:AP655)</f>
        <v>6158778.6534697879</v>
      </c>
      <c r="C655" s="186">
        <f t="shared" ref="C655:AP655" si="350">IF(C$2&lt;=MMFrequency2*$A$643,$B$643/(MMFrequency2),0)</f>
        <v>410585.24356465257</v>
      </c>
      <c r="D655" s="186">
        <f t="shared" si="350"/>
        <v>410585.24356465257</v>
      </c>
      <c r="E655" s="186">
        <f t="shared" si="350"/>
        <v>410585.24356465257</v>
      </c>
      <c r="F655" s="186">
        <f t="shared" si="350"/>
        <v>410585.24356465257</v>
      </c>
      <c r="G655" s="186">
        <f t="shared" si="350"/>
        <v>410585.24356465257</v>
      </c>
      <c r="H655" s="186">
        <f t="shared" si="350"/>
        <v>410585.24356465257</v>
      </c>
      <c r="I655" s="186">
        <f t="shared" si="350"/>
        <v>410585.24356465257</v>
      </c>
      <c r="J655" s="186">
        <f t="shared" si="350"/>
        <v>410585.24356465257</v>
      </c>
      <c r="K655" s="186">
        <f t="shared" si="350"/>
        <v>410585.24356465257</v>
      </c>
      <c r="L655" s="186">
        <f t="shared" si="350"/>
        <v>410585.24356465257</v>
      </c>
      <c r="M655" s="186">
        <f t="shared" si="350"/>
        <v>410585.24356465257</v>
      </c>
      <c r="N655" s="186">
        <f t="shared" si="350"/>
        <v>410585.24356465257</v>
      </c>
      <c r="O655" s="186">
        <f t="shared" si="350"/>
        <v>410585.24356465257</v>
      </c>
      <c r="P655" s="186">
        <f t="shared" si="350"/>
        <v>410585.24356465257</v>
      </c>
      <c r="Q655" s="186">
        <f t="shared" si="350"/>
        <v>410585.24356465257</v>
      </c>
      <c r="R655" s="186">
        <f t="shared" si="350"/>
        <v>0</v>
      </c>
      <c r="S655" s="186">
        <f t="shared" si="350"/>
        <v>0</v>
      </c>
      <c r="T655" s="186">
        <f t="shared" si="350"/>
        <v>0</v>
      </c>
      <c r="U655" s="186">
        <f t="shared" si="350"/>
        <v>0</v>
      </c>
      <c r="V655" s="186">
        <f t="shared" si="350"/>
        <v>0</v>
      </c>
      <c r="W655" s="186">
        <f t="shared" si="350"/>
        <v>0</v>
      </c>
      <c r="X655" s="186">
        <f t="shared" si="350"/>
        <v>0</v>
      </c>
      <c r="Y655" s="186">
        <f t="shared" si="350"/>
        <v>0</v>
      </c>
      <c r="Z655" s="186">
        <f t="shared" si="350"/>
        <v>0</v>
      </c>
      <c r="AA655" s="186">
        <f t="shared" si="350"/>
        <v>0</v>
      </c>
      <c r="AB655" s="186">
        <f t="shared" si="350"/>
        <v>0</v>
      </c>
      <c r="AC655" s="186">
        <f t="shared" si="350"/>
        <v>0</v>
      </c>
      <c r="AD655" s="186">
        <f t="shared" si="350"/>
        <v>0</v>
      </c>
      <c r="AE655" s="186">
        <f t="shared" si="350"/>
        <v>0</v>
      </c>
      <c r="AF655" s="186">
        <f t="shared" si="350"/>
        <v>0</v>
      </c>
      <c r="AG655" s="186">
        <f t="shared" si="350"/>
        <v>0</v>
      </c>
      <c r="AH655" s="186">
        <f t="shared" si="350"/>
        <v>0</v>
      </c>
      <c r="AI655" s="186">
        <f t="shared" si="350"/>
        <v>0</v>
      </c>
      <c r="AJ655" s="186">
        <f t="shared" si="350"/>
        <v>0</v>
      </c>
      <c r="AK655" s="186">
        <f t="shared" si="350"/>
        <v>0</v>
      </c>
      <c r="AL655" s="186">
        <f t="shared" si="350"/>
        <v>0</v>
      </c>
      <c r="AM655" s="186">
        <f t="shared" si="350"/>
        <v>0</v>
      </c>
      <c r="AN655" s="186">
        <f t="shared" si="350"/>
        <v>0</v>
      </c>
      <c r="AO655" s="186">
        <f t="shared" si="350"/>
        <v>0</v>
      </c>
      <c r="AP655" s="186">
        <f t="shared" si="350"/>
        <v>0</v>
      </c>
    </row>
    <row r="656" spans="1:42">
      <c r="A656" s="37">
        <f>A655+1</f>
        <v>2</v>
      </c>
      <c r="B656" s="255">
        <f t="shared" si="349"/>
        <v>7699902.5639943322</v>
      </c>
      <c r="C656" s="186">
        <f t="shared" ref="C656:AP662" si="351">IF(AND(C$2&gt;MMFrequency2*$A643,C$2&lt;=MMFrequency2*$A644),$B644/(MMFrequency2),0)</f>
        <v>0</v>
      </c>
      <c r="D656" s="186">
        <f t="shared" si="351"/>
        <v>0</v>
      </c>
      <c r="E656" s="186">
        <f t="shared" si="351"/>
        <v>0</v>
      </c>
      <c r="F656" s="186">
        <f t="shared" si="351"/>
        <v>0</v>
      </c>
      <c r="G656" s="186">
        <f t="shared" si="351"/>
        <v>0</v>
      </c>
      <c r="H656" s="186">
        <f t="shared" si="351"/>
        <v>0</v>
      </c>
      <c r="I656" s="186">
        <f t="shared" si="351"/>
        <v>0</v>
      </c>
      <c r="J656" s="186">
        <f t="shared" si="351"/>
        <v>0</v>
      </c>
      <c r="K656" s="186">
        <f t="shared" si="351"/>
        <v>0</v>
      </c>
      <c r="L656" s="186">
        <f t="shared" si="351"/>
        <v>0</v>
      </c>
      <c r="M656" s="186">
        <f t="shared" si="351"/>
        <v>0</v>
      </c>
      <c r="N656" s="186">
        <f t="shared" si="351"/>
        <v>0</v>
      </c>
      <c r="O656" s="186">
        <f t="shared" si="351"/>
        <v>0</v>
      </c>
      <c r="P656" s="186">
        <f t="shared" si="351"/>
        <v>0</v>
      </c>
      <c r="Q656" s="186">
        <f t="shared" si="351"/>
        <v>0</v>
      </c>
      <c r="R656" s="186">
        <f t="shared" si="351"/>
        <v>513326.83759962226</v>
      </c>
      <c r="S656" s="186">
        <f t="shared" si="351"/>
        <v>513326.83759962226</v>
      </c>
      <c r="T656" s="186">
        <f t="shared" si="351"/>
        <v>513326.83759962226</v>
      </c>
      <c r="U656" s="186">
        <f t="shared" si="351"/>
        <v>513326.83759962226</v>
      </c>
      <c r="V656" s="186">
        <f t="shared" si="351"/>
        <v>513326.83759962226</v>
      </c>
      <c r="W656" s="186">
        <f t="shared" si="351"/>
        <v>513326.83759962226</v>
      </c>
      <c r="X656" s="186">
        <f t="shared" si="351"/>
        <v>513326.83759962226</v>
      </c>
      <c r="Y656" s="186">
        <f t="shared" si="351"/>
        <v>513326.83759962226</v>
      </c>
      <c r="Z656" s="186">
        <f t="shared" si="351"/>
        <v>513326.83759962226</v>
      </c>
      <c r="AA656" s="186">
        <f t="shared" si="351"/>
        <v>513326.83759962226</v>
      </c>
      <c r="AB656" s="186">
        <f t="shared" si="351"/>
        <v>513326.83759962226</v>
      </c>
      <c r="AC656" s="186">
        <f t="shared" si="351"/>
        <v>513326.83759962226</v>
      </c>
      <c r="AD656" s="186">
        <f t="shared" si="351"/>
        <v>513326.83759962226</v>
      </c>
      <c r="AE656" s="186">
        <f t="shared" si="351"/>
        <v>513326.83759962226</v>
      </c>
      <c r="AF656" s="186">
        <f t="shared" si="351"/>
        <v>513326.83759962226</v>
      </c>
      <c r="AG656" s="186">
        <f t="shared" si="351"/>
        <v>0</v>
      </c>
      <c r="AH656" s="186">
        <f t="shared" si="351"/>
        <v>0</v>
      </c>
      <c r="AI656" s="186">
        <f t="shared" si="351"/>
        <v>0</v>
      </c>
      <c r="AJ656" s="186">
        <f t="shared" si="351"/>
        <v>0</v>
      </c>
      <c r="AK656" s="186">
        <f t="shared" si="351"/>
        <v>0</v>
      </c>
      <c r="AL656" s="186">
        <f t="shared" si="351"/>
        <v>0</v>
      </c>
      <c r="AM656" s="186">
        <f t="shared" si="351"/>
        <v>0</v>
      </c>
      <c r="AN656" s="186">
        <f t="shared" si="351"/>
        <v>0</v>
      </c>
      <c r="AO656" s="186">
        <f t="shared" si="351"/>
        <v>0</v>
      </c>
      <c r="AP656" s="186">
        <f t="shared" si="351"/>
        <v>0</v>
      </c>
    </row>
    <row r="657" spans="1:42">
      <c r="A657" s="37">
        <f t="shared" ref="A657:A662" si="352">A656+1</f>
        <v>3</v>
      </c>
      <c r="B657" s="255">
        <f t="shared" si="349"/>
        <v>0</v>
      </c>
      <c r="C657" s="186">
        <f t="shared" si="351"/>
        <v>0</v>
      </c>
      <c r="D657" s="186">
        <f t="shared" si="351"/>
        <v>0</v>
      </c>
      <c r="E657" s="186">
        <f t="shared" si="351"/>
        <v>0</v>
      </c>
      <c r="F657" s="186">
        <f t="shared" si="351"/>
        <v>0</v>
      </c>
      <c r="G657" s="186">
        <f t="shared" si="351"/>
        <v>0</v>
      </c>
      <c r="H657" s="186">
        <f t="shared" si="351"/>
        <v>0</v>
      </c>
      <c r="I657" s="186">
        <f t="shared" si="351"/>
        <v>0</v>
      </c>
      <c r="J657" s="186">
        <f t="shared" si="351"/>
        <v>0</v>
      </c>
      <c r="K657" s="186">
        <f t="shared" si="351"/>
        <v>0</v>
      </c>
      <c r="L657" s="186">
        <f t="shared" si="351"/>
        <v>0</v>
      </c>
      <c r="M657" s="186">
        <f t="shared" si="351"/>
        <v>0</v>
      </c>
      <c r="N657" s="186">
        <f t="shared" si="351"/>
        <v>0</v>
      </c>
      <c r="O657" s="186">
        <f t="shared" si="351"/>
        <v>0</v>
      </c>
      <c r="P657" s="186">
        <f t="shared" si="351"/>
        <v>0</v>
      </c>
      <c r="Q657" s="186">
        <f t="shared" si="351"/>
        <v>0</v>
      </c>
      <c r="R657" s="186">
        <f t="shared" si="351"/>
        <v>0</v>
      </c>
      <c r="S657" s="186">
        <f t="shared" si="351"/>
        <v>0</v>
      </c>
      <c r="T657" s="186">
        <f t="shared" si="351"/>
        <v>0</v>
      </c>
      <c r="U657" s="186">
        <f t="shared" si="351"/>
        <v>0</v>
      </c>
      <c r="V657" s="186">
        <f t="shared" si="351"/>
        <v>0</v>
      </c>
      <c r="W657" s="186">
        <f t="shared" si="351"/>
        <v>0</v>
      </c>
      <c r="X657" s="186">
        <f t="shared" si="351"/>
        <v>0</v>
      </c>
      <c r="Y657" s="186">
        <f t="shared" si="351"/>
        <v>0</v>
      </c>
      <c r="Z657" s="186">
        <f t="shared" si="351"/>
        <v>0</v>
      </c>
      <c r="AA657" s="186">
        <f t="shared" si="351"/>
        <v>0</v>
      </c>
      <c r="AB657" s="186">
        <f t="shared" si="351"/>
        <v>0</v>
      </c>
      <c r="AC657" s="186">
        <f t="shared" si="351"/>
        <v>0</v>
      </c>
      <c r="AD657" s="186">
        <f t="shared" si="351"/>
        <v>0</v>
      </c>
      <c r="AE657" s="186">
        <f t="shared" si="351"/>
        <v>0</v>
      </c>
      <c r="AF657" s="186">
        <f t="shared" si="351"/>
        <v>0</v>
      </c>
      <c r="AG657" s="186">
        <f t="shared" si="351"/>
        <v>0</v>
      </c>
      <c r="AH657" s="186">
        <f t="shared" si="351"/>
        <v>0</v>
      </c>
      <c r="AI657" s="186">
        <f t="shared" si="351"/>
        <v>0</v>
      </c>
      <c r="AJ657" s="186">
        <f t="shared" si="351"/>
        <v>0</v>
      </c>
      <c r="AK657" s="186">
        <f t="shared" si="351"/>
        <v>0</v>
      </c>
      <c r="AL657" s="186">
        <f t="shared" si="351"/>
        <v>0</v>
      </c>
      <c r="AM657" s="186">
        <f t="shared" si="351"/>
        <v>0</v>
      </c>
      <c r="AN657" s="186">
        <f t="shared" si="351"/>
        <v>0</v>
      </c>
      <c r="AO657" s="186">
        <f t="shared" si="351"/>
        <v>0</v>
      </c>
      <c r="AP657" s="186">
        <f t="shared" si="351"/>
        <v>0</v>
      </c>
    </row>
    <row r="658" spans="1:42">
      <c r="A658" s="37">
        <f t="shared" si="352"/>
        <v>4</v>
      </c>
      <c r="B658" s="255">
        <f t="shared" si="349"/>
        <v>0</v>
      </c>
      <c r="C658" s="186">
        <f t="shared" si="351"/>
        <v>0</v>
      </c>
      <c r="D658" s="186">
        <f t="shared" si="351"/>
        <v>0</v>
      </c>
      <c r="E658" s="186">
        <f t="shared" si="351"/>
        <v>0</v>
      </c>
      <c r="F658" s="186">
        <f t="shared" si="351"/>
        <v>0</v>
      </c>
      <c r="G658" s="186">
        <f t="shared" si="351"/>
        <v>0</v>
      </c>
      <c r="H658" s="186">
        <f t="shared" si="351"/>
        <v>0</v>
      </c>
      <c r="I658" s="186">
        <f t="shared" si="351"/>
        <v>0</v>
      </c>
      <c r="J658" s="186">
        <f t="shared" si="351"/>
        <v>0</v>
      </c>
      <c r="K658" s="186">
        <f t="shared" si="351"/>
        <v>0</v>
      </c>
      <c r="L658" s="186">
        <f t="shared" si="351"/>
        <v>0</v>
      </c>
      <c r="M658" s="186">
        <f t="shared" si="351"/>
        <v>0</v>
      </c>
      <c r="N658" s="186">
        <f t="shared" si="351"/>
        <v>0</v>
      </c>
      <c r="O658" s="186">
        <f t="shared" si="351"/>
        <v>0</v>
      </c>
      <c r="P658" s="186">
        <f t="shared" si="351"/>
        <v>0</v>
      </c>
      <c r="Q658" s="186">
        <f t="shared" si="351"/>
        <v>0</v>
      </c>
      <c r="R658" s="186">
        <f t="shared" si="351"/>
        <v>0</v>
      </c>
      <c r="S658" s="186">
        <f t="shared" si="351"/>
        <v>0</v>
      </c>
      <c r="T658" s="186">
        <f t="shared" si="351"/>
        <v>0</v>
      </c>
      <c r="U658" s="186">
        <f t="shared" si="351"/>
        <v>0</v>
      </c>
      <c r="V658" s="186">
        <f t="shared" si="351"/>
        <v>0</v>
      </c>
      <c r="W658" s="186">
        <f t="shared" si="351"/>
        <v>0</v>
      </c>
      <c r="X658" s="186">
        <f t="shared" si="351"/>
        <v>0</v>
      </c>
      <c r="Y658" s="186">
        <f t="shared" si="351"/>
        <v>0</v>
      </c>
      <c r="Z658" s="186">
        <f t="shared" si="351"/>
        <v>0</v>
      </c>
      <c r="AA658" s="186">
        <f t="shared" si="351"/>
        <v>0</v>
      </c>
      <c r="AB658" s="186">
        <f t="shared" si="351"/>
        <v>0</v>
      </c>
      <c r="AC658" s="186">
        <f t="shared" si="351"/>
        <v>0</v>
      </c>
      <c r="AD658" s="186">
        <f t="shared" si="351"/>
        <v>0</v>
      </c>
      <c r="AE658" s="186">
        <f t="shared" si="351"/>
        <v>0</v>
      </c>
      <c r="AF658" s="186">
        <f t="shared" si="351"/>
        <v>0</v>
      </c>
      <c r="AG658" s="186">
        <f t="shared" si="351"/>
        <v>0</v>
      </c>
      <c r="AH658" s="186">
        <f t="shared" si="351"/>
        <v>0</v>
      </c>
      <c r="AI658" s="186">
        <f t="shared" si="351"/>
        <v>0</v>
      </c>
      <c r="AJ658" s="186">
        <f t="shared" si="351"/>
        <v>0</v>
      </c>
      <c r="AK658" s="186">
        <f t="shared" si="351"/>
        <v>0</v>
      </c>
      <c r="AL658" s="186">
        <f t="shared" si="351"/>
        <v>0</v>
      </c>
      <c r="AM658" s="186">
        <f t="shared" si="351"/>
        <v>0</v>
      </c>
      <c r="AN658" s="186">
        <f t="shared" si="351"/>
        <v>0</v>
      </c>
      <c r="AO658" s="186">
        <f t="shared" si="351"/>
        <v>0</v>
      </c>
      <c r="AP658" s="186">
        <f t="shared" si="351"/>
        <v>0</v>
      </c>
    </row>
    <row r="659" spans="1:42">
      <c r="A659" s="37">
        <f t="shared" si="352"/>
        <v>5</v>
      </c>
      <c r="B659" s="255">
        <f t="shared" si="349"/>
        <v>0</v>
      </c>
      <c r="C659" s="186">
        <f t="shared" si="351"/>
        <v>0</v>
      </c>
      <c r="D659" s="186">
        <f t="shared" si="351"/>
        <v>0</v>
      </c>
      <c r="E659" s="186">
        <f t="shared" si="351"/>
        <v>0</v>
      </c>
      <c r="F659" s="186">
        <f t="shared" si="351"/>
        <v>0</v>
      </c>
      <c r="G659" s="186">
        <f t="shared" si="351"/>
        <v>0</v>
      </c>
      <c r="H659" s="186">
        <f t="shared" si="351"/>
        <v>0</v>
      </c>
      <c r="I659" s="186">
        <f t="shared" si="351"/>
        <v>0</v>
      </c>
      <c r="J659" s="186">
        <f t="shared" si="351"/>
        <v>0</v>
      </c>
      <c r="K659" s="186">
        <f t="shared" si="351"/>
        <v>0</v>
      </c>
      <c r="L659" s="186">
        <f t="shared" si="351"/>
        <v>0</v>
      </c>
      <c r="M659" s="186">
        <f t="shared" si="351"/>
        <v>0</v>
      </c>
      <c r="N659" s="186">
        <f t="shared" si="351"/>
        <v>0</v>
      </c>
      <c r="O659" s="186">
        <f t="shared" si="351"/>
        <v>0</v>
      </c>
      <c r="P659" s="186">
        <f t="shared" si="351"/>
        <v>0</v>
      </c>
      <c r="Q659" s="186">
        <f t="shared" si="351"/>
        <v>0</v>
      </c>
      <c r="R659" s="186">
        <f t="shared" si="351"/>
        <v>0</v>
      </c>
      <c r="S659" s="186">
        <f t="shared" si="351"/>
        <v>0</v>
      </c>
      <c r="T659" s="186">
        <f t="shared" si="351"/>
        <v>0</v>
      </c>
      <c r="U659" s="186">
        <f t="shared" si="351"/>
        <v>0</v>
      </c>
      <c r="V659" s="186">
        <f t="shared" si="351"/>
        <v>0</v>
      </c>
      <c r="W659" s="186">
        <f t="shared" si="351"/>
        <v>0</v>
      </c>
      <c r="X659" s="186">
        <f t="shared" si="351"/>
        <v>0</v>
      </c>
      <c r="Y659" s="186">
        <f t="shared" si="351"/>
        <v>0</v>
      </c>
      <c r="Z659" s="186">
        <f t="shared" si="351"/>
        <v>0</v>
      </c>
      <c r="AA659" s="186">
        <f t="shared" si="351"/>
        <v>0</v>
      </c>
      <c r="AB659" s="186">
        <f t="shared" si="351"/>
        <v>0</v>
      </c>
      <c r="AC659" s="186">
        <f t="shared" si="351"/>
        <v>0</v>
      </c>
      <c r="AD659" s="186">
        <f t="shared" si="351"/>
        <v>0</v>
      </c>
      <c r="AE659" s="186">
        <f t="shared" si="351"/>
        <v>0</v>
      </c>
      <c r="AF659" s="186">
        <f t="shared" si="351"/>
        <v>0</v>
      </c>
      <c r="AG659" s="186">
        <f t="shared" si="351"/>
        <v>0</v>
      </c>
      <c r="AH659" s="186">
        <f t="shared" si="351"/>
        <v>0</v>
      </c>
      <c r="AI659" s="186">
        <f t="shared" si="351"/>
        <v>0</v>
      </c>
      <c r="AJ659" s="186">
        <f t="shared" si="351"/>
        <v>0</v>
      </c>
      <c r="AK659" s="186">
        <f t="shared" si="351"/>
        <v>0</v>
      </c>
      <c r="AL659" s="186">
        <f t="shared" si="351"/>
        <v>0</v>
      </c>
      <c r="AM659" s="186">
        <f t="shared" si="351"/>
        <v>0</v>
      </c>
      <c r="AN659" s="186">
        <f t="shared" si="351"/>
        <v>0</v>
      </c>
      <c r="AO659" s="186">
        <f t="shared" si="351"/>
        <v>0</v>
      </c>
      <c r="AP659" s="186">
        <f t="shared" si="351"/>
        <v>0</v>
      </c>
    </row>
    <row r="660" spans="1:42">
      <c r="A660" s="37">
        <f t="shared" si="352"/>
        <v>6</v>
      </c>
      <c r="B660" s="255">
        <f t="shared" si="349"/>
        <v>0</v>
      </c>
      <c r="C660" s="186">
        <f t="shared" si="351"/>
        <v>0</v>
      </c>
      <c r="D660" s="186">
        <f t="shared" si="351"/>
        <v>0</v>
      </c>
      <c r="E660" s="186">
        <f t="shared" si="351"/>
        <v>0</v>
      </c>
      <c r="F660" s="186">
        <f t="shared" si="351"/>
        <v>0</v>
      </c>
      <c r="G660" s="186">
        <f t="shared" si="351"/>
        <v>0</v>
      </c>
      <c r="H660" s="186">
        <f t="shared" si="351"/>
        <v>0</v>
      </c>
      <c r="I660" s="186">
        <f t="shared" si="351"/>
        <v>0</v>
      </c>
      <c r="J660" s="186">
        <f t="shared" si="351"/>
        <v>0</v>
      </c>
      <c r="K660" s="186">
        <f t="shared" si="351"/>
        <v>0</v>
      </c>
      <c r="L660" s="186">
        <f t="shared" si="351"/>
        <v>0</v>
      </c>
      <c r="M660" s="186">
        <f t="shared" si="351"/>
        <v>0</v>
      </c>
      <c r="N660" s="186">
        <f t="shared" si="351"/>
        <v>0</v>
      </c>
      <c r="O660" s="186">
        <f t="shared" si="351"/>
        <v>0</v>
      </c>
      <c r="P660" s="186">
        <f t="shared" si="351"/>
        <v>0</v>
      </c>
      <c r="Q660" s="186">
        <f t="shared" si="351"/>
        <v>0</v>
      </c>
      <c r="R660" s="186">
        <f t="shared" si="351"/>
        <v>0</v>
      </c>
      <c r="S660" s="186">
        <f t="shared" si="351"/>
        <v>0</v>
      </c>
      <c r="T660" s="186">
        <f t="shared" si="351"/>
        <v>0</v>
      </c>
      <c r="U660" s="186">
        <f t="shared" si="351"/>
        <v>0</v>
      </c>
      <c r="V660" s="186">
        <f t="shared" si="351"/>
        <v>0</v>
      </c>
      <c r="W660" s="186">
        <f t="shared" si="351"/>
        <v>0</v>
      </c>
      <c r="X660" s="186">
        <f t="shared" si="351"/>
        <v>0</v>
      </c>
      <c r="Y660" s="186">
        <f t="shared" si="351"/>
        <v>0</v>
      </c>
      <c r="Z660" s="186">
        <f t="shared" si="351"/>
        <v>0</v>
      </c>
      <c r="AA660" s="186">
        <f t="shared" si="351"/>
        <v>0</v>
      </c>
      <c r="AB660" s="186">
        <f t="shared" si="351"/>
        <v>0</v>
      </c>
      <c r="AC660" s="186">
        <f t="shared" si="351"/>
        <v>0</v>
      </c>
      <c r="AD660" s="186">
        <f t="shared" si="351"/>
        <v>0</v>
      </c>
      <c r="AE660" s="186">
        <f t="shared" si="351"/>
        <v>0</v>
      </c>
      <c r="AF660" s="186">
        <f t="shared" si="351"/>
        <v>0</v>
      </c>
      <c r="AG660" s="186">
        <f t="shared" si="351"/>
        <v>0</v>
      </c>
      <c r="AH660" s="186">
        <f t="shared" si="351"/>
        <v>0</v>
      </c>
      <c r="AI660" s="186">
        <f t="shared" si="351"/>
        <v>0</v>
      </c>
      <c r="AJ660" s="186">
        <f t="shared" si="351"/>
        <v>0</v>
      </c>
      <c r="AK660" s="186">
        <f t="shared" si="351"/>
        <v>0</v>
      </c>
      <c r="AL660" s="186">
        <f t="shared" si="351"/>
        <v>0</v>
      </c>
      <c r="AM660" s="186">
        <f t="shared" si="351"/>
        <v>0</v>
      </c>
      <c r="AN660" s="186">
        <f t="shared" si="351"/>
        <v>0</v>
      </c>
      <c r="AO660" s="186">
        <f t="shared" si="351"/>
        <v>0</v>
      </c>
      <c r="AP660" s="186">
        <f t="shared" si="351"/>
        <v>0</v>
      </c>
    </row>
    <row r="661" spans="1:42">
      <c r="A661" s="37">
        <f t="shared" si="352"/>
        <v>7</v>
      </c>
      <c r="B661" s="255">
        <f t="shared" si="349"/>
        <v>0</v>
      </c>
      <c r="C661" s="186">
        <f t="shared" si="351"/>
        <v>0</v>
      </c>
      <c r="D661" s="186">
        <f t="shared" si="351"/>
        <v>0</v>
      </c>
      <c r="E661" s="186">
        <f t="shared" si="351"/>
        <v>0</v>
      </c>
      <c r="F661" s="186">
        <f t="shared" si="351"/>
        <v>0</v>
      </c>
      <c r="G661" s="186">
        <f t="shared" si="351"/>
        <v>0</v>
      </c>
      <c r="H661" s="186">
        <f t="shared" si="351"/>
        <v>0</v>
      </c>
      <c r="I661" s="186">
        <f t="shared" si="351"/>
        <v>0</v>
      </c>
      <c r="J661" s="186">
        <f t="shared" si="351"/>
        <v>0</v>
      </c>
      <c r="K661" s="186">
        <f t="shared" si="351"/>
        <v>0</v>
      </c>
      <c r="L661" s="186">
        <f t="shared" si="351"/>
        <v>0</v>
      </c>
      <c r="M661" s="186">
        <f t="shared" si="351"/>
        <v>0</v>
      </c>
      <c r="N661" s="186">
        <f t="shared" si="351"/>
        <v>0</v>
      </c>
      <c r="O661" s="186">
        <f t="shared" si="351"/>
        <v>0</v>
      </c>
      <c r="P661" s="186">
        <f t="shared" si="351"/>
        <v>0</v>
      </c>
      <c r="Q661" s="186">
        <f t="shared" si="351"/>
        <v>0</v>
      </c>
      <c r="R661" s="186">
        <f t="shared" si="351"/>
        <v>0</v>
      </c>
      <c r="S661" s="186">
        <f t="shared" si="351"/>
        <v>0</v>
      </c>
      <c r="T661" s="186">
        <f t="shared" si="351"/>
        <v>0</v>
      </c>
      <c r="U661" s="186">
        <f t="shared" si="351"/>
        <v>0</v>
      </c>
      <c r="V661" s="186">
        <f t="shared" si="351"/>
        <v>0</v>
      </c>
      <c r="W661" s="186">
        <f t="shared" si="351"/>
        <v>0</v>
      </c>
      <c r="X661" s="186">
        <f t="shared" si="351"/>
        <v>0</v>
      </c>
      <c r="Y661" s="186">
        <f t="shared" si="351"/>
        <v>0</v>
      </c>
      <c r="Z661" s="186">
        <f t="shared" si="351"/>
        <v>0</v>
      </c>
      <c r="AA661" s="186">
        <f t="shared" si="351"/>
        <v>0</v>
      </c>
      <c r="AB661" s="186">
        <f t="shared" si="351"/>
        <v>0</v>
      </c>
      <c r="AC661" s="186">
        <f t="shared" si="351"/>
        <v>0</v>
      </c>
      <c r="AD661" s="186">
        <f t="shared" si="351"/>
        <v>0</v>
      </c>
      <c r="AE661" s="186">
        <f t="shared" si="351"/>
        <v>0</v>
      </c>
      <c r="AF661" s="186">
        <f t="shared" si="351"/>
        <v>0</v>
      </c>
      <c r="AG661" s="186">
        <f t="shared" si="351"/>
        <v>0</v>
      </c>
      <c r="AH661" s="186">
        <f t="shared" si="351"/>
        <v>0</v>
      </c>
      <c r="AI661" s="186">
        <f t="shared" si="351"/>
        <v>0</v>
      </c>
      <c r="AJ661" s="186">
        <f t="shared" si="351"/>
        <v>0</v>
      </c>
      <c r="AK661" s="186">
        <f t="shared" si="351"/>
        <v>0</v>
      </c>
      <c r="AL661" s="186">
        <f t="shared" si="351"/>
        <v>0</v>
      </c>
      <c r="AM661" s="186">
        <f t="shared" si="351"/>
        <v>0</v>
      </c>
      <c r="AN661" s="186">
        <f t="shared" si="351"/>
        <v>0</v>
      </c>
      <c r="AO661" s="186">
        <f t="shared" si="351"/>
        <v>0</v>
      </c>
      <c r="AP661" s="186">
        <f t="shared" si="351"/>
        <v>0</v>
      </c>
    </row>
    <row r="662" spans="1:42">
      <c r="A662" s="37">
        <f t="shared" si="352"/>
        <v>8</v>
      </c>
      <c r="B662" s="255">
        <f t="shared" si="349"/>
        <v>0</v>
      </c>
      <c r="C662" s="186">
        <f t="shared" si="351"/>
        <v>0</v>
      </c>
      <c r="D662" s="186">
        <f t="shared" si="351"/>
        <v>0</v>
      </c>
      <c r="E662" s="186">
        <f t="shared" si="351"/>
        <v>0</v>
      </c>
      <c r="F662" s="186">
        <f t="shared" si="351"/>
        <v>0</v>
      </c>
      <c r="G662" s="186">
        <f t="shared" si="351"/>
        <v>0</v>
      </c>
      <c r="H662" s="186">
        <f t="shared" si="351"/>
        <v>0</v>
      </c>
      <c r="I662" s="186">
        <f t="shared" si="351"/>
        <v>0</v>
      </c>
      <c r="J662" s="186">
        <f t="shared" si="351"/>
        <v>0</v>
      </c>
      <c r="K662" s="186">
        <f t="shared" si="351"/>
        <v>0</v>
      </c>
      <c r="L662" s="186">
        <f t="shared" si="351"/>
        <v>0</v>
      </c>
      <c r="M662" s="186">
        <f t="shared" si="351"/>
        <v>0</v>
      </c>
      <c r="N662" s="186">
        <f t="shared" si="351"/>
        <v>0</v>
      </c>
      <c r="O662" s="186">
        <f t="shared" si="351"/>
        <v>0</v>
      </c>
      <c r="P662" s="186">
        <f t="shared" si="351"/>
        <v>0</v>
      </c>
      <c r="Q662" s="186">
        <f t="shared" si="351"/>
        <v>0</v>
      </c>
      <c r="R662" s="186">
        <f t="shared" ref="R662:AP662" si="353">IF(AND(R$2&gt;MMFrequency2*$A649,R$2&lt;=MMFrequency2*$A650),$B650/(MMFrequency2),0)</f>
        <v>0</v>
      </c>
      <c r="S662" s="186">
        <f t="shared" si="353"/>
        <v>0</v>
      </c>
      <c r="T662" s="186">
        <f t="shared" si="353"/>
        <v>0</v>
      </c>
      <c r="U662" s="186">
        <f t="shared" si="353"/>
        <v>0</v>
      </c>
      <c r="V662" s="186">
        <f t="shared" si="353"/>
        <v>0</v>
      </c>
      <c r="W662" s="186">
        <f t="shared" si="353"/>
        <v>0</v>
      </c>
      <c r="X662" s="186">
        <f t="shared" si="353"/>
        <v>0</v>
      </c>
      <c r="Y662" s="186">
        <f t="shared" si="353"/>
        <v>0</v>
      </c>
      <c r="Z662" s="186">
        <f t="shared" si="353"/>
        <v>0</v>
      </c>
      <c r="AA662" s="186">
        <f t="shared" si="353"/>
        <v>0</v>
      </c>
      <c r="AB662" s="186">
        <f t="shared" si="353"/>
        <v>0</v>
      </c>
      <c r="AC662" s="186">
        <f t="shared" si="353"/>
        <v>0</v>
      </c>
      <c r="AD662" s="186">
        <f t="shared" si="353"/>
        <v>0</v>
      </c>
      <c r="AE662" s="186">
        <f t="shared" si="353"/>
        <v>0</v>
      </c>
      <c r="AF662" s="186">
        <f t="shared" si="353"/>
        <v>0</v>
      </c>
      <c r="AG662" s="186">
        <f t="shared" si="353"/>
        <v>0</v>
      </c>
      <c r="AH662" s="186">
        <f t="shared" si="353"/>
        <v>0</v>
      </c>
      <c r="AI662" s="186">
        <f t="shared" si="353"/>
        <v>0</v>
      </c>
      <c r="AJ662" s="186">
        <f t="shared" si="353"/>
        <v>0</v>
      </c>
      <c r="AK662" s="186">
        <f t="shared" si="353"/>
        <v>0</v>
      </c>
      <c r="AL662" s="186">
        <f t="shared" si="353"/>
        <v>0</v>
      </c>
      <c r="AM662" s="186">
        <f t="shared" si="353"/>
        <v>0</v>
      </c>
      <c r="AN662" s="186">
        <f t="shared" si="353"/>
        <v>0</v>
      </c>
      <c r="AO662" s="186">
        <f t="shared" si="353"/>
        <v>0</v>
      </c>
      <c r="AP662" s="186">
        <f t="shared" si="353"/>
        <v>0</v>
      </c>
    </row>
    <row r="663" spans="1:42">
      <c r="A663" s="37">
        <f>A662+1</f>
        <v>9</v>
      </c>
      <c r="B663" s="255">
        <f t="shared" si="349"/>
        <v>0</v>
      </c>
      <c r="C663" s="186">
        <f t="shared" ref="C663:AP664" si="354">IF(AND(C$2&gt;MMFrequency2*$A650,C$2&lt;=MMFrequency2*$A651),$B651/(MMFrequency2),0)</f>
        <v>0</v>
      </c>
      <c r="D663" s="186">
        <f t="shared" si="354"/>
        <v>0</v>
      </c>
      <c r="E663" s="186">
        <f t="shared" si="354"/>
        <v>0</v>
      </c>
      <c r="F663" s="186">
        <f t="shared" si="354"/>
        <v>0</v>
      </c>
      <c r="G663" s="186">
        <f t="shared" si="354"/>
        <v>0</v>
      </c>
      <c r="H663" s="186">
        <f t="shared" si="354"/>
        <v>0</v>
      </c>
      <c r="I663" s="186">
        <f t="shared" si="354"/>
        <v>0</v>
      </c>
      <c r="J663" s="186">
        <f t="shared" si="354"/>
        <v>0</v>
      </c>
      <c r="K663" s="186">
        <f t="shared" si="354"/>
        <v>0</v>
      </c>
      <c r="L663" s="186">
        <f t="shared" si="354"/>
        <v>0</v>
      </c>
      <c r="M663" s="186">
        <f t="shared" si="354"/>
        <v>0</v>
      </c>
      <c r="N663" s="186">
        <f t="shared" si="354"/>
        <v>0</v>
      </c>
      <c r="O663" s="186">
        <f t="shared" si="354"/>
        <v>0</v>
      </c>
      <c r="P663" s="186">
        <f t="shared" si="354"/>
        <v>0</v>
      </c>
      <c r="Q663" s="186">
        <f t="shared" si="354"/>
        <v>0</v>
      </c>
      <c r="R663" s="186">
        <f t="shared" si="354"/>
        <v>0</v>
      </c>
      <c r="S663" s="186">
        <f t="shared" si="354"/>
        <v>0</v>
      </c>
      <c r="T663" s="186">
        <f t="shared" si="354"/>
        <v>0</v>
      </c>
      <c r="U663" s="186">
        <f t="shared" si="354"/>
        <v>0</v>
      </c>
      <c r="V663" s="186">
        <f t="shared" si="354"/>
        <v>0</v>
      </c>
      <c r="W663" s="186">
        <f t="shared" si="354"/>
        <v>0</v>
      </c>
      <c r="X663" s="186">
        <f t="shared" si="354"/>
        <v>0</v>
      </c>
      <c r="Y663" s="186">
        <f t="shared" si="354"/>
        <v>0</v>
      </c>
      <c r="Z663" s="186">
        <f t="shared" si="354"/>
        <v>0</v>
      </c>
      <c r="AA663" s="186">
        <f t="shared" si="354"/>
        <v>0</v>
      </c>
      <c r="AB663" s="186">
        <f t="shared" si="354"/>
        <v>0</v>
      </c>
      <c r="AC663" s="186">
        <f t="shared" si="354"/>
        <v>0</v>
      </c>
      <c r="AD663" s="186">
        <f t="shared" si="354"/>
        <v>0</v>
      </c>
      <c r="AE663" s="186">
        <f t="shared" si="354"/>
        <v>0</v>
      </c>
      <c r="AF663" s="186">
        <f t="shared" si="354"/>
        <v>0</v>
      </c>
      <c r="AG663" s="186">
        <f t="shared" si="354"/>
        <v>0</v>
      </c>
      <c r="AH663" s="186">
        <f t="shared" si="354"/>
        <v>0</v>
      </c>
      <c r="AI663" s="186">
        <f t="shared" si="354"/>
        <v>0</v>
      </c>
      <c r="AJ663" s="186">
        <f t="shared" si="354"/>
        <v>0</v>
      </c>
      <c r="AK663" s="186">
        <f t="shared" si="354"/>
        <v>0</v>
      </c>
      <c r="AL663" s="186">
        <f t="shared" si="354"/>
        <v>0</v>
      </c>
      <c r="AM663" s="186">
        <f t="shared" si="354"/>
        <v>0</v>
      </c>
      <c r="AN663" s="186">
        <f t="shared" si="354"/>
        <v>0</v>
      </c>
      <c r="AO663" s="186">
        <f t="shared" si="354"/>
        <v>0</v>
      </c>
      <c r="AP663" s="186">
        <f t="shared" si="354"/>
        <v>0</v>
      </c>
    </row>
    <row r="664" spans="1:42">
      <c r="A664" s="37">
        <f t="shared" ref="A664" si="355">A663+1</f>
        <v>10</v>
      </c>
      <c r="B664" s="255">
        <f t="shared" si="349"/>
        <v>0</v>
      </c>
      <c r="C664" s="187">
        <f t="shared" si="354"/>
        <v>0</v>
      </c>
      <c r="D664" s="187">
        <f t="shared" si="354"/>
        <v>0</v>
      </c>
      <c r="E664" s="187">
        <f t="shared" si="354"/>
        <v>0</v>
      </c>
      <c r="F664" s="187">
        <f t="shared" si="354"/>
        <v>0</v>
      </c>
      <c r="G664" s="187">
        <f t="shared" si="354"/>
        <v>0</v>
      </c>
      <c r="H664" s="187">
        <f t="shared" si="354"/>
        <v>0</v>
      </c>
      <c r="I664" s="187">
        <f t="shared" si="354"/>
        <v>0</v>
      </c>
      <c r="J664" s="187">
        <f t="shared" si="354"/>
        <v>0</v>
      </c>
      <c r="K664" s="187">
        <f t="shared" si="354"/>
        <v>0</v>
      </c>
      <c r="L664" s="187">
        <f t="shared" si="354"/>
        <v>0</v>
      </c>
      <c r="M664" s="187">
        <f t="shared" si="354"/>
        <v>0</v>
      </c>
      <c r="N664" s="187">
        <f t="shared" si="354"/>
        <v>0</v>
      </c>
      <c r="O664" s="187">
        <f t="shared" si="354"/>
        <v>0</v>
      </c>
      <c r="P664" s="187">
        <f t="shared" si="354"/>
        <v>0</v>
      </c>
      <c r="Q664" s="187">
        <f t="shared" si="354"/>
        <v>0</v>
      </c>
      <c r="R664" s="187">
        <f t="shared" si="354"/>
        <v>0</v>
      </c>
      <c r="S664" s="187">
        <f t="shared" si="354"/>
        <v>0</v>
      </c>
      <c r="T664" s="187">
        <f t="shared" si="354"/>
        <v>0</v>
      </c>
      <c r="U664" s="187">
        <f t="shared" si="354"/>
        <v>0</v>
      </c>
      <c r="V664" s="187">
        <f t="shared" si="354"/>
        <v>0</v>
      </c>
      <c r="W664" s="187">
        <f t="shared" si="354"/>
        <v>0</v>
      </c>
      <c r="X664" s="187">
        <f t="shared" si="354"/>
        <v>0</v>
      </c>
      <c r="Y664" s="187">
        <f t="shared" si="354"/>
        <v>0</v>
      </c>
      <c r="Z664" s="187">
        <f t="shared" si="354"/>
        <v>0</v>
      </c>
      <c r="AA664" s="187">
        <f t="shared" si="354"/>
        <v>0</v>
      </c>
      <c r="AB664" s="187">
        <f t="shared" si="354"/>
        <v>0</v>
      </c>
      <c r="AC664" s="187">
        <f t="shared" si="354"/>
        <v>0</v>
      </c>
      <c r="AD664" s="187">
        <f t="shared" si="354"/>
        <v>0</v>
      </c>
      <c r="AE664" s="187">
        <f t="shared" si="354"/>
        <v>0</v>
      </c>
      <c r="AF664" s="187">
        <f t="shared" si="354"/>
        <v>0</v>
      </c>
      <c r="AG664" s="187">
        <f t="shared" si="354"/>
        <v>0</v>
      </c>
      <c r="AH664" s="187">
        <f t="shared" si="354"/>
        <v>0</v>
      </c>
      <c r="AI664" s="187">
        <f t="shared" si="354"/>
        <v>0</v>
      </c>
      <c r="AJ664" s="187">
        <f t="shared" si="354"/>
        <v>0</v>
      </c>
      <c r="AK664" s="187">
        <f t="shared" si="354"/>
        <v>0</v>
      </c>
      <c r="AL664" s="187">
        <f t="shared" si="354"/>
        <v>0</v>
      </c>
      <c r="AM664" s="187">
        <f t="shared" si="354"/>
        <v>0</v>
      </c>
      <c r="AN664" s="187">
        <f t="shared" si="354"/>
        <v>0</v>
      </c>
      <c r="AO664" s="187">
        <f t="shared" si="354"/>
        <v>0</v>
      </c>
      <c r="AP664" s="187">
        <f t="shared" si="354"/>
        <v>0</v>
      </c>
    </row>
    <row r="665" spans="1:42">
      <c r="A665" s="219" t="s">
        <v>53</v>
      </c>
      <c r="B665" s="186"/>
      <c r="C665" s="152">
        <f>SUM(C655:C664)</f>
        <v>410585.24356465257</v>
      </c>
      <c r="D665" s="152">
        <f t="shared" ref="D665:AP665" si="356">SUM(D655:D664)</f>
        <v>410585.24356465257</v>
      </c>
      <c r="E665" s="152">
        <f t="shared" si="356"/>
        <v>410585.24356465257</v>
      </c>
      <c r="F665" s="152">
        <f t="shared" si="356"/>
        <v>410585.24356465257</v>
      </c>
      <c r="G665" s="152">
        <f t="shared" si="356"/>
        <v>410585.24356465257</v>
      </c>
      <c r="H665" s="152">
        <f t="shared" si="356"/>
        <v>410585.24356465257</v>
      </c>
      <c r="I665" s="152">
        <f t="shared" si="356"/>
        <v>410585.24356465257</v>
      </c>
      <c r="J665" s="152">
        <f t="shared" si="356"/>
        <v>410585.24356465257</v>
      </c>
      <c r="K665" s="152">
        <f t="shared" si="356"/>
        <v>410585.24356465257</v>
      </c>
      <c r="L665" s="152">
        <f t="shared" si="356"/>
        <v>410585.24356465257</v>
      </c>
      <c r="M665" s="152">
        <f t="shared" si="356"/>
        <v>410585.24356465257</v>
      </c>
      <c r="N665" s="152">
        <f t="shared" si="356"/>
        <v>410585.24356465257</v>
      </c>
      <c r="O665" s="152">
        <f t="shared" si="356"/>
        <v>410585.24356465257</v>
      </c>
      <c r="P665" s="152">
        <f t="shared" si="356"/>
        <v>410585.24356465257</v>
      </c>
      <c r="Q665" s="152">
        <f t="shared" si="356"/>
        <v>410585.24356465257</v>
      </c>
      <c r="R665" s="152">
        <f t="shared" si="356"/>
        <v>513326.83759962226</v>
      </c>
      <c r="S665" s="152">
        <f t="shared" si="356"/>
        <v>513326.83759962226</v>
      </c>
      <c r="T665" s="152">
        <f t="shared" si="356"/>
        <v>513326.83759962226</v>
      </c>
      <c r="U665" s="152">
        <f t="shared" si="356"/>
        <v>513326.83759962226</v>
      </c>
      <c r="V665" s="152">
        <f t="shared" si="356"/>
        <v>513326.83759962226</v>
      </c>
      <c r="W665" s="152">
        <f t="shared" si="356"/>
        <v>513326.83759962226</v>
      </c>
      <c r="X665" s="152">
        <f t="shared" si="356"/>
        <v>513326.83759962226</v>
      </c>
      <c r="Y665" s="152">
        <f t="shared" si="356"/>
        <v>513326.83759962226</v>
      </c>
      <c r="Z665" s="152">
        <f t="shared" si="356"/>
        <v>513326.83759962226</v>
      </c>
      <c r="AA665" s="152">
        <f t="shared" si="356"/>
        <v>513326.83759962226</v>
      </c>
      <c r="AB665" s="152">
        <f t="shared" si="356"/>
        <v>513326.83759962226</v>
      </c>
      <c r="AC665" s="152">
        <f t="shared" si="356"/>
        <v>513326.83759962226</v>
      </c>
      <c r="AD665" s="152">
        <f t="shared" si="356"/>
        <v>513326.83759962226</v>
      </c>
      <c r="AE665" s="152">
        <f t="shared" si="356"/>
        <v>513326.83759962226</v>
      </c>
      <c r="AF665" s="152">
        <f t="shared" si="356"/>
        <v>513326.83759962226</v>
      </c>
      <c r="AG665" s="152">
        <f t="shared" si="356"/>
        <v>0</v>
      </c>
      <c r="AH665" s="152">
        <f t="shared" si="356"/>
        <v>0</v>
      </c>
      <c r="AI665" s="152">
        <f t="shared" si="356"/>
        <v>0</v>
      </c>
      <c r="AJ665" s="152">
        <f t="shared" si="356"/>
        <v>0</v>
      </c>
      <c r="AK665" s="152">
        <f t="shared" si="356"/>
        <v>0</v>
      </c>
      <c r="AL665" s="152">
        <f t="shared" si="356"/>
        <v>0</v>
      </c>
      <c r="AM665" s="152">
        <f t="shared" si="356"/>
        <v>0</v>
      </c>
      <c r="AN665" s="152">
        <f t="shared" si="356"/>
        <v>0</v>
      </c>
      <c r="AO665" s="152">
        <f t="shared" si="356"/>
        <v>0</v>
      </c>
      <c r="AP665" s="152">
        <f t="shared" si="356"/>
        <v>0</v>
      </c>
    </row>
    <row r="666" spans="1:42">
      <c r="B666" s="186"/>
      <c r="C666" s="152"/>
      <c r="D666" s="152"/>
      <c r="E666" s="152"/>
      <c r="F666" s="152"/>
      <c r="G666" s="152"/>
      <c r="H666" s="152"/>
      <c r="I666" s="152"/>
      <c r="J666" s="152"/>
      <c r="K666" s="152"/>
      <c r="L666" s="152"/>
      <c r="M666" s="152"/>
      <c r="N666" s="152"/>
      <c r="O666" s="152"/>
      <c r="P666" s="152"/>
      <c r="Q666" s="152"/>
      <c r="R666" s="152"/>
      <c r="S666" s="152"/>
      <c r="T666" s="152"/>
      <c r="U666" s="152"/>
      <c r="V666" s="152"/>
      <c r="W666" s="152"/>
      <c r="X666" s="152"/>
      <c r="Y666" s="152"/>
      <c r="Z666" s="152"/>
      <c r="AA666" s="152"/>
      <c r="AB666" s="152"/>
      <c r="AC666" s="152"/>
      <c r="AD666" s="152"/>
      <c r="AE666" s="152"/>
      <c r="AF666" s="152"/>
      <c r="AG666" s="152"/>
      <c r="AH666" s="152"/>
      <c r="AI666" s="152"/>
      <c r="AJ666" s="152"/>
      <c r="AK666" s="152"/>
      <c r="AL666" s="152"/>
      <c r="AM666" s="152"/>
      <c r="AN666" s="152"/>
      <c r="AO666" s="152"/>
      <c r="AP666" s="152"/>
    </row>
    <row r="667" spans="1:42">
      <c r="A667" s="182" t="s">
        <v>364</v>
      </c>
      <c r="C667" s="152"/>
      <c r="D667" s="152"/>
      <c r="E667" s="152"/>
      <c r="F667" s="152"/>
      <c r="G667" s="152"/>
      <c r="H667" s="152"/>
      <c r="I667" s="152"/>
      <c r="J667" s="152"/>
      <c r="K667" s="152"/>
      <c r="L667" s="152"/>
      <c r="M667" s="152"/>
      <c r="N667" s="152"/>
      <c r="O667" s="152"/>
      <c r="P667" s="152"/>
      <c r="Q667" s="152"/>
      <c r="R667" s="152"/>
      <c r="S667" s="152"/>
      <c r="T667" s="152"/>
      <c r="U667" s="152"/>
      <c r="V667" s="152"/>
      <c r="W667" s="152"/>
      <c r="X667" s="152"/>
      <c r="Y667" s="152"/>
      <c r="Z667" s="152"/>
      <c r="AA667" s="152"/>
      <c r="AB667" s="152"/>
      <c r="AC667" s="152"/>
      <c r="AD667" s="152"/>
      <c r="AE667" s="152"/>
      <c r="AF667" s="152"/>
      <c r="AG667" s="152"/>
      <c r="AH667" s="152"/>
      <c r="AI667" s="152"/>
      <c r="AJ667" s="152"/>
      <c r="AK667" s="152"/>
      <c r="AL667" s="152"/>
      <c r="AM667" s="152"/>
      <c r="AN667" s="152"/>
      <c r="AO667" s="152"/>
      <c r="AP667" s="152"/>
    </row>
    <row r="668" spans="1:42">
      <c r="A668" s="37" t="s">
        <v>99</v>
      </c>
      <c r="B668" s="152">
        <v>0</v>
      </c>
      <c r="C668" s="152">
        <f>B671</f>
        <v>0</v>
      </c>
      <c r="D668" s="152">
        <f t="shared" ref="D668:AP668" si="357">C671</f>
        <v>34340.833333333321</v>
      </c>
      <c r="E668" s="152">
        <f t="shared" si="357"/>
        <v>68681.666666666642</v>
      </c>
      <c r="F668" s="152">
        <f t="shared" si="357"/>
        <v>0</v>
      </c>
      <c r="G668" s="152">
        <f t="shared" si="357"/>
        <v>35909.466796145811</v>
      </c>
      <c r="H668" s="152">
        <f t="shared" si="357"/>
        <v>71818.933592291622</v>
      </c>
      <c r="I668" s="152">
        <f t="shared" si="357"/>
        <v>0</v>
      </c>
      <c r="J668" s="152">
        <f t="shared" si="357"/>
        <v>37549.752886510192</v>
      </c>
      <c r="K668" s="152">
        <f t="shared" si="357"/>
        <v>75099.505773020384</v>
      </c>
      <c r="L668" s="152">
        <f t="shared" si="357"/>
        <v>0</v>
      </c>
      <c r="M668" s="152">
        <f t="shared" si="357"/>
        <v>39264.96458001752</v>
      </c>
      <c r="N668" s="152">
        <f t="shared" si="357"/>
        <v>78529.929160035041</v>
      </c>
      <c r="O668" s="152">
        <f t="shared" si="357"/>
        <v>0</v>
      </c>
      <c r="P668" s="152">
        <f t="shared" si="357"/>
        <v>41058.524356465256</v>
      </c>
      <c r="Q668" s="152">
        <f t="shared" si="357"/>
        <v>82117.048712930511</v>
      </c>
      <c r="R668" s="152">
        <f t="shared" si="357"/>
        <v>0</v>
      </c>
      <c r="S668" s="152">
        <f t="shared" si="357"/>
        <v>42934.011028966495</v>
      </c>
      <c r="T668" s="152">
        <f t="shared" si="357"/>
        <v>85868.022057932991</v>
      </c>
      <c r="U668" s="152">
        <f t="shared" si="357"/>
        <v>0</v>
      </c>
      <c r="V668" s="152">
        <f t="shared" si="357"/>
        <v>44895.166885001738</v>
      </c>
      <c r="W668" s="152">
        <f t="shared" si="357"/>
        <v>89790.333770003475</v>
      </c>
      <c r="X668" s="152">
        <f t="shared" si="357"/>
        <v>0</v>
      </c>
      <c r="Y668" s="152">
        <f t="shared" si="357"/>
        <v>46945.90515366241</v>
      </c>
      <c r="Z668" s="152">
        <f t="shared" si="357"/>
        <v>93891.81030732482</v>
      </c>
      <c r="AA668" s="152">
        <f t="shared" si="357"/>
        <v>0</v>
      </c>
      <c r="AB668" s="152">
        <f t="shared" si="357"/>
        <v>49090.317813985828</v>
      </c>
      <c r="AC668" s="152">
        <f t="shared" si="357"/>
        <v>98180.635627971657</v>
      </c>
      <c r="AD668" s="152">
        <f t="shared" si="357"/>
        <v>0</v>
      </c>
      <c r="AE668" s="152">
        <f t="shared" si="357"/>
        <v>51332.68375996223</v>
      </c>
      <c r="AF668" s="152">
        <f t="shared" si="357"/>
        <v>102665.36751992446</v>
      </c>
      <c r="AG668" s="152">
        <f t="shared" si="357"/>
        <v>0</v>
      </c>
      <c r="AH668" s="152">
        <f t="shared" si="357"/>
        <v>0</v>
      </c>
      <c r="AI668" s="152">
        <f t="shared" si="357"/>
        <v>0</v>
      </c>
      <c r="AJ668" s="152">
        <f t="shared" si="357"/>
        <v>0</v>
      </c>
      <c r="AK668" s="152">
        <f t="shared" si="357"/>
        <v>0</v>
      </c>
      <c r="AL668" s="152">
        <f t="shared" si="357"/>
        <v>0</v>
      </c>
      <c r="AM668" s="152">
        <f t="shared" si="357"/>
        <v>0</v>
      </c>
      <c r="AN668" s="152">
        <f t="shared" si="357"/>
        <v>0</v>
      </c>
      <c r="AO668" s="152">
        <f t="shared" si="357"/>
        <v>0</v>
      </c>
      <c r="AP668" s="152">
        <f t="shared" si="357"/>
        <v>0</v>
      </c>
    </row>
    <row r="669" spans="1:42">
      <c r="A669" s="37" t="s">
        <v>198</v>
      </c>
      <c r="B669" s="152">
        <v>0</v>
      </c>
      <c r="C669" s="152">
        <f>C697</f>
        <v>34340.833333333321</v>
      </c>
      <c r="D669" s="152">
        <f t="shared" ref="D669:AP669" si="358">D697</f>
        <v>34340.833333333321</v>
      </c>
      <c r="E669" s="152">
        <f t="shared" si="358"/>
        <v>34340.833333333321</v>
      </c>
      <c r="F669" s="152">
        <f t="shared" si="358"/>
        <v>35909.466796145811</v>
      </c>
      <c r="G669" s="152">
        <f t="shared" si="358"/>
        <v>35909.466796145811</v>
      </c>
      <c r="H669" s="152">
        <f t="shared" si="358"/>
        <v>35909.466796145811</v>
      </c>
      <c r="I669" s="152">
        <f t="shared" si="358"/>
        <v>37549.752886510192</v>
      </c>
      <c r="J669" s="152">
        <f t="shared" si="358"/>
        <v>37549.752886510192</v>
      </c>
      <c r="K669" s="152">
        <f t="shared" si="358"/>
        <v>37549.752886510192</v>
      </c>
      <c r="L669" s="152">
        <f t="shared" si="358"/>
        <v>39264.96458001752</v>
      </c>
      <c r="M669" s="152">
        <f t="shared" si="358"/>
        <v>39264.96458001752</v>
      </c>
      <c r="N669" s="152">
        <f t="shared" si="358"/>
        <v>39264.96458001752</v>
      </c>
      <c r="O669" s="152">
        <f t="shared" si="358"/>
        <v>41058.524356465256</v>
      </c>
      <c r="P669" s="152">
        <f t="shared" si="358"/>
        <v>41058.524356465256</v>
      </c>
      <c r="Q669" s="152">
        <f t="shared" si="358"/>
        <v>41058.524356465256</v>
      </c>
      <c r="R669" s="152">
        <f t="shared" si="358"/>
        <v>42934.011028966495</v>
      </c>
      <c r="S669" s="152">
        <f t="shared" si="358"/>
        <v>42934.011028966495</v>
      </c>
      <c r="T669" s="152">
        <f t="shared" si="358"/>
        <v>42934.011028966495</v>
      </c>
      <c r="U669" s="152">
        <f t="shared" si="358"/>
        <v>44895.166885001738</v>
      </c>
      <c r="V669" s="152">
        <f t="shared" si="358"/>
        <v>44895.166885001738</v>
      </c>
      <c r="W669" s="152">
        <f t="shared" si="358"/>
        <v>44895.166885001738</v>
      </c>
      <c r="X669" s="152">
        <f t="shared" si="358"/>
        <v>46945.90515366241</v>
      </c>
      <c r="Y669" s="152">
        <f t="shared" si="358"/>
        <v>46945.90515366241</v>
      </c>
      <c r="Z669" s="152">
        <f t="shared" si="358"/>
        <v>46945.90515366241</v>
      </c>
      <c r="AA669" s="152">
        <f t="shared" si="358"/>
        <v>49090.317813985828</v>
      </c>
      <c r="AB669" s="152">
        <f t="shared" si="358"/>
        <v>49090.317813985828</v>
      </c>
      <c r="AC669" s="152">
        <f t="shared" si="358"/>
        <v>49090.317813985828</v>
      </c>
      <c r="AD669" s="152">
        <f t="shared" si="358"/>
        <v>51332.68375996223</v>
      </c>
      <c r="AE669" s="152">
        <f t="shared" si="358"/>
        <v>51332.68375996223</v>
      </c>
      <c r="AF669" s="152">
        <f t="shared" si="358"/>
        <v>51332.68375996223</v>
      </c>
      <c r="AG669" s="152">
        <f t="shared" si="358"/>
        <v>0</v>
      </c>
      <c r="AH669" s="152">
        <f t="shared" si="358"/>
        <v>0</v>
      </c>
      <c r="AI669" s="152">
        <f t="shared" si="358"/>
        <v>0</v>
      </c>
      <c r="AJ669" s="152">
        <f t="shared" si="358"/>
        <v>0</v>
      </c>
      <c r="AK669" s="152">
        <f t="shared" si="358"/>
        <v>0</v>
      </c>
      <c r="AL669" s="152">
        <f t="shared" si="358"/>
        <v>0</v>
      </c>
      <c r="AM669" s="152">
        <f t="shared" si="358"/>
        <v>0</v>
      </c>
      <c r="AN669" s="152">
        <f t="shared" si="358"/>
        <v>0</v>
      </c>
      <c r="AO669" s="152">
        <f t="shared" si="358"/>
        <v>0</v>
      </c>
      <c r="AP669" s="152">
        <f t="shared" si="358"/>
        <v>0</v>
      </c>
    </row>
    <row r="670" spans="1:42">
      <c r="A670" s="37" t="s">
        <v>106</v>
      </c>
      <c r="B670" s="187">
        <v>0</v>
      </c>
      <c r="C670" s="187">
        <f>-C685</f>
        <v>0</v>
      </c>
      <c r="D670" s="187">
        <f t="shared" ref="D670:AP670" si="359">-D685</f>
        <v>0</v>
      </c>
      <c r="E670" s="187">
        <f t="shared" si="359"/>
        <v>-103022.49999999997</v>
      </c>
      <c r="F670" s="187">
        <f t="shared" si="359"/>
        <v>0</v>
      </c>
      <c r="G670" s="187">
        <f t="shared" si="359"/>
        <v>0</v>
      </c>
      <c r="H670" s="187">
        <f t="shared" si="359"/>
        <v>-107728.40038843743</v>
      </c>
      <c r="I670" s="187">
        <f t="shared" si="359"/>
        <v>0</v>
      </c>
      <c r="J670" s="187">
        <f t="shared" si="359"/>
        <v>0</v>
      </c>
      <c r="K670" s="187">
        <f t="shared" si="359"/>
        <v>-112649.25865953058</v>
      </c>
      <c r="L670" s="187">
        <f t="shared" si="359"/>
        <v>0</v>
      </c>
      <c r="M670" s="187">
        <f t="shared" si="359"/>
        <v>0</v>
      </c>
      <c r="N670" s="187">
        <f t="shared" si="359"/>
        <v>-117794.89374005256</v>
      </c>
      <c r="O670" s="187">
        <f t="shared" si="359"/>
        <v>0</v>
      </c>
      <c r="P670" s="187">
        <f t="shared" si="359"/>
        <v>0</v>
      </c>
      <c r="Q670" s="187">
        <f t="shared" si="359"/>
        <v>-123175.57306939577</v>
      </c>
      <c r="R670" s="187">
        <f t="shared" si="359"/>
        <v>0</v>
      </c>
      <c r="S670" s="187">
        <f t="shared" si="359"/>
        <v>0</v>
      </c>
      <c r="T670" s="187">
        <f t="shared" si="359"/>
        <v>-128802.03308689948</v>
      </c>
      <c r="U670" s="187">
        <f t="shared" si="359"/>
        <v>0</v>
      </c>
      <c r="V670" s="187">
        <f t="shared" si="359"/>
        <v>0</v>
      </c>
      <c r="W670" s="187">
        <f t="shared" si="359"/>
        <v>-134685.50065500522</v>
      </c>
      <c r="X670" s="187">
        <f t="shared" si="359"/>
        <v>0</v>
      </c>
      <c r="Y670" s="187">
        <f t="shared" si="359"/>
        <v>0</v>
      </c>
      <c r="Z670" s="187">
        <f t="shared" si="359"/>
        <v>-140837.71546098724</v>
      </c>
      <c r="AA670" s="187">
        <f t="shared" si="359"/>
        <v>0</v>
      </c>
      <c r="AB670" s="187">
        <f t="shared" si="359"/>
        <v>0</v>
      </c>
      <c r="AC670" s="187">
        <f t="shared" si="359"/>
        <v>-147270.95344195748</v>
      </c>
      <c r="AD670" s="187">
        <f t="shared" si="359"/>
        <v>0</v>
      </c>
      <c r="AE670" s="187">
        <f t="shared" si="359"/>
        <v>0</v>
      </c>
      <c r="AF670" s="187">
        <f t="shared" si="359"/>
        <v>-153998.05127988668</v>
      </c>
      <c r="AG670" s="187">
        <f t="shared" si="359"/>
        <v>0</v>
      </c>
      <c r="AH670" s="187">
        <f t="shared" si="359"/>
        <v>0</v>
      </c>
      <c r="AI670" s="187">
        <f t="shared" si="359"/>
        <v>0</v>
      </c>
      <c r="AJ670" s="187">
        <f t="shared" si="359"/>
        <v>0</v>
      </c>
      <c r="AK670" s="187">
        <f t="shared" si="359"/>
        <v>0</v>
      </c>
      <c r="AL670" s="187">
        <f t="shared" si="359"/>
        <v>0</v>
      </c>
      <c r="AM670" s="187">
        <f t="shared" si="359"/>
        <v>0</v>
      </c>
      <c r="AN670" s="187">
        <f t="shared" si="359"/>
        <v>0</v>
      </c>
      <c r="AO670" s="187">
        <f t="shared" si="359"/>
        <v>0</v>
      </c>
      <c r="AP670" s="187">
        <f t="shared" si="359"/>
        <v>0</v>
      </c>
    </row>
    <row r="671" spans="1:42">
      <c r="A671" s="37" t="s">
        <v>102</v>
      </c>
      <c r="B671" s="152">
        <f>SUM(B668:B670)</f>
        <v>0</v>
      </c>
      <c r="C671" s="152">
        <f>SUM(C668:C670)</f>
        <v>34340.833333333321</v>
      </c>
      <c r="D671" s="152">
        <f t="shared" ref="D671:AP671" si="360">SUM(D668:D670)</f>
        <v>68681.666666666642</v>
      </c>
      <c r="E671" s="152">
        <f t="shared" si="360"/>
        <v>0</v>
      </c>
      <c r="F671" s="152">
        <f t="shared" si="360"/>
        <v>35909.466796145811</v>
      </c>
      <c r="G671" s="152">
        <f t="shared" si="360"/>
        <v>71818.933592291622</v>
      </c>
      <c r="H671" s="152">
        <f t="shared" si="360"/>
        <v>0</v>
      </c>
      <c r="I671" s="152">
        <f t="shared" si="360"/>
        <v>37549.752886510192</v>
      </c>
      <c r="J671" s="152">
        <f t="shared" si="360"/>
        <v>75099.505773020384</v>
      </c>
      <c r="K671" s="152">
        <f t="shared" si="360"/>
        <v>0</v>
      </c>
      <c r="L671" s="152">
        <f t="shared" si="360"/>
        <v>39264.96458001752</v>
      </c>
      <c r="M671" s="152">
        <f t="shared" si="360"/>
        <v>78529.929160035041</v>
      </c>
      <c r="N671" s="152">
        <f t="shared" si="360"/>
        <v>0</v>
      </c>
      <c r="O671" s="152">
        <f t="shared" si="360"/>
        <v>41058.524356465256</v>
      </c>
      <c r="P671" s="152">
        <f t="shared" si="360"/>
        <v>82117.048712930511</v>
      </c>
      <c r="Q671" s="152">
        <f t="shared" si="360"/>
        <v>0</v>
      </c>
      <c r="R671" s="152">
        <f t="shared" si="360"/>
        <v>42934.011028966495</v>
      </c>
      <c r="S671" s="152">
        <f t="shared" si="360"/>
        <v>85868.022057932991</v>
      </c>
      <c r="T671" s="152">
        <f t="shared" si="360"/>
        <v>0</v>
      </c>
      <c r="U671" s="152">
        <f t="shared" si="360"/>
        <v>44895.166885001738</v>
      </c>
      <c r="V671" s="152">
        <f t="shared" si="360"/>
        <v>89790.333770003475</v>
      </c>
      <c r="W671" s="152">
        <f t="shared" si="360"/>
        <v>0</v>
      </c>
      <c r="X671" s="152">
        <f t="shared" si="360"/>
        <v>46945.90515366241</v>
      </c>
      <c r="Y671" s="152">
        <f t="shared" si="360"/>
        <v>93891.81030732482</v>
      </c>
      <c r="Z671" s="152">
        <f t="shared" si="360"/>
        <v>0</v>
      </c>
      <c r="AA671" s="152">
        <f t="shared" si="360"/>
        <v>49090.317813985828</v>
      </c>
      <c r="AB671" s="152">
        <f t="shared" si="360"/>
        <v>98180.635627971657</v>
      </c>
      <c r="AC671" s="152">
        <f t="shared" si="360"/>
        <v>0</v>
      </c>
      <c r="AD671" s="152">
        <f t="shared" si="360"/>
        <v>51332.68375996223</v>
      </c>
      <c r="AE671" s="152">
        <f t="shared" si="360"/>
        <v>102665.36751992446</v>
      </c>
      <c r="AF671" s="152">
        <f t="shared" si="360"/>
        <v>0</v>
      </c>
      <c r="AG671" s="152">
        <f t="shared" si="360"/>
        <v>0</v>
      </c>
      <c r="AH671" s="152">
        <f t="shared" si="360"/>
        <v>0</v>
      </c>
      <c r="AI671" s="152">
        <f t="shared" si="360"/>
        <v>0</v>
      </c>
      <c r="AJ671" s="152">
        <f t="shared" si="360"/>
        <v>0</v>
      </c>
      <c r="AK671" s="152">
        <f t="shared" si="360"/>
        <v>0</v>
      </c>
      <c r="AL671" s="152">
        <f t="shared" si="360"/>
        <v>0</v>
      </c>
      <c r="AM671" s="152">
        <f t="shared" si="360"/>
        <v>0</v>
      </c>
      <c r="AN671" s="152">
        <f t="shared" si="360"/>
        <v>0</v>
      </c>
      <c r="AO671" s="152">
        <f t="shared" si="360"/>
        <v>0</v>
      </c>
      <c r="AP671" s="152">
        <f t="shared" si="360"/>
        <v>0</v>
      </c>
    </row>
    <row r="672" spans="1:42">
      <c r="B672" s="152"/>
      <c r="C672" s="152"/>
      <c r="D672" s="152"/>
      <c r="E672" s="152"/>
      <c r="F672" s="152"/>
      <c r="G672" s="186"/>
      <c r="H672" s="186"/>
      <c r="I672" s="186"/>
      <c r="J672" s="186"/>
      <c r="K672" s="186"/>
      <c r="L672" s="186"/>
      <c r="M672" s="186"/>
      <c r="N672" s="186"/>
      <c r="O672" s="186"/>
      <c r="P672" s="186"/>
      <c r="Q672" s="186"/>
      <c r="R672" s="186"/>
      <c r="S672" s="186"/>
      <c r="T672" s="186"/>
      <c r="U672" s="186"/>
      <c r="V672" s="186"/>
      <c r="W672" s="186"/>
      <c r="X672" s="186"/>
      <c r="Y672" s="186"/>
      <c r="Z672" s="186"/>
      <c r="AA672" s="186"/>
      <c r="AB672" s="186"/>
      <c r="AC672" s="186"/>
      <c r="AD672" s="186"/>
      <c r="AE672" s="186"/>
      <c r="AF672" s="186"/>
      <c r="AG672" s="186"/>
      <c r="AH672" s="186"/>
      <c r="AI672" s="186"/>
      <c r="AJ672" s="186"/>
      <c r="AK672" s="186"/>
      <c r="AL672" s="186"/>
      <c r="AM672" s="186"/>
      <c r="AN672" s="186"/>
      <c r="AO672" s="186"/>
      <c r="AP672" s="186"/>
    </row>
    <row r="673" spans="1:42">
      <c r="A673" s="37" t="s">
        <v>196</v>
      </c>
      <c r="B673" s="152"/>
      <c r="C673" s="152"/>
      <c r="D673" s="152"/>
      <c r="E673" s="152"/>
      <c r="F673" s="152"/>
      <c r="G673" s="186"/>
      <c r="H673" s="186"/>
      <c r="I673" s="186"/>
      <c r="J673" s="186"/>
      <c r="K673" s="186"/>
      <c r="L673" s="186"/>
      <c r="M673" s="186"/>
      <c r="N673" s="186"/>
      <c r="O673" s="186"/>
      <c r="P673" s="186"/>
      <c r="Q673" s="186"/>
      <c r="R673" s="186"/>
      <c r="S673" s="186"/>
      <c r="T673" s="186"/>
      <c r="U673" s="186"/>
      <c r="V673" s="186"/>
      <c r="W673" s="186"/>
      <c r="X673" s="186"/>
      <c r="Y673" s="186"/>
      <c r="Z673" s="186"/>
      <c r="AA673" s="186"/>
      <c r="AB673" s="186"/>
      <c r="AC673" s="186"/>
      <c r="AD673" s="186"/>
      <c r="AE673" s="186"/>
      <c r="AF673" s="186"/>
      <c r="AG673" s="186"/>
      <c r="AH673" s="186"/>
      <c r="AI673" s="186"/>
      <c r="AJ673" s="186"/>
      <c r="AK673" s="186"/>
      <c r="AL673" s="186"/>
      <c r="AM673" s="186"/>
      <c r="AN673" s="186"/>
      <c r="AO673" s="186"/>
      <c r="AP673" s="186"/>
    </row>
    <row r="674" spans="1:42">
      <c r="A674" s="37" t="s">
        <v>197</v>
      </c>
      <c r="B674" s="152"/>
      <c r="C674" s="152"/>
      <c r="D674" s="152"/>
      <c r="E674" s="152"/>
      <c r="F674" s="152"/>
      <c r="G674" s="186"/>
      <c r="H674" s="186"/>
      <c r="I674" s="186"/>
      <c r="J674" s="186"/>
      <c r="K674" s="186"/>
      <c r="L674" s="186"/>
      <c r="M674" s="186"/>
      <c r="N674" s="186"/>
      <c r="O674" s="186"/>
      <c r="P674" s="186"/>
      <c r="Q674" s="186"/>
      <c r="R674" s="186"/>
      <c r="S674" s="186"/>
      <c r="T674" s="186"/>
      <c r="U674" s="186"/>
      <c r="V674" s="186"/>
      <c r="W674" s="186"/>
      <c r="X674" s="186"/>
      <c r="Y674" s="186"/>
      <c r="Z674" s="186"/>
      <c r="AA674" s="186"/>
      <c r="AB674" s="186"/>
      <c r="AC674" s="186"/>
      <c r="AD674" s="186"/>
      <c r="AE674" s="186"/>
      <c r="AF674" s="186"/>
      <c r="AG674" s="186"/>
      <c r="AH674" s="186"/>
      <c r="AI674" s="186"/>
      <c r="AJ674" s="186"/>
      <c r="AK674" s="186"/>
      <c r="AL674" s="186"/>
      <c r="AM674" s="186"/>
      <c r="AN674" s="186"/>
      <c r="AO674" s="186"/>
      <c r="AP674" s="186"/>
    </row>
    <row r="675" spans="1:42">
      <c r="A675" s="37">
        <v>1</v>
      </c>
      <c r="B675" s="255">
        <f t="shared" ref="B675:B684" si="361">SUM(C675:AP675)</f>
        <v>103022.49999999997</v>
      </c>
      <c r="C675" s="186">
        <f t="shared" ref="C675:AP681" si="362">IF(C$2&gt;AnalysisPeriod,0,IF(C$2=MMFrequency3*$A675,MMCost3*CapacityDC*1000*(1+Inflation)^B$2,0))</f>
        <v>0</v>
      </c>
      <c r="D675" s="186">
        <f t="shared" si="362"/>
        <v>0</v>
      </c>
      <c r="E675" s="186">
        <f t="shared" si="362"/>
        <v>103022.49999999997</v>
      </c>
      <c r="F675" s="186">
        <f t="shared" si="362"/>
        <v>0</v>
      </c>
      <c r="G675" s="186">
        <f t="shared" si="362"/>
        <v>0</v>
      </c>
      <c r="H675" s="186">
        <f t="shared" si="362"/>
        <v>0</v>
      </c>
      <c r="I675" s="186">
        <f t="shared" si="362"/>
        <v>0</v>
      </c>
      <c r="J675" s="186">
        <f t="shared" si="362"/>
        <v>0</v>
      </c>
      <c r="K675" s="186">
        <f t="shared" si="362"/>
        <v>0</v>
      </c>
      <c r="L675" s="186">
        <f t="shared" si="362"/>
        <v>0</v>
      </c>
      <c r="M675" s="186">
        <f t="shared" si="362"/>
        <v>0</v>
      </c>
      <c r="N675" s="186">
        <f t="shared" si="362"/>
        <v>0</v>
      </c>
      <c r="O675" s="186">
        <f t="shared" si="362"/>
        <v>0</v>
      </c>
      <c r="P675" s="186">
        <f t="shared" si="362"/>
        <v>0</v>
      </c>
      <c r="Q675" s="186">
        <f t="shared" si="362"/>
        <v>0</v>
      </c>
      <c r="R675" s="186">
        <f t="shared" si="362"/>
        <v>0</v>
      </c>
      <c r="S675" s="186">
        <f t="shared" si="362"/>
        <v>0</v>
      </c>
      <c r="T675" s="186">
        <f t="shared" si="362"/>
        <v>0</v>
      </c>
      <c r="U675" s="186">
        <f t="shared" si="362"/>
        <v>0</v>
      </c>
      <c r="V675" s="186">
        <f t="shared" si="362"/>
        <v>0</v>
      </c>
      <c r="W675" s="186">
        <f t="shared" si="362"/>
        <v>0</v>
      </c>
      <c r="X675" s="186">
        <f t="shared" si="362"/>
        <v>0</v>
      </c>
      <c r="Y675" s="186">
        <f t="shared" si="362"/>
        <v>0</v>
      </c>
      <c r="Z675" s="186">
        <f t="shared" si="362"/>
        <v>0</v>
      </c>
      <c r="AA675" s="186">
        <f t="shared" si="362"/>
        <v>0</v>
      </c>
      <c r="AB675" s="186">
        <f t="shared" si="362"/>
        <v>0</v>
      </c>
      <c r="AC675" s="186">
        <f t="shared" si="362"/>
        <v>0</v>
      </c>
      <c r="AD675" s="186">
        <f t="shared" si="362"/>
        <v>0</v>
      </c>
      <c r="AE675" s="186">
        <f t="shared" si="362"/>
        <v>0</v>
      </c>
      <c r="AF675" s="186">
        <f t="shared" si="362"/>
        <v>0</v>
      </c>
      <c r="AG675" s="186">
        <f t="shared" si="362"/>
        <v>0</v>
      </c>
      <c r="AH675" s="186">
        <f t="shared" si="362"/>
        <v>0</v>
      </c>
      <c r="AI675" s="186">
        <f t="shared" si="362"/>
        <v>0</v>
      </c>
      <c r="AJ675" s="186">
        <f t="shared" si="362"/>
        <v>0</v>
      </c>
      <c r="AK675" s="186">
        <f t="shared" si="362"/>
        <v>0</v>
      </c>
      <c r="AL675" s="186">
        <f t="shared" si="362"/>
        <v>0</v>
      </c>
      <c r="AM675" s="186">
        <f t="shared" si="362"/>
        <v>0</v>
      </c>
      <c r="AN675" s="186">
        <f t="shared" si="362"/>
        <v>0</v>
      </c>
      <c r="AO675" s="186">
        <f t="shared" si="362"/>
        <v>0</v>
      </c>
      <c r="AP675" s="186">
        <f t="shared" si="362"/>
        <v>0</v>
      </c>
    </row>
    <row r="676" spans="1:42">
      <c r="A676" s="37">
        <f>A675+1</f>
        <v>2</v>
      </c>
      <c r="B676" s="255">
        <f t="shared" si="361"/>
        <v>107728.40038843743</v>
      </c>
      <c r="C676" s="186">
        <f t="shared" si="362"/>
        <v>0</v>
      </c>
      <c r="D676" s="186">
        <f t="shared" si="362"/>
        <v>0</v>
      </c>
      <c r="E676" s="186">
        <f t="shared" si="362"/>
        <v>0</v>
      </c>
      <c r="F676" s="186">
        <f t="shared" si="362"/>
        <v>0</v>
      </c>
      <c r="G676" s="186">
        <f t="shared" si="362"/>
        <v>0</v>
      </c>
      <c r="H676" s="186">
        <f t="shared" si="362"/>
        <v>107728.40038843743</v>
      </c>
      <c r="I676" s="186">
        <f t="shared" si="362"/>
        <v>0</v>
      </c>
      <c r="J676" s="186">
        <f t="shared" si="362"/>
        <v>0</v>
      </c>
      <c r="K676" s="186">
        <f t="shared" si="362"/>
        <v>0</v>
      </c>
      <c r="L676" s="186">
        <f t="shared" si="362"/>
        <v>0</v>
      </c>
      <c r="M676" s="186">
        <f t="shared" si="362"/>
        <v>0</v>
      </c>
      <c r="N676" s="186">
        <f t="shared" si="362"/>
        <v>0</v>
      </c>
      <c r="O676" s="186">
        <f t="shared" si="362"/>
        <v>0</v>
      </c>
      <c r="P676" s="186">
        <f t="shared" si="362"/>
        <v>0</v>
      </c>
      <c r="Q676" s="186">
        <f t="shared" si="362"/>
        <v>0</v>
      </c>
      <c r="R676" s="186">
        <f t="shared" si="362"/>
        <v>0</v>
      </c>
      <c r="S676" s="186">
        <f t="shared" si="362"/>
        <v>0</v>
      </c>
      <c r="T676" s="186">
        <f t="shared" si="362"/>
        <v>0</v>
      </c>
      <c r="U676" s="186">
        <f t="shared" si="362"/>
        <v>0</v>
      </c>
      <c r="V676" s="186">
        <f t="shared" si="362"/>
        <v>0</v>
      </c>
      <c r="W676" s="186">
        <f t="shared" si="362"/>
        <v>0</v>
      </c>
      <c r="X676" s="186">
        <f t="shared" si="362"/>
        <v>0</v>
      </c>
      <c r="Y676" s="186">
        <f t="shared" si="362"/>
        <v>0</v>
      </c>
      <c r="Z676" s="186">
        <f t="shared" si="362"/>
        <v>0</v>
      </c>
      <c r="AA676" s="186">
        <f t="shared" si="362"/>
        <v>0</v>
      </c>
      <c r="AB676" s="186">
        <f t="shared" si="362"/>
        <v>0</v>
      </c>
      <c r="AC676" s="186">
        <f t="shared" si="362"/>
        <v>0</v>
      </c>
      <c r="AD676" s="186">
        <f t="shared" si="362"/>
        <v>0</v>
      </c>
      <c r="AE676" s="186">
        <f t="shared" si="362"/>
        <v>0</v>
      </c>
      <c r="AF676" s="186">
        <f t="shared" si="362"/>
        <v>0</v>
      </c>
      <c r="AG676" s="186">
        <f t="shared" si="362"/>
        <v>0</v>
      </c>
      <c r="AH676" s="186">
        <f t="shared" si="362"/>
        <v>0</v>
      </c>
      <c r="AI676" s="186">
        <f t="shared" si="362"/>
        <v>0</v>
      </c>
      <c r="AJ676" s="186">
        <f t="shared" si="362"/>
        <v>0</v>
      </c>
      <c r="AK676" s="186">
        <f t="shared" si="362"/>
        <v>0</v>
      </c>
      <c r="AL676" s="186">
        <f t="shared" si="362"/>
        <v>0</v>
      </c>
      <c r="AM676" s="186">
        <f t="shared" si="362"/>
        <v>0</v>
      </c>
      <c r="AN676" s="186">
        <f t="shared" si="362"/>
        <v>0</v>
      </c>
      <c r="AO676" s="186">
        <f t="shared" si="362"/>
        <v>0</v>
      </c>
      <c r="AP676" s="186">
        <f t="shared" si="362"/>
        <v>0</v>
      </c>
    </row>
    <row r="677" spans="1:42">
      <c r="A677" s="37">
        <f t="shared" ref="A677:A684" si="363">A676+1</f>
        <v>3</v>
      </c>
      <c r="B677" s="255">
        <f t="shared" si="361"/>
        <v>112649.25865953058</v>
      </c>
      <c r="C677" s="186">
        <f t="shared" si="362"/>
        <v>0</v>
      </c>
      <c r="D677" s="186">
        <f t="shared" si="362"/>
        <v>0</v>
      </c>
      <c r="E677" s="186">
        <f t="shared" si="362"/>
        <v>0</v>
      </c>
      <c r="F677" s="186">
        <f t="shared" si="362"/>
        <v>0</v>
      </c>
      <c r="G677" s="186">
        <f t="shared" si="362"/>
        <v>0</v>
      </c>
      <c r="H677" s="186">
        <f t="shared" si="362"/>
        <v>0</v>
      </c>
      <c r="I677" s="186">
        <f t="shared" si="362"/>
        <v>0</v>
      </c>
      <c r="J677" s="186">
        <f t="shared" si="362"/>
        <v>0</v>
      </c>
      <c r="K677" s="186">
        <f t="shared" si="362"/>
        <v>112649.25865953058</v>
      </c>
      <c r="L677" s="186">
        <f t="shared" si="362"/>
        <v>0</v>
      </c>
      <c r="M677" s="186">
        <f t="shared" si="362"/>
        <v>0</v>
      </c>
      <c r="N677" s="186">
        <f t="shared" si="362"/>
        <v>0</v>
      </c>
      <c r="O677" s="186">
        <f t="shared" si="362"/>
        <v>0</v>
      </c>
      <c r="P677" s="186">
        <f t="shared" si="362"/>
        <v>0</v>
      </c>
      <c r="Q677" s="186">
        <f t="shared" si="362"/>
        <v>0</v>
      </c>
      <c r="R677" s="186">
        <f t="shared" si="362"/>
        <v>0</v>
      </c>
      <c r="S677" s="186">
        <f t="shared" si="362"/>
        <v>0</v>
      </c>
      <c r="T677" s="186">
        <f t="shared" si="362"/>
        <v>0</v>
      </c>
      <c r="U677" s="186">
        <f t="shared" si="362"/>
        <v>0</v>
      </c>
      <c r="V677" s="186">
        <f t="shared" si="362"/>
        <v>0</v>
      </c>
      <c r="W677" s="186">
        <f t="shared" si="362"/>
        <v>0</v>
      </c>
      <c r="X677" s="186">
        <f t="shared" si="362"/>
        <v>0</v>
      </c>
      <c r="Y677" s="186">
        <f t="shared" si="362"/>
        <v>0</v>
      </c>
      <c r="Z677" s="186">
        <f t="shared" si="362"/>
        <v>0</v>
      </c>
      <c r="AA677" s="186">
        <f t="shared" si="362"/>
        <v>0</v>
      </c>
      <c r="AB677" s="186">
        <f t="shared" si="362"/>
        <v>0</v>
      </c>
      <c r="AC677" s="186">
        <f t="shared" si="362"/>
        <v>0</v>
      </c>
      <c r="AD677" s="186">
        <f t="shared" si="362"/>
        <v>0</v>
      </c>
      <c r="AE677" s="186">
        <f t="shared" si="362"/>
        <v>0</v>
      </c>
      <c r="AF677" s="186">
        <f t="shared" si="362"/>
        <v>0</v>
      </c>
      <c r="AG677" s="186">
        <f t="shared" si="362"/>
        <v>0</v>
      </c>
      <c r="AH677" s="186">
        <f t="shared" si="362"/>
        <v>0</v>
      </c>
      <c r="AI677" s="186">
        <f t="shared" si="362"/>
        <v>0</v>
      </c>
      <c r="AJ677" s="186">
        <f t="shared" si="362"/>
        <v>0</v>
      </c>
      <c r="AK677" s="186">
        <f t="shared" si="362"/>
        <v>0</v>
      </c>
      <c r="AL677" s="186">
        <f t="shared" si="362"/>
        <v>0</v>
      </c>
      <c r="AM677" s="186">
        <f t="shared" si="362"/>
        <v>0</v>
      </c>
      <c r="AN677" s="186">
        <f t="shared" si="362"/>
        <v>0</v>
      </c>
      <c r="AO677" s="186">
        <f t="shared" si="362"/>
        <v>0</v>
      </c>
      <c r="AP677" s="186">
        <f t="shared" si="362"/>
        <v>0</v>
      </c>
    </row>
    <row r="678" spans="1:42">
      <c r="A678" s="37">
        <f t="shared" si="363"/>
        <v>4</v>
      </c>
      <c r="B678" s="255">
        <f t="shared" si="361"/>
        <v>117794.89374005256</v>
      </c>
      <c r="C678" s="186">
        <f t="shared" si="362"/>
        <v>0</v>
      </c>
      <c r="D678" s="186">
        <f t="shared" si="362"/>
        <v>0</v>
      </c>
      <c r="E678" s="186">
        <f t="shared" si="362"/>
        <v>0</v>
      </c>
      <c r="F678" s="186">
        <f t="shared" si="362"/>
        <v>0</v>
      </c>
      <c r="G678" s="186">
        <f t="shared" si="362"/>
        <v>0</v>
      </c>
      <c r="H678" s="186">
        <f t="shared" si="362"/>
        <v>0</v>
      </c>
      <c r="I678" s="186">
        <f t="shared" si="362"/>
        <v>0</v>
      </c>
      <c r="J678" s="186">
        <f t="shared" si="362"/>
        <v>0</v>
      </c>
      <c r="K678" s="186">
        <f t="shared" si="362"/>
        <v>0</v>
      </c>
      <c r="L678" s="186">
        <f t="shared" si="362"/>
        <v>0</v>
      </c>
      <c r="M678" s="186">
        <f t="shared" si="362"/>
        <v>0</v>
      </c>
      <c r="N678" s="186">
        <f t="shared" si="362"/>
        <v>117794.89374005256</v>
      </c>
      <c r="O678" s="186">
        <f t="shared" si="362"/>
        <v>0</v>
      </c>
      <c r="P678" s="186">
        <f t="shared" si="362"/>
        <v>0</v>
      </c>
      <c r="Q678" s="186">
        <f t="shared" si="362"/>
        <v>0</v>
      </c>
      <c r="R678" s="186">
        <f t="shared" si="362"/>
        <v>0</v>
      </c>
      <c r="S678" s="186">
        <f t="shared" si="362"/>
        <v>0</v>
      </c>
      <c r="T678" s="186">
        <f t="shared" si="362"/>
        <v>0</v>
      </c>
      <c r="U678" s="186">
        <f t="shared" si="362"/>
        <v>0</v>
      </c>
      <c r="V678" s="186">
        <f t="shared" si="362"/>
        <v>0</v>
      </c>
      <c r="W678" s="186">
        <f t="shared" si="362"/>
        <v>0</v>
      </c>
      <c r="X678" s="186">
        <f t="shared" si="362"/>
        <v>0</v>
      </c>
      <c r="Y678" s="186">
        <f t="shared" si="362"/>
        <v>0</v>
      </c>
      <c r="Z678" s="186">
        <f t="shared" si="362"/>
        <v>0</v>
      </c>
      <c r="AA678" s="186">
        <f t="shared" si="362"/>
        <v>0</v>
      </c>
      <c r="AB678" s="186">
        <f t="shared" si="362"/>
        <v>0</v>
      </c>
      <c r="AC678" s="186">
        <f t="shared" si="362"/>
        <v>0</v>
      </c>
      <c r="AD678" s="186">
        <f t="shared" si="362"/>
        <v>0</v>
      </c>
      <c r="AE678" s="186">
        <f t="shared" si="362"/>
        <v>0</v>
      </c>
      <c r="AF678" s="186">
        <f t="shared" si="362"/>
        <v>0</v>
      </c>
      <c r="AG678" s="186">
        <f t="shared" si="362"/>
        <v>0</v>
      </c>
      <c r="AH678" s="186">
        <f t="shared" si="362"/>
        <v>0</v>
      </c>
      <c r="AI678" s="186">
        <f t="shared" si="362"/>
        <v>0</v>
      </c>
      <c r="AJ678" s="186">
        <f t="shared" si="362"/>
        <v>0</v>
      </c>
      <c r="AK678" s="186">
        <f t="shared" si="362"/>
        <v>0</v>
      </c>
      <c r="AL678" s="186">
        <f t="shared" si="362"/>
        <v>0</v>
      </c>
      <c r="AM678" s="186">
        <f t="shared" si="362"/>
        <v>0</v>
      </c>
      <c r="AN678" s="186">
        <f t="shared" si="362"/>
        <v>0</v>
      </c>
      <c r="AO678" s="186">
        <f t="shared" si="362"/>
        <v>0</v>
      </c>
      <c r="AP678" s="186">
        <f t="shared" si="362"/>
        <v>0</v>
      </c>
    </row>
    <row r="679" spans="1:42">
      <c r="A679" s="37">
        <f t="shared" si="363"/>
        <v>5</v>
      </c>
      <c r="B679" s="255">
        <f t="shared" si="361"/>
        <v>123175.57306939577</v>
      </c>
      <c r="C679" s="186">
        <f t="shared" si="362"/>
        <v>0</v>
      </c>
      <c r="D679" s="186">
        <f t="shared" si="362"/>
        <v>0</v>
      </c>
      <c r="E679" s="186">
        <f t="shared" si="362"/>
        <v>0</v>
      </c>
      <c r="F679" s="186">
        <f t="shared" si="362"/>
        <v>0</v>
      </c>
      <c r="G679" s="186">
        <f t="shared" si="362"/>
        <v>0</v>
      </c>
      <c r="H679" s="186">
        <f t="shared" si="362"/>
        <v>0</v>
      </c>
      <c r="I679" s="186">
        <f t="shared" si="362"/>
        <v>0</v>
      </c>
      <c r="J679" s="186">
        <f t="shared" si="362"/>
        <v>0</v>
      </c>
      <c r="K679" s="186">
        <f t="shared" si="362"/>
        <v>0</v>
      </c>
      <c r="L679" s="186">
        <f t="shared" si="362"/>
        <v>0</v>
      </c>
      <c r="M679" s="186">
        <f t="shared" si="362"/>
        <v>0</v>
      </c>
      <c r="N679" s="186">
        <f t="shared" si="362"/>
        <v>0</v>
      </c>
      <c r="O679" s="186">
        <f t="shared" si="362"/>
        <v>0</v>
      </c>
      <c r="P679" s="186">
        <f t="shared" si="362"/>
        <v>0</v>
      </c>
      <c r="Q679" s="186">
        <f t="shared" si="362"/>
        <v>123175.57306939577</v>
      </c>
      <c r="R679" s="186">
        <f t="shared" si="362"/>
        <v>0</v>
      </c>
      <c r="S679" s="186">
        <f t="shared" si="362"/>
        <v>0</v>
      </c>
      <c r="T679" s="186">
        <f t="shared" si="362"/>
        <v>0</v>
      </c>
      <c r="U679" s="186">
        <f t="shared" si="362"/>
        <v>0</v>
      </c>
      <c r="V679" s="186">
        <f t="shared" si="362"/>
        <v>0</v>
      </c>
      <c r="W679" s="186">
        <f t="shared" si="362"/>
        <v>0</v>
      </c>
      <c r="X679" s="186">
        <f t="shared" si="362"/>
        <v>0</v>
      </c>
      <c r="Y679" s="186">
        <f t="shared" si="362"/>
        <v>0</v>
      </c>
      <c r="Z679" s="186">
        <f t="shared" si="362"/>
        <v>0</v>
      </c>
      <c r="AA679" s="186">
        <f t="shared" si="362"/>
        <v>0</v>
      </c>
      <c r="AB679" s="186">
        <f t="shared" si="362"/>
        <v>0</v>
      </c>
      <c r="AC679" s="186">
        <f t="shared" si="362"/>
        <v>0</v>
      </c>
      <c r="AD679" s="186">
        <f t="shared" si="362"/>
        <v>0</v>
      </c>
      <c r="AE679" s="186">
        <f t="shared" si="362"/>
        <v>0</v>
      </c>
      <c r="AF679" s="186">
        <f t="shared" si="362"/>
        <v>0</v>
      </c>
      <c r="AG679" s="186">
        <f t="shared" si="362"/>
        <v>0</v>
      </c>
      <c r="AH679" s="186">
        <f t="shared" si="362"/>
        <v>0</v>
      </c>
      <c r="AI679" s="186">
        <f t="shared" si="362"/>
        <v>0</v>
      </c>
      <c r="AJ679" s="186">
        <f t="shared" si="362"/>
        <v>0</v>
      </c>
      <c r="AK679" s="186">
        <f t="shared" si="362"/>
        <v>0</v>
      </c>
      <c r="AL679" s="186">
        <f t="shared" si="362"/>
        <v>0</v>
      </c>
      <c r="AM679" s="186">
        <f t="shared" si="362"/>
        <v>0</v>
      </c>
      <c r="AN679" s="186">
        <f t="shared" si="362"/>
        <v>0</v>
      </c>
      <c r="AO679" s="186">
        <f t="shared" si="362"/>
        <v>0</v>
      </c>
      <c r="AP679" s="186">
        <f t="shared" si="362"/>
        <v>0</v>
      </c>
    </row>
    <row r="680" spans="1:42">
      <c r="A680" s="37">
        <f t="shared" si="363"/>
        <v>6</v>
      </c>
      <c r="B680" s="255">
        <f t="shared" si="361"/>
        <v>128802.03308689948</v>
      </c>
      <c r="C680" s="186">
        <f t="shared" si="362"/>
        <v>0</v>
      </c>
      <c r="D680" s="186">
        <f t="shared" si="362"/>
        <v>0</v>
      </c>
      <c r="E680" s="186">
        <f t="shared" si="362"/>
        <v>0</v>
      </c>
      <c r="F680" s="186">
        <f t="shared" si="362"/>
        <v>0</v>
      </c>
      <c r="G680" s="186">
        <f t="shared" si="362"/>
        <v>0</v>
      </c>
      <c r="H680" s="186">
        <f t="shared" si="362"/>
        <v>0</v>
      </c>
      <c r="I680" s="186">
        <f t="shared" si="362"/>
        <v>0</v>
      </c>
      <c r="J680" s="186">
        <f t="shared" si="362"/>
        <v>0</v>
      </c>
      <c r="K680" s="186">
        <f t="shared" si="362"/>
        <v>0</v>
      </c>
      <c r="L680" s="186">
        <f t="shared" si="362"/>
        <v>0</v>
      </c>
      <c r="M680" s="186">
        <f t="shared" si="362"/>
        <v>0</v>
      </c>
      <c r="N680" s="186">
        <f t="shared" si="362"/>
        <v>0</v>
      </c>
      <c r="O680" s="186">
        <f t="shared" si="362"/>
        <v>0</v>
      </c>
      <c r="P680" s="186">
        <f t="shared" si="362"/>
        <v>0</v>
      </c>
      <c r="Q680" s="186">
        <f t="shared" si="362"/>
        <v>0</v>
      </c>
      <c r="R680" s="186">
        <f t="shared" si="362"/>
        <v>0</v>
      </c>
      <c r="S680" s="186">
        <f t="shared" si="362"/>
        <v>0</v>
      </c>
      <c r="T680" s="186">
        <f t="shared" si="362"/>
        <v>128802.03308689948</v>
      </c>
      <c r="U680" s="186">
        <f t="shared" si="362"/>
        <v>0</v>
      </c>
      <c r="V680" s="186">
        <f t="shared" si="362"/>
        <v>0</v>
      </c>
      <c r="W680" s="186">
        <f t="shared" si="362"/>
        <v>0</v>
      </c>
      <c r="X680" s="186">
        <f t="shared" si="362"/>
        <v>0</v>
      </c>
      <c r="Y680" s="186">
        <f t="shared" si="362"/>
        <v>0</v>
      </c>
      <c r="Z680" s="186">
        <f t="shared" si="362"/>
        <v>0</v>
      </c>
      <c r="AA680" s="186">
        <f t="shared" si="362"/>
        <v>0</v>
      </c>
      <c r="AB680" s="186">
        <f t="shared" si="362"/>
        <v>0</v>
      </c>
      <c r="AC680" s="186">
        <f t="shared" si="362"/>
        <v>0</v>
      </c>
      <c r="AD680" s="186">
        <f t="shared" si="362"/>
        <v>0</v>
      </c>
      <c r="AE680" s="186">
        <f t="shared" si="362"/>
        <v>0</v>
      </c>
      <c r="AF680" s="186">
        <f t="shared" si="362"/>
        <v>0</v>
      </c>
      <c r="AG680" s="186">
        <f t="shared" si="362"/>
        <v>0</v>
      </c>
      <c r="AH680" s="186">
        <f t="shared" si="362"/>
        <v>0</v>
      </c>
      <c r="AI680" s="186">
        <f t="shared" si="362"/>
        <v>0</v>
      </c>
      <c r="AJ680" s="186">
        <f t="shared" si="362"/>
        <v>0</v>
      </c>
      <c r="AK680" s="186">
        <f t="shared" si="362"/>
        <v>0</v>
      </c>
      <c r="AL680" s="186">
        <f t="shared" si="362"/>
        <v>0</v>
      </c>
      <c r="AM680" s="186">
        <f t="shared" si="362"/>
        <v>0</v>
      </c>
      <c r="AN680" s="186">
        <f t="shared" si="362"/>
        <v>0</v>
      </c>
      <c r="AO680" s="186">
        <f t="shared" si="362"/>
        <v>0</v>
      </c>
      <c r="AP680" s="186">
        <f t="shared" si="362"/>
        <v>0</v>
      </c>
    </row>
    <row r="681" spans="1:42">
      <c r="A681" s="37">
        <f t="shared" si="363"/>
        <v>7</v>
      </c>
      <c r="B681" s="255">
        <f t="shared" si="361"/>
        <v>134685.50065500522</v>
      </c>
      <c r="C681" s="186">
        <f t="shared" si="362"/>
        <v>0</v>
      </c>
      <c r="D681" s="186">
        <f t="shared" si="362"/>
        <v>0</v>
      </c>
      <c r="E681" s="186">
        <f t="shared" si="362"/>
        <v>0</v>
      </c>
      <c r="F681" s="186">
        <f t="shared" si="362"/>
        <v>0</v>
      </c>
      <c r="G681" s="186">
        <f t="shared" si="362"/>
        <v>0</v>
      </c>
      <c r="H681" s="186">
        <f t="shared" si="362"/>
        <v>0</v>
      </c>
      <c r="I681" s="186">
        <f t="shared" si="362"/>
        <v>0</v>
      </c>
      <c r="J681" s="186">
        <f t="shared" si="362"/>
        <v>0</v>
      </c>
      <c r="K681" s="186">
        <f t="shared" si="362"/>
        <v>0</v>
      </c>
      <c r="L681" s="186">
        <f t="shared" si="362"/>
        <v>0</v>
      </c>
      <c r="M681" s="186">
        <f t="shared" si="362"/>
        <v>0</v>
      </c>
      <c r="N681" s="186">
        <f t="shared" si="362"/>
        <v>0</v>
      </c>
      <c r="O681" s="186">
        <f t="shared" si="362"/>
        <v>0</v>
      </c>
      <c r="P681" s="186">
        <f t="shared" si="362"/>
        <v>0</v>
      </c>
      <c r="Q681" s="186">
        <f t="shared" si="362"/>
        <v>0</v>
      </c>
      <c r="R681" s="186">
        <f t="shared" ref="R681:AP681" si="364">IF(R$2&gt;AnalysisPeriod,0,IF(R$2=MMFrequency3*$A681,MMCost3*CapacityDC*1000*(1+Inflation)^Q$2,0))</f>
        <v>0</v>
      </c>
      <c r="S681" s="186">
        <f t="shared" si="364"/>
        <v>0</v>
      </c>
      <c r="T681" s="186">
        <f t="shared" si="364"/>
        <v>0</v>
      </c>
      <c r="U681" s="186">
        <f t="shared" si="364"/>
        <v>0</v>
      </c>
      <c r="V681" s="186">
        <f t="shared" si="364"/>
        <v>0</v>
      </c>
      <c r="W681" s="186">
        <f t="shared" si="364"/>
        <v>134685.50065500522</v>
      </c>
      <c r="X681" s="186">
        <f t="shared" si="364"/>
        <v>0</v>
      </c>
      <c r="Y681" s="186">
        <f t="shared" si="364"/>
        <v>0</v>
      </c>
      <c r="Z681" s="186">
        <f t="shared" si="364"/>
        <v>0</v>
      </c>
      <c r="AA681" s="186">
        <f t="shared" si="364"/>
        <v>0</v>
      </c>
      <c r="AB681" s="186">
        <f t="shared" si="364"/>
        <v>0</v>
      </c>
      <c r="AC681" s="186">
        <f t="shared" si="364"/>
        <v>0</v>
      </c>
      <c r="AD681" s="186">
        <f t="shared" si="364"/>
        <v>0</v>
      </c>
      <c r="AE681" s="186">
        <f t="shared" si="364"/>
        <v>0</v>
      </c>
      <c r="AF681" s="186">
        <f t="shared" si="364"/>
        <v>0</v>
      </c>
      <c r="AG681" s="186">
        <f t="shared" si="364"/>
        <v>0</v>
      </c>
      <c r="AH681" s="186">
        <f t="shared" si="364"/>
        <v>0</v>
      </c>
      <c r="AI681" s="186">
        <f t="shared" si="364"/>
        <v>0</v>
      </c>
      <c r="AJ681" s="186">
        <f t="shared" si="364"/>
        <v>0</v>
      </c>
      <c r="AK681" s="186">
        <f t="shared" si="364"/>
        <v>0</v>
      </c>
      <c r="AL681" s="186">
        <f t="shared" si="364"/>
        <v>0</v>
      </c>
      <c r="AM681" s="186">
        <f t="shared" si="364"/>
        <v>0</v>
      </c>
      <c r="AN681" s="186">
        <f t="shared" si="364"/>
        <v>0</v>
      </c>
      <c r="AO681" s="186">
        <f t="shared" si="364"/>
        <v>0</v>
      </c>
      <c r="AP681" s="186">
        <f t="shared" si="364"/>
        <v>0</v>
      </c>
    </row>
    <row r="682" spans="1:42">
      <c r="A682" s="37">
        <f t="shared" si="363"/>
        <v>8</v>
      </c>
      <c r="B682" s="255">
        <f t="shared" si="361"/>
        <v>140837.71546098724</v>
      </c>
      <c r="C682" s="186">
        <f t="shared" ref="C682:AP684" si="365">IF(C$2&gt;AnalysisPeriod,0,IF(C$2=MMFrequency3*$A682,MMCost3*CapacityDC*1000*(1+Inflation)^B$2,0))</f>
        <v>0</v>
      </c>
      <c r="D682" s="186">
        <f t="shared" si="365"/>
        <v>0</v>
      </c>
      <c r="E682" s="186">
        <f t="shared" si="365"/>
        <v>0</v>
      </c>
      <c r="F682" s="186">
        <f t="shared" si="365"/>
        <v>0</v>
      </c>
      <c r="G682" s="186">
        <f t="shared" si="365"/>
        <v>0</v>
      </c>
      <c r="H682" s="186">
        <f t="shared" si="365"/>
        <v>0</v>
      </c>
      <c r="I682" s="186">
        <f t="shared" si="365"/>
        <v>0</v>
      </c>
      <c r="J682" s="186">
        <f t="shared" si="365"/>
        <v>0</v>
      </c>
      <c r="K682" s="186">
        <f t="shared" si="365"/>
        <v>0</v>
      </c>
      <c r="L682" s="186">
        <f t="shared" si="365"/>
        <v>0</v>
      </c>
      <c r="M682" s="186">
        <f t="shared" si="365"/>
        <v>0</v>
      </c>
      <c r="N682" s="186">
        <f t="shared" si="365"/>
        <v>0</v>
      </c>
      <c r="O682" s="186">
        <f t="shared" si="365"/>
        <v>0</v>
      </c>
      <c r="P682" s="186">
        <f t="shared" si="365"/>
        <v>0</v>
      </c>
      <c r="Q682" s="186">
        <f t="shared" si="365"/>
        <v>0</v>
      </c>
      <c r="R682" s="186">
        <f t="shared" si="365"/>
        <v>0</v>
      </c>
      <c r="S682" s="186">
        <f t="shared" si="365"/>
        <v>0</v>
      </c>
      <c r="T682" s="186">
        <f t="shared" si="365"/>
        <v>0</v>
      </c>
      <c r="U682" s="186">
        <f t="shared" si="365"/>
        <v>0</v>
      </c>
      <c r="V682" s="186">
        <f t="shared" si="365"/>
        <v>0</v>
      </c>
      <c r="W682" s="186">
        <f t="shared" si="365"/>
        <v>0</v>
      </c>
      <c r="X682" s="186">
        <f t="shared" si="365"/>
        <v>0</v>
      </c>
      <c r="Y682" s="186">
        <f t="shared" si="365"/>
        <v>0</v>
      </c>
      <c r="Z682" s="186">
        <f t="shared" si="365"/>
        <v>140837.71546098724</v>
      </c>
      <c r="AA682" s="186">
        <f t="shared" si="365"/>
        <v>0</v>
      </c>
      <c r="AB682" s="186">
        <f t="shared" si="365"/>
        <v>0</v>
      </c>
      <c r="AC682" s="186">
        <f t="shared" si="365"/>
        <v>0</v>
      </c>
      <c r="AD682" s="186">
        <f t="shared" si="365"/>
        <v>0</v>
      </c>
      <c r="AE682" s="186">
        <f t="shared" si="365"/>
        <v>0</v>
      </c>
      <c r="AF682" s="186">
        <f t="shared" si="365"/>
        <v>0</v>
      </c>
      <c r="AG682" s="186">
        <f t="shared" si="365"/>
        <v>0</v>
      </c>
      <c r="AH682" s="186">
        <f t="shared" si="365"/>
        <v>0</v>
      </c>
      <c r="AI682" s="186">
        <f t="shared" si="365"/>
        <v>0</v>
      </c>
      <c r="AJ682" s="186">
        <f t="shared" si="365"/>
        <v>0</v>
      </c>
      <c r="AK682" s="186">
        <f t="shared" si="365"/>
        <v>0</v>
      </c>
      <c r="AL682" s="186">
        <f t="shared" si="365"/>
        <v>0</v>
      </c>
      <c r="AM682" s="186">
        <f t="shared" si="365"/>
        <v>0</v>
      </c>
      <c r="AN682" s="186">
        <f t="shared" si="365"/>
        <v>0</v>
      </c>
      <c r="AO682" s="186">
        <f t="shared" si="365"/>
        <v>0</v>
      </c>
      <c r="AP682" s="186">
        <f t="shared" si="365"/>
        <v>0</v>
      </c>
    </row>
    <row r="683" spans="1:42">
      <c r="A683" s="37">
        <f>A682+1</f>
        <v>9</v>
      </c>
      <c r="B683" s="255">
        <f t="shared" si="361"/>
        <v>147270.95344195748</v>
      </c>
      <c r="C683" s="186">
        <f t="shared" si="365"/>
        <v>0</v>
      </c>
      <c r="D683" s="186">
        <f t="shared" si="365"/>
        <v>0</v>
      </c>
      <c r="E683" s="186">
        <f t="shared" si="365"/>
        <v>0</v>
      </c>
      <c r="F683" s="186">
        <f t="shared" si="365"/>
        <v>0</v>
      </c>
      <c r="G683" s="186">
        <f t="shared" si="365"/>
        <v>0</v>
      </c>
      <c r="H683" s="186">
        <f t="shared" si="365"/>
        <v>0</v>
      </c>
      <c r="I683" s="186">
        <f t="shared" si="365"/>
        <v>0</v>
      </c>
      <c r="J683" s="186">
        <f t="shared" si="365"/>
        <v>0</v>
      </c>
      <c r="K683" s="186">
        <f t="shared" si="365"/>
        <v>0</v>
      </c>
      <c r="L683" s="186">
        <f t="shared" si="365"/>
        <v>0</v>
      </c>
      <c r="M683" s="186">
        <f t="shared" si="365"/>
        <v>0</v>
      </c>
      <c r="N683" s="186">
        <f t="shared" si="365"/>
        <v>0</v>
      </c>
      <c r="O683" s="186">
        <f t="shared" si="365"/>
        <v>0</v>
      </c>
      <c r="P683" s="186">
        <f t="shared" si="365"/>
        <v>0</v>
      </c>
      <c r="Q683" s="186">
        <f t="shared" si="365"/>
        <v>0</v>
      </c>
      <c r="R683" s="186">
        <f t="shared" si="365"/>
        <v>0</v>
      </c>
      <c r="S683" s="186">
        <f t="shared" si="365"/>
        <v>0</v>
      </c>
      <c r="T683" s="186">
        <f t="shared" si="365"/>
        <v>0</v>
      </c>
      <c r="U683" s="186">
        <f t="shared" si="365"/>
        <v>0</v>
      </c>
      <c r="V683" s="186">
        <f t="shared" si="365"/>
        <v>0</v>
      </c>
      <c r="W683" s="186">
        <f t="shared" si="365"/>
        <v>0</v>
      </c>
      <c r="X683" s="186">
        <f t="shared" si="365"/>
        <v>0</v>
      </c>
      <c r="Y683" s="186">
        <f t="shared" si="365"/>
        <v>0</v>
      </c>
      <c r="Z683" s="186">
        <f t="shared" si="365"/>
        <v>0</v>
      </c>
      <c r="AA683" s="186">
        <f t="shared" si="365"/>
        <v>0</v>
      </c>
      <c r="AB683" s="186">
        <f t="shared" si="365"/>
        <v>0</v>
      </c>
      <c r="AC683" s="186">
        <f t="shared" si="365"/>
        <v>147270.95344195748</v>
      </c>
      <c r="AD683" s="186">
        <f t="shared" si="365"/>
        <v>0</v>
      </c>
      <c r="AE683" s="186">
        <f t="shared" si="365"/>
        <v>0</v>
      </c>
      <c r="AF683" s="186">
        <f t="shared" si="365"/>
        <v>0</v>
      </c>
      <c r="AG683" s="186">
        <f t="shared" si="365"/>
        <v>0</v>
      </c>
      <c r="AH683" s="186">
        <f t="shared" si="365"/>
        <v>0</v>
      </c>
      <c r="AI683" s="186">
        <f t="shared" si="365"/>
        <v>0</v>
      </c>
      <c r="AJ683" s="186">
        <f t="shared" si="365"/>
        <v>0</v>
      </c>
      <c r="AK683" s="186">
        <f t="shared" si="365"/>
        <v>0</v>
      </c>
      <c r="AL683" s="186">
        <f t="shared" si="365"/>
        <v>0</v>
      </c>
      <c r="AM683" s="186">
        <f t="shared" si="365"/>
        <v>0</v>
      </c>
      <c r="AN683" s="186">
        <f t="shared" si="365"/>
        <v>0</v>
      </c>
      <c r="AO683" s="186">
        <f t="shared" si="365"/>
        <v>0</v>
      </c>
      <c r="AP683" s="186">
        <f t="shared" si="365"/>
        <v>0</v>
      </c>
    </row>
    <row r="684" spans="1:42">
      <c r="A684" s="37">
        <f t="shared" si="363"/>
        <v>10</v>
      </c>
      <c r="B684" s="255">
        <f t="shared" si="361"/>
        <v>153998.05127988668</v>
      </c>
      <c r="C684" s="187">
        <f t="shared" si="365"/>
        <v>0</v>
      </c>
      <c r="D684" s="187">
        <f t="shared" si="365"/>
        <v>0</v>
      </c>
      <c r="E684" s="187">
        <f t="shared" si="365"/>
        <v>0</v>
      </c>
      <c r="F684" s="187">
        <f t="shared" si="365"/>
        <v>0</v>
      </c>
      <c r="G684" s="187">
        <f t="shared" si="365"/>
        <v>0</v>
      </c>
      <c r="H684" s="187">
        <f t="shared" si="365"/>
        <v>0</v>
      </c>
      <c r="I684" s="187">
        <f t="shared" si="365"/>
        <v>0</v>
      </c>
      <c r="J684" s="187">
        <f t="shared" si="365"/>
        <v>0</v>
      </c>
      <c r="K684" s="187">
        <f t="shared" si="365"/>
        <v>0</v>
      </c>
      <c r="L684" s="187">
        <f t="shared" si="365"/>
        <v>0</v>
      </c>
      <c r="M684" s="187">
        <f t="shared" si="365"/>
        <v>0</v>
      </c>
      <c r="N684" s="187">
        <f t="shared" si="365"/>
        <v>0</v>
      </c>
      <c r="O684" s="187">
        <f t="shared" si="365"/>
        <v>0</v>
      </c>
      <c r="P684" s="187">
        <f t="shared" si="365"/>
        <v>0</v>
      </c>
      <c r="Q684" s="187">
        <f t="shared" si="365"/>
        <v>0</v>
      </c>
      <c r="R684" s="187">
        <f t="shared" si="365"/>
        <v>0</v>
      </c>
      <c r="S684" s="187">
        <f t="shared" si="365"/>
        <v>0</v>
      </c>
      <c r="T684" s="187">
        <f t="shared" si="365"/>
        <v>0</v>
      </c>
      <c r="U684" s="187">
        <f t="shared" si="365"/>
        <v>0</v>
      </c>
      <c r="V684" s="187">
        <f t="shared" si="365"/>
        <v>0</v>
      </c>
      <c r="W684" s="187">
        <f t="shared" si="365"/>
        <v>0</v>
      </c>
      <c r="X684" s="187">
        <f t="shared" si="365"/>
        <v>0</v>
      </c>
      <c r="Y684" s="187">
        <f t="shared" si="365"/>
        <v>0</v>
      </c>
      <c r="Z684" s="187">
        <f t="shared" si="365"/>
        <v>0</v>
      </c>
      <c r="AA684" s="187">
        <f t="shared" si="365"/>
        <v>0</v>
      </c>
      <c r="AB684" s="187">
        <f t="shared" si="365"/>
        <v>0</v>
      </c>
      <c r="AC684" s="187">
        <f t="shared" si="365"/>
        <v>0</v>
      </c>
      <c r="AD684" s="187">
        <f t="shared" si="365"/>
        <v>0</v>
      </c>
      <c r="AE684" s="187">
        <f t="shared" si="365"/>
        <v>0</v>
      </c>
      <c r="AF684" s="187">
        <f t="shared" si="365"/>
        <v>153998.05127988668</v>
      </c>
      <c r="AG684" s="187">
        <f t="shared" si="365"/>
        <v>0</v>
      </c>
      <c r="AH684" s="187">
        <f t="shared" si="365"/>
        <v>0</v>
      </c>
      <c r="AI684" s="187">
        <f t="shared" si="365"/>
        <v>0</v>
      </c>
      <c r="AJ684" s="187">
        <f t="shared" si="365"/>
        <v>0</v>
      </c>
      <c r="AK684" s="187">
        <f t="shared" si="365"/>
        <v>0</v>
      </c>
      <c r="AL684" s="187">
        <f t="shared" si="365"/>
        <v>0</v>
      </c>
      <c r="AM684" s="187">
        <f t="shared" si="365"/>
        <v>0</v>
      </c>
      <c r="AN684" s="187">
        <f t="shared" si="365"/>
        <v>0</v>
      </c>
      <c r="AO684" s="187">
        <f t="shared" si="365"/>
        <v>0</v>
      </c>
      <c r="AP684" s="187">
        <f t="shared" si="365"/>
        <v>0</v>
      </c>
    </row>
    <row r="685" spans="1:42">
      <c r="A685" s="219" t="s">
        <v>53</v>
      </c>
      <c r="B685" s="186"/>
      <c r="C685" s="152">
        <f>SUM(C675:C684)</f>
        <v>0</v>
      </c>
      <c r="D685" s="152">
        <f t="shared" ref="D685:AP685" si="366">SUM(D675:D684)</f>
        <v>0</v>
      </c>
      <c r="E685" s="152">
        <f t="shared" si="366"/>
        <v>103022.49999999997</v>
      </c>
      <c r="F685" s="152">
        <f t="shared" si="366"/>
        <v>0</v>
      </c>
      <c r="G685" s="152">
        <f t="shared" si="366"/>
        <v>0</v>
      </c>
      <c r="H685" s="152">
        <f t="shared" si="366"/>
        <v>107728.40038843743</v>
      </c>
      <c r="I685" s="152">
        <f t="shared" si="366"/>
        <v>0</v>
      </c>
      <c r="J685" s="152">
        <f t="shared" si="366"/>
        <v>0</v>
      </c>
      <c r="K685" s="152">
        <f t="shared" si="366"/>
        <v>112649.25865953058</v>
      </c>
      <c r="L685" s="152">
        <f t="shared" si="366"/>
        <v>0</v>
      </c>
      <c r="M685" s="152">
        <f t="shared" si="366"/>
        <v>0</v>
      </c>
      <c r="N685" s="152">
        <f t="shared" si="366"/>
        <v>117794.89374005256</v>
      </c>
      <c r="O685" s="152">
        <f t="shared" si="366"/>
        <v>0</v>
      </c>
      <c r="P685" s="152">
        <f t="shared" si="366"/>
        <v>0</v>
      </c>
      <c r="Q685" s="152">
        <f t="shared" si="366"/>
        <v>123175.57306939577</v>
      </c>
      <c r="R685" s="152">
        <f t="shared" si="366"/>
        <v>0</v>
      </c>
      <c r="S685" s="152">
        <f t="shared" si="366"/>
        <v>0</v>
      </c>
      <c r="T685" s="152">
        <f t="shared" si="366"/>
        <v>128802.03308689948</v>
      </c>
      <c r="U685" s="152">
        <f t="shared" si="366"/>
        <v>0</v>
      </c>
      <c r="V685" s="152">
        <f t="shared" si="366"/>
        <v>0</v>
      </c>
      <c r="W685" s="152">
        <f t="shared" si="366"/>
        <v>134685.50065500522</v>
      </c>
      <c r="X685" s="152">
        <f t="shared" si="366"/>
        <v>0</v>
      </c>
      <c r="Y685" s="152">
        <f t="shared" si="366"/>
        <v>0</v>
      </c>
      <c r="Z685" s="152">
        <f t="shared" si="366"/>
        <v>140837.71546098724</v>
      </c>
      <c r="AA685" s="152">
        <f t="shared" si="366"/>
        <v>0</v>
      </c>
      <c r="AB685" s="152">
        <f t="shared" si="366"/>
        <v>0</v>
      </c>
      <c r="AC685" s="152">
        <f t="shared" si="366"/>
        <v>147270.95344195748</v>
      </c>
      <c r="AD685" s="152">
        <f t="shared" si="366"/>
        <v>0</v>
      </c>
      <c r="AE685" s="152">
        <f t="shared" si="366"/>
        <v>0</v>
      </c>
      <c r="AF685" s="152">
        <f t="shared" si="366"/>
        <v>153998.05127988668</v>
      </c>
      <c r="AG685" s="152">
        <f t="shared" si="366"/>
        <v>0</v>
      </c>
      <c r="AH685" s="152">
        <f t="shared" si="366"/>
        <v>0</v>
      </c>
      <c r="AI685" s="152">
        <f t="shared" si="366"/>
        <v>0</v>
      </c>
      <c r="AJ685" s="152">
        <f t="shared" si="366"/>
        <v>0</v>
      </c>
      <c r="AK685" s="152">
        <f t="shared" si="366"/>
        <v>0</v>
      </c>
      <c r="AL685" s="152">
        <f t="shared" si="366"/>
        <v>0</v>
      </c>
      <c r="AM685" s="152">
        <f t="shared" si="366"/>
        <v>0</v>
      </c>
      <c r="AN685" s="152">
        <f t="shared" si="366"/>
        <v>0</v>
      </c>
      <c r="AO685" s="152">
        <f t="shared" si="366"/>
        <v>0</v>
      </c>
      <c r="AP685" s="152">
        <f t="shared" si="366"/>
        <v>0</v>
      </c>
    </row>
    <row r="686" spans="1:42">
      <c r="A686" s="37" t="s">
        <v>199</v>
      </c>
      <c r="B686" s="152"/>
      <c r="C686" s="152"/>
      <c r="D686" s="152"/>
      <c r="E686" s="152"/>
      <c r="F686" s="152"/>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c r="AM686" s="186"/>
      <c r="AN686" s="186"/>
      <c r="AO686" s="186"/>
      <c r="AP686" s="186"/>
    </row>
    <row r="687" spans="1:42">
      <c r="A687" s="37">
        <v>1</v>
      </c>
      <c r="B687" s="255">
        <f t="shared" ref="B687:B696" si="367">SUM(C687:AP687)</f>
        <v>103022.49999999997</v>
      </c>
      <c r="C687" s="186">
        <f t="shared" ref="C687:AP687" si="368">IF(C$2&lt;=MMFrequency3*$A$675,$B$675/(MMFrequency3),0)</f>
        <v>34340.833333333321</v>
      </c>
      <c r="D687" s="186">
        <f t="shared" si="368"/>
        <v>34340.833333333321</v>
      </c>
      <c r="E687" s="186">
        <f t="shared" si="368"/>
        <v>34340.833333333321</v>
      </c>
      <c r="F687" s="186">
        <f t="shared" si="368"/>
        <v>0</v>
      </c>
      <c r="G687" s="186">
        <f t="shared" si="368"/>
        <v>0</v>
      </c>
      <c r="H687" s="186">
        <f t="shared" si="368"/>
        <v>0</v>
      </c>
      <c r="I687" s="186">
        <f t="shared" si="368"/>
        <v>0</v>
      </c>
      <c r="J687" s="186">
        <f t="shared" si="368"/>
        <v>0</v>
      </c>
      <c r="K687" s="186">
        <f t="shared" si="368"/>
        <v>0</v>
      </c>
      <c r="L687" s="186">
        <f t="shared" si="368"/>
        <v>0</v>
      </c>
      <c r="M687" s="186">
        <f t="shared" si="368"/>
        <v>0</v>
      </c>
      <c r="N687" s="186">
        <f t="shared" si="368"/>
        <v>0</v>
      </c>
      <c r="O687" s="186">
        <f t="shared" si="368"/>
        <v>0</v>
      </c>
      <c r="P687" s="186">
        <f t="shared" si="368"/>
        <v>0</v>
      </c>
      <c r="Q687" s="186">
        <f t="shared" si="368"/>
        <v>0</v>
      </c>
      <c r="R687" s="186">
        <f t="shared" si="368"/>
        <v>0</v>
      </c>
      <c r="S687" s="186">
        <f t="shared" si="368"/>
        <v>0</v>
      </c>
      <c r="T687" s="186">
        <f t="shared" si="368"/>
        <v>0</v>
      </c>
      <c r="U687" s="186">
        <f t="shared" si="368"/>
        <v>0</v>
      </c>
      <c r="V687" s="186">
        <f t="shared" si="368"/>
        <v>0</v>
      </c>
      <c r="W687" s="186">
        <f t="shared" si="368"/>
        <v>0</v>
      </c>
      <c r="X687" s="186">
        <f t="shared" si="368"/>
        <v>0</v>
      </c>
      <c r="Y687" s="186">
        <f t="shared" si="368"/>
        <v>0</v>
      </c>
      <c r="Z687" s="186">
        <f t="shared" si="368"/>
        <v>0</v>
      </c>
      <c r="AA687" s="186">
        <f t="shared" si="368"/>
        <v>0</v>
      </c>
      <c r="AB687" s="186">
        <f t="shared" si="368"/>
        <v>0</v>
      </c>
      <c r="AC687" s="186">
        <f t="shared" si="368"/>
        <v>0</v>
      </c>
      <c r="AD687" s="186">
        <f t="shared" si="368"/>
        <v>0</v>
      </c>
      <c r="AE687" s="186">
        <f t="shared" si="368"/>
        <v>0</v>
      </c>
      <c r="AF687" s="186">
        <f t="shared" si="368"/>
        <v>0</v>
      </c>
      <c r="AG687" s="186">
        <f t="shared" si="368"/>
        <v>0</v>
      </c>
      <c r="AH687" s="186">
        <f t="shared" si="368"/>
        <v>0</v>
      </c>
      <c r="AI687" s="186">
        <f t="shared" si="368"/>
        <v>0</v>
      </c>
      <c r="AJ687" s="186">
        <f t="shared" si="368"/>
        <v>0</v>
      </c>
      <c r="AK687" s="186">
        <f t="shared" si="368"/>
        <v>0</v>
      </c>
      <c r="AL687" s="186">
        <f t="shared" si="368"/>
        <v>0</v>
      </c>
      <c r="AM687" s="186">
        <f t="shared" si="368"/>
        <v>0</v>
      </c>
      <c r="AN687" s="186">
        <f t="shared" si="368"/>
        <v>0</v>
      </c>
      <c r="AO687" s="186">
        <f t="shared" si="368"/>
        <v>0</v>
      </c>
      <c r="AP687" s="186">
        <f t="shared" si="368"/>
        <v>0</v>
      </c>
    </row>
    <row r="688" spans="1:42">
      <c r="A688" s="37">
        <f>A687+1</f>
        <v>2</v>
      </c>
      <c r="B688" s="255">
        <f t="shared" si="367"/>
        <v>107728.40038843744</v>
      </c>
      <c r="C688" s="186">
        <f t="shared" ref="C688:AP694" si="369">IF(AND(C$2&gt;MMFrequency3*$A675,C$2&lt;=MMFrequency3*$A676),$B676/(MMFrequency3),0)</f>
        <v>0</v>
      </c>
      <c r="D688" s="186">
        <f t="shared" si="369"/>
        <v>0</v>
      </c>
      <c r="E688" s="186">
        <f t="shared" si="369"/>
        <v>0</v>
      </c>
      <c r="F688" s="186">
        <f t="shared" si="369"/>
        <v>35909.466796145811</v>
      </c>
      <c r="G688" s="186">
        <f t="shared" si="369"/>
        <v>35909.466796145811</v>
      </c>
      <c r="H688" s="186">
        <f t="shared" si="369"/>
        <v>35909.466796145811</v>
      </c>
      <c r="I688" s="186">
        <f t="shared" si="369"/>
        <v>0</v>
      </c>
      <c r="J688" s="186">
        <f t="shared" si="369"/>
        <v>0</v>
      </c>
      <c r="K688" s="186">
        <f t="shared" si="369"/>
        <v>0</v>
      </c>
      <c r="L688" s="186">
        <f t="shared" si="369"/>
        <v>0</v>
      </c>
      <c r="M688" s="186">
        <f t="shared" si="369"/>
        <v>0</v>
      </c>
      <c r="N688" s="186">
        <f t="shared" si="369"/>
        <v>0</v>
      </c>
      <c r="O688" s="186">
        <f t="shared" si="369"/>
        <v>0</v>
      </c>
      <c r="P688" s="186">
        <f t="shared" si="369"/>
        <v>0</v>
      </c>
      <c r="Q688" s="186">
        <f t="shared" si="369"/>
        <v>0</v>
      </c>
      <c r="R688" s="186">
        <f t="shared" si="369"/>
        <v>0</v>
      </c>
      <c r="S688" s="186">
        <f t="shared" si="369"/>
        <v>0</v>
      </c>
      <c r="T688" s="186">
        <f t="shared" si="369"/>
        <v>0</v>
      </c>
      <c r="U688" s="186">
        <f t="shared" si="369"/>
        <v>0</v>
      </c>
      <c r="V688" s="186">
        <f t="shared" si="369"/>
        <v>0</v>
      </c>
      <c r="W688" s="186">
        <f t="shared" si="369"/>
        <v>0</v>
      </c>
      <c r="X688" s="186">
        <f t="shared" si="369"/>
        <v>0</v>
      </c>
      <c r="Y688" s="186">
        <f t="shared" si="369"/>
        <v>0</v>
      </c>
      <c r="Z688" s="186">
        <f t="shared" si="369"/>
        <v>0</v>
      </c>
      <c r="AA688" s="186">
        <f t="shared" si="369"/>
        <v>0</v>
      </c>
      <c r="AB688" s="186">
        <f t="shared" si="369"/>
        <v>0</v>
      </c>
      <c r="AC688" s="186">
        <f t="shared" si="369"/>
        <v>0</v>
      </c>
      <c r="AD688" s="186">
        <f t="shared" si="369"/>
        <v>0</v>
      </c>
      <c r="AE688" s="186">
        <f t="shared" si="369"/>
        <v>0</v>
      </c>
      <c r="AF688" s="186">
        <f t="shared" si="369"/>
        <v>0</v>
      </c>
      <c r="AG688" s="186">
        <f t="shared" si="369"/>
        <v>0</v>
      </c>
      <c r="AH688" s="186">
        <f t="shared" si="369"/>
        <v>0</v>
      </c>
      <c r="AI688" s="186">
        <f t="shared" si="369"/>
        <v>0</v>
      </c>
      <c r="AJ688" s="186">
        <f t="shared" si="369"/>
        <v>0</v>
      </c>
      <c r="AK688" s="186">
        <f t="shared" si="369"/>
        <v>0</v>
      </c>
      <c r="AL688" s="186">
        <f t="shared" si="369"/>
        <v>0</v>
      </c>
      <c r="AM688" s="186">
        <f t="shared" si="369"/>
        <v>0</v>
      </c>
      <c r="AN688" s="186">
        <f t="shared" si="369"/>
        <v>0</v>
      </c>
      <c r="AO688" s="186">
        <f t="shared" si="369"/>
        <v>0</v>
      </c>
      <c r="AP688" s="186">
        <f t="shared" si="369"/>
        <v>0</v>
      </c>
    </row>
    <row r="689" spans="1:42">
      <c r="A689" s="37">
        <f t="shared" ref="A689:A694" si="370">A688+1</f>
        <v>3</v>
      </c>
      <c r="B689" s="255">
        <f t="shared" si="367"/>
        <v>112649.25865953058</v>
      </c>
      <c r="C689" s="186">
        <f t="shared" si="369"/>
        <v>0</v>
      </c>
      <c r="D689" s="186">
        <f t="shared" si="369"/>
        <v>0</v>
      </c>
      <c r="E689" s="186">
        <f t="shared" si="369"/>
        <v>0</v>
      </c>
      <c r="F689" s="186">
        <f t="shared" si="369"/>
        <v>0</v>
      </c>
      <c r="G689" s="186">
        <f t="shared" si="369"/>
        <v>0</v>
      </c>
      <c r="H689" s="186">
        <f t="shared" si="369"/>
        <v>0</v>
      </c>
      <c r="I689" s="186">
        <f t="shared" si="369"/>
        <v>37549.752886510192</v>
      </c>
      <c r="J689" s="186">
        <f t="shared" si="369"/>
        <v>37549.752886510192</v>
      </c>
      <c r="K689" s="186">
        <f t="shared" si="369"/>
        <v>37549.752886510192</v>
      </c>
      <c r="L689" s="186">
        <f t="shared" si="369"/>
        <v>0</v>
      </c>
      <c r="M689" s="186">
        <f t="shared" si="369"/>
        <v>0</v>
      </c>
      <c r="N689" s="186">
        <f t="shared" si="369"/>
        <v>0</v>
      </c>
      <c r="O689" s="186">
        <f t="shared" si="369"/>
        <v>0</v>
      </c>
      <c r="P689" s="186">
        <f t="shared" si="369"/>
        <v>0</v>
      </c>
      <c r="Q689" s="186">
        <f t="shared" si="369"/>
        <v>0</v>
      </c>
      <c r="R689" s="186">
        <f t="shared" si="369"/>
        <v>0</v>
      </c>
      <c r="S689" s="186">
        <f t="shared" si="369"/>
        <v>0</v>
      </c>
      <c r="T689" s="186">
        <f t="shared" si="369"/>
        <v>0</v>
      </c>
      <c r="U689" s="186">
        <f t="shared" si="369"/>
        <v>0</v>
      </c>
      <c r="V689" s="186">
        <f t="shared" si="369"/>
        <v>0</v>
      </c>
      <c r="W689" s="186">
        <f t="shared" si="369"/>
        <v>0</v>
      </c>
      <c r="X689" s="186">
        <f t="shared" si="369"/>
        <v>0</v>
      </c>
      <c r="Y689" s="186">
        <f t="shared" si="369"/>
        <v>0</v>
      </c>
      <c r="Z689" s="186">
        <f t="shared" si="369"/>
        <v>0</v>
      </c>
      <c r="AA689" s="186">
        <f t="shared" si="369"/>
        <v>0</v>
      </c>
      <c r="AB689" s="186">
        <f t="shared" si="369"/>
        <v>0</v>
      </c>
      <c r="AC689" s="186">
        <f t="shared" si="369"/>
        <v>0</v>
      </c>
      <c r="AD689" s="186">
        <f t="shared" si="369"/>
        <v>0</v>
      </c>
      <c r="AE689" s="186">
        <f t="shared" si="369"/>
        <v>0</v>
      </c>
      <c r="AF689" s="186">
        <f t="shared" si="369"/>
        <v>0</v>
      </c>
      <c r="AG689" s="186">
        <f t="shared" si="369"/>
        <v>0</v>
      </c>
      <c r="AH689" s="186">
        <f t="shared" si="369"/>
        <v>0</v>
      </c>
      <c r="AI689" s="186">
        <f t="shared" si="369"/>
        <v>0</v>
      </c>
      <c r="AJ689" s="186">
        <f t="shared" si="369"/>
        <v>0</v>
      </c>
      <c r="AK689" s="186">
        <f t="shared" si="369"/>
        <v>0</v>
      </c>
      <c r="AL689" s="186">
        <f t="shared" si="369"/>
        <v>0</v>
      </c>
      <c r="AM689" s="186">
        <f t="shared" si="369"/>
        <v>0</v>
      </c>
      <c r="AN689" s="186">
        <f t="shared" si="369"/>
        <v>0</v>
      </c>
      <c r="AO689" s="186">
        <f t="shared" si="369"/>
        <v>0</v>
      </c>
      <c r="AP689" s="186">
        <f t="shared" si="369"/>
        <v>0</v>
      </c>
    </row>
    <row r="690" spans="1:42">
      <c r="A690" s="37">
        <f t="shared" si="370"/>
        <v>4</v>
      </c>
      <c r="B690" s="255">
        <f t="shared" si="367"/>
        <v>117794.89374005256</v>
      </c>
      <c r="C690" s="186">
        <f t="shared" si="369"/>
        <v>0</v>
      </c>
      <c r="D690" s="186">
        <f t="shared" si="369"/>
        <v>0</v>
      </c>
      <c r="E690" s="186">
        <f t="shared" si="369"/>
        <v>0</v>
      </c>
      <c r="F690" s="186">
        <f t="shared" si="369"/>
        <v>0</v>
      </c>
      <c r="G690" s="186">
        <f t="shared" si="369"/>
        <v>0</v>
      </c>
      <c r="H690" s="186">
        <f t="shared" si="369"/>
        <v>0</v>
      </c>
      <c r="I690" s="186">
        <f t="shared" si="369"/>
        <v>0</v>
      </c>
      <c r="J690" s="186">
        <f t="shared" si="369"/>
        <v>0</v>
      </c>
      <c r="K690" s="186">
        <f t="shared" si="369"/>
        <v>0</v>
      </c>
      <c r="L690" s="186">
        <f t="shared" si="369"/>
        <v>39264.96458001752</v>
      </c>
      <c r="M690" s="186">
        <f t="shared" si="369"/>
        <v>39264.96458001752</v>
      </c>
      <c r="N690" s="186">
        <f t="shared" si="369"/>
        <v>39264.96458001752</v>
      </c>
      <c r="O690" s="186">
        <f t="shared" si="369"/>
        <v>0</v>
      </c>
      <c r="P690" s="186">
        <f t="shared" si="369"/>
        <v>0</v>
      </c>
      <c r="Q690" s="186">
        <f t="shared" si="369"/>
        <v>0</v>
      </c>
      <c r="R690" s="186">
        <f t="shared" si="369"/>
        <v>0</v>
      </c>
      <c r="S690" s="186">
        <f t="shared" si="369"/>
        <v>0</v>
      </c>
      <c r="T690" s="186">
        <f t="shared" si="369"/>
        <v>0</v>
      </c>
      <c r="U690" s="186">
        <f t="shared" si="369"/>
        <v>0</v>
      </c>
      <c r="V690" s="186">
        <f t="shared" si="369"/>
        <v>0</v>
      </c>
      <c r="W690" s="186">
        <f t="shared" si="369"/>
        <v>0</v>
      </c>
      <c r="X690" s="186">
        <f t="shared" si="369"/>
        <v>0</v>
      </c>
      <c r="Y690" s="186">
        <f t="shared" si="369"/>
        <v>0</v>
      </c>
      <c r="Z690" s="186">
        <f t="shared" si="369"/>
        <v>0</v>
      </c>
      <c r="AA690" s="186">
        <f t="shared" si="369"/>
        <v>0</v>
      </c>
      <c r="AB690" s="186">
        <f t="shared" si="369"/>
        <v>0</v>
      </c>
      <c r="AC690" s="186">
        <f t="shared" si="369"/>
        <v>0</v>
      </c>
      <c r="AD690" s="186">
        <f t="shared" si="369"/>
        <v>0</v>
      </c>
      <c r="AE690" s="186">
        <f t="shared" si="369"/>
        <v>0</v>
      </c>
      <c r="AF690" s="186">
        <f t="shared" si="369"/>
        <v>0</v>
      </c>
      <c r="AG690" s="186">
        <f t="shared" si="369"/>
        <v>0</v>
      </c>
      <c r="AH690" s="186">
        <f t="shared" si="369"/>
        <v>0</v>
      </c>
      <c r="AI690" s="186">
        <f t="shared" si="369"/>
        <v>0</v>
      </c>
      <c r="AJ690" s="186">
        <f t="shared" si="369"/>
        <v>0</v>
      </c>
      <c r="AK690" s="186">
        <f t="shared" si="369"/>
        <v>0</v>
      </c>
      <c r="AL690" s="186">
        <f t="shared" si="369"/>
        <v>0</v>
      </c>
      <c r="AM690" s="186">
        <f t="shared" si="369"/>
        <v>0</v>
      </c>
      <c r="AN690" s="186">
        <f t="shared" si="369"/>
        <v>0</v>
      </c>
      <c r="AO690" s="186">
        <f t="shared" si="369"/>
        <v>0</v>
      </c>
      <c r="AP690" s="186">
        <f t="shared" si="369"/>
        <v>0</v>
      </c>
    </row>
    <row r="691" spans="1:42">
      <c r="A691" s="37">
        <f t="shared" si="370"/>
        <v>5</v>
      </c>
      <c r="B691" s="255">
        <f t="shared" si="367"/>
        <v>123175.57306939576</v>
      </c>
      <c r="C691" s="186">
        <f t="shared" si="369"/>
        <v>0</v>
      </c>
      <c r="D691" s="186">
        <f t="shared" si="369"/>
        <v>0</v>
      </c>
      <c r="E691" s="186">
        <f t="shared" si="369"/>
        <v>0</v>
      </c>
      <c r="F691" s="186">
        <f t="shared" si="369"/>
        <v>0</v>
      </c>
      <c r="G691" s="186">
        <f t="shared" si="369"/>
        <v>0</v>
      </c>
      <c r="H691" s="186">
        <f t="shared" si="369"/>
        <v>0</v>
      </c>
      <c r="I691" s="186">
        <f t="shared" si="369"/>
        <v>0</v>
      </c>
      <c r="J691" s="186">
        <f t="shared" si="369"/>
        <v>0</v>
      </c>
      <c r="K691" s="186">
        <f t="shared" si="369"/>
        <v>0</v>
      </c>
      <c r="L691" s="186">
        <f t="shared" si="369"/>
        <v>0</v>
      </c>
      <c r="M691" s="186">
        <f t="shared" si="369"/>
        <v>0</v>
      </c>
      <c r="N691" s="186">
        <f t="shared" si="369"/>
        <v>0</v>
      </c>
      <c r="O691" s="186">
        <f t="shared" si="369"/>
        <v>41058.524356465256</v>
      </c>
      <c r="P691" s="186">
        <f t="shared" si="369"/>
        <v>41058.524356465256</v>
      </c>
      <c r="Q691" s="186">
        <f t="shared" si="369"/>
        <v>41058.524356465256</v>
      </c>
      <c r="R691" s="186">
        <f t="shared" si="369"/>
        <v>0</v>
      </c>
      <c r="S691" s="186">
        <f t="shared" si="369"/>
        <v>0</v>
      </c>
      <c r="T691" s="186">
        <f t="shared" si="369"/>
        <v>0</v>
      </c>
      <c r="U691" s="186">
        <f t="shared" si="369"/>
        <v>0</v>
      </c>
      <c r="V691" s="186">
        <f t="shared" si="369"/>
        <v>0</v>
      </c>
      <c r="W691" s="186">
        <f t="shared" si="369"/>
        <v>0</v>
      </c>
      <c r="X691" s="186">
        <f t="shared" si="369"/>
        <v>0</v>
      </c>
      <c r="Y691" s="186">
        <f t="shared" si="369"/>
        <v>0</v>
      </c>
      <c r="Z691" s="186">
        <f t="shared" si="369"/>
        <v>0</v>
      </c>
      <c r="AA691" s="186">
        <f t="shared" si="369"/>
        <v>0</v>
      </c>
      <c r="AB691" s="186">
        <f t="shared" si="369"/>
        <v>0</v>
      </c>
      <c r="AC691" s="186">
        <f t="shared" si="369"/>
        <v>0</v>
      </c>
      <c r="AD691" s="186">
        <f t="shared" si="369"/>
        <v>0</v>
      </c>
      <c r="AE691" s="186">
        <f t="shared" si="369"/>
        <v>0</v>
      </c>
      <c r="AF691" s="186">
        <f t="shared" si="369"/>
        <v>0</v>
      </c>
      <c r="AG691" s="186">
        <f t="shared" si="369"/>
        <v>0</v>
      </c>
      <c r="AH691" s="186">
        <f t="shared" si="369"/>
        <v>0</v>
      </c>
      <c r="AI691" s="186">
        <f t="shared" si="369"/>
        <v>0</v>
      </c>
      <c r="AJ691" s="186">
        <f t="shared" si="369"/>
        <v>0</v>
      </c>
      <c r="AK691" s="186">
        <f t="shared" si="369"/>
        <v>0</v>
      </c>
      <c r="AL691" s="186">
        <f t="shared" si="369"/>
        <v>0</v>
      </c>
      <c r="AM691" s="186">
        <f t="shared" si="369"/>
        <v>0</v>
      </c>
      <c r="AN691" s="186">
        <f t="shared" si="369"/>
        <v>0</v>
      </c>
      <c r="AO691" s="186">
        <f t="shared" si="369"/>
        <v>0</v>
      </c>
      <c r="AP691" s="186">
        <f t="shared" si="369"/>
        <v>0</v>
      </c>
    </row>
    <row r="692" spans="1:42">
      <c r="A692" s="37">
        <f t="shared" si="370"/>
        <v>6</v>
      </c>
      <c r="B692" s="255">
        <f t="shared" si="367"/>
        <v>128802.03308689949</v>
      </c>
      <c r="C692" s="186">
        <f t="shared" si="369"/>
        <v>0</v>
      </c>
      <c r="D692" s="186">
        <f t="shared" si="369"/>
        <v>0</v>
      </c>
      <c r="E692" s="186">
        <f t="shared" si="369"/>
        <v>0</v>
      </c>
      <c r="F692" s="186">
        <f t="shared" si="369"/>
        <v>0</v>
      </c>
      <c r="G692" s="186">
        <f t="shared" si="369"/>
        <v>0</v>
      </c>
      <c r="H692" s="186">
        <f t="shared" si="369"/>
        <v>0</v>
      </c>
      <c r="I692" s="186">
        <f t="shared" si="369"/>
        <v>0</v>
      </c>
      <c r="J692" s="186">
        <f t="shared" si="369"/>
        <v>0</v>
      </c>
      <c r="K692" s="186">
        <f t="shared" si="369"/>
        <v>0</v>
      </c>
      <c r="L692" s="186">
        <f t="shared" si="369"/>
        <v>0</v>
      </c>
      <c r="M692" s="186">
        <f t="shared" si="369"/>
        <v>0</v>
      </c>
      <c r="N692" s="186">
        <f t="shared" si="369"/>
        <v>0</v>
      </c>
      <c r="O692" s="186">
        <f t="shared" si="369"/>
        <v>0</v>
      </c>
      <c r="P692" s="186">
        <f t="shared" si="369"/>
        <v>0</v>
      </c>
      <c r="Q692" s="186">
        <f t="shared" si="369"/>
        <v>0</v>
      </c>
      <c r="R692" s="186">
        <f t="shared" si="369"/>
        <v>42934.011028966495</v>
      </c>
      <c r="S692" s="186">
        <f t="shared" si="369"/>
        <v>42934.011028966495</v>
      </c>
      <c r="T692" s="186">
        <f t="shared" si="369"/>
        <v>42934.011028966495</v>
      </c>
      <c r="U692" s="186">
        <f t="shared" si="369"/>
        <v>0</v>
      </c>
      <c r="V692" s="186">
        <f t="shared" si="369"/>
        <v>0</v>
      </c>
      <c r="W692" s="186">
        <f t="shared" si="369"/>
        <v>0</v>
      </c>
      <c r="X692" s="186">
        <f t="shared" si="369"/>
        <v>0</v>
      </c>
      <c r="Y692" s="186">
        <f t="shared" si="369"/>
        <v>0</v>
      </c>
      <c r="Z692" s="186">
        <f t="shared" si="369"/>
        <v>0</v>
      </c>
      <c r="AA692" s="186">
        <f t="shared" si="369"/>
        <v>0</v>
      </c>
      <c r="AB692" s="186">
        <f t="shared" si="369"/>
        <v>0</v>
      </c>
      <c r="AC692" s="186">
        <f t="shared" si="369"/>
        <v>0</v>
      </c>
      <c r="AD692" s="186">
        <f t="shared" si="369"/>
        <v>0</v>
      </c>
      <c r="AE692" s="186">
        <f t="shared" si="369"/>
        <v>0</v>
      </c>
      <c r="AF692" s="186">
        <f t="shared" si="369"/>
        <v>0</v>
      </c>
      <c r="AG692" s="186">
        <f t="shared" si="369"/>
        <v>0</v>
      </c>
      <c r="AH692" s="186">
        <f t="shared" si="369"/>
        <v>0</v>
      </c>
      <c r="AI692" s="186">
        <f t="shared" si="369"/>
        <v>0</v>
      </c>
      <c r="AJ692" s="186">
        <f t="shared" si="369"/>
        <v>0</v>
      </c>
      <c r="AK692" s="186">
        <f t="shared" si="369"/>
        <v>0</v>
      </c>
      <c r="AL692" s="186">
        <f t="shared" si="369"/>
        <v>0</v>
      </c>
      <c r="AM692" s="186">
        <f t="shared" si="369"/>
        <v>0</v>
      </c>
      <c r="AN692" s="186">
        <f t="shared" si="369"/>
        <v>0</v>
      </c>
      <c r="AO692" s="186">
        <f t="shared" si="369"/>
        <v>0</v>
      </c>
      <c r="AP692" s="186">
        <f t="shared" si="369"/>
        <v>0</v>
      </c>
    </row>
    <row r="693" spans="1:42">
      <c r="A693" s="37">
        <f t="shared" si="370"/>
        <v>7</v>
      </c>
      <c r="B693" s="255">
        <f t="shared" si="367"/>
        <v>134685.50065500522</v>
      </c>
      <c r="C693" s="186">
        <f t="shared" si="369"/>
        <v>0</v>
      </c>
      <c r="D693" s="186">
        <f t="shared" si="369"/>
        <v>0</v>
      </c>
      <c r="E693" s="186">
        <f t="shared" si="369"/>
        <v>0</v>
      </c>
      <c r="F693" s="186">
        <f t="shared" si="369"/>
        <v>0</v>
      </c>
      <c r="G693" s="186">
        <f t="shared" si="369"/>
        <v>0</v>
      </c>
      <c r="H693" s="186">
        <f t="shared" si="369"/>
        <v>0</v>
      </c>
      <c r="I693" s="186">
        <f t="shared" si="369"/>
        <v>0</v>
      </c>
      <c r="J693" s="186">
        <f t="shared" si="369"/>
        <v>0</v>
      </c>
      <c r="K693" s="186">
        <f t="shared" si="369"/>
        <v>0</v>
      </c>
      <c r="L693" s="186">
        <f t="shared" si="369"/>
        <v>0</v>
      </c>
      <c r="M693" s="186">
        <f t="shared" si="369"/>
        <v>0</v>
      </c>
      <c r="N693" s="186">
        <f t="shared" si="369"/>
        <v>0</v>
      </c>
      <c r="O693" s="186">
        <f t="shared" si="369"/>
        <v>0</v>
      </c>
      <c r="P693" s="186">
        <f t="shared" si="369"/>
        <v>0</v>
      </c>
      <c r="Q693" s="186">
        <f t="shared" si="369"/>
        <v>0</v>
      </c>
      <c r="R693" s="186">
        <f t="shared" si="369"/>
        <v>0</v>
      </c>
      <c r="S693" s="186">
        <f t="shared" si="369"/>
        <v>0</v>
      </c>
      <c r="T693" s="186">
        <f t="shared" si="369"/>
        <v>0</v>
      </c>
      <c r="U693" s="186">
        <f t="shared" si="369"/>
        <v>44895.166885001738</v>
      </c>
      <c r="V693" s="186">
        <f t="shared" si="369"/>
        <v>44895.166885001738</v>
      </c>
      <c r="W693" s="186">
        <f t="shared" si="369"/>
        <v>44895.166885001738</v>
      </c>
      <c r="X693" s="186">
        <f t="shared" si="369"/>
        <v>0</v>
      </c>
      <c r="Y693" s="186">
        <f t="shared" si="369"/>
        <v>0</v>
      </c>
      <c r="Z693" s="186">
        <f t="shared" si="369"/>
        <v>0</v>
      </c>
      <c r="AA693" s="186">
        <f t="shared" si="369"/>
        <v>0</v>
      </c>
      <c r="AB693" s="186">
        <f t="shared" si="369"/>
        <v>0</v>
      </c>
      <c r="AC693" s="186">
        <f t="shared" si="369"/>
        <v>0</v>
      </c>
      <c r="AD693" s="186">
        <f t="shared" si="369"/>
        <v>0</v>
      </c>
      <c r="AE693" s="186">
        <f t="shared" si="369"/>
        <v>0</v>
      </c>
      <c r="AF693" s="186">
        <f t="shared" si="369"/>
        <v>0</v>
      </c>
      <c r="AG693" s="186">
        <f t="shared" si="369"/>
        <v>0</v>
      </c>
      <c r="AH693" s="186">
        <f t="shared" si="369"/>
        <v>0</v>
      </c>
      <c r="AI693" s="186">
        <f t="shared" si="369"/>
        <v>0</v>
      </c>
      <c r="AJ693" s="186">
        <f t="shared" si="369"/>
        <v>0</v>
      </c>
      <c r="AK693" s="186">
        <f t="shared" si="369"/>
        <v>0</v>
      </c>
      <c r="AL693" s="186">
        <f t="shared" si="369"/>
        <v>0</v>
      </c>
      <c r="AM693" s="186">
        <f t="shared" si="369"/>
        <v>0</v>
      </c>
      <c r="AN693" s="186">
        <f t="shared" si="369"/>
        <v>0</v>
      </c>
      <c r="AO693" s="186">
        <f t="shared" si="369"/>
        <v>0</v>
      </c>
      <c r="AP693" s="186">
        <f t="shared" si="369"/>
        <v>0</v>
      </c>
    </row>
    <row r="694" spans="1:42">
      <c r="A694" s="37">
        <f t="shared" si="370"/>
        <v>8</v>
      </c>
      <c r="B694" s="255">
        <f t="shared" si="367"/>
        <v>140837.71546098724</v>
      </c>
      <c r="C694" s="186">
        <f t="shared" si="369"/>
        <v>0</v>
      </c>
      <c r="D694" s="186">
        <f t="shared" si="369"/>
        <v>0</v>
      </c>
      <c r="E694" s="186">
        <f t="shared" si="369"/>
        <v>0</v>
      </c>
      <c r="F694" s="186">
        <f t="shared" si="369"/>
        <v>0</v>
      </c>
      <c r="G694" s="186">
        <f t="shared" si="369"/>
        <v>0</v>
      </c>
      <c r="H694" s="186">
        <f t="shared" si="369"/>
        <v>0</v>
      </c>
      <c r="I694" s="186">
        <f t="shared" si="369"/>
        <v>0</v>
      </c>
      <c r="J694" s="186">
        <f t="shared" si="369"/>
        <v>0</v>
      </c>
      <c r="K694" s="186">
        <f t="shared" si="369"/>
        <v>0</v>
      </c>
      <c r="L694" s="186">
        <f t="shared" si="369"/>
        <v>0</v>
      </c>
      <c r="M694" s="186">
        <f t="shared" si="369"/>
        <v>0</v>
      </c>
      <c r="N694" s="186">
        <f t="shared" si="369"/>
        <v>0</v>
      </c>
      <c r="O694" s="186">
        <f t="shared" si="369"/>
        <v>0</v>
      </c>
      <c r="P694" s="186">
        <f t="shared" si="369"/>
        <v>0</v>
      </c>
      <c r="Q694" s="186">
        <f t="shared" si="369"/>
        <v>0</v>
      </c>
      <c r="R694" s="186">
        <f t="shared" ref="R694:AP694" si="371">IF(AND(R$2&gt;MMFrequency3*$A681,R$2&lt;=MMFrequency3*$A682),$B682/(MMFrequency3),0)</f>
        <v>0</v>
      </c>
      <c r="S694" s="186">
        <f t="shared" si="371"/>
        <v>0</v>
      </c>
      <c r="T694" s="186">
        <f t="shared" si="371"/>
        <v>0</v>
      </c>
      <c r="U694" s="186">
        <f t="shared" si="371"/>
        <v>0</v>
      </c>
      <c r="V694" s="186">
        <f t="shared" si="371"/>
        <v>0</v>
      </c>
      <c r="W694" s="186">
        <f t="shared" si="371"/>
        <v>0</v>
      </c>
      <c r="X694" s="186">
        <f t="shared" si="371"/>
        <v>46945.90515366241</v>
      </c>
      <c r="Y694" s="186">
        <f t="shared" si="371"/>
        <v>46945.90515366241</v>
      </c>
      <c r="Z694" s="186">
        <f t="shared" si="371"/>
        <v>46945.90515366241</v>
      </c>
      <c r="AA694" s="186">
        <f t="shared" si="371"/>
        <v>0</v>
      </c>
      <c r="AB694" s="186">
        <f t="shared" si="371"/>
        <v>0</v>
      </c>
      <c r="AC694" s="186">
        <f t="shared" si="371"/>
        <v>0</v>
      </c>
      <c r="AD694" s="186">
        <f t="shared" si="371"/>
        <v>0</v>
      </c>
      <c r="AE694" s="186">
        <f t="shared" si="371"/>
        <v>0</v>
      </c>
      <c r="AF694" s="186">
        <f t="shared" si="371"/>
        <v>0</v>
      </c>
      <c r="AG694" s="186">
        <f t="shared" si="371"/>
        <v>0</v>
      </c>
      <c r="AH694" s="186">
        <f t="shared" si="371"/>
        <v>0</v>
      </c>
      <c r="AI694" s="186">
        <f t="shared" si="371"/>
        <v>0</v>
      </c>
      <c r="AJ694" s="186">
        <f t="shared" si="371"/>
        <v>0</v>
      </c>
      <c r="AK694" s="186">
        <f t="shared" si="371"/>
        <v>0</v>
      </c>
      <c r="AL694" s="186">
        <f t="shared" si="371"/>
        <v>0</v>
      </c>
      <c r="AM694" s="186">
        <f t="shared" si="371"/>
        <v>0</v>
      </c>
      <c r="AN694" s="186">
        <f t="shared" si="371"/>
        <v>0</v>
      </c>
      <c r="AO694" s="186">
        <f t="shared" si="371"/>
        <v>0</v>
      </c>
      <c r="AP694" s="186">
        <f t="shared" si="371"/>
        <v>0</v>
      </c>
    </row>
    <row r="695" spans="1:42">
      <c r="A695" s="37">
        <f>A694+1</f>
        <v>9</v>
      </c>
      <c r="B695" s="255">
        <f t="shared" si="367"/>
        <v>147270.95344195748</v>
      </c>
      <c r="C695" s="186">
        <f t="shared" ref="C695:AP696" si="372">IF(AND(C$2&gt;MMFrequency3*$A682,C$2&lt;=MMFrequency3*$A683),$B683/(MMFrequency3),0)</f>
        <v>0</v>
      </c>
      <c r="D695" s="186">
        <f t="shared" si="372"/>
        <v>0</v>
      </c>
      <c r="E695" s="186">
        <f t="shared" si="372"/>
        <v>0</v>
      </c>
      <c r="F695" s="186">
        <f t="shared" si="372"/>
        <v>0</v>
      </c>
      <c r="G695" s="186">
        <f t="shared" si="372"/>
        <v>0</v>
      </c>
      <c r="H695" s="186">
        <f t="shared" si="372"/>
        <v>0</v>
      </c>
      <c r="I695" s="186">
        <f t="shared" si="372"/>
        <v>0</v>
      </c>
      <c r="J695" s="186">
        <f t="shared" si="372"/>
        <v>0</v>
      </c>
      <c r="K695" s="186">
        <f t="shared" si="372"/>
        <v>0</v>
      </c>
      <c r="L695" s="186">
        <f t="shared" si="372"/>
        <v>0</v>
      </c>
      <c r="M695" s="186">
        <f t="shared" si="372"/>
        <v>0</v>
      </c>
      <c r="N695" s="186">
        <f t="shared" si="372"/>
        <v>0</v>
      </c>
      <c r="O695" s="186">
        <f t="shared" si="372"/>
        <v>0</v>
      </c>
      <c r="P695" s="186">
        <f t="shared" si="372"/>
        <v>0</v>
      </c>
      <c r="Q695" s="186">
        <f t="shared" si="372"/>
        <v>0</v>
      </c>
      <c r="R695" s="186">
        <f t="shared" si="372"/>
        <v>0</v>
      </c>
      <c r="S695" s="186">
        <f t="shared" si="372"/>
        <v>0</v>
      </c>
      <c r="T695" s="186">
        <f t="shared" si="372"/>
        <v>0</v>
      </c>
      <c r="U695" s="186">
        <f t="shared" si="372"/>
        <v>0</v>
      </c>
      <c r="V695" s="186">
        <f t="shared" si="372"/>
        <v>0</v>
      </c>
      <c r="W695" s="186">
        <f t="shared" si="372"/>
        <v>0</v>
      </c>
      <c r="X695" s="186">
        <f t="shared" si="372"/>
        <v>0</v>
      </c>
      <c r="Y695" s="186">
        <f t="shared" si="372"/>
        <v>0</v>
      </c>
      <c r="Z695" s="186">
        <f t="shared" si="372"/>
        <v>0</v>
      </c>
      <c r="AA695" s="186">
        <f t="shared" si="372"/>
        <v>49090.317813985828</v>
      </c>
      <c r="AB695" s="186">
        <f t="shared" si="372"/>
        <v>49090.317813985828</v>
      </c>
      <c r="AC695" s="186">
        <f t="shared" si="372"/>
        <v>49090.317813985828</v>
      </c>
      <c r="AD695" s="186">
        <f t="shared" si="372"/>
        <v>0</v>
      </c>
      <c r="AE695" s="186">
        <f t="shared" si="372"/>
        <v>0</v>
      </c>
      <c r="AF695" s="186">
        <f t="shared" si="372"/>
        <v>0</v>
      </c>
      <c r="AG695" s="186">
        <f t="shared" si="372"/>
        <v>0</v>
      </c>
      <c r="AH695" s="186">
        <f t="shared" si="372"/>
        <v>0</v>
      </c>
      <c r="AI695" s="186">
        <f t="shared" si="372"/>
        <v>0</v>
      </c>
      <c r="AJ695" s="186">
        <f t="shared" si="372"/>
        <v>0</v>
      </c>
      <c r="AK695" s="186">
        <f t="shared" si="372"/>
        <v>0</v>
      </c>
      <c r="AL695" s="186">
        <f t="shared" si="372"/>
        <v>0</v>
      </c>
      <c r="AM695" s="186">
        <f t="shared" si="372"/>
        <v>0</v>
      </c>
      <c r="AN695" s="186">
        <f t="shared" si="372"/>
        <v>0</v>
      </c>
      <c r="AO695" s="186">
        <f t="shared" si="372"/>
        <v>0</v>
      </c>
      <c r="AP695" s="186">
        <f t="shared" si="372"/>
        <v>0</v>
      </c>
    </row>
    <row r="696" spans="1:42">
      <c r="A696" s="37">
        <f t="shared" ref="A696" si="373">A695+1</f>
        <v>10</v>
      </c>
      <c r="B696" s="255">
        <f t="shared" si="367"/>
        <v>153998.05127988668</v>
      </c>
      <c r="C696" s="187">
        <f t="shared" si="372"/>
        <v>0</v>
      </c>
      <c r="D696" s="187">
        <f t="shared" si="372"/>
        <v>0</v>
      </c>
      <c r="E696" s="187">
        <f t="shared" si="372"/>
        <v>0</v>
      </c>
      <c r="F696" s="187">
        <f t="shared" si="372"/>
        <v>0</v>
      </c>
      <c r="G696" s="187">
        <f t="shared" si="372"/>
        <v>0</v>
      </c>
      <c r="H696" s="187">
        <f t="shared" si="372"/>
        <v>0</v>
      </c>
      <c r="I696" s="187">
        <f t="shared" si="372"/>
        <v>0</v>
      </c>
      <c r="J696" s="187">
        <f t="shared" si="372"/>
        <v>0</v>
      </c>
      <c r="K696" s="187">
        <f t="shared" si="372"/>
        <v>0</v>
      </c>
      <c r="L696" s="187">
        <f t="shared" si="372"/>
        <v>0</v>
      </c>
      <c r="M696" s="187">
        <f t="shared" si="372"/>
        <v>0</v>
      </c>
      <c r="N696" s="187">
        <f t="shared" si="372"/>
        <v>0</v>
      </c>
      <c r="O696" s="187">
        <f t="shared" si="372"/>
        <v>0</v>
      </c>
      <c r="P696" s="187">
        <f t="shared" si="372"/>
        <v>0</v>
      </c>
      <c r="Q696" s="187">
        <f t="shared" si="372"/>
        <v>0</v>
      </c>
      <c r="R696" s="187">
        <f t="shared" si="372"/>
        <v>0</v>
      </c>
      <c r="S696" s="187">
        <f t="shared" si="372"/>
        <v>0</v>
      </c>
      <c r="T696" s="187">
        <f t="shared" si="372"/>
        <v>0</v>
      </c>
      <c r="U696" s="187">
        <f t="shared" si="372"/>
        <v>0</v>
      </c>
      <c r="V696" s="187">
        <f t="shared" si="372"/>
        <v>0</v>
      </c>
      <c r="W696" s="187">
        <f t="shared" si="372"/>
        <v>0</v>
      </c>
      <c r="X696" s="187">
        <f t="shared" si="372"/>
        <v>0</v>
      </c>
      <c r="Y696" s="187">
        <f t="shared" si="372"/>
        <v>0</v>
      </c>
      <c r="Z696" s="187">
        <f t="shared" si="372"/>
        <v>0</v>
      </c>
      <c r="AA696" s="187">
        <f t="shared" si="372"/>
        <v>0</v>
      </c>
      <c r="AB696" s="187">
        <f t="shared" si="372"/>
        <v>0</v>
      </c>
      <c r="AC696" s="187">
        <f t="shared" si="372"/>
        <v>0</v>
      </c>
      <c r="AD696" s="187">
        <f t="shared" si="372"/>
        <v>51332.68375996223</v>
      </c>
      <c r="AE696" s="187">
        <f t="shared" si="372"/>
        <v>51332.68375996223</v>
      </c>
      <c r="AF696" s="187">
        <f t="shared" si="372"/>
        <v>51332.68375996223</v>
      </c>
      <c r="AG696" s="187">
        <f t="shared" si="372"/>
        <v>0</v>
      </c>
      <c r="AH696" s="187">
        <f t="shared" si="372"/>
        <v>0</v>
      </c>
      <c r="AI696" s="187">
        <f t="shared" si="372"/>
        <v>0</v>
      </c>
      <c r="AJ696" s="187">
        <f t="shared" si="372"/>
        <v>0</v>
      </c>
      <c r="AK696" s="187">
        <f t="shared" si="372"/>
        <v>0</v>
      </c>
      <c r="AL696" s="187">
        <f t="shared" si="372"/>
        <v>0</v>
      </c>
      <c r="AM696" s="187">
        <f t="shared" si="372"/>
        <v>0</v>
      </c>
      <c r="AN696" s="187">
        <f t="shared" si="372"/>
        <v>0</v>
      </c>
      <c r="AO696" s="187">
        <f t="shared" si="372"/>
        <v>0</v>
      </c>
      <c r="AP696" s="187">
        <f t="shared" si="372"/>
        <v>0</v>
      </c>
    </row>
    <row r="697" spans="1:42">
      <c r="A697" s="219" t="s">
        <v>53</v>
      </c>
      <c r="B697" s="186"/>
      <c r="C697" s="152">
        <f>SUM(C687:C696)</f>
        <v>34340.833333333321</v>
      </c>
      <c r="D697" s="152">
        <f t="shared" ref="D697:AP697" si="374">SUM(D687:D696)</f>
        <v>34340.833333333321</v>
      </c>
      <c r="E697" s="152">
        <f t="shared" si="374"/>
        <v>34340.833333333321</v>
      </c>
      <c r="F697" s="152">
        <f t="shared" si="374"/>
        <v>35909.466796145811</v>
      </c>
      <c r="G697" s="152">
        <f t="shared" si="374"/>
        <v>35909.466796145811</v>
      </c>
      <c r="H697" s="152">
        <f t="shared" si="374"/>
        <v>35909.466796145811</v>
      </c>
      <c r="I697" s="152">
        <f t="shared" si="374"/>
        <v>37549.752886510192</v>
      </c>
      <c r="J697" s="152">
        <f t="shared" si="374"/>
        <v>37549.752886510192</v>
      </c>
      <c r="K697" s="152">
        <f t="shared" si="374"/>
        <v>37549.752886510192</v>
      </c>
      <c r="L697" s="152">
        <f t="shared" si="374"/>
        <v>39264.96458001752</v>
      </c>
      <c r="M697" s="152">
        <f t="shared" si="374"/>
        <v>39264.96458001752</v>
      </c>
      <c r="N697" s="152">
        <f t="shared" si="374"/>
        <v>39264.96458001752</v>
      </c>
      <c r="O697" s="152">
        <f t="shared" si="374"/>
        <v>41058.524356465256</v>
      </c>
      <c r="P697" s="152">
        <f t="shared" si="374"/>
        <v>41058.524356465256</v>
      </c>
      <c r="Q697" s="152">
        <f t="shared" si="374"/>
        <v>41058.524356465256</v>
      </c>
      <c r="R697" s="152">
        <f t="shared" si="374"/>
        <v>42934.011028966495</v>
      </c>
      <c r="S697" s="152">
        <f t="shared" si="374"/>
        <v>42934.011028966495</v>
      </c>
      <c r="T697" s="152">
        <f t="shared" si="374"/>
        <v>42934.011028966495</v>
      </c>
      <c r="U697" s="152">
        <f t="shared" si="374"/>
        <v>44895.166885001738</v>
      </c>
      <c r="V697" s="152">
        <f t="shared" si="374"/>
        <v>44895.166885001738</v>
      </c>
      <c r="W697" s="152">
        <f t="shared" si="374"/>
        <v>44895.166885001738</v>
      </c>
      <c r="X697" s="152">
        <f t="shared" si="374"/>
        <v>46945.90515366241</v>
      </c>
      <c r="Y697" s="152">
        <f t="shared" si="374"/>
        <v>46945.90515366241</v>
      </c>
      <c r="Z697" s="152">
        <f t="shared" si="374"/>
        <v>46945.90515366241</v>
      </c>
      <c r="AA697" s="152">
        <f t="shared" si="374"/>
        <v>49090.317813985828</v>
      </c>
      <c r="AB697" s="152">
        <f t="shared" si="374"/>
        <v>49090.317813985828</v>
      </c>
      <c r="AC697" s="152">
        <f t="shared" si="374"/>
        <v>49090.317813985828</v>
      </c>
      <c r="AD697" s="152">
        <f t="shared" si="374"/>
        <v>51332.68375996223</v>
      </c>
      <c r="AE697" s="152">
        <f t="shared" si="374"/>
        <v>51332.68375996223</v>
      </c>
      <c r="AF697" s="152">
        <f t="shared" si="374"/>
        <v>51332.68375996223</v>
      </c>
      <c r="AG697" s="152">
        <f t="shared" si="374"/>
        <v>0</v>
      </c>
      <c r="AH697" s="152">
        <f t="shared" si="374"/>
        <v>0</v>
      </c>
      <c r="AI697" s="152">
        <f t="shared" si="374"/>
        <v>0</v>
      </c>
      <c r="AJ697" s="152">
        <f t="shared" si="374"/>
        <v>0</v>
      </c>
      <c r="AK697" s="152">
        <f t="shared" si="374"/>
        <v>0</v>
      </c>
      <c r="AL697" s="152">
        <f t="shared" si="374"/>
        <v>0</v>
      </c>
      <c r="AM697" s="152">
        <f t="shared" si="374"/>
        <v>0</v>
      </c>
      <c r="AN697" s="152">
        <f t="shared" si="374"/>
        <v>0</v>
      </c>
      <c r="AO697" s="152">
        <f t="shared" si="374"/>
        <v>0</v>
      </c>
      <c r="AP697" s="152">
        <f t="shared" si="374"/>
        <v>0</v>
      </c>
    </row>
    <row r="698" spans="1:42">
      <c r="B698" s="186"/>
      <c r="C698" s="152"/>
      <c r="D698" s="152"/>
      <c r="E698" s="152"/>
      <c r="F698" s="152"/>
      <c r="G698" s="152"/>
      <c r="H698" s="152"/>
      <c r="I698" s="152"/>
      <c r="J698" s="152"/>
      <c r="K698" s="152"/>
      <c r="L698" s="152"/>
      <c r="M698" s="152"/>
      <c r="N698" s="152"/>
      <c r="O698" s="152"/>
      <c r="P698" s="152"/>
      <c r="Q698" s="152"/>
      <c r="R698" s="152"/>
      <c r="S698" s="152"/>
      <c r="T698" s="152"/>
      <c r="U698" s="152"/>
      <c r="V698" s="152"/>
      <c r="W698" s="152"/>
      <c r="X698" s="152"/>
      <c r="Y698" s="152"/>
      <c r="Z698" s="152"/>
      <c r="AA698" s="152"/>
      <c r="AB698" s="152"/>
      <c r="AC698" s="152"/>
      <c r="AD698" s="152"/>
      <c r="AE698" s="152"/>
      <c r="AF698" s="152"/>
      <c r="AG698" s="152"/>
      <c r="AH698" s="152"/>
      <c r="AI698" s="152"/>
      <c r="AJ698" s="152"/>
      <c r="AK698" s="152"/>
      <c r="AL698" s="152"/>
      <c r="AM698" s="152"/>
      <c r="AN698" s="152"/>
      <c r="AO698" s="152"/>
      <c r="AP698" s="152"/>
    </row>
    <row r="699" spans="1:42">
      <c r="A699" s="37" t="s">
        <v>200</v>
      </c>
      <c r="B699" s="186"/>
      <c r="C699" s="152"/>
      <c r="D699" s="152"/>
      <c r="E699" s="152"/>
      <c r="F699" s="152"/>
      <c r="G699" s="152"/>
      <c r="H699" s="152"/>
      <c r="I699" s="152"/>
      <c r="J699" s="152"/>
      <c r="K699" s="152"/>
      <c r="L699" s="152"/>
      <c r="M699" s="152"/>
      <c r="N699" s="152"/>
      <c r="O699" s="152"/>
      <c r="P699" s="152"/>
      <c r="Q699" s="152"/>
      <c r="R699" s="152"/>
      <c r="S699" s="152"/>
      <c r="T699" s="152"/>
      <c r="U699" s="152"/>
      <c r="V699" s="152"/>
      <c r="W699" s="152"/>
      <c r="X699" s="152"/>
      <c r="Y699" s="152"/>
      <c r="Z699" s="152"/>
      <c r="AA699" s="152"/>
      <c r="AB699" s="152"/>
      <c r="AC699" s="152"/>
      <c r="AD699" s="152"/>
      <c r="AE699" s="152"/>
      <c r="AF699" s="152"/>
      <c r="AG699" s="152"/>
      <c r="AH699" s="152"/>
      <c r="AI699" s="152"/>
      <c r="AJ699" s="152"/>
      <c r="AK699" s="152"/>
      <c r="AL699" s="152"/>
      <c r="AM699" s="152"/>
      <c r="AN699" s="152"/>
      <c r="AO699" s="152"/>
      <c r="AP699" s="152"/>
    </row>
    <row r="700" spans="1:42">
      <c r="A700" s="184" t="s">
        <v>201</v>
      </c>
      <c r="B700" s="152">
        <f>B601+B607+B639+B671</f>
        <v>350000</v>
      </c>
      <c r="C700" s="152">
        <f t="shared" ref="C700:AP700" si="375">C601+C607+C639+C671</f>
        <v>1040332.1055230953</v>
      </c>
      <c r="D700" s="152">
        <f t="shared" si="375"/>
        <v>1730664.2110461907</v>
      </c>
      <c r="E700" s="152">
        <f t="shared" si="375"/>
        <v>2317973.8165692864</v>
      </c>
      <c r="F700" s="152">
        <f t="shared" si="375"/>
        <v>3009874.5555551937</v>
      </c>
      <c r="G700" s="152">
        <f t="shared" si="375"/>
        <v>3701775.2945411019</v>
      </c>
      <c r="H700" s="152">
        <f t="shared" si="375"/>
        <v>4285947.6331385728</v>
      </c>
      <c r="I700" s="152">
        <f t="shared" si="375"/>
        <v>4979488.6582148457</v>
      </c>
      <c r="J700" s="152">
        <f t="shared" si="375"/>
        <v>5673029.6832911167</v>
      </c>
      <c r="K700" s="152">
        <f t="shared" si="375"/>
        <v>6253921.4497078592</v>
      </c>
      <c r="L700" s="152">
        <f t="shared" si="375"/>
        <v>6949177.6864776388</v>
      </c>
      <c r="M700" s="152">
        <f t="shared" si="375"/>
        <v>7644433.9232474184</v>
      </c>
      <c r="N700" s="152">
        <f t="shared" si="375"/>
        <v>5277022.9227758311</v>
      </c>
      <c r="O700" s="152">
        <f t="shared" si="375"/>
        <v>6022078.5979073383</v>
      </c>
      <c r="P700" s="152">
        <f t="shared" si="375"/>
        <v>6767134.2730388464</v>
      </c>
      <c r="Q700" s="152">
        <f t="shared" si="375"/>
        <v>1230235.7216311703</v>
      </c>
      <c r="R700" s="152">
        <f t="shared" si="375"/>
        <v>2079908.4774701491</v>
      </c>
      <c r="S700" s="152">
        <f t="shared" si="375"/>
        <v>2929581.2333091279</v>
      </c>
      <c r="T700" s="152">
        <f t="shared" si="375"/>
        <v>3650451.9560612072</v>
      </c>
      <c r="U700" s="152">
        <f t="shared" si="375"/>
        <v>4502085.8677562214</v>
      </c>
      <c r="V700" s="152">
        <f t="shared" si="375"/>
        <v>5353719.7794512352</v>
      </c>
      <c r="W700" s="152">
        <f t="shared" si="375"/>
        <v>6070668.1904912442</v>
      </c>
      <c r="X700" s="152">
        <f t="shared" si="375"/>
        <v>6924352.8404549183</v>
      </c>
      <c r="Y700" s="152">
        <f t="shared" si="375"/>
        <v>7778037.4904185934</v>
      </c>
      <c r="Z700" s="152">
        <f t="shared" si="375"/>
        <v>4969941.5383965997</v>
      </c>
      <c r="AA700" s="152">
        <f t="shared" si="375"/>
        <v>5532358.6938102078</v>
      </c>
      <c r="AB700" s="152">
        <f t="shared" si="375"/>
        <v>6094775.8492238158</v>
      </c>
      <c r="AC700" s="152">
        <f t="shared" si="375"/>
        <v>6509922.051195466</v>
      </c>
      <c r="AD700" s="152">
        <f t="shared" si="375"/>
        <v>7074581.5725550503</v>
      </c>
      <c r="AE700" s="152">
        <f t="shared" si="375"/>
        <v>7639241.0939146345</v>
      </c>
      <c r="AF700" s="152">
        <f t="shared" si="375"/>
        <v>0</v>
      </c>
      <c r="AG700" s="152">
        <f t="shared" si="375"/>
        <v>0</v>
      </c>
      <c r="AH700" s="152">
        <f t="shared" si="375"/>
        <v>0</v>
      </c>
      <c r="AI700" s="152">
        <f t="shared" si="375"/>
        <v>0</v>
      </c>
      <c r="AJ700" s="152">
        <f t="shared" si="375"/>
        <v>0</v>
      </c>
      <c r="AK700" s="152">
        <f t="shared" si="375"/>
        <v>0</v>
      </c>
      <c r="AL700" s="152">
        <f t="shared" si="375"/>
        <v>0</v>
      </c>
      <c r="AM700" s="152">
        <f t="shared" si="375"/>
        <v>0</v>
      </c>
      <c r="AN700" s="152">
        <f t="shared" si="375"/>
        <v>0</v>
      </c>
      <c r="AO700" s="152">
        <f t="shared" si="375"/>
        <v>0</v>
      </c>
      <c r="AP700" s="152">
        <f t="shared" si="375"/>
        <v>0</v>
      </c>
    </row>
    <row r="701" spans="1:42">
      <c r="A701" s="184" t="s">
        <v>200</v>
      </c>
      <c r="B701" s="186"/>
      <c r="C701" s="152">
        <f t="shared" ref="C701:AP701" si="376">IF(C$2&lt;=AnalysisPeriod,B700*InterestOnReserves,0)</f>
        <v>6125.0000000000009</v>
      </c>
      <c r="D701" s="152">
        <f t="shared" si="376"/>
        <v>18205.811846654171</v>
      </c>
      <c r="E701" s="152">
        <f t="shared" si="376"/>
        <v>30286.623693308342</v>
      </c>
      <c r="F701" s="152">
        <f t="shared" si="376"/>
        <v>40564.541789962517</v>
      </c>
      <c r="G701" s="152">
        <f t="shared" si="376"/>
        <v>52672.804722215893</v>
      </c>
      <c r="H701" s="152">
        <f t="shared" si="376"/>
        <v>64781.067654469291</v>
      </c>
      <c r="I701" s="152">
        <f t="shared" si="376"/>
        <v>75004.083579925034</v>
      </c>
      <c r="J701" s="152">
        <f t="shared" si="376"/>
        <v>87141.051518759807</v>
      </c>
      <c r="K701" s="152">
        <f t="shared" si="376"/>
        <v>99278.01945759455</v>
      </c>
      <c r="L701" s="152">
        <f t="shared" si="376"/>
        <v>109443.62536988755</v>
      </c>
      <c r="M701" s="152">
        <f t="shared" si="376"/>
        <v>121610.60951335869</v>
      </c>
      <c r="N701" s="152">
        <f t="shared" si="376"/>
        <v>133777.59365682982</v>
      </c>
      <c r="O701" s="152">
        <f t="shared" si="376"/>
        <v>92347.901148577046</v>
      </c>
      <c r="P701" s="152">
        <f t="shared" si="376"/>
        <v>105386.37546337843</v>
      </c>
      <c r="Q701" s="152">
        <f t="shared" si="376"/>
        <v>118424.84977817982</v>
      </c>
      <c r="R701" s="152">
        <f t="shared" si="376"/>
        <v>21529.125128545482</v>
      </c>
      <c r="S701" s="152">
        <f t="shared" si="376"/>
        <v>36398.398355727615</v>
      </c>
      <c r="T701" s="152">
        <f t="shared" si="376"/>
        <v>51267.671582909745</v>
      </c>
      <c r="U701" s="152">
        <f t="shared" si="376"/>
        <v>63882.909231071135</v>
      </c>
      <c r="V701" s="152">
        <f t="shared" si="376"/>
        <v>78786.502685733882</v>
      </c>
      <c r="W701" s="152">
        <f t="shared" si="376"/>
        <v>93690.096140396621</v>
      </c>
      <c r="X701" s="152">
        <f t="shared" si="376"/>
        <v>106236.69333359678</v>
      </c>
      <c r="Y701" s="152">
        <f t="shared" si="376"/>
        <v>121176.17470796108</v>
      </c>
      <c r="Z701" s="152">
        <f t="shared" si="376"/>
        <v>136115.65608232541</v>
      </c>
      <c r="AA701" s="152">
        <f t="shared" si="376"/>
        <v>86973.976921940499</v>
      </c>
      <c r="AB701" s="152">
        <f t="shared" si="376"/>
        <v>96816.277141678642</v>
      </c>
      <c r="AC701" s="152">
        <f t="shared" si="376"/>
        <v>106658.57736141678</v>
      </c>
      <c r="AD701" s="152">
        <f t="shared" si="376"/>
        <v>113923.63589592067</v>
      </c>
      <c r="AE701" s="152">
        <f t="shared" si="376"/>
        <v>123805.1775197134</v>
      </c>
      <c r="AF701" s="152">
        <f t="shared" si="376"/>
        <v>133686.71914350611</v>
      </c>
      <c r="AG701" s="152">
        <f t="shared" si="376"/>
        <v>0</v>
      </c>
      <c r="AH701" s="152">
        <f t="shared" si="376"/>
        <v>0</v>
      </c>
      <c r="AI701" s="152">
        <f t="shared" si="376"/>
        <v>0</v>
      </c>
      <c r="AJ701" s="152">
        <f t="shared" si="376"/>
        <v>0</v>
      </c>
      <c r="AK701" s="152">
        <f t="shared" si="376"/>
        <v>0</v>
      </c>
      <c r="AL701" s="152">
        <f t="shared" si="376"/>
        <v>0</v>
      </c>
      <c r="AM701" s="152">
        <f t="shared" si="376"/>
        <v>0</v>
      </c>
      <c r="AN701" s="152">
        <f t="shared" si="376"/>
        <v>0</v>
      </c>
      <c r="AO701" s="152">
        <f t="shared" si="376"/>
        <v>0</v>
      </c>
      <c r="AP701" s="152">
        <f t="shared" si="376"/>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2"/>
  <dimension ref="A1:AP739"/>
  <sheetViews>
    <sheetView tabSelected="1" zoomScaleNormal="100" workbookViewId="0">
      <pane xSplit="1" ySplit="2" topLeftCell="B105" activePane="bottomRight" state="frozen"/>
      <selection pane="topRight" activeCell="B1" sqref="B1"/>
      <selection pane="bottomLeft" activeCell="A3" sqref="A3"/>
      <selection pane="bottomRight" activeCell="C153" sqref="C153"/>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26</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LeveragedFlipPPAPrice*(1+LeveragedFlipPPAPriceEsc)^B2</f>
        <v>34.753994881306902</v>
      </c>
      <c r="D11" s="185">
        <f t="shared" si="2"/>
        <v>35.449074778933038</v>
      </c>
      <c r="E11" s="185">
        <f t="shared" si="2"/>
        <v>36.158056274511701</v>
      </c>
      <c r="F11" s="185">
        <f t="shared" si="2"/>
        <v>36.88121740000193</v>
      </c>
      <c r="G11" s="185">
        <f t="shared" si="2"/>
        <v>37.618841748001969</v>
      </c>
      <c r="H11" s="185">
        <f t="shared" si="2"/>
        <v>38.371218582962015</v>
      </c>
      <c r="I11" s="185">
        <f t="shared" si="2"/>
        <v>39.138642954621254</v>
      </c>
      <c r="J11" s="185">
        <f t="shared" si="2"/>
        <v>39.921415813713672</v>
      </c>
      <c r="K11" s="185">
        <f t="shared" si="2"/>
        <v>40.719844129987948</v>
      </c>
      <c r="L11" s="185">
        <f t="shared" si="2"/>
        <v>41.534241012587707</v>
      </c>
      <c r="M11" s="185">
        <f t="shared" si="2"/>
        <v>42.364925832839461</v>
      </c>
      <c r="N11" s="185">
        <f t="shared" si="2"/>
        <v>43.212224349496246</v>
      </c>
      <c r="O11" s="185">
        <f t="shared" si="2"/>
        <v>44.076468836486178</v>
      </c>
      <c r="P11" s="185">
        <f t="shared" si="2"/>
        <v>44.957998213215902</v>
      </c>
      <c r="Q11" s="185">
        <f t="shared" si="2"/>
        <v>45.857158177480223</v>
      </c>
      <c r="R11" s="185">
        <f t="shared" si="2"/>
        <v>46.774301341029812</v>
      </c>
      <c r="S11" s="185">
        <f t="shared" si="2"/>
        <v>47.709787367850417</v>
      </c>
      <c r="T11" s="185">
        <f t="shared" si="2"/>
        <v>48.663983115207429</v>
      </c>
      <c r="U11" s="185">
        <f t="shared" si="2"/>
        <v>49.637262777511573</v>
      </c>
      <c r="V11" s="185">
        <f t="shared" si="2"/>
        <v>50.630008033061799</v>
      </c>
      <c r="W11" s="185">
        <f t="shared" si="2"/>
        <v>51.642608193723042</v>
      </c>
      <c r="X11" s="185">
        <f t="shared" si="2"/>
        <v>52.675460357597501</v>
      </c>
      <c r="Y11" s="185">
        <f t="shared" si="2"/>
        <v>53.728969564749455</v>
      </c>
      <c r="Z11" s="185">
        <f t="shared" si="2"/>
        <v>54.80354895604443</v>
      </c>
      <c r="AA11" s="185">
        <f t="shared" si="2"/>
        <v>55.899619935165326</v>
      </c>
      <c r="AB11" s="185">
        <f t="shared" si="2"/>
        <v>57.017612333868627</v>
      </c>
      <c r="AC11" s="185">
        <f t="shared" si="2"/>
        <v>58.157964580546007</v>
      </c>
      <c r="AD11" s="185">
        <f t="shared" si="2"/>
        <v>59.321123872156917</v>
      </c>
      <c r="AE11" s="185">
        <f t="shared" si="2"/>
        <v>60.507546349600069</v>
      </c>
      <c r="AF11" s="185">
        <f t="shared" si="2"/>
        <v>61.717697276592062</v>
      </c>
      <c r="AG11" s="185">
        <f t="shared" si="2"/>
        <v>62.952051222123906</v>
      </c>
      <c r="AH11" s="185">
        <f t="shared" si="2"/>
        <v>64.211092246566366</v>
      </c>
      <c r="AI11" s="185">
        <f t="shared" si="2"/>
        <v>65.495314091497718</v>
      </c>
      <c r="AJ11" s="185">
        <f t="shared" si="2"/>
        <v>66.805220373327671</v>
      </c>
      <c r="AK11" s="185">
        <f t="shared" si="2"/>
        <v>68.141324780794221</v>
      </c>
      <c r="AL11" s="185">
        <f t="shared" si="2"/>
        <v>69.504151276410099</v>
      </c>
      <c r="AM11" s="185">
        <f t="shared" si="2"/>
        <v>70.894234301938297</v>
      </c>
      <c r="AN11" s="185">
        <f t="shared" si="2"/>
        <v>72.312118987977072</v>
      </c>
      <c r="AO11" s="185">
        <f t="shared" si="2"/>
        <v>73.758361367736626</v>
      </c>
      <c r="AP11" s="185">
        <f t="shared" si="2"/>
        <v>75.233528595091329</v>
      </c>
    </row>
    <row r="12" spans="1:42">
      <c r="A12" s="184" t="s">
        <v>74</v>
      </c>
      <c r="C12" s="152">
        <f t="shared" ref="C12:AP12" si="3">C10*C11/100</f>
        <v>5908179.1298221732</v>
      </c>
      <c r="D12" s="152">
        <f t="shared" si="3"/>
        <v>5996210.9988565231</v>
      </c>
      <c r="E12" s="152">
        <f t="shared" si="3"/>
        <v>6085554.5427394854</v>
      </c>
      <c r="F12" s="152">
        <f t="shared" si="3"/>
        <v>6176229.3054263033</v>
      </c>
      <c r="G12" s="152">
        <f t="shared" si="3"/>
        <v>6268255.1220771549</v>
      </c>
      <c r="H12" s="152">
        <f t="shared" si="3"/>
        <v>6361652.1233961061</v>
      </c>
      <c r="I12" s="152">
        <f t="shared" si="3"/>
        <v>6456440.7400347078</v>
      </c>
      <c r="J12" s="152">
        <f t="shared" si="3"/>
        <v>6552641.7070612237</v>
      </c>
      <c r="K12" s="152">
        <f t="shared" si="3"/>
        <v>6650276.0684964359</v>
      </c>
      <c r="L12" s="152">
        <f t="shared" si="3"/>
        <v>6749365.1819170332</v>
      </c>
      <c r="M12" s="152">
        <f t="shared" si="3"/>
        <v>6849930.7231275979</v>
      </c>
      <c r="N12" s="152">
        <f t="shared" si="3"/>
        <v>6951994.6909021977</v>
      </c>
      <c r="O12" s="152">
        <f t="shared" si="3"/>
        <v>7055579.4117966415</v>
      </c>
      <c r="P12" s="152">
        <f t="shared" si="3"/>
        <v>7160707.5450324118</v>
      </c>
      <c r="Q12" s="152">
        <f t="shared" si="3"/>
        <v>7267402.0874533951</v>
      </c>
      <c r="R12" s="152">
        <f t="shared" si="3"/>
        <v>7375686.378556448</v>
      </c>
      <c r="S12" s="152">
        <f t="shared" si="3"/>
        <v>7485584.105596941</v>
      </c>
      <c r="T12" s="152">
        <f t="shared" si="3"/>
        <v>7597119.3087703343</v>
      </c>
      <c r="U12" s="152">
        <f t="shared" si="3"/>
        <v>7710316.3864710126</v>
      </c>
      <c r="V12" s="152">
        <f t="shared" si="3"/>
        <v>7825200.1006294284</v>
      </c>
      <c r="W12" s="152">
        <f t="shared" si="3"/>
        <v>7941795.5821288088</v>
      </c>
      <c r="X12" s="152">
        <f t="shared" si="3"/>
        <v>8060128.3363025272</v>
      </c>
      <c r="Y12" s="152">
        <f t="shared" si="3"/>
        <v>8180224.248513435</v>
      </c>
      <c r="Z12" s="152">
        <f t="shared" si="3"/>
        <v>8302109.5898162834</v>
      </c>
      <c r="AA12" s="152">
        <f t="shared" si="3"/>
        <v>8425811.0227045473</v>
      </c>
      <c r="AB12" s="152">
        <f t="shared" si="3"/>
        <v>8551355.6069428436</v>
      </c>
      <c r="AC12" s="152">
        <f t="shared" si="3"/>
        <v>8678770.8054862935</v>
      </c>
      <c r="AD12" s="152">
        <f t="shared" si="3"/>
        <v>8808084.4904880375</v>
      </c>
      <c r="AE12" s="152">
        <f t="shared" si="3"/>
        <v>8939324.9493963104</v>
      </c>
      <c r="AF12" s="152">
        <f t="shared" si="3"/>
        <v>9072520.8911423143</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c r="A13" s="37" t="s">
        <v>77</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row>
    <row r="14" spans="1:42">
      <c r="A14" s="184" t="str">
        <f>'Inputs &amp; Results'!A60</f>
        <v>Federal</v>
      </c>
      <c r="C14" s="186">
        <f t="shared" ref="C14:AP14" si="4">IF(PBIFedDebtSwitch="Yes",C583,0)</f>
        <v>0</v>
      </c>
      <c r="D14" s="186">
        <f t="shared" si="4"/>
        <v>0</v>
      </c>
      <c r="E14" s="186">
        <f t="shared" si="4"/>
        <v>0</v>
      </c>
      <c r="F14" s="186">
        <f t="shared" si="4"/>
        <v>0</v>
      </c>
      <c r="G14" s="186">
        <f t="shared" si="4"/>
        <v>0</v>
      </c>
      <c r="H14" s="186">
        <f t="shared" si="4"/>
        <v>0</v>
      </c>
      <c r="I14" s="186">
        <f t="shared" si="4"/>
        <v>0</v>
      </c>
      <c r="J14" s="186">
        <f t="shared" si="4"/>
        <v>0</v>
      </c>
      <c r="K14" s="186">
        <f t="shared" si="4"/>
        <v>0</v>
      </c>
      <c r="L14" s="186">
        <f t="shared" si="4"/>
        <v>0</v>
      </c>
      <c r="M14" s="186">
        <f t="shared" si="4"/>
        <v>0</v>
      </c>
      <c r="N14" s="186">
        <f t="shared" si="4"/>
        <v>0</v>
      </c>
      <c r="O14" s="186">
        <f t="shared" si="4"/>
        <v>0</v>
      </c>
      <c r="P14" s="186">
        <f t="shared" si="4"/>
        <v>0</v>
      </c>
      <c r="Q14" s="186">
        <f t="shared" si="4"/>
        <v>0</v>
      </c>
      <c r="R14" s="186">
        <f t="shared" si="4"/>
        <v>0</v>
      </c>
      <c r="S14" s="186">
        <f t="shared" si="4"/>
        <v>0</v>
      </c>
      <c r="T14" s="186">
        <f t="shared" si="4"/>
        <v>0</v>
      </c>
      <c r="U14" s="186">
        <f t="shared" si="4"/>
        <v>0</v>
      </c>
      <c r="V14" s="186">
        <f t="shared" si="4"/>
        <v>0</v>
      </c>
      <c r="W14" s="186">
        <f t="shared" si="4"/>
        <v>0</v>
      </c>
      <c r="X14" s="186">
        <f t="shared" si="4"/>
        <v>0</v>
      </c>
      <c r="Y14" s="186">
        <f t="shared" si="4"/>
        <v>0</v>
      </c>
      <c r="Z14" s="186">
        <f t="shared" si="4"/>
        <v>0</v>
      </c>
      <c r="AA14" s="186">
        <f t="shared" si="4"/>
        <v>0</v>
      </c>
      <c r="AB14" s="186">
        <f t="shared" si="4"/>
        <v>0</v>
      </c>
      <c r="AC14" s="186">
        <f t="shared" si="4"/>
        <v>0</v>
      </c>
      <c r="AD14" s="186">
        <f t="shared" si="4"/>
        <v>0</v>
      </c>
      <c r="AE14" s="186">
        <f t="shared" si="4"/>
        <v>0</v>
      </c>
      <c r="AF14" s="186">
        <f t="shared" si="4"/>
        <v>0</v>
      </c>
      <c r="AG14" s="186">
        <f t="shared" si="4"/>
        <v>0</v>
      </c>
      <c r="AH14" s="186">
        <f t="shared" si="4"/>
        <v>0</v>
      </c>
      <c r="AI14" s="186">
        <f t="shared" si="4"/>
        <v>0</v>
      </c>
      <c r="AJ14" s="186">
        <f t="shared" si="4"/>
        <v>0</v>
      </c>
      <c r="AK14" s="186">
        <f t="shared" si="4"/>
        <v>0</v>
      </c>
      <c r="AL14" s="186">
        <f t="shared" si="4"/>
        <v>0</v>
      </c>
      <c r="AM14" s="186">
        <f t="shared" si="4"/>
        <v>0</v>
      </c>
      <c r="AN14" s="186">
        <f t="shared" si="4"/>
        <v>0</v>
      </c>
      <c r="AO14" s="186">
        <f t="shared" si="4"/>
        <v>0</v>
      </c>
      <c r="AP14" s="186">
        <f t="shared" si="4"/>
        <v>0</v>
      </c>
    </row>
    <row r="15" spans="1:42">
      <c r="A15" s="184" t="str">
        <f>'Inputs &amp; Results'!A61</f>
        <v>State</v>
      </c>
      <c r="C15" s="186">
        <f t="shared" ref="C15:AP15" si="5">IF(PBIStateDebtSwitch="Yes",C587,0)</f>
        <v>0</v>
      </c>
      <c r="D15" s="186">
        <f t="shared" si="5"/>
        <v>0</v>
      </c>
      <c r="E15" s="186">
        <f t="shared" si="5"/>
        <v>0</v>
      </c>
      <c r="F15" s="186">
        <f t="shared" si="5"/>
        <v>0</v>
      </c>
      <c r="G15" s="186">
        <f t="shared" si="5"/>
        <v>0</v>
      </c>
      <c r="H15" s="186">
        <f t="shared" si="5"/>
        <v>0</v>
      </c>
      <c r="I15" s="186">
        <f t="shared" si="5"/>
        <v>0</v>
      </c>
      <c r="J15" s="186">
        <f t="shared" si="5"/>
        <v>0</v>
      </c>
      <c r="K15" s="186">
        <f t="shared" si="5"/>
        <v>0</v>
      </c>
      <c r="L15" s="186">
        <f t="shared" si="5"/>
        <v>0</v>
      </c>
      <c r="M15" s="186">
        <f t="shared" si="5"/>
        <v>0</v>
      </c>
      <c r="N15" s="186">
        <f t="shared" si="5"/>
        <v>0</v>
      </c>
      <c r="O15" s="186">
        <f t="shared" si="5"/>
        <v>0</v>
      </c>
      <c r="P15" s="186">
        <f t="shared" si="5"/>
        <v>0</v>
      </c>
      <c r="Q15" s="186">
        <f t="shared" si="5"/>
        <v>0</v>
      </c>
      <c r="R15" s="186">
        <f t="shared" si="5"/>
        <v>0</v>
      </c>
      <c r="S15" s="186">
        <f t="shared" si="5"/>
        <v>0</v>
      </c>
      <c r="T15" s="186">
        <f t="shared" si="5"/>
        <v>0</v>
      </c>
      <c r="U15" s="186">
        <f t="shared" si="5"/>
        <v>0</v>
      </c>
      <c r="V15" s="186">
        <f t="shared" si="5"/>
        <v>0</v>
      </c>
      <c r="W15" s="186">
        <f t="shared" si="5"/>
        <v>0</v>
      </c>
      <c r="X15" s="186">
        <f t="shared" si="5"/>
        <v>0</v>
      </c>
      <c r="Y15" s="186">
        <f t="shared" si="5"/>
        <v>0</v>
      </c>
      <c r="Z15" s="186">
        <f t="shared" si="5"/>
        <v>0</v>
      </c>
      <c r="AA15" s="186">
        <f t="shared" si="5"/>
        <v>0</v>
      </c>
      <c r="AB15" s="186">
        <f t="shared" si="5"/>
        <v>0</v>
      </c>
      <c r="AC15" s="186">
        <f t="shared" si="5"/>
        <v>0</v>
      </c>
      <c r="AD15" s="186">
        <f t="shared" si="5"/>
        <v>0</v>
      </c>
      <c r="AE15" s="186">
        <f t="shared" si="5"/>
        <v>0</v>
      </c>
      <c r="AF15" s="186">
        <f t="shared" si="5"/>
        <v>0</v>
      </c>
      <c r="AG15" s="186">
        <f t="shared" si="5"/>
        <v>0</v>
      </c>
      <c r="AH15" s="186">
        <f t="shared" si="5"/>
        <v>0</v>
      </c>
      <c r="AI15" s="186">
        <f t="shared" si="5"/>
        <v>0</v>
      </c>
      <c r="AJ15" s="186">
        <f t="shared" si="5"/>
        <v>0</v>
      </c>
      <c r="AK15" s="186">
        <f t="shared" si="5"/>
        <v>0</v>
      </c>
      <c r="AL15" s="186">
        <f t="shared" si="5"/>
        <v>0</v>
      </c>
      <c r="AM15" s="186">
        <f t="shared" si="5"/>
        <v>0</v>
      </c>
      <c r="AN15" s="186">
        <f t="shared" si="5"/>
        <v>0</v>
      </c>
      <c r="AO15" s="186">
        <f t="shared" si="5"/>
        <v>0</v>
      </c>
      <c r="AP15" s="186">
        <f t="shared" si="5"/>
        <v>0</v>
      </c>
    </row>
    <row r="16" spans="1:42">
      <c r="A16" s="184" t="str">
        <f>'Inputs &amp; Results'!A62</f>
        <v>Utility</v>
      </c>
      <c r="C16" s="186">
        <f t="shared" ref="C16:AP16" si="6">IF(PBIUtilityDebtSwitch="Yes",C591,0)</f>
        <v>0</v>
      </c>
      <c r="D16" s="186">
        <f t="shared" si="6"/>
        <v>0</v>
      </c>
      <c r="E16" s="186">
        <f t="shared" si="6"/>
        <v>0</v>
      </c>
      <c r="F16" s="186">
        <f t="shared" si="6"/>
        <v>0</v>
      </c>
      <c r="G16" s="186">
        <f t="shared" si="6"/>
        <v>0</v>
      </c>
      <c r="H16" s="186">
        <f t="shared" si="6"/>
        <v>0</v>
      </c>
      <c r="I16" s="186">
        <f t="shared" si="6"/>
        <v>0</v>
      </c>
      <c r="J16" s="186">
        <f t="shared" si="6"/>
        <v>0</v>
      </c>
      <c r="K16" s="186">
        <f t="shared" si="6"/>
        <v>0</v>
      </c>
      <c r="L16" s="186">
        <f t="shared" si="6"/>
        <v>0</v>
      </c>
      <c r="M16" s="186">
        <f t="shared" si="6"/>
        <v>0</v>
      </c>
      <c r="N16" s="186">
        <f t="shared" si="6"/>
        <v>0</v>
      </c>
      <c r="O16" s="186">
        <f t="shared" si="6"/>
        <v>0</v>
      </c>
      <c r="P16" s="186">
        <f t="shared" si="6"/>
        <v>0</v>
      </c>
      <c r="Q16" s="186">
        <f t="shared" si="6"/>
        <v>0</v>
      </c>
      <c r="R16" s="186">
        <f t="shared" si="6"/>
        <v>0</v>
      </c>
      <c r="S16" s="186">
        <f t="shared" si="6"/>
        <v>0</v>
      </c>
      <c r="T16" s="186">
        <f t="shared" si="6"/>
        <v>0</v>
      </c>
      <c r="U16" s="186">
        <f t="shared" si="6"/>
        <v>0</v>
      </c>
      <c r="V16" s="186">
        <f t="shared" si="6"/>
        <v>0</v>
      </c>
      <c r="W16" s="186">
        <f t="shared" si="6"/>
        <v>0</v>
      </c>
      <c r="X16" s="186">
        <f t="shared" si="6"/>
        <v>0</v>
      </c>
      <c r="Y16" s="186">
        <f t="shared" si="6"/>
        <v>0</v>
      </c>
      <c r="Z16" s="186">
        <f t="shared" si="6"/>
        <v>0</v>
      </c>
      <c r="AA16" s="186">
        <f t="shared" si="6"/>
        <v>0</v>
      </c>
      <c r="AB16" s="186">
        <f t="shared" si="6"/>
        <v>0</v>
      </c>
      <c r="AC16" s="186">
        <f t="shared" si="6"/>
        <v>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row>
    <row r="17" spans="1:42">
      <c r="A17" s="184" t="str">
        <f>'Inputs &amp; Results'!A63</f>
        <v>Other</v>
      </c>
      <c r="C17" s="187">
        <f t="shared" ref="C17:AP17" si="7">IF(PBIOtherDebtSwitch="Yes",C595,0)</f>
        <v>0</v>
      </c>
      <c r="D17" s="187">
        <f t="shared" si="7"/>
        <v>0</v>
      </c>
      <c r="E17" s="187">
        <f t="shared" si="7"/>
        <v>0</v>
      </c>
      <c r="F17" s="187">
        <f t="shared" si="7"/>
        <v>0</v>
      </c>
      <c r="G17" s="187">
        <f t="shared" si="7"/>
        <v>0</v>
      </c>
      <c r="H17" s="187">
        <f t="shared" si="7"/>
        <v>0</v>
      </c>
      <c r="I17" s="187">
        <f t="shared" si="7"/>
        <v>0</v>
      </c>
      <c r="J17" s="187">
        <f t="shared" si="7"/>
        <v>0</v>
      </c>
      <c r="K17" s="187">
        <f t="shared" si="7"/>
        <v>0</v>
      </c>
      <c r="L17" s="187">
        <f t="shared" si="7"/>
        <v>0</v>
      </c>
      <c r="M17" s="187">
        <f t="shared" si="7"/>
        <v>0</v>
      </c>
      <c r="N17" s="187">
        <f t="shared" si="7"/>
        <v>0</v>
      </c>
      <c r="O17" s="187">
        <f t="shared" si="7"/>
        <v>0</v>
      </c>
      <c r="P17" s="187">
        <f t="shared" si="7"/>
        <v>0</v>
      </c>
      <c r="Q17" s="187">
        <f t="shared" si="7"/>
        <v>0</v>
      </c>
      <c r="R17" s="187">
        <f t="shared" si="7"/>
        <v>0</v>
      </c>
      <c r="S17" s="187">
        <f t="shared" si="7"/>
        <v>0</v>
      </c>
      <c r="T17" s="187">
        <f t="shared" si="7"/>
        <v>0</v>
      </c>
      <c r="U17" s="187">
        <f t="shared" si="7"/>
        <v>0</v>
      </c>
      <c r="V17" s="187">
        <f t="shared" si="7"/>
        <v>0</v>
      </c>
      <c r="W17" s="187">
        <f t="shared" si="7"/>
        <v>0</v>
      </c>
      <c r="X17" s="187">
        <f t="shared" si="7"/>
        <v>0</v>
      </c>
      <c r="Y17" s="187">
        <f t="shared" si="7"/>
        <v>0</v>
      </c>
      <c r="Z17" s="187">
        <f t="shared" si="7"/>
        <v>0</v>
      </c>
      <c r="AA17" s="187">
        <f t="shared" si="7"/>
        <v>0</v>
      </c>
      <c r="AB17" s="187">
        <f t="shared" si="7"/>
        <v>0</v>
      </c>
      <c r="AC17" s="187">
        <f t="shared" si="7"/>
        <v>0</v>
      </c>
      <c r="AD17" s="187">
        <f t="shared" si="7"/>
        <v>0</v>
      </c>
      <c r="AE17" s="187">
        <f t="shared" si="7"/>
        <v>0</v>
      </c>
      <c r="AF17" s="187">
        <f t="shared" si="7"/>
        <v>0</v>
      </c>
      <c r="AG17" s="187">
        <f t="shared" si="7"/>
        <v>0</v>
      </c>
      <c r="AH17" s="187">
        <f t="shared" si="7"/>
        <v>0</v>
      </c>
      <c r="AI17" s="187">
        <f t="shared" si="7"/>
        <v>0</v>
      </c>
      <c r="AJ17" s="187">
        <f t="shared" si="7"/>
        <v>0</v>
      </c>
      <c r="AK17" s="187">
        <f t="shared" si="7"/>
        <v>0</v>
      </c>
      <c r="AL17" s="187">
        <f t="shared" si="7"/>
        <v>0</v>
      </c>
      <c r="AM17" s="187">
        <f t="shared" si="7"/>
        <v>0</v>
      </c>
      <c r="AN17" s="187">
        <f t="shared" si="7"/>
        <v>0</v>
      </c>
      <c r="AO17" s="187">
        <f t="shared" si="7"/>
        <v>0</v>
      </c>
      <c r="AP17" s="187">
        <f t="shared" si="7"/>
        <v>0</v>
      </c>
    </row>
    <row r="18" spans="1:42">
      <c r="A18" s="184" t="s">
        <v>78</v>
      </c>
      <c r="C18" s="188">
        <f>SUM(C14:C17)</f>
        <v>0</v>
      </c>
      <c r="D18" s="188">
        <f t="shared" ref="D18:AP18" si="8">SUM(D14:D17)</f>
        <v>0</v>
      </c>
      <c r="E18" s="188">
        <f t="shared" si="8"/>
        <v>0</v>
      </c>
      <c r="F18" s="188">
        <f t="shared" si="8"/>
        <v>0</v>
      </c>
      <c r="G18" s="188">
        <f t="shared" si="8"/>
        <v>0</v>
      </c>
      <c r="H18" s="188">
        <f t="shared" si="8"/>
        <v>0</v>
      </c>
      <c r="I18" s="188">
        <f t="shared" si="8"/>
        <v>0</v>
      </c>
      <c r="J18" s="188">
        <f t="shared" si="8"/>
        <v>0</v>
      </c>
      <c r="K18" s="188">
        <f t="shared" si="8"/>
        <v>0</v>
      </c>
      <c r="L18" s="188">
        <f t="shared" si="8"/>
        <v>0</v>
      </c>
      <c r="M18" s="188">
        <f t="shared" si="8"/>
        <v>0</v>
      </c>
      <c r="N18" s="188">
        <f t="shared" si="8"/>
        <v>0</v>
      </c>
      <c r="O18" s="188">
        <f t="shared" si="8"/>
        <v>0</v>
      </c>
      <c r="P18" s="188">
        <f t="shared" si="8"/>
        <v>0</v>
      </c>
      <c r="Q18" s="188">
        <f t="shared" si="8"/>
        <v>0</v>
      </c>
      <c r="R18" s="188">
        <f t="shared" si="8"/>
        <v>0</v>
      </c>
      <c r="S18" s="188">
        <f t="shared" si="8"/>
        <v>0</v>
      </c>
      <c r="T18" s="188">
        <f t="shared" si="8"/>
        <v>0</v>
      </c>
      <c r="U18" s="188">
        <f t="shared" si="8"/>
        <v>0</v>
      </c>
      <c r="V18" s="188">
        <f t="shared" si="8"/>
        <v>0</v>
      </c>
      <c r="W18" s="188">
        <f t="shared" si="8"/>
        <v>0</v>
      </c>
      <c r="X18" s="188">
        <f t="shared" si="8"/>
        <v>0</v>
      </c>
      <c r="Y18" s="188">
        <f t="shared" si="8"/>
        <v>0</v>
      </c>
      <c r="Z18" s="188">
        <f t="shared" si="8"/>
        <v>0</v>
      </c>
      <c r="AA18" s="188">
        <f t="shared" si="8"/>
        <v>0</v>
      </c>
      <c r="AB18" s="188">
        <f t="shared" si="8"/>
        <v>0</v>
      </c>
      <c r="AC18" s="188">
        <f t="shared" si="8"/>
        <v>0</v>
      </c>
      <c r="AD18" s="188">
        <f t="shared" si="8"/>
        <v>0</v>
      </c>
      <c r="AE18" s="188">
        <f t="shared" si="8"/>
        <v>0</v>
      </c>
      <c r="AF18" s="188">
        <f t="shared" si="8"/>
        <v>0</v>
      </c>
      <c r="AG18" s="188">
        <f t="shared" si="8"/>
        <v>0</v>
      </c>
      <c r="AH18" s="188">
        <f t="shared" si="8"/>
        <v>0</v>
      </c>
      <c r="AI18" s="188">
        <f t="shared" si="8"/>
        <v>0</v>
      </c>
      <c r="AJ18" s="188">
        <f t="shared" si="8"/>
        <v>0</v>
      </c>
      <c r="AK18" s="188">
        <f t="shared" si="8"/>
        <v>0</v>
      </c>
      <c r="AL18" s="188">
        <f t="shared" si="8"/>
        <v>0</v>
      </c>
      <c r="AM18" s="188">
        <f t="shared" si="8"/>
        <v>0</v>
      </c>
      <c r="AN18" s="188">
        <f t="shared" si="8"/>
        <v>0</v>
      </c>
      <c r="AO18" s="188">
        <f t="shared" si="8"/>
        <v>0</v>
      </c>
      <c r="AP18" s="188">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5908179.1298221732</v>
      </c>
      <c r="D20" s="152">
        <f t="shared" si="10"/>
        <v>5996210.9988565231</v>
      </c>
      <c r="E20" s="152">
        <f t="shared" si="10"/>
        <v>6085554.5427394854</v>
      </c>
      <c r="F20" s="152">
        <f t="shared" si="10"/>
        <v>6176229.3054263033</v>
      </c>
      <c r="G20" s="152">
        <f t="shared" si="10"/>
        <v>6268255.1220771549</v>
      </c>
      <c r="H20" s="152">
        <f t="shared" si="10"/>
        <v>6361652.1233961061</v>
      </c>
      <c r="I20" s="152">
        <f t="shared" si="10"/>
        <v>6456440.7400347078</v>
      </c>
      <c r="J20" s="152">
        <f t="shared" si="10"/>
        <v>6552641.7070612237</v>
      </c>
      <c r="K20" s="152">
        <f t="shared" si="10"/>
        <v>6650276.0684964359</v>
      </c>
      <c r="L20" s="152">
        <f t="shared" si="10"/>
        <v>6749365.1819170332</v>
      </c>
      <c r="M20" s="152">
        <f t="shared" si="10"/>
        <v>6849930.7231275979</v>
      </c>
      <c r="N20" s="152">
        <f t="shared" si="10"/>
        <v>6951994.6909021977</v>
      </c>
      <c r="O20" s="152">
        <f t="shared" si="10"/>
        <v>7055579.4117966415</v>
      </c>
      <c r="P20" s="152">
        <f t="shared" si="10"/>
        <v>7160707.5450324118</v>
      </c>
      <c r="Q20" s="152">
        <f t="shared" si="10"/>
        <v>7267402.0874533951</v>
      </c>
      <c r="R20" s="152">
        <f t="shared" si="10"/>
        <v>7375686.378556448</v>
      </c>
      <c r="S20" s="152">
        <f t="shared" si="10"/>
        <v>7485584.105596941</v>
      </c>
      <c r="T20" s="152">
        <f t="shared" si="10"/>
        <v>7597119.3087703343</v>
      </c>
      <c r="U20" s="152">
        <f t="shared" si="10"/>
        <v>7710316.3864710126</v>
      </c>
      <c r="V20" s="152">
        <f t="shared" si="10"/>
        <v>7825200.1006294284</v>
      </c>
      <c r="W20" s="152">
        <f t="shared" si="10"/>
        <v>7941795.5821288088</v>
      </c>
      <c r="X20" s="152">
        <f t="shared" si="10"/>
        <v>8060128.3363025272</v>
      </c>
      <c r="Y20" s="152">
        <f t="shared" si="10"/>
        <v>8180224.248513435</v>
      </c>
      <c r="Z20" s="152">
        <f t="shared" si="10"/>
        <v>8302109.5898162834</v>
      </c>
      <c r="AA20" s="152">
        <f t="shared" si="10"/>
        <v>8425811.0227045473</v>
      </c>
      <c r="AB20" s="152">
        <f t="shared" si="10"/>
        <v>8551355.6069428436</v>
      </c>
      <c r="AC20" s="152">
        <f t="shared" si="10"/>
        <v>8678770.8054862935</v>
      </c>
      <c r="AD20" s="152">
        <f t="shared" si="10"/>
        <v>8808084.4904880375</v>
      </c>
      <c r="AE20" s="152">
        <f t="shared" si="10"/>
        <v>8939324.9493963104</v>
      </c>
      <c r="AF20" s="152">
        <f t="shared" si="10"/>
        <v>13095235.891142314</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G35" si="18">E33*E34</f>
        <v>38215792.5</v>
      </c>
      <c r="F35" s="186">
        <f t="shared" si="18"/>
        <v>38215792.5</v>
      </c>
      <c r="G35" s="186">
        <f t="shared" si="18"/>
        <v>38215792.5</v>
      </c>
      <c r="H35" s="186">
        <f t="shared" ref="H35" si="19">H33*H34</f>
        <v>38215792.5</v>
      </c>
      <c r="I35" s="186">
        <f t="shared" ref="I35:J35" si="20">I33*I34</f>
        <v>38215792.5</v>
      </c>
      <c r="J35" s="186">
        <f t="shared" si="20"/>
        <v>38215792.5</v>
      </c>
      <c r="K35" s="186">
        <f t="shared" ref="K35" si="21">K33*K34</f>
        <v>38215792.5</v>
      </c>
      <c r="L35" s="186">
        <f>L33*L34</f>
        <v>38215792.5</v>
      </c>
      <c r="M35" s="186">
        <f t="shared" ref="M35" si="22">M33*M34</f>
        <v>38215792.5</v>
      </c>
      <c r="N35" s="186">
        <f t="shared" ref="N35" si="23">N33*N34</f>
        <v>38215792.5</v>
      </c>
      <c r="O35" s="186">
        <f t="shared" ref="O35" si="24">O33*O34</f>
        <v>38215792.5</v>
      </c>
      <c r="P35" s="186">
        <f t="shared" ref="P35" si="25">P33*P34</f>
        <v>38215792.5</v>
      </c>
      <c r="Q35" s="186">
        <f t="shared" ref="Q35" si="26">Q33*Q34</f>
        <v>38215792.5</v>
      </c>
      <c r="R35" s="186">
        <f t="shared" ref="R35" si="27">R33*R34</f>
        <v>38215792.5</v>
      </c>
      <c r="S35" s="186">
        <f>S33*S34</f>
        <v>38215792.5</v>
      </c>
      <c r="T35" s="186">
        <f t="shared" ref="T35" si="28">T33*T34</f>
        <v>38215792.5</v>
      </c>
      <c r="U35" s="186">
        <f t="shared" ref="U35" si="29">U33*U34</f>
        <v>38215792.5</v>
      </c>
      <c r="V35" s="186">
        <f t="shared" ref="V35" si="30">V33*V34</f>
        <v>38215792.5</v>
      </c>
      <c r="W35" s="186">
        <f t="shared" ref="W35" si="31">W33*W34</f>
        <v>38215792.5</v>
      </c>
      <c r="X35" s="186">
        <f t="shared" ref="X35" si="32">X33*X34</f>
        <v>38215792.5</v>
      </c>
      <c r="Y35" s="186">
        <f>Y33*Y34</f>
        <v>38215792.5</v>
      </c>
      <c r="Z35" s="186">
        <f t="shared" ref="Z35" si="33">Z33*Z34</f>
        <v>38215792.5</v>
      </c>
      <c r="AA35" s="186">
        <f t="shared" ref="AA35" si="34">AA33*AA34</f>
        <v>38215792.5</v>
      </c>
      <c r="AB35" s="186">
        <f t="shared" ref="AB35" si="35">AB33*AB34</f>
        <v>38215792.5</v>
      </c>
      <c r="AC35" s="186">
        <f t="shared" ref="AC35" si="36">AC33*AC34</f>
        <v>38215792.5</v>
      </c>
      <c r="AD35" s="186">
        <f t="shared" ref="AD35" si="37">AD33*AD34</f>
        <v>38215792.5</v>
      </c>
      <c r="AE35" s="186">
        <f t="shared" ref="AE35" si="38">AE33*AE34</f>
        <v>38215792.5</v>
      </c>
      <c r="AF35" s="186">
        <f t="shared" ref="AF35" si="39">AF33*AF34</f>
        <v>38215792.5</v>
      </c>
      <c r="AG35" s="186">
        <f>AG33*AG34</f>
        <v>0</v>
      </c>
      <c r="AH35" s="186">
        <f t="shared" ref="AH35" si="40">AH33*AH34</f>
        <v>0</v>
      </c>
      <c r="AI35" s="186">
        <f t="shared" ref="AI35" si="41">AI33*AI34</f>
        <v>0</v>
      </c>
      <c r="AJ35" s="186">
        <f t="shared" ref="AJ35" si="42">AJ33*AJ34</f>
        <v>0</v>
      </c>
      <c r="AK35" s="186">
        <f t="shared" ref="AK35" si="43">AK33*AK34</f>
        <v>0</v>
      </c>
      <c r="AL35" s="186">
        <f t="shared" ref="AL35" si="44">AL33*AL34</f>
        <v>0</v>
      </c>
      <c r="AM35" s="186">
        <f t="shared" ref="AM35" si="45">AM33*AM34</f>
        <v>0</v>
      </c>
      <c r="AN35" s="186">
        <f>AN33*AN34</f>
        <v>0</v>
      </c>
      <c r="AO35" s="186">
        <f t="shared" ref="AO35" si="46">AO33*AO34</f>
        <v>0</v>
      </c>
      <c r="AP35" s="186">
        <f t="shared" ref="AP35" si="47">AP33*AP34</f>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G37" si="48">E35*E36</f>
        <v>34394213.25</v>
      </c>
      <c r="F37" s="186">
        <f t="shared" si="48"/>
        <v>32483423.624999996</v>
      </c>
      <c r="G37" s="186">
        <f t="shared" si="48"/>
        <v>30572633.999999993</v>
      </c>
      <c r="H37" s="186">
        <f t="shared" ref="H37" si="49">H35*H36</f>
        <v>28661844.374999993</v>
      </c>
      <c r="I37" s="186">
        <f t="shared" ref="I37:J37" si="50">I35*I36</f>
        <v>26751054.749999989</v>
      </c>
      <c r="J37" s="186">
        <f t="shared" si="50"/>
        <v>24840265.124999989</v>
      </c>
      <c r="K37" s="186">
        <f t="shared" ref="K37" si="51">K35*K36</f>
        <v>22929475.499999985</v>
      </c>
      <c r="L37" s="186">
        <f>L35*L36</f>
        <v>21018685.874999985</v>
      </c>
      <c r="M37" s="186">
        <f t="shared" ref="M37" si="52">M35*M36</f>
        <v>19107896.249999985</v>
      </c>
      <c r="N37" s="186">
        <f t="shared" ref="N37" si="53">N35*N36</f>
        <v>17197106.624999985</v>
      </c>
      <c r="O37" s="186">
        <f t="shared" ref="O37" si="54">O35*O36</f>
        <v>15286316.999999985</v>
      </c>
      <c r="P37" s="186">
        <f t="shared" ref="P37" si="55">P35*P36</f>
        <v>13375527.374999987</v>
      </c>
      <c r="Q37" s="186">
        <f t="shared" ref="Q37" si="56">Q35*Q36</f>
        <v>11464737.749999987</v>
      </c>
      <c r="R37" s="186">
        <f t="shared" ref="R37" si="57">R35*R36</f>
        <v>9553948.124999987</v>
      </c>
      <c r="S37" s="186">
        <f>S35*S36</f>
        <v>7643158.4999999879</v>
      </c>
      <c r="T37" s="186">
        <f t="shared" ref="T37" si="58">T35*T36</f>
        <v>5732368.8749999879</v>
      </c>
      <c r="U37" s="186">
        <f t="shared" ref="U37" si="59">U35*U36</f>
        <v>3821579.2499999879</v>
      </c>
      <c r="V37" s="186">
        <f t="shared" ref="V37" si="60">V35*V36</f>
        <v>1910789.6249999879</v>
      </c>
      <c r="W37" s="186">
        <f t="shared" ref="W37" si="61">W35*W36</f>
        <v>0</v>
      </c>
      <c r="X37" s="186">
        <f t="shared" ref="X37" si="62">X35*X36</f>
        <v>0</v>
      </c>
      <c r="Y37" s="186">
        <f>Y35*Y36</f>
        <v>0</v>
      </c>
      <c r="Z37" s="186">
        <f t="shared" ref="Z37" si="63">Z35*Z36</f>
        <v>0</v>
      </c>
      <c r="AA37" s="186">
        <f t="shared" ref="AA37" si="64">AA35*AA36</f>
        <v>0</v>
      </c>
      <c r="AB37" s="186">
        <f t="shared" ref="AB37" si="65">AB35*AB36</f>
        <v>0</v>
      </c>
      <c r="AC37" s="186">
        <f t="shared" ref="AC37" si="66">AC35*AC36</f>
        <v>0</v>
      </c>
      <c r="AD37" s="186">
        <f t="shared" ref="AD37" si="67">AD35*AD36</f>
        <v>0</v>
      </c>
      <c r="AE37" s="186">
        <f t="shared" ref="AE37" si="68">AE35*AE36</f>
        <v>0</v>
      </c>
      <c r="AF37" s="186">
        <f t="shared" ref="AF37" si="69">AF35*AF36</f>
        <v>0</v>
      </c>
      <c r="AG37" s="186">
        <f>AG35*AG36</f>
        <v>0</v>
      </c>
      <c r="AH37" s="186">
        <f t="shared" ref="AH37" si="70">AH35*AH36</f>
        <v>0</v>
      </c>
      <c r="AI37" s="186">
        <f t="shared" ref="AI37" si="71">AI35*AI36</f>
        <v>0</v>
      </c>
      <c r="AJ37" s="186">
        <f t="shared" ref="AJ37" si="72">AJ35*AJ36</f>
        <v>0</v>
      </c>
      <c r="AK37" s="186">
        <f t="shared" ref="AK37" si="73">AK35*AK36</f>
        <v>0</v>
      </c>
      <c r="AL37" s="186">
        <f t="shared" ref="AL37" si="74">AL35*AL36</f>
        <v>0</v>
      </c>
      <c r="AM37" s="186">
        <f t="shared" ref="AM37" si="75">AM35*AM36</f>
        <v>0</v>
      </c>
      <c r="AN37" s="186">
        <f>AN35*AN36</f>
        <v>0</v>
      </c>
      <c r="AO37" s="186">
        <f t="shared" ref="AO37" si="76">AO35*AO36</f>
        <v>0</v>
      </c>
      <c r="AP37" s="186">
        <f t="shared" ref="AP37" si="77">AP35*AP36</f>
        <v>0</v>
      </c>
    </row>
    <row r="38" spans="1:42">
      <c r="A38" s="189" t="s">
        <v>310</v>
      </c>
      <c r="C38" s="190">
        <f t="shared" ref="C38:AP38" si="78">PropertyTaxRate</f>
        <v>7.4999999999999997E-3</v>
      </c>
      <c r="D38" s="190">
        <f t="shared" si="78"/>
        <v>7.4999999999999997E-3</v>
      </c>
      <c r="E38" s="190">
        <f t="shared" si="78"/>
        <v>7.4999999999999997E-3</v>
      </c>
      <c r="F38" s="190">
        <f t="shared" si="78"/>
        <v>7.4999999999999997E-3</v>
      </c>
      <c r="G38" s="190">
        <f t="shared" si="78"/>
        <v>7.4999999999999997E-3</v>
      </c>
      <c r="H38" s="190">
        <f t="shared" si="78"/>
        <v>7.4999999999999997E-3</v>
      </c>
      <c r="I38" s="190">
        <f t="shared" si="78"/>
        <v>7.4999999999999997E-3</v>
      </c>
      <c r="J38" s="190">
        <f t="shared" si="78"/>
        <v>7.4999999999999997E-3</v>
      </c>
      <c r="K38" s="190">
        <f t="shared" si="78"/>
        <v>7.4999999999999997E-3</v>
      </c>
      <c r="L38" s="190">
        <f t="shared" si="78"/>
        <v>7.4999999999999997E-3</v>
      </c>
      <c r="M38" s="190">
        <f t="shared" si="78"/>
        <v>7.4999999999999997E-3</v>
      </c>
      <c r="N38" s="190">
        <f t="shared" si="78"/>
        <v>7.4999999999999997E-3</v>
      </c>
      <c r="O38" s="190">
        <f t="shared" si="78"/>
        <v>7.4999999999999997E-3</v>
      </c>
      <c r="P38" s="190">
        <f t="shared" si="78"/>
        <v>7.4999999999999997E-3</v>
      </c>
      <c r="Q38" s="190">
        <f t="shared" si="78"/>
        <v>7.4999999999999997E-3</v>
      </c>
      <c r="R38" s="190">
        <f t="shared" si="78"/>
        <v>7.4999999999999997E-3</v>
      </c>
      <c r="S38" s="190">
        <f t="shared" si="78"/>
        <v>7.4999999999999997E-3</v>
      </c>
      <c r="T38" s="190">
        <f t="shared" si="78"/>
        <v>7.4999999999999997E-3</v>
      </c>
      <c r="U38" s="190">
        <f t="shared" si="78"/>
        <v>7.4999999999999997E-3</v>
      </c>
      <c r="V38" s="190">
        <f t="shared" si="78"/>
        <v>7.4999999999999997E-3</v>
      </c>
      <c r="W38" s="190">
        <f t="shared" si="78"/>
        <v>7.4999999999999997E-3</v>
      </c>
      <c r="X38" s="190">
        <f t="shared" si="78"/>
        <v>7.4999999999999997E-3</v>
      </c>
      <c r="Y38" s="190">
        <f t="shared" si="78"/>
        <v>7.4999999999999997E-3</v>
      </c>
      <c r="Z38" s="190">
        <f t="shared" si="78"/>
        <v>7.4999999999999997E-3</v>
      </c>
      <c r="AA38" s="190">
        <f t="shared" si="78"/>
        <v>7.4999999999999997E-3</v>
      </c>
      <c r="AB38" s="190">
        <f t="shared" si="78"/>
        <v>7.4999999999999997E-3</v>
      </c>
      <c r="AC38" s="190">
        <f t="shared" si="78"/>
        <v>7.4999999999999997E-3</v>
      </c>
      <c r="AD38" s="190">
        <f t="shared" si="78"/>
        <v>7.4999999999999997E-3</v>
      </c>
      <c r="AE38" s="190">
        <f t="shared" si="78"/>
        <v>7.4999999999999997E-3</v>
      </c>
      <c r="AF38" s="190">
        <f t="shared" si="78"/>
        <v>7.4999999999999997E-3</v>
      </c>
      <c r="AG38" s="190">
        <f t="shared" si="78"/>
        <v>7.4999999999999997E-3</v>
      </c>
      <c r="AH38" s="190">
        <f t="shared" si="78"/>
        <v>7.4999999999999997E-3</v>
      </c>
      <c r="AI38" s="190">
        <f t="shared" si="78"/>
        <v>7.4999999999999997E-3</v>
      </c>
      <c r="AJ38" s="190">
        <f t="shared" si="78"/>
        <v>7.4999999999999997E-3</v>
      </c>
      <c r="AK38" s="190">
        <f t="shared" si="78"/>
        <v>7.4999999999999997E-3</v>
      </c>
      <c r="AL38" s="190">
        <f t="shared" si="78"/>
        <v>7.4999999999999997E-3</v>
      </c>
      <c r="AM38" s="190">
        <f t="shared" si="78"/>
        <v>7.4999999999999997E-3</v>
      </c>
      <c r="AN38" s="190">
        <f t="shared" si="78"/>
        <v>7.4999999999999997E-3</v>
      </c>
      <c r="AO38" s="190">
        <f t="shared" si="78"/>
        <v>7.4999999999999997E-3</v>
      </c>
      <c r="AP38" s="190">
        <f t="shared" si="78"/>
        <v>7.4999999999999997E-3</v>
      </c>
    </row>
    <row r="39" spans="1:42">
      <c r="A39" s="189" t="s">
        <v>22</v>
      </c>
      <c r="C39" s="152">
        <f>C37*C38</f>
        <v>286618.44374999998</v>
      </c>
      <c r="D39" s="152">
        <f>D37*D38</f>
        <v>272287.52156249998</v>
      </c>
      <c r="E39" s="152">
        <f t="shared" ref="E39:G39" si="79">E37*E38</f>
        <v>257956.59937499999</v>
      </c>
      <c r="F39" s="152">
        <f t="shared" si="79"/>
        <v>243625.67718749997</v>
      </c>
      <c r="G39" s="152">
        <f t="shared" si="79"/>
        <v>229294.75499999995</v>
      </c>
      <c r="H39" s="152">
        <f t="shared" ref="H39" si="80">H37*H38</f>
        <v>214963.83281249992</v>
      </c>
      <c r="I39" s="152">
        <f t="shared" ref="I39:J39" si="81">I37*I38</f>
        <v>200632.9106249999</v>
      </c>
      <c r="J39" s="152">
        <f t="shared" si="81"/>
        <v>186301.98843749991</v>
      </c>
      <c r="K39" s="152">
        <f t="shared" ref="K39" si="82">K37*K38</f>
        <v>171971.06624999989</v>
      </c>
      <c r="L39" s="152">
        <f>L37*L38</f>
        <v>157640.14406249989</v>
      </c>
      <c r="M39" s="152">
        <f t="shared" ref="M39" si="83">M37*M38</f>
        <v>143309.22187499987</v>
      </c>
      <c r="N39" s="152">
        <f t="shared" ref="N39" si="84">N37*N38</f>
        <v>128978.29968749988</v>
      </c>
      <c r="O39" s="152">
        <f t="shared" ref="O39" si="85">O37*O38</f>
        <v>114647.37749999989</v>
      </c>
      <c r="P39" s="152">
        <f t="shared" ref="P39" si="86">P37*P38</f>
        <v>100316.45531249989</v>
      </c>
      <c r="Q39" s="152">
        <f t="shared" ref="Q39" si="87">Q37*Q38</f>
        <v>85985.5331249999</v>
      </c>
      <c r="R39" s="152">
        <f t="shared" ref="R39" si="88">R37*R38</f>
        <v>71654.610937499892</v>
      </c>
      <c r="S39" s="152">
        <f>S37*S38</f>
        <v>57323.688749999907</v>
      </c>
      <c r="T39" s="152">
        <f t="shared" ref="T39" si="89">T37*T38</f>
        <v>42992.766562499906</v>
      </c>
      <c r="U39" s="152">
        <f t="shared" ref="U39" si="90">U37*U38</f>
        <v>28661.84437499991</v>
      </c>
      <c r="V39" s="152">
        <f t="shared" ref="V39" si="91">V37*V38</f>
        <v>14330.922187499909</v>
      </c>
      <c r="W39" s="152">
        <f t="shared" ref="W39" si="92">W37*W38</f>
        <v>0</v>
      </c>
      <c r="X39" s="152">
        <f t="shared" ref="X39" si="93">X37*X38</f>
        <v>0</v>
      </c>
      <c r="Y39" s="152">
        <f>Y37*Y38</f>
        <v>0</v>
      </c>
      <c r="Z39" s="152">
        <f t="shared" ref="Z39" si="94">Z37*Z38</f>
        <v>0</v>
      </c>
      <c r="AA39" s="152">
        <f t="shared" ref="AA39" si="95">AA37*AA38</f>
        <v>0</v>
      </c>
      <c r="AB39" s="152">
        <f t="shared" ref="AB39" si="96">AB37*AB38</f>
        <v>0</v>
      </c>
      <c r="AC39" s="152">
        <f t="shared" ref="AC39" si="97">AC37*AC38</f>
        <v>0</v>
      </c>
      <c r="AD39" s="152">
        <f t="shared" ref="AD39" si="98">AD37*AD38</f>
        <v>0</v>
      </c>
      <c r="AE39" s="152">
        <f t="shared" ref="AE39" si="99">AE37*AE38</f>
        <v>0</v>
      </c>
      <c r="AF39" s="152">
        <f t="shared" ref="AF39" si="100">AF37*AF38</f>
        <v>0</v>
      </c>
      <c r="AG39" s="152">
        <f>AG37*AG38</f>
        <v>0</v>
      </c>
      <c r="AH39" s="152">
        <f t="shared" ref="AH39" si="101">AH37*AH38</f>
        <v>0</v>
      </c>
      <c r="AI39" s="152">
        <f t="shared" ref="AI39" si="102">AI37*AI38</f>
        <v>0</v>
      </c>
      <c r="AJ39" s="152">
        <f t="shared" ref="AJ39" si="103">AJ37*AJ38</f>
        <v>0</v>
      </c>
      <c r="AK39" s="152">
        <f t="shared" ref="AK39" si="104">AK37*AK38</f>
        <v>0</v>
      </c>
      <c r="AL39" s="152">
        <f t="shared" ref="AL39" si="105">AL37*AL38</f>
        <v>0</v>
      </c>
      <c r="AM39" s="152">
        <f t="shared" ref="AM39" si="106">AM37*AM38</f>
        <v>0</v>
      </c>
      <c r="AN39" s="152">
        <f>AN37*AN38</f>
        <v>0</v>
      </c>
      <c r="AO39" s="152">
        <f t="shared" ref="AO39" si="107">AO37*AO38</f>
        <v>0</v>
      </c>
      <c r="AP39" s="152">
        <f t="shared" ref="AP39" si="108">AP37*AP38</f>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109">C23+C27+C31+C39+C40</f>
        <v>777254.19374999998</v>
      </c>
      <c r="D41" s="152">
        <f t="shared" si="109"/>
        <v>771730.84531250002</v>
      </c>
      <c r="E41" s="152">
        <f t="shared" si="109"/>
        <v>766376.23850343737</v>
      </c>
      <c r="F41" s="152">
        <f t="shared" si="109"/>
        <v>761193.77251473407</v>
      </c>
      <c r="G41" s="152">
        <f t="shared" si="109"/>
        <v>756186.91758800286</v>
      </c>
      <c r="H41" s="152">
        <f t="shared" si="109"/>
        <v>751359.21653930179</v>
      </c>
      <c r="I41" s="152">
        <f t="shared" si="109"/>
        <v>746714.28631722322</v>
      </c>
      <c r="J41" s="152">
        <f t="shared" si="109"/>
        <v>742255.81959505379</v>
      </c>
      <c r="K41" s="152">
        <f t="shared" si="109"/>
        <v>737987.58639776008</v>
      </c>
      <c r="L41" s="152">
        <f t="shared" si="109"/>
        <v>733913.4357645741</v>
      </c>
      <c r="M41" s="152">
        <f t="shared" si="109"/>
        <v>730037.29744796408</v>
      </c>
      <c r="N41" s="152">
        <f t="shared" si="109"/>
        <v>726363.18364979955</v>
      </c>
      <c r="O41" s="152">
        <f t="shared" si="109"/>
        <v>722895.19079553359</v>
      </c>
      <c r="P41" s="152">
        <f t="shared" si="109"/>
        <v>719637.50134724576</v>
      </c>
      <c r="Q41" s="152">
        <f t="shared" si="109"/>
        <v>716594.38565640873</v>
      </c>
      <c r="R41" s="152">
        <f t="shared" si="109"/>
        <v>713770.2038572568</v>
      </c>
      <c r="S41" s="152">
        <f t="shared" si="109"/>
        <v>711169.40780165966</v>
      </c>
      <c r="T41" s="152">
        <f t="shared" si="109"/>
        <v>708796.54303642223</v>
      </c>
      <c r="U41" s="152">
        <f t="shared" si="109"/>
        <v>706656.25082394935</v>
      </c>
      <c r="V41" s="152">
        <f t="shared" si="109"/>
        <v>704753.27020724164</v>
      </c>
      <c r="W41" s="152">
        <f t="shared" si="109"/>
        <v>703092.440120204</v>
      </c>
      <c r="X41" s="152">
        <f t="shared" si="109"/>
        <v>716009.62373177486</v>
      </c>
      <c r="Y41" s="152">
        <f t="shared" si="109"/>
        <v>729178.94408740243</v>
      </c>
      <c r="Z41" s="152">
        <f t="shared" si="109"/>
        <v>742605.55292392347</v>
      </c>
      <c r="AA41" s="152">
        <f t="shared" si="109"/>
        <v>756294.71078391466</v>
      </c>
      <c r="AB41" s="152">
        <f t="shared" si="109"/>
        <v>770251.78936812212</v>
      </c>
      <c r="AC41" s="152">
        <f t="shared" si="109"/>
        <v>784482.27393958764</v>
      </c>
      <c r="AD41" s="152">
        <f t="shared" si="109"/>
        <v>798991.765780624</v>
      </c>
      <c r="AE41" s="152">
        <f t="shared" si="109"/>
        <v>813785.98470381368</v>
      </c>
      <c r="AF41" s="152">
        <f t="shared" si="109"/>
        <v>828870.77161823248</v>
      </c>
      <c r="AG41" s="152">
        <f t="shared" si="109"/>
        <v>0</v>
      </c>
      <c r="AH41" s="152">
        <f t="shared" si="109"/>
        <v>0</v>
      </c>
      <c r="AI41" s="152">
        <f t="shared" si="109"/>
        <v>0</v>
      </c>
      <c r="AJ41" s="152">
        <f t="shared" si="109"/>
        <v>0</v>
      </c>
      <c r="AK41" s="152">
        <f t="shared" si="109"/>
        <v>0</v>
      </c>
      <c r="AL41" s="152">
        <f t="shared" si="109"/>
        <v>0</v>
      </c>
      <c r="AM41" s="152">
        <f t="shared" si="109"/>
        <v>0</v>
      </c>
      <c r="AN41" s="152">
        <f t="shared" si="109"/>
        <v>0</v>
      </c>
      <c r="AO41" s="152">
        <f t="shared" si="109"/>
        <v>0</v>
      </c>
      <c r="AP41" s="152">
        <f t="shared" si="109"/>
        <v>0</v>
      </c>
    </row>
    <row r="43" spans="1:42" ht="13.5" thickBot="1">
      <c r="A43" s="182" t="s">
        <v>79</v>
      </c>
      <c r="C43" s="193">
        <f t="shared" ref="C43:AP43" si="110">C20-C41</f>
        <v>5130924.9360721735</v>
      </c>
      <c r="D43" s="193">
        <f t="shared" si="110"/>
        <v>5224480.1535440227</v>
      </c>
      <c r="E43" s="193">
        <f t="shared" si="110"/>
        <v>5319178.3042360479</v>
      </c>
      <c r="F43" s="193">
        <f t="shared" si="110"/>
        <v>5415035.5329115689</v>
      </c>
      <c r="G43" s="193">
        <f t="shared" si="110"/>
        <v>5512068.2044891519</v>
      </c>
      <c r="H43" s="193">
        <f t="shared" si="110"/>
        <v>5610292.9068568042</v>
      </c>
      <c r="I43" s="193">
        <f t="shared" si="110"/>
        <v>5709726.4537174851</v>
      </c>
      <c r="J43" s="193">
        <f t="shared" si="110"/>
        <v>5810385.8874661699</v>
      </c>
      <c r="K43" s="193">
        <f t="shared" si="110"/>
        <v>5912288.4820986763</v>
      </c>
      <c r="L43" s="193">
        <f t="shared" si="110"/>
        <v>6015451.7461524587</v>
      </c>
      <c r="M43" s="193">
        <f t="shared" si="110"/>
        <v>6119893.4256796334</v>
      </c>
      <c r="N43" s="193">
        <f t="shared" si="110"/>
        <v>6225631.5072523979</v>
      </c>
      <c r="O43" s="193">
        <f t="shared" si="110"/>
        <v>6332684.2210011082</v>
      </c>
      <c r="P43" s="193">
        <f t="shared" si="110"/>
        <v>6441070.0436851662</v>
      </c>
      <c r="Q43" s="193">
        <f t="shared" si="110"/>
        <v>6550807.7017969862</v>
      </c>
      <c r="R43" s="193">
        <f t="shared" si="110"/>
        <v>6661916.174699191</v>
      </c>
      <c r="S43" s="193">
        <f t="shared" si="110"/>
        <v>6774414.6977952812</v>
      </c>
      <c r="T43" s="193">
        <f t="shared" si="110"/>
        <v>6888322.7657339126</v>
      </c>
      <c r="U43" s="193">
        <f t="shared" si="110"/>
        <v>7003660.1356470631</v>
      </c>
      <c r="V43" s="193">
        <f t="shared" si="110"/>
        <v>7120446.8304221872</v>
      </c>
      <c r="W43" s="193">
        <f t="shared" si="110"/>
        <v>7238703.1420086045</v>
      </c>
      <c r="X43" s="193">
        <f t="shared" si="110"/>
        <v>7344118.712570752</v>
      </c>
      <c r="Y43" s="193">
        <f t="shared" si="110"/>
        <v>7451045.304426033</v>
      </c>
      <c r="Z43" s="193">
        <f t="shared" si="110"/>
        <v>7559504.0368923601</v>
      </c>
      <c r="AA43" s="193">
        <f t="shared" si="110"/>
        <v>7669516.3119206326</v>
      </c>
      <c r="AB43" s="193">
        <f t="shared" si="110"/>
        <v>7781103.8175747218</v>
      </c>
      <c r="AC43" s="193">
        <f t="shared" si="110"/>
        <v>7894288.5315467063</v>
      </c>
      <c r="AD43" s="193">
        <f t="shared" si="110"/>
        <v>8009092.7247074135</v>
      </c>
      <c r="AE43" s="193">
        <f t="shared" si="110"/>
        <v>8125538.9646924967</v>
      </c>
      <c r="AF43" s="193">
        <f t="shared" si="110"/>
        <v>12266365.119524082</v>
      </c>
      <c r="AG43" s="193">
        <f t="shared" si="110"/>
        <v>0</v>
      </c>
      <c r="AH43" s="193">
        <f t="shared" si="110"/>
        <v>0</v>
      </c>
      <c r="AI43" s="193">
        <f t="shared" si="110"/>
        <v>0</v>
      </c>
      <c r="AJ43" s="193">
        <f t="shared" si="110"/>
        <v>0</v>
      </c>
      <c r="AK43" s="193">
        <f t="shared" si="110"/>
        <v>0</v>
      </c>
      <c r="AL43" s="193">
        <f t="shared" si="110"/>
        <v>0</v>
      </c>
      <c r="AM43" s="193">
        <f t="shared" si="110"/>
        <v>0</v>
      </c>
      <c r="AN43" s="193">
        <f t="shared" si="110"/>
        <v>0</v>
      </c>
      <c r="AO43" s="193">
        <f t="shared" si="110"/>
        <v>0</v>
      </c>
      <c r="AP43" s="193">
        <f t="shared" si="110"/>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5130924.9360721735</v>
      </c>
      <c r="D47" s="152">
        <f t="shared" ref="D47:F47" si="111">D43</f>
        <v>5224480.1535440227</v>
      </c>
      <c r="E47" s="152">
        <f t="shared" si="111"/>
        <v>5319178.3042360479</v>
      </c>
      <c r="F47" s="152">
        <f t="shared" si="111"/>
        <v>5415035.5329115689</v>
      </c>
      <c r="G47" s="152">
        <f t="shared" ref="G47:I47" si="112">G43</f>
        <v>5512068.2044891519</v>
      </c>
      <c r="H47" s="152">
        <f t="shared" si="112"/>
        <v>5610292.9068568042</v>
      </c>
      <c r="I47" s="152">
        <f t="shared" si="112"/>
        <v>5709726.4537174851</v>
      </c>
      <c r="J47" s="152">
        <f t="shared" ref="J47:AP47" si="113">J43</f>
        <v>5810385.8874661699</v>
      </c>
      <c r="K47" s="152">
        <f t="shared" si="113"/>
        <v>5912288.4820986763</v>
      </c>
      <c r="L47" s="152">
        <f t="shared" si="113"/>
        <v>6015451.7461524587</v>
      </c>
      <c r="M47" s="152">
        <f t="shared" si="113"/>
        <v>6119893.4256796334</v>
      </c>
      <c r="N47" s="152">
        <f t="shared" si="113"/>
        <v>6225631.5072523979</v>
      </c>
      <c r="O47" s="152">
        <f t="shared" si="113"/>
        <v>6332684.2210011082</v>
      </c>
      <c r="P47" s="152">
        <f t="shared" si="113"/>
        <v>6441070.0436851662</v>
      </c>
      <c r="Q47" s="152">
        <f t="shared" si="113"/>
        <v>6550807.7017969862</v>
      </c>
      <c r="R47" s="152">
        <f t="shared" si="113"/>
        <v>6661916.174699191</v>
      </c>
      <c r="S47" s="152">
        <f t="shared" si="113"/>
        <v>6774414.6977952812</v>
      </c>
      <c r="T47" s="152">
        <f t="shared" si="113"/>
        <v>6888322.7657339126</v>
      </c>
      <c r="U47" s="152">
        <f t="shared" si="113"/>
        <v>7003660.1356470631</v>
      </c>
      <c r="V47" s="152">
        <f t="shared" si="113"/>
        <v>7120446.8304221872</v>
      </c>
      <c r="W47" s="152">
        <f t="shared" si="113"/>
        <v>7238703.1420086045</v>
      </c>
      <c r="X47" s="152">
        <f t="shared" si="113"/>
        <v>7344118.712570752</v>
      </c>
      <c r="Y47" s="152">
        <f t="shared" si="113"/>
        <v>7451045.304426033</v>
      </c>
      <c r="Z47" s="152">
        <f t="shared" si="113"/>
        <v>7559504.0368923601</v>
      </c>
      <c r="AA47" s="152">
        <f t="shared" si="113"/>
        <v>7669516.3119206326</v>
      </c>
      <c r="AB47" s="152">
        <f t="shared" si="113"/>
        <v>7781103.8175747218</v>
      </c>
      <c r="AC47" s="152">
        <f t="shared" si="113"/>
        <v>7894288.5315467063</v>
      </c>
      <c r="AD47" s="152">
        <f t="shared" si="113"/>
        <v>8009092.7247074135</v>
      </c>
      <c r="AE47" s="152">
        <f t="shared" si="113"/>
        <v>8125538.9646924967</v>
      </c>
      <c r="AF47" s="152">
        <f t="shared" si="113"/>
        <v>12266365.119524082</v>
      </c>
      <c r="AG47" s="152">
        <f t="shared" si="113"/>
        <v>0</v>
      </c>
      <c r="AH47" s="152">
        <f t="shared" si="113"/>
        <v>0</v>
      </c>
      <c r="AI47" s="152">
        <f t="shared" si="113"/>
        <v>0</v>
      </c>
      <c r="AJ47" s="152">
        <f t="shared" si="113"/>
        <v>0</v>
      </c>
      <c r="AK47" s="152">
        <f t="shared" si="113"/>
        <v>0</v>
      </c>
      <c r="AL47" s="152">
        <f t="shared" si="113"/>
        <v>0</v>
      </c>
      <c r="AM47" s="152">
        <f t="shared" si="113"/>
        <v>0</v>
      </c>
      <c r="AN47" s="152">
        <f t="shared" si="113"/>
        <v>0</v>
      </c>
      <c r="AO47" s="152">
        <f t="shared" si="113"/>
        <v>0</v>
      </c>
      <c r="AP47" s="152">
        <f t="shared" si="113"/>
        <v>0</v>
      </c>
    </row>
    <row r="48" spans="1:42">
      <c r="A48" s="180" t="s">
        <v>212</v>
      </c>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row>
    <row r="49" spans="1:42">
      <c r="A49" s="184" t="str">
        <f>A14</f>
        <v>Federal</v>
      </c>
      <c r="B49" s="152">
        <v>0</v>
      </c>
      <c r="C49" s="186">
        <f t="shared" ref="C49:AP49" si="114">IF(PBIFedDebtSwitch="Yes",0,C583)</f>
        <v>0</v>
      </c>
      <c r="D49" s="186">
        <f t="shared" si="114"/>
        <v>0</v>
      </c>
      <c r="E49" s="186">
        <f t="shared" si="114"/>
        <v>0</v>
      </c>
      <c r="F49" s="186">
        <f t="shared" si="114"/>
        <v>0</v>
      </c>
      <c r="G49" s="186">
        <f t="shared" si="114"/>
        <v>0</v>
      </c>
      <c r="H49" s="186">
        <f t="shared" si="114"/>
        <v>0</v>
      </c>
      <c r="I49" s="186">
        <f t="shared" si="114"/>
        <v>0</v>
      </c>
      <c r="J49" s="186">
        <f t="shared" si="114"/>
        <v>0</v>
      </c>
      <c r="K49" s="186">
        <f t="shared" si="114"/>
        <v>0</v>
      </c>
      <c r="L49" s="186">
        <f t="shared" si="114"/>
        <v>0</v>
      </c>
      <c r="M49" s="186">
        <f t="shared" si="114"/>
        <v>0</v>
      </c>
      <c r="N49" s="186">
        <f t="shared" si="114"/>
        <v>0</v>
      </c>
      <c r="O49" s="186">
        <f t="shared" si="114"/>
        <v>0</v>
      </c>
      <c r="P49" s="186">
        <f t="shared" si="114"/>
        <v>0</v>
      </c>
      <c r="Q49" s="186">
        <f t="shared" si="114"/>
        <v>0</v>
      </c>
      <c r="R49" s="186">
        <f t="shared" si="114"/>
        <v>0</v>
      </c>
      <c r="S49" s="186">
        <f t="shared" si="114"/>
        <v>0</v>
      </c>
      <c r="T49" s="186">
        <f t="shared" si="114"/>
        <v>0</v>
      </c>
      <c r="U49" s="186">
        <f t="shared" si="114"/>
        <v>0</v>
      </c>
      <c r="V49" s="186">
        <f t="shared" si="114"/>
        <v>0</v>
      </c>
      <c r="W49" s="186">
        <f t="shared" si="114"/>
        <v>0</v>
      </c>
      <c r="X49" s="186">
        <f t="shared" si="114"/>
        <v>0</v>
      </c>
      <c r="Y49" s="186">
        <f t="shared" si="114"/>
        <v>0</v>
      </c>
      <c r="Z49" s="186">
        <f t="shared" si="114"/>
        <v>0</v>
      </c>
      <c r="AA49" s="186">
        <f t="shared" si="114"/>
        <v>0</v>
      </c>
      <c r="AB49" s="186">
        <f t="shared" si="114"/>
        <v>0</v>
      </c>
      <c r="AC49" s="186">
        <f t="shared" si="114"/>
        <v>0</v>
      </c>
      <c r="AD49" s="186">
        <f t="shared" si="114"/>
        <v>0</v>
      </c>
      <c r="AE49" s="186">
        <f t="shared" si="114"/>
        <v>0</v>
      </c>
      <c r="AF49" s="186">
        <f t="shared" si="114"/>
        <v>0</v>
      </c>
      <c r="AG49" s="186">
        <f t="shared" si="114"/>
        <v>0</v>
      </c>
      <c r="AH49" s="186">
        <f t="shared" si="114"/>
        <v>0</v>
      </c>
      <c r="AI49" s="186">
        <f t="shared" si="114"/>
        <v>0</v>
      </c>
      <c r="AJ49" s="186">
        <f t="shared" si="114"/>
        <v>0</v>
      </c>
      <c r="AK49" s="186">
        <f t="shared" si="114"/>
        <v>0</v>
      </c>
      <c r="AL49" s="186">
        <f t="shared" si="114"/>
        <v>0</v>
      </c>
      <c r="AM49" s="186">
        <f t="shared" si="114"/>
        <v>0</v>
      </c>
      <c r="AN49" s="186">
        <f t="shared" si="114"/>
        <v>0</v>
      </c>
      <c r="AO49" s="186">
        <f t="shared" si="114"/>
        <v>0</v>
      </c>
      <c r="AP49" s="186">
        <f t="shared" si="114"/>
        <v>0</v>
      </c>
    </row>
    <row r="50" spans="1:42">
      <c r="A50" s="184" t="str">
        <f t="shared" ref="A50:A52" si="115">A15</f>
        <v>State</v>
      </c>
      <c r="B50" s="152">
        <v>0</v>
      </c>
      <c r="C50" s="186">
        <f t="shared" ref="C50:AP50" si="116">IF(PBIStateDebtSwitch="Yes",0,C587)</f>
        <v>0</v>
      </c>
      <c r="D50" s="186">
        <f t="shared" si="116"/>
        <v>0</v>
      </c>
      <c r="E50" s="186">
        <f t="shared" si="116"/>
        <v>0</v>
      </c>
      <c r="F50" s="186">
        <f t="shared" si="116"/>
        <v>0</v>
      </c>
      <c r="G50" s="186">
        <f t="shared" si="116"/>
        <v>0</v>
      </c>
      <c r="H50" s="186">
        <f t="shared" si="116"/>
        <v>0</v>
      </c>
      <c r="I50" s="186">
        <f t="shared" si="116"/>
        <v>0</v>
      </c>
      <c r="J50" s="186">
        <f t="shared" si="116"/>
        <v>0</v>
      </c>
      <c r="K50" s="186">
        <f t="shared" si="116"/>
        <v>0</v>
      </c>
      <c r="L50" s="186">
        <f t="shared" si="116"/>
        <v>0</v>
      </c>
      <c r="M50" s="186">
        <f t="shared" si="116"/>
        <v>0</v>
      </c>
      <c r="N50" s="186">
        <f t="shared" si="116"/>
        <v>0</v>
      </c>
      <c r="O50" s="186">
        <f t="shared" si="116"/>
        <v>0</v>
      </c>
      <c r="P50" s="186">
        <f t="shared" si="116"/>
        <v>0</v>
      </c>
      <c r="Q50" s="186">
        <f t="shared" si="116"/>
        <v>0</v>
      </c>
      <c r="R50" s="186">
        <f t="shared" si="116"/>
        <v>0</v>
      </c>
      <c r="S50" s="186">
        <f t="shared" si="116"/>
        <v>0</v>
      </c>
      <c r="T50" s="186">
        <f t="shared" si="116"/>
        <v>0</v>
      </c>
      <c r="U50" s="186">
        <f t="shared" si="116"/>
        <v>0</v>
      </c>
      <c r="V50" s="186">
        <f t="shared" si="116"/>
        <v>0</v>
      </c>
      <c r="W50" s="186">
        <f t="shared" si="116"/>
        <v>0</v>
      </c>
      <c r="X50" s="186">
        <f t="shared" si="116"/>
        <v>0</v>
      </c>
      <c r="Y50" s="186">
        <f t="shared" si="116"/>
        <v>0</v>
      </c>
      <c r="Z50" s="186">
        <f t="shared" si="116"/>
        <v>0</v>
      </c>
      <c r="AA50" s="186">
        <f t="shared" si="116"/>
        <v>0</v>
      </c>
      <c r="AB50" s="186">
        <f t="shared" si="116"/>
        <v>0</v>
      </c>
      <c r="AC50" s="186">
        <f t="shared" si="116"/>
        <v>0</v>
      </c>
      <c r="AD50" s="186">
        <f t="shared" si="116"/>
        <v>0</v>
      </c>
      <c r="AE50" s="186">
        <f t="shared" si="116"/>
        <v>0</v>
      </c>
      <c r="AF50" s="186">
        <f t="shared" si="116"/>
        <v>0</v>
      </c>
      <c r="AG50" s="186">
        <f t="shared" si="116"/>
        <v>0</v>
      </c>
      <c r="AH50" s="186">
        <f t="shared" si="116"/>
        <v>0</v>
      </c>
      <c r="AI50" s="186">
        <f t="shared" si="116"/>
        <v>0</v>
      </c>
      <c r="AJ50" s="186">
        <f t="shared" si="116"/>
        <v>0</v>
      </c>
      <c r="AK50" s="186">
        <f t="shared" si="116"/>
        <v>0</v>
      </c>
      <c r="AL50" s="186">
        <f t="shared" si="116"/>
        <v>0</v>
      </c>
      <c r="AM50" s="186">
        <f t="shared" si="116"/>
        <v>0</v>
      </c>
      <c r="AN50" s="186">
        <f t="shared" si="116"/>
        <v>0</v>
      </c>
      <c r="AO50" s="186">
        <f t="shared" si="116"/>
        <v>0</v>
      </c>
      <c r="AP50" s="186">
        <f t="shared" si="116"/>
        <v>0</v>
      </c>
    </row>
    <row r="51" spans="1:42">
      <c r="A51" s="184" t="str">
        <f t="shared" si="115"/>
        <v>Utility</v>
      </c>
      <c r="B51" s="152">
        <v>0</v>
      </c>
      <c r="C51" s="186">
        <f t="shared" ref="C51:AP51" si="117">IF(PBIUtilityDebtSwitch="Yes",0,C591)</f>
        <v>0</v>
      </c>
      <c r="D51" s="186">
        <f t="shared" si="117"/>
        <v>0</v>
      </c>
      <c r="E51" s="186">
        <f t="shared" si="117"/>
        <v>0</v>
      </c>
      <c r="F51" s="186">
        <f t="shared" si="117"/>
        <v>0</v>
      </c>
      <c r="G51" s="186">
        <f t="shared" si="117"/>
        <v>0</v>
      </c>
      <c r="H51" s="186">
        <f t="shared" si="117"/>
        <v>0</v>
      </c>
      <c r="I51" s="186">
        <f t="shared" si="117"/>
        <v>0</v>
      </c>
      <c r="J51" s="186">
        <f t="shared" si="117"/>
        <v>0</v>
      </c>
      <c r="K51" s="186">
        <f t="shared" si="117"/>
        <v>0</v>
      </c>
      <c r="L51" s="186">
        <f t="shared" si="117"/>
        <v>0</v>
      </c>
      <c r="M51" s="186">
        <f t="shared" si="117"/>
        <v>0</v>
      </c>
      <c r="N51" s="186">
        <f t="shared" si="117"/>
        <v>0</v>
      </c>
      <c r="O51" s="186">
        <f t="shared" si="117"/>
        <v>0</v>
      </c>
      <c r="P51" s="186">
        <f t="shared" si="117"/>
        <v>0</v>
      </c>
      <c r="Q51" s="186">
        <f t="shared" si="117"/>
        <v>0</v>
      </c>
      <c r="R51" s="186">
        <f t="shared" si="117"/>
        <v>0</v>
      </c>
      <c r="S51" s="186">
        <f t="shared" si="117"/>
        <v>0</v>
      </c>
      <c r="T51" s="186">
        <f t="shared" si="117"/>
        <v>0</v>
      </c>
      <c r="U51" s="186">
        <f t="shared" si="117"/>
        <v>0</v>
      </c>
      <c r="V51" s="186">
        <f t="shared" si="117"/>
        <v>0</v>
      </c>
      <c r="W51" s="186">
        <f t="shared" si="117"/>
        <v>0</v>
      </c>
      <c r="X51" s="186">
        <f t="shared" si="117"/>
        <v>0</v>
      </c>
      <c r="Y51" s="186">
        <f t="shared" si="117"/>
        <v>0</v>
      </c>
      <c r="Z51" s="186">
        <f t="shared" si="117"/>
        <v>0</v>
      </c>
      <c r="AA51" s="186">
        <f t="shared" si="117"/>
        <v>0</v>
      </c>
      <c r="AB51" s="186">
        <f t="shared" si="117"/>
        <v>0</v>
      </c>
      <c r="AC51" s="186">
        <f t="shared" si="117"/>
        <v>0</v>
      </c>
      <c r="AD51" s="186">
        <f t="shared" si="117"/>
        <v>0</v>
      </c>
      <c r="AE51" s="186">
        <f t="shared" si="117"/>
        <v>0</v>
      </c>
      <c r="AF51" s="186">
        <f t="shared" si="117"/>
        <v>0</v>
      </c>
      <c r="AG51" s="186">
        <f t="shared" si="117"/>
        <v>0</v>
      </c>
      <c r="AH51" s="186">
        <f t="shared" si="117"/>
        <v>0</v>
      </c>
      <c r="AI51" s="186">
        <f t="shared" si="117"/>
        <v>0</v>
      </c>
      <c r="AJ51" s="186">
        <f t="shared" si="117"/>
        <v>0</v>
      </c>
      <c r="AK51" s="186">
        <f t="shared" si="117"/>
        <v>0</v>
      </c>
      <c r="AL51" s="186">
        <f t="shared" si="117"/>
        <v>0</v>
      </c>
      <c r="AM51" s="186">
        <f t="shared" si="117"/>
        <v>0</v>
      </c>
      <c r="AN51" s="186">
        <f t="shared" si="117"/>
        <v>0</v>
      </c>
      <c r="AO51" s="186">
        <f t="shared" si="117"/>
        <v>0</v>
      </c>
      <c r="AP51" s="186">
        <f t="shared" si="117"/>
        <v>0</v>
      </c>
    </row>
    <row r="52" spans="1:42">
      <c r="A52" s="184" t="str">
        <f t="shared" si="115"/>
        <v>Other</v>
      </c>
      <c r="B52" s="187">
        <v>0</v>
      </c>
      <c r="C52" s="187">
        <f t="shared" ref="C52:AP52" si="118">IF(PBIOtherDebtSwitch="Yes",0,C595)</f>
        <v>0</v>
      </c>
      <c r="D52" s="187">
        <f t="shared" si="118"/>
        <v>0</v>
      </c>
      <c r="E52" s="187">
        <f t="shared" si="118"/>
        <v>0</v>
      </c>
      <c r="F52" s="187">
        <f t="shared" si="118"/>
        <v>0</v>
      </c>
      <c r="G52" s="187">
        <f t="shared" si="118"/>
        <v>0</v>
      </c>
      <c r="H52" s="187">
        <f t="shared" si="118"/>
        <v>0</v>
      </c>
      <c r="I52" s="187">
        <f t="shared" si="118"/>
        <v>0</v>
      </c>
      <c r="J52" s="187">
        <f t="shared" si="118"/>
        <v>0</v>
      </c>
      <c r="K52" s="187">
        <f t="shared" si="118"/>
        <v>0</v>
      </c>
      <c r="L52" s="187">
        <f t="shared" si="118"/>
        <v>0</v>
      </c>
      <c r="M52" s="187">
        <f t="shared" si="118"/>
        <v>0</v>
      </c>
      <c r="N52" s="187">
        <f t="shared" si="118"/>
        <v>0</v>
      </c>
      <c r="O52" s="187">
        <f t="shared" si="118"/>
        <v>0</v>
      </c>
      <c r="P52" s="187">
        <f t="shared" si="118"/>
        <v>0</v>
      </c>
      <c r="Q52" s="187">
        <f t="shared" si="118"/>
        <v>0</v>
      </c>
      <c r="R52" s="187">
        <f t="shared" si="118"/>
        <v>0</v>
      </c>
      <c r="S52" s="187">
        <f t="shared" si="118"/>
        <v>0</v>
      </c>
      <c r="T52" s="187">
        <f t="shared" si="118"/>
        <v>0</v>
      </c>
      <c r="U52" s="187">
        <f t="shared" si="118"/>
        <v>0</v>
      </c>
      <c r="V52" s="187">
        <f t="shared" si="118"/>
        <v>0</v>
      </c>
      <c r="W52" s="187">
        <f t="shared" si="118"/>
        <v>0</v>
      </c>
      <c r="X52" s="187">
        <f t="shared" si="118"/>
        <v>0</v>
      </c>
      <c r="Y52" s="187">
        <f t="shared" si="118"/>
        <v>0</v>
      </c>
      <c r="Z52" s="187">
        <f t="shared" si="118"/>
        <v>0</v>
      </c>
      <c r="AA52" s="187">
        <f t="shared" si="118"/>
        <v>0</v>
      </c>
      <c r="AB52" s="187">
        <f t="shared" si="118"/>
        <v>0</v>
      </c>
      <c r="AC52" s="187">
        <f t="shared" si="118"/>
        <v>0</v>
      </c>
      <c r="AD52" s="187">
        <f t="shared" si="118"/>
        <v>0</v>
      </c>
      <c r="AE52" s="187">
        <f t="shared" si="118"/>
        <v>0</v>
      </c>
      <c r="AF52" s="187">
        <f t="shared" si="118"/>
        <v>0</v>
      </c>
      <c r="AG52" s="187">
        <f t="shared" si="118"/>
        <v>0</v>
      </c>
      <c r="AH52" s="187">
        <f t="shared" si="118"/>
        <v>0</v>
      </c>
      <c r="AI52" s="187">
        <f t="shared" si="118"/>
        <v>0</v>
      </c>
      <c r="AJ52" s="187">
        <f t="shared" si="118"/>
        <v>0</v>
      </c>
      <c r="AK52" s="187">
        <f t="shared" si="118"/>
        <v>0</v>
      </c>
      <c r="AL52" s="187">
        <f t="shared" si="118"/>
        <v>0</v>
      </c>
      <c r="AM52" s="187">
        <f t="shared" si="118"/>
        <v>0</v>
      </c>
      <c r="AN52" s="187">
        <f t="shared" si="118"/>
        <v>0</v>
      </c>
      <c r="AO52" s="187">
        <f t="shared" si="118"/>
        <v>0</v>
      </c>
      <c r="AP52" s="187">
        <f t="shared" si="118"/>
        <v>0</v>
      </c>
    </row>
    <row r="53" spans="1:42">
      <c r="A53" s="184" t="s">
        <v>53</v>
      </c>
      <c r="B53" s="152">
        <f>SUM(B49:B52)</f>
        <v>0</v>
      </c>
      <c r="C53" s="152">
        <f>SUM(C49:C52)</f>
        <v>0</v>
      </c>
      <c r="D53" s="152">
        <f t="shared" ref="D53:AP53" si="119">SUM(D49:D52)</f>
        <v>0</v>
      </c>
      <c r="E53" s="152">
        <f t="shared" si="119"/>
        <v>0</v>
      </c>
      <c r="F53" s="152">
        <f t="shared" si="119"/>
        <v>0</v>
      </c>
      <c r="G53" s="152">
        <f t="shared" si="119"/>
        <v>0</v>
      </c>
      <c r="H53" s="152">
        <f t="shared" si="119"/>
        <v>0</v>
      </c>
      <c r="I53" s="152">
        <f t="shared" si="119"/>
        <v>0</v>
      </c>
      <c r="J53" s="152">
        <f t="shared" si="119"/>
        <v>0</v>
      </c>
      <c r="K53" s="152">
        <f t="shared" si="119"/>
        <v>0</v>
      </c>
      <c r="L53" s="152">
        <f t="shared" si="119"/>
        <v>0</v>
      </c>
      <c r="M53" s="152">
        <f t="shared" si="119"/>
        <v>0</v>
      </c>
      <c r="N53" s="152">
        <f t="shared" si="119"/>
        <v>0</v>
      </c>
      <c r="O53" s="152">
        <f t="shared" si="119"/>
        <v>0</v>
      </c>
      <c r="P53" s="152">
        <f t="shared" si="119"/>
        <v>0</v>
      </c>
      <c r="Q53" s="152">
        <f t="shared" si="119"/>
        <v>0</v>
      </c>
      <c r="R53" s="152">
        <f t="shared" si="119"/>
        <v>0</v>
      </c>
      <c r="S53" s="152">
        <f t="shared" si="119"/>
        <v>0</v>
      </c>
      <c r="T53" s="152">
        <f t="shared" si="119"/>
        <v>0</v>
      </c>
      <c r="U53" s="152">
        <f t="shared" si="119"/>
        <v>0</v>
      </c>
      <c r="V53" s="152">
        <f t="shared" si="119"/>
        <v>0</v>
      </c>
      <c r="W53" s="152">
        <f t="shared" si="119"/>
        <v>0</v>
      </c>
      <c r="X53" s="152">
        <f t="shared" si="119"/>
        <v>0</v>
      </c>
      <c r="Y53" s="152">
        <f t="shared" si="119"/>
        <v>0</v>
      </c>
      <c r="Z53" s="152">
        <f t="shared" si="119"/>
        <v>0</v>
      </c>
      <c r="AA53" s="152">
        <f t="shared" si="119"/>
        <v>0</v>
      </c>
      <c r="AB53" s="152">
        <f t="shared" si="119"/>
        <v>0</v>
      </c>
      <c r="AC53" s="152">
        <f t="shared" si="119"/>
        <v>0</v>
      </c>
      <c r="AD53" s="152">
        <f t="shared" si="119"/>
        <v>0</v>
      </c>
      <c r="AE53" s="152">
        <f t="shared" si="119"/>
        <v>0</v>
      </c>
      <c r="AF53" s="152">
        <f t="shared" si="119"/>
        <v>0</v>
      </c>
      <c r="AG53" s="152">
        <f t="shared" si="119"/>
        <v>0</v>
      </c>
      <c r="AH53" s="152">
        <f t="shared" si="119"/>
        <v>0</v>
      </c>
      <c r="AI53" s="152">
        <f t="shared" si="119"/>
        <v>0</v>
      </c>
      <c r="AJ53" s="152">
        <f t="shared" si="119"/>
        <v>0</v>
      </c>
      <c r="AK53" s="152">
        <f t="shared" si="119"/>
        <v>0</v>
      </c>
      <c r="AL53" s="152">
        <f t="shared" si="119"/>
        <v>0</v>
      </c>
      <c r="AM53" s="152">
        <f t="shared" si="119"/>
        <v>0</v>
      </c>
      <c r="AN53" s="152">
        <f t="shared" si="119"/>
        <v>0</v>
      </c>
      <c r="AO53" s="152">
        <f t="shared" si="119"/>
        <v>0</v>
      </c>
      <c r="AP53" s="152">
        <f t="shared" si="119"/>
        <v>0</v>
      </c>
    </row>
    <row r="54" spans="1:42">
      <c r="A54" s="180" t="s">
        <v>129</v>
      </c>
      <c r="B54" s="152">
        <v>0</v>
      </c>
      <c r="C54" s="152">
        <f t="shared" ref="C54:AP54" si="120">C739</f>
        <v>28528.458178202956</v>
      </c>
      <c r="D54" s="152">
        <f t="shared" si="120"/>
        <v>41155.008793442918</v>
      </c>
      <c r="E54" s="152">
        <f t="shared" si="120"/>
        <v>53788.226519133903</v>
      </c>
      <c r="F54" s="152">
        <f t="shared" si="120"/>
        <v>64616.161421195531</v>
      </c>
      <c r="G54" s="152">
        <f t="shared" si="120"/>
        <v>77290.448270984823</v>
      </c>
      <c r="H54" s="152">
        <f t="shared" si="120"/>
        <v>89971.688633716185</v>
      </c>
      <c r="I54" s="152">
        <f t="shared" si="120"/>
        <v>100765.16524699876</v>
      </c>
      <c r="J54" s="152">
        <f t="shared" si="120"/>
        <v>113489.31321603422</v>
      </c>
      <c r="K54" s="152">
        <f t="shared" si="120"/>
        <v>126220.7129568919</v>
      </c>
      <c r="L54" s="152">
        <f t="shared" si="120"/>
        <v>136978.09917461983</v>
      </c>
      <c r="M54" s="152">
        <f t="shared" si="120"/>
        <v>118110.60951335869</v>
      </c>
      <c r="N54" s="152">
        <f t="shared" si="120"/>
        <v>130277.59365682983</v>
      </c>
      <c r="O54" s="152">
        <f t="shared" si="120"/>
        <v>88847.901148577046</v>
      </c>
      <c r="P54" s="152">
        <f t="shared" si="120"/>
        <v>101886.37546337843</v>
      </c>
      <c r="Q54" s="152">
        <f t="shared" si="120"/>
        <v>114924.84977817982</v>
      </c>
      <c r="R54" s="152">
        <f t="shared" si="120"/>
        <v>18029.125128545482</v>
      </c>
      <c r="S54" s="152">
        <f t="shared" si="120"/>
        <v>32898.398355727615</v>
      </c>
      <c r="T54" s="152">
        <f t="shared" si="120"/>
        <v>47767.671582909745</v>
      </c>
      <c r="U54" s="152">
        <f t="shared" si="120"/>
        <v>60382.909231071135</v>
      </c>
      <c r="V54" s="152">
        <f t="shared" si="120"/>
        <v>75286.502685733882</v>
      </c>
      <c r="W54" s="152">
        <f t="shared" si="120"/>
        <v>90190.096140396621</v>
      </c>
      <c r="X54" s="152">
        <f t="shared" si="120"/>
        <v>102736.69333359678</v>
      </c>
      <c r="Y54" s="152">
        <f t="shared" si="120"/>
        <v>117676.17470796108</v>
      </c>
      <c r="Z54" s="152">
        <f t="shared" si="120"/>
        <v>132615.65608232541</v>
      </c>
      <c r="AA54" s="152">
        <f t="shared" si="120"/>
        <v>83473.976921940499</v>
      </c>
      <c r="AB54" s="152">
        <f t="shared" si="120"/>
        <v>93316.277141678642</v>
      </c>
      <c r="AC54" s="152">
        <f t="shared" si="120"/>
        <v>103158.57736141678</v>
      </c>
      <c r="AD54" s="152">
        <f t="shared" si="120"/>
        <v>110423.63589592067</v>
      </c>
      <c r="AE54" s="152">
        <f t="shared" si="120"/>
        <v>120305.1775197134</v>
      </c>
      <c r="AF54" s="152">
        <f t="shared" si="120"/>
        <v>130186.71914350611</v>
      </c>
      <c r="AG54" s="152">
        <f t="shared" si="120"/>
        <v>0</v>
      </c>
      <c r="AH54" s="152">
        <f t="shared" si="120"/>
        <v>0</v>
      </c>
      <c r="AI54" s="152">
        <f t="shared" si="120"/>
        <v>0</v>
      </c>
      <c r="AJ54" s="152">
        <f t="shared" si="120"/>
        <v>0</v>
      </c>
      <c r="AK54" s="152">
        <f t="shared" si="120"/>
        <v>0</v>
      </c>
      <c r="AL54" s="152">
        <f t="shared" si="120"/>
        <v>0</v>
      </c>
      <c r="AM54" s="152">
        <f t="shared" si="120"/>
        <v>0</v>
      </c>
      <c r="AN54" s="152">
        <f t="shared" si="120"/>
        <v>0</v>
      </c>
      <c r="AO54" s="152">
        <f t="shared" si="120"/>
        <v>0</v>
      </c>
      <c r="AP54" s="152">
        <f t="shared" si="120"/>
        <v>0</v>
      </c>
    </row>
    <row r="55" spans="1:42">
      <c r="A55" s="180" t="s">
        <v>190</v>
      </c>
      <c r="B55" s="187">
        <v>0</v>
      </c>
      <c r="C55" s="187">
        <f>-C618</f>
        <v>-1787948.5127279793</v>
      </c>
      <c r="D55" s="187">
        <f t="shared" ref="D55:F55" si="121">-D618</f>
        <v>-1688290.5425787431</v>
      </c>
      <c r="E55" s="187">
        <f t="shared" si="121"/>
        <v>-1574860.1826434168</v>
      </c>
      <c r="F55" s="187">
        <f t="shared" si="121"/>
        <v>-1446422.0135743732</v>
      </c>
      <c r="G55" s="187">
        <f t="shared" ref="G55:I55" si="122">-G618</f>
        <v>-1301723.5797390742</v>
      </c>
      <c r="H55" s="187">
        <f t="shared" si="122"/>
        <v>-1139227.2609717117</v>
      </c>
      <c r="I55" s="187">
        <f t="shared" si="122"/>
        <v>-957352.68864162313</v>
      </c>
      <c r="J55" s="187">
        <f t="shared" ref="J55:AP55" si="123">-J618</f>
        <v>-754477.15955315891</v>
      </c>
      <c r="K55" s="187">
        <f t="shared" si="123"/>
        <v>-528653.17591308313</v>
      </c>
      <c r="L55" s="187">
        <f t="shared" si="123"/>
        <v>-277859.67330109229</v>
      </c>
      <c r="M55" s="187">
        <f t="shared" si="123"/>
        <v>0</v>
      </c>
      <c r="N55" s="187">
        <f t="shared" si="123"/>
        <v>0</v>
      </c>
      <c r="O55" s="187">
        <f t="shared" si="123"/>
        <v>0</v>
      </c>
      <c r="P55" s="187">
        <f t="shared" si="123"/>
        <v>0</v>
      </c>
      <c r="Q55" s="187">
        <f t="shared" si="123"/>
        <v>0</v>
      </c>
      <c r="R55" s="187">
        <f t="shared" si="123"/>
        <v>0</v>
      </c>
      <c r="S55" s="187">
        <f t="shared" si="123"/>
        <v>0</v>
      </c>
      <c r="T55" s="187">
        <f t="shared" si="123"/>
        <v>0</v>
      </c>
      <c r="U55" s="187">
        <f t="shared" si="123"/>
        <v>0</v>
      </c>
      <c r="V55" s="187">
        <f t="shared" si="123"/>
        <v>0</v>
      </c>
      <c r="W55" s="187">
        <f t="shared" si="123"/>
        <v>0</v>
      </c>
      <c r="X55" s="187">
        <f t="shared" si="123"/>
        <v>0</v>
      </c>
      <c r="Y55" s="187">
        <f t="shared" si="123"/>
        <v>0</v>
      </c>
      <c r="Z55" s="187">
        <f t="shared" si="123"/>
        <v>0</v>
      </c>
      <c r="AA55" s="187">
        <f t="shared" si="123"/>
        <v>0</v>
      </c>
      <c r="AB55" s="187">
        <f t="shared" si="123"/>
        <v>0</v>
      </c>
      <c r="AC55" s="187">
        <f t="shared" si="123"/>
        <v>0</v>
      </c>
      <c r="AD55" s="187">
        <f t="shared" si="123"/>
        <v>0</v>
      </c>
      <c r="AE55" s="187">
        <f t="shared" si="123"/>
        <v>0</v>
      </c>
      <c r="AF55" s="187">
        <f t="shared" si="123"/>
        <v>0</v>
      </c>
      <c r="AG55" s="187">
        <f t="shared" si="123"/>
        <v>0</v>
      </c>
      <c r="AH55" s="187">
        <f t="shared" si="123"/>
        <v>0</v>
      </c>
      <c r="AI55" s="187">
        <f t="shared" si="123"/>
        <v>0</v>
      </c>
      <c r="AJ55" s="187">
        <f t="shared" si="123"/>
        <v>0</v>
      </c>
      <c r="AK55" s="187">
        <f t="shared" si="123"/>
        <v>0</v>
      </c>
      <c r="AL55" s="187">
        <f t="shared" si="123"/>
        <v>0</v>
      </c>
      <c r="AM55" s="187">
        <f t="shared" si="123"/>
        <v>0</v>
      </c>
      <c r="AN55" s="187">
        <f t="shared" si="123"/>
        <v>0</v>
      </c>
      <c r="AO55" s="187">
        <f t="shared" si="123"/>
        <v>0</v>
      </c>
      <c r="AP55" s="187">
        <f t="shared" si="123"/>
        <v>0</v>
      </c>
    </row>
    <row r="56" spans="1:42">
      <c r="A56" s="180" t="s">
        <v>53</v>
      </c>
      <c r="B56" s="152">
        <f>B47+B53+B54+B55</f>
        <v>0</v>
      </c>
      <c r="C56" s="152">
        <f t="shared" ref="C56:AP56" si="124">C47+C53+C54+C55</f>
        <v>3371504.8815223966</v>
      </c>
      <c r="D56" s="152">
        <f t="shared" si="124"/>
        <v>3577344.6197587224</v>
      </c>
      <c r="E56" s="152">
        <f t="shared" si="124"/>
        <v>3798106.348111765</v>
      </c>
      <c r="F56" s="152">
        <f t="shared" si="124"/>
        <v>4033229.6807583915</v>
      </c>
      <c r="G56" s="152">
        <f t="shared" si="124"/>
        <v>4287635.0730210626</v>
      </c>
      <c r="H56" s="152">
        <f t="shared" si="124"/>
        <v>4561037.3345188079</v>
      </c>
      <c r="I56" s="152">
        <f t="shared" si="124"/>
        <v>4853138.9303228613</v>
      </c>
      <c r="J56" s="152">
        <f t="shared" si="124"/>
        <v>5169398.0411290452</v>
      </c>
      <c r="K56" s="152">
        <f t="shared" si="124"/>
        <v>5509856.0191424852</v>
      </c>
      <c r="L56" s="152">
        <f t="shared" si="124"/>
        <v>5874570.172025986</v>
      </c>
      <c r="M56" s="152">
        <f t="shared" si="124"/>
        <v>6238004.0351929925</v>
      </c>
      <c r="N56" s="152">
        <f t="shared" si="124"/>
        <v>6355909.1009092275</v>
      </c>
      <c r="O56" s="152">
        <f t="shared" si="124"/>
        <v>6421532.1221496854</v>
      </c>
      <c r="P56" s="152">
        <f t="shared" si="124"/>
        <v>6542956.4191485448</v>
      </c>
      <c r="Q56" s="152">
        <f t="shared" si="124"/>
        <v>6665732.5515751662</v>
      </c>
      <c r="R56" s="152">
        <f t="shared" si="124"/>
        <v>6679945.2998277368</v>
      </c>
      <c r="S56" s="152">
        <f t="shared" si="124"/>
        <v>6807313.0961510092</v>
      </c>
      <c r="T56" s="152">
        <f t="shared" si="124"/>
        <v>6936090.4373168219</v>
      </c>
      <c r="U56" s="152">
        <f t="shared" si="124"/>
        <v>7064043.0448781345</v>
      </c>
      <c r="V56" s="152">
        <f t="shared" si="124"/>
        <v>7195733.3331079213</v>
      </c>
      <c r="W56" s="152">
        <f t="shared" si="124"/>
        <v>7328893.2381490013</v>
      </c>
      <c r="X56" s="152">
        <f t="shared" si="124"/>
        <v>7446855.4059043489</v>
      </c>
      <c r="Y56" s="152">
        <f t="shared" si="124"/>
        <v>7568721.4791339943</v>
      </c>
      <c r="Z56" s="152">
        <f t="shared" si="124"/>
        <v>7692119.6929746857</v>
      </c>
      <c r="AA56" s="152">
        <f t="shared" si="124"/>
        <v>7752990.2888425728</v>
      </c>
      <c r="AB56" s="152">
        <f t="shared" si="124"/>
        <v>7874420.0947164008</v>
      </c>
      <c r="AC56" s="152">
        <f t="shared" si="124"/>
        <v>7997447.1089081233</v>
      </c>
      <c r="AD56" s="152">
        <f t="shared" si="124"/>
        <v>8119516.3606033344</v>
      </c>
      <c r="AE56" s="152">
        <f t="shared" si="124"/>
        <v>8245844.1422122102</v>
      </c>
      <c r="AF56" s="152">
        <f t="shared" si="124"/>
        <v>12396551.838667588</v>
      </c>
      <c r="AG56" s="152">
        <f t="shared" si="124"/>
        <v>0</v>
      </c>
      <c r="AH56" s="152">
        <f t="shared" si="124"/>
        <v>0</v>
      </c>
      <c r="AI56" s="152">
        <f t="shared" si="124"/>
        <v>0</v>
      </c>
      <c r="AJ56" s="152">
        <f t="shared" si="124"/>
        <v>0</v>
      </c>
      <c r="AK56" s="152">
        <f t="shared" si="124"/>
        <v>0</v>
      </c>
      <c r="AL56" s="152">
        <f t="shared" si="124"/>
        <v>0</v>
      </c>
      <c r="AM56" s="152">
        <f t="shared" si="124"/>
        <v>0</v>
      </c>
      <c r="AN56" s="152">
        <f t="shared" si="124"/>
        <v>0</v>
      </c>
      <c r="AO56" s="152">
        <f t="shared" si="124"/>
        <v>0</v>
      </c>
      <c r="AP56" s="152">
        <f t="shared" si="124"/>
        <v>0</v>
      </c>
    </row>
    <row r="57" spans="1:42">
      <c r="A57" s="180"/>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2" t="s">
        <v>182</v>
      </c>
      <c r="B58" s="152"/>
      <c r="C58" s="152"/>
      <c r="D58" s="152"/>
      <c r="E58" s="152"/>
      <c r="F58" s="152"/>
      <c r="G58" s="152"/>
      <c r="H58" s="152"/>
      <c r="I58" s="152"/>
      <c r="J58" s="152"/>
      <c r="K58" s="152"/>
      <c r="L58" s="152"/>
      <c r="M58" s="152"/>
      <c r="N58" s="152"/>
      <c r="O58" s="152"/>
      <c r="P58" s="152"/>
      <c r="Q58" s="152"/>
      <c r="R58" s="152"/>
      <c r="S58" s="152"/>
      <c r="T58" s="152"/>
      <c r="U58" s="152"/>
      <c r="V58" s="152"/>
      <c r="W58" s="152"/>
      <c r="X58" s="152"/>
      <c r="Y58" s="152"/>
      <c r="Z58" s="152"/>
      <c r="AA58" s="152"/>
      <c r="AB58" s="152"/>
      <c r="AC58" s="152"/>
      <c r="AD58" s="152"/>
      <c r="AE58" s="152"/>
      <c r="AF58" s="152"/>
      <c r="AG58" s="152"/>
      <c r="AH58" s="152"/>
      <c r="AI58" s="152"/>
      <c r="AJ58" s="152"/>
      <c r="AK58" s="152"/>
      <c r="AL58" s="152"/>
      <c r="AM58" s="152"/>
      <c r="AN58" s="152"/>
      <c r="AO58" s="152"/>
      <c r="AP58" s="152"/>
    </row>
    <row r="59" spans="1:42">
      <c r="A59" s="180" t="s">
        <v>183</v>
      </c>
      <c r="B59" s="152">
        <f>-LPFInstalledCostTotal+'Inputs &amp; Results'!C149+'Inputs &amp; Results'!C152</f>
        <v>-42856688.5</v>
      </c>
      <c r="C59" s="152">
        <v>0</v>
      </c>
      <c r="D59" s="152">
        <v>0</v>
      </c>
      <c r="E59" s="152">
        <v>0</v>
      </c>
      <c r="F59" s="152">
        <v>0</v>
      </c>
      <c r="G59" s="152">
        <v>0</v>
      </c>
      <c r="H59" s="152">
        <v>0</v>
      </c>
      <c r="I59" s="152">
        <v>0</v>
      </c>
      <c r="J59" s="152">
        <v>0</v>
      </c>
      <c r="K59" s="152">
        <v>0</v>
      </c>
      <c r="L59" s="152">
        <v>0</v>
      </c>
      <c r="M59" s="152">
        <v>0</v>
      </c>
      <c r="N59" s="152">
        <v>0</v>
      </c>
      <c r="O59" s="152">
        <v>0</v>
      </c>
      <c r="P59" s="152">
        <v>0</v>
      </c>
      <c r="Q59" s="152">
        <v>0</v>
      </c>
      <c r="R59" s="152">
        <v>0</v>
      </c>
      <c r="S59" s="152">
        <v>0</v>
      </c>
      <c r="T59" s="152">
        <v>0</v>
      </c>
      <c r="U59" s="152">
        <v>0</v>
      </c>
      <c r="V59" s="152">
        <v>0</v>
      </c>
      <c r="W59" s="152">
        <v>0</v>
      </c>
      <c r="X59" s="152">
        <v>0</v>
      </c>
      <c r="Y59" s="152">
        <v>0</v>
      </c>
      <c r="Z59" s="152">
        <v>0</v>
      </c>
      <c r="AA59" s="152">
        <v>0</v>
      </c>
      <c r="AB59" s="152">
        <v>0</v>
      </c>
      <c r="AC59" s="152">
        <v>0</v>
      </c>
      <c r="AD59" s="152">
        <v>0</v>
      </c>
      <c r="AE59" s="152">
        <v>0</v>
      </c>
      <c r="AF59" s="152">
        <v>0</v>
      </c>
      <c r="AG59" s="152">
        <v>0</v>
      </c>
      <c r="AH59" s="152">
        <v>0</v>
      </c>
      <c r="AI59" s="152">
        <v>0</v>
      </c>
      <c r="AJ59" s="152">
        <v>0</v>
      </c>
      <c r="AK59" s="152">
        <v>0</v>
      </c>
      <c r="AL59" s="152">
        <v>0</v>
      </c>
      <c r="AM59" s="152">
        <v>0</v>
      </c>
      <c r="AN59" s="152">
        <v>0</v>
      </c>
      <c r="AO59" s="152">
        <v>0</v>
      </c>
      <c r="AP59" s="152">
        <v>0</v>
      </c>
    </row>
    <row r="60" spans="1:42">
      <c r="A60" s="180" t="s">
        <v>184</v>
      </c>
      <c r="B60" s="152"/>
      <c r="C60" s="152"/>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152"/>
      <c r="AB60" s="152"/>
      <c r="AC60" s="152"/>
      <c r="AD60" s="152"/>
      <c r="AE60" s="152"/>
      <c r="AF60" s="152"/>
      <c r="AG60" s="152"/>
      <c r="AH60" s="152"/>
      <c r="AI60" s="152"/>
      <c r="AJ60" s="152"/>
      <c r="AK60" s="152"/>
      <c r="AL60" s="152"/>
      <c r="AM60" s="152"/>
      <c r="AN60" s="152"/>
      <c r="AO60" s="152"/>
      <c r="AP60" s="152"/>
    </row>
    <row r="61" spans="1:42">
      <c r="A61" s="184" t="s">
        <v>185</v>
      </c>
      <c r="B61" s="152">
        <f t="shared" ref="B61:AP61" si="125">-B631-B632</f>
        <v>-1480197.6101830259</v>
      </c>
      <c r="C61" s="152">
        <f t="shared" si="125"/>
        <v>-31185.072490616469</v>
      </c>
      <c r="D61" s="152">
        <f t="shared" si="125"/>
        <v>-31566.050230675144</v>
      </c>
      <c r="E61" s="152">
        <f t="shared" si="125"/>
        <v>-31429.531737569254</v>
      </c>
      <c r="F61" s="152">
        <f t="shared" si="125"/>
        <v>-32344.223859194433</v>
      </c>
      <c r="G61" s="152">
        <f t="shared" si="125"/>
        <v>-32741.567455884069</v>
      </c>
      <c r="H61" s="152">
        <f t="shared" si="125"/>
        <v>-32597.7535901058</v>
      </c>
      <c r="I61" s="152">
        <f t="shared" si="125"/>
        <v>-33553.144582894864</v>
      </c>
      <c r="J61" s="152">
        <f t="shared" si="125"/>
        <v>-33967.531544168713</v>
      </c>
      <c r="K61" s="152">
        <f t="shared" si="125"/>
        <v>-33816.017453425098</v>
      </c>
      <c r="L61" s="152">
        <f t="shared" si="125"/>
        <v>1773398.5031275598</v>
      </c>
      <c r="M61" s="152">
        <f t="shared" si="125"/>
        <v>0</v>
      </c>
      <c r="N61" s="152">
        <f t="shared" si="125"/>
        <v>0</v>
      </c>
      <c r="O61" s="152">
        <f t="shared" si="125"/>
        <v>0</v>
      </c>
      <c r="P61" s="152">
        <f t="shared" si="125"/>
        <v>0</v>
      </c>
      <c r="Q61" s="152">
        <f t="shared" si="125"/>
        <v>0</v>
      </c>
      <c r="R61" s="152">
        <f t="shared" si="125"/>
        <v>0</v>
      </c>
      <c r="S61" s="152">
        <f t="shared" si="125"/>
        <v>0</v>
      </c>
      <c r="T61" s="152">
        <f t="shared" si="125"/>
        <v>0</v>
      </c>
      <c r="U61" s="152">
        <f t="shared" si="125"/>
        <v>0</v>
      </c>
      <c r="V61" s="152">
        <f t="shared" si="125"/>
        <v>0</v>
      </c>
      <c r="W61" s="152">
        <f t="shared" si="125"/>
        <v>0</v>
      </c>
      <c r="X61" s="152">
        <f t="shared" si="125"/>
        <v>0</v>
      </c>
      <c r="Y61" s="152">
        <f t="shared" si="125"/>
        <v>0</v>
      </c>
      <c r="Z61" s="152">
        <f t="shared" si="125"/>
        <v>0</v>
      </c>
      <c r="AA61" s="152">
        <f t="shared" si="125"/>
        <v>0</v>
      </c>
      <c r="AB61" s="152">
        <f t="shared" si="125"/>
        <v>0</v>
      </c>
      <c r="AC61" s="152">
        <f t="shared" si="125"/>
        <v>0</v>
      </c>
      <c r="AD61" s="152">
        <f t="shared" si="125"/>
        <v>0</v>
      </c>
      <c r="AE61" s="152">
        <f t="shared" si="125"/>
        <v>0</v>
      </c>
      <c r="AF61" s="152">
        <f t="shared" si="125"/>
        <v>0</v>
      </c>
      <c r="AG61" s="152">
        <f t="shared" si="125"/>
        <v>0</v>
      </c>
      <c r="AH61" s="152">
        <f t="shared" si="125"/>
        <v>0</v>
      </c>
      <c r="AI61" s="152">
        <f t="shared" si="125"/>
        <v>0</v>
      </c>
      <c r="AJ61" s="152">
        <f t="shared" si="125"/>
        <v>0</v>
      </c>
      <c r="AK61" s="152">
        <f t="shared" si="125"/>
        <v>0</v>
      </c>
      <c r="AL61" s="152">
        <f t="shared" si="125"/>
        <v>0</v>
      </c>
      <c r="AM61" s="152">
        <f t="shared" si="125"/>
        <v>0</v>
      </c>
      <c r="AN61" s="152">
        <f t="shared" si="125"/>
        <v>0</v>
      </c>
      <c r="AO61" s="152">
        <f t="shared" si="125"/>
        <v>0</v>
      </c>
      <c r="AP61" s="152">
        <f t="shared" si="125"/>
        <v>0</v>
      </c>
    </row>
    <row r="62" spans="1:42">
      <c r="A62" s="184" t="s">
        <v>191</v>
      </c>
      <c r="B62" s="152">
        <f t="shared" ref="B62:AP62" si="126">-B637-B638</f>
        <v>-150000</v>
      </c>
      <c r="C62" s="152">
        <f t="shared" si="126"/>
        <v>0</v>
      </c>
      <c r="D62" s="152">
        <f t="shared" si="126"/>
        <v>0</v>
      </c>
      <c r="E62" s="152">
        <f t="shared" si="126"/>
        <v>0</v>
      </c>
      <c r="F62" s="152">
        <f t="shared" si="126"/>
        <v>0</v>
      </c>
      <c r="G62" s="152">
        <f t="shared" si="126"/>
        <v>0</v>
      </c>
      <c r="H62" s="152">
        <f t="shared" si="126"/>
        <v>0</v>
      </c>
      <c r="I62" s="152">
        <f t="shared" si="126"/>
        <v>0</v>
      </c>
      <c r="J62" s="152">
        <f t="shared" si="126"/>
        <v>0</v>
      </c>
      <c r="K62" s="152">
        <f t="shared" si="126"/>
        <v>0</v>
      </c>
      <c r="L62" s="152">
        <f t="shared" si="126"/>
        <v>0</v>
      </c>
      <c r="M62" s="152">
        <f t="shared" si="126"/>
        <v>0</v>
      </c>
      <c r="N62" s="152">
        <f t="shared" si="126"/>
        <v>0</v>
      </c>
      <c r="O62" s="152">
        <f t="shared" si="126"/>
        <v>0</v>
      </c>
      <c r="P62" s="152">
        <f t="shared" si="126"/>
        <v>0</v>
      </c>
      <c r="Q62" s="152">
        <f t="shared" si="126"/>
        <v>0</v>
      </c>
      <c r="R62" s="152">
        <f t="shared" si="126"/>
        <v>0</v>
      </c>
      <c r="S62" s="152">
        <f t="shared" si="126"/>
        <v>0</v>
      </c>
      <c r="T62" s="152">
        <f t="shared" si="126"/>
        <v>0</v>
      </c>
      <c r="U62" s="152">
        <f t="shared" si="126"/>
        <v>0</v>
      </c>
      <c r="V62" s="152">
        <f t="shared" si="126"/>
        <v>0</v>
      </c>
      <c r="W62" s="152">
        <f t="shared" si="126"/>
        <v>0</v>
      </c>
      <c r="X62" s="152">
        <f t="shared" si="126"/>
        <v>0</v>
      </c>
      <c r="Y62" s="152">
        <f t="shared" si="126"/>
        <v>0</v>
      </c>
      <c r="Z62" s="152">
        <f t="shared" si="126"/>
        <v>0</v>
      </c>
      <c r="AA62" s="152">
        <f t="shared" si="126"/>
        <v>0</v>
      </c>
      <c r="AB62" s="152">
        <f t="shared" si="126"/>
        <v>0</v>
      </c>
      <c r="AC62" s="152">
        <f t="shared" si="126"/>
        <v>0</v>
      </c>
      <c r="AD62" s="152">
        <f t="shared" si="126"/>
        <v>0</v>
      </c>
      <c r="AE62" s="152">
        <f t="shared" si="126"/>
        <v>0</v>
      </c>
      <c r="AF62" s="152">
        <f t="shared" si="126"/>
        <v>150000</v>
      </c>
      <c r="AG62" s="152">
        <f t="shared" si="126"/>
        <v>0</v>
      </c>
      <c r="AH62" s="152">
        <f t="shared" si="126"/>
        <v>0</v>
      </c>
      <c r="AI62" s="152">
        <f t="shared" si="126"/>
        <v>0</v>
      </c>
      <c r="AJ62" s="152">
        <f t="shared" si="126"/>
        <v>0</v>
      </c>
      <c r="AK62" s="152">
        <f t="shared" si="126"/>
        <v>0</v>
      </c>
      <c r="AL62" s="152">
        <f t="shared" si="126"/>
        <v>0</v>
      </c>
      <c r="AM62" s="152">
        <f t="shared" si="126"/>
        <v>0</v>
      </c>
      <c r="AN62" s="152">
        <f t="shared" si="126"/>
        <v>0</v>
      </c>
      <c r="AO62" s="152">
        <f t="shared" si="126"/>
        <v>0</v>
      </c>
      <c r="AP62" s="152">
        <f t="shared" si="126"/>
        <v>0</v>
      </c>
    </row>
    <row r="63" spans="1:42">
      <c r="A63" s="184" t="s">
        <v>357</v>
      </c>
      <c r="B63" s="186">
        <f>-B643-B644</f>
        <v>0</v>
      </c>
      <c r="C63" s="186">
        <f t="shared" ref="C63:AP63" si="127">-C643-C644</f>
        <v>-245406.02862510949</v>
      </c>
      <c r="D63" s="186">
        <f t="shared" si="127"/>
        <v>-245406.02862510949</v>
      </c>
      <c r="E63" s="186">
        <f t="shared" si="127"/>
        <v>-245406.02862510949</v>
      </c>
      <c r="F63" s="186">
        <f t="shared" si="127"/>
        <v>-245406.02862510949</v>
      </c>
      <c r="G63" s="186">
        <f t="shared" si="127"/>
        <v>-245406.02862510949</v>
      </c>
      <c r="H63" s="186">
        <f t="shared" si="127"/>
        <v>-245406.02862510949</v>
      </c>
      <c r="I63" s="186">
        <f t="shared" si="127"/>
        <v>-245406.02862510949</v>
      </c>
      <c r="J63" s="186">
        <f t="shared" si="127"/>
        <v>-245406.02862510949</v>
      </c>
      <c r="K63" s="186">
        <f t="shared" si="127"/>
        <v>-245406.02862510949</v>
      </c>
      <c r="L63" s="186">
        <f t="shared" si="127"/>
        <v>-245406.02862510949</v>
      </c>
      <c r="M63" s="186">
        <f t="shared" si="127"/>
        <v>-245406.02862510949</v>
      </c>
      <c r="N63" s="186">
        <f t="shared" si="127"/>
        <v>2699466.3148762044</v>
      </c>
      <c r="O63" s="186">
        <f t="shared" si="127"/>
        <v>-293411.90721039008</v>
      </c>
      <c r="P63" s="186">
        <f t="shared" si="127"/>
        <v>-293411.90721039008</v>
      </c>
      <c r="Q63" s="186">
        <f t="shared" si="127"/>
        <v>-293411.90721039008</v>
      </c>
      <c r="R63" s="186">
        <f t="shared" si="127"/>
        <v>-293411.90721039008</v>
      </c>
      <c r="S63" s="186">
        <f t="shared" si="127"/>
        <v>-293411.90721039008</v>
      </c>
      <c r="T63" s="186">
        <f t="shared" si="127"/>
        <v>-293411.90721039008</v>
      </c>
      <c r="U63" s="186">
        <f t="shared" si="127"/>
        <v>-293411.90721039008</v>
      </c>
      <c r="V63" s="186">
        <f t="shared" si="127"/>
        <v>-293411.90721039008</v>
      </c>
      <c r="W63" s="186">
        <f t="shared" si="127"/>
        <v>-293411.90721039008</v>
      </c>
      <c r="X63" s="186">
        <f t="shared" si="127"/>
        <v>-293411.90721039008</v>
      </c>
      <c r="Y63" s="186">
        <f t="shared" si="127"/>
        <v>-293411.90721039008</v>
      </c>
      <c r="Z63" s="186">
        <f t="shared" si="127"/>
        <v>3227530.9793142909</v>
      </c>
      <c r="AA63" s="186">
        <f t="shared" si="127"/>
        <v>0</v>
      </c>
      <c r="AB63" s="186">
        <f t="shared" si="127"/>
        <v>0</v>
      </c>
      <c r="AC63" s="186">
        <f t="shared" si="127"/>
        <v>0</v>
      </c>
      <c r="AD63" s="186">
        <f t="shared" si="127"/>
        <v>0</v>
      </c>
      <c r="AE63" s="186">
        <f t="shared" si="127"/>
        <v>0</v>
      </c>
      <c r="AF63" s="186">
        <f t="shared" si="127"/>
        <v>0</v>
      </c>
      <c r="AG63" s="186">
        <f t="shared" si="127"/>
        <v>0</v>
      </c>
      <c r="AH63" s="186">
        <f t="shared" si="127"/>
        <v>0</v>
      </c>
      <c r="AI63" s="186">
        <f t="shared" si="127"/>
        <v>0</v>
      </c>
      <c r="AJ63" s="186">
        <f t="shared" si="127"/>
        <v>0</v>
      </c>
      <c r="AK63" s="186">
        <f t="shared" si="127"/>
        <v>0</v>
      </c>
      <c r="AL63" s="186">
        <f t="shared" si="127"/>
        <v>0</v>
      </c>
      <c r="AM63" s="186">
        <f t="shared" si="127"/>
        <v>0</v>
      </c>
      <c r="AN63" s="186">
        <f t="shared" si="127"/>
        <v>0</v>
      </c>
      <c r="AO63" s="186">
        <f t="shared" si="127"/>
        <v>0</v>
      </c>
      <c r="AP63" s="186">
        <f t="shared" si="127"/>
        <v>0</v>
      </c>
    </row>
    <row r="64" spans="1:42">
      <c r="A64" s="184" t="s">
        <v>358</v>
      </c>
      <c r="B64" s="186">
        <f>-B675-B676</f>
        <v>0</v>
      </c>
      <c r="C64" s="186">
        <f t="shared" ref="C64:AP64" si="128">-C675-C676</f>
        <v>-410585.24356465257</v>
      </c>
      <c r="D64" s="186">
        <f t="shared" si="128"/>
        <v>-410585.24356465257</v>
      </c>
      <c r="E64" s="186">
        <f t="shared" si="128"/>
        <v>-410585.24356465257</v>
      </c>
      <c r="F64" s="186">
        <f t="shared" si="128"/>
        <v>-410585.24356465257</v>
      </c>
      <c r="G64" s="186">
        <f t="shared" si="128"/>
        <v>-410585.24356465257</v>
      </c>
      <c r="H64" s="186">
        <f t="shared" si="128"/>
        <v>-410585.24356465257</v>
      </c>
      <c r="I64" s="186">
        <f t="shared" si="128"/>
        <v>-410585.24356465257</v>
      </c>
      <c r="J64" s="186">
        <f t="shared" si="128"/>
        <v>-410585.24356465257</v>
      </c>
      <c r="K64" s="186">
        <f t="shared" si="128"/>
        <v>-410585.24356465257</v>
      </c>
      <c r="L64" s="186">
        <f t="shared" si="128"/>
        <v>-410585.24356465257</v>
      </c>
      <c r="M64" s="186">
        <f t="shared" si="128"/>
        <v>-410585.24356465257</v>
      </c>
      <c r="N64" s="186">
        <f t="shared" si="128"/>
        <v>-410585.24356465257</v>
      </c>
      <c r="O64" s="186">
        <f t="shared" si="128"/>
        <v>-410585.24356465257</v>
      </c>
      <c r="P64" s="186">
        <f t="shared" si="128"/>
        <v>-410585.24356465257</v>
      </c>
      <c r="Q64" s="186">
        <f t="shared" si="128"/>
        <v>5748193.4099051366</v>
      </c>
      <c r="R64" s="186">
        <f t="shared" si="128"/>
        <v>-513326.83759962226</v>
      </c>
      <c r="S64" s="186">
        <f t="shared" si="128"/>
        <v>-513326.83759962226</v>
      </c>
      <c r="T64" s="186">
        <f t="shared" si="128"/>
        <v>-513326.83759962226</v>
      </c>
      <c r="U64" s="186">
        <f t="shared" si="128"/>
        <v>-513326.83759962226</v>
      </c>
      <c r="V64" s="186">
        <f t="shared" si="128"/>
        <v>-513326.83759962226</v>
      </c>
      <c r="W64" s="186">
        <f t="shared" si="128"/>
        <v>-513326.83759962226</v>
      </c>
      <c r="X64" s="186">
        <f t="shared" si="128"/>
        <v>-513326.83759962226</v>
      </c>
      <c r="Y64" s="186">
        <f t="shared" si="128"/>
        <v>-513326.83759962226</v>
      </c>
      <c r="Z64" s="186">
        <f t="shared" si="128"/>
        <v>-513326.83759962226</v>
      </c>
      <c r="AA64" s="186">
        <f t="shared" si="128"/>
        <v>-513326.83759962226</v>
      </c>
      <c r="AB64" s="186">
        <f t="shared" si="128"/>
        <v>-513326.83759962226</v>
      </c>
      <c r="AC64" s="186">
        <f t="shared" si="128"/>
        <v>-513326.83759962226</v>
      </c>
      <c r="AD64" s="186">
        <f t="shared" si="128"/>
        <v>-513326.83759962226</v>
      </c>
      <c r="AE64" s="186">
        <f t="shared" si="128"/>
        <v>-513326.83759962226</v>
      </c>
      <c r="AF64" s="186">
        <f t="shared" si="128"/>
        <v>7186575.726394712</v>
      </c>
      <c r="AG64" s="186">
        <f t="shared" si="128"/>
        <v>0</v>
      </c>
      <c r="AH64" s="186">
        <f t="shared" si="128"/>
        <v>0</v>
      </c>
      <c r="AI64" s="186">
        <f t="shared" si="128"/>
        <v>0</v>
      </c>
      <c r="AJ64" s="186">
        <f t="shared" si="128"/>
        <v>0</v>
      </c>
      <c r="AK64" s="186">
        <f t="shared" si="128"/>
        <v>0</v>
      </c>
      <c r="AL64" s="186">
        <f t="shared" si="128"/>
        <v>0</v>
      </c>
      <c r="AM64" s="186">
        <f t="shared" si="128"/>
        <v>0</v>
      </c>
      <c r="AN64" s="186">
        <f t="shared" si="128"/>
        <v>0</v>
      </c>
      <c r="AO64" s="186">
        <f t="shared" si="128"/>
        <v>0</v>
      </c>
      <c r="AP64" s="186">
        <f t="shared" si="128"/>
        <v>0</v>
      </c>
    </row>
    <row r="65" spans="1:42">
      <c r="A65" s="184" t="s">
        <v>359</v>
      </c>
      <c r="B65" s="187">
        <f>-B707-B708</f>
        <v>0</v>
      </c>
      <c r="C65" s="187">
        <f t="shared" ref="C65:AP65" si="129">-C707-C708</f>
        <v>-34340.833333333321</v>
      </c>
      <c r="D65" s="187">
        <f t="shared" si="129"/>
        <v>-34340.833333333321</v>
      </c>
      <c r="E65" s="187">
        <f t="shared" si="129"/>
        <v>68681.666666666657</v>
      </c>
      <c r="F65" s="187">
        <f t="shared" si="129"/>
        <v>-35909.466796145811</v>
      </c>
      <c r="G65" s="187">
        <f t="shared" si="129"/>
        <v>-35909.466796145811</v>
      </c>
      <c r="H65" s="187">
        <f t="shared" si="129"/>
        <v>71818.933592291607</v>
      </c>
      <c r="I65" s="187">
        <f t="shared" si="129"/>
        <v>-37549.752886510192</v>
      </c>
      <c r="J65" s="187">
        <f t="shared" si="129"/>
        <v>-37549.752886510192</v>
      </c>
      <c r="K65" s="187">
        <f t="shared" si="129"/>
        <v>75099.505773020384</v>
      </c>
      <c r="L65" s="187">
        <f t="shared" si="129"/>
        <v>-39264.96458001752</v>
      </c>
      <c r="M65" s="187">
        <f t="shared" si="129"/>
        <v>-39264.96458001752</v>
      </c>
      <c r="N65" s="187">
        <f t="shared" si="129"/>
        <v>78529.929160035041</v>
      </c>
      <c r="O65" s="187">
        <f t="shared" si="129"/>
        <v>-41058.524356465256</v>
      </c>
      <c r="P65" s="187">
        <f t="shared" si="129"/>
        <v>-41058.524356465256</v>
      </c>
      <c r="Q65" s="187">
        <f t="shared" si="129"/>
        <v>82117.048712930526</v>
      </c>
      <c r="R65" s="187">
        <f t="shared" si="129"/>
        <v>-42934.011028966495</v>
      </c>
      <c r="S65" s="187">
        <f t="shared" si="129"/>
        <v>-42934.011028966495</v>
      </c>
      <c r="T65" s="187">
        <f t="shared" si="129"/>
        <v>85868.022057932976</v>
      </c>
      <c r="U65" s="187">
        <f t="shared" si="129"/>
        <v>-44895.166885001738</v>
      </c>
      <c r="V65" s="187">
        <f t="shared" si="129"/>
        <v>-44895.166885001738</v>
      </c>
      <c r="W65" s="187">
        <f t="shared" si="129"/>
        <v>89790.33377000349</v>
      </c>
      <c r="X65" s="187">
        <f t="shared" si="129"/>
        <v>-46945.90515366241</v>
      </c>
      <c r="Y65" s="187">
        <f t="shared" si="129"/>
        <v>-46945.90515366241</v>
      </c>
      <c r="Z65" s="187">
        <f t="shared" si="129"/>
        <v>93891.810307324835</v>
      </c>
      <c r="AA65" s="187">
        <f t="shared" si="129"/>
        <v>-49090.317813985828</v>
      </c>
      <c r="AB65" s="187">
        <f t="shared" si="129"/>
        <v>-49090.317813985828</v>
      </c>
      <c r="AC65" s="187">
        <f t="shared" si="129"/>
        <v>98180.635627971642</v>
      </c>
      <c r="AD65" s="187">
        <f t="shared" si="129"/>
        <v>-51332.68375996223</v>
      </c>
      <c r="AE65" s="187">
        <f t="shared" si="129"/>
        <v>-51332.68375996223</v>
      </c>
      <c r="AF65" s="187">
        <f t="shared" si="129"/>
        <v>102665.36751992445</v>
      </c>
      <c r="AG65" s="187">
        <f t="shared" si="129"/>
        <v>0</v>
      </c>
      <c r="AH65" s="187">
        <f t="shared" si="129"/>
        <v>0</v>
      </c>
      <c r="AI65" s="187">
        <f t="shared" si="129"/>
        <v>0</v>
      </c>
      <c r="AJ65" s="187">
        <f t="shared" si="129"/>
        <v>0</v>
      </c>
      <c r="AK65" s="187">
        <f t="shared" si="129"/>
        <v>0</v>
      </c>
      <c r="AL65" s="187">
        <f t="shared" si="129"/>
        <v>0</v>
      </c>
      <c r="AM65" s="187">
        <f t="shared" si="129"/>
        <v>0</v>
      </c>
      <c r="AN65" s="187">
        <f t="shared" si="129"/>
        <v>0</v>
      </c>
      <c r="AO65" s="187">
        <f t="shared" si="129"/>
        <v>0</v>
      </c>
      <c r="AP65" s="187">
        <f t="shared" si="129"/>
        <v>0</v>
      </c>
    </row>
    <row r="66" spans="1:42">
      <c r="A66" s="184" t="s">
        <v>53</v>
      </c>
      <c r="B66" s="152">
        <f>SUM(B61:B65)</f>
        <v>-1630197.6101830259</v>
      </c>
      <c r="C66" s="152">
        <f t="shared" ref="C66:AP66" si="130">SUM(C61:C65)</f>
        <v>-721517.17801371182</v>
      </c>
      <c r="D66" s="152">
        <f t="shared" si="130"/>
        <v>-721898.15575377049</v>
      </c>
      <c r="E66" s="152">
        <f t="shared" si="130"/>
        <v>-618739.1372606646</v>
      </c>
      <c r="F66" s="152">
        <f t="shared" si="130"/>
        <v>-724244.96284510219</v>
      </c>
      <c r="G66" s="152">
        <f t="shared" si="130"/>
        <v>-724642.30644179182</v>
      </c>
      <c r="H66" s="152">
        <f t="shared" si="130"/>
        <v>-616770.09218757623</v>
      </c>
      <c r="I66" s="152">
        <f t="shared" si="130"/>
        <v>-727094.16965916706</v>
      </c>
      <c r="J66" s="152">
        <f t="shared" si="130"/>
        <v>-727508.55662044091</v>
      </c>
      <c r="K66" s="152">
        <f t="shared" si="130"/>
        <v>-614707.78387016663</v>
      </c>
      <c r="L66" s="152">
        <f t="shared" si="130"/>
        <v>1078142.2663577802</v>
      </c>
      <c r="M66" s="152">
        <f t="shared" si="130"/>
        <v>-695256.23676977959</v>
      </c>
      <c r="N66" s="152">
        <f t="shared" si="130"/>
        <v>2367411.0004715868</v>
      </c>
      <c r="O66" s="152">
        <f t="shared" si="130"/>
        <v>-745055.6751315078</v>
      </c>
      <c r="P66" s="152">
        <f t="shared" si="130"/>
        <v>-745055.6751315078</v>
      </c>
      <c r="Q66" s="152">
        <f t="shared" si="130"/>
        <v>5536898.5514076771</v>
      </c>
      <c r="R66" s="152">
        <f t="shared" si="130"/>
        <v>-849672.75583897892</v>
      </c>
      <c r="S66" s="152">
        <f t="shared" si="130"/>
        <v>-849672.75583897892</v>
      </c>
      <c r="T66" s="152">
        <f t="shared" si="130"/>
        <v>-720870.72275207937</v>
      </c>
      <c r="U66" s="152">
        <f t="shared" si="130"/>
        <v>-851633.9116950141</v>
      </c>
      <c r="V66" s="152">
        <f t="shared" si="130"/>
        <v>-851633.9116950141</v>
      </c>
      <c r="W66" s="152">
        <f t="shared" si="130"/>
        <v>-716948.41104000888</v>
      </c>
      <c r="X66" s="152">
        <f t="shared" si="130"/>
        <v>-853684.64996367483</v>
      </c>
      <c r="Y66" s="152">
        <f t="shared" si="130"/>
        <v>-853684.64996367483</v>
      </c>
      <c r="Z66" s="152">
        <f t="shared" si="130"/>
        <v>2808095.9520219937</v>
      </c>
      <c r="AA66" s="152">
        <f t="shared" si="130"/>
        <v>-562417.15541360807</v>
      </c>
      <c r="AB66" s="152">
        <f t="shared" si="130"/>
        <v>-562417.15541360807</v>
      </c>
      <c r="AC66" s="152">
        <f t="shared" si="130"/>
        <v>-415146.20197165059</v>
      </c>
      <c r="AD66" s="152">
        <f t="shared" si="130"/>
        <v>-564659.52135958453</v>
      </c>
      <c r="AE66" s="152">
        <f t="shared" si="130"/>
        <v>-564659.52135958453</v>
      </c>
      <c r="AF66" s="152">
        <f t="shared" si="130"/>
        <v>7439241.0939146364</v>
      </c>
      <c r="AG66" s="152">
        <f t="shared" si="130"/>
        <v>0</v>
      </c>
      <c r="AH66" s="152">
        <f t="shared" si="130"/>
        <v>0</v>
      </c>
      <c r="AI66" s="152">
        <f t="shared" si="130"/>
        <v>0</v>
      </c>
      <c r="AJ66" s="152">
        <f t="shared" si="130"/>
        <v>0</v>
      </c>
      <c r="AK66" s="152">
        <f t="shared" si="130"/>
        <v>0</v>
      </c>
      <c r="AL66" s="152">
        <f t="shared" si="130"/>
        <v>0</v>
      </c>
      <c r="AM66" s="152">
        <f t="shared" si="130"/>
        <v>0</v>
      </c>
      <c r="AN66" s="152">
        <f t="shared" si="130"/>
        <v>0</v>
      </c>
      <c r="AO66" s="152">
        <f t="shared" si="130"/>
        <v>0</v>
      </c>
      <c r="AP66" s="152">
        <f t="shared" si="130"/>
        <v>0</v>
      </c>
    </row>
    <row r="67" spans="1:42">
      <c r="A67" s="180" t="s">
        <v>202</v>
      </c>
    </row>
    <row r="68" spans="1:42">
      <c r="A68" s="184" t="s">
        <v>365</v>
      </c>
      <c r="B68" s="186">
        <f>B644</f>
        <v>0</v>
      </c>
      <c r="C68" s="186">
        <f t="shared" ref="C68:AP68" si="131">C644</f>
        <v>0</v>
      </c>
      <c r="D68" s="186">
        <f t="shared" si="131"/>
        <v>0</v>
      </c>
      <c r="E68" s="186">
        <f t="shared" si="131"/>
        <v>0</v>
      </c>
      <c r="F68" s="186">
        <f t="shared" si="131"/>
        <v>0</v>
      </c>
      <c r="G68" s="186">
        <f t="shared" si="131"/>
        <v>0</v>
      </c>
      <c r="H68" s="186">
        <f t="shared" si="131"/>
        <v>0</v>
      </c>
      <c r="I68" s="186">
        <f t="shared" si="131"/>
        <v>0</v>
      </c>
      <c r="J68" s="186">
        <f t="shared" si="131"/>
        <v>0</v>
      </c>
      <c r="K68" s="186">
        <f t="shared" si="131"/>
        <v>0</v>
      </c>
      <c r="L68" s="186">
        <f t="shared" si="131"/>
        <v>0</v>
      </c>
      <c r="M68" s="186">
        <f t="shared" si="131"/>
        <v>0</v>
      </c>
      <c r="N68" s="186">
        <f t="shared" si="131"/>
        <v>-2944872.3435013141</v>
      </c>
      <c r="O68" s="186">
        <f t="shared" si="131"/>
        <v>0</v>
      </c>
      <c r="P68" s="186">
        <f t="shared" si="131"/>
        <v>0</v>
      </c>
      <c r="Q68" s="186">
        <f t="shared" si="131"/>
        <v>0</v>
      </c>
      <c r="R68" s="186">
        <f t="shared" si="131"/>
        <v>0</v>
      </c>
      <c r="S68" s="186">
        <f t="shared" si="131"/>
        <v>0</v>
      </c>
      <c r="T68" s="186">
        <f t="shared" si="131"/>
        <v>0</v>
      </c>
      <c r="U68" s="186">
        <f t="shared" si="131"/>
        <v>0</v>
      </c>
      <c r="V68" s="186">
        <f t="shared" si="131"/>
        <v>0</v>
      </c>
      <c r="W68" s="186">
        <f t="shared" si="131"/>
        <v>0</v>
      </c>
      <c r="X68" s="186">
        <f t="shared" si="131"/>
        <v>0</v>
      </c>
      <c r="Y68" s="186">
        <f t="shared" si="131"/>
        <v>0</v>
      </c>
      <c r="Z68" s="186">
        <f t="shared" si="131"/>
        <v>-3520942.886524681</v>
      </c>
      <c r="AA68" s="186">
        <f t="shared" si="131"/>
        <v>0</v>
      </c>
      <c r="AB68" s="186">
        <f t="shared" si="131"/>
        <v>0</v>
      </c>
      <c r="AC68" s="186">
        <f t="shared" si="131"/>
        <v>0</v>
      </c>
      <c r="AD68" s="186">
        <f t="shared" si="131"/>
        <v>0</v>
      </c>
      <c r="AE68" s="186">
        <f t="shared" si="131"/>
        <v>0</v>
      </c>
      <c r="AF68" s="186">
        <f t="shared" si="131"/>
        <v>0</v>
      </c>
      <c r="AG68" s="186">
        <f t="shared" si="131"/>
        <v>0</v>
      </c>
      <c r="AH68" s="186">
        <f t="shared" si="131"/>
        <v>0</v>
      </c>
      <c r="AI68" s="186">
        <f t="shared" si="131"/>
        <v>0</v>
      </c>
      <c r="AJ68" s="186">
        <f t="shared" si="131"/>
        <v>0</v>
      </c>
      <c r="AK68" s="186">
        <f t="shared" si="131"/>
        <v>0</v>
      </c>
      <c r="AL68" s="186">
        <f t="shared" si="131"/>
        <v>0</v>
      </c>
      <c r="AM68" s="186">
        <f t="shared" si="131"/>
        <v>0</v>
      </c>
      <c r="AN68" s="186">
        <f t="shared" si="131"/>
        <v>0</v>
      </c>
      <c r="AO68" s="186">
        <f t="shared" si="131"/>
        <v>0</v>
      </c>
      <c r="AP68" s="186">
        <f t="shared" si="131"/>
        <v>0</v>
      </c>
    </row>
    <row r="69" spans="1:42">
      <c r="A69" s="184" t="s">
        <v>366</v>
      </c>
      <c r="B69" s="186">
        <f>B676</f>
        <v>0</v>
      </c>
      <c r="C69" s="186">
        <f t="shared" ref="C69:AP69" si="132">C676</f>
        <v>0</v>
      </c>
      <c r="D69" s="186">
        <f t="shared" si="132"/>
        <v>0</v>
      </c>
      <c r="E69" s="186">
        <f t="shared" si="132"/>
        <v>0</v>
      </c>
      <c r="F69" s="186">
        <f t="shared" si="132"/>
        <v>0</v>
      </c>
      <c r="G69" s="186">
        <f t="shared" si="132"/>
        <v>0</v>
      </c>
      <c r="H69" s="186">
        <f t="shared" si="132"/>
        <v>0</v>
      </c>
      <c r="I69" s="186">
        <f t="shared" si="132"/>
        <v>0</v>
      </c>
      <c r="J69" s="186">
        <f t="shared" si="132"/>
        <v>0</v>
      </c>
      <c r="K69" s="186">
        <f t="shared" si="132"/>
        <v>0</v>
      </c>
      <c r="L69" s="186">
        <f t="shared" si="132"/>
        <v>0</v>
      </c>
      <c r="M69" s="186">
        <f t="shared" si="132"/>
        <v>0</v>
      </c>
      <c r="N69" s="186">
        <f t="shared" si="132"/>
        <v>0</v>
      </c>
      <c r="O69" s="186">
        <f t="shared" si="132"/>
        <v>0</v>
      </c>
      <c r="P69" s="186">
        <f t="shared" si="132"/>
        <v>0</v>
      </c>
      <c r="Q69" s="186">
        <f t="shared" si="132"/>
        <v>-6158778.6534697888</v>
      </c>
      <c r="R69" s="186">
        <f t="shared" si="132"/>
        <v>0</v>
      </c>
      <c r="S69" s="186">
        <f t="shared" si="132"/>
        <v>0</v>
      </c>
      <c r="T69" s="186">
        <f t="shared" si="132"/>
        <v>0</v>
      </c>
      <c r="U69" s="186">
        <f t="shared" si="132"/>
        <v>0</v>
      </c>
      <c r="V69" s="186">
        <f t="shared" si="132"/>
        <v>0</v>
      </c>
      <c r="W69" s="186">
        <f t="shared" si="132"/>
        <v>0</v>
      </c>
      <c r="X69" s="186">
        <f t="shared" si="132"/>
        <v>0</v>
      </c>
      <c r="Y69" s="186">
        <f t="shared" si="132"/>
        <v>0</v>
      </c>
      <c r="Z69" s="186">
        <f t="shared" si="132"/>
        <v>0</v>
      </c>
      <c r="AA69" s="186">
        <f t="shared" si="132"/>
        <v>0</v>
      </c>
      <c r="AB69" s="186">
        <f t="shared" si="132"/>
        <v>0</v>
      </c>
      <c r="AC69" s="186">
        <f t="shared" si="132"/>
        <v>0</v>
      </c>
      <c r="AD69" s="186">
        <f t="shared" si="132"/>
        <v>0</v>
      </c>
      <c r="AE69" s="186">
        <f t="shared" si="132"/>
        <v>0</v>
      </c>
      <c r="AF69" s="186">
        <f t="shared" si="132"/>
        <v>-7699902.5639943341</v>
      </c>
      <c r="AG69" s="186">
        <f t="shared" si="132"/>
        <v>0</v>
      </c>
      <c r="AH69" s="186">
        <f t="shared" si="132"/>
        <v>0</v>
      </c>
      <c r="AI69" s="186">
        <f t="shared" si="132"/>
        <v>0</v>
      </c>
      <c r="AJ69" s="186">
        <f t="shared" si="132"/>
        <v>0</v>
      </c>
      <c r="AK69" s="186">
        <f t="shared" si="132"/>
        <v>0</v>
      </c>
      <c r="AL69" s="186">
        <f t="shared" si="132"/>
        <v>0</v>
      </c>
      <c r="AM69" s="186">
        <f t="shared" si="132"/>
        <v>0</v>
      </c>
      <c r="AN69" s="186">
        <f t="shared" si="132"/>
        <v>0</v>
      </c>
      <c r="AO69" s="186">
        <f t="shared" si="132"/>
        <v>0</v>
      </c>
      <c r="AP69" s="186">
        <f t="shared" si="132"/>
        <v>0</v>
      </c>
    </row>
    <row r="70" spans="1:42">
      <c r="A70" s="184" t="s">
        <v>367</v>
      </c>
      <c r="B70" s="187">
        <f>B708</f>
        <v>0</v>
      </c>
      <c r="C70" s="187">
        <f t="shared" ref="C70:AP70" si="133">C708</f>
        <v>0</v>
      </c>
      <c r="D70" s="187">
        <f t="shared" si="133"/>
        <v>0</v>
      </c>
      <c r="E70" s="187">
        <f t="shared" si="133"/>
        <v>-103022.49999999997</v>
      </c>
      <c r="F70" s="187">
        <f t="shared" si="133"/>
        <v>0</v>
      </c>
      <c r="G70" s="187">
        <f t="shared" si="133"/>
        <v>0</v>
      </c>
      <c r="H70" s="187">
        <f t="shared" si="133"/>
        <v>-107728.40038843743</v>
      </c>
      <c r="I70" s="187">
        <f t="shared" si="133"/>
        <v>0</v>
      </c>
      <c r="J70" s="187">
        <f t="shared" si="133"/>
        <v>0</v>
      </c>
      <c r="K70" s="187">
        <f t="shared" si="133"/>
        <v>-112649.25865953058</v>
      </c>
      <c r="L70" s="187">
        <f t="shared" si="133"/>
        <v>0</v>
      </c>
      <c r="M70" s="187">
        <f t="shared" si="133"/>
        <v>0</v>
      </c>
      <c r="N70" s="187">
        <f t="shared" si="133"/>
        <v>-117794.89374005256</v>
      </c>
      <c r="O70" s="187">
        <f t="shared" si="133"/>
        <v>0</v>
      </c>
      <c r="P70" s="187">
        <f t="shared" si="133"/>
        <v>0</v>
      </c>
      <c r="Q70" s="187">
        <f t="shared" si="133"/>
        <v>-123175.57306939577</v>
      </c>
      <c r="R70" s="187">
        <f t="shared" si="133"/>
        <v>0</v>
      </c>
      <c r="S70" s="187">
        <f t="shared" si="133"/>
        <v>0</v>
      </c>
      <c r="T70" s="187">
        <f t="shared" si="133"/>
        <v>-128802.03308689948</v>
      </c>
      <c r="U70" s="187">
        <f t="shared" si="133"/>
        <v>0</v>
      </c>
      <c r="V70" s="187">
        <f t="shared" si="133"/>
        <v>0</v>
      </c>
      <c r="W70" s="187">
        <f t="shared" si="133"/>
        <v>-134685.50065500522</v>
      </c>
      <c r="X70" s="187">
        <f t="shared" si="133"/>
        <v>0</v>
      </c>
      <c r="Y70" s="187">
        <f t="shared" si="133"/>
        <v>0</v>
      </c>
      <c r="Z70" s="187">
        <f t="shared" si="133"/>
        <v>-140837.71546098724</v>
      </c>
      <c r="AA70" s="187">
        <f t="shared" si="133"/>
        <v>0</v>
      </c>
      <c r="AB70" s="187">
        <f t="shared" si="133"/>
        <v>0</v>
      </c>
      <c r="AC70" s="187">
        <f t="shared" si="133"/>
        <v>-147270.95344195748</v>
      </c>
      <c r="AD70" s="187">
        <f t="shared" si="133"/>
        <v>0</v>
      </c>
      <c r="AE70" s="187">
        <f t="shared" si="133"/>
        <v>0</v>
      </c>
      <c r="AF70" s="187">
        <f t="shared" si="133"/>
        <v>-153998.05127988668</v>
      </c>
      <c r="AG70" s="187">
        <f t="shared" si="133"/>
        <v>0</v>
      </c>
      <c r="AH70" s="187">
        <f t="shared" si="133"/>
        <v>0</v>
      </c>
      <c r="AI70" s="187">
        <f t="shared" si="133"/>
        <v>0</v>
      </c>
      <c r="AJ70" s="187">
        <f t="shared" si="133"/>
        <v>0</v>
      </c>
      <c r="AK70" s="187">
        <f t="shared" si="133"/>
        <v>0</v>
      </c>
      <c r="AL70" s="187">
        <f t="shared" si="133"/>
        <v>0</v>
      </c>
      <c r="AM70" s="187">
        <f t="shared" si="133"/>
        <v>0</v>
      </c>
      <c r="AN70" s="187">
        <f t="shared" si="133"/>
        <v>0</v>
      </c>
      <c r="AO70" s="187">
        <f t="shared" si="133"/>
        <v>0</v>
      </c>
      <c r="AP70" s="187">
        <f t="shared" si="133"/>
        <v>0</v>
      </c>
    </row>
    <row r="71" spans="1:42">
      <c r="A71" s="184" t="s">
        <v>53</v>
      </c>
      <c r="B71" s="251">
        <f>SUM(B68:B70)</f>
        <v>0</v>
      </c>
      <c r="C71" s="251">
        <f t="shared" ref="C71:AP71" si="134">SUM(C68:C70)</f>
        <v>0</v>
      </c>
      <c r="D71" s="251">
        <f t="shared" si="134"/>
        <v>0</v>
      </c>
      <c r="E71" s="251">
        <f t="shared" si="134"/>
        <v>-103022.49999999997</v>
      </c>
      <c r="F71" s="251">
        <f t="shared" si="134"/>
        <v>0</v>
      </c>
      <c r="G71" s="251">
        <f t="shared" si="134"/>
        <v>0</v>
      </c>
      <c r="H71" s="251">
        <f t="shared" si="134"/>
        <v>-107728.40038843743</v>
      </c>
      <c r="I71" s="251">
        <f t="shared" si="134"/>
        <v>0</v>
      </c>
      <c r="J71" s="251">
        <f t="shared" si="134"/>
        <v>0</v>
      </c>
      <c r="K71" s="251">
        <f t="shared" si="134"/>
        <v>-112649.25865953058</v>
      </c>
      <c r="L71" s="251">
        <f t="shared" si="134"/>
        <v>0</v>
      </c>
      <c r="M71" s="251">
        <f t="shared" si="134"/>
        <v>0</v>
      </c>
      <c r="N71" s="251">
        <f t="shared" si="134"/>
        <v>-3062667.2372413664</v>
      </c>
      <c r="O71" s="251">
        <f t="shared" si="134"/>
        <v>0</v>
      </c>
      <c r="P71" s="251">
        <f t="shared" si="134"/>
        <v>0</v>
      </c>
      <c r="Q71" s="251">
        <f t="shared" si="134"/>
        <v>-6281954.2265391843</v>
      </c>
      <c r="R71" s="251">
        <f t="shared" si="134"/>
        <v>0</v>
      </c>
      <c r="S71" s="251">
        <f t="shared" si="134"/>
        <v>0</v>
      </c>
      <c r="T71" s="251">
        <f t="shared" si="134"/>
        <v>-128802.03308689948</v>
      </c>
      <c r="U71" s="251">
        <f t="shared" si="134"/>
        <v>0</v>
      </c>
      <c r="V71" s="251">
        <f t="shared" si="134"/>
        <v>0</v>
      </c>
      <c r="W71" s="251">
        <f t="shared" si="134"/>
        <v>-134685.50065500522</v>
      </c>
      <c r="X71" s="251">
        <f t="shared" si="134"/>
        <v>0</v>
      </c>
      <c r="Y71" s="251">
        <f t="shared" si="134"/>
        <v>0</v>
      </c>
      <c r="Z71" s="251">
        <f t="shared" si="134"/>
        <v>-3661780.6019856683</v>
      </c>
      <c r="AA71" s="251">
        <f t="shared" si="134"/>
        <v>0</v>
      </c>
      <c r="AB71" s="251">
        <f t="shared" si="134"/>
        <v>0</v>
      </c>
      <c r="AC71" s="251">
        <f t="shared" si="134"/>
        <v>-147270.95344195748</v>
      </c>
      <c r="AD71" s="251">
        <f t="shared" si="134"/>
        <v>0</v>
      </c>
      <c r="AE71" s="251">
        <f t="shared" si="134"/>
        <v>0</v>
      </c>
      <c r="AF71" s="251">
        <f t="shared" si="134"/>
        <v>-7853900.6152742207</v>
      </c>
      <c r="AG71" s="251">
        <f t="shared" si="134"/>
        <v>0</v>
      </c>
      <c r="AH71" s="251">
        <f t="shared" si="134"/>
        <v>0</v>
      </c>
      <c r="AI71" s="251">
        <f t="shared" si="134"/>
        <v>0</v>
      </c>
      <c r="AJ71" s="251">
        <f t="shared" si="134"/>
        <v>0</v>
      </c>
      <c r="AK71" s="251">
        <f t="shared" si="134"/>
        <v>0</v>
      </c>
      <c r="AL71" s="251">
        <f t="shared" si="134"/>
        <v>0</v>
      </c>
      <c r="AM71" s="251">
        <f t="shared" si="134"/>
        <v>0</v>
      </c>
      <c r="AN71" s="251">
        <f t="shared" si="134"/>
        <v>0</v>
      </c>
      <c r="AO71" s="251">
        <f t="shared" si="134"/>
        <v>0</v>
      </c>
      <c r="AP71" s="251">
        <f t="shared" si="134"/>
        <v>0</v>
      </c>
    </row>
    <row r="72" spans="1:42">
      <c r="A72" s="180" t="s">
        <v>53</v>
      </c>
      <c r="B72" s="152">
        <f>B59+B66+B71</f>
        <v>-44486886.110183023</v>
      </c>
      <c r="C72" s="152">
        <f t="shared" ref="C72:AP72" si="135">C59+C66+C71</f>
        <v>-721517.17801371182</v>
      </c>
      <c r="D72" s="152">
        <f t="shared" si="135"/>
        <v>-721898.15575377049</v>
      </c>
      <c r="E72" s="152">
        <f t="shared" si="135"/>
        <v>-721761.6372606646</v>
      </c>
      <c r="F72" s="152">
        <f t="shared" si="135"/>
        <v>-724244.96284510219</v>
      </c>
      <c r="G72" s="152">
        <f t="shared" si="135"/>
        <v>-724642.30644179182</v>
      </c>
      <c r="H72" s="152">
        <f t="shared" si="135"/>
        <v>-724498.49257601367</v>
      </c>
      <c r="I72" s="152">
        <f t="shared" si="135"/>
        <v>-727094.16965916706</v>
      </c>
      <c r="J72" s="152">
        <f t="shared" si="135"/>
        <v>-727508.55662044091</v>
      </c>
      <c r="K72" s="152">
        <f t="shared" si="135"/>
        <v>-727357.04252969718</v>
      </c>
      <c r="L72" s="152">
        <f t="shared" si="135"/>
        <v>1078142.2663577802</v>
      </c>
      <c r="M72" s="152">
        <f t="shared" si="135"/>
        <v>-695256.23676977959</v>
      </c>
      <c r="N72" s="152">
        <f t="shared" si="135"/>
        <v>-695256.23676977959</v>
      </c>
      <c r="O72" s="152">
        <f t="shared" si="135"/>
        <v>-745055.6751315078</v>
      </c>
      <c r="P72" s="152">
        <f t="shared" si="135"/>
        <v>-745055.6751315078</v>
      </c>
      <c r="Q72" s="152">
        <f t="shared" si="135"/>
        <v>-745055.67513150722</v>
      </c>
      <c r="R72" s="152">
        <f t="shared" si="135"/>
        <v>-849672.75583897892</v>
      </c>
      <c r="S72" s="152">
        <f t="shared" si="135"/>
        <v>-849672.75583897892</v>
      </c>
      <c r="T72" s="152">
        <f t="shared" si="135"/>
        <v>-849672.7558389788</v>
      </c>
      <c r="U72" s="152">
        <f t="shared" si="135"/>
        <v>-851633.9116950141</v>
      </c>
      <c r="V72" s="152">
        <f t="shared" si="135"/>
        <v>-851633.9116950141</v>
      </c>
      <c r="W72" s="152">
        <f t="shared" si="135"/>
        <v>-851633.9116950141</v>
      </c>
      <c r="X72" s="152">
        <f t="shared" si="135"/>
        <v>-853684.64996367483</v>
      </c>
      <c r="Y72" s="152">
        <f t="shared" si="135"/>
        <v>-853684.64996367483</v>
      </c>
      <c r="Z72" s="152">
        <f t="shared" si="135"/>
        <v>-853684.6499636746</v>
      </c>
      <c r="AA72" s="152">
        <f t="shared" si="135"/>
        <v>-562417.15541360807</v>
      </c>
      <c r="AB72" s="152">
        <f t="shared" si="135"/>
        <v>-562417.15541360807</v>
      </c>
      <c r="AC72" s="152">
        <f t="shared" si="135"/>
        <v>-562417.15541360807</v>
      </c>
      <c r="AD72" s="152">
        <f t="shared" si="135"/>
        <v>-564659.52135958453</v>
      </c>
      <c r="AE72" s="152">
        <f t="shared" si="135"/>
        <v>-564659.52135958453</v>
      </c>
      <c r="AF72" s="152">
        <f t="shared" si="135"/>
        <v>-414659.52135958429</v>
      </c>
      <c r="AG72" s="152">
        <f t="shared" si="135"/>
        <v>0</v>
      </c>
      <c r="AH72" s="152">
        <f t="shared" si="135"/>
        <v>0</v>
      </c>
      <c r="AI72" s="152">
        <f t="shared" si="135"/>
        <v>0</v>
      </c>
      <c r="AJ72" s="152">
        <f t="shared" si="135"/>
        <v>0</v>
      </c>
      <c r="AK72" s="152">
        <f t="shared" si="135"/>
        <v>0</v>
      </c>
      <c r="AL72" s="152">
        <f t="shared" si="135"/>
        <v>0</v>
      </c>
      <c r="AM72" s="152">
        <f t="shared" si="135"/>
        <v>0</v>
      </c>
      <c r="AN72" s="152">
        <f t="shared" si="135"/>
        <v>0</v>
      </c>
      <c r="AO72" s="152">
        <f t="shared" si="135"/>
        <v>0</v>
      </c>
      <c r="AP72" s="152">
        <f t="shared" si="135"/>
        <v>0</v>
      </c>
    </row>
    <row r="73" spans="1:42">
      <c r="A73" s="180"/>
      <c r="B73" s="152"/>
      <c r="C73" s="152"/>
      <c r="D73" s="152"/>
      <c r="E73" s="152"/>
      <c r="F73" s="152"/>
      <c r="G73" s="152"/>
      <c r="H73" s="152"/>
      <c r="I73" s="152"/>
      <c r="J73" s="152"/>
      <c r="K73" s="152"/>
      <c r="L73" s="152"/>
      <c r="M73" s="152"/>
      <c r="N73" s="152"/>
      <c r="O73" s="152"/>
      <c r="P73" s="152"/>
      <c r="Q73" s="152"/>
      <c r="R73" s="152"/>
      <c r="S73" s="152"/>
      <c r="T73" s="152"/>
      <c r="U73" s="152"/>
      <c r="V73" s="152"/>
      <c r="W73" s="152"/>
      <c r="X73" s="152"/>
      <c r="Y73" s="152"/>
      <c r="Z73" s="152"/>
      <c r="AA73" s="152"/>
      <c r="AB73" s="152"/>
      <c r="AC73" s="152"/>
      <c r="AD73" s="152"/>
      <c r="AE73" s="152"/>
      <c r="AF73" s="152"/>
      <c r="AG73" s="152"/>
      <c r="AH73" s="152"/>
      <c r="AI73" s="152"/>
      <c r="AJ73" s="152"/>
      <c r="AK73" s="152"/>
      <c r="AL73" s="152"/>
      <c r="AM73" s="152"/>
      <c r="AN73" s="152"/>
      <c r="AO73" s="152"/>
      <c r="AP73" s="152"/>
    </row>
    <row r="74" spans="1:42">
      <c r="A74" s="182" t="s">
        <v>186</v>
      </c>
      <c r="B74" s="152"/>
      <c r="C74" s="152"/>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2"/>
      <c r="AB74" s="152"/>
      <c r="AC74" s="152"/>
      <c r="AD74" s="152"/>
      <c r="AE74" s="152"/>
      <c r="AF74" s="152"/>
      <c r="AG74" s="152"/>
      <c r="AH74" s="152"/>
      <c r="AI74" s="152"/>
      <c r="AJ74" s="152"/>
      <c r="AK74" s="152"/>
      <c r="AL74" s="152"/>
      <c r="AM74" s="152"/>
      <c r="AN74" s="152"/>
      <c r="AO74" s="152"/>
      <c r="AP74" s="152"/>
    </row>
    <row r="75" spans="1:42">
      <c r="A75" s="180" t="s">
        <v>204</v>
      </c>
      <c r="B75" s="152"/>
      <c r="C75" s="152"/>
      <c r="D75" s="152"/>
      <c r="E75" s="152"/>
      <c r="F75" s="152"/>
      <c r="G75" s="152"/>
      <c r="H75" s="152"/>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c r="AL75" s="152"/>
      <c r="AM75" s="152"/>
      <c r="AN75" s="152"/>
      <c r="AO75" s="152"/>
      <c r="AP75" s="152"/>
    </row>
    <row r="76" spans="1:42">
      <c r="A76" s="184" t="s">
        <v>205</v>
      </c>
      <c r="B76" s="152">
        <f>'Inputs &amp; Results'!C166+'Inputs &amp; Results'!C167</f>
        <v>6641229.75</v>
      </c>
      <c r="C76" s="152">
        <v>0</v>
      </c>
      <c r="D76" s="152">
        <v>0</v>
      </c>
      <c r="E76" s="152">
        <v>0</v>
      </c>
      <c r="F76" s="152">
        <v>0</v>
      </c>
      <c r="G76" s="152">
        <v>0</v>
      </c>
      <c r="H76" s="152">
        <v>0</v>
      </c>
      <c r="I76" s="152">
        <v>0</v>
      </c>
      <c r="J76" s="152">
        <v>0</v>
      </c>
      <c r="K76" s="152">
        <v>0</v>
      </c>
      <c r="L76" s="152">
        <v>0</v>
      </c>
      <c r="M76" s="152">
        <v>0</v>
      </c>
      <c r="N76" s="152">
        <v>0</v>
      </c>
      <c r="O76" s="152">
        <v>0</v>
      </c>
      <c r="P76" s="152">
        <v>0</v>
      </c>
      <c r="Q76" s="152">
        <v>0</v>
      </c>
      <c r="R76" s="152">
        <v>0</v>
      </c>
      <c r="S76" s="152">
        <v>0</v>
      </c>
      <c r="T76" s="152">
        <v>0</v>
      </c>
      <c r="U76" s="152">
        <v>0</v>
      </c>
      <c r="V76" s="152">
        <v>0</v>
      </c>
      <c r="W76" s="152">
        <v>0</v>
      </c>
      <c r="X76" s="152">
        <v>0</v>
      </c>
      <c r="Y76" s="152">
        <v>0</v>
      </c>
      <c r="Z76" s="152">
        <v>0</v>
      </c>
      <c r="AA76" s="152">
        <v>0</v>
      </c>
      <c r="AB76" s="152">
        <v>0</v>
      </c>
      <c r="AC76" s="152">
        <v>0</v>
      </c>
      <c r="AD76" s="152">
        <v>0</v>
      </c>
      <c r="AE76" s="152">
        <v>0</v>
      </c>
      <c r="AF76" s="152">
        <v>0</v>
      </c>
      <c r="AG76" s="152">
        <v>0</v>
      </c>
      <c r="AH76" s="152">
        <v>0</v>
      </c>
      <c r="AI76" s="152">
        <v>0</v>
      </c>
      <c r="AJ76" s="152">
        <v>0</v>
      </c>
      <c r="AK76" s="152">
        <v>0</v>
      </c>
      <c r="AL76" s="152">
        <v>0</v>
      </c>
      <c r="AM76" s="152">
        <v>0</v>
      </c>
      <c r="AN76" s="152">
        <v>0</v>
      </c>
      <c r="AO76" s="152">
        <v>0</v>
      </c>
      <c r="AP76" s="152">
        <v>0</v>
      </c>
    </row>
    <row r="77" spans="1:42">
      <c r="A77" s="184" t="s">
        <v>180</v>
      </c>
      <c r="B77" s="187">
        <f>'Inputs &amp; Results'!C168</f>
        <v>7150000</v>
      </c>
      <c r="C77" s="187">
        <v>0</v>
      </c>
      <c r="D77" s="187">
        <v>0</v>
      </c>
      <c r="E77" s="187">
        <v>0</v>
      </c>
      <c r="F77" s="187">
        <v>0</v>
      </c>
      <c r="G77" s="187">
        <v>0</v>
      </c>
      <c r="H77" s="187">
        <v>0</v>
      </c>
      <c r="I77" s="187">
        <v>0</v>
      </c>
      <c r="J77" s="187">
        <v>0</v>
      </c>
      <c r="K77" s="187">
        <v>0</v>
      </c>
      <c r="L77" s="187">
        <v>0</v>
      </c>
      <c r="M77" s="187">
        <v>0</v>
      </c>
      <c r="N77" s="187">
        <v>0</v>
      </c>
      <c r="O77" s="187">
        <v>0</v>
      </c>
      <c r="P77" s="187">
        <v>0</v>
      </c>
      <c r="Q77" s="187">
        <v>0</v>
      </c>
      <c r="R77" s="187">
        <v>0</v>
      </c>
      <c r="S77" s="187">
        <v>0</v>
      </c>
      <c r="T77" s="187">
        <v>0</v>
      </c>
      <c r="U77" s="187">
        <v>0</v>
      </c>
      <c r="V77" s="187">
        <v>0</v>
      </c>
      <c r="W77" s="187">
        <v>0</v>
      </c>
      <c r="X77" s="187">
        <v>0</v>
      </c>
      <c r="Y77" s="187">
        <v>0</v>
      </c>
      <c r="Z77" s="187">
        <v>0</v>
      </c>
      <c r="AA77" s="187">
        <v>0</v>
      </c>
      <c r="AB77" s="187">
        <v>0</v>
      </c>
      <c r="AC77" s="187">
        <v>0</v>
      </c>
      <c r="AD77" s="187">
        <v>0</v>
      </c>
      <c r="AE77" s="187">
        <v>0</v>
      </c>
      <c r="AF77" s="187">
        <v>0</v>
      </c>
      <c r="AG77" s="187">
        <v>0</v>
      </c>
      <c r="AH77" s="187">
        <v>0</v>
      </c>
      <c r="AI77" s="187">
        <v>0</v>
      </c>
      <c r="AJ77" s="187">
        <v>0</v>
      </c>
      <c r="AK77" s="187">
        <v>0</v>
      </c>
      <c r="AL77" s="187">
        <v>0</v>
      </c>
      <c r="AM77" s="187">
        <v>0</v>
      </c>
      <c r="AN77" s="187">
        <v>0</v>
      </c>
      <c r="AO77" s="187">
        <v>0</v>
      </c>
      <c r="AP77" s="187">
        <v>0</v>
      </c>
    </row>
    <row r="78" spans="1:42">
      <c r="A78" s="184" t="s">
        <v>53</v>
      </c>
      <c r="B78" s="152">
        <f>SUM(B76:B77)</f>
        <v>13791229.75</v>
      </c>
      <c r="C78" s="152">
        <f t="shared" ref="C78:F78" si="136">SUM(C76:C77)</f>
        <v>0</v>
      </c>
      <c r="D78" s="152">
        <f t="shared" si="136"/>
        <v>0</v>
      </c>
      <c r="E78" s="152">
        <f t="shared" si="136"/>
        <v>0</v>
      </c>
      <c r="F78" s="152">
        <f t="shared" si="136"/>
        <v>0</v>
      </c>
      <c r="G78" s="152">
        <f t="shared" ref="G78" si="137">SUM(G76:G77)</f>
        <v>0</v>
      </c>
      <c r="H78" s="152">
        <f t="shared" ref="H78" si="138">SUM(H76:H77)</f>
        <v>0</v>
      </c>
      <c r="I78" s="152">
        <f t="shared" ref="I78" si="139">SUM(I76:I77)</f>
        <v>0</v>
      </c>
      <c r="J78" s="152">
        <f t="shared" ref="J78" si="140">SUM(J76:J77)</f>
        <v>0</v>
      </c>
      <c r="K78" s="152">
        <f t="shared" ref="K78" si="141">SUM(K76:K77)</f>
        <v>0</v>
      </c>
      <c r="L78" s="152">
        <f t="shared" ref="L78" si="142">SUM(L76:L77)</f>
        <v>0</v>
      </c>
      <c r="M78" s="152">
        <f t="shared" ref="M78" si="143">SUM(M76:M77)</f>
        <v>0</v>
      </c>
      <c r="N78" s="152">
        <f t="shared" ref="N78" si="144">SUM(N76:N77)</f>
        <v>0</v>
      </c>
      <c r="O78" s="152">
        <f t="shared" ref="O78" si="145">SUM(O76:O77)</f>
        <v>0</v>
      </c>
      <c r="P78" s="152">
        <f t="shared" ref="P78" si="146">SUM(P76:P77)</f>
        <v>0</v>
      </c>
      <c r="Q78" s="152">
        <f t="shared" ref="Q78" si="147">SUM(Q76:Q77)</f>
        <v>0</v>
      </c>
      <c r="R78" s="152">
        <f t="shared" ref="R78" si="148">SUM(R76:R77)</f>
        <v>0</v>
      </c>
      <c r="S78" s="152">
        <f t="shared" ref="S78" si="149">SUM(S76:S77)</f>
        <v>0</v>
      </c>
      <c r="T78" s="152">
        <f t="shared" ref="T78" si="150">SUM(T76:T77)</f>
        <v>0</v>
      </c>
      <c r="U78" s="152">
        <f t="shared" ref="U78" si="151">SUM(U76:U77)</f>
        <v>0</v>
      </c>
      <c r="V78" s="152">
        <f t="shared" ref="V78" si="152">SUM(V76:V77)</f>
        <v>0</v>
      </c>
      <c r="W78" s="152">
        <f t="shared" ref="W78" si="153">SUM(W76:W77)</f>
        <v>0</v>
      </c>
      <c r="X78" s="152">
        <f t="shared" ref="X78" si="154">SUM(X76:X77)</f>
        <v>0</v>
      </c>
      <c r="Y78" s="152">
        <f t="shared" ref="Y78" si="155">SUM(Y76:Y77)</f>
        <v>0</v>
      </c>
      <c r="Z78" s="152">
        <f t="shared" ref="Z78" si="156">SUM(Z76:Z77)</f>
        <v>0</v>
      </c>
      <c r="AA78" s="152">
        <f t="shared" ref="AA78" si="157">SUM(AA76:AA77)</f>
        <v>0</v>
      </c>
      <c r="AB78" s="152">
        <f t="shared" ref="AB78" si="158">SUM(AB76:AB77)</f>
        <v>0</v>
      </c>
      <c r="AC78" s="152">
        <f t="shared" ref="AC78" si="159">SUM(AC76:AC77)</f>
        <v>0</v>
      </c>
      <c r="AD78" s="152">
        <f t="shared" ref="AD78" si="160">SUM(AD76:AD77)</f>
        <v>0</v>
      </c>
      <c r="AE78" s="152">
        <f t="shared" ref="AE78" si="161">SUM(AE76:AE77)</f>
        <v>0</v>
      </c>
      <c r="AF78" s="152">
        <f t="shared" ref="AF78" si="162">SUM(AF76:AF77)</f>
        <v>0</v>
      </c>
      <c r="AG78" s="152">
        <f t="shared" ref="AG78" si="163">SUM(AG76:AG77)</f>
        <v>0</v>
      </c>
      <c r="AH78" s="152">
        <f t="shared" ref="AH78" si="164">SUM(AH76:AH77)</f>
        <v>0</v>
      </c>
      <c r="AI78" s="152">
        <f t="shared" ref="AI78" si="165">SUM(AI76:AI77)</f>
        <v>0</v>
      </c>
      <c r="AJ78" s="152">
        <f t="shared" ref="AJ78" si="166">SUM(AJ76:AJ77)</f>
        <v>0</v>
      </c>
      <c r="AK78" s="152">
        <f t="shared" ref="AK78" si="167">SUM(AK76:AK77)</f>
        <v>0</v>
      </c>
      <c r="AL78" s="152">
        <f t="shared" ref="AL78" si="168">SUM(AL76:AL77)</f>
        <v>0</v>
      </c>
      <c r="AM78" s="152">
        <f t="shared" ref="AM78" si="169">SUM(AM76:AM77)</f>
        <v>0</v>
      </c>
      <c r="AN78" s="152">
        <f t="shared" ref="AN78" si="170">SUM(AN76:AN77)</f>
        <v>0</v>
      </c>
      <c r="AO78" s="152">
        <f t="shared" ref="AO78" si="171">SUM(AO76:AO77)</f>
        <v>0</v>
      </c>
      <c r="AP78" s="152">
        <f t="shared" ref="AP78" si="172">SUM(AP76:AP77)</f>
        <v>0</v>
      </c>
    </row>
    <row r="79" spans="1:42">
      <c r="A79" s="180" t="s">
        <v>375</v>
      </c>
      <c r="B79" s="152">
        <f>'Inputs &amp; Results'!$C$164</f>
        <v>9660967.97514797</v>
      </c>
      <c r="C79" s="152">
        <v>0</v>
      </c>
      <c r="D79" s="152">
        <v>0</v>
      </c>
      <c r="E79" s="152">
        <v>0</v>
      </c>
      <c r="F79" s="152">
        <v>0</v>
      </c>
      <c r="G79" s="152">
        <v>0</v>
      </c>
      <c r="H79" s="152">
        <v>0</v>
      </c>
      <c r="I79" s="152">
        <v>0</v>
      </c>
      <c r="J79" s="152">
        <v>0</v>
      </c>
      <c r="K79" s="152">
        <v>0</v>
      </c>
      <c r="L79" s="152">
        <v>0</v>
      </c>
      <c r="M79" s="152">
        <v>0</v>
      </c>
      <c r="N79" s="152">
        <v>0</v>
      </c>
      <c r="O79" s="152">
        <v>0</v>
      </c>
      <c r="P79" s="152">
        <v>0</v>
      </c>
      <c r="Q79" s="152">
        <v>0</v>
      </c>
      <c r="R79" s="152">
        <v>0</v>
      </c>
      <c r="S79" s="152">
        <v>0</v>
      </c>
      <c r="T79" s="152">
        <v>0</v>
      </c>
      <c r="U79" s="152">
        <v>0</v>
      </c>
      <c r="V79" s="152">
        <v>0</v>
      </c>
      <c r="W79" s="152">
        <v>0</v>
      </c>
      <c r="X79" s="152">
        <v>0</v>
      </c>
      <c r="Y79" s="152">
        <v>0</v>
      </c>
      <c r="Z79" s="152">
        <v>0</v>
      </c>
      <c r="AA79" s="152">
        <v>0</v>
      </c>
      <c r="AB79" s="152">
        <v>0</v>
      </c>
      <c r="AC79" s="152">
        <v>0</v>
      </c>
      <c r="AD79" s="152">
        <v>0</v>
      </c>
      <c r="AE79" s="152">
        <v>0</v>
      </c>
      <c r="AF79" s="152">
        <v>0</v>
      </c>
      <c r="AG79" s="152">
        <v>0</v>
      </c>
      <c r="AH79" s="152">
        <v>0</v>
      </c>
      <c r="AI79" s="152">
        <v>0</v>
      </c>
      <c r="AJ79" s="152">
        <v>0</v>
      </c>
      <c r="AK79" s="152">
        <v>0</v>
      </c>
      <c r="AL79" s="152">
        <v>0</v>
      </c>
      <c r="AM79" s="152">
        <v>0</v>
      </c>
      <c r="AN79" s="152">
        <v>0</v>
      </c>
      <c r="AO79" s="152">
        <v>0</v>
      </c>
      <c r="AP79" s="152">
        <v>0</v>
      </c>
    </row>
    <row r="80" spans="1:42">
      <c r="A80" s="180" t="s">
        <v>187</v>
      </c>
      <c r="B80" s="187">
        <f>'Inputs &amp; Results'!C165</f>
        <v>21034688.385035049</v>
      </c>
      <c r="C80" s="187">
        <f>-C617</f>
        <v>-1172446.7076380725</v>
      </c>
      <c r="D80" s="187">
        <f t="shared" ref="D80:AP80" si="173">-D617</f>
        <v>-1334474.8227685418</v>
      </c>
      <c r="E80" s="187">
        <f t="shared" si="173"/>
        <v>-1511037.2831652183</v>
      </c>
      <c r="F80" s="187">
        <f t="shared" si="173"/>
        <v>-1702334.5157094004</v>
      </c>
      <c r="G80" s="187">
        <f t="shared" si="173"/>
        <v>-1911721.3972630883</v>
      </c>
      <c r="H80" s="187">
        <f t="shared" si="173"/>
        <v>-2139700.8509422187</v>
      </c>
      <c r="I80" s="187">
        <f t="shared" si="173"/>
        <v>-2386770.9304525191</v>
      </c>
      <c r="J80" s="187">
        <f t="shared" si="173"/>
        <v>-2656752.7487067729</v>
      </c>
      <c r="K80" s="187">
        <f t="shared" si="173"/>
        <v>-2950511.7954351865</v>
      </c>
      <c r="L80" s="187">
        <f t="shared" si="173"/>
        <v>-3268937.3329540272</v>
      </c>
      <c r="M80" s="187">
        <f t="shared" si="173"/>
        <v>0</v>
      </c>
      <c r="N80" s="187">
        <f t="shared" si="173"/>
        <v>0</v>
      </c>
      <c r="O80" s="187">
        <f t="shared" si="173"/>
        <v>0</v>
      </c>
      <c r="P80" s="187">
        <f t="shared" si="173"/>
        <v>0</v>
      </c>
      <c r="Q80" s="187">
        <f t="shared" si="173"/>
        <v>0</v>
      </c>
      <c r="R80" s="187">
        <f t="shared" si="173"/>
        <v>0</v>
      </c>
      <c r="S80" s="187">
        <f t="shared" si="173"/>
        <v>0</v>
      </c>
      <c r="T80" s="187">
        <f t="shared" si="173"/>
        <v>0</v>
      </c>
      <c r="U80" s="187">
        <f t="shared" si="173"/>
        <v>0</v>
      </c>
      <c r="V80" s="187">
        <f t="shared" si="173"/>
        <v>0</v>
      </c>
      <c r="W80" s="187">
        <f t="shared" si="173"/>
        <v>0</v>
      </c>
      <c r="X80" s="187">
        <f t="shared" si="173"/>
        <v>0</v>
      </c>
      <c r="Y80" s="187">
        <f t="shared" si="173"/>
        <v>0</v>
      </c>
      <c r="Z80" s="187">
        <f t="shared" si="173"/>
        <v>0</v>
      </c>
      <c r="AA80" s="187">
        <f t="shared" si="173"/>
        <v>0</v>
      </c>
      <c r="AB80" s="187">
        <f t="shared" si="173"/>
        <v>0</v>
      </c>
      <c r="AC80" s="187">
        <f t="shared" si="173"/>
        <v>0</v>
      </c>
      <c r="AD80" s="187">
        <f t="shared" si="173"/>
        <v>0</v>
      </c>
      <c r="AE80" s="187">
        <f t="shared" si="173"/>
        <v>0</v>
      </c>
      <c r="AF80" s="187">
        <f t="shared" si="173"/>
        <v>0</v>
      </c>
      <c r="AG80" s="187">
        <f t="shared" si="173"/>
        <v>0</v>
      </c>
      <c r="AH80" s="187">
        <f t="shared" si="173"/>
        <v>0</v>
      </c>
      <c r="AI80" s="187">
        <f t="shared" si="173"/>
        <v>0</v>
      </c>
      <c r="AJ80" s="187">
        <f t="shared" si="173"/>
        <v>0</v>
      </c>
      <c r="AK80" s="187">
        <f t="shared" si="173"/>
        <v>0</v>
      </c>
      <c r="AL80" s="187">
        <f t="shared" si="173"/>
        <v>0</v>
      </c>
      <c r="AM80" s="187">
        <f t="shared" si="173"/>
        <v>0</v>
      </c>
      <c r="AN80" s="187">
        <f t="shared" si="173"/>
        <v>0</v>
      </c>
      <c r="AO80" s="187">
        <f t="shared" si="173"/>
        <v>0</v>
      </c>
      <c r="AP80" s="187">
        <f t="shared" si="173"/>
        <v>0</v>
      </c>
    </row>
    <row r="81" spans="1:42">
      <c r="A81" s="180" t="s">
        <v>53</v>
      </c>
      <c r="B81" s="187">
        <f>SUM(B78:B80)</f>
        <v>44486886.110183015</v>
      </c>
      <c r="C81" s="194">
        <f>SUM(C78:C80)</f>
        <v>-1172446.7076380725</v>
      </c>
      <c r="D81" s="194">
        <f t="shared" ref="D81:AP81" si="174">SUM(D78:D80)</f>
        <v>-1334474.8227685418</v>
      </c>
      <c r="E81" s="194">
        <f t="shared" si="174"/>
        <v>-1511037.2831652183</v>
      </c>
      <c r="F81" s="194">
        <f t="shared" si="174"/>
        <v>-1702334.5157094004</v>
      </c>
      <c r="G81" s="194">
        <f t="shared" si="174"/>
        <v>-1911721.3972630883</v>
      </c>
      <c r="H81" s="194">
        <f t="shared" si="174"/>
        <v>-2139700.8509422187</v>
      </c>
      <c r="I81" s="194">
        <f t="shared" si="174"/>
        <v>-2386770.9304525191</v>
      </c>
      <c r="J81" s="194">
        <f t="shared" si="174"/>
        <v>-2656752.7487067729</v>
      </c>
      <c r="K81" s="194">
        <f t="shared" si="174"/>
        <v>-2950511.7954351865</v>
      </c>
      <c r="L81" s="194">
        <f t="shared" si="174"/>
        <v>-3268937.3329540272</v>
      </c>
      <c r="M81" s="194">
        <f t="shared" si="174"/>
        <v>0</v>
      </c>
      <c r="N81" s="194">
        <f t="shared" si="174"/>
        <v>0</v>
      </c>
      <c r="O81" s="194">
        <f t="shared" si="174"/>
        <v>0</v>
      </c>
      <c r="P81" s="194">
        <f t="shared" si="174"/>
        <v>0</v>
      </c>
      <c r="Q81" s="194">
        <f t="shared" si="174"/>
        <v>0</v>
      </c>
      <c r="R81" s="194">
        <f t="shared" si="174"/>
        <v>0</v>
      </c>
      <c r="S81" s="194">
        <f t="shared" si="174"/>
        <v>0</v>
      </c>
      <c r="T81" s="194">
        <f t="shared" si="174"/>
        <v>0</v>
      </c>
      <c r="U81" s="194">
        <f t="shared" si="174"/>
        <v>0</v>
      </c>
      <c r="V81" s="194">
        <f t="shared" si="174"/>
        <v>0</v>
      </c>
      <c r="W81" s="194">
        <f t="shared" si="174"/>
        <v>0</v>
      </c>
      <c r="X81" s="194">
        <f t="shared" si="174"/>
        <v>0</v>
      </c>
      <c r="Y81" s="194">
        <f t="shared" si="174"/>
        <v>0</v>
      </c>
      <c r="Z81" s="194">
        <f t="shared" si="174"/>
        <v>0</v>
      </c>
      <c r="AA81" s="194">
        <f t="shared" si="174"/>
        <v>0</v>
      </c>
      <c r="AB81" s="194">
        <f t="shared" si="174"/>
        <v>0</v>
      </c>
      <c r="AC81" s="194">
        <f t="shared" si="174"/>
        <v>0</v>
      </c>
      <c r="AD81" s="194">
        <f t="shared" si="174"/>
        <v>0</v>
      </c>
      <c r="AE81" s="194">
        <f t="shared" si="174"/>
        <v>0</v>
      </c>
      <c r="AF81" s="194">
        <f t="shared" si="174"/>
        <v>0</v>
      </c>
      <c r="AG81" s="194">
        <f t="shared" si="174"/>
        <v>0</v>
      </c>
      <c r="AH81" s="194">
        <f t="shared" si="174"/>
        <v>0</v>
      </c>
      <c r="AI81" s="194">
        <f t="shared" si="174"/>
        <v>0</v>
      </c>
      <c r="AJ81" s="194">
        <f t="shared" si="174"/>
        <v>0</v>
      </c>
      <c r="AK81" s="194">
        <f t="shared" si="174"/>
        <v>0</v>
      </c>
      <c r="AL81" s="194">
        <f t="shared" si="174"/>
        <v>0</v>
      </c>
      <c r="AM81" s="194">
        <f t="shared" si="174"/>
        <v>0</v>
      </c>
      <c r="AN81" s="194">
        <f t="shared" si="174"/>
        <v>0</v>
      </c>
      <c r="AO81" s="194">
        <f t="shared" si="174"/>
        <v>0</v>
      </c>
      <c r="AP81" s="194">
        <f t="shared" si="174"/>
        <v>0</v>
      </c>
    </row>
    <row r="82" spans="1:42" ht="13.5" thickBot="1">
      <c r="A82" s="182" t="s">
        <v>188</v>
      </c>
      <c r="B82" s="193">
        <f t="shared" ref="B82:AP82" si="175">B56+B72+B81</f>
        <v>0</v>
      </c>
      <c r="C82" s="193">
        <f t="shared" si="175"/>
        <v>1477540.9958706123</v>
      </c>
      <c r="D82" s="193">
        <f t="shared" si="175"/>
        <v>1520971.6412364102</v>
      </c>
      <c r="E82" s="193">
        <f t="shared" si="175"/>
        <v>1565307.427685882</v>
      </c>
      <c r="F82" s="193">
        <f t="shared" si="175"/>
        <v>1606650.2022038891</v>
      </c>
      <c r="G82" s="193">
        <f t="shared" si="175"/>
        <v>1651271.3693161826</v>
      </c>
      <c r="H82" s="193">
        <f t="shared" si="175"/>
        <v>1696837.9910005755</v>
      </c>
      <c r="I82" s="193">
        <f t="shared" si="175"/>
        <v>1739273.8302111751</v>
      </c>
      <c r="J82" s="193">
        <f t="shared" si="175"/>
        <v>1785136.7358018309</v>
      </c>
      <c r="K82" s="193">
        <f t="shared" si="175"/>
        <v>1831987.1811776012</v>
      </c>
      <c r="L82" s="193">
        <f t="shared" si="175"/>
        <v>3683775.1054297392</v>
      </c>
      <c r="M82" s="193">
        <f t="shared" si="175"/>
        <v>5542747.798423213</v>
      </c>
      <c r="N82" s="193">
        <f t="shared" si="175"/>
        <v>5660652.8641394479</v>
      </c>
      <c r="O82" s="193">
        <f t="shared" si="175"/>
        <v>5676476.4470181772</v>
      </c>
      <c r="P82" s="193">
        <f t="shared" si="175"/>
        <v>5797900.7440170366</v>
      </c>
      <c r="Q82" s="193">
        <f t="shared" si="175"/>
        <v>5920676.876443659</v>
      </c>
      <c r="R82" s="193">
        <f t="shared" si="175"/>
        <v>5830272.5439887578</v>
      </c>
      <c r="S82" s="193">
        <f t="shared" si="175"/>
        <v>5957640.3403120302</v>
      </c>
      <c r="T82" s="193">
        <f t="shared" si="175"/>
        <v>6086417.6814778429</v>
      </c>
      <c r="U82" s="193">
        <f t="shared" si="175"/>
        <v>6212409.1331831207</v>
      </c>
      <c r="V82" s="193">
        <f t="shared" si="175"/>
        <v>6344099.4214129075</v>
      </c>
      <c r="W82" s="193">
        <f t="shared" si="175"/>
        <v>6477259.3264539875</v>
      </c>
      <c r="X82" s="193">
        <f t="shared" si="175"/>
        <v>6593170.7559406739</v>
      </c>
      <c r="Y82" s="193">
        <f t="shared" si="175"/>
        <v>6715036.8291703193</v>
      </c>
      <c r="Z82" s="193">
        <f t="shared" si="175"/>
        <v>6838435.0430110116</v>
      </c>
      <c r="AA82" s="193">
        <f t="shared" si="175"/>
        <v>7190573.1334289648</v>
      </c>
      <c r="AB82" s="193">
        <f t="shared" si="175"/>
        <v>7312002.9393027928</v>
      </c>
      <c r="AC82" s="193">
        <f t="shared" si="175"/>
        <v>7435029.9534945153</v>
      </c>
      <c r="AD82" s="193">
        <f t="shared" si="175"/>
        <v>7554856.8392437501</v>
      </c>
      <c r="AE82" s="193">
        <f t="shared" si="175"/>
        <v>7681184.6208526259</v>
      </c>
      <c r="AF82" s="193">
        <f t="shared" si="175"/>
        <v>11981892.317308005</v>
      </c>
      <c r="AG82" s="193">
        <f t="shared" si="175"/>
        <v>0</v>
      </c>
      <c r="AH82" s="193">
        <f t="shared" si="175"/>
        <v>0</v>
      </c>
      <c r="AI82" s="193">
        <f t="shared" si="175"/>
        <v>0</v>
      </c>
      <c r="AJ82" s="193">
        <f t="shared" si="175"/>
        <v>0</v>
      </c>
      <c r="AK82" s="193">
        <f t="shared" si="175"/>
        <v>0</v>
      </c>
      <c r="AL82" s="193">
        <f t="shared" si="175"/>
        <v>0</v>
      </c>
      <c r="AM82" s="193">
        <f t="shared" si="175"/>
        <v>0</v>
      </c>
      <c r="AN82" s="193">
        <f t="shared" si="175"/>
        <v>0</v>
      </c>
      <c r="AO82" s="193">
        <f t="shared" si="175"/>
        <v>0</v>
      </c>
      <c r="AP82" s="193">
        <f t="shared" si="175"/>
        <v>0</v>
      </c>
    </row>
    <row r="83" spans="1:42" ht="13.5" thickTop="1">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79" t="s">
        <v>246</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c r="A85" s="195" t="s">
        <v>213</v>
      </c>
      <c r="B85" s="152"/>
      <c r="C85" s="152"/>
      <c r="D85" s="152"/>
      <c r="E85" s="152"/>
      <c r="F85" s="152"/>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row>
    <row r="86" spans="1:42">
      <c r="A86" s="180" t="s">
        <v>214</v>
      </c>
      <c r="B86" s="186">
        <f>-B79</f>
        <v>-9660967.97514797</v>
      </c>
      <c r="C86" s="186">
        <f t="shared" ref="C86:G86" si="176">-C79</f>
        <v>0</v>
      </c>
      <c r="D86" s="186">
        <f t="shared" si="176"/>
        <v>0</v>
      </c>
      <c r="E86" s="186">
        <f t="shared" si="176"/>
        <v>0</v>
      </c>
      <c r="F86" s="186">
        <f t="shared" si="176"/>
        <v>0</v>
      </c>
      <c r="G86" s="186">
        <f t="shared" si="176"/>
        <v>0</v>
      </c>
      <c r="H86" s="186">
        <f t="shared" ref="H86:AP86" si="177">-H79</f>
        <v>0</v>
      </c>
      <c r="I86" s="186">
        <f t="shared" si="177"/>
        <v>0</v>
      </c>
      <c r="J86" s="186">
        <f t="shared" si="177"/>
        <v>0</v>
      </c>
      <c r="K86" s="186">
        <f t="shared" si="177"/>
        <v>0</v>
      </c>
      <c r="L86" s="186">
        <f t="shared" si="177"/>
        <v>0</v>
      </c>
      <c r="M86" s="186">
        <f t="shared" si="177"/>
        <v>0</v>
      </c>
      <c r="N86" s="186">
        <f t="shared" si="177"/>
        <v>0</v>
      </c>
      <c r="O86" s="186">
        <f t="shared" si="177"/>
        <v>0</v>
      </c>
      <c r="P86" s="186">
        <f t="shared" si="177"/>
        <v>0</v>
      </c>
      <c r="Q86" s="186">
        <f t="shared" si="177"/>
        <v>0</v>
      </c>
      <c r="R86" s="186">
        <f t="shared" si="177"/>
        <v>0</v>
      </c>
      <c r="S86" s="186">
        <f t="shared" si="177"/>
        <v>0</v>
      </c>
      <c r="T86" s="186">
        <f t="shared" si="177"/>
        <v>0</v>
      </c>
      <c r="U86" s="186">
        <f t="shared" si="177"/>
        <v>0</v>
      </c>
      <c r="V86" s="186">
        <f t="shared" si="177"/>
        <v>0</v>
      </c>
      <c r="W86" s="186">
        <f t="shared" si="177"/>
        <v>0</v>
      </c>
      <c r="X86" s="186">
        <f t="shared" si="177"/>
        <v>0</v>
      </c>
      <c r="Y86" s="186">
        <f t="shared" si="177"/>
        <v>0</v>
      </c>
      <c r="Z86" s="186">
        <f t="shared" si="177"/>
        <v>0</v>
      </c>
      <c r="AA86" s="186">
        <f t="shared" si="177"/>
        <v>0</v>
      </c>
      <c r="AB86" s="186">
        <f t="shared" si="177"/>
        <v>0</v>
      </c>
      <c r="AC86" s="186">
        <f t="shared" si="177"/>
        <v>0</v>
      </c>
      <c r="AD86" s="186">
        <f t="shared" si="177"/>
        <v>0</v>
      </c>
      <c r="AE86" s="186">
        <f t="shared" si="177"/>
        <v>0</v>
      </c>
      <c r="AF86" s="186">
        <f t="shared" si="177"/>
        <v>0</v>
      </c>
      <c r="AG86" s="186">
        <f t="shared" si="177"/>
        <v>0</v>
      </c>
      <c r="AH86" s="186">
        <f t="shared" si="177"/>
        <v>0</v>
      </c>
      <c r="AI86" s="186">
        <f t="shared" si="177"/>
        <v>0</v>
      </c>
      <c r="AJ86" s="186">
        <f t="shared" si="177"/>
        <v>0</v>
      </c>
      <c r="AK86" s="186">
        <f t="shared" si="177"/>
        <v>0</v>
      </c>
      <c r="AL86" s="186">
        <f t="shared" si="177"/>
        <v>0</v>
      </c>
      <c r="AM86" s="186">
        <f t="shared" si="177"/>
        <v>0</v>
      </c>
      <c r="AN86" s="186">
        <f t="shared" si="177"/>
        <v>0</v>
      </c>
      <c r="AO86" s="186">
        <f t="shared" si="177"/>
        <v>0</v>
      </c>
      <c r="AP86" s="186">
        <f t="shared" si="177"/>
        <v>0</v>
      </c>
    </row>
    <row r="87" spans="1:42">
      <c r="A87" s="180" t="s">
        <v>215</v>
      </c>
      <c r="B87" s="187">
        <f>B82</f>
        <v>0</v>
      </c>
      <c r="C87" s="187">
        <f t="shared" ref="C87:G87" si="178">C82</f>
        <v>1477540.9958706123</v>
      </c>
      <c r="D87" s="187">
        <f t="shared" si="178"/>
        <v>1520971.6412364102</v>
      </c>
      <c r="E87" s="187">
        <f t="shared" si="178"/>
        <v>1565307.427685882</v>
      </c>
      <c r="F87" s="187">
        <f t="shared" si="178"/>
        <v>1606650.2022038891</v>
      </c>
      <c r="G87" s="187">
        <f t="shared" si="178"/>
        <v>1651271.3693161826</v>
      </c>
      <c r="H87" s="187">
        <f t="shared" ref="H87:AP87" si="179">H82</f>
        <v>1696837.9910005755</v>
      </c>
      <c r="I87" s="187">
        <f t="shared" si="179"/>
        <v>1739273.8302111751</v>
      </c>
      <c r="J87" s="187">
        <f t="shared" si="179"/>
        <v>1785136.7358018309</v>
      </c>
      <c r="K87" s="187">
        <f t="shared" si="179"/>
        <v>1831987.1811776012</v>
      </c>
      <c r="L87" s="187">
        <f t="shared" si="179"/>
        <v>3683775.1054297392</v>
      </c>
      <c r="M87" s="187">
        <f t="shared" si="179"/>
        <v>5542747.798423213</v>
      </c>
      <c r="N87" s="187">
        <f t="shared" si="179"/>
        <v>5660652.8641394479</v>
      </c>
      <c r="O87" s="187">
        <f t="shared" si="179"/>
        <v>5676476.4470181772</v>
      </c>
      <c r="P87" s="187">
        <f t="shared" si="179"/>
        <v>5797900.7440170366</v>
      </c>
      <c r="Q87" s="187">
        <f t="shared" si="179"/>
        <v>5920676.876443659</v>
      </c>
      <c r="R87" s="187">
        <f t="shared" si="179"/>
        <v>5830272.5439887578</v>
      </c>
      <c r="S87" s="187">
        <f t="shared" si="179"/>
        <v>5957640.3403120302</v>
      </c>
      <c r="T87" s="187">
        <f t="shared" si="179"/>
        <v>6086417.6814778429</v>
      </c>
      <c r="U87" s="187">
        <f t="shared" si="179"/>
        <v>6212409.1331831207</v>
      </c>
      <c r="V87" s="187">
        <f t="shared" si="179"/>
        <v>6344099.4214129075</v>
      </c>
      <c r="W87" s="187">
        <f t="shared" si="179"/>
        <v>6477259.3264539875</v>
      </c>
      <c r="X87" s="187">
        <f t="shared" si="179"/>
        <v>6593170.7559406739</v>
      </c>
      <c r="Y87" s="187">
        <f t="shared" si="179"/>
        <v>6715036.8291703193</v>
      </c>
      <c r="Z87" s="187">
        <f t="shared" si="179"/>
        <v>6838435.0430110116</v>
      </c>
      <c r="AA87" s="187">
        <f t="shared" si="179"/>
        <v>7190573.1334289648</v>
      </c>
      <c r="AB87" s="187">
        <f t="shared" si="179"/>
        <v>7312002.9393027928</v>
      </c>
      <c r="AC87" s="187">
        <f t="shared" si="179"/>
        <v>7435029.9534945153</v>
      </c>
      <c r="AD87" s="187">
        <f t="shared" si="179"/>
        <v>7554856.8392437501</v>
      </c>
      <c r="AE87" s="187">
        <f t="shared" si="179"/>
        <v>7681184.6208526259</v>
      </c>
      <c r="AF87" s="187">
        <f t="shared" si="179"/>
        <v>11981892.317308005</v>
      </c>
      <c r="AG87" s="187">
        <f t="shared" si="179"/>
        <v>0</v>
      </c>
      <c r="AH87" s="187">
        <f t="shared" si="179"/>
        <v>0</v>
      </c>
      <c r="AI87" s="187">
        <f t="shared" si="179"/>
        <v>0</v>
      </c>
      <c r="AJ87" s="187">
        <f t="shared" si="179"/>
        <v>0</v>
      </c>
      <c r="AK87" s="187">
        <f t="shared" si="179"/>
        <v>0</v>
      </c>
      <c r="AL87" s="187">
        <f t="shared" si="179"/>
        <v>0</v>
      </c>
      <c r="AM87" s="187">
        <f t="shared" si="179"/>
        <v>0</v>
      </c>
      <c r="AN87" s="187">
        <f t="shared" si="179"/>
        <v>0</v>
      </c>
      <c r="AO87" s="187">
        <f t="shared" si="179"/>
        <v>0</v>
      </c>
      <c r="AP87" s="187">
        <f t="shared" si="179"/>
        <v>0</v>
      </c>
    </row>
    <row r="88" spans="1:42">
      <c r="A88" s="180" t="s">
        <v>53</v>
      </c>
      <c r="B88" s="152">
        <f>SUM(B86:B87)</f>
        <v>-9660967.97514797</v>
      </c>
      <c r="C88" s="152">
        <f t="shared" ref="C88:G88" si="180">SUM(C86:C87)</f>
        <v>1477540.9958706123</v>
      </c>
      <c r="D88" s="152">
        <f t="shared" si="180"/>
        <v>1520971.6412364102</v>
      </c>
      <c r="E88" s="152">
        <f t="shared" si="180"/>
        <v>1565307.427685882</v>
      </c>
      <c r="F88" s="152">
        <f t="shared" si="180"/>
        <v>1606650.2022038891</v>
      </c>
      <c r="G88" s="152">
        <f t="shared" si="180"/>
        <v>1651271.3693161826</v>
      </c>
      <c r="H88" s="152">
        <f t="shared" ref="H88" si="181">SUM(H86:H87)</f>
        <v>1696837.9910005755</v>
      </c>
      <c r="I88" s="152">
        <f t="shared" ref="I88" si="182">SUM(I86:I87)</f>
        <v>1739273.8302111751</v>
      </c>
      <c r="J88" s="152">
        <f t="shared" ref="J88" si="183">SUM(J86:J87)</f>
        <v>1785136.7358018309</v>
      </c>
      <c r="K88" s="152">
        <f t="shared" ref="K88:L88" si="184">SUM(K86:K87)</f>
        <v>1831987.1811776012</v>
      </c>
      <c r="L88" s="152">
        <f t="shared" si="184"/>
        <v>3683775.1054297392</v>
      </c>
      <c r="M88" s="152">
        <f t="shared" ref="M88" si="185">SUM(M86:M87)</f>
        <v>5542747.798423213</v>
      </c>
      <c r="N88" s="152">
        <f t="shared" ref="N88" si="186">SUM(N86:N87)</f>
        <v>5660652.8641394479</v>
      </c>
      <c r="O88" s="152">
        <f t="shared" ref="O88" si="187">SUM(O86:O87)</f>
        <v>5676476.4470181772</v>
      </c>
      <c r="P88" s="152">
        <f t="shared" ref="P88:Q88" si="188">SUM(P86:P87)</f>
        <v>5797900.7440170366</v>
      </c>
      <c r="Q88" s="152">
        <f t="shared" si="188"/>
        <v>5920676.876443659</v>
      </c>
      <c r="R88" s="152">
        <f t="shared" ref="R88" si="189">SUM(R86:R87)</f>
        <v>5830272.5439887578</v>
      </c>
      <c r="S88" s="152">
        <f t="shared" ref="S88" si="190">SUM(S86:S87)</f>
        <v>5957640.3403120302</v>
      </c>
      <c r="T88" s="152">
        <f t="shared" ref="T88" si="191">SUM(T86:T87)</f>
        <v>6086417.6814778429</v>
      </c>
      <c r="U88" s="152">
        <f t="shared" ref="U88:V88" si="192">SUM(U86:U87)</f>
        <v>6212409.1331831207</v>
      </c>
      <c r="V88" s="152">
        <f t="shared" si="192"/>
        <v>6344099.4214129075</v>
      </c>
      <c r="W88" s="152">
        <f t="shared" ref="W88" si="193">SUM(W86:W87)</f>
        <v>6477259.3264539875</v>
      </c>
      <c r="X88" s="152">
        <f t="shared" ref="X88" si="194">SUM(X86:X87)</f>
        <v>6593170.7559406739</v>
      </c>
      <c r="Y88" s="152">
        <f t="shared" ref="Y88" si="195">SUM(Y86:Y87)</f>
        <v>6715036.8291703193</v>
      </c>
      <c r="Z88" s="152">
        <f t="shared" ref="Z88:AA88" si="196">SUM(Z86:Z87)</f>
        <v>6838435.0430110116</v>
      </c>
      <c r="AA88" s="152">
        <f t="shared" si="196"/>
        <v>7190573.1334289648</v>
      </c>
      <c r="AB88" s="152">
        <f t="shared" ref="AB88" si="197">SUM(AB86:AB87)</f>
        <v>7312002.9393027928</v>
      </c>
      <c r="AC88" s="152">
        <f t="shared" ref="AC88" si="198">SUM(AC86:AC87)</f>
        <v>7435029.9534945153</v>
      </c>
      <c r="AD88" s="152">
        <f t="shared" ref="AD88" si="199">SUM(AD86:AD87)</f>
        <v>7554856.8392437501</v>
      </c>
      <c r="AE88" s="152">
        <f t="shared" ref="AE88:AF88" si="200">SUM(AE86:AE87)</f>
        <v>7681184.6208526259</v>
      </c>
      <c r="AF88" s="152">
        <f t="shared" si="200"/>
        <v>11981892.317308005</v>
      </c>
      <c r="AG88" s="152">
        <f t="shared" ref="AG88" si="201">SUM(AG86:AG87)</f>
        <v>0</v>
      </c>
      <c r="AH88" s="152">
        <f t="shared" ref="AH88" si="202">SUM(AH86:AH87)</f>
        <v>0</v>
      </c>
      <c r="AI88" s="152">
        <f t="shared" ref="AI88" si="203">SUM(AI86:AI87)</f>
        <v>0</v>
      </c>
      <c r="AJ88" s="152">
        <f t="shared" ref="AJ88:AK88" si="204">SUM(AJ86:AJ87)</f>
        <v>0</v>
      </c>
      <c r="AK88" s="152">
        <f t="shared" si="204"/>
        <v>0</v>
      </c>
      <c r="AL88" s="152">
        <f t="shared" ref="AL88" si="205">SUM(AL86:AL87)</f>
        <v>0</v>
      </c>
      <c r="AM88" s="152">
        <f t="shared" ref="AM88" si="206">SUM(AM86:AM87)</f>
        <v>0</v>
      </c>
      <c r="AN88" s="152">
        <f t="shared" ref="AN88" si="207">SUM(AN86:AN87)</f>
        <v>0</v>
      </c>
      <c r="AO88" s="152">
        <f t="shared" ref="AO88:AP88" si="208">SUM(AO86:AO87)</f>
        <v>0</v>
      </c>
      <c r="AP88" s="152">
        <f t="shared" si="208"/>
        <v>0</v>
      </c>
    </row>
    <row r="89" spans="1:42">
      <c r="A89" s="180"/>
      <c r="B89" s="152"/>
      <c r="C89" s="152"/>
      <c r="D89" s="152"/>
      <c r="E89" s="152"/>
      <c r="F89" s="152"/>
      <c r="G89" s="152"/>
      <c r="H89" s="152"/>
      <c r="I89" s="152"/>
      <c r="J89" s="152"/>
      <c r="K89" s="152"/>
      <c r="L89" s="152"/>
      <c r="M89" s="152"/>
      <c r="N89" s="152"/>
      <c r="O89" s="152"/>
      <c r="P89" s="152"/>
      <c r="Q89" s="152"/>
      <c r="R89" s="152"/>
      <c r="S89" s="152"/>
      <c r="T89" s="152"/>
      <c r="U89" s="152"/>
      <c r="V89" s="152"/>
      <c r="W89" s="152"/>
      <c r="X89" s="152"/>
      <c r="Y89" s="152"/>
      <c r="Z89" s="152"/>
      <c r="AA89" s="152"/>
      <c r="AB89" s="152"/>
      <c r="AC89" s="152"/>
      <c r="AD89" s="152"/>
      <c r="AE89" s="152"/>
      <c r="AF89" s="152"/>
      <c r="AG89" s="152"/>
      <c r="AH89" s="152"/>
      <c r="AI89" s="152"/>
      <c r="AJ89" s="152"/>
      <c r="AK89" s="152"/>
      <c r="AL89" s="152"/>
      <c r="AM89" s="152"/>
      <c r="AN89" s="152"/>
      <c r="AO89" s="152"/>
      <c r="AP89" s="152"/>
    </row>
    <row r="90" spans="1:42">
      <c r="A90" s="180" t="s">
        <v>401</v>
      </c>
      <c r="B90" s="201">
        <f>ROUND(IF(ISERROR(IRR($B88:B$88)),0,IRR($B88:B$88)),4)</f>
        <v>0</v>
      </c>
      <c r="C90" s="201">
        <f>ROUND(IF(ISERROR(IRR($B88:C$88)),0,IRR($B88:C$88)),4)</f>
        <v>0</v>
      </c>
      <c r="D90" s="201">
        <f>ROUND(IF(ISERROR(IRR($B88:D$88)),0,IRR($B88:D$88)),4)</f>
        <v>0</v>
      </c>
      <c r="E90" s="201">
        <f>ROUND(IF(ISERROR(IRR($B88:E$88)),0,IRR($B88:E$88)),4)</f>
        <v>-0.29620000000000002</v>
      </c>
      <c r="F90" s="201">
        <f>ROUND(IF(ISERROR(IRR($B88:F$88)),0,IRR($B88:F$88)),4)</f>
        <v>-0.15620000000000001</v>
      </c>
      <c r="G90" s="201">
        <f>ROUND(IF(ISERROR(IRR($B88:G$88)),0,IRR($B88:G$88)),4)</f>
        <v>-6.54E-2</v>
      </c>
      <c r="H90" s="201">
        <f>ROUND(IF(ISERROR(IRR($B88:H$88)),0,IRR($B88:H$88)),4)</f>
        <v>-4.1000000000000003E-3</v>
      </c>
      <c r="I90" s="201">
        <f>ROUND(IF(ISERROR(IRR($B88:I$88)),0,IRR($B88:I$88)),4)</f>
        <v>3.8699999999999998E-2</v>
      </c>
      <c r="J90" s="201">
        <f>ROUND(IF(ISERROR(IRR($B88:J$88)),0,IRR($B88:J$88)),4)</f>
        <v>6.9500000000000006E-2</v>
      </c>
      <c r="K90" s="201">
        <f>ROUND(IF(ISERROR(IRR($B88:K$88)),0,IRR($B88:K$88)),4)</f>
        <v>9.2399999999999996E-2</v>
      </c>
      <c r="L90" s="201">
        <f>ROUND(IF(ISERROR(IRR($B88:L$88)),0,IRR($B88:L$88)),4)</f>
        <v>0.1236</v>
      </c>
      <c r="M90" s="201">
        <f>ROUND(IF(ISERROR(IRR($B88:M$88)),0,IRR($B88:M$88)),4)</f>
        <v>0.15290000000000001</v>
      </c>
      <c r="N90" s="201">
        <f>ROUND(IF(ISERROR(IRR($B88:N$88)),0,IRR($B88:N$88)),4)</f>
        <v>0.17219999999999999</v>
      </c>
      <c r="O90" s="201">
        <f>ROUND(IF(ISERROR(IRR($B88:O$88)),0,IRR($B88:O$88)),4)</f>
        <v>0.1855</v>
      </c>
      <c r="P90" s="201">
        <f>ROUND(IF(ISERROR(IRR($B88:P$88)),0,IRR($B88:P$88)),4)</f>
        <v>0.19520000000000001</v>
      </c>
      <c r="Q90" s="201">
        <f>ROUND(IF(ISERROR(IRR($B88:Q$88)),0,IRR($B88:Q$88)),4)</f>
        <v>0.20250000000000001</v>
      </c>
      <c r="R90" s="201">
        <f>ROUND(IF(ISERROR(IRR($B88:R$88)),0,IRR($B88:R$88)),4)</f>
        <v>0.2079</v>
      </c>
      <c r="S90" s="201">
        <f>ROUND(IF(ISERROR(IRR($B88:S$88)),0,IRR($B88:S$88)),4)</f>
        <v>0.21199999999999999</v>
      </c>
      <c r="T90" s="201">
        <f>ROUND(IF(ISERROR(IRR($B88:T$88)),0,IRR($B88:T$88)),4)</f>
        <v>0.21529999999999999</v>
      </c>
      <c r="U90" s="201">
        <f>ROUND(IF(ISERROR(IRR($B88:U$88)),0,IRR($B88:U$88)),4)</f>
        <v>0.21790000000000001</v>
      </c>
      <c r="V90" s="201">
        <f>ROUND(IF(ISERROR(IRR($B88:V$88)),0,IRR($B88:V$88)),4)</f>
        <v>0.21990000000000001</v>
      </c>
      <c r="W90" s="201">
        <f>ROUND(IF(ISERROR(IRR($B88:W$88)),0,IRR($B88:W$88)),4)</f>
        <v>0.22159999999999999</v>
      </c>
      <c r="X90" s="201">
        <f>ROUND(IF(ISERROR(IRR($B88:X$88)),0,IRR($B88:X$88)),4)</f>
        <v>0.22289999999999999</v>
      </c>
      <c r="Y90" s="201">
        <f>ROUND(IF(ISERROR(IRR($B88:Y$88)),0,IRR($B88:Y$88)),4)</f>
        <v>0.224</v>
      </c>
      <c r="Z90" s="201">
        <f>ROUND(IF(ISERROR(IRR($B88:Z$88)),0,IRR($B88:Z$88)),4)</f>
        <v>0.2248</v>
      </c>
      <c r="AA90" s="201">
        <f>ROUND(IF(ISERROR(IRR($B88:AA$88)),0,IRR($B88:AA$88)),4)</f>
        <v>0.22559999999999999</v>
      </c>
      <c r="AB90" s="201">
        <f>ROUND(IF(ISERROR(IRR($B88:AB$88)),0,IRR($B88:AB$88)),4)</f>
        <v>0.2261</v>
      </c>
      <c r="AC90" s="201">
        <f>ROUND(IF(ISERROR(IRR($B88:AC$88)),0,IRR($B88:AC$88)),4)</f>
        <v>0.2266</v>
      </c>
      <c r="AD90" s="201">
        <f>ROUND(IF(ISERROR(IRR($B88:AD$88)),0,IRR($B88:AD$88)),4)</f>
        <v>0.22700000000000001</v>
      </c>
      <c r="AE90" s="201">
        <f>ROUND(IF(ISERROR(IRR($B88:AE$88)),0,IRR($B88:AE$88)),4)</f>
        <v>0.2273</v>
      </c>
      <c r="AF90" s="201">
        <f>ROUND(IF(ISERROR(IRR($B88:AF$88)),0,IRR($B88:AF$88)),4)</f>
        <v>0.22770000000000001</v>
      </c>
      <c r="AG90" s="201">
        <f>ROUND(IF(ISERROR(IRR($B88:AG$88)),0,IRR($B88:AG$88)),4)</f>
        <v>0.22770000000000001</v>
      </c>
      <c r="AH90" s="201">
        <f>ROUND(IF(ISERROR(IRR($B88:AH$88)),0,IRR($B88:AH$88)),4)</f>
        <v>0.22770000000000001</v>
      </c>
      <c r="AI90" s="201">
        <f>ROUND(IF(ISERROR(IRR($B88:AI$88)),0,IRR($B88:AI$88)),4)</f>
        <v>0.22770000000000001</v>
      </c>
      <c r="AJ90" s="201">
        <f>ROUND(IF(ISERROR(IRR($B88:AJ$88)),0,IRR($B88:AJ$88)),4)</f>
        <v>0.22770000000000001</v>
      </c>
      <c r="AK90" s="201">
        <f>ROUND(IF(ISERROR(IRR($B88:AK$88)),0,IRR($B88:AK$88)),4)</f>
        <v>0.22770000000000001</v>
      </c>
      <c r="AL90" s="201">
        <f>ROUND(IF(ISERROR(IRR($B88:AL$88)),0,IRR($B88:AL$88)),4)</f>
        <v>0.22770000000000001</v>
      </c>
      <c r="AM90" s="201">
        <f>ROUND(IF(ISERROR(IRR($B88:AM$88)),0,IRR($B88:AM$88)),4)</f>
        <v>0.22770000000000001</v>
      </c>
      <c r="AN90" s="201">
        <f>ROUND(IF(ISERROR(IRR($B88:AN$88)),0,IRR($B88:AN$88)),4)</f>
        <v>0.22770000000000001</v>
      </c>
      <c r="AO90" s="201">
        <f>ROUND(IF(ISERROR(IRR($B88:AO$88)),0,IRR($B88:AO$88)),4)</f>
        <v>0.22770000000000001</v>
      </c>
      <c r="AP90" s="201">
        <f>ROUND(IF(ISERROR(IRR($B88:AP$88)),0,IRR($B88:AP$88)),4)</f>
        <v>0.22770000000000001</v>
      </c>
    </row>
    <row r="91" spans="1:42">
      <c r="A91" s="180" t="s">
        <v>402</v>
      </c>
      <c r="B91" s="251">
        <f>B88</f>
        <v>-9660967.97514797</v>
      </c>
      <c r="C91" s="251">
        <f>NPV(DiscountRate,$C88:C88)+$B$88</f>
        <v>-8292874.4604529589</v>
      </c>
      <c r="D91" s="251">
        <f>NPV(DiscountRate,$C88:D88)+$B$88</f>
        <v>-6988886.4278428676</v>
      </c>
      <c r="E91" s="251">
        <f>NPV(DiscountRate,$C88:E88)+$B$88</f>
        <v>-5746294.9246374667</v>
      </c>
      <c r="F91" s="251">
        <f>NPV(DiscountRate,$C88:F88)+$B$88</f>
        <v>-4565359.0630161501</v>
      </c>
      <c r="G91" s="251">
        <f>NPV(DiscountRate,$C88:G88)+$B$88</f>
        <v>-3441531.5153166391</v>
      </c>
      <c r="H91" s="251">
        <f>NPV(DiscountRate,$C88:H88)+$B$88</f>
        <v>-2372235.7516467292</v>
      </c>
      <c r="I91" s="251">
        <f>NPV(DiscountRate,$C88:I88)+$B$88</f>
        <v>-1357386.1769877253</v>
      </c>
      <c r="J91" s="251">
        <f>NPV(DiscountRate,$C88:J88)+$B$88</f>
        <v>-392932.3440525718</v>
      </c>
      <c r="K91" s="251">
        <f>NPV(DiscountRate,$C88:K88)+$B$88</f>
        <v>523517.35112959519</v>
      </c>
      <c r="L91" s="251">
        <f>NPV(DiscountRate,$C88:L88)+$B$88</f>
        <v>2229817.9915331211</v>
      </c>
      <c r="M91" s="251">
        <f>NPV(DiscountRate,$C88:M88)+$B$88</f>
        <v>4607007.515908448</v>
      </c>
      <c r="N91" s="251">
        <f>NPV(DiscountRate,$C88:N88)+$B$88</f>
        <v>6854930.6511770599</v>
      </c>
      <c r="O91" s="251">
        <f>NPV(DiscountRate,$C88:O88)+$B$88</f>
        <v>8942159.2601963468</v>
      </c>
      <c r="P91" s="251">
        <f>NPV(DiscountRate,$C88:P88)+$B$88</f>
        <v>10916118.585224632</v>
      </c>
      <c r="Q91" s="251">
        <f>NPV(DiscountRate,$C88:Q88)+$B$88</f>
        <v>12782562.858306851</v>
      </c>
      <c r="R91" s="251">
        <f>NPV(DiscountRate,$C88:R88)+$B$88</f>
        <v>14484363.837179847</v>
      </c>
      <c r="S91" s="251">
        <f>NPV(DiscountRate,$C88:S88)+$B$88</f>
        <v>16094529.045044668</v>
      </c>
      <c r="T91" s="251">
        <f>NPV(DiscountRate,$C88:T88)+$B$88</f>
        <v>17617649.160629511</v>
      </c>
      <c r="U91" s="251">
        <f>NPV(DiscountRate,$C88:U88)+$B$88</f>
        <v>19057139.303269342</v>
      </c>
      <c r="V91" s="251">
        <f>NPV(DiscountRate,$C88:V88)+$B$88</f>
        <v>20418254.461726591</v>
      </c>
      <c r="W91" s="251">
        <f>NPV(DiscountRate,$C88:W88)+$B$88</f>
        <v>21704999.255598731</v>
      </c>
      <c r="X91" s="251">
        <f>NPV(DiscountRate,$C88:X88)+$B$88</f>
        <v>22917750.427405931</v>
      </c>
      <c r="Y91" s="251">
        <f>NPV(DiscountRate,$C88:Y88)+$B$88</f>
        <v>24061423.833986729</v>
      </c>
      <c r="Z91" s="251">
        <f>NPV(DiscountRate,$C88:Z88)+$B$88</f>
        <v>25139840.508479327</v>
      </c>
      <c r="AA91" s="251">
        <f>NPV(DiscountRate,$C88:AA88)+$B$88</f>
        <v>26189792.932545714</v>
      </c>
      <c r="AB91" s="251">
        <f>NPV(DiscountRate,$C88:AB88)+$B$88</f>
        <v>27178388.626910582</v>
      </c>
      <c r="AC91" s="251">
        <f>NPV(DiscountRate,$C88:AC88)+$B$88</f>
        <v>28109156.371058404</v>
      </c>
      <c r="AD91" s="251">
        <f>NPV(DiscountRate,$C88:AD88)+$B$88</f>
        <v>28984867.936545886</v>
      </c>
      <c r="AE91" s="251">
        <f>NPV(DiscountRate,$C88:AE88)+$B$88</f>
        <v>29809270.426064208</v>
      </c>
      <c r="AF91" s="251">
        <f>NPV(DiscountRate,$C88:AF88)+$B$88</f>
        <v>30999998.923457228</v>
      </c>
      <c r="AG91" s="251">
        <f>NPV(DiscountRate,$C88:AG88)+$B$88</f>
        <v>30999998.923457228</v>
      </c>
      <c r="AH91" s="251">
        <f>NPV(DiscountRate,$C88:AH88)+$B$88</f>
        <v>30999998.923457228</v>
      </c>
      <c r="AI91" s="251">
        <f>NPV(DiscountRate,$C88:AI88)+$B$88</f>
        <v>30999998.923457228</v>
      </c>
      <c r="AJ91" s="251">
        <f>NPV(DiscountRate,$C88:AJ88)+$B$88</f>
        <v>30999998.923457228</v>
      </c>
      <c r="AK91" s="251">
        <f>NPV(DiscountRate,$C88:AK88)+$B$88</f>
        <v>30999998.923457228</v>
      </c>
      <c r="AL91" s="251">
        <f>NPV(DiscountRate,$C88:AL88)+$B$88</f>
        <v>30999998.923457228</v>
      </c>
      <c r="AM91" s="251">
        <f>NPV(DiscountRate,$C88:AM88)+$B$88</f>
        <v>30999998.923457228</v>
      </c>
      <c r="AN91" s="251">
        <f>NPV(DiscountRate,$C88:AN88)+$B$88</f>
        <v>30999998.923457228</v>
      </c>
      <c r="AO91" s="251">
        <f>NPV(DiscountRate,$C88:AO88)+$B$88</f>
        <v>30999998.923457228</v>
      </c>
      <c r="AP91" s="251">
        <f>NPV(DiscountRate,$C88:AP88)+$B$88</f>
        <v>30999998.923457228</v>
      </c>
    </row>
    <row r="92" spans="1:42">
      <c r="A92" s="180"/>
      <c r="B92" s="152"/>
      <c r="C92" s="152"/>
      <c r="D92" s="152"/>
      <c r="E92" s="152"/>
      <c r="F92" s="152"/>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row>
    <row r="93" spans="1:42">
      <c r="A93" s="195" t="s">
        <v>218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s="118" customFormat="1">
      <c r="A94" s="197" t="s">
        <v>219</v>
      </c>
      <c r="B94" s="198"/>
      <c r="C94" s="198"/>
      <c r="D94" s="198"/>
      <c r="E94" s="198"/>
      <c r="F94" s="198"/>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row>
    <row r="95" spans="1:42">
      <c r="A95" s="184" t="s">
        <v>214</v>
      </c>
      <c r="B95" s="186">
        <f>B86</f>
        <v>-9660967.97514797</v>
      </c>
      <c r="C95" s="186">
        <f t="shared" ref="C95:AP95" si="209">C86</f>
        <v>0</v>
      </c>
      <c r="D95" s="186">
        <f t="shared" si="209"/>
        <v>0</v>
      </c>
      <c r="E95" s="186">
        <f t="shared" si="209"/>
        <v>0</v>
      </c>
      <c r="F95" s="186">
        <f t="shared" si="209"/>
        <v>0</v>
      </c>
      <c r="G95" s="186">
        <f t="shared" si="209"/>
        <v>0</v>
      </c>
      <c r="H95" s="186">
        <f t="shared" si="209"/>
        <v>0</v>
      </c>
      <c r="I95" s="186">
        <f t="shared" si="209"/>
        <v>0</v>
      </c>
      <c r="J95" s="186">
        <f t="shared" si="209"/>
        <v>0</v>
      </c>
      <c r="K95" s="186">
        <f t="shared" si="209"/>
        <v>0</v>
      </c>
      <c r="L95" s="186">
        <f t="shared" si="209"/>
        <v>0</v>
      </c>
      <c r="M95" s="186">
        <f t="shared" si="209"/>
        <v>0</v>
      </c>
      <c r="N95" s="186">
        <f t="shared" si="209"/>
        <v>0</v>
      </c>
      <c r="O95" s="186">
        <f t="shared" si="209"/>
        <v>0</v>
      </c>
      <c r="P95" s="186">
        <f t="shared" si="209"/>
        <v>0</v>
      </c>
      <c r="Q95" s="186">
        <f t="shared" si="209"/>
        <v>0</v>
      </c>
      <c r="R95" s="186">
        <f t="shared" si="209"/>
        <v>0</v>
      </c>
      <c r="S95" s="186">
        <f t="shared" si="209"/>
        <v>0</v>
      </c>
      <c r="T95" s="186">
        <f t="shared" si="209"/>
        <v>0</v>
      </c>
      <c r="U95" s="186">
        <f t="shared" si="209"/>
        <v>0</v>
      </c>
      <c r="V95" s="186">
        <f t="shared" si="209"/>
        <v>0</v>
      </c>
      <c r="W95" s="186">
        <f t="shared" si="209"/>
        <v>0</v>
      </c>
      <c r="X95" s="186">
        <f t="shared" si="209"/>
        <v>0</v>
      </c>
      <c r="Y95" s="186">
        <f t="shared" si="209"/>
        <v>0</v>
      </c>
      <c r="Z95" s="186">
        <f t="shared" si="209"/>
        <v>0</v>
      </c>
      <c r="AA95" s="186">
        <f t="shared" si="209"/>
        <v>0</v>
      </c>
      <c r="AB95" s="186">
        <f t="shared" si="209"/>
        <v>0</v>
      </c>
      <c r="AC95" s="186">
        <f t="shared" si="209"/>
        <v>0</v>
      </c>
      <c r="AD95" s="186">
        <f t="shared" si="209"/>
        <v>0</v>
      </c>
      <c r="AE95" s="186">
        <f t="shared" si="209"/>
        <v>0</v>
      </c>
      <c r="AF95" s="186">
        <f t="shared" si="209"/>
        <v>0</v>
      </c>
      <c r="AG95" s="186">
        <f t="shared" si="209"/>
        <v>0</v>
      </c>
      <c r="AH95" s="186">
        <f t="shared" si="209"/>
        <v>0</v>
      </c>
      <c r="AI95" s="186">
        <f t="shared" si="209"/>
        <v>0</v>
      </c>
      <c r="AJ95" s="186">
        <f t="shared" si="209"/>
        <v>0</v>
      </c>
      <c r="AK95" s="186">
        <f t="shared" si="209"/>
        <v>0</v>
      </c>
      <c r="AL95" s="186">
        <f t="shared" si="209"/>
        <v>0</v>
      </c>
      <c r="AM95" s="186">
        <f t="shared" si="209"/>
        <v>0</v>
      </c>
      <c r="AN95" s="186">
        <f t="shared" si="209"/>
        <v>0</v>
      </c>
      <c r="AO95" s="186">
        <f t="shared" si="209"/>
        <v>0</v>
      </c>
      <c r="AP95" s="186">
        <f t="shared" si="209"/>
        <v>0</v>
      </c>
    </row>
    <row r="96" spans="1:42">
      <c r="A96" s="184" t="s">
        <v>215</v>
      </c>
      <c r="B96" s="187">
        <f>B87</f>
        <v>0</v>
      </c>
      <c r="C96" s="187">
        <f t="shared" ref="C96:AP96" si="210">C87</f>
        <v>1477540.9958706123</v>
      </c>
      <c r="D96" s="187">
        <f t="shared" si="210"/>
        <v>1520971.6412364102</v>
      </c>
      <c r="E96" s="187">
        <f t="shared" si="210"/>
        <v>1565307.427685882</v>
      </c>
      <c r="F96" s="187">
        <f t="shared" si="210"/>
        <v>1606650.2022038891</v>
      </c>
      <c r="G96" s="187">
        <f t="shared" si="210"/>
        <v>1651271.3693161826</v>
      </c>
      <c r="H96" s="187">
        <f t="shared" si="210"/>
        <v>1696837.9910005755</v>
      </c>
      <c r="I96" s="187">
        <f t="shared" si="210"/>
        <v>1739273.8302111751</v>
      </c>
      <c r="J96" s="187">
        <f t="shared" si="210"/>
        <v>1785136.7358018309</v>
      </c>
      <c r="K96" s="187">
        <f t="shared" si="210"/>
        <v>1831987.1811776012</v>
      </c>
      <c r="L96" s="187">
        <f t="shared" si="210"/>
        <v>3683775.1054297392</v>
      </c>
      <c r="M96" s="187">
        <f t="shared" si="210"/>
        <v>5542747.798423213</v>
      </c>
      <c r="N96" s="187">
        <f t="shared" si="210"/>
        <v>5660652.8641394479</v>
      </c>
      <c r="O96" s="187">
        <f t="shared" si="210"/>
        <v>5676476.4470181772</v>
      </c>
      <c r="P96" s="187">
        <f t="shared" si="210"/>
        <v>5797900.7440170366</v>
      </c>
      <c r="Q96" s="187">
        <f t="shared" si="210"/>
        <v>5920676.876443659</v>
      </c>
      <c r="R96" s="187">
        <f t="shared" si="210"/>
        <v>5830272.5439887578</v>
      </c>
      <c r="S96" s="187">
        <f t="shared" si="210"/>
        <v>5957640.3403120302</v>
      </c>
      <c r="T96" s="187">
        <f t="shared" si="210"/>
        <v>6086417.6814778429</v>
      </c>
      <c r="U96" s="187">
        <f t="shared" si="210"/>
        <v>6212409.1331831207</v>
      </c>
      <c r="V96" s="187">
        <f t="shared" si="210"/>
        <v>6344099.4214129075</v>
      </c>
      <c r="W96" s="187">
        <f t="shared" si="210"/>
        <v>6477259.3264539875</v>
      </c>
      <c r="X96" s="187">
        <f t="shared" si="210"/>
        <v>6593170.7559406739</v>
      </c>
      <c r="Y96" s="187">
        <f t="shared" si="210"/>
        <v>6715036.8291703193</v>
      </c>
      <c r="Z96" s="187">
        <f t="shared" si="210"/>
        <v>6838435.0430110116</v>
      </c>
      <c r="AA96" s="187">
        <f t="shared" si="210"/>
        <v>7190573.1334289648</v>
      </c>
      <c r="AB96" s="187">
        <f t="shared" si="210"/>
        <v>7312002.9393027928</v>
      </c>
      <c r="AC96" s="187">
        <f t="shared" si="210"/>
        <v>7435029.9534945153</v>
      </c>
      <c r="AD96" s="187">
        <f t="shared" si="210"/>
        <v>7554856.8392437501</v>
      </c>
      <c r="AE96" s="187">
        <f t="shared" si="210"/>
        <v>7681184.6208526259</v>
      </c>
      <c r="AF96" s="187">
        <f t="shared" si="210"/>
        <v>11981892.317308005</v>
      </c>
      <c r="AG96" s="187">
        <f t="shared" si="210"/>
        <v>0</v>
      </c>
      <c r="AH96" s="187">
        <f t="shared" si="210"/>
        <v>0</v>
      </c>
      <c r="AI96" s="187">
        <f t="shared" si="210"/>
        <v>0</v>
      </c>
      <c r="AJ96" s="187">
        <f t="shared" si="210"/>
        <v>0</v>
      </c>
      <c r="AK96" s="187">
        <f t="shared" si="210"/>
        <v>0</v>
      </c>
      <c r="AL96" s="187">
        <f t="shared" si="210"/>
        <v>0</v>
      </c>
      <c r="AM96" s="187">
        <f t="shared" si="210"/>
        <v>0</v>
      </c>
      <c r="AN96" s="187">
        <f t="shared" si="210"/>
        <v>0</v>
      </c>
      <c r="AO96" s="187">
        <f t="shared" si="210"/>
        <v>0</v>
      </c>
      <c r="AP96" s="187">
        <f t="shared" si="210"/>
        <v>0</v>
      </c>
    </row>
    <row r="97" spans="1:42">
      <c r="A97" s="184" t="s">
        <v>220</v>
      </c>
      <c r="B97" s="152">
        <f>SUM(B95:B96)</f>
        <v>-9660967.97514797</v>
      </c>
      <c r="C97" s="152">
        <f t="shared" ref="C97" si="211">SUM(C95:C96)</f>
        <v>1477540.9958706123</v>
      </c>
      <c r="D97" s="152">
        <f t="shared" ref="D97" si="212">SUM(D95:D96)</f>
        <v>1520971.6412364102</v>
      </c>
      <c r="E97" s="152">
        <f t="shared" ref="E97" si="213">SUM(E95:E96)</f>
        <v>1565307.427685882</v>
      </c>
      <c r="F97" s="152">
        <f t="shared" ref="F97" si="214">SUM(F95:F96)</f>
        <v>1606650.2022038891</v>
      </c>
      <c r="G97" s="152">
        <f t="shared" ref="G97" si="215">SUM(G95:G96)</f>
        <v>1651271.3693161826</v>
      </c>
      <c r="H97" s="152">
        <f t="shared" ref="H97" si="216">SUM(H95:H96)</f>
        <v>1696837.9910005755</v>
      </c>
      <c r="I97" s="152">
        <f t="shared" ref="I97" si="217">SUM(I95:I96)</f>
        <v>1739273.8302111751</v>
      </c>
      <c r="J97" s="152">
        <f t="shared" ref="J97" si="218">SUM(J95:J96)</f>
        <v>1785136.7358018309</v>
      </c>
      <c r="K97" s="152">
        <f t="shared" ref="K97" si="219">SUM(K95:K96)</f>
        <v>1831987.1811776012</v>
      </c>
      <c r="L97" s="152">
        <f t="shared" ref="L97" si="220">SUM(L95:L96)</f>
        <v>3683775.1054297392</v>
      </c>
      <c r="M97" s="152">
        <f t="shared" ref="M97" si="221">SUM(M95:M96)</f>
        <v>5542747.798423213</v>
      </c>
      <c r="N97" s="152">
        <f t="shared" ref="N97" si="222">SUM(N95:N96)</f>
        <v>5660652.8641394479</v>
      </c>
      <c r="O97" s="152">
        <f t="shared" ref="O97" si="223">SUM(O95:O96)</f>
        <v>5676476.4470181772</v>
      </c>
      <c r="P97" s="152">
        <f t="shared" ref="P97" si="224">SUM(P95:P96)</f>
        <v>5797900.7440170366</v>
      </c>
      <c r="Q97" s="152">
        <f t="shared" ref="Q97" si="225">SUM(Q95:Q96)</f>
        <v>5920676.876443659</v>
      </c>
      <c r="R97" s="152">
        <f t="shared" ref="R97" si="226">SUM(R95:R96)</f>
        <v>5830272.5439887578</v>
      </c>
      <c r="S97" s="152">
        <f t="shared" ref="S97" si="227">SUM(S95:S96)</f>
        <v>5957640.3403120302</v>
      </c>
      <c r="T97" s="152">
        <f t="shared" ref="T97" si="228">SUM(T95:T96)</f>
        <v>6086417.6814778429</v>
      </c>
      <c r="U97" s="152">
        <f t="shared" ref="U97" si="229">SUM(U95:U96)</f>
        <v>6212409.1331831207</v>
      </c>
      <c r="V97" s="152">
        <f t="shared" ref="V97" si="230">SUM(V95:V96)</f>
        <v>6344099.4214129075</v>
      </c>
      <c r="W97" s="152">
        <f t="shared" ref="W97" si="231">SUM(W95:W96)</f>
        <v>6477259.3264539875</v>
      </c>
      <c r="X97" s="152">
        <f t="shared" ref="X97" si="232">SUM(X95:X96)</f>
        <v>6593170.7559406739</v>
      </c>
      <c r="Y97" s="152">
        <f t="shared" ref="Y97" si="233">SUM(Y95:Y96)</f>
        <v>6715036.8291703193</v>
      </c>
      <c r="Z97" s="152">
        <f t="shared" ref="Z97" si="234">SUM(Z95:Z96)</f>
        <v>6838435.0430110116</v>
      </c>
      <c r="AA97" s="152">
        <f t="shared" ref="AA97" si="235">SUM(AA95:AA96)</f>
        <v>7190573.1334289648</v>
      </c>
      <c r="AB97" s="152">
        <f t="shared" ref="AB97" si="236">SUM(AB95:AB96)</f>
        <v>7312002.9393027928</v>
      </c>
      <c r="AC97" s="152">
        <f t="shared" ref="AC97" si="237">SUM(AC95:AC96)</f>
        <v>7435029.9534945153</v>
      </c>
      <c r="AD97" s="152">
        <f t="shared" ref="AD97" si="238">SUM(AD95:AD96)</f>
        <v>7554856.8392437501</v>
      </c>
      <c r="AE97" s="152">
        <f t="shared" ref="AE97" si="239">SUM(AE95:AE96)</f>
        <v>7681184.6208526259</v>
      </c>
      <c r="AF97" s="152">
        <f t="shared" ref="AF97" si="240">SUM(AF95:AF96)</f>
        <v>11981892.317308005</v>
      </c>
      <c r="AG97" s="152">
        <f t="shared" ref="AG97" si="241">SUM(AG95:AG96)</f>
        <v>0</v>
      </c>
      <c r="AH97" s="152">
        <f t="shared" ref="AH97" si="242">SUM(AH95:AH96)</f>
        <v>0</v>
      </c>
      <c r="AI97" s="152">
        <f t="shared" ref="AI97" si="243">SUM(AI95:AI96)</f>
        <v>0</v>
      </c>
      <c r="AJ97" s="152">
        <f t="shared" ref="AJ97" si="244">SUM(AJ95:AJ96)</f>
        <v>0</v>
      </c>
      <c r="AK97" s="152">
        <f t="shared" ref="AK97" si="245">SUM(AK95:AK96)</f>
        <v>0</v>
      </c>
      <c r="AL97" s="152">
        <f t="shared" ref="AL97" si="246">SUM(AL95:AL96)</f>
        <v>0</v>
      </c>
      <c r="AM97" s="152">
        <f t="shared" ref="AM97" si="247">SUM(AM95:AM96)</f>
        <v>0</v>
      </c>
      <c r="AN97" s="152">
        <f t="shared" ref="AN97" si="248">SUM(AN95:AN96)</f>
        <v>0</v>
      </c>
      <c r="AO97" s="152">
        <f t="shared" ref="AO97" si="249">SUM(AO95:AO96)</f>
        <v>0</v>
      </c>
      <c r="AP97" s="152">
        <f t="shared" ref="AP97" si="250">SUM(AP95:AP96)</f>
        <v>0</v>
      </c>
    </row>
    <row r="98" spans="1:42">
      <c r="A98" s="180" t="s">
        <v>33</v>
      </c>
      <c r="B98" s="152"/>
      <c r="C98" s="152"/>
      <c r="D98" s="152"/>
      <c r="E98" s="152"/>
      <c r="F98" s="152"/>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row>
    <row r="99" spans="1:42">
      <c r="A99" s="184" t="s">
        <v>37</v>
      </c>
      <c r="B99" s="152">
        <v>0</v>
      </c>
      <c r="C99" s="152">
        <f>I287+K287</f>
        <v>20000</v>
      </c>
      <c r="D99" s="152">
        <v>0</v>
      </c>
      <c r="E99" s="152">
        <v>0</v>
      </c>
      <c r="F99" s="152">
        <v>0</v>
      </c>
      <c r="G99" s="152">
        <v>0</v>
      </c>
      <c r="H99" s="152">
        <v>0</v>
      </c>
      <c r="I99" s="152">
        <v>0</v>
      </c>
      <c r="J99" s="152">
        <v>0</v>
      </c>
      <c r="K99" s="152">
        <v>0</v>
      </c>
      <c r="L99" s="152">
        <v>0</v>
      </c>
      <c r="M99" s="152">
        <v>0</v>
      </c>
      <c r="N99" s="152">
        <v>0</v>
      </c>
      <c r="O99" s="152">
        <v>0</v>
      </c>
      <c r="P99" s="152">
        <v>0</v>
      </c>
      <c r="Q99" s="152">
        <v>0</v>
      </c>
      <c r="R99" s="152">
        <v>0</v>
      </c>
      <c r="S99" s="152">
        <v>0</v>
      </c>
      <c r="T99" s="152">
        <v>0</v>
      </c>
      <c r="U99" s="152">
        <v>0</v>
      </c>
      <c r="V99" s="152">
        <v>0</v>
      </c>
      <c r="W99" s="152">
        <v>0</v>
      </c>
      <c r="X99" s="152">
        <v>0</v>
      </c>
      <c r="Y99" s="152">
        <v>0</v>
      </c>
      <c r="Z99" s="152">
        <v>0</v>
      </c>
      <c r="AA99" s="152">
        <v>0</v>
      </c>
      <c r="AB99" s="152">
        <v>0</v>
      </c>
      <c r="AC99" s="152">
        <v>0</v>
      </c>
      <c r="AD99" s="152">
        <v>0</v>
      </c>
      <c r="AE99" s="152">
        <v>0</v>
      </c>
      <c r="AF99" s="152">
        <v>0</v>
      </c>
      <c r="AG99" s="152">
        <v>0</v>
      </c>
      <c r="AH99" s="152">
        <v>0</v>
      </c>
      <c r="AI99" s="152">
        <v>0</v>
      </c>
      <c r="AJ99" s="152">
        <v>0</v>
      </c>
      <c r="AK99" s="152">
        <v>0</v>
      </c>
      <c r="AL99" s="152">
        <v>0</v>
      </c>
      <c r="AM99" s="152">
        <v>0</v>
      </c>
      <c r="AN99" s="152">
        <v>0</v>
      </c>
      <c r="AO99" s="152">
        <v>0</v>
      </c>
      <c r="AP99" s="152">
        <v>0</v>
      </c>
    </row>
    <row r="100" spans="1:42">
      <c r="A100" s="184" t="s">
        <v>36</v>
      </c>
      <c r="B100" s="187">
        <v>0</v>
      </c>
      <c r="C100" s="187">
        <f>I421+K421</f>
        <v>10000</v>
      </c>
      <c r="D100" s="187">
        <v>0</v>
      </c>
      <c r="E100" s="187">
        <v>0</v>
      </c>
      <c r="F100" s="187">
        <v>0</v>
      </c>
      <c r="G100" s="187">
        <v>0</v>
      </c>
      <c r="H100" s="187">
        <v>0</v>
      </c>
      <c r="I100" s="187">
        <v>0</v>
      </c>
      <c r="J100" s="187">
        <v>0</v>
      </c>
      <c r="K100" s="187">
        <v>0</v>
      </c>
      <c r="L100" s="187">
        <v>0</v>
      </c>
      <c r="M100" s="187">
        <v>0</v>
      </c>
      <c r="N100" s="187">
        <v>0</v>
      </c>
      <c r="O100" s="187">
        <v>0</v>
      </c>
      <c r="P100" s="187">
        <v>0</v>
      </c>
      <c r="Q100" s="187">
        <v>0</v>
      </c>
      <c r="R100" s="187">
        <v>0</v>
      </c>
      <c r="S100" s="187">
        <v>0</v>
      </c>
      <c r="T100" s="187">
        <v>0</v>
      </c>
      <c r="U100" s="187">
        <v>0</v>
      </c>
      <c r="V100" s="187">
        <v>0</v>
      </c>
      <c r="W100" s="187">
        <v>0</v>
      </c>
      <c r="X100" s="187">
        <v>0</v>
      </c>
      <c r="Y100" s="187">
        <v>0</v>
      </c>
      <c r="Z100" s="187">
        <v>0</v>
      </c>
      <c r="AA100" s="187">
        <v>0</v>
      </c>
      <c r="AB100" s="187">
        <v>0</v>
      </c>
      <c r="AC100" s="187">
        <v>0</v>
      </c>
      <c r="AD100" s="187">
        <v>0</v>
      </c>
      <c r="AE100" s="187">
        <v>0</v>
      </c>
      <c r="AF100" s="187">
        <v>0</v>
      </c>
      <c r="AG100" s="187">
        <v>0</v>
      </c>
      <c r="AH100" s="187">
        <v>0</v>
      </c>
      <c r="AI100" s="187">
        <v>0</v>
      </c>
      <c r="AJ100" s="187">
        <v>0</v>
      </c>
      <c r="AK100" s="187">
        <v>0</v>
      </c>
      <c r="AL100" s="187">
        <v>0</v>
      </c>
      <c r="AM100" s="187">
        <v>0</v>
      </c>
      <c r="AN100" s="187">
        <v>0</v>
      </c>
      <c r="AO100" s="187">
        <v>0</v>
      </c>
      <c r="AP100" s="187">
        <v>0</v>
      </c>
    </row>
    <row r="101" spans="1:42">
      <c r="A101" s="184" t="s">
        <v>53</v>
      </c>
      <c r="B101" s="152">
        <f>SUM(B99:B100)</f>
        <v>0</v>
      </c>
      <c r="C101" s="152">
        <f>SUM(C99:C100)</f>
        <v>30000</v>
      </c>
      <c r="D101" s="152">
        <f>SUM(D99:D100)</f>
        <v>0</v>
      </c>
      <c r="E101" s="152">
        <f t="shared" ref="E101:AP101" si="251">SUM(E99:E100)</f>
        <v>0</v>
      </c>
      <c r="F101" s="152">
        <f t="shared" si="251"/>
        <v>0</v>
      </c>
      <c r="G101" s="152">
        <f t="shared" si="251"/>
        <v>0</v>
      </c>
      <c r="H101" s="152">
        <f t="shared" si="251"/>
        <v>0</v>
      </c>
      <c r="I101" s="152">
        <f t="shared" si="251"/>
        <v>0</v>
      </c>
      <c r="J101" s="152">
        <f t="shared" si="251"/>
        <v>0</v>
      </c>
      <c r="K101" s="152">
        <f t="shared" si="251"/>
        <v>0</v>
      </c>
      <c r="L101" s="152">
        <f t="shared" si="251"/>
        <v>0</v>
      </c>
      <c r="M101" s="152">
        <f t="shared" si="251"/>
        <v>0</v>
      </c>
      <c r="N101" s="152">
        <f t="shared" si="251"/>
        <v>0</v>
      </c>
      <c r="O101" s="152">
        <f t="shared" si="251"/>
        <v>0</v>
      </c>
      <c r="P101" s="152">
        <f t="shared" si="251"/>
        <v>0</v>
      </c>
      <c r="Q101" s="152">
        <f t="shared" si="251"/>
        <v>0</v>
      </c>
      <c r="R101" s="152">
        <f t="shared" si="251"/>
        <v>0</v>
      </c>
      <c r="S101" s="152">
        <f t="shared" si="251"/>
        <v>0</v>
      </c>
      <c r="T101" s="152">
        <f t="shared" si="251"/>
        <v>0</v>
      </c>
      <c r="U101" s="152">
        <f t="shared" si="251"/>
        <v>0</v>
      </c>
      <c r="V101" s="152">
        <f t="shared" si="251"/>
        <v>0</v>
      </c>
      <c r="W101" s="152">
        <f t="shared" si="251"/>
        <v>0</v>
      </c>
      <c r="X101" s="152">
        <f t="shared" si="251"/>
        <v>0</v>
      </c>
      <c r="Y101" s="152">
        <f t="shared" si="251"/>
        <v>0</v>
      </c>
      <c r="Z101" s="152">
        <f t="shared" si="251"/>
        <v>0</v>
      </c>
      <c r="AA101" s="152">
        <f t="shared" si="251"/>
        <v>0</v>
      </c>
      <c r="AB101" s="152">
        <f t="shared" si="251"/>
        <v>0</v>
      </c>
      <c r="AC101" s="152">
        <f t="shared" si="251"/>
        <v>0</v>
      </c>
      <c r="AD101" s="152">
        <f t="shared" si="251"/>
        <v>0</v>
      </c>
      <c r="AE101" s="152">
        <f t="shared" si="251"/>
        <v>0</v>
      </c>
      <c r="AF101" s="152">
        <f t="shared" si="251"/>
        <v>0</v>
      </c>
      <c r="AG101" s="152">
        <f t="shared" si="251"/>
        <v>0</v>
      </c>
      <c r="AH101" s="152">
        <f t="shared" si="251"/>
        <v>0</v>
      </c>
      <c r="AI101" s="152">
        <f t="shared" si="251"/>
        <v>0</v>
      </c>
      <c r="AJ101" s="152">
        <f t="shared" si="251"/>
        <v>0</v>
      </c>
      <c r="AK101" s="152">
        <f t="shared" si="251"/>
        <v>0</v>
      </c>
      <c r="AL101" s="152">
        <f t="shared" si="251"/>
        <v>0</v>
      </c>
      <c r="AM101" s="152">
        <f t="shared" si="251"/>
        <v>0</v>
      </c>
      <c r="AN101" s="152">
        <f t="shared" si="251"/>
        <v>0</v>
      </c>
      <c r="AO101" s="152">
        <f t="shared" si="251"/>
        <v>0</v>
      </c>
      <c r="AP101" s="152">
        <f t="shared" si="251"/>
        <v>0</v>
      </c>
    </row>
    <row r="102" spans="1:42">
      <c r="A102" s="180" t="s">
        <v>38</v>
      </c>
      <c r="B102" s="152"/>
      <c r="C102" s="152"/>
      <c r="D102" s="152"/>
      <c r="E102" s="152"/>
      <c r="F102" s="152"/>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row>
    <row r="103" spans="1:42">
      <c r="A103" s="184" t="s">
        <v>37</v>
      </c>
      <c r="B103" s="152">
        <f>B551</f>
        <v>0</v>
      </c>
      <c r="C103" s="152">
        <f t="shared" ref="C103:G103" si="252">C551</f>
        <v>0</v>
      </c>
      <c r="D103" s="152">
        <f t="shared" si="252"/>
        <v>0</v>
      </c>
      <c r="E103" s="152">
        <f t="shared" si="252"/>
        <v>0</v>
      </c>
      <c r="F103" s="152">
        <f t="shared" si="252"/>
        <v>0</v>
      </c>
      <c r="G103" s="152">
        <f t="shared" si="252"/>
        <v>0</v>
      </c>
      <c r="H103" s="152">
        <f t="shared" ref="H103:AO103" si="253">H551</f>
        <v>0</v>
      </c>
      <c r="I103" s="152">
        <f t="shared" si="253"/>
        <v>0</v>
      </c>
      <c r="J103" s="152">
        <f t="shared" si="253"/>
        <v>0</v>
      </c>
      <c r="K103" s="152">
        <f t="shared" si="253"/>
        <v>0</v>
      </c>
      <c r="L103" s="152">
        <f t="shared" si="253"/>
        <v>0</v>
      </c>
      <c r="M103" s="152">
        <f t="shared" si="253"/>
        <v>0</v>
      </c>
      <c r="N103" s="152">
        <f t="shared" si="253"/>
        <v>0</v>
      </c>
      <c r="O103" s="152">
        <f t="shared" si="253"/>
        <v>0</v>
      </c>
      <c r="P103" s="152">
        <f t="shared" si="253"/>
        <v>0</v>
      </c>
      <c r="Q103" s="152">
        <f t="shared" si="253"/>
        <v>0</v>
      </c>
      <c r="R103" s="152">
        <f t="shared" si="253"/>
        <v>0</v>
      </c>
      <c r="S103" s="152">
        <f t="shared" si="253"/>
        <v>0</v>
      </c>
      <c r="T103" s="152">
        <f t="shared" si="253"/>
        <v>0</v>
      </c>
      <c r="U103" s="152">
        <f t="shared" si="253"/>
        <v>0</v>
      </c>
      <c r="V103" s="152">
        <f t="shared" si="253"/>
        <v>0</v>
      </c>
      <c r="W103" s="152">
        <f t="shared" si="253"/>
        <v>0</v>
      </c>
      <c r="X103" s="152">
        <f t="shared" si="253"/>
        <v>0</v>
      </c>
      <c r="Y103" s="152">
        <f t="shared" si="253"/>
        <v>0</v>
      </c>
      <c r="Z103" s="152">
        <f t="shared" si="253"/>
        <v>0</v>
      </c>
      <c r="AA103" s="152">
        <f t="shared" si="253"/>
        <v>0</v>
      </c>
      <c r="AB103" s="152">
        <f t="shared" si="253"/>
        <v>0</v>
      </c>
      <c r="AC103" s="152">
        <f t="shared" si="253"/>
        <v>0</v>
      </c>
      <c r="AD103" s="152">
        <f t="shared" si="253"/>
        <v>0</v>
      </c>
      <c r="AE103" s="152">
        <f t="shared" si="253"/>
        <v>0</v>
      </c>
      <c r="AF103" s="152">
        <f t="shared" si="253"/>
        <v>0</v>
      </c>
      <c r="AG103" s="152">
        <f t="shared" si="253"/>
        <v>0</v>
      </c>
      <c r="AH103" s="152">
        <f t="shared" si="253"/>
        <v>0</v>
      </c>
      <c r="AI103" s="152">
        <f t="shared" si="253"/>
        <v>0</v>
      </c>
      <c r="AJ103" s="152">
        <f t="shared" si="253"/>
        <v>0</v>
      </c>
      <c r="AK103" s="152">
        <f t="shared" si="253"/>
        <v>0</v>
      </c>
      <c r="AL103" s="152">
        <f t="shared" si="253"/>
        <v>0</v>
      </c>
      <c r="AM103" s="152">
        <f t="shared" si="253"/>
        <v>0</v>
      </c>
      <c r="AN103" s="152">
        <f t="shared" si="253"/>
        <v>0</v>
      </c>
      <c r="AO103" s="152">
        <f t="shared" si="253"/>
        <v>0</v>
      </c>
      <c r="AP103" s="152">
        <f>AP551</f>
        <v>0</v>
      </c>
    </row>
    <row r="104" spans="1:42">
      <c r="A104" s="184" t="s">
        <v>36</v>
      </c>
      <c r="B104" s="187">
        <f>B557</f>
        <v>0</v>
      </c>
      <c r="C104" s="187">
        <f t="shared" ref="C104:G104" si="254">C557</f>
        <v>0</v>
      </c>
      <c r="D104" s="187">
        <f t="shared" si="254"/>
        <v>0</v>
      </c>
      <c r="E104" s="187">
        <f t="shared" si="254"/>
        <v>0</v>
      </c>
      <c r="F104" s="187">
        <f t="shared" si="254"/>
        <v>0</v>
      </c>
      <c r="G104" s="187">
        <f t="shared" si="254"/>
        <v>0</v>
      </c>
      <c r="H104" s="187">
        <f t="shared" ref="H104:AO104" si="255">H557</f>
        <v>0</v>
      </c>
      <c r="I104" s="187">
        <f t="shared" si="255"/>
        <v>0</v>
      </c>
      <c r="J104" s="187">
        <f t="shared" si="255"/>
        <v>0</v>
      </c>
      <c r="K104" s="187">
        <f t="shared" si="255"/>
        <v>0</v>
      </c>
      <c r="L104" s="187">
        <f t="shared" si="255"/>
        <v>0</v>
      </c>
      <c r="M104" s="187">
        <f t="shared" si="255"/>
        <v>0</v>
      </c>
      <c r="N104" s="187">
        <f t="shared" si="255"/>
        <v>0</v>
      </c>
      <c r="O104" s="187">
        <f t="shared" si="255"/>
        <v>0</v>
      </c>
      <c r="P104" s="187">
        <f t="shared" si="255"/>
        <v>0</v>
      </c>
      <c r="Q104" s="187">
        <f t="shared" si="255"/>
        <v>0</v>
      </c>
      <c r="R104" s="187">
        <f t="shared" si="255"/>
        <v>0</v>
      </c>
      <c r="S104" s="187">
        <f t="shared" si="255"/>
        <v>0</v>
      </c>
      <c r="T104" s="187">
        <f t="shared" si="255"/>
        <v>0</v>
      </c>
      <c r="U104" s="187">
        <f t="shared" si="255"/>
        <v>0</v>
      </c>
      <c r="V104" s="187">
        <f t="shared" si="255"/>
        <v>0</v>
      </c>
      <c r="W104" s="187">
        <f t="shared" si="255"/>
        <v>0</v>
      </c>
      <c r="X104" s="187">
        <f t="shared" si="255"/>
        <v>0</v>
      </c>
      <c r="Y104" s="187">
        <f t="shared" si="255"/>
        <v>0</v>
      </c>
      <c r="Z104" s="187">
        <f t="shared" si="255"/>
        <v>0</v>
      </c>
      <c r="AA104" s="187">
        <f t="shared" si="255"/>
        <v>0</v>
      </c>
      <c r="AB104" s="187">
        <f t="shared" si="255"/>
        <v>0</v>
      </c>
      <c r="AC104" s="187">
        <f t="shared" si="255"/>
        <v>0</v>
      </c>
      <c r="AD104" s="187">
        <f t="shared" si="255"/>
        <v>0</v>
      </c>
      <c r="AE104" s="187">
        <f t="shared" si="255"/>
        <v>0</v>
      </c>
      <c r="AF104" s="187">
        <f t="shared" si="255"/>
        <v>0</v>
      </c>
      <c r="AG104" s="187">
        <f t="shared" si="255"/>
        <v>0</v>
      </c>
      <c r="AH104" s="187">
        <f t="shared" si="255"/>
        <v>0</v>
      </c>
      <c r="AI104" s="187">
        <f t="shared" si="255"/>
        <v>0</v>
      </c>
      <c r="AJ104" s="187">
        <f t="shared" si="255"/>
        <v>0</v>
      </c>
      <c r="AK104" s="187">
        <f t="shared" si="255"/>
        <v>0</v>
      </c>
      <c r="AL104" s="187">
        <f t="shared" si="255"/>
        <v>0</v>
      </c>
      <c r="AM104" s="187">
        <f t="shared" si="255"/>
        <v>0</v>
      </c>
      <c r="AN104" s="187">
        <f t="shared" si="255"/>
        <v>0</v>
      </c>
      <c r="AO104" s="187">
        <f t="shared" si="255"/>
        <v>0</v>
      </c>
      <c r="AP104" s="187">
        <f>AP557</f>
        <v>0</v>
      </c>
    </row>
    <row r="105" spans="1:42">
      <c r="A105" s="184" t="s">
        <v>53</v>
      </c>
      <c r="B105" s="152">
        <f>SUM(B103:B104)</f>
        <v>0</v>
      </c>
      <c r="C105" s="152">
        <f>SUM(C103:C104)</f>
        <v>0</v>
      </c>
      <c r="D105" s="152">
        <f>SUM(D103:D104)</f>
        <v>0</v>
      </c>
      <c r="E105" s="152">
        <f t="shared" ref="E105" si="256">SUM(E103:E104)</f>
        <v>0</v>
      </c>
      <c r="F105" s="152">
        <f t="shared" ref="F105" si="257">SUM(F103:F104)</f>
        <v>0</v>
      </c>
      <c r="G105" s="152">
        <f t="shared" ref="G105" si="258">SUM(G103:G104)</f>
        <v>0</v>
      </c>
      <c r="H105" s="152">
        <f t="shared" ref="H105" si="259">SUM(H103:H104)</f>
        <v>0</v>
      </c>
      <c r="I105" s="152">
        <f t="shared" ref="I105" si="260">SUM(I103:I104)</f>
        <v>0</v>
      </c>
      <c r="J105" s="152">
        <f t="shared" ref="J105" si="261">SUM(J103:J104)</f>
        <v>0</v>
      </c>
      <c r="K105" s="152">
        <f t="shared" ref="K105" si="262">SUM(K103:K104)</f>
        <v>0</v>
      </c>
      <c r="L105" s="152">
        <f t="shared" ref="L105" si="263">SUM(L103:L104)</f>
        <v>0</v>
      </c>
      <c r="M105" s="152">
        <f t="shared" ref="M105" si="264">SUM(M103:M104)</f>
        <v>0</v>
      </c>
      <c r="N105" s="152">
        <f t="shared" ref="N105" si="265">SUM(N103:N104)</f>
        <v>0</v>
      </c>
      <c r="O105" s="152">
        <f t="shared" ref="O105" si="266">SUM(O103:O104)</f>
        <v>0</v>
      </c>
      <c r="P105" s="152">
        <f t="shared" ref="P105" si="267">SUM(P103:P104)</f>
        <v>0</v>
      </c>
      <c r="Q105" s="152">
        <f t="shared" ref="Q105" si="268">SUM(Q103:Q104)</f>
        <v>0</v>
      </c>
      <c r="R105" s="152">
        <f t="shared" ref="R105" si="269">SUM(R103:R104)</f>
        <v>0</v>
      </c>
      <c r="S105" s="152">
        <f t="shared" ref="S105" si="270">SUM(S103:S104)</f>
        <v>0</v>
      </c>
      <c r="T105" s="152">
        <f t="shared" ref="T105" si="271">SUM(T103:T104)</f>
        <v>0</v>
      </c>
      <c r="U105" s="152">
        <f t="shared" ref="U105" si="272">SUM(U103:U104)</f>
        <v>0</v>
      </c>
      <c r="V105" s="152">
        <f t="shared" ref="V105" si="273">SUM(V103:V104)</f>
        <v>0</v>
      </c>
      <c r="W105" s="152">
        <f t="shared" ref="W105" si="274">SUM(W103:W104)</f>
        <v>0</v>
      </c>
      <c r="X105" s="152">
        <f t="shared" ref="X105" si="275">SUM(X103:X104)</f>
        <v>0</v>
      </c>
      <c r="Y105" s="152">
        <f t="shared" ref="Y105" si="276">SUM(Y103:Y104)</f>
        <v>0</v>
      </c>
      <c r="Z105" s="152">
        <f t="shared" ref="Z105" si="277">SUM(Z103:Z104)</f>
        <v>0</v>
      </c>
      <c r="AA105" s="152">
        <f t="shared" ref="AA105" si="278">SUM(AA103:AA104)</f>
        <v>0</v>
      </c>
      <c r="AB105" s="152">
        <f t="shared" ref="AB105" si="279">SUM(AB103:AB104)</f>
        <v>0</v>
      </c>
      <c r="AC105" s="152">
        <f t="shared" ref="AC105" si="280">SUM(AC103:AC104)</f>
        <v>0</v>
      </c>
      <c r="AD105" s="152">
        <f t="shared" ref="AD105" si="281">SUM(AD103:AD104)</f>
        <v>0</v>
      </c>
      <c r="AE105" s="152">
        <f t="shared" ref="AE105" si="282">SUM(AE103:AE104)</f>
        <v>0</v>
      </c>
      <c r="AF105" s="152">
        <f t="shared" ref="AF105" si="283">SUM(AF103:AF104)</f>
        <v>0</v>
      </c>
      <c r="AG105" s="152">
        <f t="shared" ref="AG105" si="284">SUM(AG103:AG104)</f>
        <v>0</v>
      </c>
      <c r="AH105" s="152">
        <f t="shared" ref="AH105" si="285">SUM(AH103:AH104)</f>
        <v>0</v>
      </c>
      <c r="AI105" s="152">
        <f t="shared" ref="AI105" si="286">SUM(AI103:AI104)</f>
        <v>0</v>
      </c>
      <c r="AJ105" s="152">
        <f t="shared" ref="AJ105" si="287">SUM(AJ103:AJ104)</f>
        <v>0</v>
      </c>
      <c r="AK105" s="152">
        <f t="shared" ref="AK105" si="288">SUM(AK103:AK104)</f>
        <v>0</v>
      </c>
      <c r="AL105" s="152">
        <f t="shared" ref="AL105" si="289">SUM(AL103:AL104)</f>
        <v>0</v>
      </c>
      <c r="AM105" s="152">
        <f t="shared" ref="AM105" si="290">SUM(AM103:AM104)</f>
        <v>0</v>
      </c>
      <c r="AN105" s="152">
        <f t="shared" ref="AN105" si="291">SUM(AN103:AN104)</f>
        <v>0</v>
      </c>
      <c r="AO105" s="152">
        <f t="shared" ref="AO105" si="292">SUM(AO103:AO104)</f>
        <v>0</v>
      </c>
      <c r="AP105" s="152">
        <f t="shared" ref="AP105" si="293">SUM(AP103:AP104)</f>
        <v>0</v>
      </c>
    </row>
    <row r="106" spans="1:42">
      <c r="A106" s="180" t="s">
        <v>223</v>
      </c>
      <c r="B106" s="152"/>
      <c r="C106" s="152"/>
      <c r="D106" s="152"/>
      <c r="E106" s="152"/>
      <c r="F106" s="152"/>
      <c r="G106" s="152"/>
      <c r="H106" s="152"/>
      <c r="I106" s="152"/>
      <c r="J106" s="152"/>
      <c r="K106" s="152"/>
      <c r="L106" s="152"/>
      <c r="M106" s="152"/>
      <c r="N106" s="152"/>
      <c r="O106" s="15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152"/>
      <c r="AL106" s="152"/>
      <c r="AM106" s="152"/>
      <c r="AN106" s="152"/>
      <c r="AO106" s="152"/>
      <c r="AP106" s="152"/>
    </row>
    <row r="107" spans="1:42">
      <c r="A107" s="184" t="s">
        <v>37</v>
      </c>
      <c r="B107" s="152">
        <f>B235</f>
        <v>0</v>
      </c>
      <c r="C107" s="152">
        <f>C235</f>
        <v>-415218.72185911436</v>
      </c>
      <c r="D107" s="152">
        <f t="shared" ref="D107:G107" si="294">D235</f>
        <v>477395.66237705993</v>
      </c>
      <c r="E107" s="152">
        <f t="shared" si="294"/>
        <v>201325.11091638936</v>
      </c>
      <c r="F107" s="152">
        <f t="shared" si="294"/>
        <v>29933.369073158497</v>
      </c>
      <c r="G107" s="152">
        <f t="shared" si="294"/>
        <v>14933.191154696615</v>
      </c>
      <c r="H107" s="152">
        <f t="shared" ref="H107:AP107" si="295">H235</f>
        <v>-118731.95669980692</v>
      </c>
      <c r="I107" s="152">
        <f t="shared" si="295"/>
        <v>-253328.60964301525</v>
      </c>
      <c r="J107" s="152">
        <f t="shared" si="295"/>
        <v>-271814.98429229815</v>
      </c>
      <c r="K107" s="152">
        <f t="shared" si="295"/>
        <v>-290071.44077671104</v>
      </c>
      <c r="L107" s="152">
        <f t="shared" si="295"/>
        <v>-309398.24458246294</v>
      </c>
      <c r="M107" s="152">
        <f t="shared" si="295"/>
        <v>-330510.43090572965</v>
      </c>
      <c r="N107" s="152">
        <f t="shared" si="295"/>
        <v>-304133.99445578828</v>
      </c>
      <c r="O107" s="152">
        <f t="shared" si="295"/>
        <v>-287518.64635390817</v>
      </c>
      <c r="P107" s="152">
        <f t="shared" si="295"/>
        <v>-316126.0433947703</v>
      </c>
      <c r="Q107" s="152">
        <f t="shared" si="295"/>
        <v>-267059.80294353212</v>
      </c>
      <c r="R107" s="152">
        <f t="shared" si="295"/>
        <v>-229918.64825460775</v>
      </c>
      <c r="S107" s="152">
        <f t="shared" si="295"/>
        <v>-294378.39616283478</v>
      </c>
      <c r="T107" s="152">
        <f t="shared" si="295"/>
        <v>-336281.83202348079</v>
      </c>
      <c r="U107" s="152">
        <f t="shared" si="295"/>
        <v>-342469.13202097942</v>
      </c>
      <c r="V107" s="152">
        <f t="shared" si="295"/>
        <v>-370520.09517622559</v>
      </c>
      <c r="W107" s="152">
        <f t="shared" si="295"/>
        <v>-398642.72427576018</v>
      </c>
      <c r="X107" s="152">
        <f t="shared" si="295"/>
        <v>-406076.80325002631</v>
      </c>
      <c r="Y107" s="152">
        <f t="shared" si="295"/>
        <v>-414135.66804308741</v>
      </c>
      <c r="Z107" s="152">
        <f t="shared" si="295"/>
        <v>-381619.93957806908</v>
      </c>
      <c r="AA107" s="152">
        <f t="shared" si="295"/>
        <v>-360800.07037769747</v>
      </c>
      <c r="AB107" s="152">
        <f t="shared" si="295"/>
        <v>-393684.32880481222</v>
      </c>
      <c r="AC107" s="152">
        <f t="shared" si="295"/>
        <v>-414724.8790263579</v>
      </c>
      <c r="AD107" s="152">
        <f t="shared" si="295"/>
        <v>-420466.69957687758</v>
      </c>
      <c r="AE107" s="152">
        <f t="shared" si="295"/>
        <v>-440052.03602468775</v>
      </c>
      <c r="AF107" s="152">
        <f t="shared" si="295"/>
        <v>-594170.64601614652</v>
      </c>
      <c r="AG107" s="152">
        <f t="shared" si="295"/>
        <v>0</v>
      </c>
      <c r="AH107" s="152">
        <f t="shared" si="295"/>
        <v>0</v>
      </c>
      <c r="AI107" s="152">
        <f t="shared" si="295"/>
        <v>0</v>
      </c>
      <c r="AJ107" s="152">
        <f t="shared" si="295"/>
        <v>0</v>
      </c>
      <c r="AK107" s="152">
        <f t="shared" si="295"/>
        <v>0</v>
      </c>
      <c r="AL107" s="152">
        <f t="shared" si="295"/>
        <v>0</v>
      </c>
      <c r="AM107" s="152">
        <f t="shared" si="295"/>
        <v>0</v>
      </c>
      <c r="AN107" s="152">
        <f t="shared" si="295"/>
        <v>0</v>
      </c>
      <c r="AO107" s="152">
        <f t="shared" si="295"/>
        <v>0</v>
      </c>
      <c r="AP107" s="152">
        <f t="shared" si="295"/>
        <v>0</v>
      </c>
    </row>
    <row r="108" spans="1:42">
      <c r="A108" s="184" t="s">
        <v>36</v>
      </c>
      <c r="B108" s="187">
        <f>B274</f>
        <v>0</v>
      </c>
      <c r="C108" s="187">
        <f>C274</f>
        <v>-1949359.8037017025</v>
      </c>
      <c r="D108" s="187">
        <f t="shared" ref="D108:G108" si="296">D274</f>
        <v>2649738.0747398026</v>
      </c>
      <c r="E108" s="187">
        <f t="shared" si="296"/>
        <v>1078008.5036960316</v>
      </c>
      <c r="F108" s="187">
        <f t="shared" si="296"/>
        <v>100395.89421015899</v>
      </c>
      <c r="G108" s="187">
        <f t="shared" si="296"/>
        <v>10190.278818681731</v>
      </c>
      <c r="H108" s="187">
        <f t="shared" ref="H108:AP108" si="297">H274</f>
        <v>-753817.06360282458</v>
      </c>
      <c r="I108" s="187">
        <f t="shared" si="297"/>
        <v>-1523426.1388986781</v>
      </c>
      <c r="J108" s="187">
        <f t="shared" si="297"/>
        <v>-1634596.4737214111</v>
      </c>
      <c r="K108" s="187">
        <f t="shared" si="297"/>
        <v>-1744384.1643072211</v>
      </c>
      <c r="L108" s="187">
        <f t="shared" si="297"/>
        <v>-1860608.5344663563</v>
      </c>
      <c r="M108" s="187">
        <f t="shared" si="297"/>
        <v>-1987569.5458558197</v>
      </c>
      <c r="N108" s="187">
        <f t="shared" si="297"/>
        <v>-1828951.2484773085</v>
      </c>
      <c r="O108" s="187">
        <f t="shared" si="297"/>
        <v>-1729032.5869373658</v>
      </c>
      <c r="P108" s="187">
        <f t="shared" si="297"/>
        <v>-1901067.0700512775</v>
      </c>
      <c r="Q108" s="187">
        <f t="shared" si="297"/>
        <v>-1606000.5422467862</v>
      </c>
      <c r="R108" s="187">
        <f t="shared" si="297"/>
        <v>-1382647.1438220274</v>
      </c>
      <c r="S108" s="187">
        <f t="shared" si="297"/>
        <v>-1770284.6278337745</v>
      </c>
      <c r="T108" s="187">
        <f t="shared" si="297"/>
        <v>-2022276.6534866593</v>
      </c>
      <c r="U108" s="187">
        <f t="shared" si="297"/>
        <v>-2059484.8257443444</v>
      </c>
      <c r="V108" s="187">
        <f t="shared" si="297"/>
        <v>-2228173.1178097567</v>
      </c>
      <c r="W108" s="187">
        <f t="shared" si="297"/>
        <v>-2397292.3828037758</v>
      </c>
      <c r="X108" s="187">
        <f t="shared" si="297"/>
        <v>-2441998.2304535676</v>
      </c>
      <c r="Y108" s="187">
        <f t="shared" si="297"/>
        <v>-2490461.312822748</v>
      </c>
      <c r="Z108" s="187">
        <f t="shared" si="297"/>
        <v>-2294923.5457353881</v>
      </c>
      <c r="AA108" s="187">
        <f t="shared" si="297"/>
        <v>-2169720.4232258806</v>
      </c>
      <c r="AB108" s="187">
        <f t="shared" si="297"/>
        <v>-2367474.3954943931</v>
      </c>
      <c r="AC108" s="187">
        <f t="shared" si="297"/>
        <v>-2494004.6134175975</v>
      </c>
      <c r="AD108" s="187">
        <f t="shared" si="297"/>
        <v>-2528533.8342736769</v>
      </c>
      <c r="AE108" s="187">
        <f t="shared" si="297"/>
        <v>-2646312.925730281</v>
      </c>
      <c r="AF108" s="187">
        <f t="shared" si="297"/>
        <v>-3573126.2030880079</v>
      </c>
      <c r="AG108" s="187">
        <f t="shared" si="297"/>
        <v>0</v>
      </c>
      <c r="AH108" s="187">
        <f t="shared" si="297"/>
        <v>0</v>
      </c>
      <c r="AI108" s="187">
        <f t="shared" si="297"/>
        <v>0</v>
      </c>
      <c r="AJ108" s="187">
        <f t="shared" si="297"/>
        <v>0</v>
      </c>
      <c r="AK108" s="187">
        <f t="shared" si="297"/>
        <v>0</v>
      </c>
      <c r="AL108" s="187">
        <f t="shared" si="297"/>
        <v>0</v>
      </c>
      <c r="AM108" s="187">
        <f t="shared" si="297"/>
        <v>0</v>
      </c>
      <c r="AN108" s="187">
        <f t="shared" si="297"/>
        <v>0</v>
      </c>
      <c r="AO108" s="187">
        <f t="shared" si="297"/>
        <v>0</v>
      </c>
      <c r="AP108" s="187">
        <f t="shared" si="297"/>
        <v>0</v>
      </c>
    </row>
    <row r="109" spans="1:42">
      <c r="A109" s="184" t="s">
        <v>53</v>
      </c>
      <c r="B109" s="194">
        <f>SUM(B107:B108)</f>
        <v>0</v>
      </c>
      <c r="C109" s="194">
        <f>SUM(C107:C108)</f>
        <v>-2364578.5255608167</v>
      </c>
      <c r="D109" s="194">
        <f>SUM(D107:D108)</f>
        <v>3127133.7371168626</v>
      </c>
      <c r="E109" s="194">
        <f t="shared" ref="E109" si="298">SUM(E107:E108)</f>
        <v>1279333.614612421</v>
      </c>
      <c r="F109" s="194">
        <f t="shared" ref="F109" si="299">SUM(F107:F108)</f>
        <v>130329.26328331749</v>
      </c>
      <c r="G109" s="194">
        <f t="shared" ref="G109" si="300">SUM(G107:G108)</f>
        <v>25123.469973378345</v>
      </c>
      <c r="H109" s="194">
        <f t="shared" ref="H109" si="301">SUM(H107:H108)</f>
        <v>-872549.02030263154</v>
      </c>
      <c r="I109" s="194">
        <f t="shared" ref="I109" si="302">SUM(I107:I108)</f>
        <v>-1776754.7485416934</v>
      </c>
      <c r="J109" s="194">
        <f t="shared" ref="J109" si="303">SUM(J107:J108)</f>
        <v>-1906411.4580137092</v>
      </c>
      <c r="K109" s="194">
        <f t="shared" ref="K109" si="304">SUM(K107:K108)</f>
        <v>-2034455.6050839322</v>
      </c>
      <c r="L109" s="194">
        <f t="shared" ref="L109" si="305">SUM(L107:L108)</f>
        <v>-2170006.7790488191</v>
      </c>
      <c r="M109" s="194">
        <f t="shared" ref="M109" si="306">SUM(M107:M108)</f>
        <v>-2318079.9767615492</v>
      </c>
      <c r="N109" s="194">
        <f t="shared" ref="N109" si="307">SUM(N107:N108)</f>
        <v>-2133085.2429330968</v>
      </c>
      <c r="O109" s="194">
        <f t="shared" ref="O109" si="308">SUM(O107:O108)</f>
        <v>-2016551.2332912739</v>
      </c>
      <c r="P109" s="194">
        <f t="shared" ref="P109" si="309">SUM(P107:P108)</f>
        <v>-2217193.113446048</v>
      </c>
      <c r="Q109" s="194">
        <f t="shared" ref="Q109" si="310">SUM(Q107:Q108)</f>
        <v>-1873060.3451903183</v>
      </c>
      <c r="R109" s="194">
        <f t="shared" ref="R109" si="311">SUM(R107:R108)</f>
        <v>-1612565.7920766352</v>
      </c>
      <c r="S109" s="194">
        <f t="shared" ref="S109" si="312">SUM(S107:S108)</f>
        <v>-2064663.0239966093</v>
      </c>
      <c r="T109" s="194">
        <f t="shared" ref="T109" si="313">SUM(T107:T108)</f>
        <v>-2358558.4855101402</v>
      </c>
      <c r="U109" s="194">
        <f t="shared" ref="U109" si="314">SUM(U107:U108)</f>
        <v>-2401953.957765324</v>
      </c>
      <c r="V109" s="194">
        <f t="shared" ref="V109" si="315">SUM(V107:V108)</f>
        <v>-2598693.2129859822</v>
      </c>
      <c r="W109" s="194">
        <f t="shared" ref="W109" si="316">SUM(W107:W108)</f>
        <v>-2795935.1070795362</v>
      </c>
      <c r="X109" s="194">
        <f t="shared" ref="X109" si="317">SUM(X107:X108)</f>
        <v>-2848075.033703594</v>
      </c>
      <c r="Y109" s="194">
        <f t="shared" ref="Y109" si="318">SUM(Y107:Y108)</f>
        <v>-2904596.9808658352</v>
      </c>
      <c r="Z109" s="194">
        <f t="shared" ref="Z109" si="319">SUM(Z107:Z108)</f>
        <v>-2676543.485313457</v>
      </c>
      <c r="AA109" s="194">
        <f t="shared" ref="AA109" si="320">SUM(AA107:AA108)</f>
        <v>-2530520.4936035778</v>
      </c>
      <c r="AB109" s="194">
        <f t="shared" ref="AB109" si="321">SUM(AB107:AB108)</f>
        <v>-2761158.7242992055</v>
      </c>
      <c r="AC109" s="194">
        <f t="shared" ref="AC109" si="322">SUM(AC107:AC108)</f>
        <v>-2908729.4924439555</v>
      </c>
      <c r="AD109" s="194">
        <f t="shared" ref="AD109" si="323">SUM(AD107:AD108)</f>
        <v>-2949000.5338505544</v>
      </c>
      <c r="AE109" s="194">
        <f t="shared" ref="AE109" si="324">SUM(AE107:AE108)</f>
        <v>-3086364.9617549689</v>
      </c>
      <c r="AF109" s="194">
        <f t="shared" ref="AF109" si="325">SUM(AF107:AF108)</f>
        <v>-4167296.8491041544</v>
      </c>
      <c r="AG109" s="194">
        <f t="shared" ref="AG109" si="326">SUM(AG107:AG108)</f>
        <v>0</v>
      </c>
      <c r="AH109" s="194">
        <f t="shared" ref="AH109" si="327">SUM(AH107:AH108)</f>
        <v>0</v>
      </c>
      <c r="AI109" s="194">
        <f t="shared" ref="AI109" si="328">SUM(AI107:AI108)</f>
        <v>0</v>
      </c>
      <c r="AJ109" s="194">
        <f t="shared" ref="AJ109" si="329">SUM(AJ107:AJ108)</f>
        <v>0</v>
      </c>
      <c r="AK109" s="194">
        <f t="shared" ref="AK109" si="330">SUM(AK107:AK108)</f>
        <v>0</v>
      </c>
      <c r="AL109" s="194">
        <f t="shared" ref="AL109" si="331">SUM(AL107:AL108)</f>
        <v>0</v>
      </c>
      <c r="AM109" s="194">
        <f t="shared" ref="AM109" si="332">SUM(AM107:AM108)</f>
        <v>0</v>
      </c>
      <c r="AN109" s="194">
        <f t="shared" ref="AN109" si="333">SUM(AN107:AN108)</f>
        <v>0</v>
      </c>
      <c r="AO109" s="194">
        <f t="shared" ref="AO109" si="334">SUM(AO107:AO108)</f>
        <v>0</v>
      </c>
      <c r="AP109" s="194">
        <f t="shared" ref="AP109" si="335">SUM(AP107:AP108)</f>
        <v>0</v>
      </c>
    </row>
    <row r="110" spans="1:42">
      <c r="A110" s="180" t="s">
        <v>53</v>
      </c>
      <c r="B110" s="152">
        <f>B97+B101+B105+B109</f>
        <v>-9660967.97514797</v>
      </c>
      <c r="C110" s="152">
        <f t="shared" ref="C110:AP110" si="336">C97+C101+C105+C109</f>
        <v>-857037.52969020442</v>
      </c>
      <c r="D110" s="152">
        <f t="shared" si="336"/>
        <v>4648105.3783532726</v>
      </c>
      <c r="E110" s="152">
        <f t="shared" si="336"/>
        <v>2844641.042298303</v>
      </c>
      <c r="F110" s="152">
        <f t="shared" si="336"/>
        <v>1736979.4654872066</v>
      </c>
      <c r="G110" s="152">
        <f t="shared" si="336"/>
        <v>1676394.8392895609</v>
      </c>
      <c r="H110" s="152">
        <f t="shared" si="336"/>
        <v>824288.97069794394</v>
      </c>
      <c r="I110" s="152">
        <f t="shared" si="336"/>
        <v>-37480.918330518296</v>
      </c>
      <c r="J110" s="152">
        <f t="shared" si="336"/>
        <v>-121274.72221187828</v>
      </c>
      <c r="K110" s="152">
        <f t="shared" si="336"/>
        <v>-202468.42390633095</v>
      </c>
      <c r="L110" s="152">
        <f t="shared" si="336"/>
        <v>1513768.3263809201</v>
      </c>
      <c r="M110" s="152">
        <f t="shared" si="336"/>
        <v>3224667.8216616637</v>
      </c>
      <c r="N110" s="152">
        <f t="shared" si="336"/>
        <v>3527567.6212063511</v>
      </c>
      <c r="O110" s="152">
        <f t="shared" si="336"/>
        <v>3659925.2137269033</v>
      </c>
      <c r="P110" s="152">
        <f t="shared" si="336"/>
        <v>3580707.6305709886</v>
      </c>
      <c r="Q110" s="152">
        <f t="shared" si="336"/>
        <v>4047616.5312533407</v>
      </c>
      <c r="R110" s="152">
        <f t="shared" si="336"/>
        <v>4217706.7519121226</v>
      </c>
      <c r="S110" s="152">
        <f t="shared" si="336"/>
        <v>3892977.3163154209</v>
      </c>
      <c r="T110" s="152">
        <f t="shared" si="336"/>
        <v>3727859.1959677027</v>
      </c>
      <c r="U110" s="152">
        <f t="shared" si="336"/>
        <v>3810455.1754177967</v>
      </c>
      <c r="V110" s="152">
        <f t="shared" si="336"/>
        <v>3745406.2084269254</v>
      </c>
      <c r="W110" s="152">
        <f t="shared" si="336"/>
        <v>3681324.2193744513</v>
      </c>
      <c r="X110" s="152">
        <f t="shared" si="336"/>
        <v>3745095.7222370799</v>
      </c>
      <c r="Y110" s="152">
        <f t="shared" si="336"/>
        <v>3810439.848304484</v>
      </c>
      <c r="Z110" s="152">
        <f t="shared" si="336"/>
        <v>4161891.5576975546</v>
      </c>
      <c r="AA110" s="152">
        <f t="shared" si="336"/>
        <v>4660052.6398253869</v>
      </c>
      <c r="AB110" s="152">
        <f t="shared" si="336"/>
        <v>4550844.2150035873</v>
      </c>
      <c r="AC110" s="152">
        <f t="shared" si="336"/>
        <v>4526300.4610505598</v>
      </c>
      <c r="AD110" s="152">
        <f t="shared" si="336"/>
        <v>4605856.3053931957</v>
      </c>
      <c r="AE110" s="152">
        <f t="shared" si="336"/>
        <v>4594819.6590976566</v>
      </c>
      <c r="AF110" s="152">
        <f t="shared" si="336"/>
        <v>7814595.4682038501</v>
      </c>
      <c r="AG110" s="152">
        <f t="shared" si="336"/>
        <v>0</v>
      </c>
      <c r="AH110" s="152">
        <f t="shared" si="336"/>
        <v>0</v>
      </c>
      <c r="AI110" s="152">
        <f t="shared" si="336"/>
        <v>0</v>
      </c>
      <c r="AJ110" s="152">
        <f t="shared" si="336"/>
        <v>0</v>
      </c>
      <c r="AK110" s="152">
        <f t="shared" si="336"/>
        <v>0</v>
      </c>
      <c r="AL110" s="152">
        <f t="shared" si="336"/>
        <v>0</v>
      </c>
      <c r="AM110" s="152">
        <f t="shared" si="336"/>
        <v>0</v>
      </c>
      <c r="AN110" s="152">
        <f t="shared" si="336"/>
        <v>0</v>
      </c>
      <c r="AO110" s="152">
        <f t="shared" si="336"/>
        <v>0</v>
      </c>
      <c r="AP110" s="152">
        <f t="shared" si="336"/>
        <v>0</v>
      </c>
    </row>
    <row r="111" spans="1:42">
      <c r="A111" s="184"/>
      <c r="B111" s="152"/>
      <c r="C111" s="152"/>
      <c r="D111" s="152"/>
      <c r="E111" s="152"/>
      <c r="F111" s="152"/>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152"/>
      <c r="AL111" s="152"/>
      <c r="AM111" s="152"/>
      <c r="AN111" s="152"/>
      <c r="AO111" s="152"/>
      <c r="AP111" s="152"/>
    </row>
    <row r="112" spans="1:42">
      <c r="A112" s="180" t="s">
        <v>401</v>
      </c>
      <c r="B112" s="201">
        <f>ROUND(IF(ISERROR(IRR($B110:B110)),0,IRR($B110:B110)),4)</f>
        <v>0</v>
      </c>
      <c r="C112" s="201">
        <f>ROUND(IF(ISERROR(IRR($B110:C110)),0,IRR($B110:C110)),4)</f>
        <v>0</v>
      </c>
      <c r="D112" s="201">
        <f>ROUND(IF(ISERROR(IRR($B110:D110)),0,IRR($B110:D110)),4)</f>
        <v>-0.3493</v>
      </c>
      <c r="E112" s="201">
        <f>ROUND(IF(ISERROR(IRR($B110:E110)),0,IRR($B110:E110)),4)</f>
        <v>-0.1366</v>
      </c>
      <c r="F112" s="201">
        <f>ROUND(IF(ISERROR(IRR($B110:F110)),0,IRR($B110:F110)),4)</f>
        <v>-4.87E-2</v>
      </c>
      <c r="G112" s="201">
        <f>ROUND(IF(ISERROR(IRR($B110:G110)),0,IRR($B110:G110)),4)</f>
        <v>1.23E-2</v>
      </c>
      <c r="H112" s="201">
        <f>ROUND(IF(ISERROR(IRR($B110:H110)),0,IRR($B110:H110)),4)</f>
        <v>3.5400000000000001E-2</v>
      </c>
      <c r="I112" s="201">
        <f>ROUND(IF(ISERROR(IRR($B110:I110)),0,IRR($B110:I110)),4)</f>
        <v>3.44E-2</v>
      </c>
      <c r="J112" s="201">
        <f>ROUND(IF(ISERROR(IRR($B110:J110)),0,IRR($B110:J110)),4)</f>
        <v>3.1399999999999997E-2</v>
      </c>
      <c r="K112" s="201">
        <f>ROUND(IF(ISERROR(IRR($B110:K110)),0,IRR($B110:K110)),4)</f>
        <v>2.64E-2</v>
      </c>
      <c r="L112" s="201">
        <f>ROUND(IF(ISERROR(IRR($B110:L110)),0,IRR($B110:L110)),4)</f>
        <v>5.6800000000000003E-2</v>
      </c>
      <c r="M112" s="201">
        <f>ROUND(IF(ISERROR(IRR($B110:M110)),0,IRR($B110:M110)),4)</f>
        <v>9.4600000000000004E-2</v>
      </c>
      <c r="N112" s="201">
        <f>ROUND(IF(ISERROR(IRR($B110:N110)),0,IRR($B110:N110)),4)</f>
        <v>0.11899999999999999</v>
      </c>
      <c r="O112" s="201">
        <f>ROUND(IF(ISERROR(IRR($B110:O110)),0,IRR($B110:O110)),4)</f>
        <v>0.13589999999999999</v>
      </c>
      <c r="P112" s="201">
        <f>ROUND(IF(ISERROR(IRR($B110:P110)),0,IRR($B110:P110)),4)</f>
        <v>0.14749999999999999</v>
      </c>
      <c r="Q112" s="201">
        <f>ROUND(IF(ISERROR(IRR($B110:Q110)),0,IRR($B110:Q110)),4)</f>
        <v>0.15709999999999999</v>
      </c>
      <c r="R112" s="201">
        <f>ROUND(IF(ISERROR(IRR($B110:R110)),0,IRR($B110:R110)),4)</f>
        <v>0.16450000000000001</v>
      </c>
      <c r="S112" s="201">
        <f>ROUND(IF(ISERROR(IRR($B110:S110)),0,IRR($B110:S110)),4)</f>
        <v>0.16980000000000001</v>
      </c>
      <c r="T112" s="201">
        <f>ROUND(IF(ISERROR(IRR($B110:T110)),0,IRR($B110:T110)),4)</f>
        <v>0.17369999999999999</v>
      </c>
      <c r="U112" s="201">
        <f>ROUND(IF(ISERROR(IRR($B110:U110)),0,IRR($B110:U110)),4)</f>
        <v>0.17680000000000001</v>
      </c>
      <c r="V112" s="201">
        <f>ROUND(IF(ISERROR(IRR($B110:V110)),0,IRR($B110:V110)),4)</f>
        <v>0.17929999999999999</v>
      </c>
      <c r="W112" s="201">
        <f>ROUND(IF(ISERROR(IRR($B110:W110)),0,IRR($B110:W110)),4)</f>
        <v>0.18129999999999999</v>
      </c>
      <c r="X112" s="201">
        <f>ROUND(IF(ISERROR(IRR($B110:X110)),0,IRR($B110:X110)),4)</f>
        <v>0.18290000000000001</v>
      </c>
      <c r="Y112" s="201">
        <f>ROUND(IF(ISERROR(IRR($B110:Y110)),0,IRR($B110:Y110)),4)</f>
        <v>0.1842</v>
      </c>
      <c r="Z112" s="201">
        <f>ROUND(IF(ISERROR(IRR($B110:Z110)),0,IRR($B110:Z110)),4)</f>
        <v>0.18540000000000001</v>
      </c>
      <c r="AA112" s="201">
        <f>ROUND(IF(ISERROR(IRR($B110:AA110)),0,IRR($B110:AA110)),4)</f>
        <v>0.1865</v>
      </c>
      <c r="AB112" s="201">
        <f>ROUND(IF(ISERROR(IRR($B110:AB110)),0,IRR($B110:AB110)),4)</f>
        <v>0.18729999999999999</v>
      </c>
      <c r="AC112" s="201">
        <f>ROUND(IF(ISERROR(IRR($B110:AC110)),0,IRR($B110:AC110)),4)</f>
        <v>0.188</v>
      </c>
      <c r="AD112" s="201">
        <f>ROUND(IF(ISERROR(IRR($B110:AD110)),0,IRR($B110:AD110)),4)</f>
        <v>0.18859999999999999</v>
      </c>
      <c r="AE112" s="201">
        <f>ROUND(IF(ISERROR(IRR($B110:AE110)),0,IRR($B110:AE110)),4)</f>
        <v>0.18909999999999999</v>
      </c>
      <c r="AF112" s="201">
        <f>ROUND(IF(ISERROR(IRR($B110:AF110)),0,IRR($B110:AF110)),4)</f>
        <v>0.1898</v>
      </c>
      <c r="AG112" s="201">
        <f>ROUND(IF(ISERROR(IRR($B110:AG110)),0,IRR($B110:AG110)),4)</f>
        <v>0.1898</v>
      </c>
      <c r="AH112" s="201">
        <f>ROUND(IF(ISERROR(IRR($B110:AH110)),0,IRR($B110:AH110)),4)</f>
        <v>0.1898</v>
      </c>
      <c r="AI112" s="201">
        <f>ROUND(IF(ISERROR(IRR($B110:AI110)),0,IRR($B110:AI110)),4)</f>
        <v>0.1898</v>
      </c>
      <c r="AJ112" s="201">
        <f>ROUND(IF(ISERROR(IRR($B110:AJ110)),0,IRR($B110:AJ110)),4)</f>
        <v>0.1898</v>
      </c>
      <c r="AK112" s="201">
        <f>ROUND(IF(ISERROR(IRR($B110:AK110)),0,IRR($B110:AK110)),4)</f>
        <v>0.1898</v>
      </c>
      <c r="AL112" s="201">
        <f>ROUND(IF(ISERROR(IRR($B110:AL110)),0,IRR($B110:AL110)),4)</f>
        <v>0.1898</v>
      </c>
      <c r="AM112" s="201">
        <f>ROUND(IF(ISERROR(IRR($B110:AM110)),0,IRR($B110:AM110)),4)</f>
        <v>0.1898</v>
      </c>
      <c r="AN112" s="201">
        <f>ROUND(IF(ISERROR(IRR($B110:AN110)),0,IRR($B110:AN110)),4)</f>
        <v>0.1898</v>
      </c>
      <c r="AO112" s="201">
        <f>ROUND(IF(ISERROR(IRR($B110:AO110)),0,IRR($B110:AO110)),4)</f>
        <v>0.1898</v>
      </c>
      <c r="AP112" s="201">
        <f>ROUND(IF(ISERROR(IRR($B110:AP110)),0,IRR($B110:AP110)),4)</f>
        <v>0.1898</v>
      </c>
    </row>
    <row r="113" spans="1:42">
      <c r="A113" s="180" t="s">
        <v>402</v>
      </c>
      <c r="B113" s="251">
        <f>B110</f>
        <v>-9660967.97514797</v>
      </c>
      <c r="C113" s="251">
        <f>NPV(DiscountRate,$C110:C110)+$B110</f>
        <v>-10454521.243379641</v>
      </c>
      <c r="D113" s="251">
        <f>NPV(DiscountRate,$C110:D110)+$B110</f>
        <v>-6469520.0616638726</v>
      </c>
      <c r="E113" s="251">
        <f>NPV(DiscountRate,$C110:E110)+$B110</f>
        <v>-4211352.2881582603</v>
      </c>
      <c r="F113" s="251">
        <f>NPV(DiscountRate,$C110:F110)+$B110</f>
        <v>-2934620.5273307366</v>
      </c>
      <c r="G113" s="251">
        <f>NPV(DiscountRate,$C110:G110)+$B110</f>
        <v>-1793694.3681161627</v>
      </c>
      <c r="H113" s="251">
        <f>NPV(DiscountRate,$C110:H110)+$B110</f>
        <v>-1274252.4950075811</v>
      </c>
      <c r="I113" s="251">
        <f>NPV(DiscountRate,$C110:I110)+$B110</f>
        <v>-1296122.2508590426</v>
      </c>
      <c r="J113" s="251">
        <f>NPV(DiscountRate,$C110:J110)+$B110</f>
        <v>-1361643.2097467408</v>
      </c>
      <c r="K113" s="251">
        <f>NPV(DiscountRate,$C110:K110)+$B110</f>
        <v>-1462927.8296826165</v>
      </c>
      <c r="L113" s="251">
        <f>NPV(DiscountRate,$C110:L110)+$B110</f>
        <v>-761760.19843412377</v>
      </c>
      <c r="M113" s="251">
        <f>NPV(DiscountRate,$C110:M110)+$B110</f>
        <v>621244.55733430758</v>
      </c>
      <c r="N113" s="251">
        <f>NPV(DiscountRate,$C110:N110)+$B110</f>
        <v>2022090.1942694616</v>
      </c>
      <c r="O113" s="251">
        <f>NPV(DiscountRate,$C110:O110)+$B110</f>
        <v>3367837.099812353</v>
      </c>
      <c r="P113" s="251">
        <f>NPV(DiscountRate,$C110:P110)+$B110</f>
        <v>4586928.5485335682</v>
      </c>
      <c r="Q113" s="251">
        <f>NPV(DiscountRate,$C110:Q110)+$B110</f>
        <v>5862906.084893994</v>
      </c>
      <c r="R113" s="251">
        <f>NPV(DiscountRate,$C110:R110)+$B110</f>
        <v>7094014.480744848</v>
      </c>
      <c r="S113" s="251">
        <f>NPV(DiscountRate,$C110:S110)+$B110</f>
        <v>8146165.3780260608</v>
      </c>
      <c r="T113" s="251">
        <f>NPV(DiscountRate,$C110:T110)+$B110</f>
        <v>9079058.5224984735</v>
      </c>
      <c r="U113" s="251">
        <f>NPV(DiscountRate,$C110:U110)+$B110</f>
        <v>9961986.9559602253</v>
      </c>
      <c r="V113" s="251">
        <f>NPV(DiscountRate,$C110:V110)+$B110</f>
        <v>10765557.143978246</v>
      </c>
      <c r="W113" s="251">
        <f>NPV(DiscountRate,$C110:W110)+$B110</f>
        <v>11496873.358922623</v>
      </c>
      <c r="X113" s="251">
        <f>NPV(DiscountRate,$C110:X110)+$B110</f>
        <v>12185748.164960489</v>
      </c>
      <c r="Y113" s="251">
        <f>NPV(DiscountRate,$C110:Y110)+$B110</f>
        <v>12834724.310996018</v>
      </c>
      <c r="Z113" s="251">
        <f>NPV(DiscountRate,$C110:Z110)+$B110</f>
        <v>13491051.851584136</v>
      </c>
      <c r="AA113" s="251">
        <f>NPV(DiscountRate,$C110:AA110)+$B110</f>
        <v>14171502.974835329</v>
      </c>
      <c r="AB113" s="251">
        <f>NPV(DiscountRate,$C110:AB110)+$B110</f>
        <v>14786785.139520399</v>
      </c>
      <c r="AC113" s="251">
        <f>NPV(DiscountRate,$C110:AC110)+$B110</f>
        <v>15353418.293094609</v>
      </c>
      <c r="AD113" s="251">
        <f>NPV(DiscountRate,$C110:AD110)+$B110</f>
        <v>15887300.234398212</v>
      </c>
      <c r="AE113" s="251">
        <f>NPV(DiscountRate,$C110:AE110)+$B110</f>
        <v>16380450.829368208</v>
      </c>
      <c r="AF113" s="251">
        <f>NPV(DiscountRate,$C110:AF110)+$B110</f>
        <v>17157044.481954068</v>
      </c>
      <c r="AG113" s="251">
        <f>NPV(DiscountRate,$C110:AG110)+$B110</f>
        <v>17157044.481954068</v>
      </c>
      <c r="AH113" s="251">
        <f>NPV(DiscountRate,$C110:AH110)+$B110</f>
        <v>17157044.481954068</v>
      </c>
      <c r="AI113" s="251">
        <f>NPV(DiscountRate,$C110:AI110)+$B110</f>
        <v>17157044.481954068</v>
      </c>
      <c r="AJ113" s="251">
        <f>NPV(DiscountRate,$C110:AJ110)+$B110</f>
        <v>17157044.481954068</v>
      </c>
      <c r="AK113" s="251">
        <f>NPV(DiscountRate,$C110:AK110)+$B110</f>
        <v>17157044.481954068</v>
      </c>
      <c r="AL113" s="251">
        <f>NPV(DiscountRate,$C110:AL110)+$B110</f>
        <v>17157044.481954068</v>
      </c>
      <c r="AM113" s="251">
        <f>NPV(DiscountRate,$C110:AM110)+$B110</f>
        <v>17157044.481954068</v>
      </c>
      <c r="AN113" s="251">
        <f>NPV(DiscountRate,$C110:AN110)+$B110</f>
        <v>17157044.481954068</v>
      </c>
      <c r="AO113" s="251">
        <f>NPV(DiscountRate,$C110:AO110)+$B110</f>
        <v>17157044.481954068</v>
      </c>
      <c r="AP113" s="251">
        <f>NPV(DiscountRate,$C110:AP110)+$B110</f>
        <v>17157044.481954068</v>
      </c>
    </row>
    <row r="114" spans="1:42">
      <c r="A114" s="184"/>
      <c r="B114" s="152"/>
      <c r="C114" s="152"/>
      <c r="D114" s="152"/>
      <c r="E114" s="152"/>
      <c r="F114" s="152"/>
      <c r="G114" s="152"/>
      <c r="H114" s="152"/>
      <c r="I114" s="152"/>
      <c r="J114" s="152"/>
      <c r="K114" s="152"/>
      <c r="L114" s="152"/>
      <c r="M114" s="152"/>
      <c r="N114" s="152"/>
      <c r="O114" s="152"/>
      <c r="P114" s="152"/>
      <c r="Q114" s="152"/>
      <c r="R114" s="152"/>
      <c r="S114" s="152"/>
      <c r="T114" s="152"/>
      <c r="U114" s="152"/>
      <c r="V114" s="152"/>
      <c r="W114" s="152"/>
      <c r="X114" s="152"/>
      <c r="Y114" s="152"/>
      <c r="Z114" s="152"/>
      <c r="AA114" s="152"/>
      <c r="AB114" s="152"/>
      <c r="AC114" s="152"/>
      <c r="AD114" s="152"/>
      <c r="AE114" s="152"/>
      <c r="AF114" s="152"/>
      <c r="AG114" s="152"/>
      <c r="AH114" s="152"/>
      <c r="AI114" s="152"/>
      <c r="AJ114" s="152"/>
      <c r="AK114" s="152"/>
      <c r="AL114" s="152"/>
      <c r="AM114" s="152"/>
      <c r="AN114" s="152"/>
      <c r="AO114" s="152"/>
      <c r="AP114" s="152"/>
    </row>
    <row r="115" spans="1:42">
      <c r="A115" s="179" t="s">
        <v>250</v>
      </c>
      <c r="B115" s="152"/>
      <c r="C115" s="152"/>
      <c r="D115" s="152"/>
      <c r="E115" s="152"/>
      <c r="F115" s="152"/>
      <c r="G115" s="186"/>
      <c r="H115" s="186"/>
      <c r="I115" s="186"/>
      <c r="J115" s="186"/>
      <c r="K115" s="186"/>
      <c r="L115" s="186"/>
      <c r="M115" s="186"/>
      <c r="N115" s="186"/>
      <c r="O115" s="186"/>
      <c r="P115" s="186"/>
      <c r="Q115" s="186"/>
      <c r="R115" s="186"/>
      <c r="S115" s="186"/>
      <c r="T115" s="186"/>
      <c r="U115" s="186"/>
      <c r="V115" s="186"/>
      <c r="W115" s="186"/>
      <c r="X115" s="186"/>
      <c r="Y115" s="186"/>
      <c r="Z115" s="186"/>
      <c r="AA115" s="186"/>
      <c r="AB115" s="186"/>
      <c r="AC115" s="186"/>
      <c r="AD115" s="186"/>
      <c r="AE115" s="186"/>
      <c r="AF115" s="186"/>
      <c r="AG115" s="186"/>
      <c r="AH115" s="186"/>
      <c r="AI115" s="186"/>
      <c r="AJ115" s="186"/>
      <c r="AK115" s="186"/>
      <c r="AL115" s="186"/>
      <c r="AM115" s="186"/>
      <c r="AN115" s="186"/>
      <c r="AO115" s="186"/>
      <c r="AP115" s="186"/>
    </row>
    <row r="116" spans="1:42">
      <c r="A116" s="180" t="s">
        <v>438</v>
      </c>
      <c r="B116" s="196">
        <f>SUM(C116:AP116)</f>
        <v>221444451.18108493</v>
      </c>
      <c r="C116" s="152">
        <f t="shared" ref="C116:AP116" si="337">C12</f>
        <v>5908179.1298221732</v>
      </c>
      <c r="D116" s="152">
        <f t="shared" si="337"/>
        <v>5996210.9988565231</v>
      </c>
      <c r="E116" s="152">
        <f t="shared" si="337"/>
        <v>6085554.5427394854</v>
      </c>
      <c r="F116" s="152">
        <f t="shared" si="337"/>
        <v>6176229.3054263033</v>
      </c>
      <c r="G116" s="152">
        <f t="shared" si="337"/>
        <v>6268255.1220771549</v>
      </c>
      <c r="H116" s="152">
        <f t="shared" si="337"/>
        <v>6361652.1233961061</v>
      </c>
      <c r="I116" s="152">
        <f t="shared" si="337"/>
        <v>6456440.7400347078</v>
      </c>
      <c r="J116" s="152">
        <f t="shared" si="337"/>
        <v>6552641.7070612237</v>
      </c>
      <c r="K116" s="152">
        <f t="shared" si="337"/>
        <v>6650276.0684964359</v>
      </c>
      <c r="L116" s="152">
        <f t="shared" si="337"/>
        <v>6749365.1819170332</v>
      </c>
      <c r="M116" s="152">
        <f t="shared" si="337"/>
        <v>6849930.7231275979</v>
      </c>
      <c r="N116" s="152">
        <f t="shared" si="337"/>
        <v>6951994.6909021977</v>
      </c>
      <c r="O116" s="152">
        <f t="shared" si="337"/>
        <v>7055579.4117966415</v>
      </c>
      <c r="P116" s="152">
        <f t="shared" si="337"/>
        <v>7160707.5450324118</v>
      </c>
      <c r="Q116" s="152">
        <f t="shared" si="337"/>
        <v>7267402.0874533951</v>
      </c>
      <c r="R116" s="152">
        <f t="shared" si="337"/>
        <v>7375686.378556448</v>
      </c>
      <c r="S116" s="152">
        <f t="shared" si="337"/>
        <v>7485584.105596941</v>
      </c>
      <c r="T116" s="152">
        <f t="shared" si="337"/>
        <v>7597119.3087703343</v>
      </c>
      <c r="U116" s="152">
        <f t="shared" si="337"/>
        <v>7710316.3864710126</v>
      </c>
      <c r="V116" s="152">
        <f t="shared" si="337"/>
        <v>7825200.1006294284</v>
      </c>
      <c r="W116" s="152">
        <f t="shared" si="337"/>
        <v>7941795.5821288088</v>
      </c>
      <c r="X116" s="152">
        <f t="shared" si="337"/>
        <v>8060128.3363025272</v>
      </c>
      <c r="Y116" s="152">
        <f t="shared" si="337"/>
        <v>8180224.248513435</v>
      </c>
      <c r="Z116" s="152">
        <f t="shared" si="337"/>
        <v>8302109.5898162834</v>
      </c>
      <c r="AA116" s="152">
        <f t="shared" si="337"/>
        <v>8425811.0227045473</v>
      </c>
      <c r="AB116" s="152">
        <f t="shared" si="337"/>
        <v>8551355.6069428436</v>
      </c>
      <c r="AC116" s="152">
        <f t="shared" si="337"/>
        <v>8678770.8054862935</v>
      </c>
      <c r="AD116" s="152">
        <f t="shared" si="337"/>
        <v>8808084.4904880375</v>
      </c>
      <c r="AE116" s="152">
        <f t="shared" si="337"/>
        <v>8939324.9493963104</v>
      </c>
      <c r="AF116" s="152">
        <f t="shared" si="337"/>
        <v>9072520.8911423143</v>
      </c>
      <c r="AG116" s="152">
        <f t="shared" si="337"/>
        <v>0</v>
      </c>
      <c r="AH116" s="152">
        <f t="shared" si="337"/>
        <v>0</v>
      </c>
      <c r="AI116" s="152">
        <f t="shared" si="337"/>
        <v>0</v>
      </c>
      <c r="AJ116" s="152">
        <f t="shared" si="337"/>
        <v>0</v>
      </c>
      <c r="AK116" s="152">
        <f t="shared" si="337"/>
        <v>0</v>
      </c>
      <c r="AL116" s="152">
        <f t="shared" si="337"/>
        <v>0</v>
      </c>
      <c r="AM116" s="152">
        <f t="shared" si="337"/>
        <v>0</v>
      </c>
      <c r="AN116" s="152">
        <f t="shared" si="337"/>
        <v>0</v>
      </c>
      <c r="AO116" s="152">
        <f t="shared" si="337"/>
        <v>0</v>
      </c>
      <c r="AP116" s="152">
        <f t="shared" si="337"/>
        <v>0</v>
      </c>
    </row>
    <row r="117" spans="1:42">
      <c r="A117" s="180" t="s">
        <v>127</v>
      </c>
      <c r="B117" s="196">
        <f>SUM(C117:AP117)</f>
        <v>474693747.49003303</v>
      </c>
      <c r="C117" s="152">
        <f t="shared" ref="C117:AP117" si="338">C5</f>
        <v>17000000</v>
      </c>
      <c r="D117" s="152">
        <f t="shared" si="338"/>
        <v>16915000</v>
      </c>
      <c r="E117" s="152">
        <f t="shared" si="338"/>
        <v>16830425</v>
      </c>
      <c r="F117" s="152">
        <f t="shared" si="338"/>
        <v>16746272.875</v>
      </c>
      <c r="G117" s="152">
        <f t="shared" si="338"/>
        <v>16662541.510624999</v>
      </c>
      <c r="H117" s="152">
        <f t="shared" si="338"/>
        <v>16579228.803071873</v>
      </c>
      <c r="I117" s="152">
        <f t="shared" si="338"/>
        <v>16496332.659056515</v>
      </c>
      <c r="J117" s="152">
        <f t="shared" si="338"/>
        <v>16413850.995761232</v>
      </c>
      <c r="K117" s="152">
        <f t="shared" si="338"/>
        <v>16331781.740782427</v>
      </c>
      <c r="L117" s="152">
        <f t="shared" si="338"/>
        <v>16250122.832078515</v>
      </c>
      <c r="M117" s="152">
        <f t="shared" si="338"/>
        <v>16168872.217918122</v>
      </c>
      <c r="N117" s="152">
        <f t="shared" si="338"/>
        <v>16088027.856828531</v>
      </c>
      <c r="O117" s="152">
        <f t="shared" si="338"/>
        <v>16007587.717544388</v>
      </c>
      <c r="P117" s="152">
        <f t="shared" si="338"/>
        <v>15927549.778956667</v>
      </c>
      <c r="Q117" s="152">
        <f t="shared" si="338"/>
        <v>15847912.030061884</v>
      </c>
      <c r="R117" s="152">
        <f t="shared" si="338"/>
        <v>15768672.469911573</v>
      </c>
      <c r="S117" s="152">
        <f t="shared" si="338"/>
        <v>15689829.107562015</v>
      </c>
      <c r="T117" s="152">
        <f t="shared" si="338"/>
        <v>15611379.962024204</v>
      </c>
      <c r="U117" s="152">
        <f t="shared" si="338"/>
        <v>15533323.062214084</v>
      </c>
      <c r="V117" s="152">
        <f t="shared" si="338"/>
        <v>15455656.446903013</v>
      </c>
      <c r="W117" s="152">
        <f t="shared" si="338"/>
        <v>15378378.164668497</v>
      </c>
      <c r="X117" s="152">
        <f t="shared" si="338"/>
        <v>15301486.273845155</v>
      </c>
      <c r="Y117" s="152">
        <f t="shared" si="338"/>
        <v>15224978.842475928</v>
      </c>
      <c r="Z117" s="152">
        <f t="shared" si="338"/>
        <v>15148853.948263548</v>
      </c>
      <c r="AA117" s="152">
        <f t="shared" si="338"/>
        <v>15073109.678522231</v>
      </c>
      <c r="AB117" s="152">
        <f t="shared" si="338"/>
        <v>14997744.13012962</v>
      </c>
      <c r="AC117" s="152">
        <f t="shared" si="338"/>
        <v>14922755.409478972</v>
      </c>
      <c r="AD117" s="152">
        <f t="shared" si="338"/>
        <v>14848141.632431576</v>
      </c>
      <c r="AE117" s="152">
        <f t="shared" si="338"/>
        <v>14773900.924269417</v>
      </c>
      <c r="AF117" s="152">
        <f t="shared" si="338"/>
        <v>14700031.41964807</v>
      </c>
      <c r="AG117" s="152">
        <f t="shared" si="338"/>
        <v>0</v>
      </c>
      <c r="AH117" s="152">
        <f t="shared" si="338"/>
        <v>0</v>
      </c>
      <c r="AI117" s="152">
        <f t="shared" si="338"/>
        <v>0</v>
      </c>
      <c r="AJ117" s="152">
        <f t="shared" si="338"/>
        <v>0</v>
      </c>
      <c r="AK117" s="152">
        <f t="shared" si="338"/>
        <v>0</v>
      </c>
      <c r="AL117" s="152">
        <f t="shared" si="338"/>
        <v>0</v>
      </c>
      <c r="AM117" s="152">
        <f t="shared" si="338"/>
        <v>0</v>
      </c>
      <c r="AN117" s="152">
        <f t="shared" si="338"/>
        <v>0</v>
      </c>
      <c r="AO117" s="152">
        <f t="shared" si="338"/>
        <v>0</v>
      </c>
      <c r="AP117" s="152">
        <f t="shared" si="338"/>
        <v>0</v>
      </c>
    </row>
    <row r="118" spans="1:42">
      <c r="B118" s="152"/>
      <c r="C118" s="152"/>
      <c r="D118" s="152"/>
      <c r="E118" s="152"/>
      <c r="F118" s="152"/>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row>
    <row r="119" spans="1:42">
      <c r="A119" s="37" t="s">
        <v>436</v>
      </c>
      <c r="B119" s="196">
        <f>NPV(DiscountRate,C116:AP116)</f>
        <v>76699574.816677481</v>
      </c>
      <c r="C119" s="152"/>
      <c r="D119" s="152"/>
      <c r="E119" s="152"/>
      <c r="F119" s="152"/>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c r="AM119" s="186"/>
      <c r="AN119" s="186"/>
      <c r="AO119" s="186"/>
      <c r="AP119" s="186"/>
    </row>
    <row r="120" spans="1:42">
      <c r="A120" s="37" t="s">
        <v>437</v>
      </c>
      <c r="B120" s="196">
        <f>NPV(DiscountRate,C117:AP117)</f>
        <v>182899462.80790007</v>
      </c>
      <c r="C120" s="152"/>
      <c r="D120" s="152"/>
      <c r="E120" s="152"/>
      <c r="F120" s="152"/>
      <c r="G120" s="186"/>
      <c r="H120" s="186"/>
      <c r="I120" s="186"/>
      <c r="J120" s="186"/>
      <c r="K120" s="186"/>
      <c r="L120" s="186"/>
      <c r="M120" s="186"/>
      <c r="N120" s="186"/>
      <c r="O120" s="186"/>
      <c r="P120" s="186"/>
      <c r="Q120" s="186"/>
      <c r="R120" s="186"/>
      <c r="S120" s="186"/>
      <c r="T120" s="186"/>
      <c r="U120" s="186"/>
      <c r="V120" s="186"/>
      <c r="W120" s="186"/>
      <c r="X120" s="186"/>
      <c r="Y120" s="186"/>
      <c r="Z120" s="186"/>
      <c r="AA120" s="186"/>
      <c r="AB120" s="186"/>
      <c r="AC120" s="186"/>
      <c r="AD120" s="186"/>
      <c r="AE120" s="186"/>
      <c r="AF120" s="186"/>
      <c r="AG120" s="186"/>
      <c r="AH120" s="186"/>
      <c r="AI120" s="186"/>
      <c r="AJ120" s="186"/>
      <c r="AK120" s="186"/>
      <c r="AL120" s="186"/>
      <c r="AM120" s="186"/>
      <c r="AN120" s="186"/>
      <c r="AO120" s="186"/>
      <c r="AP120" s="186"/>
    </row>
    <row r="121" spans="1:42">
      <c r="A121" s="37" t="s">
        <v>374</v>
      </c>
      <c r="B121" s="199">
        <f>B119/B120</f>
        <v>0.41935374570911294</v>
      </c>
      <c r="C121" s="152"/>
      <c r="D121" s="152"/>
      <c r="E121" s="152"/>
      <c r="F121" s="152"/>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row>
    <row r="122" spans="1:42">
      <c r="B122" s="152"/>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179" t="s">
        <v>247</v>
      </c>
      <c r="B123" s="152"/>
      <c r="C123" s="152"/>
      <c r="D123" s="152"/>
      <c r="E123" s="152"/>
      <c r="F123" s="152"/>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s="118" customFormat="1">
      <c r="A124" s="195" t="s">
        <v>243</v>
      </c>
      <c r="B124" s="198"/>
      <c r="C124" s="198"/>
      <c r="D124" s="198"/>
      <c r="E124" s="198"/>
      <c r="F124" s="198"/>
      <c r="G124" s="141"/>
      <c r="H124" s="141"/>
      <c r="I124" s="141"/>
      <c r="J124" s="141"/>
      <c r="K124" s="141"/>
      <c r="L124" s="141"/>
      <c r="M124" s="141"/>
      <c r="N124" s="141"/>
      <c r="O124" s="141"/>
      <c r="P124" s="141"/>
      <c r="Q124" s="141"/>
      <c r="R124" s="141"/>
      <c r="S124" s="141"/>
      <c r="T124" s="141"/>
      <c r="U124" s="141"/>
      <c r="V124" s="141"/>
      <c r="W124" s="141"/>
      <c r="X124" s="141"/>
      <c r="Y124" s="141"/>
      <c r="Z124" s="141"/>
      <c r="AA124" s="141"/>
      <c r="AB124" s="141"/>
      <c r="AC124" s="141"/>
      <c r="AD124" s="141"/>
      <c r="AE124" s="141"/>
      <c r="AF124" s="141"/>
      <c r="AG124" s="141"/>
      <c r="AH124" s="141"/>
      <c r="AI124" s="141"/>
      <c r="AJ124" s="141"/>
      <c r="AK124" s="141"/>
      <c r="AL124" s="141"/>
      <c r="AM124" s="141"/>
      <c r="AN124" s="141"/>
      <c r="AO124" s="141"/>
      <c r="AP124" s="141"/>
    </row>
    <row r="125" spans="1:42">
      <c r="A125" s="180" t="s">
        <v>214</v>
      </c>
      <c r="B125" s="186">
        <f>B134</f>
        <v>-9467748.61564501</v>
      </c>
      <c r="C125" s="186">
        <f t="shared" ref="C125:AP125" si="339">C134</f>
        <v>0</v>
      </c>
      <c r="D125" s="186">
        <f t="shared" si="339"/>
        <v>0</v>
      </c>
      <c r="E125" s="186">
        <f t="shared" si="339"/>
        <v>0</v>
      </c>
      <c r="F125" s="186">
        <f t="shared" si="339"/>
        <v>0</v>
      </c>
      <c r="G125" s="186">
        <f t="shared" si="339"/>
        <v>0</v>
      </c>
      <c r="H125" s="186">
        <f t="shared" si="339"/>
        <v>0</v>
      </c>
      <c r="I125" s="186">
        <f t="shared" si="339"/>
        <v>0</v>
      </c>
      <c r="J125" s="186">
        <f t="shared" si="339"/>
        <v>0</v>
      </c>
      <c r="K125" s="186">
        <f t="shared" si="339"/>
        <v>0</v>
      </c>
      <c r="L125" s="186">
        <f t="shared" si="339"/>
        <v>0</v>
      </c>
      <c r="M125" s="186">
        <f t="shared" si="339"/>
        <v>0</v>
      </c>
      <c r="N125" s="186">
        <f t="shared" si="339"/>
        <v>0</v>
      </c>
      <c r="O125" s="186">
        <f t="shared" si="339"/>
        <v>0</v>
      </c>
      <c r="P125" s="186">
        <f t="shared" si="339"/>
        <v>0</v>
      </c>
      <c r="Q125" s="186">
        <f t="shared" si="339"/>
        <v>0</v>
      </c>
      <c r="R125" s="186">
        <f t="shared" si="339"/>
        <v>0</v>
      </c>
      <c r="S125" s="186">
        <f t="shared" si="339"/>
        <v>0</v>
      </c>
      <c r="T125" s="186">
        <f t="shared" si="339"/>
        <v>0</v>
      </c>
      <c r="U125" s="186">
        <f t="shared" si="339"/>
        <v>0</v>
      </c>
      <c r="V125" s="186">
        <f t="shared" si="339"/>
        <v>0</v>
      </c>
      <c r="W125" s="186">
        <f t="shared" si="339"/>
        <v>0</v>
      </c>
      <c r="X125" s="186">
        <f t="shared" si="339"/>
        <v>0</v>
      </c>
      <c r="Y125" s="186">
        <f t="shared" si="339"/>
        <v>0</v>
      </c>
      <c r="Z125" s="186">
        <f t="shared" si="339"/>
        <v>0</v>
      </c>
      <c r="AA125" s="186">
        <f t="shared" si="339"/>
        <v>0</v>
      </c>
      <c r="AB125" s="186">
        <f t="shared" si="339"/>
        <v>0</v>
      </c>
      <c r="AC125" s="186">
        <f t="shared" si="339"/>
        <v>0</v>
      </c>
      <c r="AD125" s="186">
        <f t="shared" si="339"/>
        <v>0</v>
      </c>
      <c r="AE125" s="186">
        <f t="shared" si="339"/>
        <v>0</v>
      </c>
      <c r="AF125" s="186">
        <f t="shared" si="339"/>
        <v>0</v>
      </c>
      <c r="AG125" s="186">
        <f t="shared" si="339"/>
        <v>0</v>
      </c>
      <c r="AH125" s="186">
        <f t="shared" si="339"/>
        <v>0</v>
      </c>
      <c r="AI125" s="186">
        <f t="shared" si="339"/>
        <v>0</v>
      </c>
      <c r="AJ125" s="186">
        <f t="shared" si="339"/>
        <v>0</v>
      </c>
      <c r="AK125" s="186">
        <f t="shared" si="339"/>
        <v>0</v>
      </c>
      <c r="AL125" s="186">
        <f t="shared" si="339"/>
        <v>0</v>
      </c>
      <c r="AM125" s="186">
        <f t="shared" si="339"/>
        <v>0</v>
      </c>
      <c r="AN125" s="186">
        <f t="shared" si="339"/>
        <v>0</v>
      </c>
      <c r="AO125" s="186">
        <f t="shared" si="339"/>
        <v>0</v>
      </c>
      <c r="AP125" s="186">
        <f t="shared" si="339"/>
        <v>0</v>
      </c>
    </row>
    <row r="126" spans="1:42">
      <c r="A126" s="180" t="s">
        <v>215</v>
      </c>
      <c r="B126" s="187">
        <f>B135</f>
        <v>0</v>
      </c>
      <c r="C126" s="187">
        <f t="shared" ref="C126:AP126" si="340">C135</f>
        <v>1447990.1759532001</v>
      </c>
      <c r="D126" s="187">
        <f t="shared" si="340"/>
        <v>1490552.2084116819</v>
      </c>
      <c r="E126" s="187">
        <f t="shared" si="340"/>
        <v>1534001.2791321643</v>
      </c>
      <c r="F126" s="187">
        <f t="shared" si="340"/>
        <v>1574517.1981598113</v>
      </c>
      <c r="G126" s="187">
        <f t="shared" si="340"/>
        <v>1618245.9419298589</v>
      </c>
      <c r="H126" s="187">
        <f t="shared" si="340"/>
        <v>1662901.231180564</v>
      </c>
      <c r="I126" s="187">
        <f t="shared" si="340"/>
        <v>1704488.3536069517</v>
      </c>
      <c r="J126" s="187">
        <f t="shared" si="340"/>
        <v>1749434.0010857943</v>
      </c>
      <c r="K126" s="187">
        <f t="shared" si="340"/>
        <v>1795347.4375540491</v>
      </c>
      <c r="L126" s="187">
        <f t="shared" si="340"/>
        <v>3610099.6033211444</v>
      </c>
      <c r="M126" s="187">
        <f t="shared" si="340"/>
        <v>5431892.8424547482</v>
      </c>
      <c r="N126" s="187">
        <f t="shared" si="340"/>
        <v>5547439.8068566592</v>
      </c>
      <c r="O126" s="187">
        <f t="shared" si="340"/>
        <v>851471.46705272654</v>
      </c>
      <c r="P126" s="187">
        <f t="shared" si="340"/>
        <v>869685.11160255549</v>
      </c>
      <c r="Q126" s="187">
        <f t="shared" si="340"/>
        <v>888101.5314665488</v>
      </c>
      <c r="R126" s="187">
        <f t="shared" si="340"/>
        <v>874540.88159831369</v>
      </c>
      <c r="S126" s="187">
        <f t="shared" si="340"/>
        <v>893646.05104680452</v>
      </c>
      <c r="T126" s="187">
        <f t="shared" si="340"/>
        <v>912962.65222167643</v>
      </c>
      <c r="U126" s="187">
        <f t="shared" si="340"/>
        <v>931861.36997746804</v>
      </c>
      <c r="V126" s="187">
        <f t="shared" si="340"/>
        <v>951614.91321193613</v>
      </c>
      <c r="W126" s="187">
        <f t="shared" si="340"/>
        <v>971588.8989680981</v>
      </c>
      <c r="X126" s="187">
        <f t="shared" si="340"/>
        <v>988975.61339110101</v>
      </c>
      <c r="Y126" s="187">
        <f t="shared" si="340"/>
        <v>1007255.5243755479</v>
      </c>
      <c r="Z126" s="187">
        <f t="shared" si="340"/>
        <v>1025765.2564516517</v>
      </c>
      <c r="AA126" s="187">
        <f t="shared" si="340"/>
        <v>1078585.9700143447</v>
      </c>
      <c r="AB126" s="187">
        <f t="shared" si="340"/>
        <v>1096800.4408954189</v>
      </c>
      <c r="AC126" s="187">
        <f t="shared" si="340"/>
        <v>1115254.4930241772</v>
      </c>
      <c r="AD126" s="187">
        <f t="shared" si="340"/>
        <v>1133228.5258865624</v>
      </c>
      <c r="AE126" s="187">
        <f t="shared" si="340"/>
        <v>1152177.6931278938</v>
      </c>
      <c r="AF126" s="187">
        <f t="shared" si="340"/>
        <v>1797283.8475962006</v>
      </c>
      <c r="AG126" s="187">
        <f t="shared" si="340"/>
        <v>0</v>
      </c>
      <c r="AH126" s="187">
        <f t="shared" si="340"/>
        <v>0</v>
      </c>
      <c r="AI126" s="187">
        <f t="shared" si="340"/>
        <v>0</v>
      </c>
      <c r="AJ126" s="187">
        <f t="shared" si="340"/>
        <v>0</v>
      </c>
      <c r="AK126" s="187">
        <f t="shared" si="340"/>
        <v>0</v>
      </c>
      <c r="AL126" s="187">
        <f t="shared" si="340"/>
        <v>0</v>
      </c>
      <c r="AM126" s="187">
        <f t="shared" si="340"/>
        <v>0</v>
      </c>
      <c r="AN126" s="187">
        <f t="shared" si="340"/>
        <v>0</v>
      </c>
      <c r="AO126" s="187">
        <f t="shared" si="340"/>
        <v>0</v>
      </c>
      <c r="AP126" s="187">
        <f t="shared" si="340"/>
        <v>0</v>
      </c>
    </row>
    <row r="127" spans="1:42">
      <c r="A127" s="180" t="s">
        <v>53</v>
      </c>
      <c r="B127" s="152">
        <f>SUM(B125:B126)</f>
        <v>-9467748.61564501</v>
      </c>
      <c r="C127" s="152">
        <f t="shared" ref="C127" si="341">SUM(C125:C126)</f>
        <v>1447990.1759532001</v>
      </c>
      <c r="D127" s="152">
        <f t="shared" ref="D127" si="342">SUM(D125:D126)</f>
        <v>1490552.2084116819</v>
      </c>
      <c r="E127" s="152">
        <f t="shared" ref="E127" si="343">SUM(E125:E126)</f>
        <v>1534001.2791321643</v>
      </c>
      <c r="F127" s="152">
        <f t="shared" ref="F127" si="344">SUM(F125:F126)</f>
        <v>1574517.1981598113</v>
      </c>
      <c r="G127" s="152">
        <f t="shared" ref="G127" si="345">SUM(G125:G126)</f>
        <v>1618245.9419298589</v>
      </c>
      <c r="H127" s="152">
        <f t="shared" ref="H127" si="346">SUM(H125:H126)</f>
        <v>1662901.231180564</v>
      </c>
      <c r="I127" s="152">
        <f t="shared" ref="I127" si="347">SUM(I125:I126)</f>
        <v>1704488.3536069517</v>
      </c>
      <c r="J127" s="152">
        <f t="shared" ref="J127" si="348">SUM(J125:J126)</f>
        <v>1749434.0010857943</v>
      </c>
      <c r="K127" s="152">
        <f t="shared" ref="K127" si="349">SUM(K125:K126)</f>
        <v>1795347.4375540491</v>
      </c>
      <c r="L127" s="152">
        <f t="shared" ref="L127" si="350">SUM(L125:L126)</f>
        <v>3610099.6033211444</v>
      </c>
      <c r="M127" s="152">
        <f t="shared" ref="M127" si="351">SUM(M125:M126)</f>
        <v>5431892.8424547482</v>
      </c>
      <c r="N127" s="152">
        <f t="shared" ref="N127" si="352">SUM(N125:N126)</f>
        <v>5547439.8068566592</v>
      </c>
      <c r="O127" s="152">
        <f t="shared" ref="O127" si="353">SUM(O125:O126)</f>
        <v>851471.46705272654</v>
      </c>
      <c r="P127" s="152">
        <f t="shared" ref="P127" si="354">SUM(P125:P126)</f>
        <v>869685.11160255549</v>
      </c>
      <c r="Q127" s="152">
        <f t="shared" ref="Q127" si="355">SUM(Q125:Q126)</f>
        <v>888101.5314665488</v>
      </c>
      <c r="R127" s="152">
        <f t="shared" ref="R127" si="356">SUM(R125:R126)</f>
        <v>874540.88159831369</v>
      </c>
      <c r="S127" s="152">
        <f t="shared" ref="S127" si="357">SUM(S125:S126)</f>
        <v>893646.05104680452</v>
      </c>
      <c r="T127" s="152">
        <f t="shared" ref="T127" si="358">SUM(T125:T126)</f>
        <v>912962.65222167643</v>
      </c>
      <c r="U127" s="152">
        <f t="shared" ref="U127" si="359">SUM(U125:U126)</f>
        <v>931861.36997746804</v>
      </c>
      <c r="V127" s="152">
        <f t="shared" ref="V127" si="360">SUM(V125:V126)</f>
        <v>951614.91321193613</v>
      </c>
      <c r="W127" s="152">
        <f t="shared" ref="W127" si="361">SUM(W125:W126)</f>
        <v>971588.8989680981</v>
      </c>
      <c r="X127" s="152">
        <f t="shared" ref="X127" si="362">SUM(X125:X126)</f>
        <v>988975.61339110101</v>
      </c>
      <c r="Y127" s="152">
        <f t="shared" ref="Y127" si="363">SUM(Y125:Y126)</f>
        <v>1007255.5243755479</v>
      </c>
      <c r="Z127" s="152">
        <f t="shared" ref="Z127" si="364">SUM(Z125:Z126)</f>
        <v>1025765.2564516517</v>
      </c>
      <c r="AA127" s="152">
        <f t="shared" ref="AA127" si="365">SUM(AA125:AA126)</f>
        <v>1078585.9700143447</v>
      </c>
      <c r="AB127" s="152">
        <f t="shared" ref="AB127" si="366">SUM(AB125:AB126)</f>
        <v>1096800.4408954189</v>
      </c>
      <c r="AC127" s="152">
        <f t="shared" ref="AC127" si="367">SUM(AC125:AC126)</f>
        <v>1115254.4930241772</v>
      </c>
      <c r="AD127" s="152">
        <f t="shared" ref="AD127" si="368">SUM(AD125:AD126)</f>
        <v>1133228.5258865624</v>
      </c>
      <c r="AE127" s="152">
        <f t="shared" ref="AE127" si="369">SUM(AE125:AE126)</f>
        <v>1152177.6931278938</v>
      </c>
      <c r="AF127" s="152">
        <f t="shared" ref="AF127" si="370">SUM(AF125:AF126)</f>
        <v>1797283.8475962006</v>
      </c>
      <c r="AG127" s="152">
        <f t="shared" ref="AG127" si="371">SUM(AG125:AG126)</f>
        <v>0</v>
      </c>
      <c r="AH127" s="152">
        <f t="shared" ref="AH127" si="372">SUM(AH125:AH126)</f>
        <v>0</v>
      </c>
      <c r="AI127" s="152">
        <f t="shared" ref="AI127" si="373">SUM(AI125:AI126)</f>
        <v>0</v>
      </c>
      <c r="AJ127" s="152">
        <f t="shared" ref="AJ127" si="374">SUM(AJ125:AJ126)</f>
        <v>0</v>
      </c>
      <c r="AK127" s="152">
        <f t="shared" ref="AK127" si="375">SUM(AK125:AK126)</f>
        <v>0</v>
      </c>
      <c r="AL127" s="152">
        <f t="shared" ref="AL127" si="376">SUM(AL125:AL126)</f>
        <v>0</v>
      </c>
      <c r="AM127" s="152">
        <f t="shared" ref="AM127" si="377">SUM(AM125:AM126)</f>
        <v>0</v>
      </c>
      <c r="AN127" s="152">
        <f t="shared" ref="AN127" si="378">SUM(AN125:AN126)</f>
        <v>0</v>
      </c>
      <c r="AO127" s="152">
        <f t="shared" ref="AO127" si="379">SUM(AO125:AO126)</f>
        <v>0</v>
      </c>
      <c r="AP127" s="152">
        <f t="shared" ref="AP127" si="380">SUM(AP125:AP126)</f>
        <v>0</v>
      </c>
    </row>
    <row r="128" spans="1:42">
      <c r="A128" s="180"/>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0" t="s">
        <v>401</v>
      </c>
      <c r="B129" s="201">
        <f>ROUND(IF(ISERROR(IRR($B127:B127)),0,IRR($B127:B127)),4)</f>
        <v>0</v>
      </c>
      <c r="C129" s="201">
        <f>ROUND(IF(ISERROR(IRR($B127:C127)),0,IRR($B127:C127)),4)</f>
        <v>0</v>
      </c>
      <c r="D129" s="201">
        <f>ROUND(IF(ISERROR(IRR($B127:D127)),0,IRR($B127:D127)),4)</f>
        <v>0</v>
      </c>
      <c r="E129" s="201">
        <f>ROUND(IF(ISERROR(IRR($B127:E127)),0,IRR($B127:E127)),4)</f>
        <v>-0.29620000000000002</v>
      </c>
      <c r="F129" s="201">
        <f>ROUND(IF(ISERROR(IRR($B127:F127)),0,IRR($B127:F127)),4)</f>
        <v>-0.15620000000000001</v>
      </c>
      <c r="G129" s="201">
        <f>ROUND(IF(ISERROR(IRR($B127:G127)),0,IRR($B127:G127)),4)</f>
        <v>-6.54E-2</v>
      </c>
      <c r="H129" s="201">
        <f>ROUND(IF(ISERROR(IRR($B127:H127)),0,IRR($B127:H127)),4)</f>
        <v>-4.1000000000000003E-3</v>
      </c>
      <c r="I129" s="201">
        <f>ROUND(IF(ISERROR(IRR($B127:I127)),0,IRR($B127:I127)),4)</f>
        <v>3.8699999999999998E-2</v>
      </c>
      <c r="J129" s="201">
        <f>ROUND(IF(ISERROR(IRR($B127:J127)),0,IRR($B127:J127)),4)</f>
        <v>6.9500000000000006E-2</v>
      </c>
      <c r="K129" s="201">
        <f>ROUND(IF(ISERROR(IRR($B127:K127)),0,IRR($B127:K127)),4)</f>
        <v>9.2399999999999996E-2</v>
      </c>
      <c r="L129" s="201">
        <f>ROUND(IF(ISERROR(IRR($B127:L127)),0,IRR($B127:L127)),4)</f>
        <v>0.1236</v>
      </c>
      <c r="M129" s="201">
        <f>ROUND(IF(ISERROR(IRR($B127:M127)),0,IRR($B127:M127)),4)</f>
        <v>0.15290000000000001</v>
      </c>
      <c r="N129" s="201">
        <f>ROUND(IF(ISERROR(IRR($B127:N127)),0,IRR($B127:N127)),4)</f>
        <v>0.17219999999999999</v>
      </c>
      <c r="O129" s="201">
        <f>ROUND(IF(ISERROR(IRR($B127:O127)),0,IRR($B127:O127)),4)</f>
        <v>0.1744</v>
      </c>
      <c r="P129" s="201">
        <f>ROUND(IF(ISERROR(IRR($B127:P127)),0,IRR($B127:P127)),4)</f>
        <v>0.1762</v>
      </c>
      <c r="Q129" s="201">
        <f>ROUND(IF(ISERROR(IRR($B127:Q127)),0,IRR($B127:Q127)),4)</f>
        <v>0.17780000000000001</v>
      </c>
      <c r="R129" s="201">
        <f>ROUND(IF(ISERROR(IRR($B127:R127)),0,IRR($B127:R127)),4)</f>
        <v>0.17910000000000001</v>
      </c>
      <c r="S129" s="201">
        <f>ROUND(IF(ISERROR(IRR($B127:S127)),0,IRR($B127:S127)),4)</f>
        <v>0.1802</v>
      </c>
      <c r="T129" s="201">
        <f>ROUND(IF(ISERROR(IRR($B127:T127)),0,IRR($B127:T127)),4)</f>
        <v>0.18110000000000001</v>
      </c>
      <c r="U129" s="201">
        <f>ROUND(IF(ISERROR(IRR($B127:U127)),0,IRR($B127:U127)),4)</f>
        <v>0.18190000000000001</v>
      </c>
      <c r="V129" s="201">
        <f>ROUND(IF(ISERROR(IRR($B127:V127)),0,IRR($B127:V127)),4)</f>
        <v>0.1825</v>
      </c>
      <c r="W129" s="201">
        <f>ROUND(IF(ISERROR(IRR($B127:W127)),0,IRR($B127:W127)),4)</f>
        <v>0.18310000000000001</v>
      </c>
      <c r="X129" s="201">
        <f>ROUND(IF(ISERROR(IRR($B127:X127)),0,IRR($B127:X127)),4)</f>
        <v>0.18360000000000001</v>
      </c>
      <c r="Y129" s="201">
        <f>ROUND(IF(ISERROR(IRR($B127:Y127)),0,IRR($B127:Y127)),4)</f>
        <v>0.184</v>
      </c>
      <c r="Z129" s="201">
        <f>ROUND(IF(ISERROR(IRR($B127:Z127)),0,IRR($B127:Z127)),4)</f>
        <v>0.18429999999999999</v>
      </c>
      <c r="AA129" s="201">
        <f>ROUND(IF(ISERROR(IRR($B127:AA127)),0,IRR($B127:AA127)),4)</f>
        <v>0.18459999999999999</v>
      </c>
      <c r="AB129" s="201">
        <f>ROUND(IF(ISERROR(IRR($B127:AB127)),0,IRR($B127:AB127)),4)</f>
        <v>0.18490000000000001</v>
      </c>
      <c r="AC129" s="201">
        <f>ROUND(IF(ISERROR(IRR($B127:AC127)),0,IRR($B127:AC127)),4)</f>
        <v>0.18509999999999999</v>
      </c>
      <c r="AD129" s="201">
        <f>ROUND(IF(ISERROR(IRR($B127:AD127)),0,IRR($B127:AD127)),4)</f>
        <v>0.18529999999999999</v>
      </c>
      <c r="AE129" s="201">
        <f>ROUND(IF(ISERROR(IRR($B127:AE127)),0,IRR($B127:AE127)),4)</f>
        <v>0.18540000000000001</v>
      </c>
      <c r="AF129" s="201">
        <f>ROUND(IF(ISERROR(IRR($B127:AF127)),0,IRR($B127:AF127)),4)</f>
        <v>0.1857</v>
      </c>
      <c r="AG129" s="201">
        <f>ROUND(IF(ISERROR(IRR($B127:AG127)),0,IRR($B127:AG127)),4)</f>
        <v>0.1857</v>
      </c>
      <c r="AH129" s="201">
        <f>ROUND(IF(ISERROR(IRR($B127:AH127)),0,IRR($B127:AH127)),4)</f>
        <v>0.1857</v>
      </c>
      <c r="AI129" s="201">
        <f>ROUND(IF(ISERROR(IRR($B127:AI127)),0,IRR($B127:AI127)),4)</f>
        <v>0.1857</v>
      </c>
      <c r="AJ129" s="201">
        <f>ROUND(IF(ISERROR(IRR($B127:AJ127)),0,IRR($B127:AJ127)),4)</f>
        <v>0.1857</v>
      </c>
      <c r="AK129" s="201">
        <f>ROUND(IF(ISERROR(IRR($B127:AK127)),0,IRR($B127:AK127)),4)</f>
        <v>0.1857</v>
      </c>
      <c r="AL129" s="201">
        <f>ROUND(IF(ISERROR(IRR($B127:AL127)),0,IRR($B127:AL127)),4)</f>
        <v>0.1857</v>
      </c>
      <c r="AM129" s="201">
        <f>ROUND(IF(ISERROR(IRR($B127:AM127)),0,IRR($B127:AM127)),4)</f>
        <v>0.1857</v>
      </c>
      <c r="AN129" s="201">
        <f>ROUND(IF(ISERROR(IRR($B127:AN127)),0,IRR($B127:AN127)),4)</f>
        <v>0.1857</v>
      </c>
      <c r="AO129" s="201">
        <f>ROUND(IF(ISERROR(IRR($B127:AO127)),0,IRR($B127:AO127)),4)</f>
        <v>0.1857</v>
      </c>
      <c r="AP129" s="201">
        <f>ROUND(IF(ISERROR(IRR($B127:AP127)),0,IRR($B127:AP127)),4)</f>
        <v>0.1857</v>
      </c>
    </row>
    <row r="130" spans="1:42">
      <c r="A130" s="180" t="s">
        <v>402</v>
      </c>
      <c r="B130" s="251">
        <f>B127</f>
        <v>-9467748.61564501</v>
      </c>
      <c r="C130" s="251">
        <f>NPV(DiscountRate,$C127:C127)+$B$127</f>
        <v>-8127016.9712438993</v>
      </c>
      <c r="D130" s="251">
        <f>NPV(DiscountRate,$C127:D127)+$B$127</f>
        <v>-6849108.6992860101</v>
      </c>
      <c r="E130" s="251">
        <f>NPV(DiscountRate,$C127:E127)+$B$127</f>
        <v>-5631369.0261447169</v>
      </c>
      <c r="F130" s="251">
        <f>NPV(DiscountRate,$C127:F127)+$B$127</f>
        <v>-4474051.881755827</v>
      </c>
      <c r="G130" s="251">
        <f>NPV(DiscountRate,$C127:G127)+$B$127</f>
        <v>-3372700.8850103077</v>
      </c>
      <c r="H130" s="251">
        <f>NPV(DiscountRate,$C127:H127)+$B$127</f>
        <v>-2324791.0366137968</v>
      </c>
      <c r="I130" s="251">
        <f>NPV(DiscountRate,$C127:I127)+$B$127</f>
        <v>-1330238.4534479724</v>
      </c>
      <c r="J130" s="251">
        <f>NPV(DiscountRate,$C127:J127)+$B$127</f>
        <v>-385073.6971715223</v>
      </c>
      <c r="K130" s="251">
        <f>NPV(DiscountRate,$C127:K127)+$B$127</f>
        <v>513047.00410700217</v>
      </c>
      <c r="L130" s="251">
        <f>NPV(DiscountRate,$C127:L127)+$B$127</f>
        <v>2185221.6317024585</v>
      </c>
      <c r="M130" s="251">
        <f>NPV(DiscountRate,$C127:M127)+$B$127</f>
        <v>4514867.3655902762</v>
      </c>
      <c r="N130" s="251">
        <f>NPV(DiscountRate,$C127:N127)+$B$127</f>
        <v>6717832.038153518</v>
      </c>
      <c r="O130" s="251">
        <f>NPV(DiscountRate,$C127:O127)+$B$127</f>
        <v>7030916.3295064103</v>
      </c>
      <c r="P130" s="251">
        <f>NPV(DiscountRate,$C127:P127)+$B$127</f>
        <v>7327010.228260655</v>
      </c>
      <c r="Q130" s="251">
        <f>NPV(DiscountRate,$C127:Q127)+$B$127</f>
        <v>7606976.8692229874</v>
      </c>
      <c r="R130" s="251">
        <f>NPV(DiscountRate,$C127:R127)+$B$127</f>
        <v>7862247.0160539374</v>
      </c>
      <c r="S130" s="251">
        <f>NPV(DiscountRate,$C127:S127)+$B$127</f>
        <v>8103771.7972336598</v>
      </c>
      <c r="T130" s="251">
        <f>NPV(DiscountRate,$C127:T127)+$B$127</f>
        <v>8332239.8145713881</v>
      </c>
      <c r="U130" s="251">
        <f>NPV(DiscountRate,$C127:U127)+$B$127</f>
        <v>8548163.3359673582</v>
      </c>
      <c r="V130" s="251">
        <f>NPV(DiscountRate,$C127:V127)+$B$127</f>
        <v>8752330.6097359471</v>
      </c>
      <c r="W130" s="251">
        <f>NPV(DiscountRate,$C127:W127)+$B$127</f>
        <v>8945342.3288167641</v>
      </c>
      <c r="X130" s="251">
        <f>NPV(DiscountRate,$C127:X127)+$B$127</f>
        <v>9127255.004587844</v>
      </c>
      <c r="Y130" s="251">
        <f>NPV(DiscountRate,$C127:Y127)+$B$127</f>
        <v>9298806.0155749656</v>
      </c>
      <c r="Z130" s="251">
        <f>NPV(DiscountRate,$C127:Z127)+$B$127</f>
        <v>9460568.5167488568</v>
      </c>
      <c r="AA130" s="251">
        <f>NPV(DiscountRate,$C127:AA127)+$B$127</f>
        <v>9618061.3803588115</v>
      </c>
      <c r="AB130" s="251">
        <f>NPV(DiscountRate,$C127:AB127)+$B$127</f>
        <v>9766350.7345135398</v>
      </c>
      <c r="AC130" s="251">
        <f>NPV(DiscountRate,$C127:AC127)+$B$127</f>
        <v>9905965.8961357176</v>
      </c>
      <c r="AD130" s="251">
        <f>NPV(DiscountRate,$C127:AD127)+$B$127</f>
        <v>10037322.630958837</v>
      </c>
      <c r="AE130" s="251">
        <f>NPV(DiscountRate,$C127:AE127)+$B$127</f>
        <v>10160983.004386585</v>
      </c>
      <c r="AF130" s="251">
        <f>NPV(DiscountRate,$C127:AF127)+$B$127</f>
        <v>10339592.278995536</v>
      </c>
      <c r="AG130" s="251">
        <f>NPV(DiscountRate,$C127:AG127)+$B$127</f>
        <v>10339592.278995536</v>
      </c>
      <c r="AH130" s="251">
        <f>NPV(DiscountRate,$C127:AH127)+$B$127</f>
        <v>10339592.278995536</v>
      </c>
      <c r="AI130" s="251">
        <f>NPV(DiscountRate,$C127:AI127)+$B$127</f>
        <v>10339592.278995536</v>
      </c>
      <c r="AJ130" s="251">
        <f>NPV(DiscountRate,$C127:AJ127)+$B$127</f>
        <v>10339592.278995536</v>
      </c>
      <c r="AK130" s="251">
        <f>NPV(DiscountRate,$C127:AK127)+$B$127</f>
        <v>10339592.278995536</v>
      </c>
      <c r="AL130" s="251">
        <f>NPV(DiscountRate,$C127:AL127)+$B$127</f>
        <v>10339592.278995536</v>
      </c>
      <c r="AM130" s="251">
        <f>NPV(DiscountRate,$C127:AM127)+$B$127</f>
        <v>10339592.278995536</v>
      </c>
      <c r="AN130" s="251">
        <f>NPV(DiscountRate,$C127:AN127)+$B$127</f>
        <v>10339592.278995536</v>
      </c>
      <c r="AO130" s="251">
        <f>NPV(DiscountRate,$C127:AO127)+$B$127</f>
        <v>10339592.278995536</v>
      </c>
      <c r="AP130" s="251">
        <f>NPV(DiscountRate,$C127:AP127)+$B$127</f>
        <v>10339592.278995536</v>
      </c>
    </row>
    <row r="131" spans="1:42">
      <c r="A131" s="180"/>
      <c r="B131" s="152"/>
      <c r="C131" s="152"/>
      <c r="D131" s="152"/>
      <c r="E131" s="152"/>
      <c r="F131" s="152"/>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row>
    <row r="132" spans="1:42">
      <c r="A132" s="182" t="s">
        <v>242</v>
      </c>
      <c r="B132" s="152"/>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s="118" customFormat="1">
      <c r="A133" s="197" t="s">
        <v>219</v>
      </c>
      <c r="B133" s="198"/>
      <c r="C133" s="198"/>
      <c r="D133" s="198"/>
      <c r="E133" s="198"/>
      <c r="F133" s="198"/>
      <c r="G133" s="141"/>
      <c r="H133" s="141"/>
      <c r="I133" s="141"/>
      <c r="J133" s="141"/>
      <c r="K133" s="141"/>
      <c r="L133" s="141"/>
      <c r="M133" s="141"/>
      <c r="N133" s="141"/>
      <c r="O133" s="141"/>
      <c r="P133" s="141"/>
      <c r="Q133" s="141"/>
      <c r="R133" s="141"/>
      <c r="S133" s="141"/>
      <c r="T133" s="141"/>
      <c r="U133" s="141"/>
      <c r="V133" s="141"/>
      <c r="W133" s="141"/>
      <c r="X133" s="141"/>
      <c r="Y133" s="141"/>
      <c r="Z133" s="141"/>
      <c r="AA133" s="141"/>
      <c r="AB133" s="141"/>
      <c r="AC133" s="141"/>
      <c r="AD133" s="141"/>
      <c r="AE133" s="141"/>
      <c r="AF133" s="141"/>
      <c r="AG133" s="141"/>
      <c r="AH133" s="141"/>
      <c r="AI133" s="141"/>
      <c r="AJ133" s="141"/>
      <c r="AK133" s="141"/>
      <c r="AL133" s="141"/>
      <c r="AM133" s="141"/>
      <c r="AN133" s="141"/>
      <c r="AO133" s="141"/>
      <c r="AP133" s="141"/>
    </row>
    <row r="134" spans="1:42">
      <c r="A134" s="184" t="s">
        <v>214</v>
      </c>
      <c r="B134" s="186">
        <f>-'Inputs &amp; Results'!$C$182</f>
        <v>-9467748.61564501</v>
      </c>
      <c r="C134" s="186">
        <v>0</v>
      </c>
      <c r="D134" s="186">
        <v>0</v>
      </c>
      <c r="E134" s="186">
        <v>0</v>
      </c>
      <c r="F134" s="186">
        <v>0</v>
      </c>
      <c r="G134" s="186">
        <v>0</v>
      </c>
      <c r="H134" s="186">
        <v>0</v>
      </c>
      <c r="I134" s="186">
        <v>0</v>
      </c>
      <c r="J134" s="186">
        <v>0</v>
      </c>
      <c r="K134" s="186">
        <v>0</v>
      </c>
      <c r="L134" s="186">
        <v>0</v>
      </c>
      <c r="M134" s="186">
        <v>0</v>
      </c>
      <c r="N134" s="186">
        <v>0</v>
      </c>
      <c r="O134" s="186">
        <v>0</v>
      </c>
      <c r="P134" s="186">
        <v>0</v>
      </c>
      <c r="Q134" s="186">
        <v>0</v>
      </c>
      <c r="R134" s="186">
        <v>0</v>
      </c>
      <c r="S134" s="186">
        <v>0</v>
      </c>
      <c r="T134" s="186">
        <v>0</v>
      </c>
      <c r="U134" s="186">
        <v>0</v>
      </c>
      <c r="V134" s="186">
        <v>0</v>
      </c>
      <c r="W134" s="186">
        <v>0</v>
      </c>
      <c r="X134" s="186">
        <v>0</v>
      </c>
      <c r="Y134" s="186">
        <v>0</v>
      </c>
      <c r="Z134" s="186">
        <v>0</v>
      </c>
      <c r="AA134" s="186">
        <v>0</v>
      </c>
      <c r="AB134" s="186">
        <v>0</v>
      </c>
      <c r="AC134" s="186">
        <v>0</v>
      </c>
      <c r="AD134" s="186">
        <v>0</v>
      </c>
      <c r="AE134" s="186">
        <v>0</v>
      </c>
      <c r="AF134" s="186">
        <v>0</v>
      </c>
      <c r="AG134" s="186">
        <v>0</v>
      </c>
      <c r="AH134" s="186">
        <v>0</v>
      </c>
      <c r="AI134" s="186">
        <v>0</v>
      </c>
      <c r="AJ134" s="186">
        <v>0</v>
      </c>
      <c r="AK134" s="186">
        <v>0</v>
      </c>
      <c r="AL134" s="186">
        <v>0</v>
      </c>
      <c r="AM134" s="186">
        <v>0</v>
      </c>
      <c r="AN134" s="186">
        <v>0</v>
      </c>
      <c r="AO134" s="186">
        <v>0</v>
      </c>
      <c r="AP134" s="186">
        <v>0</v>
      </c>
    </row>
    <row r="135" spans="1:42">
      <c r="A135" s="184" t="s">
        <v>215</v>
      </c>
      <c r="B135" s="187">
        <v>0</v>
      </c>
      <c r="C135" s="187">
        <f t="shared" ref="C135:AP135" si="381">IF(B$152&lt;LPFFlipTarget,LPFTEPreFlipCash*C96,LPFTEPostFlipCash*C96)</f>
        <v>1447990.1759532001</v>
      </c>
      <c r="D135" s="187">
        <f t="shared" si="381"/>
        <v>1490552.2084116819</v>
      </c>
      <c r="E135" s="187">
        <f t="shared" si="381"/>
        <v>1534001.2791321643</v>
      </c>
      <c r="F135" s="187">
        <f t="shared" si="381"/>
        <v>1574517.1981598113</v>
      </c>
      <c r="G135" s="187">
        <f t="shared" si="381"/>
        <v>1618245.9419298589</v>
      </c>
      <c r="H135" s="187">
        <f t="shared" si="381"/>
        <v>1662901.231180564</v>
      </c>
      <c r="I135" s="187">
        <f t="shared" si="381"/>
        <v>1704488.3536069517</v>
      </c>
      <c r="J135" s="187">
        <f t="shared" si="381"/>
        <v>1749434.0010857943</v>
      </c>
      <c r="K135" s="187">
        <f t="shared" si="381"/>
        <v>1795347.4375540491</v>
      </c>
      <c r="L135" s="187">
        <f t="shared" si="381"/>
        <v>3610099.6033211444</v>
      </c>
      <c r="M135" s="187">
        <f t="shared" si="381"/>
        <v>5431892.8424547482</v>
      </c>
      <c r="N135" s="187">
        <f t="shared" si="381"/>
        <v>5547439.8068566592</v>
      </c>
      <c r="O135" s="187">
        <f t="shared" si="381"/>
        <v>851471.46705272654</v>
      </c>
      <c r="P135" s="187">
        <f t="shared" si="381"/>
        <v>869685.11160255549</v>
      </c>
      <c r="Q135" s="187">
        <f t="shared" si="381"/>
        <v>888101.5314665488</v>
      </c>
      <c r="R135" s="187">
        <f t="shared" si="381"/>
        <v>874540.88159831369</v>
      </c>
      <c r="S135" s="187">
        <f t="shared" si="381"/>
        <v>893646.05104680452</v>
      </c>
      <c r="T135" s="187">
        <f t="shared" si="381"/>
        <v>912962.65222167643</v>
      </c>
      <c r="U135" s="187">
        <f t="shared" si="381"/>
        <v>931861.36997746804</v>
      </c>
      <c r="V135" s="187">
        <f t="shared" si="381"/>
        <v>951614.91321193613</v>
      </c>
      <c r="W135" s="187">
        <f t="shared" si="381"/>
        <v>971588.8989680981</v>
      </c>
      <c r="X135" s="187">
        <f t="shared" si="381"/>
        <v>988975.61339110101</v>
      </c>
      <c r="Y135" s="187">
        <f t="shared" si="381"/>
        <v>1007255.5243755479</v>
      </c>
      <c r="Z135" s="187">
        <f t="shared" si="381"/>
        <v>1025765.2564516517</v>
      </c>
      <c r="AA135" s="187">
        <f t="shared" si="381"/>
        <v>1078585.9700143447</v>
      </c>
      <c r="AB135" s="187">
        <f t="shared" si="381"/>
        <v>1096800.4408954189</v>
      </c>
      <c r="AC135" s="187">
        <f t="shared" si="381"/>
        <v>1115254.4930241772</v>
      </c>
      <c r="AD135" s="187">
        <f t="shared" si="381"/>
        <v>1133228.5258865624</v>
      </c>
      <c r="AE135" s="187">
        <f t="shared" si="381"/>
        <v>1152177.6931278938</v>
      </c>
      <c r="AF135" s="187">
        <f t="shared" si="381"/>
        <v>1797283.8475962006</v>
      </c>
      <c r="AG135" s="187">
        <f t="shared" si="381"/>
        <v>0</v>
      </c>
      <c r="AH135" s="187">
        <f t="shared" si="381"/>
        <v>0</v>
      </c>
      <c r="AI135" s="187">
        <f t="shared" si="381"/>
        <v>0</v>
      </c>
      <c r="AJ135" s="187">
        <f t="shared" si="381"/>
        <v>0</v>
      </c>
      <c r="AK135" s="187">
        <f t="shared" si="381"/>
        <v>0</v>
      </c>
      <c r="AL135" s="187">
        <f t="shared" si="381"/>
        <v>0</v>
      </c>
      <c r="AM135" s="187">
        <f t="shared" si="381"/>
        <v>0</v>
      </c>
      <c r="AN135" s="187">
        <f t="shared" si="381"/>
        <v>0</v>
      </c>
      <c r="AO135" s="187">
        <f t="shared" si="381"/>
        <v>0</v>
      </c>
      <c r="AP135" s="187">
        <f t="shared" si="381"/>
        <v>0</v>
      </c>
    </row>
    <row r="136" spans="1:42">
      <c r="A136" s="184" t="s">
        <v>220</v>
      </c>
      <c r="B136" s="152">
        <f>SUM(B134:B135)</f>
        <v>-9467748.61564501</v>
      </c>
      <c r="C136" s="152">
        <f t="shared" ref="C136" si="382">SUM(C134:C135)</f>
        <v>1447990.1759532001</v>
      </c>
      <c r="D136" s="152">
        <f t="shared" ref="D136" si="383">SUM(D134:D135)</f>
        <v>1490552.2084116819</v>
      </c>
      <c r="E136" s="152">
        <f t="shared" ref="E136" si="384">SUM(E134:E135)</f>
        <v>1534001.2791321643</v>
      </c>
      <c r="F136" s="152">
        <f t="shared" ref="F136" si="385">SUM(F134:F135)</f>
        <v>1574517.1981598113</v>
      </c>
      <c r="G136" s="152">
        <f t="shared" ref="G136" si="386">SUM(G134:G135)</f>
        <v>1618245.9419298589</v>
      </c>
      <c r="H136" s="152">
        <f t="shared" ref="H136" si="387">SUM(H134:H135)</f>
        <v>1662901.231180564</v>
      </c>
      <c r="I136" s="152">
        <f t="shared" ref="I136" si="388">SUM(I134:I135)</f>
        <v>1704488.3536069517</v>
      </c>
      <c r="J136" s="152">
        <f t="shared" ref="J136" si="389">SUM(J134:J135)</f>
        <v>1749434.0010857943</v>
      </c>
      <c r="K136" s="152">
        <f t="shared" ref="K136" si="390">SUM(K134:K135)</f>
        <v>1795347.4375540491</v>
      </c>
      <c r="L136" s="152">
        <f t="shared" ref="L136" si="391">SUM(L134:L135)</f>
        <v>3610099.6033211444</v>
      </c>
      <c r="M136" s="152">
        <f t="shared" ref="M136" si="392">SUM(M134:M135)</f>
        <v>5431892.8424547482</v>
      </c>
      <c r="N136" s="152">
        <f t="shared" ref="N136" si="393">SUM(N134:N135)</f>
        <v>5547439.8068566592</v>
      </c>
      <c r="O136" s="152">
        <f t="shared" ref="O136" si="394">SUM(O134:O135)</f>
        <v>851471.46705272654</v>
      </c>
      <c r="P136" s="152">
        <f t="shared" ref="P136" si="395">SUM(P134:P135)</f>
        <v>869685.11160255549</v>
      </c>
      <c r="Q136" s="152">
        <f t="shared" ref="Q136" si="396">SUM(Q134:Q135)</f>
        <v>888101.5314665488</v>
      </c>
      <c r="R136" s="152">
        <f t="shared" ref="R136" si="397">SUM(R134:R135)</f>
        <v>874540.88159831369</v>
      </c>
      <c r="S136" s="152">
        <f t="shared" ref="S136" si="398">SUM(S134:S135)</f>
        <v>893646.05104680452</v>
      </c>
      <c r="T136" s="152">
        <f t="shared" ref="T136" si="399">SUM(T134:T135)</f>
        <v>912962.65222167643</v>
      </c>
      <c r="U136" s="152">
        <f t="shared" ref="U136" si="400">SUM(U134:U135)</f>
        <v>931861.36997746804</v>
      </c>
      <c r="V136" s="152">
        <f t="shared" ref="V136" si="401">SUM(V134:V135)</f>
        <v>951614.91321193613</v>
      </c>
      <c r="W136" s="152">
        <f t="shared" ref="W136" si="402">SUM(W134:W135)</f>
        <v>971588.8989680981</v>
      </c>
      <c r="X136" s="152">
        <f t="shared" ref="X136" si="403">SUM(X134:X135)</f>
        <v>988975.61339110101</v>
      </c>
      <c r="Y136" s="152">
        <f t="shared" ref="Y136" si="404">SUM(Y134:Y135)</f>
        <v>1007255.5243755479</v>
      </c>
      <c r="Z136" s="152">
        <f t="shared" ref="Z136" si="405">SUM(Z134:Z135)</f>
        <v>1025765.2564516517</v>
      </c>
      <c r="AA136" s="152">
        <f t="shared" ref="AA136" si="406">SUM(AA134:AA135)</f>
        <v>1078585.9700143447</v>
      </c>
      <c r="AB136" s="152">
        <f t="shared" ref="AB136" si="407">SUM(AB134:AB135)</f>
        <v>1096800.4408954189</v>
      </c>
      <c r="AC136" s="152">
        <f t="shared" ref="AC136" si="408">SUM(AC134:AC135)</f>
        <v>1115254.4930241772</v>
      </c>
      <c r="AD136" s="152">
        <f t="shared" ref="AD136" si="409">SUM(AD134:AD135)</f>
        <v>1133228.5258865624</v>
      </c>
      <c r="AE136" s="152">
        <f t="shared" ref="AE136" si="410">SUM(AE134:AE135)</f>
        <v>1152177.6931278938</v>
      </c>
      <c r="AF136" s="152">
        <f t="shared" ref="AF136" si="411">SUM(AF134:AF135)</f>
        <v>1797283.8475962006</v>
      </c>
      <c r="AG136" s="152">
        <f t="shared" ref="AG136" si="412">SUM(AG134:AG135)</f>
        <v>0</v>
      </c>
      <c r="AH136" s="152">
        <f t="shared" ref="AH136" si="413">SUM(AH134:AH135)</f>
        <v>0</v>
      </c>
      <c r="AI136" s="152">
        <f t="shared" ref="AI136" si="414">SUM(AI134:AI135)</f>
        <v>0</v>
      </c>
      <c r="AJ136" s="152">
        <f t="shared" ref="AJ136" si="415">SUM(AJ134:AJ135)</f>
        <v>0</v>
      </c>
      <c r="AK136" s="152">
        <f t="shared" ref="AK136" si="416">SUM(AK134:AK135)</f>
        <v>0</v>
      </c>
      <c r="AL136" s="152">
        <f t="shared" ref="AL136" si="417">SUM(AL134:AL135)</f>
        <v>0</v>
      </c>
      <c r="AM136" s="152">
        <f t="shared" ref="AM136" si="418">SUM(AM134:AM135)</f>
        <v>0</v>
      </c>
      <c r="AN136" s="152">
        <f t="shared" ref="AN136" si="419">SUM(AN134:AN135)</f>
        <v>0</v>
      </c>
      <c r="AO136" s="152">
        <f t="shared" ref="AO136" si="420">SUM(AO134:AO135)</f>
        <v>0</v>
      </c>
      <c r="AP136" s="152">
        <f t="shared" ref="AP136" si="421">SUM(AP134:AP135)</f>
        <v>0</v>
      </c>
    </row>
    <row r="137" spans="1:42">
      <c r="A137" s="180" t="s">
        <v>33</v>
      </c>
      <c r="B137" s="152"/>
      <c r="C137" s="152"/>
      <c r="D137" s="152"/>
      <c r="E137" s="152"/>
      <c r="F137" s="152"/>
      <c r="G137" s="186"/>
      <c r="H137" s="186"/>
      <c r="I137" s="186"/>
      <c r="J137" s="186"/>
      <c r="K137" s="186"/>
      <c r="L137" s="186"/>
      <c r="M137" s="186"/>
      <c r="N137" s="186"/>
      <c r="O137" s="186"/>
      <c r="P137" s="186"/>
      <c r="Q137" s="186"/>
      <c r="R137" s="186"/>
      <c r="S137" s="186"/>
      <c r="T137" s="186"/>
      <c r="U137" s="186"/>
      <c r="V137" s="186"/>
      <c r="W137" s="186"/>
      <c r="X137" s="186"/>
      <c r="Y137" s="186"/>
      <c r="Z137" s="186"/>
      <c r="AA137" s="186"/>
      <c r="AB137" s="186"/>
      <c r="AC137" s="186"/>
      <c r="AD137" s="186"/>
      <c r="AE137" s="186"/>
      <c r="AF137" s="186"/>
      <c r="AG137" s="186"/>
      <c r="AH137" s="186"/>
      <c r="AI137" s="186"/>
      <c r="AJ137" s="186"/>
      <c r="AK137" s="186"/>
      <c r="AL137" s="186"/>
      <c r="AM137" s="186"/>
      <c r="AN137" s="186"/>
      <c r="AO137" s="186"/>
      <c r="AP137" s="186"/>
    </row>
    <row r="138" spans="1:42">
      <c r="A138" s="184" t="s">
        <v>37</v>
      </c>
      <c r="B138" s="152">
        <v>0</v>
      </c>
      <c r="C138" s="152">
        <f t="shared" ref="C138:AP138" si="422">IF(B$152&lt;LPFFlipTarget,LPFTEPreFlipTax*C99,LPFTEPostFlipTax*C99)</f>
        <v>19600</v>
      </c>
      <c r="D138" s="152">
        <f t="shared" si="422"/>
        <v>0</v>
      </c>
      <c r="E138" s="152">
        <f t="shared" si="422"/>
        <v>0</v>
      </c>
      <c r="F138" s="152">
        <f t="shared" si="422"/>
        <v>0</v>
      </c>
      <c r="G138" s="152">
        <f t="shared" si="422"/>
        <v>0</v>
      </c>
      <c r="H138" s="152">
        <f t="shared" si="422"/>
        <v>0</v>
      </c>
      <c r="I138" s="152">
        <f t="shared" si="422"/>
        <v>0</v>
      </c>
      <c r="J138" s="152">
        <f t="shared" si="422"/>
        <v>0</v>
      </c>
      <c r="K138" s="152">
        <f t="shared" si="422"/>
        <v>0</v>
      </c>
      <c r="L138" s="152">
        <f t="shared" si="422"/>
        <v>0</v>
      </c>
      <c r="M138" s="152">
        <f t="shared" si="422"/>
        <v>0</v>
      </c>
      <c r="N138" s="152">
        <f t="shared" si="422"/>
        <v>0</v>
      </c>
      <c r="O138" s="152">
        <f t="shared" si="422"/>
        <v>0</v>
      </c>
      <c r="P138" s="152">
        <f t="shared" si="422"/>
        <v>0</v>
      </c>
      <c r="Q138" s="152">
        <f t="shared" si="422"/>
        <v>0</v>
      </c>
      <c r="R138" s="152">
        <f t="shared" si="422"/>
        <v>0</v>
      </c>
      <c r="S138" s="152">
        <f t="shared" si="422"/>
        <v>0</v>
      </c>
      <c r="T138" s="152">
        <f t="shared" si="422"/>
        <v>0</v>
      </c>
      <c r="U138" s="152">
        <f t="shared" si="422"/>
        <v>0</v>
      </c>
      <c r="V138" s="152">
        <f t="shared" si="422"/>
        <v>0</v>
      </c>
      <c r="W138" s="152">
        <f t="shared" si="422"/>
        <v>0</v>
      </c>
      <c r="X138" s="152">
        <f t="shared" si="422"/>
        <v>0</v>
      </c>
      <c r="Y138" s="152">
        <f t="shared" si="422"/>
        <v>0</v>
      </c>
      <c r="Z138" s="152">
        <f t="shared" si="422"/>
        <v>0</v>
      </c>
      <c r="AA138" s="152">
        <f t="shared" si="422"/>
        <v>0</v>
      </c>
      <c r="AB138" s="152">
        <f t="shared" si="422"/>
        <v>0</v>
      </c>
      <c r="AC138" s="152">
        <f t="shared" si="422"/>
        <v>0</v>
      </c>
      <c r="AD138" s="152">
        <f t="shared" si="422"/>
        <v>0</v>
      </c>
      <c r="AE138" s="152">
        <f t="shared" si="422"/>
        <v>0</v>
      </c>
      <c r="AF138" s="152">
        <f t="shared" si="422"/>
        <v>0</v>
      </c>
      <c r="AG138" s="152">
        <f t="shared" si="422"/>
        <v>0</v>
      </c>
      <c r="AH138" s="152">
        <f t="shared" si="422"/>
        <v>0</v>
      </c>
      <c r="AI138" s="152">
        <f t="shared" si="422"/>
        <v>0</v>
      </c>
      <c r="AJ138" s="152">
        <f t="shared" si="422"/>
        <v>0</v>
      </c>
      <c r="AK138" s="152">
        <f t="shared" si="422"/>
        <v>0</v>
      </c>
      <c r="AL138" s="152">
        <f t="shared" si="422"/>
        <v>0</v>
      </c>
      <c r="AM138" s="152">
        <f t="shared" si="422"/>
        <v>0</v>
      </c>
      <c r="AN138" s="152">
        <f t="shared" si="422"/>
        <v>0</v>
      </c>
      <c r="AO138" s="152">
        <f t="shared" si="422"/>
        <v>0</v>
      </c>
      <c r="AP138" s="152">
        <f t="shared" si="422"/>
        <v>0</v>
      </c>
    </row>
    <row r="139" spans="1:42">
      <c r="A139" s="184" t="s">
        <v>36</v>
      </c>
      <c r="B139" s="187">
        <v>0</v>
      </c>
      <c r="C139" s="187">
        <f t="shared" ref="C139:AP139" si="423">IF(B$152&lt;LPFFlipTarget,LPFTEPreFlipTax*C100,LPFTEPostFlipTax*C100)</f>
        <v>9800</v>
      </c>
      <c r="D139" s="187">
        <f t="shared" si="423"/>
        <v>0</v>
      </c>
      <c r="E139" s="187">
        <f t="shared" si="423"/>
        <v>0</v>
      </c>
      <c r="F139" s="187">
        <f t="shared" si="423"/>
        <v>0</v>
      </c>
      <c r="G139" s="187">
        <f t="shared" si="423"/>
        <v>0</v>
      </c>
      <c r="H139" s="187">
        <f t="shared" si="423"/>
        <v>0</v>
      </c>
      <c r="I139" s="187">
        <f t="shared" si="423"/>
        <v>0</v>
      </c>
      <c r="J139" s="187">
        <f t="shared" si="423"/>
        <v>0</v>
      </c>
      <c r="K139" s="187">
        <f t="shared" si="423"/>
        <v>0</v>
      </c>
      <c r="L139" s="187">
        <f t="shared" si="423"/>
        <v>0</v>
      </c>
      <c r="M139" s="187">
        <f t="shared" si="423"/>
        <v>0</v>
      </c>
      <c r="N139" s="187">
        <f t="shared" si="423"/>
        <v>0</v>
      </c>
      <c r="O139" s="187">
        <f t="shared" si="423"/>
        <v>0</v>
      </c>
      <c r="P139" s="187">
        <f t="shared" si="423"/>
        <v>0</v>
      </c>
      <c r="Q139" s="187">
        <f t="shared" si="423"/>
        <v>0</v>
      </c>
      <c r="R139" s="187">
        <f t="shared" si="423"/>
        <v>0</v>
      </c>
      <c r="S139" s="187">
        <f t="shared" si="423"/>
        <v>0</v>
      </c>
      <c r="T139" s="187">
        <f t="shared" si="423"/>
        <v>0</v>
      </c>
      <c r="U139" s="187">
        <f t="shared" si="423"/>
        <v>0</v>
      </c>
      <c r="V139" s="187">
        <f t="shared" si="423"/>
        <v>0</v>
      </c>
      <c r="W139" s="187">
        <f t="shared" si="423"/>
        <v>0</v>
      </c>
      <c r="X139" s="187">
        <f t="shared" si="423"/>
        <v>0</v>
      </c>
      <c r="Y139" s="187">
        <f t="shared" si="423"/>
        <v>0</v>
      </c>
      <c r="Z139" s="187">
        <f t="shared" si="423"/>
        <v>0</v>
      </c>
      <c r="AA139" s="187">
        <f t="shared" si="423"/>
        <v>0</v>
      </c>
      <c r="AB139" s="187">
        <f t="shared" si="423"/>
        <v>0</v>
      </c>
      <c r="AC139" s="187">
        <f t="shared" si="423"/>
        <v>0</v>
      </c>
      <c r="AD139" s="187">
        <f t="shared" si="423"/>
        <v>0</v>
      </c>
      <c r="AE139" s="187">
        <f t="shared" si="423"/>
        <v>0</v>
      </c>
      <c r="AF139" s="187">
        <f t="shared" si="423"/>
        <v>0</v>
      </c>
      <c r="AG139" s="187">
        <f t="shared" si="423"/>
        <v>0</v>
      </c>
      <c r="AH139" s="187">
        <f t="shared" si="423"/>
        <v>0</v>
      </c>
      <c r="AI139" s="187">
        <f t="shared" si="423"/>
        <v>0</v>
      </c>
      <c r="AJ139" s="187">
        <f t="shared" si="423"/>
        <v>0</v>
      </c>
      <c r="AK139" s="187">
        <f t="shared" si="423"/>
        <v>0</v>
      </c>
      <c r="AL139" s="187">
        <f t="shared" si="423"/>
        <v>0</v>
      </c>
      <c r="AM139" s="187">
        <f t="shared" si="423"/>
        <v>0</v>
      </c>
      <c r="AN139" s="187">
        <f t="shared" si="423"/>
        <v>0</v>
      </c>
      <c r="AO139" s="187">
        <f t="shared" si="423"/>
        <v>0</v>
      </c>
      <c r="AP139" s="187">
        <f t="shared" si="423"/>
        <v>0</v>
      </c>
    </row>
    <row r="140" spans="1:42">
      <c r="A140" s="184" t="s">
        <v>53</v>
      </c>
      <c r="B140" s="152">
        <f>SUM(B138:B139)</f>
        <v>0</v>
      </c>
      <c r="C140" s="152">
        <f>SUM(C138:C139)</f>
        <v>29400</v>
      </c>
      <c r="D140" s="152">
        <f>SUM(D138:D139)</f>
        <v>0</v>
      </c>
      <c r="E140" s="152">
        <f t="shared" ref="E140" si="424">SUM(E138:E139)</f>
        <v>0</v>
      </c>
      <c r="F140" s="152">
        <f t="shared" ref="F140" si="425">SUM(F138:F139)</f>
        <v>0</v>
      </c>
      <c r="G140" s="152">
        <f t="shared" ref="G140" si="426">SUM(G138:G139)</f>
        <v>0</v>
      </c>
      <c r="H140" s="152">
        <f t="shared" ref="H140" si="427">SUM(H138:H139)</f>
        <v>0</v>
      </c>
      <c r="I140" s="152">
        <f t="shared" ref="I140" si="428">SUM(I138:I139)</f>
        <v>0</v>
      </c>
      <c r="J140" s="152">
        <f t="shared" ref="J140" si="429">SUM(J138:J139)</f>
        <v>0</v>
      </c>
      <c r="K140" s="152">
        <f t="shared" ref="K140" si="430">SUM(K138:K139)</f>
        <v>0</v>
      </c>
      <c r="L140" s="152">
        <f t="shared" ref="L140" si="431">SUM(L138:L139)</f>
        <v>0</v>
      </c>
      <c r="M140" s="152">
        <f t="shared" ref="M140" si="432">SUM(M138:M139)</f>
        <v>0</v>
      </c>
      <c r="N140" s="152">
        <f t="shared" ref="N140" si="433">SUM(N138:N139)</f>
        <v>0</v>
      </c>
      <c r="O140" s="152">
        <f t="shared" ref="O140" si="434">SUM(O138:O139)</f>
        <v>0</v>
      </c>
      <c r="P140" s="152">
        <f t="shared" ref="P140" si="435">SUM(P138:P139)</f>
        <v>0</v>
      </c>
      <c r="Q140" s="152">
        <f t="shared" ref="Q140" si="436">SUM(Q138:Q139)</f>
        <v>0</v>
      </c>
      <c r="R140" s="152">
        <f t="shared" ref="R140" si="437">SUM(R138:R139)</f>
        <v>0</v>
      </c>
      <c r="S140" s="152">
        <f t="shared" ref="S140" si="438">SUM(S138:S139)</f>
        <v>0</v>
      </c>
      <c r="T140" s="152">
        <f t="shared" ref="T140" si="439">SUM(T138:T139)</f>
        <v>0</v>
      </c>
      <c r="U140" s="152">
        <f t="shared" ref="U140" si="440">SUM(U138:U139)</f>
        <v>0</v>
      </c>
      <c r="V140" s="152">
        <f t="shared" ref="V140" si="441">SUM(V138:V139)</f>
        <v>0</v>
      </c>
      <c r="W140" s="152">
        <f t="shared" ref="W140" si="442">SUM(W138:W139)</f>
        <v>0</v>
      </c>
      <c r="X140" s="152">
        <f t="shared" ref="X140" si="443">SUM(X138:X139)</f>
        <v>0</v>
      </c>
      <c r="Y140" s="152">
        <f t="shared" ref="Y140" si="444">SUM(Y138:Y139)</f>
        <v>0</v>
      </c>
      <c r="Z140" s="152">
        <f t="shared" ref="Z140" si="445">SUM(Z138:Z139)</f>
        <v>0</v>
      </c>
      <c r="AA140" s="152">
        <f t="shared" ref="AA140" si="446">SUM(AA138:AA139)</f>
        <v>0</v>
      </c>
      <c r="AB140" s="152">
        <f t="shared" ref="AB140" si="447">SUM(AB138:AB139)</f>
        <v>0</v>
      </c>
      <c r="AC140" s="152">
        <f t="shared" ref="AC140" si="448">SUM(AC138:AC139)</f>
        <v>0</v>
      </c>
      <c r="AD140" s="152">
        <f t="shared" ref="AD140" si="449">SUM(AD138:AD139)</f>
        <v>0</v>
      </c>
      <c r="AE140" s="152">
        <f t="shared" ref="AE140" si="450">SUM(AE138:AE139)</f>
        <v>0</v>
      </c>
      <c r="AF140" s="152">
        <f t="shared" ref="AF140" si="451">SUM(AF138:AF139)</f>
        <v>0</v>
      </c>
      <c r="AG140" s="152">
        <f t="shared" ref="AG140" si="452">SUM(AG138:AG139)</f>
        <v>0</v>
      </c>
      <c r="AH140" s="152">
        <f t="shared" ref="AH140" si="453">SUM(AH138:AH139)</f>
        <v>0</v>
      </c>
      <c r="AI140" s="152">
        <f t="shared" ref="AI140" si="454">SUM(AI138:AI139)</f>
        <v>0</v>
      </c>
      <c r="AJ140" s="152">
        <f t="shared" ref="AJ140" si="455">SUM(AJ138:AJ139)</f>
        <v>0</v>
      </c>
      <c r="AK140" s="152">
        <f t="shared" ref="AK140" si="456">SUM(AK138:AK139)</f>
        <v>0</v>
      </c>
      <c r="AL140" s="152">
        <f t="shared" ref="AL140" si="457">SUM(AL138:AL139)</f>
        <v>0</v>
      </c>
      <c r="AM140" s="152">
        <f t="shared" ref="AM140" si="458">SUM(AM138:AM139)</f>
        <v>0</v>
      </c>
      <c r="AN140" s="152">
        <f t="shared" ref="AN140" si="459">SUM(AN138:AN139)</f>
        <v>0</v>
      </c>
      <c r="AO140" s="152">
        <f t="shared" ref="AO140" si="460">SUM(AO138:AO139)</f>
        <v>0</v>
      </c>
      <c r="AP140" s="152">
        <f t="shared" ref="AP140" si="461">SUM(AP138:AP139)</f>
        <v>0</v>
      </c>
    </row>
    <row r="141" spans="1:42">
      <c r="A141" s="180" t="s">
        <v>38</v>
      </c>
      <c r="B141" s="152"/>
      <c r="C141" s="152"/>
      <c r="D141" s="152"/>
      <c r="E141" s="152"/>
      <c r="F141" s="152"/>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row>
    <row r="142" spans="1:42">
      <c r="A142" s="184" t="s">
        <v>37</v>
      </c>
      <c r="B142" s="152">
        <f>B575</f>
        <v>0</v>
      </c>
      <c r="C142" s="152">
        <f t="shared" ref="C142:AP142" si="462">IF(B$152&lt;LPFFlipTarget,LPFTEPreFlipTax*C103,LPFTEPostFlipTax*C103)</f>
        <v>0</v>
      </c>
      <c r="D142" s="152">
        <f t="shared" si="462"/>
        <v>0</v>
      </c>
      <c r="E142" s="152">
        <f t="shared" si="462"/>
        <v>0</v>
      </c>
      <c r="F142" s="152">
        <f t="shared" si="462"/>
        <v>0</v>
      </c>
      <c r="G142" s="152">
        <f t="shared" si="462"/>
        <v>0</v>
      </c>
      <c r="H142" s="152">
        <f t="shared" si="462"/>
        <v>0</v>
      </c>
      <c r="I142" s="152">
        <f t="shared" si="462"/>
        <v>0</v>
      </c>
      <c r="J142" s="152">
        <f t="shared" si="462"/>
        <v>0</v>
      </c>
      <c r="K142" s="152">
        <f t="shared" si="462"/>
        <v>0</v>
      </c>
      <c r="L142" s="152">
        <f t="shared" si="462"/>
        <v>0</v>
      </c>
      <c r="M142" s="152">
        <f t="shared" si="462"/>
        <v>0</v>
      </c>
      <c r="N142" s="152">
        <f t="shared" si="462"/>
        <v>0</v>
      </c>
      <c r="O142" s="152">
        <f t="shared" si="462"/>
        <v>0</v>
      </c>
      <c r="P142" s="152">
        <f t="shared" si="462"/>
        <v>0</v>
      </c>
      <c r="Q142" s="152">
        <f t="shared" si="462"/>
        <v>0</v>
      </c>
      <c r="R142" s="152">
        <f t="shared" si="462"/>
        <v>0</v>
      </c>
      <c r="S142" s="152">
        <f t="shared" si="462"/>
        <v>0</v>
      </c>
      <c r="T142" s="152">
        <f t="shared" si="462"/>
        <v>0</v>
      </c>
      <c r="U142" s="152">
        <f t="shared" si="462"/>
        <v>0</v>
      </c>
      <c r="V142" s="152">
        <f t="shared" si="462"/>
        <v>0</v>
      </c>
      <c r="W142" s="152">
        <f t="shared" si="462"/>
        <v>0</v>
      </c>
      <c r="X142" s="152">
        <f t="shared" si="462"/>
        <v>0</v>
      </c>
      <c r="Y142" s="152">
        <f t="shared" si="462"/>
        <v>0</v>
      </c>
      <c r="Z142" s="152">
        <f t="shared" si="462"/>
        <v>0</v>
      </c>
      <c r="AA142" s="152">
        <f t="shared" si="462"/>
        <v>0</v>
      </c>
      <c r="AB142" s="152">
        <f t="shared" si="462"/>
        <v>0</v>
      </c>
      <c r="AC142" s="152">
        <f t="shared" si="462"/>
        <v>0</v>
      </c>
      <c r="AD142" s="152">
        <f t="shared" si="462"/>
        <v>0</v>
      </c>
      <c r="AE142" s="152">
        <f t="shared" si="462"/>
        <v>0</v>
      </c>
      <c r="AF142" s="152">
        <f t="shared" si="462"/>
        <v>0</v>
      </c>
      <c r="AG142" s="152">
        <f t="shared" si="462"/>
        <v>0</v>
      </c>
      <c r="AH142" s="152">
        <f t="shared" si="462"/>
        <v>0</v>
      </c>
      <c r="AI142" s="152">
        <f t="shared" si="462"/>
        <v>0</v>
      </c>
      <c r="AJ142" s="152">
        <f t="shared" si="462"/>
        <v>0</v>
      </c>
      <c r="AK142" s="152">
        <f t="shared" si="462"/>
        <v>0</v>
      </c>
      <c r="AL142" s="152">
        <f t="shared" si="462"/>
        <v>0</v>
      </c>
      <c r="AM142" s="152">
        <f t="shared" si="462"/>
        <v>0</v>
      </c>
      <c r="AN142" s="152">
        <f t="shared" si="462"/>
        <v>0</v>
      </c>
      <c r="AO142" s="152">
        <f t="shared" si="462"/>
        <v>0</v>
      </c>
      <c r="AP142" s="152">
        <f t="shared" si="462"/>
        <v>0</v>
      </c>
    </row>
    <row r="143" spans="1:42">
      <c r="A143" s="184" t="s">
        <v>36</v>
      </c>
      <c r="B143" s="187">
        <f>B581</f>
        <v>0</v>
      </c>
      <c r="C143" s="187">
        <f t="shared" ref="C143:AP143" si="463">IF(B$152&lt;LPFFlipTarget,LPFTEPreFlipTax*C104,LPFTEPostFlipTax*C104)</f>
        <v>0</v>
      </c>
      <c r="D143" s="187">
        <f t="shared" si="463"/>
        <v>0</v>
      </c>
      <c r="E143" s="187">
        <f t="shared" si="463"/>
        <v>0</v>
      </c>
      <c r="F143" s="187">
        <f t="shared" si="463"/>
        <v>0</v>
      </c>
      <c r="G143" s="187">
        <f t="shared" si="463"/>
        <v>0</v>
      </c>
      <c r="H143" s="187">
        <f t="shared" si="463"/>
        <v>0</v>
      </c>
      <c r="I143" s="187">
        <f t="shared" si="463"/>
        <v>0</v>
      </c>
      <c r="J143" s="187">
        <f t="shared" si="463"/>
        <v>0</v>
      </c>
      <c r="K143" s="187">
        <f t="shared" si="463"/>
        <v>0</v>
      </c>
      <c r="L143" s="187">
        <f t="shared" si="463"/>
        <v>0</v>
      </c>
      <c r="M143" s="187">
        <f t="shared" si="463"/>
        <v>0</v>
      </c>
      <c r="N143" s="187">
        <f t="shared" si="463"/>
        <v>0</v>
      </c>
      <c r="O143" s="187">
        <f t="shared" si="463"/>
        <v>0</v>
      </c>
      <c r="P143" s="187">
        <f t="shared" si="463"/>
        <v>0</v>
      </c>
      <c r="Q143" s="187">
        <f t="shared" si="463"/>
        <v>0</v>
      </c>
      <c r="R143" s="187">
        <f t="shared" si="463"/>
        <v>0</v>
      </c>
      <c r="S143" s="187">
        <f t="shared" si="463"/>
        <v>0</v>
      </c>
      <c r="T143" s="187">
        <f t="shared" si="463"/>
        <v>0</v>
      </c>
      <c r="U143" s="187">
        <f t="shared" si="463"/>
        <v>0</v>
      </c>
      <c r="V143" s="187">
        <f t="shared" si="463"/>
        <v>0</v>
      </c>
      <c r="W143" s="187">
        <f t="shared" si="463"/>
        <v>0</v>
      </c>
      <c r="X143" s="187">
        <f t="shared" si="463"/>
        <v>0</v>
      </c>
      <c r="Y143" s="187">
        <f t="shared" si="463"/>
        <v>0</v>
      </c>
      <c r="Z143" s="187">
        <f t="shared" si="463"/>
        <v>0</v>
      </c>
      <c r="AA143" s="187">
        <f t="shared" si="463"/>
        <v>0</v>
      </c>
      <c r="AB143" s="187">
        <f t="shared" si="463"/>
        <v>0</v>
      </c>
      <c r="AC143" s="187">
        <f t="shared" si="463"/>
        <v>0</v>
      </c>
      <c r="AD143" s="187">
        <f t="shared" si="463"/>
        <v>0</v>
      </c>
      <c r="AE143" s="187">
        <f t="shared" si="463"/>
        <v>0</v>
      </c>
      <c r="AF143" s="187">
        <f t="shared" si="463"/>
        <v>0</v>
      </c>
      <c r="AG143" s="187">
        <f t="shared" si="463"/>
        <v>0</v>
      </c>
      <c r="AH143" s="187">
        <f t="shared" si="463"/>
        <v>0</v>
      </c>
      <c r="AI143" s="187">
        <f t="shared" si="463"/>
        <v>0</v>
      </c>
      <c r="AJ143" s="187">
        <f t="shared" si="463"/>
        <v>0</v>
      </c>
      <c r="AK143" s="187">
        <f t="shared" si="463"/>
        <v>0</v>
      </c>
      <c r="AL143" s="187">
        <f t="shared" si="463"/>
        <v>0</v>
      </c>
      <c r="AM143" s="187">
        <f t="shared" si="463"/>
        <v>0</v>
      </c>
      <c r="AN143" s="187">
        <f t="shared" si="463"/>
        <v>0</v>
      </c>
      <c r="AO143" s="187">
        <f t="shared" si="463"/>
        <v>0</v>
      </c>
      <c r="AP143" s="187">
        <f t="shared" si="463"/>
        <v>0</v>
      </c>
    </row>
    <row r="144" spans="1:42">
      <c r="A144" s="184" t="s">
        <v>53</v>
      </c>
      <c r="B144" s="152">
        <f>SUM(B142:B143)</f>
        <v>0</v>
      </c>
      <c r="C144" s="152">
        <f>SUM(C142:C143)</f>
        <v>0</v>
      </c>
      <c r="D144" s="152">
        <f>SUM(D142:D143)</f>
        <v>0</v>
      </c>
      <c r="E144" s="152">
        <f t="shared" ref="E144" si="464">SUM(E142:E143)</f>
        <v>0</v>
      </c>
      <c r="F144" s="152">
        <f t="shared" ref="F144" si="465">SUM(F142:F143)</f>
        <v>0</v>
      </c>
      <c r="G144" s="152">
        <f t="shared" ref="G144" si="466">SUM(G142:G143)</f>
        <v>0</v>
      </c>
      <c r="H144" s="152">
        <f t="shared" ref="H144" si="467">SUM(H142:H143)</f>
        <v>0</v>
      </c>
      <c r="I144" s="152">
        <f t="shared" ref="I144" si="468">SUM(I142:I143)</f>
        <v>0</v>
      </c>
      <c r="J144" s="152">
        <f t="shared" ref="J144" si="469">SUM(J142:J143)</f>
        <v>0</v>
      </c>
      <c r="K144" s="152">
        <f t="shared" ref="K144" si="470">SUM(K142:K143)</f>
        <v>0</v>
      </c>
      <c r="L144" s="152">
        <f t="shared" ref="L144" si="471">SUM(L142:L143)</f>
        <v>0</v>
      </c>
      <c r="M144" s="152">
        <f t="shared" ref="M144" si="472">SUM(M142:M143)</f>
        <v>0</v>
      </c>
      <c r="N144" s="152">
        <f t="shared" ref="N144" si="473">SUM(N142:N143)</f>
        <v>0</v>
      </c>
      <c r="O144" s="152">
        <f t="shared" ref="O144" si="474">SUM(O142:O143)</f>
        <v>0</v>
      </c>
      <c r="P144" s="152">
        <f t="shared" ref="P144" si="475">SUM(P142:P143)</f>
        <v>0</v>
      </c>
      <c r="Q144" s="152">
        <f t="shared" ref="Q144" si="476">SUM(Q142:Q143)</f>
        <v>0</v>
      </c>
      <c r="R144" s="152">
        <f t="shared" ref="R144" si="477">SUM(R142:R143)</f>
        <v>0</v>
      </c>
      <c r="S144" s="152">
        <f t="shared" ref="S144" si="478">SUM(S142:S143)</f>
        <v>0</v>
      </c>
      <c r="T144" s="152">
        <f t="shared" ref="T144" si="479">SUM(T142:T143)</f>
        <v>0</v>
      </c>
      <c r="U144" s="152">
        <f t="shared" ref="U144" si="480">SUM(U142:U143)</f>
        <v>0</v>
      </c>
      <c r="V144" s="152">
        <f t="shared" ref="V144" si="481">SUM(V142:V143)</f>
        <v>0</v>
      </c>
      <c r="W144" s="152">
        <f t="shared" ref="W144" si="482">SUM(W142:W143)</f>
        <v>0</v>
      </c>
      <c r="X144" s="152">
        <f t="shared" ref="X144" si="483">SUM(X142:X143)</f>
        <v>0</v>
      </c>
      <c r="Y144" s="152">
        <f t="shared" ref="Y144" si="484">SUM(Y142:Y143)</f>
        <v>0</v>
      </c>
      <c r="Z144" s="152">
        <f t="shared" ref="Z144" si="485">SUM(Z142:Z143)</f>
        <v>0</v>
      </c>
      <c r="AA144" s="152">
        <f t="shared" ref="AA144" si="486">SUM(AA142:AA143)</f>
        <v>0</v>
      </c>
      <c r="AB144" s="152">
        <f t="shared" ref="AB144" si="487">SUM(AB142:AB143)</f>
        <v>0</v>
      </c>
      <c r="AC144" s="152">
        <f t="shared" ref="AC144" si="488">SUM(AC142:AC143)</f>
        <v>0</v>
      </c>
      <c r="AD144" s="152">
        <f t="shared" ref="AD144" si="489">SUM(AD142:AD143)</f>
        <v>0</v>
      </c>
      <c r="AE144" s="152">
        <f t="shared" ref="AE144" si="490">SUM(AE142:AE143)</f>
        <v>0</v>
      </c>
      <c r="AF144" s="152">
        <f t="shared" ref="AF144" si="491">SUM(AF142:AF143)</f>
        <v>0</v>
      </c>
      <c r="AG144" s="152">
        <f t="shared" ref="AG144" si="492">SUM(AG142:AG143)</f>
        <v>0</v>
      </c>
      <c r="AH144" s="152">
        <f t="shared" ref="AH144" si="493">SUM(AH142:AH143)</f>
        <v>0</v>
      </c>
      <c r="AI144" s="152">
        <f t="shared" ref="AI144" si="494">SUM(AI142:AI143)</f>
        <v>0</v>
      </c>
      <c r="AJ144" s="152">
        <f t="shared" ref="AJ144" si="495">SUM(AJ142:AJ143)</f>
        <v>0</v>
      </c>
      <c r="AK144" s="152">
        <f t="shared" ref="AK144" si="496">SUM(AK142:AK143)</f>
        <v>0</v>
      </c>
      <c r="AL144" s="152">
        <f t="shared" ref="AL144" si="497">SUM(AL142:AL143)</f>
        <v>0</v>
      </c>
      <c r="AM144" s="152">
        <f t="shared" ref="AM144" si="498">SUM(AM142:AM143)</f>
        <v>0</v>
      </c>
      <c r="AN144" s="152">
        <f t="shared" ref="AN144" si="499">SUM(AN142:AN143)</f>
        <v>0</v>
      </c>
      <c r="AO144" s="152">
        <f t="shared" ref="AO144" si="500">SUM(AO142:AO143)</f>
        <v>0</v>
      </c>
      <c r="AP144" s="152">
        <f t="shared" ref="AP144" si="501">SUM(AP142:AP143)</f>
        <v>0</v>
      </c>
    </row>
    <row r="145" spans="1:42">
      <c r="A145" s="180" t="s">
        <v>428</v>
      </c>
      <c r="B145" s="152"/>
      <c r="C145" s="152"/>
      <c r="D145" s="152"/>
      <c r="E145" s="152"/>
      <c r="F145" s="152"/>
      <c r="G145" s="152"/>
      <c r="H145" s="152"/>
      <c r="I145" s="152"/>
      <c r="J145" s="152"/>
      <c r="K145" s="152"/>
      <c r="L145" s="152"/>
      <c r="M145" s="152"/>
      <c r="N145" s="152"/>
      <c r="O145" s="152"/>
      <c r="P145" s="152"/>
      <c r="Q145" s="152"/>
      <c r="R145" s="152"/>
      <c r="S145" s="152"/>
      <c r="T145" s="152"/>
      <c r="U145" s="152"/>
      <c r="V145" s="152"/>
      <c r="W145" s="152"/>
      <c r="X145" s="152"/>
      <c r="Y145" s="152"/>
      <c r="Z145" s="152"/>
      <c r="AA145" s="152"/>
      <c r="AB145" s="152"/>
      <c r="AC145" s="152"/>
      <c r="AD145" s="152"/>
      <c r="AE145" s="152"/>
      <c r="AF145" s="152"/>
      <c r="AG145" s="152"/>
      <c r="AH145" s="152"/>
      <c r="AI145" s="152"/>
      <c r="AJ145" s="152"/>
      <c r="AK145" s="152"/>
      <c r="AL145" s="152"/>
      <c r="AM145" s="152"/>
      <c r="AN145" s="152"/>
      <c r="AO145" s="152"/>
      <c r="AP145" s="152"/>
    </row>
    <row r="146" spans="1:42">
      <c r="A146" s="184" t="s">
        <v>37</v>
      </c>
      <c r="B146" s="152">
        <v>0</v>
      </c>
      <c r="C146" s="152">
        <f t="shared" ref="C146:AP146" si="502">IF(B$152&lt;LPFFlipTarget,LPFTEPreFlipTax*C107,LPFTEPostFlipTax*C107)</f>
        <v>-406914.34742193209</v>
      </c>
      <c r="D146" s="152">
        <f t="shared" si="502"/>
        <v>467847.74912951869</v>
      </c>
      <c r="E146" s="152">
        <f t="shared" si="502"/>
        <v>197298.60869806155</v>
      </c>
      <c r="F146" s="152">
        <f t="shared" si="502"/>
        <v>29334.701691695325</v>
      </c>
      <c r="G146" s="152">
        <f t="shared" si="502"/>
        <v>14634.527331602681</v>
      </c>
      <c r="H146" s="152">
        <f t="shared" si="502"/>
        <v>-116357.31756581078</v>
      </c>
      <c r="I146" s="152">
        <f t="shared" si="502"/>
        <v>-248262.03745015495</v>
      </c>
      <c r="J146" s="152">
        <f t="shared" si="502"/>
        <v>-266378.68460645218</v>
      </c>
      <c r="K146" s="152">
        <f t="shared" si="502"/>
        <v>-284270.01196117682</v>
      </c>
      <c r="L146" s="152">
        <f t="shared" si="502"/>
        <v>-303210.27969081368</v>
      </c>
      <c r="M146" s="152">
        <f t="shared" si="502"/>
        <v>-323900.22228761506</v>
      </c>
      <c r="N146" s="152">
        <f t="shared" si="502"/>
        <v>-298051.31456667249</v>
      </c>
      <c r="O146" s="152">
        <f t="shared" si="502"/>
        <v>-43127.796953086225</v>
      </c>
      <c r="P146" s="152">
        <f t="shared" si="502"/>
        <v>-47418.906509215543</v>
      </c>
      <c r="Q146" s="152">
        <f t="shared" si="502"/>
        <v>-40058.970441529818</v>
      </c>
      <c r="R146" s="152">
        <f t="shared" si="502"/>
        <v>-34487.79723819116</v>
      </c>
      <c r="S146" s="152">
        <f t="shared" si="502"/>
        <v>-44156.759424425218</v>
      </c>
      <c r="T146" s="152">
        <f t="shared" si="502"/>
        <v>-50442.274803522116</v>
      </c>
      <c r="U146" s="152">
        <f t="shared" si="502"/>
        <v>-51370.36980314691</v>
      </c>
      <c r="V146" s="152">
        <f t="shared" si="502"/>
        <v>-55578.014276433838</v>
      </c>
      <c r="W146" s="152">
        <f t="shared" si="502"/>
        <v>-59796.408641364025</v>
      </c>
      <c r="X146" s="152">
        <f t="shared" si="502"/>
        <v>-60911.520487503942</v>
      </c>
      <c r="Y146" s="152">
        <f t="shared" si="502"/>
        <v>-62120.35020646311</v>
      </c>
      <c r="Z146" s="152">
        <f t="shared" si="502"/>
        <v>-57242.990936710361</v>
      </c>
      <c r="AA146" s="152">
        <f t="shared" si="502"/>
        <v>-54120.010556654619</v>
      </c>
      <c r="AB146" s="152">
        <f t="shared" si="502"/>
        <v>-59052.64932072183</v>
      </c>
      <c r="AC146" s="152">
        <f t="shared" si="502"/>
        <v>-62208.731853953679</v>
      </c>
      <c r="AD146" s="152">
        <f t="shared" si="502"/>
        <v>-63070.004936531637</v>
      </c>
      <c r="AE146" s="152">
        <f t="shared" si="502"/>
        <v>-66007.805403703154</v>
      </c>
      <c r="AF146" s="152">
        <f t="shared" si="502"/>
        <v>-89125.596902421981</v>
      </c>
      <c r="AG146" s="152">
        <f t="shared" si="502"/>
        <v>0</v>
      </c>
      <c r="AH146" s="152">
        <f t="shared" si="502"/>
        <v>0</v>
      </c>
      <c r="AI146" s="152">
        <f t="shared" si="502"/>
        <v>0</v>
      </c>
      <c r="AJ146" s="152">
        <f t="shared" si="502"/>
        <v>0</v>
      </c>
      <c r="AK146" s="152">
        <f t="shared" si="502"/>
        <v>0</v>
      </c>
      <c r="AL146" s="152">
        <f t="shared" si="502"/>
        <v>0</v>
      </c>
      <c r="AM146" s="152">
        <f t="shared" si="502"/>
        <v>0</v>
      </c>
      <c r="AN146" s="152">
        <f t="shared" si="502"/>
        <v>0</v>
      </c>
      <c r="AO146" s="152">
        <f t="shared" si="502"/>
        <v>0</v>
      </c>
      <c r="AP146" s="152">
        <f t="shared" si="502"/>
        <v>0</v>
      </c>
    </row>
    <row r="147" spans="1:42">
      <c r="A147" s="184" t="s">
        <v>36</v>
      </c>
      <c r="B147" s="187">
        <v>0</v>
      </c>
      <c r="C147" s="187">
        <f t="shared" ref="C147:AP147" si="503">IF(B$152&lt;LPFFlipTarget,LPFTEPreFlipTax*C108,LPFTEPostFlipTax*C108)</f>
        <v>-1910372.6076276684</v>
      </c>
      <c r="D147" s="187">
        <f t="shared" si="503"/>
        <v>2596743.3132450064</v>
      </c>
      <c r="E147" s="187">
        <f t="shared" si="503"/>
        <v>1056448.333622111</v>
      </c>
      <c r="F147" s="187">
        <f t="shared" si="503"/>
        <v>98387.976325955809</v>
      </c>
      <c r="G147" s="187">
        <f t="shared" si="503"/>
        <v>9986.473242308095</v>
      </c>
      <c r="H147" s="187">
        <f t="shared" si="503"/>
        <v>-738740.72233076813</v>
      </c>
      <c r="I147" s="187">
        <f t="shared" si="503"/>
        <v>-1492957.6161207044</v>
      </c>
      <c r="J147" s="187">
        <f t="shared" si="503"/>
        <v>-1601904.5442469828</v>
      </c>
      <c r="K147" s="187">
        <f t="shared" si="503"/>
        <v>-1709496.4810210767</v>
      </c>
      <c r="L147" s="187">
        <f t="shared" si="503"/>
        <v>-1823396.3637770291</v>
      </c>
      <c r="M147" s="187">
        <f t="shared" si="503"/>
        <v>-1947818.1549387032</v>
      </c>
      <c r="N147" s="187">
        <f t="shared" si="503"/>
        <v>-1792372.2235077624</v>
      </c>
      <c r="O147" s="187">
        <f t="shared" si="503"/>
        <v>-259354.88804060486</v>
      </c>
      <c r="P147" s="187">
        <f t="shared" si="503"/>
        <v>-285160.06050769164</v>
      </c>
      <c r="Q147" s="187">
        <f t="shared" si="503"/>
        <v>-240900.08133701791</v>
      </c>
      <c r="R147" s="187">
        <f t="shared" si="503"/>
        <v>-207397.0715733041</v>
      </c>
      <c r="S147" s="187">
        <f t="shared" si="503"/>
        <v>-265542.69417506619</v>
      </c>
      <c r="T147" s="187">
        <f t="shared" si="503"/>
        <v>-303341.49802299886</v>
      </c>
      <c r="U147" s="187">
        <f t="shared" si="503"/>
        <v>-308922.72386165167</v>
      </c>
      <c r="V147" s="187">
        <f t="shared" si="503"/>
        <v>-334225.9676714635</v>
      </c>
      <c r="W147" s="187">
        <f t="shared" si="503"/>
        <v>-359593.85742056638</v>
      </c>
      <c r="X147" s="187">
        <f t="shared" si="503"/>
        <v>-366299.73456803511</v>
      </c>
      <c r="Y147" s="187">
        <f t="shared" si="503"/>
        <v>-373569.19692341221</v>
      </c>
      <c r="Z147" s="187">
        <f t="shared" si="503"/>
        <v>-344238.5318603082</v>
      </c>
      <c r="AA147" s="187">
        <f t="shared" si="503"/>
        <v>-325458.06348388206</v>
      </c>
      <c r="AB147" s="187">
        <f t="shared" si="503"/>
        <v>-355121.15932415897</v>
      </c>
      <c r="AC147" s="187">
        <f t="shared" si="503"/>
        <v>-374100.6920126396</v>
      </c>
      <c r="AD147" s="187">
        <f t="shared" si="503"/>
        <v>-379280.07514105149</v>
      </c>
      <c r="AE147" s="187">
        <f t="shared" si="503"/>
        <v>-396946.93885954213</v>
      </c>
      <c r="AF147" s="187">
        <f t="shared" si="503"/>
        <v>-535968.93046320113</v>
      </c>
      <c r="AG147" s="187">
        <f t="shared" si="503"/>
        <v>0</v>
      </c>
      <c r="AH147" s="187">
        <f t="shared" si="503"/>
        <v>0</v>
      </c>
      <c r="AI147" s="187">
        <f t="shared" si="503"/>
        <v>0</v>
      </c>
      <c r="AJ147" s="187">
        <f t="shared" si="503"/>
        <v>0</v>
      </c>
      <c r="AK147" s="187">
        <f t="shared" si="503"/>
        <v>0</v>
      </c>
      <c r="AL147" s="187">
        <f t="shared" si="503"/>
        <v>0</v>
      </c>
      <c r="AM147" s="187">
        <f t="shared" si="503"/>
        <v>0</v>
      </c>
      <c r="AN147" s="187">
        <f t="shared" si="503"/>
        <v>0</v>
      </c>
      <c r="AO147" s="187">
        <f t="shared" si="503"/>
        <v>0</v>
      </c>
      <c r="AP147" s="187">
        <f t="shared" si="503"/>
        <v>0</v>
      </c>
    </row>
    <row r="148" spans="1:42">
      <c r="A148" s="184" t="s">
        <v>53</v>
      </c>
      <c r="B148" s="194">
        <f>SUM(B146:B147)</f>
        <v>0</v>
      </c>
      <c r="C148" s="194">
        <f>SUM(C146:C147)</f>
        <v>-2317286.9550496005</v>
      </c>
      <c r="D148" s="194">
        <f>SUM(D146:D147)</f>
        <v>3064591.0623745252</v>
      </c>
      <c r="E148" s="194">
        <f t="shared" ref="E148" si="504">SUM(E146:E147)</f>
        <v>1253746.9423201727</v>
      </c>
      <c r="F148" s="194">
        <f t="shared" ref="F148" si="505">SUM(F146:F147)</f>
        <v>127722.67801765114</v>
      </c>
      <c r="G148" s="194">
        <f t="shared" ref="G148" si="506">SUM(G146:G147)</f>
        <v>24621.000573910776</v>
      </c>
      <c r="H148" s="194">
        <f t="shared" ref="H148" si="507">SUM(H146:H147)</f>
        <v>-855098.03989657888</v>
      </c>
      <c r="I148" s="194">
        <f t="shared" ref="I148" si="508">SUM(I146:I147)</f>
        <v>-1741219.6535708595</v>
      </c>
      <c r="J148" s="194">
        <f t="shared" ref="J148" si="509">SUM(J146:J147)</f>
        <v>-1868283.228853435</v>
      </c>
      <c r="K148" s="194">
        <f t="shared" ref="K148" si="510">SUM(K146:K147)</f>
        <v>-1993766.4929822534</v>
      </c>
      <c r="L148" s="194">
        <f t="shared" ref="L148" si="511">SUM(L146:L147)</f>
        <v>-2126606.6434678426</v>
      </c>
      <c r="M148" s="194">
        <f t="shared" ref="M148" si="512">SUM(M146:M147)</f>
        <v>-2271718.3772263182</v>
      </c>
      <c r="N148" s="194">
        <f t="shared" ref="N148" si="513">SUM(N146:N147)</f>
        <v>-2090423.538074435</v>
      </c>
      <c r="O148" s="194">
        <f t="shared" ref="O148" si="514">SUM(O146:O147)</f>
        <v>-302482.6849936911</v>
      </c>
      <c r="P148" s="194">
        <f t="shared" ref="P148" si="515">SUM(P146:P147)</f>
        <v>-332578.96701690718</v>
      </c>
      <c r="Q148" s="194">
        <f t="shared" ref="Q148" si="516">SUM(Q146:Q147)</f>
        <v>-280959.0517785477</v>
      </c>
      <c r="R148" s="194">
        <f t="shared" ref="R148" si="517">SUM(R146:R147)</f>
        <v>-241884.86881149525</v>
      </c>
      <c r="S148" s="194">
        <f t="shared" ref="S148" si="518">SUM(S146:S147)</f>
        <v>-309699.45359949139</v>
      </c>
      <c r="T148" s="194">
        <f t="shared" ref="T148" si="519">SUM(T146:T147)</f>
        <v>-353783.77282652096</v>
      </c>
      <c r="U148" s="194">
        <f t="shared" ref="U148" si="520">SUM(U146:U147)</f>
        <v>-360293.09366479859</v>
      </c>
      <c r="V148" s="194">
        <f t="shared" ref="V148" si="521">SUM(V146:V147)</f>
        <v>-389803.98194789735</v>
      </c>
      <c r="W148" s="194">
        <f t="shared" ref="W148" si="522">SUM(W146:W147)</f>
        <v>-419390.26606193039</v>
      </c>
      <c r="X148" s="194">
        <f t="shared" ref="X148" si="523">SUM(X146:X147)</f>
        <v>-427211.25505553908</v>
      </c>
      <c r="Y148" s="194">
        <f t="shared" ref="Y148" si="524">SUM(Y146:Y147)</f>
        <v>-435689.54712987534</v>
      </c>
      <c r="Z148" s="194">
        <f t="shared" ref="Z148" si="525">SUM(Z146:Z147)</f>
        <v>-401481.52279701858</v>
      </c>
      <c r="AA148" s="194">
        <f t="shared" ref="AA148" si="526">SUM(AA146:AA147)</f>
        <v>-379578.07404053665</v>
      </c>
      <c r="AB148" s="194">
        <f t="shared" ref="AB148" si="527">SUM(AB146:AB147)</f>
        <v>-414173.80864488077</v>
      </c>
      <c r="AC148" s="194">
        <f t="shared" ref="AC148" si="528">SUM(AC146:AC147)</f>
        <v>-436309.42386659328</v>
      </c>
      <c r="AD148" s="194">
        <f t="shared" ref="AD148" si="529">SUM(AD146:AD147)</f>
        <v>-442350.08007758314</v>
      </c>
      <c r="AE148" s="194">
        <f t="shared" ref="AE148" si="530">SUM(AE146:AE147)</f>
        <v>-462954.74426324526</v>
      </c>
      <c r="AF148" s="194">
        <f t="shared" ref="AF148" si="531">SUM(AF146:AF147)</f>
        <v>-625094.52736562316</v>
      </c>
      <c r="AG148" s="194">
        <f t="shared" ref="AG148" si="532">SUM(AG146:AG147)</f>
        <v>0</v>
      </c>
      <c r="AH148" s="194">
        <f t="shared" ref="AH148" si="533">SUM(AH146:AH147)</f>
        <v>0</v>
      </c>
      <c r="AI148" s="194">
        <f t="shared" ref="AI148" si="534">SUM(AI146:AI147)</f>
        <v>0</v>
      </c>
      <c r="AJ148" s="194">
        <f t="shared" ref="AJ148" si="535">SUM(AJ146:AJ147)</f>
        <v>0</v>
      </c>
      <c r="AK148" s="194">
        <f t="shared" ref="AK148" si="536">SUM(AK146:AK147)</f>
        <v>0</v>
      </c>
      <c r="AL148" s="194">
        <f t="shared" ref="AL148" si="537">SUM(AL146:AL147)</f>
        <v>0</v>
      </c>
      <c r="AM148" s="194">
        <f t="shared" ref="AM148" si="538">SUM(AM146:AM147)</f>
        <v>0</v>
      </c>
      <c r="AN148" s="194">
        <f t="shared" ref="AN148" si="539">SUM(AN146:AN147)</f>
        <v>0</v>
      </c>
      <c r="AO148" s="194">
        <f t="shared" ref="AO148" si="540">SUM(AO146:AO147)</f>
        <v>0</v>
      </c>
      <c r="AP148" s="194">
        <f t="shared" ref="AP148" si="541">SUM(AP146:AP147)</f>
        <v>0</v>
      </c>
    </row>
    <row r="149" spans="1:42">
      <c r="A149" s="180" t="s">
        <v>53</v>
      </c>
      <c r="B149" s="152">
        <f>B136+B140+B144+B148</f>
        <v>-9467748.61564501</v>
      </c>
      <c r="C149" s="152">
        <f t="shared" ref="C149" si="542">C136+C140+C144+C148</f>
        <v>-839896.77909640037</v>
      </c>
      <c r="D149" s="152">
        <f t="shared" ref="D149" si="543">D136+D140+D144+D148</f>
        <v>4555143.2707862072</v>
      </c>
      <c r="E149" s="152">
        <f t="shared" ref="E149" si="544">E136+E140+E144+E148</f>
        <v>2787748.2214523368</v>
      </c>
      <c r="F149" s="152">
        <f t="shared" ref="F149" si="545">F136+F140+F144+F148</f>
        <v>1702239.8761774625</v>
      </c>
      <c r="G149" s="152">
        <f t="shared" ref="G149" si="546">G136+G140+G144+G148</f>
        <v>1642866.9425037696</v>
      </c>
      <c r="H149" s="152">
        <f t="shared" ref="H149" si="547">H136+H140+H144+H148</f>
        <v>807803.19128398516</v>
      </c>
      <c r="I149" s="152">
        <f t="shared" ref="I149" si="548">I136+I140+I144+I148</f>
        <v>-36731.299963907804</v>
      </c>
      <c r="J149" s="152">
        <f t="shared" ref="J149" si="549">J136+J140+J144+J148</f>
        <v>-118849.22776764072</v>
      </c>
      <c r="K149" s="152">
        <f t="shared" ref="K149" si="550">K136+K140+K144+K148</f>
        <v>-198419.05542820436</v>
      </c>
      <c r="L149" s="152">
        <f t="shared" ref="L149" si="551">L136+L140+L144+L148</f>
        <v>1483492.9598533018</v>
      </c>
      <c r="M149" s="152">
        <f t="shared" ref="M149" si="552">M136+M140+M144+M148</f>
        <v>3160174.46522843</v>
      </c>
      <c r="N149" s="152">
        <f t="shared" ref="N149" si="553">N136+N140+N144+N148</f>
        <v>3457016.2687822245</v>
      </c>
      <c r="O149" s="152">
        <f t="shared" ref="O149" si="554">O136+O140+O144+O148</f>
        <v>548988.7820590355</v>
      </c>
      <c r="P149" s="152">
        <f t="shared" ref="P149" si="555">P136+P140+P144+P148</f>
        <v>537106.14458564832</v>
      </c>
      <c r="Q149" s="152">
        <f t="shared" ref="Q149" si="556">Q136+Q140+Q144+Q148</f>
        <v>607142.4796880011</v>
      </c>
      <c r="R149" s="152">
        <f t="shared" ref="R149" si="557">R136+R140+R144+R148</f>
        <v>632656.01278681844</v>
      </c>
      <c r="S149" s="152">
        <f t="shared" ref="S149" si="558">S136+S140+S144+S148</f>
        <v>583946.59744731314</v>
      </c>
      <c r="T149" s="152">
        <f t="shared" ref="T149" si="559">T136+T140+T144+T148</f>
        <v>559178.87939515547</v>
      </c>
      <c r="U149" s="152">
        <f t="shared" ref="U149" si="560">U136+U140+U144+U148</f>
        <v>571568.27631266951</v>
      </c>
      <c r="V149" s="152">
        <f t="shared" ref="V149" si="561">V136+V140+V144+V148</f>
        <v>561810.93126403878</v>
      </c>
      <c r="W149" s="152">
        <f t="shared" ref="W149" si="562">W136+W140+W144+W148</f>
        <v>552198.63290616777</v>
      </c>
      <c r="X149" s="152">
        <f t="shared" ref="X149" si="563">X136+X140+X144+X148</f>
        <v>561764.35833556193</v>
      </c>
      <c r="Y149" s="152">
        <f t="shared" ref="Y149" si="564">Y136+Y140+Y144+Y148</f>
        <v>571565.97724567261</v>
      </c>
      <c r="Z149" s="152">
        <f t="shared" ref="Z149" si="565">Z136+Z140+Z144+Z148</f>
        <v>624283.73365463316</v>
      </c>
      <c r="AA149" s="152">
        <f t="shared" ref="AA149" si="566">AA136+AA140+AA144+AA148</f>
        <v>699007.89597380802</v>
      </c>
      <c r="AB149" s="152">
        <f t="shared" ref="AB149" si="567">AB136+AB140+AB144+AB148</f>
        <v>682626.6322505381</v>
      </c>
      <c r="AC149" s="152">
        <f t="shared" ref="AC149" si="568">AC136+AC140+AC144+AC148</f>
        <v>678945.06915758387</v>
      </c>
      <c r="AD149" s="152">
        <f t="shared" ref="AD149" si="569">AD136+AD140+AD144+AD148</f>
        <v>690878.44580897922</v>
      </c>
      <c r="AE149" s="152">
        <f t="shared" ref="AE149" si="570">AE136+AE140+AE144+AE148</f>
        <v>689222.94886464858</v>
      </c>
      <c r="AF149" s="152">
        <f t="shared" ref="AF149" si="571">AF136+AF140+AF144+AF148</f>
        <v>1172189.3202305776</v>
      </c>
      <c r="AG149" s="152">
        <f t="shared" ref="AG149" si="572">AG136+AG140+AG144+AG148</f>
        <v>0</v>
      </c>
      <c r="AH149" s="152">
        <f t="shared" ref="AH149" si="573">AH136+AH140+AH144+AH148</f>
        <v>0</v>
      </c>
      <c r="AI149" s="152">
        <f t="shared" ref="AI149" si="574">AI136+AI140+AI144+AI148</f>
        <v>0</v>
      </c>
      <c r="AJ149" s="152">
        <f t="shared" ref="AJ149" si="575">AJ136+AJ140+AJ144+AJ148</f>
        <v>0</v>
      </c>
      <c r="AK149" s="152">
        <f t="shared" ref="AK149" si="576">AK136+AK140+AK144+AK148</f>
        <v>0</v>
      </c>
      <c r="AL149" s="152">
        <f t="shared" ref="AL149" si="577">AL136+AL140+AL144+AL148</f>
        <v>0</v>
      </c>
      <c r="AM149" s="152">
        <f t="shared" ref="AM149" si="578">AM136+AM140+AM144+AM148</f>
        <v>0</v>
      </c>
      <c r="AN149" s="152">
        <f t="shared" ref="AN149" si="579">AN136+AN140+AN144+AN148</f>
        <v>0</v>
      </c>
      <c r="AO149" s="152">
        <f t="shared" ref="AO149" si="580">AO136+AO140+AO144+AO148</f>
        <v>0</v>
      </c>
      <c r="AP149" s="152">
        <f t="shared" ref="AP149" si="581">AP136+AP140+AP144+AP148</f>
        <v>0</v>
      </c>
    </row>
    <row r="150" spans="1:42">
      <c r="A150" s="200"/>
      <c r="B150" s="152"/>
      <c r="C150" s="152"/>
      <c r="D150" s="152"/>
      <c r="E150" s="152"/>
      <c r="F150" s="152"/>
      <c r="G150" s="152"/>
      <c r="H150" s="152"/>
      <c r="I150" s="152"/>
      <c r="J150" s="152"/>
      <c r="K150" s="152"/>
      <c r="L150" s="152"/>
      <c r="M150" s="152"/>
      <c r="N150" s="152"/>
      <c r="O150" s="152"/>
      <c r="P150" s="152"/>
      <c r="Q150" s="152"/>
      <c r="R150" s="152"/>
      <c r="S150" s="152"/>
      <c r="T150" s="152"/>
      <c r="U150" s="152"/>
      <c r="V150" s="152"/>
      <c r="W150" s="152"/>
      <c r="X150" s="152"/>
      <c r="Y150" s="152"/>
      <c r="Z150" s="152"/>
      <c r="AA150" s="152"/>
      <c r="AB150" s="152"/>
      <c r="AC150" s="152"/>
      <c r="AD150" s="152"/>
      <c r="AE150" s="152"/>
      <c r="AF150" s="152"/>
      <c r="AG150" s="152"/>
      <c r="AH150" s="152"/>
      <c r="AI150" s="152"/>
      <c r="AJ150" s="152"/>
      <c r="AK150" s="152"/>
      <c r="AL150" s="152"/>
      <c r="AM150" s="152"/>
      <c r="AN150" s="152"/>
      <c r="AO150" s="152"/>
      <c r="AP150" s="152"/>
    </row>
    <row r="151" spans="1:42">
      <c r="A151" s="180" t="s">
        <v>401</v>
      </c>
      <c r="B151" s="201">
        <f>ROUND(IF(ISERROR(IRR($B$149:B149)),0,IRR($B$149:B149)),4)</f>
        <v>0</v>
      </c>
      <c r="C151" s="201">
        <f>ROUND(IF(ISERROR(IRR($B$149:C149)),0,IRR($B$149:C149)),4)</f>
        <v>0</v>
      </c>
      <c r="D151" s="201">
        <f>ROUND(IF(ISERROR(IRR($B$149:D149)),0,IRR($B$149:D149)),4)</f>
        <v>-0.3493</v>
      </c>
      <c r="E151" s="201">
        <f>ROUND(IF(ISERROR(IRR($B$149:E149)),0,IRR($B$149:E149)),4)</f>
        <v>-0.1366</v>
      </c>
      <c r="F151" s="201">
        <f>ROUND(IF(ISERROR(IRR($B$149:F149)),0,IRR($B$149:F149)),4)</f>
        <v>-4.87E-2</v>
      </c>
      <c r="G151" s="201">
        <f>ROUND(IF(ISERROR(IRR($B$149:G149)),0,IRR($B$149:G149)),4)</f>
        <v>1.23E-2</v>
      </c>
      <c r="H151" s="201">
        <f>ROUND(IF(ISERROR(IRR($B$149:H149)),0,IRR($B$149:H149)),4)</f>
        <v>3.5400000000000001E-2</v>
      </c>
      <c r="I151" s="201">
        <f>ROUND(IF(ISERROR(IRR($B$149:I149)),0,IRR($B$149:I149)),4)</f>
        <v>3.44E-2</v>
      </c>
      <c r="J151" s="201">
        <f>ROUND(IF(ISERROR(IRR($B$149:J149)),0,IRR($B$149:J149)),4)</f>
        <v>3.1399999999999997E-2</v>
      </c>
      <c r="K151" s="201">
        <f>ROUND(IF(ISERROR(IRR($B$149:K149)),0,IRR($B$149:K149)),4)</f>
        <v>2.64E-2</v>
      </c>
      <c r="L151" s="201">
        <f>ROUND(IF(ISERROR(IRR($B$149:L149)),0,IRR($B$149:L149)),4)</f>
        <v>5.6800000000000003E-2</v>
      </c>
      <c r="M151" s="201">
        <f>ROUND(IF(ISERROR(IRR($B$149:M149)),0,IRR($B$149:M149)),4)</f>
        <v>9.4600000000000004E-2</v>
      </c>
      <c r="N151" s="201">
        <f>ROUND(IF(ISERROR(IRR($B$149:N149)),0,IRR($B$149:N149)),4)</f>
        <v>0.11899999999999999</v>
      </c>
      <c r="O151" s="201">
        <f>ROUND(IF(ISERROR(IRR($B$149:O149)),0,IRR($B$149:O149)),4)</f>
        <v>0.12189999999999999</v>
      </c>
      <c r="P151" s="201">
        <f>ROUND(IF(ISERROR(IRR($B$149:P149)),0,IRR($B$149:P149)),4)</f>
        <v>0.12429999999999999</v>
      </c>
      <c r="Q151" s="201">
        <f>ROUND(IF(ISERROR(IRR($B$149:Q149)),0,IRR($B$149:Q149)),4)</f>
        <v>0.12659999999999999</v>
      </c>
      <c r="R151" s="201">
        <f>ROUND(IF(ISERROR(IRR($B$149:R149)),0,IRR($B$149:R149)),4)</f>
        <v>0.12870000000000001</v>
      </c>
      <c r="S151" s="201">
        <f>ROUND(IF(ISERROR(IRR($B$149:S149)),0,IRR($B$149:S149)),4)</f>
        <v>0.1303</v>
      </c>
      <c r="T151" s="201">
        <f>ROUND(IF(ISERROR(IRR($B$149:T149)),0,IRR($B$149:T149)),4)</f>
        <v>0.13159999999999999</v>
      </c>
      <c r="U151" s="201">
        <f>ROUND(IF(ISERROR(IRR($B$149:U149)),0,IRR($B$149:U149)),4)</f>
        <v>0.1328</v>
      </c>
      <c r="V151" s="201">
        <f>ROUND(IF(ISERROR(IRR($B$149:V149)),0,IRR($B$149:V149)),4)</f>
        <v>0.13370000000000001</v>
      </c>
      <c r="W151" s="201">
        <f>ROUND(IF(ISERROR(IRR($B$149:W149)),0,IRR($B$149:W149)),4)</f>
        <v>0.1346</v>
      </c>
      <c r="X151" s="201">
        <f>ROUND(IF(ISERROR(IRR($B$149:X149)),0,IRR($B$149:X149)),4)</f>
        <v>0.1353</v>
      </c>
      <c r="Y151" s="201">
        <f>ROUND(IF(ISERROR(IRR($B$149:Y149)),0,IRR($B$149:Y149)),4)</f>
        <v>0.13589999999999999</v>
      </c>
      <c r="Z151" s="201">
        <f>ROUND(IF(ISERROR(IRR($B$149:Z149)),0,IRR($B$149:Z149)),4)</f>
        <v>0.13650000000000001</v>
      </c>
      <c r="AA151" s="201">
        <f>ROUND(IF(ISERROR(IRR($B$149:AA149)),0,IRR($B$149:AA149)),4)</f>
        <v>0.1371</v>
      </c>
      <c r="AB151" s="201">
        <f>ROUND(IF(ISERROR(IRR($B$149:AB149)),0,IRR($B$149:AB149)),4)</f>
        <v>0.1376</v>
      </c>
      <c r="AC151" s="201">
        <f>ROUND(IF(ISERROR(IRR($B$149:AC149)),0,IRR($B$149:AC149)),4)</f>
        <v>0.13800000000000001</v>
      </c>
      <c r="AD151" s="201">
        <f>ROUND(IF(ISERROR(IRR($B$149:AD149)),0,IRR($B$149:AD149)),4)</f>
        <v>0.1384</v>
      </c>
      <c r="AE151" s="201">
        <f>ROUND(IF(ISERROR(IRR($B$149:AE149)),0,IRR($B$149:AE149)),4)</f>
        <v>0.13869999999999999</v>
      </c>
      <c r="AF151" s="201">
        <f>ROUND(IF(ISERROR(IRR($B$149:AF149)),0,IRR($B$149:AF149)),4)</f>
        <v>0.13919999999999999</v>
      </c>
      <c r="AG151" s="201">
        <f>ROUND(IF(ISERROR(IRR($B$149:AG149)),0,IRR($B$149:AG149)),4)</f>
        <v>0.13919999999999999</v>
      </c>
      <c r="AH151" s="201">
        <f>ROUND(IF(ISERROR(IRR($B$149:AH149)),0,IRR($B$149:AH149)),4)</f>
        <v>0.13919999999999999</v>
      </c>
      <c r="AI151" s="201">
        <f>ROUND(IF(ISERROR(IRR($B$149:AI149)),0,IRR($B$149:AI149)),4)</f>
        <v>0.13919999999999999</v>
      </c>
      <c r="AJ151" s="201">
        <f>ROUND(IF(ISERROR(IRR($B$149:AJ149)),0,IRR($B$149:AJ149)),4)</f>
        <v>0.13919999999999999</v>
      </c>
      <c r="AK151" s="201">
        <f>ROUND(IF(ISERROR(IRR($B$149:AK149)),0,IRR($B$149:AK149)),4)</f>
        <v>0.13919999999999999</v>
      </c>
      <c r="AL151" s="201">
        <f>ROUND(IF(ISERROR(IRR($B$149:AL149)),0,IRR($B$149:AL149)),4)</f>
        <v>0.13919999999999999</v>
      </c>
      <c r="AM151" s="201">
        <f>ROUND(IF(ISERROR(IRR($B$149:AM149)),0,IRR($B$149:AM149)),4)</f>
        <v>0.13919999999999999</v>
      </c>
      <c r="AN151" s="201">
        <f>ROUND(IF(ISERROR(IRR($B$149:AN149)),0,IRR($B$149:AN149)),4)</f>
        <v>0.13919999999999999</v>
      </c>
      <c r="AO151" s="201">
        <f>ROUND(IF(ISERROR(IRR($B$149:AO149)),0,IRR($B$149:AO149)),4)</f>
        <v>0.13919999999999999</v>
      </c>
      <c r="AP151" s="201">
        <f>ROUND(IF(ISERROR(IRR($B$149:AP149)),0,IRR($B$149:AP149)),4)</f>
        <v>0.13919999999999999</v>
      </c>
    </row>
    <row r="152" spans="1:42">
      <c r="A152" s="180" t="s">
        <v>237</v>
      </c>
      <c r="B152" s="202">
        <f>MAX($B$151:B151)</f>
        <v>0</v>
      </c>
      <c r="C152" s="202">
        <f>MAX($B$151:C151)</f>
        <v>0</v>
      </c>
      <c r="D152" s="202">
        <f>MAX($B$151:D151)</f>
        <v>0</v>
      </c>
      <c r="E152" s="202">
        <f>MAX($B$151:E151)</f>
        <v>0</v>
      </c>
      <c r="F152" s="202">
        <f>MAX($B$151:F151)</f>
        <v>0</v>
      </c>
      <c r="G152" s="202">
        <f>MAX($B$151:G151)</f>
        <v>1.23E-2</v>
      </c>
      <c r="H152" s="202">
        <f>MAX($B$151:H151)</f>
        <v>3.5400000000000001E-2</v>
      </c>
      <c r="I152" s="202">
        <f>MAX($B$151:I151)</f>
        <v>3.5400000000000001E-2</v>
      </c>
      <c r="J152" s="202">
        <f>MAX($B$151:J151)</f>
        <v>3.5400000000000001E-2</v>
      </c>
      <c r="K152" s="202">
        <f>MAX($B$151:K151)</f>
        <v>3.5400000000000001E-2</v>
      </c>
      <c r="L152" s="202">
        <f>MAX($B$151:L151)</f>
        <v>5.6800000000000003E-2</v>
      </c>
      <c r="M152" s="202">
        <f>MAX($B$151:M151)</f>
        <v>9.4600000000000004E-2</v>
      </c>
      <c r="N152" s="202">
        <f>MAX($B$151:N151)</f>
        <v>0.11899999999999999</v>
      </c>
      <c r="O152" s="202">
        <f>MAX($B$151:O151)</f>
        <v>0.12189999999999999</v>
      </c>
      <c r="P152" s="202">
        <f>MAX($B$151:P151)</f>
        <v>0.12429999999999999</v>
      </c>
      <c r="Q152" s="202">
        <f>MAX($B$151:Q151)</f>
        <v>0.12659999999999999</v>
      </c>
      <c r="R152" s="202">
        <f>MAX($B$151:R151)</f>
        <v>0.12870000000000001</v>
      </c>
      <c r="S152" s="202">
        <f>MAX($B$151:S151)</f>
        <v>0.1303</v>
      </c>
      <c r="T152" s="202">
        <f>MAX($B$151:T151)</f>
        <v>0.13159999999999999</v>
      </c>
      <c r="U152" s="202">
        <f>MAX($B$151:U151)</f>
        <v>0.1328</v>
      </c>
      <c r="V152" s="202">
        <f>MAX($B$151:V151)</f>
        <v>0.13370000000000001</v>
      </c>
      <c r="W152" s="202">
        <f>MAX($B$151:W151)</f>
        <v>0.1346</v>
      </c>
      <c r="X152" s="202">
        <f>MAX($B$151:X151)</f>
        <v>0.1353</v>
      </c>
      <c r="Y152" s="202">
        <f>MAX($B$151:Y151)</f>
        <v>0.13589999999999999</v>
      </c>
      <c r="Z152" s="202">
        <f>MAX($B$151:Z151)</f>
        <v>0.13650000000000001</v>
      </c>
      <c r="AA152" s="202">
        <f>MAX($B$151:AA151)</f>
        <v>0.1371</v>
      </c>
      <c r="AB152" s="202">
        <f>MAX($B$151:AB151)</f>
        <v>0.1376</v>
      </c>
      <c r="AC152" s="202">
        <f>MAX($B$151:AC151)</f>
        <v>0.13800000000000001</v>
      </c>
      <c r="AD152" s="202">
        <f>MAX($B$151:AD151)</f>
        <v>0.1384</v>
      </c>
      <c r="AE152" s="202">
        <f>MAX($B$151:AE151)</f>
        <v>0.13869999999999999</v>
      </c>
      <c r="AF152" s="202">
        <f>MAX($B$151:AF151)</f>
        <v>0.13919999999999999</v>
      </c>
      <c r="AG152" s="202">
        <f>MAX($B$151:AG151)</f>
        <v>0.13919999999999999</v>
      </c>
      <c r="AH152" s="202">
        <f>MAX($B$151:AH151)</f>
        <v>0.13919999999999999</v>
      </c>
      <c r="AI152" s="202">
        <f>MAX($B$151:AI151)</f>
        <v>0.13919999999999999</v>
      </c>
      <c r="AJ152" s="202">
        <f>MAX($B$151:AJ151)</f>
        <v>0.13919999999999999</v>
      </c>
      <c r="AK152" s="202">
        <f>MAX($B$151:AK151)</f>
        <v>0.13919999999999999</v>
      </c>
      <c r="AL152" s="202">
        <f>MAX($B$151:AL151)</f>
        <v>0.13919999999999999</v>
      </c>
      <c r="AM152" s="202">
        <f>MAX($B$151:AM151)</f>
        <v>0.13919999999999999</v>
      </c>
      <c r="AN152" s="202">
        <f>MAX($B$151:AN151)</f>
        <v>0.13919999999999999</v>
      </c>
      <c r="AO152" s="202">
        <f>MAX($B$151:AO151)</f>
        <v>0.13919999999999999</v>
      </c>
      <c r="AP152" s="202">
        <f>MAX($B$151:AP151)</f>
        <v>0.13919999999999999</v>
      </c>
    </row>
    <row r="153" spans="1:42">
      <c r="A153" s="180" t="s">
        <v>402</v>
      </c>
      <c r="B153" s="251">
        <f>B149</f>
        <v>-9467748.61564501</v>
      </c>
      <c r="C153" s="251">
        <f>NPV(DiscountRate,$C149:C149)+$B149</f>
        <v>-10245430.818512047</v>
      </c>
      <c r="D153" s="251">
        <f>NPV(DiscountRate,$C149:D149)+$B149</f>
        <v>-6340129.6604305953</v>
      </c>
      <c r="E153" s="251">
        <f>NPV(DiscountRate,$C149:E149)+$B149</f>
        <v>-4127125.2423950937</v>
      </c>
      <c r="F153" s="251">
        <f>NPV(DiscountRate,$C149:F149)+$B149</f>
        <v>-2875928.1167841209</v>
      </c>
      <c r="G153" s="251">
        <f>NPV(DiscountRate,$C149:G149)+$B149</f>
        <v>-1757820.480753839</v>
      </c>
      <c r="H153" s="251">
        <f>NPV(DiscountRate,$C149:H149)+$B149</f>
        <v>-1248767.4451074293</v>
      </c>
      <c r="I153" s="251">
        <f>NPV(DiscountRate,$C149:I149)+$B149</f>
        <v>-1270199.8058418613</v>
      </c>
      <c r="J153" s="251">
        <f>NPV(DiscountRate,$C149:J149)+$B149</f>
        <v>-1334410.3455518046</v>
      </c>
      <c r="K153" s="251">
        <f>NPV(DiscountRate,$C149:K149)+$B149</f>
        <v>-1433669.2730889646</v>
      </c>
      <c r="L153" s="251">
        <f>NPV(DiscountRate,$C149:L149)+$B149</f>
        <v>-746524.99446544051</v>
      </c>
      <c r="M153" s="251">
        <f>NPV(DiscountRate,$C149:M149)+$B149</f>
        <v>608819.66618762352</v>
      </c>
      <c r="N153" s="251">
        <f>NPV(DiscountRate,$C149:N149)+$B149</f>
        <v>1981648.3903840724</v>
      </c>
      <c r="O153" s="251">
        <f>NPV(DiscountRate,$C149:O149)+$B149</f>
        <v>2183510.4262155052</v>
      </c>
      <c r="P153" s="251">
        <f>NPV(DiscountRate,$C149:P149)+$B149</f>
        <v>2366374.1435236875</v>
      </c>
      <c r="Q153" s="251">
        <f>NPV(DiscountRate,$C149:Q149)+$B149</f>
        <v>2557770.7739777509</v>
      </c>
      <c r="R153" s="251">
        <f>NPV(DiscountRate,$C149:R149)+$B149</f>
        <v>2742437.0333553776</v>
      </c>
      <c r="S153" s="251">
        <f>NPV(DiscountRate,$C149:S149)+$B149</f>
        <v>2900259.6679475605</v>
      </c>
      <c r="T153" s="251">
        <f>NPV(DiscountRate,$C149:T149)+$B149</f>
        <v>3040193.639618421</v>
      </c>
      <c r="U153" s="251">
        <f>NPV(DiscountRate,$C149:U149)+$B149</f>
        <v>3172632.9046376832</v>
      </c>
      <c r="V153" s="251">
        <f>NPV(DiscountRate,$C149:V149)+$B149</f>
        <v>3293168.4328403864</v>
      </c>
      <c r="W153" s="251">
        <f>NPV(DiscountRate,$C149:W149)+$B149</f>
        <v>3402865.8650820423</v>
      </c>
      <c r="X153" s="251">
        <f>NPV(DiscountRate,$C149:X149)+$B149</f>
        <v>3506197.0859877225</v>
      </c>
      <c r="Y153" s="251">
        <f>NPV(DiscountRate,$C149:Y149)+$B149</f>
        <v>3603543.507893052</v>
      </c>
      <c r="Z153" s="251">
        <f>NPV(DiscountRate,$C149:Z149)+$B149</f>
        <v>3701992.6389812697</v>
      </c>
      <c r="AA153" s="251">
        <f>NPV(DiscountRate,$C149:AA149)+$B149</f>
        <v>3804060.3074689489</v>
      </c>
      <c r="AB153" s="251">
        <f>NPV(DiscountRate,$C149:AB149)+$B149</f>
        <v>3896352.6321717091</v>
      </c>
      <c r="AC153" s="251">
        <f>NPV(DiscountRate,$C149:AC149)+$B149</f>
        <v>3981347.6052078418</v>
      </c>
      <c r="AD153" s="251">
        <f>NPV(DiscountRate,$C149:AD149)+$B149</f>
        <v>4061429.8964033816</v>
      </c>
      <c r="AE153" s="251">
        <f>NPV(DiscountRate,$C149:AE149)+$B149</f>
        <v>4135402.4856488798</v>
      </c>
      <c r="AF153" s="251">
        <f>NPV(DiscountRate,$C149:AF149)+$B149</f>
        <v>4251891.5335367601</v>
      </c>
      <c r="AG153" s="251">
        <f>NPV(DiscountRate,$C149:AG149)+$B149</f>
        <v>4251891.5335367601</v>
      </c>
      <c r="AH153" s="251">
        <f>NPV(DiscountRate,$C149:AH149)+$B149</f>
        <v>4251891.5335367601</v>
      </c>
      <c r="AI153" s="251">
        <f>NPV(DiscountRate,$C149:AI149)+$B149</f>
        <v>4251891.5335367601</v>
      </c>
      <c r="AJ153" s="251">
        <f>NPV(DiscountRate,$C149:AJ149)+$B149</f>
        <v>4251891.5335367601</v>
      </c>
      <c r="AK153" s="251">
        <f>NPV(DiscountRate,$C149:AK149)+$B149</f>
        <v>4251891.5335367601</v>
      </c>
      <c r="AL153" s="251">
        <f>NPV(DiscountRate,$C149:AL149)+$B149</f>
        <v>4251891.5335367601</v>
      </c>
      <c r="AM153" s="251">
        <f>NPV(DiscountRate,$C149:AM149)+$B149</f>
        <v>4251891.5335367601</v>
      </c>
      <c r="AN153" s="251">
        <f>NPV(DiscountRate,$C149:AN149)+$B149</f>
        <v>4251891.5335367601</v>
      </c>
      <c r="AO153" s="251">
        <f>NPV(DiscountRate,$C149:AO149)+$B149</f>
        <v>4251891.5335367601</v>
      </c>
      <c r="AP153" s="251">
        <f>NPV(DiscountRate,$C149:AP149)+$B149</f>
        <v>4251891.5335367601</v>
      </c>
    </row>
    <row r="154" spans="1:42">
      <c r="A154" s="180"/>
      <c r="B154" s="152"/>
      <c r="C154" s="152"/>
      <c r="D154" s="152"/>
      <c r="E154" s="152"/>
      <c r="F154" s="152"/>
      <c r="G154" s="186"/>
      <c r="H154" s="186"/>
      <c r="I154" s="186"/>
      <c r="J154" s="186"/>
      <c r="K154" s="186"/>
      <c r="L154" s="186"/>
      <c r="M154" s="186"/>
      <c r="N154" s="186"/>
      <c r="O154" s="186"/>
      <c r="P154" s="186"/>
      <c r="Q154" s="186"/>
      <c r="R154" s="186"/>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row>
    <row r="155" spans="1:42">
      <c r="A155" s="37" t="s">
        <v>349</v>
      </c>
      <c r="B155" s="196">
        <f>SUM(C155:AP155)</f>
        <v>12</v>
      </c>
      <c r="C155" s="152">
        <f t="shared" ref="C155:AP155" si="582">IF(AND(B152&lt;LPFFlipTarget,C152&gt;=LPFFlipTarget),C$2,0)</f>
        <v>0</v>
      </c>
      <c r="D155" s="152">
        <f t="shared" si="582"/>
        <v>0</v>
      </c>
      <c r="E155" s="152">
        <f t="shared" si="582"/>
        <v>0</v>
      </c>
      <c r="F155" s="152">
        <f t="shared" si="582"/>
        <v>0</v>
      </c>
      <c r="G155" s="152">
        <f t="shared" si="582"/>
        <v>0</v>
      </c>
      <c r="H155" s="152">
        <f t="shared" si="582"/>
        <v>0</v>
      </c>
      <c r="I155" s="152">
        <f t="shared" si="582"/>
        <v>0</v>
      </c>
      <c r="J155" s="152">
        <f t="shared" si="582"/>
        <v>0</v>
      </c>
      <c r="K155" s="152">
        <f t="shared" si="582"/>
        <v>0</v>
      </c>
      <c r="L155" s="152">
        <f t="shared" si="582"/>
        <v>0</v>
      </c>
      <c r="M155" s="152">
        <f t="shared" si="582"/>
        <v>0</v>
      </c>
      <c r="N155" s="152">
        <f t="shared" si="582"/>
        <v>12</v>
      </c>
      <c r="O155" s="152">
        <f t="shared" si="582"/>
        <v>0</v>
      </c>
      <c r="P155" s="152">
        <f t="shared" si="582"/>
        <v>0</v>
      </c>
      <c r="Q155" s="152">
        <f t="shared" si="582"/>
        <v>0</v>
      </c>
      <c r="R155" s="152">
        <f t="shared" si="582"/>
        <v>0</v>
      </c>
      <c r="S155" s="152">
        <f t="shared" si="582"/>
        <v>0</v>
      </c>
      <c r="T155" s="152">
        <f t="shared" si="582"/>
        <v>0</v>
      </c>
      <c r="U155" s="152">
        <f t="shared" si="582"/>
        <v>0</v>
      </c>
      <c r="V155" s="152">
        <f t="shared" si="582"/>
        <v>0</v>
      </c>
      <c r="W155" s="152">
        <f t="shared" si="582"/>
        <v>0</v>
      </c>
      <c r="X155" s="152">
        <f t="shared" si="582"/>
        <v>0</v>
      </c>
      <c r="Y155" s="152">
        <f t="shared" si="582"/>
        <v>0</v>
      </c>
      <c r="Z155" s="152">
        <f t="shared" si="582"/>
        <v>0</v>
      </c>
      <c r="AA155" s="152">
        <f t="shared" si="582"/>
        <v>0</v>
      </c>
      <c r="AB155" s="152">
        <f t="shared" si="582"/>
        <v>0</v>
      </c>
      <c r="AC155" s="152">
        <f t="shared" si="582"/>
        <v>0</v>
      </c>
      <c r="AD155" s="152">
        <f t="shared" si="582"/>
        <v>0</v>
      </c>
      <c r="AE155" s="152">
        <f t="shared" si="582"/>
        <v>0</v>
      </c>
      <c r="AF155" s="152">
        <f t="shared" si="582"/>
        <v>0</v>
      </c>
      <c r="AG155" s="152">
        <f t="shared" si="582"/>
        <v>0</v>
      </c>
      <c r="AH155" s="152">
        <f t="shared" si="582"/>
        <v>0</v>
      </c>
      <c r="AI155" s="152">
        <f t="shared" si="582"/>
        <v>0</v>
      </c>
      <c r="AJ155" s="152">
        <f t="shared" si="582"/>
        <v>0</v>
      </c>
      <c r="AK155" s="152">
        <f t="shared" si="582"/>
        <v>0</v>
      </c>
      <c r="AL155" s="152">
        <f t="shared" si="582"/>
        <v>0</v>
      </c>
      <c r="AM155" s="152">
        <f t="shared" si="582"/>
        <v>0</v>
      </c>
      <c r="AN155" s="152">
        <f t="shared" si="582"/>
        <v>0</v>
      </c>
      <c r="AO155" s="152">
        <f t="shared" si="582"/>
        <v>0</v>
      </c>
      <c r="AP155" s="152">
        <f t="shared" si="582"/>
        <v>0</v>
      </c>
    </row>
    <row r="156" spans="1:42">
      <c r="B156" s="152"/>
      <c r="C156" s="152"/>
      <c r="D156" s="152"/>
      <c r="E156" s="152"/>
      <c r="F156" s="152"/>
      <c r="G156" s="186"/>
      <c r="H156" s="186"/>
      <c r="I156" s="186"/>
      <c r="J156" s="186"/>
      <c r="K156" s="186"/>
      <c r="L156" s="186"/>
      <c r="M156" s="186"/>
      <c r="N156" s="186"/>
      <c r="O156" s="186"/>
      <c r="P156" s="186"/>
      <c r="Q156" s="186"/>
      <c r="R156" s="186"/>
      <c r="S156" s="186"/>
      <c r="T156" s="186"/>
      <c r="U156" s="186"/>
      <c r="V156" s="186"/>
      <c r="W156" s="186"/>
      <c r="X156" s="186"/>
      <c r="Y156" s="186"/>
      <c r="Z156" s="186"/>
      <c r="AA156" s="186"/>
      <c r="AB156" s="186"/>
      <c r="AC156" s="186"/>
      <c r="AD156" s="186"/>
      <c r="AE156" s="186"/>
      <c r="AF156" s="186"/>
      <c r="AG156" s="186"/>
      <c r="AH156" s="186"/>
      <c r="AI156" s="186"/>
      <c r="AJ156" s="186"/>
      <c r="AK156" s="186"/>
      <c r="AL156" s="186"/>
      <c r="AM156" s="186"/>
      <c r="AN156" s="186"/>
      <c r="AO156" s="186"/>
      <c r="AP156" s="186"/>
    </row>
    <row r="157" spans="1:42" s="118" customFormat="1">
      <c r="A157" s="195" t="s">
        <v>244</v>
      </c>
      <c r="B157" s="198"/>
      <c r="C157" s="198"/>
      <c r="D157" s="198"/>
      <c r="E157" s="198"/>
      <c r="F157" s="198"/>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141"/>
      <c r="AK157" s="141"/>
      <c r="AL157" s="141"/>
      <c r="AM157" s="141"/>
      <c r="AN157" s="141"/>
      <c r="AO157" s="141"/>
      <c r="AP157" s="141"/>
    </row>
    <row r="158" spans="1:42">
      <c r="A158" s="180" t="s">
        <v>214</v>
      </c>
      <c r="B158" s="186">
        <f t="shared" ref="B158:AP158" si="583">B95-B125</f>
        <v>-193219.35950296</v>
      </c>
      <c r="C158" s="186">
        <f t="shared" si="583"/>
        <v>0</v>
      </c>
      <c r="D158" s="186">
        <f t="shared" si="583"/>
        <v>0</v>
      </c>
      <c r="E158" s="186">
        <f t="shared" si="583"/>
        <v>0</v>
      </c>
      <c r="F158" s="186">
        <f t="shared" si="583"/>
        <v>0</v>
      </c>
      <c r="G158" s="186">
        <f t="shared" si="583"/>
        <v>0</v>
      </c>
      <c r="H158" s="186">
        <f t="shared" si="583"/>
        <v>0</v>
      </c>
      <c r="I158" s="186">
        <f t="shared" si="583"/>
        <v>0</v>
      </c>
      <c r="J158" s="186">
        <f t="shared" si="583"/>
        <v>0</v>
      </c>
      <c r="K158" s="186">
        <f t="shared" si="583"/>
        <v>0</v>
      </c>
      <c r="L158" s="186">
        <f t="shared" si="583"/>
        <v>0</v>
      </c>
      <c r="M158" s="186">
        <f t="shared" si="583"/>
        <v>0</v>
      </c>
      <c r="N158" s="186">
        <f t="shared" si="583"/>
        <v>0</v>
      </c>
      <c r="O158" s="186">
        <f t="shared" si="583"/>
        <v>0</v>
      </c>
      <c r="P158" s="186">
        <f t="shared" si="583"/>
        <v>0</v>
      </c>
      <c r="Q158" s="186">
        <f t="shared" si="583"/>
        <v>0</v>
      </c>
      <c r="R158" s="186">
        <f t="shared" si="583"/>
        <v>0</v>
      </c>
      <c r="S158" s="186">
        <f t="shared" si="583"/>
        <v>0</v>
      </c>
      <c r="T158" s="186">
        <f t="shared" si="583"/>
        <v>0</v>
      </c>
      <c r="U158" s="186">
        <f t="shared" si="583"/>
        <v>0</v>
      </c>
      <c r="V158" s="186">
        <f t="shared" si="583"/>
        <v>0</v>
      </c>
      <c r="W158" s="186">
        <f t="shared" si="583"/>
        <v>0</v>
      </c>
      <c r="X158" s="186">
        <f t="shared" si="583"/>
        <v>0</v>
      </c>
      <c r="Y158" s="186">
        <f t="shared" si="583"/>
        <v>0</v>
      </c>
      <c r="Z158" s="186">
        <f t="shared" si="583"/>
        <v>0</v>
      </c>
      <c r="AA158" s="186">
        <f t="shared" si="583"/>
        <v>0</v>
      </c>
      <c r="AB158" s="186">
        <f t="shared" si="583"/>
        <v>0</v>
      </c>
      <c r="AC158" s="186">
        <f t="shared" si="583"/>
        <v>0</v>
      </c>
      <c r="AD158" s="186">
        <f t="shared" si="583"/>
        <v>0</v>
      </c>
      <c r="AE158" s="186">
        <f t="shared" si="583"/>
        <v>0</v>
      </c>
      <c r="AF158" s="186">
        <f t="shared" si="583"/>
        <v>0</v>
      </c>
      <c r="AG158" s="186">
        <f t="shared" si="583"/>
        <v>0</v>
      </c>
      <c r="AH158" s="186">
        <f t="shared" si="583"/>
        <v>0</v>
      </c>
      <c r="AI158" s="186">
        <f t="shared" si="583"/>
        <v>0</v>
      </c>
      <c r="AJ158" s="186">
        <f t="shared" si="583"/>
        <v>0</v>
      </c>
      <c r="AK158" s="186">
        <f t="shared" si="583"/>
        <v>0</v>
      </c>
      <c r="AL158" s="186">
        <f t="shared" si="583"/>
        <v>0</v>
      </c>
      <c r="AM158" s="186">
        <f t="shared" si="583"/>
        <v>0</v>
      </c>
      <c r="AN158" s="186">
        <f t="shared" si="583"/>
        <v>0</v>
      </c>
      <c r="AO158" s="186">
        <f t="shared" si="583"/>
        <v>0</v>
      </c>
      <c r="AP158" s="186">
        <f t="shared" si="583"/>
        <v>0</v>
      </c>
    </row>
    <row r="159" spans="1:42">
      <c r="A159" s="180" t="s">
        <v>387</v>
      </c>
      <c r="B159" s="186">
        <f>'Inputs &amp; Results'!C146</f>
        <v>1206814.5</v>
      </c>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row>
    <row r="160" spans="1:42">
      <c r="A160" s="180" t="s">
        <v>215</v>
      </c>
      <c r="B160" s="187">
        <f t="shared" ref="B160:AP160" si="584">B96-B126</f>
        <v>0</v>
      </c>
      <c r="C160" s="187">
        <f t="shared" si="584"/>
        <v>29550.819917412242</v>
      </c>
      <c r="D160" s="187">
        <f t="shared" si="584"/>
        <v>30419.432824728312</v>
      </c>
      <c r="E160" s="187">
        <f t="shared" si="584"/>
        <v>31306.148553717649</v>
      </c>
      <c r="F160" s="187">
        <f t="shared" si="584"/>
        <v>32133.004044077825</v>
      </c>
      <c r="G160" s="187">
        <f t="shared" si="584"/>
        <v>33025.427386323689</v>
      </c>
      <c r="H160" s="187">
        <f t="shared" si="584"/>
        <v>33936.759820011444</v>
      </c>
      <c r="I160" s="187">
        <f t="shared" si="584"/>
        <v>34785.476604223484</v>
      </c>
      <c r="J160" s="187">
        <f t="shared" si="584"/>
        <v>35702.73471603659</v>
      </c>
      <c r="K160" s="187">
        <f t="shared" si="584"/>
        <v>36639.743623552145</v>
      </c>
      <c r="L160" s="187">
        <f t="shared" si="584"/>
        <v>73675.502108594868</v>
      </c>
      <c r="M160" s="187">
        <f t="shared" si="584"/>
        <v>110854.95596846472</v>
      </c>
      <c r="N160" s="187">
        <f t="shared" si="584"/>
        <v>113213.05728278868</v>
      </c>
      <c r="O160" s="187">
        <f t="shared" si="584"/>
        <v>4825004.9799654502</v>
      </c>
      <c r="P160" s="187">
        <f t="shared" si="584"/>
        <v>4928215.6324144807</v>
      </c>
      <c r="Q160" s="187">
        <f t="shared" si="584"/>
        <v>5032575.3449771106</v>
      </c>
      <c r="R160" s="187">
        <f t="shared" si="584"/>
        <v>4955731.6623904444</v>
      </c>
      <c r="S160" s="187">
        <f t="shared" si="584"/>
        <v>5063994.2892652256</v>
      </c>
      <c r="T160" s="187">
        <f t="shared" si="584"/>
        <v>5173455.0292561669</v>
      </c>
      <c r="U160" s="187">
        <f t="shared" si="584"/>
        <v>5280547.7632056531</v>
      </c>
      <c r="V160" s="187">
        <f t="shared" si="584"/>
        <v>5392484.5082009714</v>
      </c>
      <c r="W160" s="187">
        <f t="shared" si="584"/>
        <v>5505670.4274858898</v>
      </c>
      <c r="X160" s="187">
        <f t="shared" si="584"/>
        <v>5604195.1425495725</v>
      </c>
      <c r="Y160" s="187">
        <f t="shared" si="584"/>
        <v>5707781.3047947716</v>
      </c>
      <c r="Z160" s="187">
        <f t="shared" si="584"/>
        <v>5812669.7865593601</v>
      </c>
      <c r="AA160" s="187">
        <f t="shared" si="584"/>
        <v>6111987.1634146199</v>
      </c>
      <c r="AB160" s="187">
        <f t="shared" si="584"/>
        <v>6215202.4984073741</v>
      </c>
      <c r="AC160" s="187">
        <f t="shared" si="584"/>
        <v>6319775.4604703384</v>
      </c>
      <c r="AD160" s="187">
        <f t="shared" si="584"/>
        <v>6421628.3133571874</v>
      </c>
      <c r="AE160" s="187">
        <f t="shared" si="584"/>
        <v>6529006.9277247321</v>
      </c>
      <c r="AF160" s="187">
        <f t="shared" si="584"/>
        <v>10184608.469711805</v>
      </c>
      <c r="AG160" s="187">
        <f t="shared" si="584"/>
        <v>0</v>
      </c>
      <c r="AH160" s="187">
        <f t="shared" si="584"/>
        <v>0</v>
      </c>
      <c r="AI160" s="187">
        <f t="shared" si="584"/>
        <v>0</v>
      </c>
      <c r="AJ160" s="187">
        <f t="shared" si="584"/>
        <v>0</v>
      </c>
      <c r="AK160" s="187">
        <f t="shared" si="584"/>
        <v>0</v>
      </c>
      <c r="AL160" s="187">
        <f t="shared" si="584"/>
        <v>0</v>
      </c>
      <c r="AM160" s="187">
        <f t="shared" si="584"/>
        <v>0</v>
      </c>
      <c r="AN160" s="187">
        <f t="shared" si="584"/>
        <v>0</v>
      </c>
      <c r="AO160" s="187">
        <f t="shared" si="584"/>
        <v>0</v>
      </c>
      <c r="AP160" s="187">
        <f t="shared" si="584"/>
        <v>0</v>
      </c>
    </row>
    <row r="161" spans="1:42">
      <c r="A161" s="180" t="s">
        <v>53</v>
      </c>
      <c r="B161" s="152">
        <f>SUM(B158:B160)</f>
        <v>1013595.14049704</v>
      </c>
      <c r="C161" s="152">
        <f t="shared" ref="C161" si="585">SUM(C158:C160)</f>
        <v>29550.819917412242</v>
      </c>
      <c r="D161" s="152">
        <f t="shared" ref="D161" si="586">SUM(D158:D160)</f>
        <v>30419.432824728312</v>
      </c>
      <c r="E161" s="152">
        <f t="shared" ref="E161" si="587">SUM(E158:E160)</f>
        <v>31306.148553717649</v>
      </c>
      <c r="F161" s="152">
        <f t="shared" ref="F161" si="588">SUM(F158:F160)</f>
        <v>32133.004044077825</v>
      </c>
      <c r="G161" s="152">
        <f t="shared" ref="G161" si="589">SUM(G158:G160)</f>
        <v>33025.427386323689</v>
      </c>
      <c r="H161" s="152">
        <f t="shared" ref="H161" si="590">SUM(H158:H160)</f>
        <v>33936.759820011444</v>
      </c>
      <c r="I161" s="152">
        <f t="shared" ref="I161" si="591">SUM(I158:I160)</f>
        <v>34785.476604223484</v>
      </c>
      <c r="J161" s="152">
        <f t="shared" ref="J161" si="592">SUM(J158:J160)</f>
        <v>35702.73471603659</v>
      </c>
      <c r="K161" s="152">
        <f t="shared" ref="K161" si="593">SUM(K158:K160)</f>
        <v>36639.743623552145</v>
      </c>
      <c r="L161" s="152">
        <f t="shared" ref="L161" si="594">SUM(L158:L160)</f>
        <v>73675.502108594868</v>
      </c>
      <c r="M161" s="152">
        <f t="shared" ref="M161" si="595">SUM(M158:M160)</f>
        <v>110854.95596846472</v>
      </c>
      <c r="N161" s="152">
        <f t="shared" ref="N161" si="596">SUM(N158:N160)</f>
        <v>113213.05728278868</v>
      </c>
      <c r="O161" s="152">
        <f t="shared" ref="O161" si="597">SUM(O158:O160)</f>
        <v>4825004.9799654502</v>
      </c>
      <c r="P161" s="152">
        <f t="shared" ref="P161" si="598">SUM(P158:P160)</f>
        <v>4928215.6324144807</v>
      </c>
      <c r="Q161" s="152">
        <f t="shared" ref="Q161" si="599">SUM(Q158:Q160)</f>
        <v>5032575.3449771106</v>
      </c>
      <c r="R161" s="152">
        <f t="shared" ref="R161" si="600">SUM(R158:R160)</f>
        <v>4955731.6623904444</v>
      </c>
      <c r="S161" s="152">
        <f t="shared" ref="S161" si="601">SUM(S158:S160)</f>
        <v>5063994.2892652256</v>
      </c>
      <c r="T161" s="152">
        <f t="shared" ref="T161" si="602">SUM(T158:T160)</f>
        <v>5173455.0292561669</v>
      </c>
      <c r="U161" s="152">
        <f t="shared" ref="U161" si="603">SUM(U158:U160)</f>
        <v>5280547.7632056531</v>
      </c>
      <c r="V161" s="152">
        <f t="shared" ref="V161" si="604">SUM(V158:V160)</f>
        <v>5392484.5082009714</v>
      </c>
      <c r="W161" s="152">
        <f t="shared" ref="W161" si="605">SUM(W158:W160)</f>
        <v>5505670.4274858898</v>
      </c>
      <c r="X161" s="152">
        <f t="shared" ref="X161" si="606">SUM(X158:X160)</f>
        <v>5604195.1425495725</v>
      </c>
      <c r="Y161" s="152">
        <f t="shared" ref="Y161" si="607">SUM(Y158:Y160)</f>
        <v>5707781.3047947716</v>
      </c>
      <c r="Z161" s="152">
        <f t="shared" ref="Z161" si="608">SUM(Z158:Z160)</f>
        <v>5812669.7865593601</v>
      </c>
      <c r="AA161" s="152">
        <f t="shared" ref="AA161" si="609">SUM(AA158:AA160)</f>
        <v>6111987.1634146199</v>
      </c>
      <c r="AB161" s="152">
        <f t="shared" ref="AB161" si="610">SUM(AB158:AB160)</f>
        <v>6215202.4984073741</v>
      </c>
      <c r="AC161" s="152">
        <f t="shared" ref="AC161" si="611">SUM(AC158:AC160)</f>
        <v>6319775.4604703384</v>
      </c>
      <c r="AD161" s="152">
        <f t="shared" ref="AD161" si="612">SUM(AD158:AD160)</f>
        <v>6421628.3133571874</v>
      </c>
      <c r="AE161" s="152">
        <f t="shared" ref="AE161" si="613">SUM(AE158:AE160)</f>
        <v>6529006.9277247321</v>
      </c>
      <c r="AF161" s="152">
        <f t="shared" ref="AF161" si="614">SUM(AF158:AF160)</f>
        <v>10184608.469711805</v>
      </c>
      <c r="AG161" s="152">
        <f t="shared" ref="AG161" si="615">SUM(AG158:AG160)</f>
        <v>0</v>
      </c>
      <c r="AH161" s="152">
        <f t="shared" ref="AH161" si="616">SUM(AH158:AH160)</f>
        <v>0</v>
      </c>
      <c r="AI161" s="152">
        <f t="shared" ref="AI161" si="617">SUM(AI158:AI160)</f>
        <v>0</v>
      </c>
      <c r="AJ161" s="152">
        <f t="shared" ref="AJ161" si="618">SUM(AJ158:AJ160)</f>
        <v>0</v>
      </c>
      <c r="AK161" s="152">
        <f t="shared" ref="AK161" si="619">SUM(AK158:AK160)</f>
        <v>0</v>
      </c>
      <c r="AL161" s="152">
        <f t="shared" ref="AL161" si="620">SUM(AL158:AL160)</f>
        <v>0</v>
      </c>
      <c r="AM161" s="152">
        <f t="shared" ref="AM161" si="621">SUM(AM158:AM160)</f>
        <v>0</v>
      </c>
      <c r="AN161" s="152">
        <f t="shared" ref="AN161" si="622">SUM(AN158:AN160)</f>
        <v>0</v>
      </c>
      <c r="AO161" s="152">
        <f t="shared" ref="AO161" si="623">SUM(AO158:AO160)</f>
        <v>0</v>
      </c>
      <c r="AP161" s="152">
        <f t="shared" ref="AP161" si="624">SUM(AP158:AP160)</f>
        <v>0</v>
      </c>
    </row>
    <row r="162" spans="1:42">
      <c r="A162" s="180"/>
      <c r="B162" s="152"/>
      <c r="C162" s="152"/>
      <c r="D162" s="152"/>
      <c r="E162" s="152"/>
      <c r="F162" s="152"/>
      <c r="G162" s="186"/>
      <c r="H162" s="186"/>
      <c r="I162" s="186"/>
      <c r="J162" s="186"/>
      <c r="K162" s="186"/>
      <c r="L162" s="186"/>
      <c r="M162" s="186"/>
      <c r="N162" s="186"/>
      <c r="O162" s="186"/>
      <c r="P162" s="186"/>
      <c r="Q162" s="186"/>
      <c r="R162" s="186"/>
      <c r="S162" s="186"/>
      <c r="T162" s="186"/>
      <c r="U162" s="186"/>
      <c r="V162" s="186"/>
      <c r="W162" s="186"/>
      <c r="X162" s="186"/>
      <c r="Y162" s="186"/>
      <c r="Z162" s="186"/>
      <c r="AA162" s="186"/>
      <c r="AB162" s="186"/>
      <c r="AC162" s="186"/>
      <c r="AD162" s="186"/>
      <c r="AE162" s="186"/>
      <c r="AF162" s="186"/>
      <c r="AG162" s="186"/>
      <c r="AH162" s="186"/>
      <c r="AI162" s="186"/>
      <c r="AJ162" s="186"/>
      <c r="AK162" s="186"/>
      <c r="AL162" s="186"/>
      <c r="AM162" s="186"/>
      <c r="AN162" s="186"/>
      <c r="AO162" s="186"/>
      <c r="AP162" s="186"/>
    </row>
    <row r="163" spans="1:42" s="118" customFormat="1">
      <c r="A163" s="180" t="s">
        <v>401</v>
      </c>
      <c r="B163" s="268" t="str">
        <f>IF(ISERROR(IRR($B161:B161)),"N/A",ROUND(IRR($B161:B161),4))</f>
        <v>N/A</v>
      </c>
      <c r="C163" s="268" t="str">
        <f>IF(ISERROR(IRR($B161:C161)),"N/A",ROUND(IRR($B161:C161),4))</f>
        <v>N/A</v>
      </c>
      <c r="D163" s="268" t="str">
        <f>IF(ISERROR(IRR($B161:D161)),"N/A",ROUND(IRR($B161:D161),4))</f>
        <v>N/A</v>
      </c>
      <c r="E163" s="268" t="str">
        <f>IF(ISERROR(IRR($B161:E161)),"N/A",ROUND(IRR($B161:E161),4))</f>
        <v>N/A</v>
      </c>
      <c r="F163" s="268" t="str">
        <f>IF(ISERROR(IRR($B161:F161)),"N/A",ROUND(IRR($B161:F161),4))</f>
        <v>N/A</v>
      </c>
      <c r="G163" s="268" t="str">
        <f>IF(ISERROR(IRR($B161:G161)),"N/A",ROUND(IRR($B161:G161),4))</f>
        <v>N/A</v>
      </c>
      <c r="H163" s="268" t="str">
        <f>IF(ISERROR(IRR($B161:H161)),"N/A",ROUND(IRR($B161:H161),4))</f>
        <v>N/A</v>
      </c>
      <c r="I163" s="268" t="str">
        <f>IF(ISERROR(IRR($B161:I161)),"N/A",ROUND(IRR($B161:I161),4))</f>
        <v>N/A</v>
      </c>
      <c r="J163" s="268" t="str">
        <f>IF(ISERROR(IRR($B161:J161)),"N/A",ROUND(IRR($B161:J161),4))</f>
        <v>N/A</v>
      </c>
      <c r="K163" s="268" t="str">
        <f>IF(ISERROR(IRR($B161:K161)),"N/A",ROUND(IRR($B161:K161),4))</f>
        <v>N/A</v>
      </c>
      <c r="L163" s="268" t="str">
        <f>IF(ISERROR(IRR($B161:L161)),"N/A",ROUND(IRR($B161:L161),4))</f>
        <v>N/A</v>
      </c>
      <c r="M163" s="268" t="str">
        <f>IF(ISERROR(IRR($B161:M161)),"N/A",ROUND(IRR($B161:M161),4))</f>
        <v>N/A</v>
      </c>
      <c r="N163" s="268" t="str">
        <f>IF(ISERROR(IRR($B161:N161)),"N/A",ROUND(IRR($B161:N161),4))</f>
        <v>N/A</v>
      </c>
      <c r="O163" s="268" t="str">
        <f>IF(ISERROR(IRR($B161:O161)),"N/A",ROUND(IRR($B161:O161),4))</f>
        <v>N/A</v>
      </c>
      <c r="P163" s="268" t="str">
        <f>IF(ISERROR(IRR($B161:P161)),"N/A",ROUND(IRR($B161:P161),4))</f>
        <v>N/A</v>
      </c>
      <c r="Q163" s="268" t="str">
        <f>IF(ISERROR(IRR($B161:Q161)),"N/A",ROUND(IRR($B161:Q161),4))</f>
        <v>N/A</v>
      </c>
      <c r="R163" s="268" t="str">
        <f>IF(ISERROR(IRR($B161:R161)),"N/A",ROUND(IRR($B161:R161),4))</f>
        <v>N/A</v>
      </c>
      <c r="S163" s="268" t="str">
        <f>IF(ISERROR(IRR($B161:S161)),"N/A",ROUND(IRR($B161:S161),4))</f>
        <v>N/A</v>
      </c>
      <c r="T163" s="268" t="str">
        <f>IF(ISERROR(IRR($B161:T161)),"N/A",ROUND(IRR($B161:T161),4))</f>
        <v>N/A</v>
      </c>
      <c r="U163" s="268" t="str">
        <f>IF(ISERROR(IRR($B161:U161)),"N/A",ROUND(IRR($B161:U161),4))</f>
        <v>N/A</v>
      </c>
      <c r="V163" s="268" t="str">
        <f>IF(ISERROR(IRR($B161:V161)),"N/A",ROUND(IRR($B161:V161),4))</f>
        <v>N/A</v>
      </c>
      <c r="W163" s="268" t="str">
        <f>IF(ISERROR(IRR($B161:W161)),"N/A",ROUND(IRR($B161:W161),4))</f>
        <v>N/A</v>
      </c>
      <c r="X163" s="268" t="str">
        <f>IF(ISERROR(IRR($B161:X161)),"N/A",ROUND(IRR($B161:X161),4))</f>
        <v>N/A</v>
      </c>
      <c r="Y163" s="268" t="str">
        <f>IF(ISERROR(IRR($B161:Y161)),"N/A",ROUND(IRR($B161:Y161),4))</f>
        <v>N/A</v>
      </c>
      <c r="Z163" s="268" t="str">
        <f>IF(ISERROR(IRR($B161:Z161)),"N/A",ROUND(IRR($B161:Z161),4))</f>
        <v>N/A</v>
      </c>
      <c r="AA163" s="268" t="str">
        <f>IF(ISERROR(IRR($B161:AA161)),"N/A",ROUND(IRR($B161:AA161),4))</f>
        <v>N/A</v>
      </c>
      <c r="AB163" s="268" t="str">
        <f>IF(ISERROR(IRR($B161:AB161)),"N/A",ROUND(IRR($B161:AB161),4))</f>
        <v>N/A</v>
      </c>
      <c r="AC163" s="268" t="str">
        <f>IF(ISERROR(IRR($B161:AC161)),"N/A",ROUND(IRR($B161:AC161),4))</f>
        <v>N/A</v>
      </c>
      <c r="AD163" s="268" t="str">
        <f>IF(ISERROR(IRR($B161:AD161)),"N/A",ROUND(IRR($B161:AD161),4))</f>
        <v>N/A</v>
      </c>
      <c r="AE163" s="268" t="str">
        <f>IF(ISERROR(IRR($B161:AE161)),"N/A",ROUND(IRR($B161:AE161),4))</f>
        <v>N/A</v>
      </c>
      <c r="AF163" s="268" t="str">
        <f>IF(ISERROR(IRR($B161:AF161)),"N/A",ROUND(IRR($B161:AF161),4))</f>
        <v>N/A</v>
      </c>
      <c r="AG163" s="268" t="str">
        <f>IF(ISERROR(IRR($B161:AG161)),"N/A",ROUND(IRR($B161:AG161),4))</f>
        <v>N/A</v>
      </c>
      <c r="AH163" s="268" t="str">
        <f>IF(ISERROR(IRR($B161:AH161)),"N/A",ROUND(IRR($B161:AH161),4))</f>
        <v>N/A</v>
      </c>
      <c r="AI163" s="268" t="str">
        <f>IF(ISERROR(IRR($B161:AI161)),"N/A",ROUND(IRR($B161:AI161),4))</f>
        <v>N/A</v>
      </c>
      <c r="AJ163" s="268" t="str">
        <f>IF(ISERROR(IRR($B161:AJ161)),"N/A",ROUND(IRR($B161:AJ161),4))</f>
        <v>N/A</v>
      </c>
      <c r="AK163" s="268" t="str">
        <f>IF(ISERROR(IRR($B161:AK161)),"N/A",ROUND(IRR($B161:AK161),4))</f>
        <v>N/A</v>
      </c>
      <c r="AL163" s="268" t="str">
        <f>IF(ISERROR(IRR($B161:AL161)),"N/A",ROUND(IRR($B161:AL161),4))</f>
        <v>N/A</v>
      </c>
      <c r="AM163" s="268" t="str">
        <f>IF(ISERROR(IRR($B161:AM161)),"N/A",ROUND(IRR($B161:AM161),4))</f>
        <v>N/A</v>
      </c>
      <c r="AN163" s="268" t="str">
        <f>IF(ISERROR(IRR($B161:AN161)),"N/A",ROUND(IRR($B161:AN161),4))</f>
        <v>N/A</v>
      </c>
      <c r="AO163" s="268" t="str">
        <f>IF(ISERROR(IRR($B161:AO161)),"N/A",ROUND(IRR($B161:AO161),4))</f>
        <v>N/A</v>
      </c>
      <c r="AP163" s="268" t="str">
        <f>IF(ISERROR(IRR($B161:AP161)),"N/A",ROUND(IRR($B161:AP161),4))</f>
        <v>N/A</v>
      </c>
    </row>
    <row r="164" spans="1:42" s="118" customFormat="1">
      <c r="A164" s="267" t="s">
        <v>402</v>
      </c>
      <c r="B164" s="269">
        <f>B161</f>
        <v>1013595.14049704</v>
      </c>
      <c r="C164" s="269">
        <f>NPV(DiscountRate,$C161:C161)+$B161</f>
        <v>1040957.0107909403</v>
      </c>
      <c r="D164" s="269">
        <f>NPV(DiscountRate,$C161:D161)+$B161</f>
        <v>1067036.7714431421</v>
      </c>
      <c r="E164" s="269">
        <f>NPV(DiscountRate,$C161:E161)+$B161</f>
        <v>1091888.6015072502</v>
      </c>
      <c r="F164" s="269">
        <f>NPV(DiscountRate,$C161:F161)+$B161</f>
        <v>1115507.3187396766</v>
      </c>
      <c r="G164" s="269">
        <f>NPV(DiscountRate,$C161:G161)+$B161</f>
        <v>1137983.8696936667</v>
      </c>
      <c r="H164" s="269">
        <f>NPV(DiscountRate,$C161:H161)+$B161</f>
        <v>1159369.7849670649</v>
      </c>
      <c r="I164" s="269">
        <f>NPV(DiscountRate,$C161:I161)+$B161</f>
        <v>1179666.776460245</v>
      </c>
      <c r="J164" s="269">
        <f>NPV(DiscountRate,$C161:J161)+$B161</f>
        <v>1198955.8531189479</v>
      </c>
      <c r="K164" s="269">
        <f>NPV(DiscountRate,$C161:K161)+$B161</f>
        <v>1217284.8470225914</v>
      </c>
      <c r="L164" s="269">
        <f>NPV(DiscountRate,$C161:L161)+$B161</f>
        <v>1251410.8598306619</v>
      </c>
      <c r="M164" s="269">
        <f>NPV(DiscountRate,$C161:M161)+$B161</f>
        <v>1298954.6503181686</v>
      </c>
      <c r="N164" s="269">
        <f>NPV(DiscountRate,$C161:N161)+$B161</f>
        <v>1343913.1130235409</v>
      </c>
      <c r="O164" s="269">
        <f>NPV(DiscountRate,$C161:O161)+$B161</f>
        <v>3118057.4306899346</v>
      </c>
      <c r="P164" s="269">
        <f>NPV(DiscountRate,$C161:P161)+$B161</f>
        <v>4795922.8569639791</v>
      </c>
      <c r="Q164" s="269">
        <f>NPV(DiscountRate,$C161:Q161)+$B161</f>
        <v>6382400.4890838647</v>
      </c>
      <c r="R164" s="269">
        <f>NPV(DiscountRate,$C161:R161)+$B161</f>
        <v>7828931.3211259088</v>
      </c>
      <c r="S164" s="269">
        <f>NPV(DiscountRate,$C161:S161)+$B161</f>
        <v>9197571.7478110082</v>
      </c>
      <c r="T164" s="269">
        <f>NPV(DiscountRate,$C161:T161)+$B161</f>
        <v>10492223.846058125</v>
      </c>
      <c r="U164" s="269">
        <f>NPV(DiscountRate,$C161:U161)+$B161</f>
        <v>11715790.46730198</v>
      </c>
      <c r="V164" s="269">
        <f>NPV(DiscountRate,$C161:V161)+$B161</f>
        <v>12872738.351990642</v>
      </c>
      <c r="W164" s="269">
        <f>NPV(DiscountRate,$C161:W161)+$B161</f>
        <v>13966471.42678196</v>
      </c>
      <c r="X164" s="269">
        <f>NPV(DiscountRate,$C161:X161)+$B161</f>
        <v>14997309.92281808</v>
      </c>
      <c r="Y164" s="269">
        <f>NPV(DiscountRate,$C161:Y161)+$B161</f>
        <v>15969432.318411758</v>
      </c>
      <c r="Z164" s="269">
        <f>NPV(DiscountRate,$C161:Z161)+$B161</f>
        <v>16886086.491730466</v>
      </c>
      <c r="AA164" s="269">
        <f>NPV(DiscountRate,$C161:AA161)+$B161</f>
        <v>17778546.052186891</v>
      </c>
      <c r="AB164" s="269">
        <f>NPV(DiscountRate,$C161:AB161)+$B161</f>
        <v>18618852.392397027</v>
      </c>
      <c r="AC164" s="269">
        <f>NPV(DiscountRate,$C161:AC161)+$B161</f>
        <v>19410004.974922679</v>
      </c>
      <c r="AD164" s="269">
        <f>NPV(DiscountRate,$C161:AD161)+$B161</f>
        <v>20154359.805587038</v>
      </c>
      <c r="AE164" s="269">
        <f>NPV(DiscountRate,$C161:AE161)+$B161</f>
        <v>20855101.921677612</v>
      </c>
      <c r="AF164" s="269">
        <f>NPV(DiscountRate,$C161:AF161)+$B161</f>
        <v>21867221.14446168</v>
      </c>
      <c r="AG164" s="269">
        <f>NPV(DiscountRate,$C161:AG161)+$B161</f>
        <v>21867221.14446168</v>
      </c>
      <c r="AH164" s="269">
        <f>NPV(DiscountRate,$C161:AH161)+$B161</f>
        <v>21867221.14446168</v>
      </c>
      <c r="AI164" s="269">
        <f>NPV(DiscountRate,$C161:AI161)+$B161</f>
        <v>21867221.14446168</v>
      </c>
      <c r="AJ164" s="269">
        <f>NPV(DiscountRate,$C161:AJ161)+$B161</f>
        <v>21867221.14446168</v>
      </c>
      <c r="AK164" s="269">
        <f>NPV(DiscountRate,$C161:AK161)+$B161</f>
        <v>21867221.14446168</v>
      </c>
      <c r="AL164" s="269">
        <f>NPV(DiscountRate,$C161:AL161)+$B161</f>
        <v>21867221.14446168</v>
      </c>
      <c r="AM164" s="269">
        <f>NPV(DiscountRate,$C161:AM161)+$B161</f>
        <v>21867221.14446168</v>
      </c>
      <c r="AN164" s="269">
        <f>NPV(DiscountRate,$C161:AN161)+$B161</f>
        <v>21867221.14446168</v>
      </c>
      <c r="AO164" s="269">
        <f>NPV(DiscountRate,$C161:AO161)+$B161</f>
        <v>21867221.14446168</v>
      </c>
      <c r="AP164" s="269">
        <f>NPV(DiscountRate,$C161:AP161)+$B161</f>
        <v>21867221.14446168</v>
      </c>
    </row>
    <row r="165" spans="1:42">
      <c r="A165" s="180"/>
      <c r="B165" s="152"/>
      <c r="C165" s="152"/>
      <c r="D165" s="152"/>
      <c r="E165" s="152"/>
      <c r="F165" s="152"/>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c r="AM165" s="186"/>
      <c r="AN165" s="186"/>
      <c r="AO165" s="186"/>
      <c r="AP165" s="186"/>
    </row>
    <row r="166" spans="1:42">
      <c r="A166" s="180"/>
      <c r="B166" s="152"/>
      <c r="C166" s="152"/>
      <c r="D166" s="152"/>
      <c r="E166" s="152"/>
      <c r="F166" s="152"/>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row>
    <row r="167" spans="1:42">
      <c r="A167" s="180" t="s">
        <v>216</v>
      </c>
      <c r="B167" s="265" t="str">
        <f>IF(ISERROR(IRR(B161:AP161)),"N/A",IRR(B161:AP161))</f>
        <v>N/A</v>
      </c>
      <c r="C167" s="152"/>
      <c r="D167" s="152"/>
      <c r="E167" s="152"/>
      <c r="F167" s="152"/>
      <c r="G167" s="186"/>
      <c r="H167" s="186"/>
      <c r="I167" s="186"/>
      <c r="J167" s="186"/>
      <c r="K167" s="186"/>
      <c r="L167" s="186"/>
      <c r="M167" s="186"/>
      <c r="N167" s="186"/>
      <c r="O167" s="186"/>
      <c r="P167" s="186"/>
      <c r="Q167" s="186"/>
      <c r="R167" s="186"/>
      <c r="S167" s="186"/>
      <c r="T167" s="186"/>
      <c r="U167" s="186"/>
      <c r="V167" s="186"/>
      <c r="W167" s="186"/>
      <c r="X167" s="186"/>
      <c r="Y167" s="186"/>
      <c r="Z167" s="186"/>
      <c r="AA167" s="186"/>
      <c r="AB167" s="186"/>
      <c r="AC167" s="186"/>
      <c r="AD167" s="186"/>
      <c r="AE167" s="186"/>
      <c r="AF167" s="186"/>
      <c r="AG167" s="186"/>
      <c r="AH167" s="186"/>
      <c r="AI167" s="186"/>
      <c r="AJ167" s="186"/>
      <c r="AK167" s="186"/>
      <c r="AL167" s="186"/>
      <c r="AM167" s="186"/>
      <c r="AN167" s="186"/>
      <c r="AO167" s="186"/>
      <c r="AP167" s="186"/>
    </row>
    <row r="168" spans="1:42">
      <c r="A168" s="180" t="s">
        <v>217</v>
      </c>
      <c r="B168" s="196">
        <f>NPV(DiscountRate,$C161:$AP161)+B161</f>
        <v>21867221.14446168</v>
      </c>
      <c r="C168" s="152"/>
      <c r="D168" s="152"/>
      <c r="E168" s="152"/>
      <c r="F168" s="152"/>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row>
    <row r="169" spans="1:42" s="118" customFormat="1">
      <c r="A169" s="42"/>
      <c r="B169" s="198"/>
      <c r="C169" s="198"/>
      <c r="D169" s="198"/>
      <c r="E169" s="198"/>
      <c r="F169" s="198"/>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row>
    <row r="170" spans="1:42">
      <c r="A170" s="182" t="s">
        <v>245</v>
      </c>
      <c r="B170" s="152"/>
      <c r="C170" s="152"/>
      <c r="D170" s="152"/>
      <c r="E170" s="152"/>
      <c r="F170" s="152"/>
      <c r="G170" s="186"/>
      <c r="H170" s="186"/>
      <c r="I170" s="186"/>
      <c r="J170" s="186"/>
      <c r="K170" s="186"/>
      <c r="L170" s="186"/>
      <c r="M170" s="186"/>
      <c r="N170" s="186"/>
      <c r="O170" s="186"/>
      <c r="P170" s="186"/>
      <c r="Q170" s="186"/>
      <c r="R170" s="186"/>
      <c r="S170" s="186"/>
      <c r="T170" s="186"/>
      <c r="U170" s="186"/>
      <c r="V170" s="186"/>
      <c r="W170" s="186"/>
      <c r="X170" s="186"/>
      <c r="Y170" s="186"/>
      <c r="Z170" s="186"/>
      <c r="AA170" s="186"/>
      <c r="AB170" s="186"/>
      <c r="AC170" s="186"/>
      <c r="AD170" s="186"/>
      <c r="AE170" s="186"/>
      <c r="AF170" s="186"/>
      <c r="AG170" s="186"/>
      <c r="AH170" s="186"/>
      <c r="AI170" s="186"/>
      <c r="AJ170" s="186"/>
      <c r="AK170" s="186"/>
      <c r="AL170" s="186"/>
      <c r="AM170" s="186"/>
      <c r="AN170" s="186"/>
      <c r="AO170" s="186"/>
      <c r="AP170" s="186"/>
    </row>
    <row r="171" spans="1:42" s="118" customFormat="1">
      <c r="A171" s="197" t="s">
        <v>219</v>
      </c>
      <c r="B171" s="198"/>
      <c r="C171" s="198"/>
      <c r="D171" s="198"/>
      <c r="E171" s="198"/>
      <c r="F171" s="198"/>
      <c r="G171" s="141"/>
      <c r="H171" s="141"/>
      <c r="I171" s="141"/>
      <c r="J171" s="141"/>
      <c r="K171" s="141"/>
      <c r="L171" s="141"/>
      <c r="M171" s="141"/>
      <c r="N171" s="141"/>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141"/>
      <c r="AK171" s="141"/>
      <c r="AL171" s="141"/>
      <c r="AM171" s="141"/>
      <c r="AN171" s="141"/>
      <c r="AO171" s="141"/>
      <c r="AP171" s="141"/>
    </row>
    <row r="172" spans="1:42">
      <c r="A172" s="184" t="s">
        <v>214</v>
      </c>
      <c r="B172" s="186">
        <f t="shared" ref="B172:AP172" si="625">B95-B134</f>
        <v>-193219.35950296</v>
      </c>
      <c r="C172" s="186">
        <f t="shared" si="625"/>
        <v>0</v>
      </c>
      <c r="D172" s="186">
        <f t="shared" si="625"/>
        <v>0</v>
      </c>
      <c r="E172" s="186">
        <f t="shared" si="625"/>
        <v>0</v>
      </c>
      <c r="F172" s="186">
        <f t="shared" si="625"/>
        <v>0</v>
      </c>
      <c r="G172" s="186">
        <f t="shared" si="625"/>
        <v>0</v>
      </c>
      <c r="H172" s="186">
        <f t="shared" si="625"/>
        <v>0</v>
      </c>
      <c r="I172" s="186">
        <f t="shared" si="625"/>
        <v>0</v>
      </c>
      <c r="J172" s="186">
        <f t="shared" si="625"/>
        <v>0</v>
      </c>
      <c r="K172" s="186">
        <f t="shared" si="625"/>
        <v>0</v>
      </c>
      <c r="L172" s="186">
        <f t="shared" si="625"/>
        <v>0</v>
      </c>
      <c r="M172" s="186">
        <f t="shared" si="625"/>
        <v>0</v>
      </c>
      <c r="N172" s="186">
        <f t="shared" si="625"/>
        <v>0</v>
      </c>
      <c r="O172" s="186">
        <f t="shared" si="625"/>
        <v>0</v>
      </c>
      <c r="P172" s="186">
        <f t="shared" si="625"/>
        <v>0</v>
      </c>
      <c r="Q172" s="186">
        <f t="shared" si="625"/>
        <v>0</v>
      </c>
      <c r="R172" s="186">
        <f t="shared" si="625"/>
        <v>0</v>
      </c>
      <c r="S172" s="186">
        <f t="shared" si="625"/>
        <v>0</v>
      </c>
      <c r="T172" s="186">
        <f t="shared" si="625"/>
        <v>0</v>
      </c>
      <c r="U172" s="186">
        <f t="shared" si="625"/>
        <v>0</v>
      </c>
      <c r="V172" s="186">
        <f t="shared" si="625"/>
        <v>0</v>
      </c>
      <c r="W172" s="186">
        <f t="shared" si="625"/>
        <v>0</v>
      </c>
      <c r="X172" s="186">
        <f t="shared" si="625"/>
        <v>0</v>
      </c>
      <c r="Y172" s="186">
        <f t="shared" si="625"/>
        <v>0</v>
      </c>
      <c r="Z172" s="186">
        <f t="shared" si="625"/>
        <v>0</v>
      </c>
      <c r="AA172" s="186">
        <f t="shared" si="625"/>
        <v>0</v>
      </c>
      <c r="AB172" s="186">
        <f t="shared" si="625"/>
        <v>0</v>
      </c>
      <c r="AC172" s="186">
        <f t="shared" si="625"/>
        <v>0</v>
      </c>
      <c r="AD172" s="186">
        <f t="shared" si="625"/>
        <v>0</v>
      </c>
      <c r="AE172" s="186">
        <f t="shared" si="625"/>
        <v>0</v>
      </c>
      <c r="AF172" s="186">
        <f t="shared" si="625"/>
        <v>0</v>
      </c>
      <c r="AG172" s="186">
        <f t="shared" si="625"/>
        <v>0</v>
      </c>
      <c r="AH172" s="186">
        <f t="shared" si="625"/>
        <v>0</v>
      </c>
      <c r="AI172" s="186">
        <f t="shared" si="625"/>
        <v>0</v>
      </c>
      <c r="AJ172" s="186">
        <f t="shared" si="625"/>
        <v>0</v>
      </c>
      <c r="AK172" s="186">
        <f t="shared" si="625"/>
        <v>0</v>
      </c>
      <c r="AL172" s="186">
        <f t="shared" si="625"/>
        <v>0</v>
      </c>
      <c r="AM172" s="186">
        <f t="shared" si="625"/>
        <v>0</v>
      </c>
      <c r="AN172" s="186">
        <f t="shared" si="625"/>
        <v>0</v>
      </c>
      <c r="AO172" s="186">
        <f t="shared" si="625"/>
        <v>0</v>
      </c>
      <c r="AP172" s="186">
        <f t="shared" si="625"/>
        <v>0</v>
      </c>
    </row>
    <row r="173" spans="1:42">
      <c r="A173" s="184" t="s">
        <v>387</v>
      </c>
      <c r="B173" s="186">
        <f>'Inputs &amp; Results'!C146</f>
        <v>1206814.5</v>
      </c>
      <c r="C173" s="186"/>
      <c r="D173" s="186"/>
      <c r="E173" s="186"/>
      <c r="F173" s="186"/>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row>
    <row r="174" spans="1:42">
      <c r="A174" s="184" t="s">
        <v>215</v>
      </c>
      <c r="B174" s="187">
        <f t="shared" ref="B174:AP174" si="626">B96-B135</f>
        <v>0</v>
      </c>
      <c r="C174" s="187">
        <f t="shared" si="626"/>
        <v>29550.819917412242</v>
      </c>
      <c r="D174" s="187">
        <f t="shared" si="626"/>
        <v>30419.432824728312</v>
      </c>
      <c r="E174" s="187">
        <f t="shared" si="626"/>
        <v>31306.148553717649</v>
      </c>
      <c r="F174" s="187">
        <f t="shared" si="626"/>
        <v>32133.004044077825</v>
      </c>
      <c r="G174" s="187">
        <f t="shared" si="626"/>
        <v>33025.427386323689</v>
      </c>
      <c r="H174" s="187">
        <f t="shared" si="626"/>
        <v>33936.759820011444</v>
      </c>
      <c r="I174" s="187">
        <f t="shared" si="626"/>
        <v>34785.476604223484</v>
      </c>
      <c r="J174" s="187">
        <f t="shared" si="626"/>
        <v>35702.73471603659</v>
      </c>
      <c r="K174" s="187">
        <f t="shared" si="626"/>
        <v>36639.743623552145</v>
      </c>
      <c r="L174" s="187">
        <f t="shared" si="626"/>
        <v>73675.502108594868</v>
      </c>
      <c r="M174" s="187">
        <f t="shared" si="626"/>
        <v>110854.95596846472</v>
      </c>
      <c r="N174" s="187">
        <f t="shared" si="626"/>
        <v>113213.05728278868</v>
      </c>
      <c r="O174" s="187">
        <f t="shared" si="626"/>
        <v>4825004.9799654502</v>
      </c>
      <c r="P174" s="187">
        <f t="shared" si="626"/>
        <v>4928215.6324144807</v>
      </c>
      <c r="Q174" s="187">
        <f t="shared" si="626"/>
        <v>5032575.3449771106</v>
      </c>
      <c r="R174" s="187">
        <f t="shared" si="626"/>
        <v>4955731.6623904444</v>
      </c>
      <c r="S174" s="187">
        <f t="shared" si="626"/>
        <v>5063994.2892652256</v>
      </c>
      <c r="T174" s="187">
        <f t="shared" si="626"/>
        <v>5173455.0292561669</v>
      </c>
      <c r="U174" s="187">
        <f t="shared" si="626"/>
        <v>5280547.7632056531</v>
      </c>
      <c r="V174" s="187">
        <f t="shared" si="626"/>
        <v>5392484.5082009714</v>
      </c>
      <c r="W174" s="187">
        <f t="shared" si="626"/>
        <v>5505670.4274858898</v>
      </c>
      <c r="X174" s="187">
        <f t="shared" si="626"/>
        <v>5604195.1425495725</v>
      </c>
      <c r="Y174" s="187">
        <f t="shared" si="626"/>
        <v>5707781.3047947716</v>
      </c>
      <c r="Z174" s="187">
        <f t="shared" si="626"/>
        <v>5812669.7865593601</v>
      </c>
      <c r="AA174" s="187">
        <f t="shared" si="626"/>
        <v>6111987.1634146199</v>
      </c>
      <c r="AB174" s="187">
        <f t="shared" si="626"/>
        <v>6215202.4984073741</v>
      </c>
      <c r="AC174" s="187">
        <f t="shared" si="626"/>
        <v>6319775.4604703384</v>
      </c>
      <c r="AD174" s="187">
        <f t="shared" si="626"/>
        <v>6421628.3133571874</v>
      </c>
      <c r="AE174" s="187">
        <f t="shared" si="626"/>
        <v>6529006.9277247321</v>
      </c>
      <c r="AF174" s="187">
        <f t="shared" si="626"/>
        <v>10184608.469711805</v>
      </c>
      <c r="AG174" s="187">
        <f t="shared" si="626"/>
        <v>0</v>
      </c>
      <c r="AH174" s="187">
        <f t="shared" si="626"/>
        <v>0</v>
      </c>
      <c r="AI174" s="187">
        <f t="shared" si="626"/>
        <v>0</v>
      </c>
      <c r="AJ174" s="187">
        <f t="shared" si="626"/>
        <v>0</v>
      </c>
      <c r="AK174" s="187">
        <f t="shared" si="626"/>
        <v>0</v>
      </c>
      <c r="AL174" s="187">
        <f t="shared" si="626"/>
        <v>0</v>
      </c>
      <c r="AM174" s="187">
        <f t="shared" si="626"/>
        <v>0</v>
      </c>
      <c r="AN174" s="187">
        <f t="shared" si="626"/>
        <v>0</v>
      </c>
      <c r="AO174" s="187">
        <f t="shared" si="626"/>
        <v>0</v>
      </c>
      <c r="AP174" s="187">
        <f t="shared" si="626"/>
        <v>0</v>
      </c>
    </row>
    <row r="175" spans="1:42">
      <c r="A175" s="184" t="s">
        <v>220</v>
      </c>
      <c r="B175" s="152">
        <f>SUM(B172:B174)</f>
        <v>1013595.14049704</v>
      </c>
      <c r="C175" s="152">
        <f t="shared" ref="C175" si="627">SUM(C172:C174)</f>
        <v>29550.819917412242</v>
      </c>
      <c r="D175" s="152">
        <f t="shared" ref="D175" si="628">SUM(D172:D174)</f>
        <v>30419.432824728312</v>
      </c>
      <c r="E175" s="152">
        <f t="shared" ref="E175" si="629">SUM(E172:E174)</f>
        <v>31306.148553717649</v>
      </c>
      <c r="F175" s="152">
        <f t="shared" ref="F175" si="630">SUM(F172:F174)</f>
        <v>32133.004044077825</v>
      </c>
      <c r="G175" s="152">
        <f t="shared" ref="G175" si="631">SUM(G172:G174)</f>
        <v>33025.427386323689</v>
      </c>
      <c r="H175" s="152">
        <f t="shared" ref="H175" si="632">SUM(H172:H174)</f>
        <v>33936.759820011444</v>
      </c>
      <c r="I175" s="152">
        <f t="shared" ref="I175" si="633">SUM(I172:I174)</f>
        <v>34785.476604223484</v>
      </c>
      <c r="J175" s="152">
        <f t="shared" ref="J175" si="634">SUM(J172:J174)</f>
        <v>35702.73471603659</v>
      </c>
      <c r="K175" s="152">
        <f t="shared" ref="K175" si="635">SUM(K172:K174)</f>
        <v>36639.743623552145</v>
      </c>
      <c r="L175" s="152">
        <f t="shared" ref="L175" si="636">SUM(L172:L174)</f>
        <v>73675.502108594868</v>
      </c>
      <c r="M175" s="152">
        <f t="shared" ref="M175" si="637">SUM(M172:M174)</f>
        <v>110854.95596846472</v>
      </c>
      <c r="N175" s="152">
        <f t="shared" ref="N175" si="638">SUM(N172:N174)</f>
        <v>113213.05728278868</v>
      </c>
      <c r="O175" s="152">
        <f t="shared" ref="O175" si="639">SUM(O172:O174)</f>
        <v>4825004.9799654502</v>
      </c>
      <c r="P175" s="152">
        <f t="shared" ref="P175" si="640">SUM(P172:P174)</f>
        <v>4928215.6324144807</v>
      </c>
      <c r="Q175" s="152">
        <f t="shared" ref="Q175" si="641">SUM(Q172:Q174)</f>
        <v>5032575.3449771106</v>
      </c>
      <c r="R175" s="152">
        <f t="shared" ref="R175" si="642">SUM(R172:R174)</f>
        <v>4955731.6623904444</v>
      </c>
      <c r="S175" s="152">
        <f t="shared" ref="S175" si="643">SUM(S172:S174)</f>
        <v>5063994.2892652256</v>
      </c>
      <c r="T175" s="152">
        <f t="shared" ref="T175" si="644">SUM(T172:T174)</f>
        <v>5173455.0292561669</v>
      </c>
      <c r="U175" s="152">
        <f t="shared" ref="U175" si="645">SUM(U172:U174)</f>
        <v>5280547.7632056531</v>
      </c>
      <c r="V175" s="152">
        <f t="shared" ref="V175" si="646">SUM(V172:V174)</f>
        <v>5392484.5082009714</v>
      </c>
      <c r="W175" s="152">
        <f t="shared" ref="W175" si="647">SUM(W172:W174)</f>
        <v>5505670.4274858898</v>
      </c>
      <c r="X175" s="152">
        <f t="shared" ref="X175" si="648">SUM(X172:X174)</f>
        <v>5604195.1425495725</v>
      </c>
      <c r="Y175" s="152">
        <f t="shared" ref="Y175" si="649">SUM(Y172:Y174)</f>
        <v>5707781.3047947716</v>
      </c>
      <c r="Z175" s="152">
        <f t="shared" ref="Z175" si="650">SUM(Z172:Z174)</f>
        <v>5812669.7865593601</v>
      </c>
      <c r="AA175" s="152">
        <f t="shared" ref="AA175" si="651">SUM(AA172:AA174)</f>
        <v>6111987.1634146199</v>
      </c>
      <c r="AB175" s="152">
        <f t="shared" ref="AB175" si="652">SUM(AB172:AB174)</f>
        <v>6215202.4984073741</v>
      </c>
      <c r="AC175" s="152">
        <f t="shared" ref="AC175" si="653">SUM(AC172:AC174)</f>
        <v>6319775.4604703384</v>
      </c>
      <c r="AD175" s="152">
        <f t="shared" ref="AD175" si="654">SUM(AD172:AD174)</f>
        <v>6421628.3133571874</v>
      </c>
      <c r="AE175" s="152">
        <f t="shared" ref="AE175" si="655">SUM(AE172:AE174)</f>
        <v>6529006.9277247321</v>
      </c>
      <c r="AF175" s="152">
        <f t="shared" ref="AF175" si="656">SUM(AF172:AF174)</f>
        <v>10184608.469711805</v>
      </c>
      <c r="AG175" s="152">
        <f t="shared" ref="AG175" si="657">SUM(AG172:AG174)</f>
        <v>0</v>
      </c>
      <c r="AH175" s="152">
        <f t="shared" ref="AH175" si="658">SUM(AH172:AH174)</f>
        <v>0</v>
      </c>
      <c r="AI175" s="152">
        <f t="shared" ref="AI175" si="659">SUM(AI172:AI174)</f>
        <v>0</v>
      </c>
      <c r="AJ175" s="152">
        <f t="shared" ref="AJ175" si="660">SUM(AJ172:AJ174)</f>
        <v>0</v>
      </c>
      <c r="AK175" s="152">
        <f t="shared" ref="AK175" si="661">SUM(AK172:AK174)</f>
        <v>0</v>
      </c>
      <c r="AL175" s="152">
        <f t="shared" ref="AL175" si="662">SUM(AL172:AL174)</f>
        <v>0</v>
      </c>
      <c r="AM175" s="152">
        <f t="shared" ref="AM175" si="663">SUM(AM172:AM174)</f>
        <v>0</v>
      </c>
      <c r="AN175" s="152">
        <f t="shared" ref="AN175" si="664">SUM(AN172:AN174)</f>
        <v>0</v>
      </c>
      <c r="AO175" s="152">
        <f t="shared" ref="AO175" si="665">SUM(AO172:AO174)</f>
        <v>0</v>
      </c>
      <c r="AP175" s="152">
        <f t="shared" ref="AP175" si="666">SUM(AP172:AP174)</f>
        <v>0</v>
      </c>
    </row>
    <row r="176" spans="1:42">
      <c r="A176" s="180" t="s">
        <v>33</v>
      </c>
      <c r="B176" s="152"/>
      <c r="C176" s="152"/>
      <c r="D176" s="152"/>
      <c r="E176" s="152"/>
      <c r="F176" s="152"/>
      <c r="G176" s="186"/>
      <c r="H176" s="186"/>
      <c r="I176" s="186"/>
      <c r="J176" s="186"/>
      <c r="K176" s="186"/>
      <c r="L176" s="186"/>
      <c r="M176" s="186"/>
      <c r="N176" s="186"/>
      <c r="O176" s="186"/>
      <c r="P176" s="186"/>
      <c r="Q176" s="186"/>
      <c r="R176" s="186"/>
      <c r="S176" s="186"/>
      <c r="T176" s="186"/>
      <c r="U176" s="186"/>
      <c r="V176" s="186"/>
      <c r="W176" s="186"/>
      <c r="X176" s="186"/>
      <c r="Y176" s="186"/>
      <c r="Z176" s="186"/>
      <c r="AA176" s="186"/>
      <c r="AB176" s="186"/>
      <c r="AC176" s="186"/>
      <c r="AD176" s="186"/>
      <c r="AE176" s="186"/>
      <c r="AF176" s="186"/>
      <c r="AG176" s="186"/>
      <c r="AH176" s="186"/>
      <c r="AI176" s="186"/>
      <c r="AJ176" s="186"/>
      <c r="AK176" s="186"/>
      <c r="AL176" s="186"/>
      <c r="AM176" s="186"/>
      <c r="AN176" s="186"/>
      <c r="AO176" s="186"/>
      <c r="AP176" s="186"/>
    </row>
    <row r="177" spans="1:42">
      <c r="A177" s="184" t="s">
        <v>37</v>
      </c>
      <c r="B177" s="186">
        <f t="shared" ref="B177:AP177" si="667">B99-B138</f>
        <v>0</v>
      </c>
      <c r="C177" s="186">
        <f t="shared" si="667"/>
        <v>400</v>
      </c>
      <c r="D177" s="186">
        <f t="shared" si="667"/>
        <v>0</v>
      </c>
      <c r="E177" s="186">
        <f t="shared" si="667"/>
        <v>0</v>
      </c>
      <c r="F177" s="186">
        <f t="shared" si="667"/>
        <v>0</v>
      </c>
      <c r="G177" s="186">
        <f t="shared" si="667"/>
        <v>0</v>
      </c>
      <c r="H177" s="186">
        <f t="shared" si="667"/>
        <v>0</v>
      </c>
      <c r="I177" s="186">
        <f t="shared" si="667"/>
        <v>0</v>
      </c>
      <c r="J177" s="186">
        <f t="shared" si="667"/>
        <v>0</v>
      </c>
      <c r="K177" s="186">
        <f t="shared" si="667"/>
        <v>0</v>
      </c>
      <c r="L177" s="186">
        <f t="shared" si="667"/>
        <v>0</v>
      </c>
      <c r="M177" s="186">
        <f t="shared" si="667"/>
        <v>0</v>
      </c>
      <c r="N177" s="186">
        <f t="shared" si="667"/>
        <v>0</v>
      </c>
      <c r="O177" s="186">
        <f t="shared" si="667"/>
        <v>0</v>
      </c>
      <c r="P177" s="186">
        <f t="shared" si="667"/>
        <v>0</v>
      </c>
      <c r="Q177" s="186">
        <f t="shared" si="667"/>
        <v>0</v>
      </c>
      <c r="R177" s="186">
        <f t="shared" si="667"/>
        <v>0</v>
      </c>
      <c r="S177" s="186">
        <f t="shared" si="667"/>
        <v>0</v>
      </c>
      <c r="T177" s="186">
        <f t="shared" si="667"/>
        <v>0</v>
      </c>
      <c r="U177" s="186">
        <f t="shared" si="667"/>
        <v>0</v>
      </c>
      <c r="V177" s="186">
        <f t="shared" si="667"/>
        <v>0</v>
      </c>
      <c r="W177" s="186">
        <f t="shared" si="667"/>
        <v>0</v>
      </c>
      <c r="X177" s="186">
        <f t="shared" si="667"/>
        <v>0</v>
      </c>
      <c r="Y177" s="186">
        <f t="shared" si="667"/>
        <v>0</v>
      </c>
      <c r="Z177" s="186">
        <f t="shared" si="667"/>
        <v>0</v>
      </c>
      <c r="AA177" s="186">
        <f t="shared" si="667"/>
        <v>0</v>
      </c>
      <c r="AB177" s="186">
        <f t="shared" si="667"/>
        <v>0</v>
      </c>
      <c r="AC177" s="186">
        <f t="shared" si="667"/>
        <v>0</v>
      </c>
      <c r="AD177" s="186">
        <f t="shared" si="667"/>
        <v>0</v>
      </c>
      <c r="AE177" s="186">
        <f t="shared" si="667"/>
        <v>0</v>
      </c>
      <c r="AF177" s="186">
        <f t="shared" si="667"/>
        <v>0</v>
      </c>
      <c r="AG177" s="186">
        <f t="shared" si="667"/>
        <v>0</v>
      </c>
      <c r="AH177" s="186">
        <f t="shared" si="667"/>
        <v>0</v>
      </c>
      <c r="AI177" s="186">
        <f t="shared" si="667"/>
        <v>0</v>
      </c>
      <c r="AJ177" s="186">
        <f t="shared" si="667"/>
        <v>0</v>
      </c>
      <c r="AK177" s="186">
        <f t="shared" si="667"/>
        <v>0</v>
      </c>
      <c r="AL177" s="186">
        <f t="shared" si="667"/>
        <v>0</v>
      </c>
      <c r="AM177" s="186">
        <f t="shared" si="667"/>
        <v>0</v>
      </c>
      <c r="AN177" s="186">
        <f t="shared" si="667"/>
        <v>0</v>
      </c>
      <c r="AO177" s="186">
        <f t="shared" si="667"/>
        <v>0</v>
      </c>
      <c r="AP177" s="186">
        <f t="shared" si="667"/>
        <v>0</v>
      </c>
    </row>
    <row r="178" spans="1:42">
      <c r="A178" s="184" t="s">
        <v>36</v>
      </c>
      <c r="B178" s="187">
        <f t="shared" ref="B178:AP178" si="668">B100-B139</f>
        <v>0</v>
      </c>
      <c r="C178" s="187">
        <f t="shared" si="668"/>
        <v>200</v>
      </c>
      <c r="D178" s="187">
        <f t="shared" si="668"/>
        <v>0</v>
      </c>
      <c r="E178" s="187">
        <f t="shared" si="668"/>
        <v>0</v>
      </c>
      <c r="F178" s="187">
        <f t="shared" si="668"/>
        <v>0</v>
      </c>
      <c r="G178" s="187">
        <f t="shared" si="668"/>
        <v>0</v>
      </c>
      <c r="H178" s="187">
        <f t="shared" si="668"/>
        <v>0</v>
      </c>
      <c r="I178" s="187">
        <f t="shared" si="668"/>
        <v>0</v>
      </c>
      <c r="J178" s="187">
        <f t="shared" si="668"/>
        <v>0</v>
      </c>
      <c r="K178" s="187">
        <f t="shared" si="668"/>
        <v>0</v>
      </c>
      <c r="L178" s="187">
        <f t="shared" si="668"/>
        <v>0</v>
      </c>
      <c r="M178" s="187">
        <f t="shared" si="668"/>
        <v>0</v>
      </c>
      <c r="N178" s="187">
        <f t="shared" si="668"/>
        <v>0</v>
      </c>
      <c r="O178" s="187">
        <f t="shared" si="668"/>
        <v>0</v>
      </c>
      <c r="P178" s="187">
        <f t="shared" si="668"/>
        <v>0</v>
      </c>
      <c r="Q178" s="187">
        <f t="shared" si="668"/>
        <v>0</v>
      </c>
      <c r="R178" s="187">
        <f t="shared" si="668"/>
        <v>0</v>
      </c>
      <c r="S178" s="187">
        <f t="shared" si="668"/>
        <v>0</v>
      </c>
      <c r="T178" s="187">
        <f t="shared" si="668"/>
        <v>0</v>
      </c>
      <c r="U178" s="187">
        <f t="shared" si="668"/>
        <v>0</v>
      </c>
      <c r="V178" s="187">
        <f t="shared" si="668"/>
        <v>0</v>
      </c>
      <c r="W178" s="187">
        <f t="shared" si="668"/>
        <v>0</v>
      </c>
      <c r="X178" s="187">
        <f t="shared" si="668"/>
        <v>0</v>
      </c>
      <c r="Y178" s="187">
        <f t="shared" si="668"/>
        <v>0</v>
      </c>
      <c r="Z178" s="187">
        <f t="shared" si="668"/>
        <v>0</v>
      </c>
      <c r="AA178" s="187">
        <f t="shared" si="668"/>
        <v>0</v>
      </c>
      <c r="AB178" s="187">
        <f t="shared" si="668"/>
        <v>0</v>
      </c>
      <c r="AC178" s="187">
        <f t="shared" si="668"/>
        <v>0</v>
      </c>
      <c r="AD178" s="187">
        <f t="shared" si="668"/>
        <v>0</v>
      </c>
      <c r="AE178" s="187">
        <f t="shared" si="668"/>
        <v>0</v>
      </c>
      <c r="AF178" s="187">
        <f t="shared" si="668"/>
        <v>0</v>
      </c>
      <c r="AG178" s="187">
        <f t="shared" si="668"/>
        <v>0</v>
      </c>
      <c r="AH178" s="187">
        <f t="shared" si="668"/>
        <v>0</v>
      </c>
      <c r="AI178" s="187">
        <f t="shared" si="668"/>
        <v>0</v>
      </c>
      <c r="AJ178" s="187">
        <f t="shared" si="668"/>
        <v>0</v>
      </c>
      <c r="AK178" s="187">
        <f t="shared" si="668"/>
        <v>0</v>
      </c>
      <c r="AL178" s="187">
        <f t="shared" si="668"/>
        <v>0</v>
      </c>
      <c r="AM178" s="187">
        <f t="shared" si="668"/>
        <v>0</v>
      </c>
      <c r="AN178" s="187">
        <f t="shared" si="668"/>
        <v>0</v>
      </c>
      <c r="AO178" s="187">
        <f t="shared" si="668"/>
        <v>0</v>
      </c>
      <c r="AP178" s="187">
        <f t="shared" si="668"/>
        <v>0</v>
      </c>
    </row>
    <row r="179" spans="1:42">
      <c r="A179" s="184" t="s">
        <v>53</v>
      </c>
      <c r="B179" s="152">
        <f>SUM(B177:B178)</f>
        <v>0</v>
      </c>
      <c r="C179" s="152">
        <f>SUM(C177:C178)</f>
        <v>600</v>
      </c>
      <c r="D179" s="152">
        <f>SUM(D177:D178)</f>
        <v>0</v>
      </c>
      <c r="E179" s="152">
        <f t="shared" ref="E179" si="669">SUM(E177:E178)</f>
        <v>0</v>
      </c>
      <c r="F179" s="152">
        <f t="shared" ref="F179" si="670">SUM(F177:F178)</f>
        <v>0</v>
      </c>
      <c r="G179" s="152">
        <f t="shared" ref="G179" si="671">SUM(G177:G178)</f>
        <v>0</v>
      </c>
      <c r="H179" s="152">
        <f t="shared" ref="H179" si="672">SUM(H177:H178)</f>
        <v>0</v>
      </c>
      <c r="I179" s="152">
        <f t="shared" ref="I179" si="673">SUM(I177:I178)</f>
        <v>0</v>
      </c>
      <c r="J179" s="152">
        <f t="shared" ref="J179" si="674">SUM(J177:J178)</f>
        <v>0</v>
      </c>
      <c r="K179" s="152">
        <f t="shared" ref="K179" si="675">SUM(K177:K178)</f>
        <v>0</v>
      </c>
      <c r="L179" s="152">
        <f t="shared" ref="L179" si="676">SUM(L177:L178)</f>
        <v>0</v>
      </c>
      <c r="M179" s="152">
        <f t="shared" ref="M179" si="677">SUM(M177:M178)</f>
        <v>0</v>
      </c>
      <c r="N179" s="152">
        <f t="shared" ref="N179" si="678">SUM(N177:N178)</f>
        <v>0</v>
      </c>
      <c r="O179" s="152">
        <f t="shared" ref="O179" si="679">SUM(O177:O178)</f>
        <v>0</v>
      </c>
      <c r="P179" s="152">
        <f t="shared" ref="P179" si="680">SUM(P177:P178)</f>
        <v>0</v>
      </c>
      <c r="Q179" s="152">
        <f t="shared" ref="Q179" si="681">SUM(Q177:Q178)</f>
        <v>0</v>
      </c>
      <c r="R179" s="152">
        <f t="shared" ref="R179" si="682">SUM(R177:R178)</f>
        <v>0</v>
      </c>
      <c r="S179" s="152">
        <f t="shared" ref="S179" si="683">SUM(S177:S178)</f>
        <v>0</v>
      </c>
      <c r="T179" s="152">
        <f t="shared" ref="T179" si="684">SUM(T177:T178)</f>
        <v>0</v>
      </c>
      <c r="U179" s="152">
        <f t="shared" ref="U179" si="685">SUM(U177:U178)</f>
        <v>0</v>
      </c>
      <c r="V179" s="152">
        <f t="shared" ref="V179" si="686">SUM(V177:V178)</f>
        <v>0</v>
      </c>
      <c r="W179" s="152">
        <f t="shared" ref="W179" si="687">SUM(W177:W178)</f>
        <v>0</v>
      </c>
      <c r="X179" s="152">
        <f t="shared" ref="X179" si="688">SUM(X177:X178)</f>
        <v>0</v>
      </c>
      <c r="Y179" s="152">
        <f t="shared" ref="Y179" si="689">SUM(Y177:Y178)</f>
        <v>0</v>
      </c>
      <c r="Z179" s="152">
        <f t="shared" ref="Z179" si="690">SUM(Z177:Z178)</f>
        <v>0</v>
      </c>
      <c r="AA179" s="152">
        <f t="shared" ref="AA179" si="691">SUM(AA177:AA178)</f>
        <v>0</v>
      </c>
      <c r="AB179" s="152">
        <f t="shared" ref="AB179" si="692">SUM(AB177:AB178)</f>
        <v>0</v>
      </c>
      <c r="AC179" s="152">
        <f t="shared" ref="AC179" si="693">SUM(AC177:AC178)</f>
        <v>0</v>
      </c>
      <c r="AD179" s="152">
        <f t="shared" ref="AD179" si="694">SUM(AD177:AD178)</f>
        <v>0</v>
      </c>
      <c r="AE179" s="152">
        <f t="shared" ref="AE179" si="695">SUM(AE177:AE178)</f>
        <v>0</v>
      </c>
      <c r="AF179" s="152">
        <f t="shared" ref="AF179" si="696">SUM(AF177:AF178)</f>
        <v>0</v>
      </c>
      <c r="AG179" s="152">
        <f t="shared" ref="AG179" si="697">SUM(AG177:AG178)</f>
        <v>0</v>
      </c>
      <c r="AH179" s="152">
        <f t="shared" ref="AH179" si="698">SUM(AH177:AH178)</f>
        <v>0</v>
      </c>
      <c r="AI179" s="152">
        <f t="shared" ref="AI179" si="699">SUM(AI177:AI178)</f>
        <v>0</v>
      </c>
      <c r="AJ179" s="152">
        <f t="shared" ref="AJ179" si="700">SUM(AJ177:AJ178)</f>
        <v>0</v>
      </c>
      <c r="AK179" s="152">
        <f t="shared" ref="AK179" si="701">SUM(AK177:AK178)</f>
        <v>0</v>
      </c>
      <c r="AL179" s="152">
        <f t="shared" ref="AL179" si="702">SUM(AL177:AL178)</f>
        <v>0</v>
      </c>
      <c r="AM179" s="152">
        <f t="shared" ref="AM179" si="703">SUM(AM177:AM178)</f>
        <v>0</v>
      </c>
      <c r="AN179" s="152">
        <f t="shared" ref="AN179" si="704">SUM(AN177:AN178)</f>
        <v>0</v>
      </c>
      <c r="AO179" s="152">
        <f t="shared" ref="AO179" si="705">SUM(AO177:AO178)</f>
        <v>0</v>
      </c>
      <c r="AP179" s="152">
        <f t="shared" ref="AP179" si="706">SUM(AP177:AP178)</f>
        <v>0</v>
      </c>
    </row>
    <row r="180" spans="1:42">
      <c r="A180" s="180" t="s">
        <v>38</v>
      </c>
      <c r="B180" s="152"/>
      <c r="C180" s="152"/>
      <c r="D180" s="152"/>
      <c r="E180" s="152"/>
      <c r="F180" s="152"/>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row>
    <row r="181" spans="1:42">
      <c r="A181" s="184" t="s">
        <v>37</v>
      </c>
      <c r="B181" s="186">
        <f t="shared" ref="B181:AP181" si="707">B103-B142</f>
        <v>0</v>
      </c>
      <c r="C181" s="186">
        <f t="shared" si="707"/>
        <v>0</v>
      </c>
      <c r="D181" s="186">
        <f t="shared" si="707"/>
        <v>0</v>
      </c>
      <c r="E181" s="186">
        <f t="shared" si="707"/>
        <v>0</v>
      </c>
      <c r="F181" s="186">
        <f t="shared" si="707"/>
        <v>0</v>
      </c>
      <c r="G181" s="186">
        <f t="shared" si="707"/>
        <v>0</v>
      </c>
      <c r="H181" s="186">
        <f t="shared" si="707"/>
        <v>0</v>
      </c>
      <c r="I181" s="186">
        <f t="shared" si="707"/>
        <v>0</v>
      </c>
      <c r="J181" s="186">
        <f t="shared" si="707"/>
        <v>0</v>
      </c>
      <c r="K181" s="186">
        <f t="shared" si="707"/>
        <v>0</v>
      </c>
      <c r="L181" s="186">
        <f t="shared" si="707"/>
        <v>0</v>
      </c>
      <c r="M181" s="186">
        <f t="shared" si="707"/>
        <v>0</v>
      </c>
      <c r="N181" s="186">
        <f t="shared" si="707"/>
        <v>0</v>
      </c>
      <c r="O181" s="186">
        <f t="shared" si="707"/>
        <v>0</v>
      </c>
      <c r="P181" s="186">
        <f t="shared" si="707"/>
        <v>0</v>
      </c>
      <c r="Q181" s="186">
        <f t="shared" si="707"/>
        <v>0</v>
      </c>
      <c r="R181" s="186">
        <f t="shared" si="707"/>
        <v>0</v>
      </c>
      <c r="S181" s="186">
        <f t="shared" si="707"/>
        <v>0</v>
      </c>
      <c r="T181" s="186">
        <f t="shared" si="707"/>
        <v>0</v>
      </c>
      <c r="U181" s="186">
        <f t="shared" si="707"/>
        <v>0</v>
      </c>
      <c r="V181" s="186">
        <f t="shared" si="707"/>
        <v>0</v>
      </c>
      <c r="W181" s="186">
        <f t="shared" si="707"/>
        <v>0</v>
      </c>
      <c r="X181" s="186">
        <f t="shared" si="707"/>
        <v>0</v>
      </c>
      <c r="Y181" s="186">
        <f t="shared" si="707"/>
        <v>0</v>
      </c>
      <c r="Z181" s="186">
        <f t="shared" si="707"/>
        <v>0</v>
      </c>
      <c r="AA181" s="186">
        <f t="shared" si="707"/>
        <v>0</v>
      </c>
      <c r="AB181" s="186">
        <f t="shared" si="707"/>
        <v>0</v>
      </c>
      <c r="AC181" s="186">
        <f t="shared" si="707"/>
        <v>0</v>
      </c>
      <c r="AD181" s="186">
        <f t="shared" si="707"/>
        <v>0</v>
      </c>
      <c r="AE181" s="186">
        <f t="shared" si="707"/>
        <v>0</v>
      </c>
      <c r="AF181" s="186">
        <f t="shared" si="707"/>
        <v>0</v>
      </c>
      <c r="AG181" s="186">
        <f t="shared" si="707"/>
        <v>0</v>
      </c>
      <c r="AH181" s="186">
        <f t="shared" si="707"/>
        <v>0</v>
      </c>
      <c r="AI181" s="186">
        <f t="shared" si="707"/>
        <v>0</v>
      </c>
      <c r="AJ181" s="186">
        <f t="shared" si="707"/>
        <v>0</v>
      </c>
      <c r="AK181" s="186">
        <f t="shared" si="707"/>
        <v>0</v>
      </c>
      <c r="AL181" s="186">
        <f t="shared" si="707"/>
        <v>0</v>
      </c>
      <c r="AM181" s="186">
        <f t="shared" si="707"/>
        <v>0</v>
      </c>
      <c r="AN181" s="186">
        <f t="shared" si="707"/>
        <v>0</v>
      </c>
      <c r="AO181" s="186">
        <f t="shared" si="707"/>
        <v>0</v>
      </c>
      <c r="AP181" s="186">
        <f t="shared" si="707"/>
        <v>0</v>
      </c>
    </row>
    <row r="182" spans="1:42">
      <c r="A182" s="184" t="s">
        <v>36</v>
      </c>
      <c r="B182" s="187">
        <f t="shared" ref="B182:AP182" si="708">B104-B143</f>
        <v>0</v>
      </c>
      <c r="C182" s="187">
        <f t="shared" si="708"/>
        <v>0</v>
      </c>
      <c r="D182" s="187">
        <f t="shared" si="708"/>
        <v>0</v>
      </c>
      <c r="E182" s="187">
        <f t="shared" si="708"/>
        <v>0</v>
      </c>
      <c r="F182" s="187">
        <f t="shared" si="708"/>
        <v>0</v>
      </c>
      <c r="G182" s="187">
        <f t="shared" si="708"/>
        <v>0</v>
      </c>
      <c r="H182" s="187">
        <f t="shared" si="708"/>
        <v>0</v>
      </c>
      <c r="I182" s="187">
        <f t="shared" si="708"/>
        <v>0</v>
      </c>
      <c r="J182" s="187">
        <f t="shared" si="708"/>
        <v>0</v>
      </c>
      <c r="K182" s="187">
        <f t="shared" si="708"/>
        <v>0</v>
      </c>
      <c r="L182" s="187">
        <f t="shared" si="708"/>
        <v>0</v>
      </c>
      <c r="M182" s="187">
        <f t="shared" si="708"/>
        <v>0</v>
      </c>
      <c r="N182" s="187">
        <f t="shared" si="708"/>
        <v>0</v>
      </c>
      <c r="O182" s="187">
        <f t="shared" si="708"/>
        <v>0</v>
      </c>
      <c r="P182" s="187">
        <f t="shared" si="708"/>
        <v>0</v>
      </c>
      <c r="Q182" s="187">
        <f t="shared" si="708"/>
        <v>0</v>
      </c>
      <c r="R182" s="187">
        <f t="shared" si="708"/>
        <v>0</v>
      </c>
      <c r="S182" s="187">
        <f t="shared" si="708"/>
        <v>0</v>
      </c>
      <c r="T182" s="187">
        <f t="shared" si="708"/>
        <v>0</v>
      </c>
      <c r="U182" s="187">
        <f t="shared" si="708"/>
        <v>0</v>
      </c>
      <c r="V182" s="187">
        <f t="shared" si="708"/>
        <v>0</v>
      </c>
      <c r="W182" s="187">
        <f t="shared" si="708"/>
        <v>0</v>
      </c>
      <c r="X182" s="187">
        <f t="shared" si="708"/>
        <v>0</v>
      </c>
      <c r="Y182" s="187">
        <f t="shared" si="708"/>
        <v>0</v>
      </c>
      <c r="Z182" s="187">
        <f t="shared" si="708"/>
        <v>0</v>
      </c>
      <c r="AA182" s="187">
        <f t="shared" si="708"/>
        <v>0</v>
      </c>
      <c r="AB182" s="187">
        <f t="shared" si="708"/>
        <v>0</v>
      </c>
      <c r="AC182" s="187">
        <f t="shared" si="708"/>
        <v>0</v>
      </c>
      <c r="AD182" s="187">
        <f t="shared" si="708"/>
        <v>0</v>
      </c>
      <c r="AE182" s="187">
        <f t="shared" si="708"/>
        <v>0</v>
      </c>
      <c r="AF182" s="187">
        <f t="shared" si="708"/>
        <v>0</v>
      </c>
      <c r="AG182" s="187">
        <f t="shared" si="708"/>
        <v>0</v>
      </c>
      <c r="AH182" s="187">
        <f t="shared" si="708"/>
        <v>0</v>
      </c>
      <c r="AI182" s="187">
        <f t="shared" si="708"/>
        <v>0</v>
      </c>
      <c r="AJ182" s="187">
        <f t="shared" si="708"/>
        <v>0</v>
      </c>
      <c r="AK182" s="187">
        <f t="shared" si="708"/>
        <v>0</v>
      </c>
      <c r="AL182" s="187">
        <f t="shared" si="708"/>
        <v>0</v>
      </c>
      <c r="AM182" s="187">
        <f t="shared" si="708"/>
        <v>0</v>
      </c>
      <c r="AN182" s="187">
        <f t="shared" si="708"/>
        <v>0</v>
      </c>
      <c r="AO182" s="187">
        <f t="shared" si="708"/>
        <v>0</v>
      </c>
      <c r="AP182" s="187">
        <f t="shared" si="708"/>
        <v>0</v>
      </c>
    </row>
    <row r="183" spans="1:42">
      <c r="A183" s="184" t="s">
        <v>53</v>
      </c>
      <c r="B183" s="152">
        <f>SUM(B181:B182)</f>
        <v>0</v>
      </c>
      <c r="C183" s="152">
        <f>SUM(C181:C182)</f>
        <v>0</v>
      </c>
      <c r="D183" s="152">
        <f>SUM(D181:D182)</f>
        <v>0</v>
      </c>
      <c r="E183" s="152">
        <f t="shared" ref="E183" si="709">SUM(E181:E182)</f>
        <v>0</v>
      </c>
      <c r="F183" s="152">
        <f t="shared" ref="F183" si="710">SUM(F181:F182)</f>
        <v>0</v>
      </c>
      <c r="G183" s="152">
        <f t="shared" ref="G183" si="711">SUM(G181:G182)</f>
        <v>0</v>
      </c>
      <c r="H183" s="152">
        <f t="shared" ref="H183" si="712">SUM(H181:H182)</f>
        <v>0</v>
      </c>
      <c r="I183" s="152">
        <f t="shared" ref="I183" si="713">SUM(I181:I182)</f>
        <v>0</v>
      </c>
      <c r="J183" s="152">
        <f t="shared" ref="J183" si="714">SUM(J181:J182)</f>
        <v>0</v>
      </c>
      <c r="K183" s="152">
        <f t="shared" ref="K183" si="715">SUM(K181:K182)</f>
        <v>0</v>
      </c>
      <c r="L183" s="152">
        <f t="shared" ref="L183" si="716">SUM(L181:L182)</f>
        <v>0</v>
      </c>
      <c r="M183" s="152">
        <f t="shared" ref="M183" si="717">SUM(M181:M182)</f>
        <v>0</v>
      </c>
      <c r="N183" s="152">
        <f t="shared" ref="N183" si="718">SUM(N181:N182)</f>
        <v>0</v>
      </c>
      <c r="O183" s="152">
        <f t="shared" ref="O183" si="719">SUM(O181:O182)</f>
        <v>0</v>
      </c>
      <c r="P183" s="152">
        <f t="shared" ref="P183" si="720">SUM(P181:P182)</f>
        <v>0</v>
      </c>
      <c r="Q183" s="152">
        <f t="shared" ref="Q183" si="721">SUM(Q181:Q182)</f>
        <v>0</v>
      </c>
      <c r="R183" s="152">
        <f t="shared" ref="R183" si="722">SUM(R181:R182)</f>
        <v>0</v>
      </c>
      <c r="S183" s="152">
        <f t="shared" ref="S183" si="723">SUM(S181:S182)</f>
        <v>0</v>
      </c>
      <c r="T183" s="152">
        <f t="shared" ref="T183" si="724">SUM(T181:T182)</f>
        <v>0</v>
      </c>
      <c r="U183" s="152">
        <f t="shared" ref="U183" si="725">SUM(U181:U182)</f>
        <v>0</v>
      </c>
      <c r="V183" s="152">
        <f t="shared" ref="V183" si="726">SUM(V181:V182)</f>
        <v>0</v>
      </c>
      <c r="W183" s="152">
        <f t="shared" ref="W183" si="727">SUM(W181:W182)</f>
        <v>0</v>
      </c>
      <c r="X183" s="152">
        <f t="shared" ref="X183" si="728">SUM(X181:X182)</f>
        <v>0</v>
      </c>
      <c r="Y183" s="152">
        <f t="shared" ref="Y183" si="729">SUM(Y181:Y182)</f>
        <v>0</v>
      </c>
      <c r="Z183" s="152">
        <f t="shared" ref="Z183" si="730">SUM(Z181:Z182)</f>
        <v>0</v>
      </c>
      <c r="AA183" s="152">
        <f t="shared" ref="AA183" si="731">SUM(AA181:AA182)</f>
        <v>0</v>
      </c>
      <c r="AB183" s="152">
        <f t="shared" ref="AB183" si="732">SUM(AB181:AB182)</f>
        <v>0</v>
      </c>
      <c r="AC183" s="152">
        <f t="shared" ref="AC183" si="733">SUM(AC181:AC182)</f>
        <v>0</v>
      </c>
      <c r="AD183" s="152">
        <f t="shared" ref="AD183" si="734">SUM(AD181:AD182)</f>
        <v>0</v>
      </c>
      <c r="AE183" s="152">
        <f t="shared" ref="AE183" si="735">SUM(AE181:AE182)</f>
        <v>0</v>
      </c>
      <c r="AF183" s="152">
        <f t="shared" ref="AF183" si="736">SUM(AF181:AF182)</f>
        <v>0</v>
      </c>
      <c r="AG183" s="152">
        <f t="shared" ref="AG183" si="737">SUM(AG181:AG182)</f>
        <v>0</v>
      </c>
      <c r="AH183" s="152">
        <f t="shared" ref="AH183" si="738">SUM(AH181:AH182)</f>
        <v>0</v>
      </c>
      <c r="AI183" s="152">
        <f t="shared" ref="AI183" si="739">SUM(AI181:AI182)</f>
        <v>0</v>
      </c>
      <c r="AJ183" s="152">
        <f t="shared" ref="AJ183" si="740">SUM(AJ181:AJ182)</f>
        <v>0</v>
      </c>
      <c r="AK183" s="152">
        <f t="shared" ref="AK183" si="741">SUM(AK181:AK182)</f>
        <v>0</v>
      </c>
      <c r="AL183" s="152">
        <f t="shared" ref="AL183" si="742">SUM(AL181:AL182)</f>
        <v>0</v>
      </c>
      <c r="AM183" s="152">
        <f t="shared" ref="AM183" si="743">SUM(AM181:AM182)</f>
        <v>0</v>
      </c>
      <c r="AN183" s="152">
        <f t="shared" ref="AN183" si="744">SUM(AN181:AN182)</f>
        <v>0</v>
      </c>
      <c r="AO183" s="152">
        <f t="shared" ref="AO183" si="745">SUM(AO181:AO182)</f>
        <v>0</v>
      </c>
      <c r="AP183" s="152">
        <f t="shared" ref="AP183" si="746">SUM(AP181:AP182)</f>
        <v>0</v>
      </c>
    </row>
    <row r="184" spans="1:42">
      <c r="A184" s="180" t="s">
        <v>388</v>
      </c>
      <c r="B184" s="152"/>
      <c r="C184" s="152"/>
      <c r="D184" s="152"/>
      <c r="E184" s="152"/>
      <c r="F184" s="152"/>
      <c r="G184" s="152"/>
      <c r="H184" s="152"/>
      <c r="I184" s="152"/>
      <c r="J184" s="152"/>
      <c r="K184" s="152"/>
      <c r="L184" s="152"/>
      <c r="M184" s="152"/>
      <c r="N184" s="152"/>
      <c r="O184" s="152"/>
      <c r="P184" s="152"/>
      <c r="Q184" s="152"/>
      <c r="R184" s="152"/>
      <c r="S184" s="152"/>
      <c r="T184" s="152"/>
      <c r="U184" s="152"/>
      <c r="V184" s="152"/>
      <c r="W184" s="152"/>
      <c r="X184" s="152"/>
      <c r="Y184" s="152"/>
      <c r="Z184" s="152"/>
      <c r="AA184" s="152"/>
      <c r="AB184" s="152"/>
      <c r="AC184" s="152"/>
      <c r="AD184" s="152"/>
      <c r="AE184" s="152"/>
      <c r="AF184" s="152"/>
      <c r="AG184" s="152"/>
      <c r="AH184" s="152"/>
      <c r="AI184" s="152"/>
      <c r="AJ184" s="152"/>
      <c r="AK184" s="152"/>
      <c r="AL184" s="152"/>
      <c r="AM184" s="152"/>
      <c r="AN184" s="152"/>
      <c r="AO184" s="152"/>
      <c r="AP184" s="152"/>
    </row>
    <row r="185" spans="1:42">
      <c r="A185" s="184" t="s">
        <v>37</v>
      </c>
      <c r="B185" s="186">
        <v>0</v>
      </c>
      <c r="C185" s="186">
        <f>B173*-StateTax</f>
        <v>-66374.797500000001</v>
      </c>
      <c r="D185" s="186">
        <v>0</v>
      </c>
      <c r="E185" s="186">
        <v>0</v>
      </c>
      <c r="F185" s="186">
        <v>0</v>
      </c>
      <c r="G185" s="186">
        <v>0</v>
      </c>
      <c r="H185" s="186">
        <v>0</v>
      </c>
      <c r="I185" s="186">
        <v>0</v>
      </c>
      <c r="J185" s="186">
        <v>0</v>
      </c>
      <c r="K185" s="186">
        <v>0</v>
      </c>
      <c r="L185" s="186">
        <v>0</v>
      </c>
      <c r="M185" s="186">
        <v>0</v>
      </c>
      <c r="N185" s="186">
        <v>0</v>
      </c>
      <c r="O185" s="186">
        <v>0</v>
      </c>
      <c r="P185" s="186">
        <v>0</v>
      </c>
      <c r="Q185" s="186">
        <v>0</v>
      </c>
      <c r="R185" s="186">
        <v>0</v>
      </c>
      <c r="S185" s="186">
        <v>0</v>
      </c>
      <c r="T185" s="186">
        <v>0</v>
      </c>
      <c r="U185" s="186">
        <v>0</v>
      </c>
      <c r="V185" s="186">
        <v>0</v>
      </c>
      <c r="W185" s="186">
        <v>0</v>
      </c>
      <c r="X185" s="186">
        <v>0</v>
      </c>
      <c r="Y185" s="186">
        <v>0</v>
      </c>
      <c r="Z185" s="186">
        <v>0</v>
      </c>
      <c r="AA185" s="186">
        <v>0</v>
      </c>
      <c r="AB185" s="186">
        <v>0</v>
      </c>
      <c r="AC185" s="186">
        <v>0</v>
      </c>
      <c r="AD185" s="186">
        <v>0</v>
      </c>
      <c r="AE185" s="186">
        <v>0</v>
      </c>
      <c r="AF185" s="186">
        <v>0</v>
      </c>
      <c r="AG185" s="186">
        <v>0</v>
      </c>
      <c r="AH185" s="186">
        <v>0</v>
      </c>
      <c r="AI185" s="186">
        <v>0</v>
      </c>
      <c r="AJ185" s="186">
        <v>0</v>
      </c>
      <c r="AK185" s="186">
        <v>0</v>
      </c>
      <c r="AL185" s="186">
        <v>0</v>
      </c>
      <c r="AM185" s="186">
        <v>0</v>
      </c>
      <c r="AN185" s="186">
        <v>0</v>
      </c>
      <c r="AO185" s="186">
        <v>0</v>
      </c>
      <c r="AP185" s="186">
        <v>0</v>
      </c>
    </row>
    <row r="186" spans="1:42">
      <c r="A186" s="184" t="s">
        <v>36</v>
      </c>
      <c r="B186" s="187">
        <v>0</v>
      </c>
      <c r="C186" s="187">
        <f>(B173+C185)*-FedTax</f>
        <v>-399153.89587499993</v>
      </c>
      <c r="D186" s="187">
        <v>0</v>
      </c>
      <c r="E186" s="187">
        <v>0</v>
      </c>
      <c r="F186" s="187">
        <v>0</v>
      </c>
      <c r="G186" s="187">
        <v>0</v>
      </c>
      <c r="H186" s="187">
        <v>0</v>
      </c>
      <c r="I186" s="187">
        <v>0</v>
      </c>
      <c r="J186" s="187">
        <v>0</v>
      </c>
      <c r="K186" s="187">
        <v>0</v>
      </c>
      <c r="L186" s="187">
        <v>0</v>
      </c>
      <c r="M186" s="187">
        <v>0</v>
      </c>
      <c r="N186" s="187">
        <v>0</v>
      </c>
      <c r="O186" s="187">
        <v>0</v>
      </c>
      <c r="P186" s="187">
        <v>0</v>
      </c>
      <c r="Q186" s="187">
        <v>0</v>
      </c>
      <c r="R186" s="187">
        <v>0</v>
      </c>
      <c r="S186" s="187">
        <v>0</v>
      </c>
      <c r="T186" s="187">
        <v>0</v>
      </c>
      <c r="U186" s="187">
        <v>0</v>
      </c>
      <c r="V186" s="187">
        <v>0</v>
      </c>
      <c r="W186" s="187">
        <v>0</v>
      </c>
      <c r="X186" s="187">
        <v>0</v>
      </c>
      <c r="Y186" s="187">
        <v>0</v>
      </c>
      <c r="Z186" s="187">
        <v>0</v>
      </c>
      <c r="AA186" s="187">
        <v>0</v>
      </c>
      <c r="AB186" s="187">
        <v>0</v>
      </c>
      <c r="AC186" s="187">
        <v>0</v>
      </c>
      <c r="AD186" s="187">
        <v>0</v>
      </c>
      <c r="AE186" s="187">
        <v>0</v>
      </c>
      <c r="AF186" s="187">
        <v>0</v>
      </c>
      <c r="AG186" s="187">
        <v>0</v>
      </c>
      <c r="AH186" s="187">
        <v>0</v>
      </c>
      <c r="AI186" s="187">
        <v>0</v>
      </c>
      <c r="AJ186" s="187">
        <v>0</v>
      </c>
      <c r="AK186" s="187">
        <v>0</v>
      </c>
      <c r="AL186" s="187">
        <v>0</v>
      </c>
      <c r="AM186" s="187">
        <v>0</v>
      </c>
      <c r="AN186" s="187">
        <v>0</v>
      </c>
      <c r="AO186" s="187">
        <v>0</v>
      </c>
      <c r="AP186" s="187">
        <v>0</v>
      </c>
    </row>
    <row r="187" spans="1:42">
      <c r="A187" s="184" t="s">
        <v>53</v>
      </c>
      <c r="B187" s="266">
        <f>SUM(B185:B186)</f>
        <v>0</v>
      </c>
      <c r="C187" s="266">
        <f>SUM(C185:C186)</f>
        <v>-465528.69337499992</v>
      </c>
      <c r="D187" s="266">
        <f>SUM(D185:D186)</f>
        <v>0</v>
      </c>
      <c r="E187" s="266">
        <f t="shared" ref="E187:AP187" si="747">SUM(E185:E186)</f>
        <v>0</v>
      </c>
      <c r="F187" s="266">
        <f t="shared" si="747"/>
        <v>0</v>
      </c>
      <c r="G187" s="266">
        <f t="shared" si="747"/>
        <v>0</v>
      </c>
      <c r="H187" s="266">
        <f t="shared" si="747"/>
        <v>0</v>
      </c>
      <c r="I187" s="266">
        <f t="shared" si="747"/>
        <v>0</v>
      </c>
      <c r="J187" s="266">
        <f t="shared" si="747"/>
        <v>0</v>
      </c>
      <c r="K187" s="266">
        <f t="shared" si="747"/>
        <v>0</v>
      </c>
      <c r="L187" s="266">
        <f t="shared" si="747"/>
        <v>0</v>
      </c>
      <c r="M187" s="266">
        <f t="shared" si="747"/>
        <v>0</v>
      </c>
      <c r="N187" s="266">
        <f t="shared" si="747"/>
        <v>0</v>
      </c>
      <c r="O187" s="266">
        <f t="shared" si="747"/>
        <v>0</v>
      </c>
      <c r="P187" s="266">
        <f t="shared" si="747"/>
        <v>0</v>
      </c>
      <c r="Q187" s="266">
        <f t="shared" si="747"/>
        <v>0</v>
      </c>
      <c r="R187" s="266">
        <f t="shared" si="747"/>
        <v>0</v>
      </c>
      <c r="S187" s="266">
        <f t="shared" si="747"/>
        <v>0</v>
      </c>
      <c r="T187" s="266">
        <f t="shared" si="747"/>
        <v>0</v>
      </c>
      <c r="U187" s="266">
        <f t="shared" si="747"/>
        <v>0</v>
      </c>
      <c r="V187" s="266">
        <f t="shared" si="747"/>
        <v>0</v>
      </c>
      <c r="W187" s="266">
        <f t="shared" si="747"/>
        <v>0</v>
      </c>
      <c r="X187" s="266">
        <f t="shared" si="747"/>
        <v>0</v>
      </c>
      <c r="Y187" s="266">
        <f t="shared" si="747"/>
        <v>0</v>
      </c>
      <c r="Z187" s="266">
        <f t="shared" si="747"/>
        <v>0</v>
      </c>
      <c r="AA187" s="266">
        <f t="shared" si="747"/>
        <v>0</v>
      </c>
      <c r="AB187" s="266">
        <f t="shared" si="747"/>
        <v>0</v>
      </c>
      <c r="AC187" s="266">
        <f t="shared" si="747"/>
        <v>0</v>
      </c>
      <c r="AD187" s="266">
        <f t="shared" si="747"/>
        <v>0</v>
      </c>
      <c r="AE187" s="266">
        <f t="shared" si="747"/>
        <v>0</v>
      </c>
      <c r="AF187" s="266">
        <f t="shared" si="747"/>
        <v>0</v>
      </c>
      <c r="AG187" s="266">
        <f t="shared" si="747"/>
        <v>0</v>
      </c>
      <c r="AH187" s="266">
        <f t="shared" si="747"/>
        <v>0</v>
      </c>
      <c r="AI187" s="266">
        <f t="shared" si="747"/>
        <v>0</v>
      </c>
      <c r="AJ187" s="266">
        <f t="shared" si="747"/>
        <v>0</v>
      </c>
      <c r="AK187" s="266">
        <f t="shared" si="747"/>
        <v>0</v>
      </c>
      <c r="AL187" s="266">
        <f t="shared" si="747"/>
        <v>0</v>
      </c>
      <c r="AM187" s="266">
        <f t="shared" si="747"/>
        <v>0</v>
      </c>
      <c r="AN187" s="266">
        <f t="shared" si="747"/>
        <v>0</v>
      </c>
      <c r="AO187" s="266">
        <f t="shared" si="747"/>
        <v>0</v>
      </c>
      <c r="AP187" s="266">
        <f t="shared" si="747"/>
        <v>0</v>
      </c>
    </row>
    <row r="188" spans="1:42">
      <c r="A188" s="180" t="s">
        <v>428</v>
      </c>
      <c r="B188" s="152"/>
      <c r="C188" s="152"/>
      <c r="D188" s="152"/>
      <c r="E188" s="152"/>
      <c r="F188" s="152"/>
      <c r="G188" s="152"/>
      <c r="H188" s="152"/>
      <c r="I188" s="152"/>
      <c r="J188" s="152"/>
      <c r="K188" s="152"/>
      <c r="L188" s="152"/>
      <c r="M188" s="152"/>
      <c r="N188" s="152"/>
      <c r="O188" s="152"/>
      <c r="P188" s="152"/>
      <c r="Q188" s="152"/>
      <c r="R188" s="152"/>
      <c r="S188" s="152"/>
      <c r="T188" s="152"/>
      <c r="U188" s="152"/>
      <c r="V188" s="152"/>
      <c r="W188" s="152"/>
      <c r="X188" s="152"/>
      <c r="Y188" s="152"/>
      <c r="Z188" s="152"/>
      <c r="AA188" s="152"/>
      <c r="AB188" s="152"/>
      <c r="AC188" s="152"/>
      <c r="AD188" s="152"/>
      <c r="AE188" s="152"/>
      <c r="AF188" s="152"/>
      <c r="AG188" s="152"/>
      <c r="AH188" s="152"/>
      <c r="AI188" s="152"/>
      <c r="AJ188" s="152"/>
      <c r="AK188" s="152"/>
      <c r="AL188" s="152"/>
      <c r="AM188" s="152"/>
      <c r="AN188" s="152"/>
      <c r="AO188" s="152"/>
      <c r="AP188" s="152"/>
    </row>
    <row r="189" spans="1:42">
      <c r="A189" s="184" t="s">
        <v>37</v>
      </c>
      <c r="B189" s="186">
        <f t="shared" ref="B189:AP189" si="748">B107-B146</f>
        <v>0</v>
      </c>
      <c r="C189" s="186">
        <f t="shared" si="748"/>
        <v>-8304.3744371822686</v>
      </c>
      <c r="D189" s="186">
        <f t="shared" si="748"/>
        <v>9547.9132475412334</v>
      </c>
      <c r="E189" s="186">
        <f t="shared" si="748"/>
        <v>4026.5022183278052</v>
      </c>
      <c r="F189" s="186">
        <f t="shared" si="748"/>
        <v>598.66738146317221</v>
      </c>
      <c r="G189" s="186">
        <f t="shared" si="748"/>
        <v>298.66382309393339</v>
      </c>
      <c r="H189" s="186">
        <f t="shared" si="748"/>
        <v>-2374.639133996141</v>
      </c>
      <c r="I189" s="186">
        <f t="shared" si="748"/>
        <v>-5066.5721928603016</v>
      </c>
      <c r="J189" s="186">
        <f t="shared" si="748"/>
        <v>-5436.2996858459665</v>
      </c>
      <c r="K189" s="186">
        <f t="shared" si="748"/>
        <v>-5801.4288155342219</v>
      </c>
      <c r="L189" s="186">
        <f t="shared" si="748"/>
        <v>-6187.9648916492588</v>
      </c>
      <c r="M189" s="186">
        <f t="shared" si="748"/>
        <v>-6610.208618114586</v>
      </c>
      <c r="N189" s="186">
        <f t="shared" si="748"/>
        <v>-6082.679889115796</v>
      </c>
      <c r="O189" s="186">
        <f t="shared" si="748"/>
        <v>-244390.84940082196</v>
      </c>
      <c r="P189" s="186">
        <f t="shared" si="748"/>
        <v>-268707.13688555476</v>
      </c>
      <c r="Q189" s="186">
        <f t="shared" si="748"/>
        <v>-227000.8325020023</v>
      </c>
      <c r="R189" s="186">
        <f t="shared" si="748"/>
        <v>-195430.85101641659</v>
      </c>
      <c r="S189" s="186">
        <f t="shared" si="748"/>
        <v>-250221.63673840955</v>
      </c>
      <c r="T189" s="186">
        <f t="shared" si="748"/>
        <v>-285839.55721995869</v>
      </c>
      <c r="U189" s="186">
        <f t="shared" si="748"/>
        <v>-291098.7622178325</v>
      </c>
      <c r="V189" s="186">
        <f t="shared" si="748"/>
        <v>-314942.08089979173</v>
      </c>
      <c r="W189" s="186">
        <f t="shared" si="748"/>
        <v>-338846.31563439616</v>
      </c>
      <c r="X189" s="186">
        <f t="shared" si="748"/>
        <v>-345165.28276252234</v>
      </c>
      <c r="Y189" s="186">
        <f t="shared" si="748"/>
        <v>-352015.31783662428</v>
      </c>
      <c r="Z189" s="186">
        <f t="shared" si="748"/>
        <v>-324376.9486413587</v>
      </c>
      <c r="AA189" s="186">
        <f t="shared" si="748"/>
        <v>-306680.05982104287</v>
      </c>
      <c r="AB189" s="186">
        <f t="shared" si="748"/>
        <v>-334631.67948409042</v>
      </c>
      <c r="AC189" s="186">
        <f t="shared" si="748"/>
        <v>-352516.14717240422</v>
      </c>
      <c r="AD189" s="186">
        <f t="shared" si="748"/>
        <v>-357396.69464034593</v>
      </c>
      <c r="AE189" s="186">
        <f t="shared" si="748"/>
        <v>-374044.23062098457</v>
      </c>
      <c r="AF189" s="186">
        <f t="shared" si="748"/>
        <v>-505045.04911372456</v>
      </c>
      <c r="AG189" s="186">
        <f t="shared" si="748"/>
        <v>0</v>
      </c>
      <c r="AH189" s="186">
        <f t="shared" si="748"/>
        <v>0</v>
      </c>
      <c r="AI189" s="186">
        <f t="shared" si="748"/>
        <v>0</v>
      </c>
      <c r="AJ189" s="186">
        <f t="shared" si="748"/>
        <v>0</v>
      </c>
      <c r="AK189" s="186">
        <f t="shared" si="748"/>
        <v>0</v>
      </c>
      <c r="AL189" s="186">
        <f t="shared" si="748"/>
        <v>0</v>
      </c>
      <c r="AM189" s="186">
        <f t="shared" si="748"/>
        <v>0</v>
      </c>
      <c r="AN189" s="186">
        <f t="shared" si="748"/>
        <v>0</v>
      </c>
      <c r="AO189" s="186">
        <f t="shared" si="748"/>
        <v>0</v>
      </c>
      <c r="AP189" s="186">
        <f t="shared" si="748"/>
        <v>0</v>
      </c>
    </row>
    <row r="190" spans="1:42">
      <c r="A190" s="184" t="s">
        <v>36</v>
      </c>
      <c r="B190" s="187">
        <f t="shared" ref="B190:AP190" si="749">B108-B147</f>
        <v>0</v>
      </c>
      <c r="C190" s="187">
        <f t="shared" si="749"/>
        <v>-38987.196074034087</v>
      </c>
      <c r="D190" s="187">
        <f t="shared" si="749"/>
        <v>52994.761494796257</v>
      </c>
      <c r="E190" s="187">
        <f t="shared" si="749"/>
        <v>21560.170073920628</v>
      </c>
      <c r="F190" s="187">
        <f t="shared" si="749"/>
        <v>2007.9178842031833</v>
      </c>
      <c r="G190" s="187">
        <f t="shared" si="749"/>
        <v>203.80557637363563</v>
      </c>
      <c r="H190" s="187">
        <f t="shared" si="749"/>
        <v>-15076.341272056452</v>
      </c>
      <c r="I190" s="187">
        <f t="shared" si="749"/>
        <v>-30468.522777973674</v>
      </c>
      <c r="J190" s="187">
        <f t="shared" si="749"/>
        <v>-32691.929474428296</v>
      </c>
      <c r="K190" s="187">
        <f t="shared" si="749"/>
        <v>-34887.683286144398</v>
      </c>
      <c r="L190" s="187">
        <f t="shared" si="749"/>
        <v>-37212.170689327177</v>
      </c>
      <c r="M190" s="187">
        <f t="shared" si="749"/>
        <v>-39751.390917116543</v>
      </c>
      <c r="N190" s="187">
        <f t="shared" si="749"/>
        <v>-36579.024969546124</v>
      </c>
      <c r="O190" s="187">
        <f t="shared" si="749"/>
        <v>-1469677.6988967611</v>
      </c>
      <c r="P190" s="187">
        <f t="shared" si="749"/>
        <v>-1615907.0095435858</v>
      </c>
      <c r="Q190" s="187">
        <f t="shared" si="749"/>
        <v>-1365100.4609097682</v>
      </c>
      <c r="R190" s="187">
        <f t="shared" si="749"/>
        <v>-1175250.0722487234</v>
      </c>
      <c r="S190" s="187">
        <f t="shared" si="749"/>
        <v>-1504741.9336587084</v>
      </c>
      <c r="T190" s="187">
        <f t="shared" si="749"/>
        <v>-1718935.1554636604</v>
      </c>
      <c r="U190" s="187">
        <f t="shared" si="749"/>
        <v>-1750562.1018826927</v>
      </c>
      <c r="V190" s="187">
        <f t="shared" si="749"/>
        <v>-1893947.1501382932</v>
      </c>
      <c r="W190" s="187">
        <f t="shared" si="749"/>
        <v>-2037698.5253832093</v>
      </c>
      <c r="X190" s="187">
        <f t="shared" si="749"/>
        <v>-2075698.4958855323</v>
      </c>
      <c r="Y190" s="187">
        <f t="shared" si="749"/>
        <v>-2116892.1158993356</v>
      </c>
      <c r="Z190" s="187">
        <f t="shared" si="749"/>
        <v>-1950685.0138750798</v>
      </c>
      <c r="AA190" s="187">
        <f t="shared" si="749"/>
        <v>-1844262.3597419986</v>
      </c>
      <c r="AB190" s="187">
        <f t="shared" si="749"/>
        <v>-2012353.2361702342</v>
      </c>
      <c r="AC190" s="187">
        <f t="shared" si="749"/>
        <v>-2119903.9214049578</v>
      </c>
      <c r="AD190" s="187">
        <f t="shared" si="749"/>
        <v>-2149253.7591326255</v>
      </c>
      <c r="AE190" s="187">
        <f t="shared" si="749"/>
        <v>-2249365.9868707387</v>
      </c>
      <c r="AF190" s="187">
        <f t="shared" si="749"/>
        <v>-3037157.2726248065</v>
      </c>
      <c r="AG190" s="187">
        <f t="shared" si="749"/>
        <v>0</v>
      </c>
      <c r="AH190" s="187">
        <f t="shared" si="749"/>
        <v>0</v>
      </c>
      <c r="AI190" s="187">
        <f t="shared" si="749"/>
        <v>0</v>
      </c>
      <c r="AJ190" s="187">
        <f t="shared" si="749"/>
        <v>0</v>
      </c>
      <c r="AK190" s="187">
        <f t="shared" si="749"/>
        <v>0</v>
      </c>
      <c r="AL190" s="187">
        <f t="shared" si="749"/>
        <v>0</v>
      </c>
      <c r="AM190" s="187">
        <f t="shared" si="749"/>
        <v>0</v>
      </c>
      <c r="AN190" s="187">
        <f t="shared" si="749"/>
        <v>0</v>
      </c>
      <c r="AO190" s="187">
        <f t="shared" si="749"/>
        <v>0</v>
      </c>
      <c r="AP190" s="187">
        <f t="shared" si="749"/>
        <v>0</v>
      </c>
    </row>
    <row r="191" spans="1:42">
      <c r="A191" s="184" t="s">
        <v>53</v>
      </c>
      <c r="B191" s="194">
        <f>SUM(B189:B190)</f>
        <v>0</v>
      </c>
      <c r="C191" s="194">
        <f>SUM(C189:C190)</f>
        <v>-47291.570511216356</v>
      </c>
      <c r="D191" s="194">
        <f>SUM(D189:D190)</f>
        <v>62542.674742337491</v>
      </c>
      <c r="E191" s="194">
        <f t="shared" ref="E191" si="750">SUM(E189:E190)</f>
        <v>25586.672292248433</v>
      </c>
      <c r="F191" s="194">
        <f t="shared" ref="F191" si="751">SUM(F189:F190)</f>
        <v>2606.5852656663556</v>
      </c>
      <c r="G191" s="194">
        <f t="shared" ref="G191" si="752">SUM(G189:G190)</f>
        <v>502.46939946756902</v>
      </c>
      <c r="H191" s="194">
        <f t="shared" ref="H191" si="753">SUM(H189:H190)</f>
        <v>-17450.980406052593</v>
      </c>
      <c r="I191" s="194">
        <f t="shared" ref="I191" si="754">SUM(I189:I190)</f>
        <v>-35535.094970833976</v>
      </c>
      <c r="J191" s="194">
        <f t="shared" ref="J191" si="755">SUM(J189:J190)</f>
        <v>-38128.229160274263</v>
      </c>
      <c r="K191" s="194">
        <f t="shared" ref="K191" si="756">SUM(K189:K190)</f>
        <v>-40689.11210167862</v>
      </c>
      <c r="L191" s="194">
        <f t="shared" ref="L191" si="757">SUM(L189:L190)</f>
        <v>-43400.135580976435</v>
      </c>
      <c r="M191" s="194">
        <f t="shared" ref="M191" si="758">SUM(M189:M190)</f>
        <v>-46361.599535231129</v>
      </c>
      <c r="N191" s="194">
        <f t="shared" ref="N191" si="759">SUM(N189:N190)</f>
        <v>-42661.70485866192</v>
      </c>
      <c r="O191" s="194">
        <f t="shared" ref="O191" si="760">SUM(O189:O190)</f>
        <v>-1714068.5482975831</v>
      </c>
      <c r="P191" s="194">
        <f t="shared" ref="P191" si="761">SUM(P189:P190)</f>
        <v>-1884614.1464291406</v>
      </c>
      <c r="Q191" s="194">
        <f t="shared" ref="Q191" si="762">SUM(Q189:Q190)</f>
        <v>-1592101.2934117706</v>
      </c>
      <c r="R191" s="194">
        <f t="shared" ref="R191" si="763">SUM(R189:R190)</f>
        <v>-1370680.92326514</v>
      </c>
      <c r="S191" s="194">
        <f t="shared" ref="S191" si="764">SUM(S189:S190)</f>
        <v>-1754963.5703971179</v>
      </c>
      <c r="T191" s="194">
        <f t="shared" ref="T191" si="765">SUM(T189:T190)</f>
        <v>-2004774.712683619</v>
      </c>
      <c r="U191" s="194">
        <f t="shared" ref="U191" si="766">SUM(U189:U190)</f>
        <v>-2041660.8641005252</v>
      </c>
      <c r="V191" s="194">
        <f t="shared" ref="V191" si="767">SUM(V189:V190)</f>
        <v>-2208889.2310380847</v>
      </c>
      <c r="W191" s="194">
        <f t="shared" ref="W191" si="768">SUM(W189:W190)</f>
        <v>-2376544.8410176057</v>
      </c>
      <c r="X191" s="194">
        <f t="shared" ref="X191" si="769">SUM(X189:X190)</f>
        <v>-2420863.7786480547</v>
      </c>
      <c r="Y191" s="194">
        <f t="shared" ref="Y191" si="770">SUM(Y189:Y190)</f>
        <v>-2468907.4337359597</v>
      </c>
      <c r="Z191" s="194">
        <f t="shared" ref="Z191" si="771">SUM(Z189:Z190)</f>
        <v>-2275061.9625164387</v>
      </c>
      <c r="AA191" s="194">
        <f t="shared" ref="AA191" si="772">SUM(AA189:AA190)</f>
        <v>-2150942.4195630415</v>
      </c>
      <c r="AB191" s="194">
        <f t="shared" ref="AB191" si="773">SUM(AB189:AB190)</f>
        <v>-2346984.9156543245</v>
      </c>
      <c r="AC191" s="194">
        <f t="shared" ref="AC191" si="774">SUM(AC189:AC190)</f>
        <v>-2472420.0685773622</v>
      </c>
      <c r="AD191" s="194">
        <f t="shared" ref="AD191" si="775">SUM(AD189:AD190)</f>
        <v>-2506650.4537729714</v>
      </c>
      <c r="AE191" s="194">
        <f t="shared" ref="AE191" si="776">SUM(AE189:AE190)</f>
        <v>-2623410.2174917231</v>
      </c>
      <c r="AF191" s="194">
        <f t="shared" ref="AF191" si="777">SUM(AF189:AF190)</f>
        <v>-3542202.3217385309</v>
      </c>
      <c r="AG191" s="194">
        <f t="shared" ref="AG191" si="778">SUM(AG189:AG190)</f>
        <v>0</v>
      </c>
      <c r="AH191" s="194">
        <f t="shared" ref="AH191" si="779">SUM(AH189:AH190)</f>
        <v>0</v>
      </c>
      <c r="AI191" s="194">
        <f t="shared" ref="AI191" si="780">SUM(AI189:AI190)</f>
        <v>0</v>
      </c>
      <c r="AJ191" s="194">
        <f t="shared" ref="AJ191" si="781">SUM(AJ189:AJ190)</f>
        <v>0</v>
      </c>
      <c r="AK191" s="194">
        <f t="shared" ref="AK191" si="782">SUM(AK189:AK190)</f>
        <v>0</v>
      </c>
      <c r="AL191" s="194">
        <f t="shared" ref="AL191" si="783">SUM(AL189:AL190)</f>
        <v>0</v>
      </c>
      <c r="AM191" s="194">
        <f t="shared" ref="AM191" si="784">SUM(AM189:AM190)</f>
        <v>0</v>
      </c>
      <c r="AN191" s="194">
        <f t="shared" ref="AN191" si="785">SUM(AN189:AN190)</f>
        <v>0</v>
      </c>
      <c r="AO191" s="194">
        <f t="shared" ref="AO191" si="786">SUM(AO189:AO190)</f>
        <v>0</v>
      </c>
      <c r="AP191" s="194">
        <f t="shared" ref="AP191" si="787">SUM(AP189:AP190)</f>
        <v>0</v>
      </c>
    </row>
    <row r="192" spans="1:42">
      <c r="A192" s="180" t="s">
        <v>53</v>
      </c>
      <c r="B192" s="152">
        <f>B175+B179+B183+B187+B191</f>
        <v>1013595.14049704</v>
      </c>
      <c r="C192" s="152">
        <f t="shared" ref="C192:AP192" si="788">C175+C179+C183+C187+C191</f>
        <v>-482669.44396880403</v>
      </c>
      <c r="D192" s="152">
        <f t="shared" si="788"/>
        <v>92962.107567065803</v>
      </c>
      <c r="E192" s="152">
        <f t="shared" si="788"/>
        <v>56892.820845966082</v>
      </c>
      <c r="F192" s="152">
        <f t="shared" si="788"/>
        <v>34739.58930974418</v>
      </c>
      <c r="G192" s="152">
        <f t="shared" si="788"/>
        <v>33527.896785791258</v>
      </c>
      <c r="H192" s="152">
        <f t="shared" si="788"/>
        <v>16485.779413958851</v>
      </c>
      <c r="I192" s="152">
        <f t="shared" si="788"/>
        <v>-749.61836661049165</v>
      </c>
      <c r="J192" s="152">
        <f t="shared" si="788"/>
        <v>-2425.4944442376727</v>
      </c>
      <c r="K192" s="152">
        <f t="shared" si="788"/>
        <v>-4049.3684781264747</v>
      </c>
      <c r="L192" s="152">
        <f t="shared" si="788"/>
        <v>30275.366527618433</v>
      </c>
      <c r="M192" s="152">
        <f t="shared" si="788"/>
        <v>64493.356433233595</v>
      </c>
      <c r="N192" s="152">
        <f t="shared" si="788"/>
        <v>70551.352424126759</v>
      </c>
      <c r="O192" s="152">
        <f t="shared" si="788"/>
        <v>3110936.4316678671</v>
      </c>
      <c r="P192" s="152">
        <f t="shared" si="788"/>
        <v>3043601.4859853401</v>
      </c>
      <c r="Q192" s="152">
        <f t="shared" si="788"/>
        <v>3440474.0515653398</v>
      </c>
      <c r="R192" s="152">
        <f t="shared" si="788"/>
        <v>3585050.7391253044</v>
      </c>
      <c r="S192" s="152">
        <f t="shared" si="788"/>
        <v>3309030.7188681075</v>
      </c>
      <c r="T192" s="152">
        <f t="shared" si="788"/>
        <v>3168680.3165725479</v>
      </c>
      <c r="U192" s="152">
        <f t="shared" si="788"/>
        <v>3238886.8991051279</v>
      </c>
      <c r="V192" s="152">
        <f t="shared" si="788"/>
        <v>3183595.2771628867</v>
      </c>
      <c r="W192" s="152">
        <f t="shared" si="788"/>
        <v>3129125.586468284</v>
      </c>
      <c r="X192" s="152">
        <f t="shared" si="788"/>
        <v>3183331.3639015178</v>
      </c>
      <c r="Y192" s="152">
        <f t="shared" si="788"/>
        <v>3238873.8710588119</v>
      </c>
      <c r="Z192" s="152">
        <f t="shared" si="788"/>
        <v>3537607.8240429214</v>
      </c>
      <c r="AA192" s="152">
        <f t="shared" si="788"/>
        <v>3961044.7438515783</v>
      </c>
      <c r="AB192" s="152">
        <f t="shared" si="788"/>
        <v>3868217.5827530497</v>
      </c>
      <c r="AC192" s="152">
        <f t="shared" si="788"/>
        <v>3847355.3918929761</v>
      </c>
      <c r="AD192" s="152">
        <f t="shared" si="788"/>
        <v>3914977.859584216</v>
      </c>
      <c r="AE192" s="152">
        <f t="shared" si="788"/>
        <v>3905596.710233009</v>
      </c>
      <c r="AF192" s="152">
        <f t="shared" si="788"/>
        <v>6642406.1479732739</v>
      </c>
      <c r="AG192" s="152">
        <f t="shared" si="788"/>
        <v>0</v>
      </c>
      <c r="AH192" s="152">
        <f t="shared" si="788"/>
        <v>0</v>
      </c>
      <c r="AI192" s="152">
        <f t="shared" si="788"/>
        <v>0</v>
      </c>
      <c r="AJ192" s="152">
        <f t="shared" si="788"/>
        <v>0</v>
      </c>
      <c r="AK192" s="152">
        <f t="shared" si="788"/>
        <v>0</v>
      </c>
      <c r="AL192" s="152">
        <f t="shared" si="788"/>
        <v>0</v>
      </c>
      <c r="AM192" s="152">
        <f t="shared" si="788"/>
        <v>0</v>
      </c>
      <c r="AN192" s="152">
        <f t="shared" si="788"/>
        <v>0</v>
      </c>
      <c r="AO192" s="152">
        <f t="shared" si="788"/>
        <v>0</v>
      </c>
      <c r="AP192" s="152">
        <f t="shared" si="788"/>
        <v>0</v>
      </c>
    </row>
    <row r="193" spans="1:42">
      <c r="A193" s="184"/>
      <c r="B193" s="152"/>
      <c r="C193" s="152"/>
      <c r="D193" s="152"/>
      <c r="E193" s="152"/>
      <c r="F193" s="152"/>
      <c r="G193" s="152"/>
      <c r="H193" s="152"/>
      <c r="I193" s="152"/>
      <c r="J193" s="152"/>
      <c r="K193" s="152"/>
      <c r="L193" s="152"/>
      <c r="M193" s="152"/>
      <c r="N193" s="152"/>
      <c r="O193" s="152"/>
      <c r="P193" s="152"/>
      <c r="Q193" s="152"/>
      <c r="R193" s="152"/>
      <c r="S193" s="152"/>
      <c r="T193" s="152"/>
      <c r="U193" s="152"/>
      <c r="V193" s="152"/>
      <c r="W193" s="152"/>
      <c r="X193" s="152"/>
      <c r="Y193" s="152"/>
      <c r="Z193" s="152"/>
      <c r="AA193" s="152"/>
      <c r="AB193" s="152"/>
      <c r="AC193" s="152"/>
      <c r="AD193" s="152"/>
      <c r="AE193" s="152"/>
      <c r="AF193" s="152"/>
      <c r="AG193" s="152"/>
      <c r="AH193" s="152"/>
      <c r="AI193" s="152"/>
      <c r="AJ193" s="152"/>
      <c r="AK193" s="152"/>
      <c r="AL193" s="152"/>
      <c r="AM193" s="152"/>
      <c r="AN193" s="152"/>
      <c r="AO193" s="152"/>
      <c r="AP193" s="152"/>
    </row>
    <row r="194" spans="1:42" s="118" customFormat="1">
      <c r="A194" s="180" t="s">
        <v>401</v>
      </c>
      <c r="B194" s="268" t="str">
        <f>IF(ISERROR(IRR($B192:B192)),"N/A",ROUND(IRR($B192:B192),4))</f>
        <v>N/A</v>
      </c>
      <c r="C194" s="268" t="str">
        <f>IF(ISERROR(IRR($B192:C192)),"N/A",ROUND(IRR($B192:C192),4))</f>
        <v>N/A</v>
      </c>
      <c r="D194" s="268" t="str">
        <f>IF(ISERROR(IRR($B192:D192)),"N/A",ROUND(IRR($B192:D192),4))</f>
        <v>N/A</v>
      </c>
      <c r="E194" s="268" t="str">
        <f>IF(ISERROR(IRR($B192:E192)),"N/A",ROUND(IRR($B192:E192),4))</f>
        <v>N/A</v>
      </c>
      <c r="F194" s="268" t="str">
        <f>IF(ISERROR(IRR($B192:F192)),"N/A",ROUND(IRR($B192:F192),4))</f>
        <v>N/A</v>
      </c>
      <c r="G194" s="268" t="str">
        <f>IF(ISERROR(IRR($B192:G192)),"N/A",ROUND(IRR($B192:G192),4))</f>
        <v>N/A</v>
      </c>
      <c r="H194" s="268" t="str">
        <f>IF(ISERROR(IRR($B192:H192)),"N/A",ROUND(IRR($B192:H192),4))</f>
        <v>N/A</v>
      </c>
      <c r="I194" s="268" t="str">
        <f>IF(ISERROR(IRR($B192:I192)),"N/A",ROUND(IRR($B192:I192),4))</f>
        <v>N/A</v>
      </c>
      <c r="J194" s="268" t="str">
        <f>IF(ISERROR(IRR($B192:J192)),"N/A",ROUND(IRR($B192:J192),4))</f>
        <v>N/A</v>
      </c>
      <c r="K194" s="268" t="str">
        <f>IF(ISERROR(IRR($B192:K192)),"N/A",ROUND(IRR($B192:K192),4))</f>
        <v>N/A</v>
      </c>
      <c r="L194" s="268" t="str">
        <f>IF(ISERROR(IRR($B192:L192)),"N/A",ROUND(IRR($B192:L192),4))</f>
        <v>N/A</v>
      </c>
      <c r="M194" s="268" t="str">
        <f>IF(ISERROR(IRR($B192:M192)),"N/A",ROUND(IRR($B192:M192),4))</f>
        <v>N/A</v>
      </c>
      <c r="N194" s="268" t="str">
        <f>IF(ISERROR(IRR($B192:N192)),"N/A",ROUND(IRR($B192:N192),4))</f>
        <v>N/A</v>
      </c>
      <c r="O194" s="268" t="str">
        <f>IF(ISERROR(IRR($B192:O192)),"N/A",ROUND(IRR($B192:O192),4))</f>
        <v>N/A</v>
      </c>
      <c r="P194" s="268" t="str">
        <f>IF(ISERROR(IRR($B192:P192)),"N/A",ROUND(IRR($B192:P192),4))</f>
        <v>N/A</v>
      </c>
      <c r="Q194" s="268" t="str">
        <f>IF(ISERROR(IRR($B192:Q192)),"N/A",ROUND(IRR($B192:Q192),4))</f>
        <v>N/A</v>
      </c>
      <c r="R194" s="268" t="str">
        <f>IF(ISERROR(IRR($B192:R192)),"N/A",ROUND(IRR($B192:R192),4))</f>
        <v>N/A</v>
      </c>
      <c r="S194" s="268" t="str">
        <f>IF(ISERROR(IRR($B192:S192)),"N/A",ROUND(IRR($B192:S192),4))</f>
        <v>N/A</v>
      </c>
      <c r="T194" s="268" t="str">
        <f>IF(ISERROR(IRR($B192:T192)),"N/A",ROUND(IRR($B192:T192),4))</f>
        <v>N/A</v>
      </c>
      <c r="U194" s="268" t="str">
        <f>IF(ISERROR(IRR($B192:U192)),"N/A",ROUND(IRR($B192:U192),4))</f>
        <v>N/A</v>
      </c>
      <c r="V194" s="268" t="str">
        <f>IF(ISERROR(IRR($B192:V192)),"N/A",ROUND(IRR($B192:V192),4))</f>
        <v>N/A</v>
      </c>
      <c r="W194" s="268" t="str">
        <f>IF(ISERROR(IRR($B192:W192)),"N/A",ROUND(IRR($B192:W192),4))</f>
        <v>N/A</v>
      </c>
      <c r="X194" s="268" t="str">
        <f>IF(ISERROR(IRR($B192:X192)),"N/A",ROUND(IRR($B192:X192),4))</f>
        <v>N/A</v>
      </c>
      <c r="Y194" s="268" t="str">
        <f>IF(ISERROR(IRR($B192:Y192)),"N/A",ROUND(IRR($B192:Y192),4))</f>
        <v>N/A</v>
      </c>
      <c r="Z194" s="268" t="str">
        <f>IF(ISERROR(IRR($B192:Z192)),"N/A",ROUND(IRR($B192:Z192),4))</f>
        <v>N/A</v>
      </c>
      <c r="AA194" s="268" t="str">
        <f>IF(ISERROR(IRR($B192:AA192)),"N/A",ROUND(IRR($B192:AA192),4))</f>
        <v>N/A</v>
      </c>
      <c r="AB194" s="268" t="str">
        <f>IF(ISERROR(IRR($B192:AB192)),"N/A",ROUND(IRR($B192:AB192),4))</f>
        <v>N/A</v>
      </c>
      <c r="AC194" s="268" t="str">
        <f>IF(ISERROR(IRR($B192:AC192)),"N/A",ROUND(IRR($B192:AC192),4))</f>
        <v>N/A</v>
      </c>
      <c r="AD194" s="268" t="str">
        <f>IF(ISERROR(IRR($B192:AD192)),"N/A",ROUND(IRR($B192:AD192),4))</f>
        <v>N/A</v>
      </c>
      <c r="AE194" s="268" t="str">
        <f>IF(ISERROR(IRR($B192:AE192)),"N/A",ROUND(IRR($B192:AE192),4))</f>
        <v>N/A</v>
      </c>
      <c r="AF194" s="268" t="str">
        <f>IF(ISERROR(IRR($B192:AF192)),"N/A",ROUND(IRR($B192:AF192),4))</f>
        <v>N/A</v>
      </c>
      <c r="AG194" s="268" t="str">
        <f>IF(ISERROR(IRR($B192:AG192)),"N/A",ROUND(IRR($B192:AG192),4))</f>
        <v>N/A</v>
      </c>
      <c r="AH194" s="268" t="str">
        <f>IF(ISERROR(IRR($B192:AH192)),"N/A",ROUND(IRR($B192:AH192),4))</f>
        <v>N/A</v>
      </c>
      <c r="AI194" s="268" t="str">
        <f>IF(ISERROR(IRR($B192:AI192)),"N/A",ROUND(IRR($B192:AI192),4))</f>
        <v>N/A</v>
      </c>
      <c r="AJ194" s="268" t="str">
        <f>IF(ISERROR(IRR($B192:AJ192)),"N/A",ROUND(IRR($B192:AJ192),4))</f>
        <v>N/A</v>
      </c>
      <c r="AK194" s="268" t="str">
        <f>IF(ISERROR(IRR($B192:AK192)),"N/A",ROUND(IRR($B192:AK192),4))</f>
        <v>N/A</v>
      </c>
      <c r="AL194" s="268" t="str">
        <f>IF(ISERROR(IRR($B192:AL192)),"N/A",ROUND(IRR($B192:AL192),4))</f>
        <v>N/A</v>
      </c>
      <c r="AM194" s="268" t="str">
        <f>IF(ISERROR(IRR($B192:AM192)),"N/A",ROUND(IRR($B192:AM192),4))</f>
        <v>N/A</v>
      </c>
      <c r="AN194" s="268" t="str">
        <f>IF(ISERROR(IRR($B192:AN192)),"N/A",ROUND(IRR($B192:AN192),4))</f>
        <v>N/A</v>
      </c>
      <c r="AO194" s="268" t="str">
        <f>IF(ISERROR(IRR($B192:AO192)),"N/A",ROUND(IRR($B192:AO192),4))</f>
        <v>N/A</v>
      </c>
      <c r="AP194" s="268" t="str">
        <f>IF(ISERROR(IRR($B192:AP192)),"N/A",ROUND(IRR($B192:AP192),4))</f>
        <v>N/A</v>
      </c>
    </row>
    <row r="195" spans="1:42" s="118" customFormat="1">
      <c r="A195" s="267" t="s">
        <v>402</v>
      </c>
      <c r="B195" s="269">
        <f>B192</f>
        <v>1013595.14049704</v>
      </c>
      <c r="C195" s="269">
        <f>NPV(DiscountRate,$C192:C192)+$B192</f>
        <v>566678.98867407336</v>
      </c>
      <c r="D195" s="269">
        <f>NPV(DiscountRate,$C192:D192)+$B192</f>
        <v>646379.01230838895</v>
      </c>
      <c r="E195" s="269">
        <f>NPV(DiscountRate,$C192:E192)+$B192</f>
        <v>691542.36777850124</v>
      </c>
      <c r="F195" s="269">
        <f>NPV(DiscountRate,$C192:F192)+$B192</f>
        <v>717077.00299505168</v>
      </c>
      <c r="G195" s="269">
        <f>NPV(DiscountRate,$C192:G192)+$B192</f>
        <v>739895.52617934323</v>
      </c>
      <c r="H195" s="269">
        <f>NPV(DiscountRate,$C192:H192)+$B192</f>
        <v>750284.36364151491</v>
      </c>
      <c r="I195" s="269">
        <f>NPV(DiscountRate,$C192:I192)+$B192</f>
        <v>749846.96852448559</v>
      </c>
      <c r="J195" s="269">
        <f>NPV(DiscountRate,$C192:J192)+$B192</f>
        <v>748536.54934673151</v>
      </c>
      <c r="K195" s="269">
        <f>NPV(DiscountRate,$C192:K192)+$B192</f>
        <v>746510.85694801412</v>
      </c>
      <c r="L195" s="269">
        <f>NPV(DiscountRate,$C192:L192)+$B192</f>
        <v>760534.20957298391</v>
      </c>
      <c r="M195" s="269">
        <f>NPV(DiscountRate,$C192:M192)+$B192</f>
        <v>788194.30468835263</v>
      </c>
      <c r="N195" s="269">
        <f>NPV(DiscountRate,$C192:N192)+$B192</f>
        <v>816211.21742705558</v>
      </c>
      <c r="O195" s="269">
        <f>NPV(DiscountRate,$C192:O192)+$B192</f>
        <v>1960096.0871385133</v>
      </c>
      <c r="P195" s="269">
        <f>NPV(DiscountRate,$C192:P192)+$B192</f>
        <v>2996323.8185515469</v>
      </c>
      <c r="Q195" s="269">
        <f>NPV(DiscountRate,$C192:Q192)+$B192</f>
        <v>4080904.7244579075</v>
      </c>
      <c r="R195" s="269">
        <f>NPV(DiscountRate,$C192:R192)+$B192</f>
        <v>5127346.8609311339</v>
      </c>
      <c r="S195" s="269">
        <f>NPV(DiscountRate,$C192:S192)+$B192</f>
        <v>6021675.1236201655</v>
      </c>
      <c r="T195" s="269">
        <f>NPV(DiscountRate,$C192:T192)+$B192</f>
        <v>6814634.2964217151</v>
      </c>
      <c r="U195" s="269">
        <f>NPV(DiscountRate,$C192:U192)+$B192</f>
        <v>7565123.4648642028</v>
      </c>
      <c r="V195" s="269">
        <f>NPV(DiscountRate,$C192:V192)+$B192</f>
        <v>8248158.1246795198</v>
      </c>
      <c r="W195" s="269">
        <f>NPV(DiscountRate,$C192:W192)+$B192</f>
        <v>8869776.9073822387</v>
      </c>
      <c r="X195" s="269">
        <f>NPV(DiscountRate,$C192:X192)+$B192</f>
        <v>9455320.492514424</v>
      </c>
      <c r="Y195" s="269">
        <f>NPV(DiscountRate,$C192:Y192)+$B192</f>
        <v>10006950.216644626</v>
      </c>
      <c r="Z195" s="269">
        <f>NPV(DiscountRate,$C192:Z192)+$B192</f>
        <v>10564828.626144527</v>
      </c>
      <c r="AA195" s="269">
        <f>NPV(DiscountRate,$C192:AA192)+$B192</f>
        <v>11143212.080908041</v>
      </c>
      <c r="AB195" s="269">
        <f>NPV(DiscountRate,$C192:AB192)+$B192</f>
        <v>11666201.920890352</v>
      </c>
      <c r="AC195" s="269">
        <f>NPV(DiscountRate,$C192:AC192)+$B192</f>
        <v>12147840.101428429</v>
      </c>
      <c r="AD195" s="269">
        <f>NPV(DiscountRate,$C192:AD192)+$B192</f>
        <v>12601639.751536494</v>
      </c>
      <c r="AE195" s="269">
        <f>NPV(DiscountRate,$C192:AE192)+$B192</f>
        <v>13020817.757260988</v>
      </c>
      <c r="AF195" s="269">
        <f>NPV(DiscountRate,$C192:AF192)+$B192</f>
        <v>13680922.361958969</v>
      </c>
      <c r="AG195" s="269">
        <f>NPV(DiscountRate,$C192:AG192)+$B192</f>
        <v>13680922.361958969</v>
      </c>
      <c r="AH195" s="269">
        <f>NPV(DiscountRate,$C192:AH192)+$B192</f>
        <v>13680922.361958969</v>
      </c>
      <c r="AI195" s="269">
        <f>NPV(DiscountRate,$C192:AI192)+$B192</f>
        <v>13680922.361958969</v>
      </c>
      <c r="AJ195" s="269">
        <f>NPV(DiscountRate,$C192:AJ192)+$B192</f>
        <v>13680922.361958969</v>
      </c>
      <c r="AK195" s="269">
        <f>NPV(DiscountRate,$C192:AK192)+$B192</f>
        <v>13680922.361958969</v>
      </c>
      <c r="AL195" s="269">
        <f>NPV(DiscountRate,$C192:AL192)+$B192</f>
        <v>13680922.361958969</v>
      </c>
      <c r="AM195" s="269">
        <f>NPV(DiscountRate,$C192:AM192)+$B192</f>
        <v>13680922.361958969</v>
      </c>
      <c r="AN195" s="269">
        <f>NPV(DiscountRate,$C192:AN192)+$B192</f>
        <v>13680922.361958969</v>
      </c>
      <c r="AO195" s="269">
        <f>NPV(DiscountRate,$C192:AO192)+$B192</f>
        <v>13680922.361958969</v>
      </c>
      <c r="AP195" s="269">
        <f>NPV(DiscountRate,$C192:AP192)+$B192</f>
        <v>13680922.361958969</v>
      </c>
    </row>
    <row r="196" spans="1:42" s="118" customFormat="1">
      <c r="A196" s="257"/>
      <c r="B196" s="198"/>
      <c r="C196" s="198"/>
      <c r="D196" s="198"/>
      <c r="E196" s="198"/>
      <c r="F196" s="198"/>
      <c r="G196" s="141"/>
      <c r="H196" s="141"/>
      <c r="I196" s="141"/>
      <c r="J196" s="141"/>
      <c r="K196" s="141"/>
      <c r="L196" s="141"/>
      <c r="M196" s="141"/>
      <c r="N196" s="141"/>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141"/>
      <c r="AK196" s="141"/>
      <c r="AL196" s="141"/>
      <c r="AM196" s="141"/>
      <c r="AN196" s="141"/>
      <c r="AO196" s="141"/>
      <c r="AP196" s="141"/>
    </row>
    <row r="197" spans="1:42">
      <c r="A197" s="180" t="s">
        <v>238</v>
      </c>
      <c r="B197" s="265" t="str">
        <f>IF(ISERROR(IRR(B192:AP192)),"N/A",IRR(B192:AP192))</f>
        <v>N/A</v>
      </c>
      <c r="C197" s="152"/>
      <c r="D197" s="152"/>
      <c r="E197" s="152"/>
      <c r="F197" s="152"/>
      <c r="G197" s="186"/>
      <c r="H197" s="186"/>
      <c r="I197" s="186"/>
      <c r="J197" s="186"/>
      <c r="K197" s="186"/>
      <c r="L197" s="186"/>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row>
    <row r="198" spans="1:42">
      <c r="A198" s="180" t="s">
        <v>217</v>
      </c>
      <c r="B198" s="196">
        <f>NPV(DiscountRate,$C192:$AP192)+B192</f>
        <v>13680922.361958969</v>
      </c>
      <c r="C198" s="152"/>
      <c r="D198" s="152"/>
      <c r="E198" s="152"/>
      <c r="F198" s="152"/>
      <c r="G198" s="186"/>
      <c r="H198" s="186"/>
      <c r="I198" s="186"/>
      <c r="J198" s="186"/>
      <c r="K198" s="186"/>
      <c r="L198" s="186"/>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row>
    <row r="199" spans="1:42">
      <c r="B199" s="152"/>
      <c r="C199" s="152"/>
      <c r="D199" s="152"/>
      <c r="E199" s="152"/>
      <c r="F199" s="152"/>
      <c r="G199" s="186"/>
      <c r="H199" s="186"/>
      <c r="I199" s="186"/>
      <c r="J199" s="186"/>
      <c r="K199" s="186"/>
      <c r="L199" s="186"/>
      <c r="M199" s="186"/>
      <c r="N199" s="186"/>
      <c r="O199" s="186"/>
      <c r="P199" s="186"/>
      <c r="Q199" s="186"/>
      <c r="R199" s="186"/>
      <c r="S199" s="186"/>
      <c r="T199" s="186"/>
      <c r="U199" s="186"/>
      <c r="V199" s="186"/>
      <c r="W199" s="186"/>
      <c r="X199" s="186"/>
      <c r="Y199" s="186"/>
      <c r="Z199" s="186"/>
      <c r="AA199" s="186"/>
      <c r="AB199" s="186"/>
      <c r="AC199" s="186"/>
      <c r="AD199" s="186"/>
      <c r="AE199" s="186"/>
      <c r="AF199" s="186"/>
      <c r="AG199" s="186"/>
      <c r="AH199" s="186"/>
      <c r="AI199" s="186"/>
      <c r="AJ199" s="186"/>
      <c r="AK199" s="186"/>
      <c r="AL199" s="186"/>
      <c r="AM199" s="186"/>
      <c r="AN199" s="186"/>
      <c r="AO199" s="186"/>
      <c r="AP199" s="186"/>
    </row>
    <row r="200" spans="1:42">
      <c r="A200" s="179" t="s">
        <v>115</v>
      </c>
    </row>
    <row r="201" spans="1:42" s="118" customFormat="1">
      <c r="A201" s="195" t="s">
        <v>133</v>
      </c>
    </row>
    <row r="202" spans="1:42" s="118" customFormat="1">
      <c r="A202" s="42" t="s">
        <v>116</v>
      </c>
      <c r="C202" s="198">
        <f t="shared" ref="C202:AP202" si="789">C43</f>
        <v>5130924.9360721735</v>
      </c>
      <c r="D202" s="198">
        <f t="shared" si="789"/>
        <v>5224480.1535440227</v>
      </c>
      <c r="E202" s="198">
        <f t="shared" si="789"/>
        <v>5319178.3042360479</v>
      </c>
      <c r="F202" s="198">
        <f t="shared" si="789"/>
        <v>5415035.5329115689</v>
      </c>
      <c r="G202" s="198">
        <f t="shared" si="789"/>
        <v>5512068.2044891519</v>
      </c>
      <c r="H202" s="198">
        <f t="shared" si="789"/>
        <v>5610292.9068568042</v>
      </c>
      <c r="I202" s="198">
        <f t="shared" si="789"/>
        <v>5709726.4537174851</v>
      </c>
      <c r="J202" s="198">
        <f t="shared" si="789"/>
        <v>5810385.8874661699</v>
      </c>
      <c r="K202" s="198">
        <f t="shared" si="789"/>
        <v>5912288.4820986763</v>
      </c>
      <c r="L202" s="198">
        <f t="shared" si="789"/>
        <v>6015451.7461524587</v>
      </c>
      <c r="M202" s="198">
        <f t="shared" si="789"/>
        <v>6119893.4256796334</v>
      </c>
      <c r="N202" s="198">
        <f t="shared" si="789"/>
        <v>6225631.5072523979</v>
      </c>
      <c r="O202" s="198">
        <f t="shared" si="789"/>
        <v>6332684.2210011082</v>
      </c>
      <c r="P202" s="198">
        <f t="shared" si="789"/>
        <v>6441070.0436851662</v>
      </c>
      <c r="Q202" s="198">
        <f t="shared" si="789"/>
        <v>6550807.7017969862</v>
      </c>
      <c r="R202" s="198">
        <f t="shared" si="789"/>
        <v>6661916.174699191</v>
      </c>
      <c r="S202" s="198">
        <f t="shared" si="789"/>
        <v>6774414.6977952812</v>
      </c>
      <c r="T202" s="198">
        <f t="shared" si="789"/>
        <v>6888322.7657339126</v>
      </c>
      <c r="U202" s="198">
        <f t="shared" si="789"/>
        <v>7003660.1356470631</v>
      </c>
      <c r="V202" s="198">
        <f t="shared" si="789"/>
        <v>7120446.8304221872</v>
      </c>
      <c r="W202" s="198">
        <f t="shared" si="789"/>
        <v>7238703.1420086045</v>
      </c>
      <c r="X202" s="198">
        <f t="shared" si="789"/>
        <v>7344118.712570752</v>
      </c>
      <c r="Y202" s="198">
        <f t="shared" si="789"/>
        <v>7451045.304426033</v>
      </c>
      <c r="Z202" s="198">
        <f t="shared" si="789"/>
        <v>7559504.0368923601</v>
      </c>
      <c r="AA202" s="198">
        <f t="shared" si="789"/>
        <v>7669516.3119206326</v>
      </c>
      <c r="AB202" s="198">
        <f t="shared" si="789"/>
        <v>7781103.8175747218</v>
      </c>
      <c r="AC202" s="198">
        <f t="shared" si="789"/>
        <v>7894288.5315467063</v>
      </c>
      <c r="AD202" s="198">
        <f t="shared" si="789"/>
        <v>8009092.7247074135</v>
      </c>
      <c r="AE202" s="198">
        <f t="shared" si="789"/>
        <v>8125538.9646924967</v>
      </c>
      <c r="AF202" s="198">
        <f t="shared" si="789"/>
        <v>12266365.119524082</v>
      </c>
      <c r="AG202" s="198">
        <f t="shared" si="789"/>
        <v>0</v>
      </c>
      <c r="AH202" s="198">
        <f t="shared" si="789"/>
        <v>0</v>
      </c>
      <c r="AI202" s="198">
        <f t="shared" si="789"/>
        <v>0</v>
      </c>
      <c r="AJ202" s="198">
        <f t="shared" si="789"/>
        <v>0</v>
      </c>
      <c r="AK202" s="198">
        <f t="shared" si="789"/>
        <v>0</v>
      </c>
      <c r="AL202" s="198">
        <f t="shared" si="789"/>
        <v>0</v>
      </c>
      <c r="AM202" s="198">
        <f t="shared" si="789"/>
        <v>0</v>
      </c>
      <c r="AN202" s="198">
        <f t="shared" si="789"/>
        <v>0</v>
      </c>
      <c r="AO202" s="198">
        <f t="shared" si="789"/>
        <v>0</v>
      </c>
      <c r="AP202" s="198">
        <f t="shared" si="789"/>
        <v>0</v>
      </c>
    </row>
    <row r="203" spans="1:42" s="118" customFormat="1">
      <c r="A203" s="42" t="s">
        <v>129</v>
      </c>
      <c r="C203" s="198">
        <f t="shared" ref="C203:AP203" si="790">C739</f>
        <v>28528.458178202956</v>
      </c>
      <c r="D203" s="198">
        <f t="shared" si="790"/>
        <v>41155.008793442918</v>
      </c>
      <c r="E203" s="198">
        <f t="shared" si="790"/>
        <v>53788.226519133903</v>
      </c>
      <c r="F203" s="198">
        <f t="shared" si="790"/>
        <v>64616.161421195531</v>
      </c>
      <c r="G203" s="198">
        <f t="shared" si="790"/>
        <v>77290.448270984823</v>
      </c>
      <c r="H203" s="198">
        <f t="shared" si="790"/>
        <v>89971.688633716185</v>
      </c>
      <c r="I203" s="198">
        <f t="shared" si="790"/>
        <v>100765.16524699876</v>
      </c>
      <c r="J203" s="198">
        <f t="shared" si="790"/>
        <v>113489.31321603422</v>
      </c>
      <c r="K203" s="198">
        <f t="shared" si="790"/>
        <v>126220.7129568919</v>
      </c>
      <c r="L203" s="198">
        <f t="shared" si="790"/>
        <v>136978.09917461983</v>
      </c>
      <c r="M203" s="198">
        <f t="shared" si="790"/>
        <v>118110.60951335869</v>
      </c>
      <c r="N203" s="198">
        <f t="shared" si="790"/>
        <v>130277.59365682983</v>
      </c>
      <c r="O203" s="198">
        <f t="shared" si="790"/>
        <v>88847.901148577046</v>
      </c>
      <c r="P203" s="198">
        <f t="shared" si="790"/>
        <v>101886.37546337843</v>
      </c>
      <c r="Q203" s="198">
        <f t="shared" si="790"/>
        <v>114924.84977817982</v>
      </c>
      <c r="R203" s="198">
        <f t="shared" si="790"/>
        <v>18029.125128545482</v>
      </c>
      <c r="S203" s="198">
        <f t="shared" si="790"/>
        <v>32898.398355727615</v>
      </c>
      <c r="T203" s="198">
        <f t="shared" si="790"/>
        <v>47767.671582909745</v>
      </c>
      <c r="U203" s="198">
        <f t="shared" si="790"/>
        <v>60382.909231071135</v>
      </c>
      <c r="V203" s="198">
        <f t="shared" si="790"/>
        <v>75286.502685733882</v>
      </c>
      <c r="W203" s="198">
        <f t="shared" si="790"/>
        <v>90190.096140396621</v>
      </c>
      <c r="X203" s="198">
        <f t="shared" si="790"/>
        <v>102736.69333359678</v>
      </c>
      <c r="Y203" s="198">
        <f t="shared" si="790"/>
        <v>117676.17470796108</v>
      </c>
      <c r="Z203" s="198">
        <f t="shared" si="790"/>
        <v>132615.65608232541</v>
      </c>
      <c r="AA203" s="198">
        <f t="shared" si="790"/>
        <v>83473.976921940499</v>
      </c>
      <c r="AB203" s="198">
        <f t="shared" si="790"/>
        <v>93316.277141678642</v>
      </c>
      <c r="AC203" s="198">
        <f t="shared" si="790"/>
        <v>103158.57736141678</v>
      </c>
      <c r="AD203" s="198">
        <f t="shared" si="790"/>
        <v>110423.63589592067</v>
      </c>
      <c r="AE203" s="198">
        <f t="shared" si="790"/>
        <v>120305.1775197134</v>
      </c>
      <c r="AF203" s="198">
        <f t="shared" si="790"/>
        <v>130186.71914350611</v>
      </c>
      <c r="AG203" s="198">
        <f t="shared" si="790"/>
        <v>0</v>
      </c>
      <c r="AH203" s="198">
        <f t="shared" si="790"/>
        <v>0</v>
      </c>
      <c r="AI203" s="198">
        <f t="shared" si="790"/>
        <v>0</v>
      </c>
      <c r="AJ203" s="198">
        <f t="shared" si="790"/>
        <v>0</v>
      </c>
      <c r="AK203" s="198">
        <f t="shared" si="790"/>
        <v>0</v>
      </c>
      <c r="AL203" s="198">
        <f t="shared" si="790"/>
        <v>0</v>
      </c>
      <c r="AM203" s="198">
        <f t="shared" si="790"/>
        <v>0</v>
      </c>
      <c r="AN203" s="198">
        <f t="shared" si="790"/>
        <v>0</v>
      </c>
      <c r="AO203" s="198">
        <f t="shared" si="790"/>
        <v>0</v>
      </c>
      <c r="AP203" s="198">
        <f t="shared" si="790"/>
        <v>0</v>
      </c>
    </row>
    <row r="204" spans="1:42" s="118" customFormat="1">
      <c r="A204" s="42" t="s">
        <v>117</v>
      </c>
      <c r="C204" s="198">
        <f>-C618</f>
        <v>-1787948.5127279793</v>
      </c>
      <c r="D204" s="198">
        <f t="shared" ref="D204:AP204" si="791">-D618</f>
        <v>-1688290.5425787431</v>
      </c>
      <c r="E204" s="198">
        <f t="shared" si="791"/>
        <v>-1574860.1826434168</v>
      </c>
      <c r="F204" s="198">
        <f t="shared" si="791"/>
        <v>-1446422.0135743732</v>
      </c>
      <c r="G204" s="198">
        <f t="shared" si="791"/>
        <v>-1301723.5797390742</v>
      </c>
      <c r="H204" s="198">
        <f t="shared" si="791"/>
        <v>-1139227.2609717117</v>
      </c>
      <c r="I204" s="198">
        <f t="shared" si="791"/>
        <v>-957352.68864162313</v>
      </c>
      <c r="J204" s="198">
        <f t="shared" si="791"/>
        <v>-754477.15955315891</v>
      </c>
      <c r="K204" s="198">
        <f t="shared" si="791"/>
        <v>-528653.17591308313</v>
      </c>
      <c r="L204" s="198">
        <f t="shared" si="791"/>
        <v>-277859.67330109229</v>
      </c>
      <c r="M204" s="198">
        <f t="shared" si="791"/>
        <v>0</v>
      </c>
      <c r="N204" s="198">
        <f t="shared" si="791"/>
        <v>0</v>
      </c>
      <c r="O204" s="198">
        <f t="shared" si="791"/>
        <v>0</v>
      </c>
      <c r="P204" s="198">
        <f t="shared" si="791"/>
        <v>0</v>
      </c>
      <c r="Q204" s="198">
        <f t="shared" si="791"/>
        <v>0</v>
      </c>
      <c r="R204" s="198">
        <f t="shared" si="791"/>
        <v>0</v>
      </c>
      <c r="S204" s="198">
        <f t="shared" si="791"/>
        <v>0</v>
      </c>
      <c r="T204" s="198">
        <f t="shared" si="791"/>
        <v>0</v>
      </c>
      <c r="U204" s="198">
        <f t="shared" si="791"/>
        <v>0</v>
      </c>
      <c r="V204" s="198">
        <f t="shared" si="791"/>
        <v>0</v>
      </c>
      <c r="W204" s="198">
        <f t="shared" si="791"/>
        <v>0</v>
      </c>
      <c r="X204" s="198">
        <f t="shared" si="791"/>
        <v>0</v>
      </c>
      <c r="Y204" s="198">
        <f t="shared" si="791"/>
        <v>0</v>
      </c>
      <c r="Z204" s="198">
        <f t="shared" si="791"/>
        <v>0</v>
      </c>
      <c r="AA204" s="198">
        <f t="shared" si="791"/>
        <v>0</v>
      </c>
      <c r="AB204" s="198">
        <f t="shared" si="791"/>
        <v>0</v>
      </c>
      <c r="AC204" s="198">
        <f t="shared" si="791"/>
        <v>0</v>
      </c>
      <c r="AD204" s="198">
        <f t="shared" si="791"/>
        <v>0</v>
      </c>
      <c r="AE204" s="198">
        <f t="shared" si="791"/>
        <v>0</v>
      </c>
      <c r="AF204" s="198">
        <f t="shared" si="791"/>
        <v>0</v>
      </c>
      <c r="AG204" s="198">
        <f t="shared" si="791"/>
        <v>0</v>
      </c>
      <c r="AH204" s="198">
        <f t="shared" si="791"/>
        <v>0</v>
      </c>
      <c r="AI204" s="198">
        <f t="shared" si="791"/>
        <v>0</v>
      </c>
      <c r="AJ204" s="198">
        <f t="shared" si="791"/>
        <v>0</v>
      </c>
      <c r="AK204" s="198">
        <f t="shared" si="791"/>
        <v>0</v>
      </c>
      <c r="AL204" s="198">
        <f t="shared" si="791"/>
        <v>0</v>
      </c>
      <c r="AM204" s="198">
        <f t="shared" si="791"/>
        <v>0</v>
      </c>
      <c r="AN204" s="198">
        <f t="shared" si="791"/>
        <v>0</v>
      </c>
      <c r="AO204" s="198">
        <f t="shared" si="791"/>
        <v>0</v>
      </c>
      <c r="AP204" s="198">
        <f t="shared" si="791"/>
        <v>0</v>
      </c>
    </row>
    <row r="205" spans="1:42" s="42" customFormat="1">
      <c r="A205" s="42" t="s">
        <v>120</v>
      </c>
      <c r="B205" s="118"/>
      <c r="C205" s="203">
        <f t="shared" ref="C205:AP205" si="792">IF(C$2&lt;=AnalysisPeriod,-C327-C357-C383-C409,0)</f>
        <v>-9613303.3249930441</v>
      </c>
      <c r="D205" s="203">
        <f t="shared" si="792"/>
        <v>-12257265.753887083</v>
      </c>
      <c r="E205" s="203">
        <f t="shared" si="792"/>
        <v>-7458562.9102279348</v>
      </c>
      <c r="F205" s="203">
        <f t="shared" si="792"/>
        <v>-4577472.7548158187</v>
      </c>
      <c r="G205" s="203">
        <f t="shared" si="792"/>
        <v>-4559147.639470092</v>
      </c>
      <c r="H205" s="203">
        <f t="shared" si="792"/>
        <v>-2402274.4854314094</v>
      </c>
      <c r="I205" s="203">
        <f t="shared" si="792"/>
        <v>-247164.20954076567</v>
      </c>
      <c r="J205" s="203">
        <f t="shared" si="792"/>
        <v>-227307.41763271511</v>
      </c>
      <c r="K205" s="203">
        <f t="shared" si="792"/>
        <v>-235829.82320228507</v>
      </c>
      <c r="L205" s="203">
        <f t="shared" si="792"/>
        <v>-249147.5432539329</v>
      </c>
      <c r="M205" s="203">
        <f t="shared" si="792"/>
        <v>-228723.47327063483</v>
      </c>
      <c r="N205" s="203">
        <f t="shared" si="792"/>
        <v>-826200.11080398643</v>
      </c>
      <c r="O205" s="203">
        <f t="shared" si="792"/>
        <v>-1193920.3702604463</v>
      </c>
      <c r="P205" s="203">
        <f t="shared" si="792"/>
        <v>-795210.17560726649</v>
      </c>
      <c r="Q205" s="203">
        <f t="shared" si="792"/>
        <v>-1810099.770783673</v>
      </c>
      <c r="R205" s="203">
        <f t="shared" si="792"/>
        <v>-2499606.2406530506</v>
      </c>
      <c r="S205" s="203">
        <f t="shared" si="792"/>
        <v>-1454978.6204631038</v>
      </c>
      <c r="T205" s="203">
        <f t="shared" si="792"/>
        <v>-821875.30961717141</v>
      </c>
      <c r="U205" s="203">
        <f t="shared" si="792"/>
        <v>-837331.55358759931</v>
      </c>
      <c r="V205" s="203">
        <f t="shared" si="792"/>
        <v>-459004.32990381925</v>
      </c>
      <c r="W205" s="203">
        <f t="shared" si="792"/>
        <v>-80843.705862452087</v>
      </c>
      <c r="X205" s="203">
        <f t="shared" si="792"/>
        <v>-63640.80135841544</v>
      </c>
      <c r="Y205" s="203">
        <f t="shared" si="792"/>
        <v>-38982.060168769363</v>
      </c>
      <c r="Z205" s="203">
        <f t="shared" si="792"/>
        <v>-753575.33700979326</v>
      </c>
      <c r="AA205" s="203">
        <f t="shared" si="792"/>
        <v>-1192989.0092480734</v>
      </c>
      <c r="AB205" s="203">
        <f t="shared" si="792"/>
        <v>-716523.20735617948</v>
      </c>
      <c r="AC205" s="203">
        <f t="shared" si="792"/>
        <v>-456994.76297434338</v>
      </c>
      <c r="AD205" s="203">
        <f t="shared" si="792"/>
        <v>-474667.27738737833</v>
      </c>
      <c r="AE205" s="203">
        <f t="shared" si="792"/>
        <v>-244898.03267243327</v>
      </c>
      <c r="AF205" s="203">
        <f t="shared" si="792"/>
        <v>-1593449.1838285606</v>
      </c>
      <c r="AG205" s="203">
        <f t="shared" si="792"/>
        <v>0</v>
      </c>
      <c r="AH205" s="203">
        <f t="shared" si="792"/>
        <v>0</v>
      </c>
      <c r="AI205" s="203">
        <f t="shared" si="792"/>
        <v>0</v>
      </c>
      <c r="AJ205" s="203">
        <f t="shared" si="792"/>
        <v>0</v>
      </c>
      <c r="AK205" s="203">
        <f t="shared" si="792"/>
        <v>0</v>
      </c>
      <c r="AL205" s="203">
        <f t="shared" si="792"/>
        <v>0</v>
      </c>
      <c r="AM205" s="203">
        <f t="shared" si="792"/>
        <v>0</v>
      </c>
      <c r="AN205" s="203">
        <f t="shared" si="792"/>
        <v>0</v>
      </c>
      <c r="AO205" s="203">
        <f t="shared" si="792"/>
        <v>0</v>
      </c>
      <c r="AP205" s="203">
        <f t="shared" si="792"/>
        <v>0</v>
      </c>
    </row>
    <row r="206" spans="1:42" s="118" customFormat="1">
      <c r="A206" s="42" t="s">
        <v>118</v>
      </c>
      <c r="C206" s="198">
        <f t="shared" ref="C206:AP206" si="793">SUM(C202:C205)</f>
        <v>-6241798.4434706476</v>
      </c>
      <c r="D206" s="198">
        <f t="shared" si="793"/>
        <v>-8679921.1341283619</v>
      </c>
      <c r="E206" s="198">
        <f t="shared" si="793"/>
        <v>-3660456.5621161698</v>
      </c>
      <c r="F206" s="198">
        <f t="shared" si="793"/>
        <v>-544243.07405742723</v>
      </c>
      <c r="G206" s="198">
        <f t="shared" si="793"/>
        <v>-271512.56644902937</v>
      </c>
      <c r="H206" s="198">
        <f t="shared" si="793"/>
        <v>2158762.8490873985</v>
      </c>
      <c r="I206" s="198">
        <f t="shared" si="793"/>
        <v>4605974.7207820956</v>
      </c>
      <c r="J206" s="198">
        <f t="shared" si="793"/>
        <v>4942090.6234963303</v>
      </c>
      <c r="K206" s="198">
        <f t="shared" si="793"/>
        <v>5274026.1959402002</v>
      </c>
      <c r="L206" s="198">
        <f t="shared" si="793"/>
        <v>5625422.6287720529</v>
      </c>
      <c r="M206" s="198">
        <f t="shared" si="793"/>
        <v>6009280.5619223574</v>
      </c>
      <c r="N206" s="198">
        <f t="shared" si="793"/>
        <v>5529708.9901052415</v>
      </c>
      <c r="O206" s="198">
        <f t="shared" si="793"/>
        <v>5227611.7518892391</v>
      </c>
      <c r="P206" s="198">
        <f t="shared" si="793"/>
        <v>5747746.2435412779</v>
      </c>
      <c r="Q206" s="198">
        <f t="shared" si="793"/>
        <v>4855632.7807914931</v>
      </c>
      <c r="R206" s="198">
        <f t="shared" si="793"/>
        <v>4180339.0591746862</v>
      </c>
      <c r="S206" s="198">
        <f t="shared" si="793"/>
        <v>5352334.4756879052</v>
      </c>
      <c r="T206" s="198">
        <f t="shared" si="793"/>
        <v>6114215.1276996508</v>
      </c>
      <c r="U206" s="198">
        <f t="shared" si="793"/>
        <v>6226711.4912905348</v>
      </c>
      <c r="V206" s="198">
        <f t="shared" si="793"/>
        <v>6736729.0032041017</v>
      </c>
      <c r="W206" s="198">
        <f t="shared" si="793"/>
        <v>7248049.532286549</v>
      </c>
      <c r="X206" s="198">
        <f t="shared" si="793"/>
        <v>7383214.6045459332</v>
      </c>
      <c r="Y206" s="198">
        <f t="shared" si="793"/>
        <v>7529739.4189652251</v>
      </c>
      <c r="Z206" s="198">
        <f t="shared" si="793"/>
        <v>6938544.3559648925</v>
      </c>
      <c r="AA206" s="198">
        <f t="shared" si="793"/>
        <v>6560001.2795944996</v>
      </c>
      <c r="AB206" s="198">
        <f t="shared" si="793"/>
        <v>7157896.8873602217</v>
      </c>
      <c r="AC206" s="198">
        <f t="shared" si="793"/>
        <v>7540452.3459337801</v>
      </c>
      <c r="AD206" s="198">
        <f t="shared" si="793"/>
        <v>7644849.0832159556</v>
      </c>
      <c r="AE206" s="198">
        <f t="shared" si="793"/>
        <v>8000946.109539777</v>
      </c>
      <c r="AF206" s="198">
        <f t="shared" si="793"/>
        <v>10803102.654839028</v>
      </c>
      <c r="AG206" s="198">
        <f t="shared" si="793"/>
        <v>0</v>
      </c>
      <c r="AH206" s="198">
        <f t="shared" si="793"/>
        <v>0</v>
      </c>
      <c r="AI206" s="198">
        <f t="shared" si="793"/>
        <v>0</v>
      </c>
      <c r="AJ206" s="198">
        <f t="shared" si="793"/>
        <v>0</v>
      </c>
      <c r="AK206" s="198">
        <f t="shared" si="793"/>
        <v>0</v>
      </c>
      <c r="AL206" s="198">
        <f t="shared" si="793"/>
        <v>0</v>
      </c>
      <c r="AM206" s="198">
        <f t="shared" si="793"/>
        <v>0</v>
      </c>
      <c r="AN206" s="198">
        <f t="shared" si="793"/>
        <v>0</v>
      </c>
      <c r="AO206" s="198">
        <f t="shared" si="793"/>
        <v>0</v>
      </c>
      <c r="AP206" s="198">
        <f t="shared" si="793"/>
        <v>0</v>
      </c>
    </row>
    <row r="207" spans="1:42" s="118" customFormat="1">
      <c r="A207" s="42" t="str">
        <f>'Inputs &amp; Results'!A48</f>
        <v>Investment Based Incentive (IBI)</v>
      </c>
    </row>
    <row r="208" spans="1:42" s="118" customFormat="1">
      <c r="A208" s="204" t="str">
        <f>'Inputs &amp; Results'!A49</f>
        <v>Fixed Amount ($)</v>
      </c>
    </row>
    <row r="209" spans="1:42" s="118" customFormat="1">
      <c r="A209" s="205" t="str">
        <f>'Inputs &amp; Results'!A50</f>
        <v>Federal</v>
      </c>
      <c r="C209" s="198">
        <f>IF(IBIFedFixedStateTax="Yes",C561,0)</f>
        <v>1000</v>
      </c>
    </row>
    <row r="210" spans="1:42" s="118" customFormat="1">
      <c r="A210" s="205" t="str">
        <f>'Inputs &amp; Results'!A51</f>
        <v>State</v>
      </c>
      <c r="C210" s="198">
        <f>IF(IBIStateFixedStateTax="Yes",C562,0)</f>
        <v>2000</v>
      </c>
    </row>
    <row r="211" spans="1:42" s="118" customFormat="1">
      <c r="A211" s="205" t="str">
        <f>'Inputs &amp; Results'!A52</f>
        <v>Utility</v>
      </c>
      <c r="C211" s="198">
        <f>IF(IBIUtilityFixedStateTax="Yes",C563,0)</f>
        <v>500</v>
      </c>
    </row>
    <row r="212" spans="1:42">
      <c r="A212" s="205" t="str">
        <f>'Inputs &amp; Results'!A53</f>
        <v>Other</v>
      </c>
      <c r="C212" s="203">
        <f>IF(IBIOtherFixedStateTax="Yes",C564,0)</f>
        <v>250</v>
      </c>
      <c r="D212" s="186"/>
      <c r="E212" s="186"/>
      <c r="F212" s="186"/>
      <c r="G212" s="186"/>
      <c r="H212" s="186"/>
      <c r="I212" s="186"/>
      <c r="J212" s="186"/>
      <c r="K212" s="186"/>
      <c r="L212" s="186"/>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row>
    <row r="213" spans="1:42">
      <c r="A213" s="205" t="s">
        <v>53</v>
      </c>
      <c r="C213" s="186">
        <f>SUM(C209:C212)</f>
        <v>3750</v>
      </c>
      <c r="D213" s="186"/>
      <c r="E213" s="186"/>
      <c r="F213" s="186"/>
      <c r="G213" s="186"/>
      <c r="H213" s="186"/>
      <c r="I213" s="186"/>
      <c r="J213" s="186"/>
      <c r="K213" s="186"/>
      <c r="L213" s="186"/>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row>
    <row r="214" spans="1:42">
      <c r="A214" s="204" t="str">
        <f>'Inputs &amp; Results'!A54</f>
        <v>Percentage of Pre-Financing Costs</v>
      </c>
      <c r="C214" s="186"/>
      <c r="D214" s="186"/>
      <c r="E214" s="186"/>
      <c r="F214" s="186"/>
      <c r="G214" s="186"/>
      <c r="H214" s="186"/>
      <c r="I214" s="186"/>
      <c r="J214" s="186"/>
      <c r="K214" s="186"/>
      <c r="L214" s="186"/>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row>
    <row r="215" spans="1:42">
      <c r="A215" s="205" t="str">
        <f>'Inputs &amp; Results'!A55</f>
        <v>Federal</v>
      </c>
      <c r="C215" s="198">
        <f>IF(IBIFedPercentStateTax="Yes",C567,0)</f>
        <v>2011357.5</v>
      </c>
      <c r="D215" s="186"/>
      <c r="E215" s="186"/>
      <c r="F215" s="186"/>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205" t="str">
        <f>'Inputs &amp; Results'!A56</f>
        <v>State</v>
      </c>
      <c r="C216" s="198">
        <f>IF(IBIStatePercentStateTax="Yes",C568,0)</f>
        <v>4022715</v>
      </c>
      <c r="D216" s="186"/>
      <c r="E216" s="186"/>
      <c r="F216" s="186"/>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A217" s="205" t="str">
        <f>'Inputs &amp; Results'!A57</f>
        <v>Utility</v>
      </c>
      <c r="C217" s="198">
        <f>IF(IBIUtilityPercentStateTax="Yes",C569,0)</f>
        <v>402271.5</v>
      </c>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row>
    <row r="218" spans="1:42">
      <c r="A218" s="205" t="str">
        <f>'Inputs &amp; Results'!A58</f>
        <v>Other</v>
      </c>
      <c r="C218" s="203">
        <f>IF(IBIOtherPercentStateTax="Yes",C570,0)</f>
        <v>201135.75</v>
      </c>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row>
    <row r="219" spans="1:42">
      <c r="A219" s="205" t="s">
        <v>53</v>
      </c>
      <c r="C219" s="186">
        <f>SUM(C215:C218)</f>
        <v>6637479.75</v>
      </c>
      <c r="D219" s="186"/>
      <c r="E219" s="186"/>
      <c r="F219" s="186"/>
      <c r="G219" s="186"/>
      <c r="H219" s="186"/>
      <c r="I219" s="186"/>
      <c r="J219" s="186"/>
      <c r="K219" s="186"/>
      <c r="L219" s="186"/>
      <c r="M219" s="186"/>
      <c r="N219" s="186"/>
      <c r="O219" s="186"/>
      <c r="P219" s="186"/>
      <c r="Q219" s="186"/>
      <c r="R219" s="186"/>
      <c r="S219" s="186"/>
      <c r="T219" s="186"/>
      <c r="U219" s="186"/>
      <c r="V219" s="186"/>
      <c r="W219" s="186"/>
      <c r="X219" s="186"/>
      <c r="Y219" s="186"/>
      <c r="Z219" s="186"/>
      <c r="AA219" s="186"/>
      <c r="AB219" s="186"/>
      <c r="AC219" s="186"/>
      <c r="AD219" s="186"/>
      <c r="AE219" s="186"/>
      <c r="AF219" s="186"/>
      <c r="AG219" s="186"/>
      <c r="AH219" s="186"/>
      <c r="AI219" s="186"/>
      <c r="AJ219" s="186"/>
      <c r="AK219" s="186"/>
      <c r="AL219" s="186"/>
      <c r="AM219" s="186"/>
      <c r="AN219" s="186"/>
      <c r="AO219" s="186"/>
      <c r="AP219" s="186"/>
    </row>
    <row r="220" spans="1:42">
      <c r="A220" s="197" t="str">
        <f>'Inputs &amp; Results'!A59</f>
        <v>Capacity Based Incentive (CBI) ($/DC-Watt)</v>
      </c>
      <c r="C220" s="186"/>
      <c r="D220" s="186"/>
      <c r="E220" s="186"/>
      <c r="F220" s="186"/>
      <c r="G220" s="186"/>
      <c r="H220" s="186"/>
      <c r="I220" s="186"/>
      <c r="J220" s="186"/>
      <c r="K220" s="186"/>
      <c r="L220" s="186"/>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row>
    <row r="221" spans="1:42">
      <c r="A221" s="204" t="str">
        <f>'Inputs &amp; Results'!A60</f>
        <v>Federal</v>
      </c>
      <c r="C221" s="141">
        <f>IF(CBIFedStateTax="Yes",C573,0)</f>
        <v>5000000</v>
      </c>
      <c r="D221" s="186"/>
      <c r="E221" s="186"/>
      <c r="F221" s="186"/>
      <c r="G221" s="186"/>
      <c r="H221" s="186"/>
      <c r="I221" s="186"/>
      <c r="J221" s="186"/>
      <c r="K221" s="186"/>
      <c r="L221" s="186"/>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row>
    <row r="222" spans="1:42">
      <c r="A222" s="204" t="str">
        <f>'Inputs &amp; Results'!A61</f>
        <v>State</v>
      </c>
      <c r="C222" s="141">
        <f>IF(CBIStateStateTax="Yes",C574,0)</f>
        <v>2000000</v>
      </c>
      <c r="D222" s="186"/>
      <c r="E222" s="186"/>
      <c r="F222" s="186"/>
      <c r="G222" s="186"/>
      <c r="H222" s="186"/>
      <c r="I222" s="186"/>
      <c r="J222" s="186"/>
      <c r="K222" s="186"/>
      <c r="L222" s="186"/>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row>
    <row r="223" spans="1:42">
      <c r="A223" s="204" t="str">
        <f>'Inputs &amp; Results'!A62</f>
        <v>Utility</v>
      </c>
      <c r="C223" s="141">
        <f>IF(CBIUtilityStateTax="Yes",C575,0)</f>
        <v>100000</v>
      </c>
      <c r="D223" s="186"/>
      <c r="E223" s="186"/>
      <c r="F223" s="186"/>
      <c r="G223" s="186"/>
      <c r="H223" s="186"/>
      <c r="I223" s="186"/>
      <c r="J223" s="186"/>
      <c r="K223" s="186"/>
      <c r="L223" s="186"/>
      <c r="M223" s="186"/>
      <c r="N223" s="186"/>
      <c r="O223" s="186"/>
      <c r="P223" s="186"/>
      <c r="Q223" s="186"/>
      <c r="R223" s="186"/>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row>
    <row r="224" spans="1:42">
      <c r="A224" s="204" t="str">
        <f>'Inputs &amp; Results'!A63</f>
        <v>Other</v>
      </c>
      <c r="C224" s="203">
        <f>IF(CBIOtherStateTax="Yes",C576,0)</f>
        <v>50000</v>
      </c>
      <c r="D224" s="186"/>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row>
    <row r="225" spans="1:42">
      <c r="A225" s="204" t="s">
        <v>53</v>
      </c>
      <c r="C225" s="186">
        <f>SUM(C221:C224)</f>
        <v>7150000</v>
      </c>
      <c r="D225" s="186"/>
      <c r="E225" s="186"/>
      <c r="F225" s="186"/>
      <c r="G225" s="186"/>
      <c r="H225" s="186"/>
      <c r="I225" s="186"/>
      <c r="J225" s="186"/>
      <c r="K225" s="186"/>
      <c r="L225" s="186"/>
      <c r="M225" s="186"/>
      <c r="N225" s="186"/>
      <c r="O225" s="186"/>
      <c r="P225" s="186"/>
      <c r="Q225" s="186"/>
      <c r="R225" s="186"/>
      <c r="S225" s="186"/>
      <c r="T225" s="186"/>
      <c r="U225" s="186"/>
      <c r="V225" s="186"/>
      <c r="W225" s="186"/>
      <c r="X225" s="186"/>
      <c r="Y225" s="186"/>
      <c r="Z225" s="186"/>
      <c r="AA225" s="186"/>
      <c r="AB225" s="186"/>
      <c r="AC225" s="186"/>
      <c r="AD225" s="186"/>
      <c r="AE225" s="186"/>
      <c r="AF225" s="186"/>
      <c r="AG225" s="186"/>
      <c r="AH225" s="186"/>
      <c r="AI225" s="186"/>
      <c r="AJ225" s="186"/>
      <c r="AK225" s="186"/>
      <c r="AL225" s="186"/>
      <c r="AM225" s="186"/>
      <c r="AN225" s="186"/>
      <c r="AO225" s="186"/>
      <c r="AP225" s="186"/>
    </row>
    <row r="226" spans="1:42">
      <c r="A226" s="197" t="str">
        <f>'Inputs &amp; Results'!A66</f>
        <v>Production Based Incentive (PBI) ($/kWh)</v>
      </c>
      <c r="C226" s="186"/>
      <c r="D226" s="186"/>
      <c r="E226" s="186"/>
      <c r="F226" s="186"/>
      <c r="G226" s="186"/>
      <c r="H226" s="186"/>
      <c r="I226" s="186"/>
      <c r="J226" s="186"/>
      <c r="K226" s="186"/>
      <c r="L226" s="186"/>
      <c r="M226" s="186"/>
      <c r="N226" s="186"/>
      <c r="O226" s="186"/>
      <c r="P226" s="186"/>
      <c r="Q226" s="186"/>
      <c r="R226" s="186"/>
      <c r="S226" s="186"/>
      <c r="T226" s="186"/>
      <c r="U226" s="186"/>
      <c r="V226" s="186"/>
      <c r="W226" s="186"/>
      <c r="X226" s="186"/>
      <c r="Y226" s="186"/>
      <c r="Z226" s="186"/>
      <c r="AA226" s="186"/>
      <c r="AB226" s="186"/>
      <c r="AC226" s="186"/>
      <c r="AD226" s="186"/>
      <c r="AE226" s="186"/>
      <c r="AF226" s="186"/>
      <c r="AG226" s="186"/>
      <c r="AH226" s="186"/>
      <c r="AI226" s="186"/>
      <c r="AJ226" s="186"/>
      <c r="AK226" s="186"/>
      <c r="AL226" s="186"/>
      <c r="AM226" s="186"/>
      <c r="AN226" s="186"/>
      <c r="AO226" s="186"/>
      <c r="AP226" s="186"/>
    </row>
    <row r="227" spans="1:42">
      <c r="A227" s="204" t="str">
        <f>'Inputs &amp; Results'!A67</f>
        <v>Federal</v>
      </c>
      <c r="C227" s="141">
        <f t="shared" ref="C227:AP227" si="794">IF(AND(PBIFedStateTax="Yes",PBIFedDebtSwitch="No"),C583,0)</f>
        <v>0</v>
      </c>
      <c r="D227" s="141">
        <f t="shared" si="794"/>
        <v>0</v>
      </c>
      <c r="E227" s="141">
        <f t="shared" si="794"/>
        <v>0</v>
      </c>
      <c r="F227" s="141">
        <f t="shared" si="794"/>
        <v>0</v>
      </c>
      <c r="G227" s="141">
        <f t="shared" si="794"/>
        <v>0</v>
      </c>
      <c r="H227" s="141">
        <f t="shared" si="794"/>
        <v>0</v>
      </c>
      <c r="I227" s="141">
        <f t="shared" si="794"/>
        <v>0</v>
      </c>
      <c r="J227" s="141">
        <f t="shared" si="794"/>
        <v>0</v>
      </c>
      <c r="K227" s="141">
        <f t="shared" si="794"/>
        <v>0</v>
      </c>
      <c r="L227" s="141">
        <f t="shared" si="794"/>
        <v>0</v>
      </c>
      <c r="M227" s="141">
        <f t="shared" si="794"/>
        <v>0</v>
      </c>
      <c r="N227" s="141">
        <f t="shared" si="794"/>
        <v>0</v>
      </c>
      <c r="O227" s="141">
        <f t="shared" si="794"/>
        <v>0</v>
      </c>
      <c r="P227" s="141">
        <f t="shared" si="794"/>
        <v>0</v>
      </c>
      <c r="Q227" s="141">
        <f t="shared" si="794"/>
        <v>0</v>
      </c>
      <c r="R227" s="141">
        <f t="shared" si="794"/>
        <v>0</v>
      </c>
      <c r="S227" s="141">
        <f t="shared" si="794"/>
        <v>0</v>
      </c>
      <c r="T227" s="141">
        <f t="shared" si="794"/>
        <v>0</v>
      </c>
      <c r="U227" s="141">
        <f t="shared" si="794"/>
        <v>0</v>
      </c>
      <c r="V227" s="141">
        <f t="shared" si="794"/>
        <v>0</v>
      </c>
      <c r="W227" s="141">
        <f t="shared" si="794"/>
        <v>0</v>
      </c>
      <c r="X227" s="141">
        <f t="shared" si="794"/>
        <v>0</v>
      </c>
      <c r="Y227" s="141">
        <f t="shared" si="794"/>
        <v>0</v>
      </c>
      <c r="Z227" s="141">
        <f t="shared" si="794"/>
        <v>0</v>
      </c>
      <c r="AA227" s="141">
        <f t="shared" si="794"/>
        <v>0</v>
      </c>
      <c r="AB227" s="141">
        <f t="shared" si="794"/>
        <v>0</v>
      </c>
      <c r="AC227" s="141">
        <f t="shared" si="794"/>
        <v>0</v>
      </c>
      <c r="AD227" s="141">
        <f t="shared" si="794"/>
        <v>0</v>
      </c>
      <c r="AE227" s="141">
        <f t="shared" si="794"/>
        <v>0</v>
      </c>
      <c r="AF227" s="141">
        <f t="shared" si="794"/>
        <v>0</v>
      </c>
      <c r="AG227" s="141">
        <f t="shared" si="794"/>
        <v>0</v>
      </c>
      <c r="AH227" s="141">
        <f t="shared" si="794"/>
        <v>0</v>
      </c>
      <c r="AI227" s="141">
        <f t="shared" si="794"/>
        <v>0</v>
      </c>
      <c r="AJ227" s="141">
        <f t="shared" si="794"/>
        <v>0</v>
      </c>
      <c r="AK227" s="141">
        <f t="shared" si="794"/>
        <v>0</v>
      </c>
      <c r="AL227" s="141">
        <f t="shared" si="794"/>
        <v>0</v>
      </c>
      <c r="AM227" s="141">
        <f t="shared" si="794"/>
        <v>0</v>
      </c>
      <c r="AN227" s="141">
        <f t="shared" si="794"/>
        <v>0</v>
      </c>
      <c r="AO227" s="141">
        <f t="shared" si="794"/>
        <v>0</v>
      </c>
      <c r="AP227" s="141">
        <f t="shared" si="794"/>
        <v>0</v>
      </c>
    </row>
    <row r="228" spans="1:42">
      <c r="A228" s="204" t="str">
        <f>'Inputs &amp; Results'!A68</f>
        <v>State</v>
      </c>
      <c r="C228" s="141">
        <f t="shared" ref="C228:AP228" si="795">IF(AND(PBIStateStateTax="Yes",PBIStateDebtSwitch="No"),C587,0)</f>
        <v>0</v>
      </c>
      <c r="D228" s="141">
        <f t="shared" si="795"/>
        <v>0</v>
      </c>
      <c r="E228" s="141">
        <f t="shared" si="795"/>
        <v>0</v>
      </c>
      <c r="F228" s="141">
        <f t="shared" si="795"/>
        <v>0</v>
      </c>
      <c r="G228" s="141">
        <f t="shared" si="795"/>
        <v>0</v>
      </c>
      <c r="H228" s="141">
        <f t="shared" si="795"/>
        <v>0</v>
      </c>
      <c r="I228" s="141">
        <f t="shared" si="795"/>
        <v>0</v>
      </c>
      <c r="J228" s="141">
        <f t="shared" si="795"/>
        <v>0</v>
      </c>
      <c r="K228" s="141">
        <f t="shared" si="795"/>
        <v>0</v>
      </c>
      <c r="L228" s="141">
        <f t="shared" si="795"/>
        <v>0</v>
      </c>
      <c r="M228" s="141">
        <f t="shared" si="795"/>
        <v>0</v>
      </c>
      <c r="N228" s="141">
        <f t="shared" si="795"/>
        <v>0</v>
      </c>
      <c r="O228" s="141">
        <f t="shared" si="795"/>
        <v>0</v>
      </c>
      <c r="P228" s="141">
        <f t="shared" si="795"/>
        <v>0</v>
      </c>
      <c r="Q228" s="141">
        <f t="shared" si="795"/>
        <v>0</v>
      </c>
      <c r="R228" s="141">
        <f t="shared" si="795"/>
        <v>0</v>
      </c>
      <c r="S228" s="141">
        <f t="shared" si="795"/>
        <v>0</v>
      </c>
      <c r="T228" s="141">
        <f t="shared" si="795"/>
        <v>0</v>
      </c>
      <c r="U228" s="141">
        <f t="shared" si="795"/>
        <v>0</v>
      </c>
      <c r="V228" s="141">
        <f t="shared" si="795"/>
        <v>0</v>
      </c>
      <c r="W228" s="141">
        <f t="shared" si="795"/>
        <v>0</v>
      </c>
      <c r="X228" s="141">
        <f t="shared" si="795"/>
        <v>0</v>
      </c>
      <c r="Y228" s="141">
        <f t="shared" si="795"/>
        <v>0</v>
      </c>
      <c r="Z228" s="141">
        <f t="shared" si="795"/>
        <v>0</v>
      </c>
      <c r="AA228" s="141">
        <f t="shared" si="795"/>
        <v>0</v>
      </c>
      <c r="AB228" s="141">
        <f t="shared" si="795"/>
        <v>0</v>
      </c>
      <c r="AC228" s="141">
        <f t="shared" si="795"/>
        <v>0</v>
      </c>
      <c r="AD228" s="141">
        <f t="shared" si="795"/>
        <v>0</v>
      </c>
      <c r="AE228" s="141">
        <f t="shared" si="795"/>
        <v>0</v>
      </c>
      <c r="AF228" s="141">
        <f t="shared" si="795"/>
        <v>0</v>
      </c>
      <c r="AG228" s="141">
        <f t="shared" si="795"/>
        <v>0</v>
      </c>
      <c r="AH228" s="141">
        <f t="shared" si="795"/>
        <v>0</v>
      </c>
      <c r="AI228" s="141">
        <f t="shared" si="795"/>
        <v>0</v>
      </c>
      <c r="AJ228" s="141">
        <f t="shared" si="795"/>
        <v>0</v>
      </c>
      <c r="AK228" s="141">
        <f t="shared" si="795"/>
        <v>0</v>
      </c>
      <c r="AL228" s="141">
        <f t="shared" si="795"/>
        <v>0</v>
      </c>
      <c r="AM228" s="141">
        <f t="shared" si="795"/>
        <v>0</v>
      </c>
      <c r="AN228" s="141">
        <f t="shared" si="795"/>
        <v>0</v>
      </c>
      <c r="AO228" s="141">
        <f t="shared" si="795"/>
        <v>0</v>
      </c>
      <c r="AP228" s="141">
        <f t="shared" si="795"/>
        <v>0</v>
      </c>
    </row>
    <row r="229" spans="1:42">
      <c r="A229" s="204" t="str">
        <f>'Inputs &amp; Results'!A69</f>
        <v>Utility</v>
      </c>
      <c r="C229" s="141">
        <f t="shared" ref="C229:AP229" si="796">IF(AND(PBIUtilityStateTax="Yes",PBIUtilityDebtSwitch="No"),C591,0)</f>
        <v>0</v>
      </c>
      <c r="D229" s="141">
        <f t="shared" si="796"/>
        <v>0</v>
      </c>
      <c r="E229" s="141">
        <f t="shared" si="796"/>
        <v>0</v>
      </c>
      <c r="F229" s="141">
        <f t="shared" si="796"/>
        <v>0</v>
      </c>
      <c r="G229" s="141">
        <f t="shared" si="796"/>
        <v>0</v>
      </c>
      <c r="H229" s="141">
        <f t="shared" si="796"/>
        <v>0</v>
      </c>
      <c r="I229" s="141">
        <f t="shared" si="796"/>
        <v>0</v>
      </c>
      <c r="J229" s="141">
        <f t="shared" si="796"/>
        <v>0</v>
      </c>
      <c r="K229" s="141">
        <f t="shared" si="796"/>
        <v>0</v>
      </c>
      <c r="L229" s="141">
        <f t="shared" si="796"/>
        <v>0</v>
      </c>
      <c r="M229" s="141">
        <f t="shared" si="796"/>
        <v>0</v>
      </c>
      <c r="N229" s="141">
        <f t="shared" si="796"/>
        <v>0</v>
      </c>
      <c r="O229" s="141">
        <f t="shared" si="796"/>
        <v>0</v>
      </c>
      <c r="P229" s="141">
        <f t="shared" si="796"/>
        <v>0</v>
      </c>
      <c r="Q229" s="141">
        <f t="shared" si="796"/>
        <v>0</v>
      </c>
      <c r="R229" s="141">
        <f t="shared" si="796"/>
        <v>0</v>
      </c>
      <c r="S229" s="141">
        <f t="shared" si="796"/>
        <v>0</v>
      </c>
      <c r="T229" s="141">
        <f t="shared" si="796"/>
        <v>0</v>
      </c>
      <c r="U229" s="141">
        <f t="shared" si="796"/>
        <v>0</v>
      </c>
      <c r="V229" s="141">
        <f t="shared" si="796"/>
        <v>0</v>
      </c>
      <c r="W229" s="141">
        <f t="shared" si="796"/>
        <v>0</v>
      </c>
      <c r="X229" s="141">
        <f t="shared" si="796"/>
        <v>0</v>
      </c>
      <c r="Y229" s="141">
        <f t="shared" si="796"/>
        <v>0</v>
      </c>
      <c r="Z229" s="141">
        <f t="shared" si="796"/>
        <v>0</v>
      </c>
      <c r="AA229" s="141">
        <f t="shared" si="796"/>
        <v>0</v>
      </c>
      <c r="AB229" s="141">
        <f t="shared" si="796"/>
        <v>0</v>
      </c>
      <c r="AC229" s="141">
        <f t="shared" si="796"/>
        <v>0</v>
      </c>
      <c r="AD229" s="141">
        <f t="shared" si="796"/>
        <v>0</v>
      </c>
      <c r="AE229" s="141">
        <f t="shared" si="796"/>
        <v>0</v>
      </c>
      <c r="AF229" s="141">
        <f t="shared" si="796"/>
        <v>0</v>
      </c>
      <c r="AG229" s="141">
        <f t="shared" si="796"/>
        <v>0</v>
      </c>
      <c r="AH229" s="141">
        <f t="shared" si="796"/>
        <v>0</v>
      </c>
      <c r="AI229" s="141">
        <f t="shared" si="796"/>
        <v>0</v>
      </c>
      <c r="AJ229" s="141">
        <f t="shared" si="796"/>
        <v>0</v>
      </c>
      <c r="AK229" s="141">
        <f t="shared" si="796"/>
        <v>0</v>
      </c>
      <c r="AL229" s="141">
        <f t="shared" si="796"/>
        <v>0</v>
      </c>
      <c r="AM229" s="141">
        <f t="shared" si="796"/>
        <v>0</v>
      </c>
      <c r="AN229" s="141">
        <f t="shared" si="796"/>
        <v>0</v>
      </c>
      <c r="AO229" s="141">
        <f t="shared" si="796"/>
        <v>0</v>
      </c>
      <c r="AP229" s="141">
        <f t="shared" si="796"/>
        <v>0</v>
      </c>
    </row>
    <row r="230" spans="1:42">
      <c r="A230" s="204" t="str">
        <f>'Inputs &amp; Results'!A70</f>
        <v>Other</v>
      </c>
      <c r="C230" s="203">
        <f t="shared" ref="C230:AP230" si="797">IF(AND(PBIOtherStateTax="Yes",PBIOtherDebtSwitch="No"),C595,0)</f>
        <v>0</v>
      </c>
      <c r="D230" s="203">
        <f t="shared" si="797"/>
        <v>0</v>
      </c>
      <c r="E230" s="203">
        <f t="shared" si="797"/>
        <v>0</v>
      </c>
      <c r="F230" s="203">
        <f t="shared" si="797"/>
        <v>0</v>
      </c>
      <c r="G230" s="203">
        <f t="shared" si="797"/>
        <v>0</v>
      </c>
      <c r="H230" s="203">
        <f t="shared" si="797"/>
        <v>0</v>
      </c>
      <c r="I230" s="203">
        <f t="shared" si="797"/>
        <v>0</v>
      </c>
      <c r="J230" s="203">
        <f t="shared" si="797"/>
        <v>0</v>
      </c>
      <c r="K230" s="203">
        <f t="shared" si="797"/>
        <v>0</v>
      </c>
      <c r="L230" s="203">
        <f t="shared" si="797"/>
        <v>0</v>
      </c>
      <c r="M230" s="203">
        <f t="shared" si="797"/>
        <v>0</v>
      </c>
      <c r="N230" s="203">
        <f t="shared" si="797"/>
        <v>0</v>
      </c>
      <c r="O230" s="203">
        <f t="shared" si="797"/>
        <v>0</v>
      </c>
      <c r="P230" s="203">
        <f t="shared" si="797"/>
        <v>0</v>
      </c>
      <c r="Q230" s="203">
        <f t="shared" si="797"/>
        <v>0</v>
      </c>
      <c r="R230" s="203">
        <f t="shared" si="797"/>
        <v>0</v>
      </c>
      <c r="S230" s="203">
        <f t="shared" si="797"/>
        <v>0</v>
      </c>
      <c r="T230" s="203">
        <f t="shared" si="797"/>
        <v>0</v>
      </c>
      <c r="U230" s="203">
        <f t="shared" si="797"/>
        <v>0</v>
      </c>
      <c r="V230" s="203">
        <f t="shared" si="797"/>
        <v>0</v>
      </c>
      <c r="W230" s="203">
        <f t="shared" si="797"/>
        <v>0</v>
      </c>
      <c r="X230" s="203">
        <f t="shared" si="797"/>
        <v>0</v>
      </c>
      <c r="Y230" s="203">
        <f t="shared" si="797"/>
        <v>0</v>
      </c>
      <c r="Z230" s="203">
        <f t="shared" si="797"/>
        <v>0</v>
      </c>
      <c r="AA230" s="203">
        <f t="shared" si="797"/>
        <v>0</v>
      </c>
      <c r="AB230" s="203">
        <f t="shared" si="797"/>
        <v>0</v>
      </c>
      <c r="AC230" s="203">
        <f t="shared" si="797"/>
        <v>0</v>
      </c>
      <c r="AD230" s="203">
        <f t="shared" si="797"/>
        <v>0</v>
      </c>
      <c r="AE230" s="203">
        <f t="shared" si="797"/>
        <v>0</v>
      </c>
      <c r="AF230" s="203">
        <f t="shared" si="797"/>
        <v>0</v>
      </c>
      <c r="AG230" s="203">
        <f t="shared" si="797"/>
        <v>0</v>
      </c>
      <c r="AH230" s="203">
        <f t="shared" si="797"/>
        <v>0</v>
      </c>
      <c r="AI230" s="203">
        <f t="shared" si="797"/>
        <v>0</v>
      </c>
      <c r="AJ230" s="203">
        <f t="shared" si="797"/>
        <v>0</v>
      </c>
      <c r="AK230" s="203">
        <f t="shared" si="797"/>
        <v>0</v>
      </c>
      <c r="AL230" s="203">
        <f t="shared" si="797"/>
        <v>0</v>
      </c>
      <c r="AM230" s="203">
        <f t="shared" si="797"/>
        <v>0</v>
      </c>
      <c r="AN230" s="203">
        <f t="shared" si="797"/>
        <v>0</v>
      </c>
      <c r="AO230" s="203">
        <f t="shared" si="797"/>
        <v>0</v>
      </c>
      <c r="AP230" s="203">
        <f t="shared" si="797"/>
        <v>0</v>
      </c>
    </row>
    <row r="231" spans="1:42">
      <c r="A231" s="204" t="s">
        <v>53</v>
      </c>
      <c r="C231" s="194">
        <f>SUM(C227:C230)</f>
        <v>0</v>
      </c>
      <c r="D231" s="194">
        <f t="shared" ref="D231:AL231" si="798">SUM(D227:D230)</f>
        <v>0</v>
      </c>
      <c r="E231" s="194">
        <f t="shared" si="798"/>
        <v>0</v>
      </c>
      <c r="F231" s="194">
        <f t="shared" si="798"/>
        <v>0</v>
      </c>
      <c r="G231" s="194">
        <f t="shared" si="798"/>
        <v>0</v>
      </c>
      <c r="H231" s="194">
        <f t="shared" si="798"/>
        <v>0</v>
      </c>
      <c r="I231" s="194">
        <f t="shared" si="798"/>
        <v>0</v>
      </c>
      <c r="J231" s="194">
        <f t="shared" si="798"/>
        <v>0</v>
      </c>
      <c r="K231" s="194">
        <f t="shared" si="798"/>
        <v>0</v>
      </c>
      <c r="L231" s="194">
        <f t="shared" si="798"/>
        <v>0</v>
      </c>
      <c r="M231" s="194">
        <f t="shared" si="798"/>
        <v>0</v>
      </c>
      <c r="N231" s="194">
        <f t="shared" si="798"/>
        <v>0</v>
      </c>
      <c r="O231" s="194">
        <f t="shared" si="798"/>
        <v>0</v>
      </c>
      <c r="P231" s="194">
        <f t="shared" si="798"/>
        <v>0</v>
      </c>
      <c r="Q231" s="194">
        <f t="shared" si="798"/>
        <v>0</v>
      </c>
      <c r="R231" s="194">
        <f t="shared" si="798"/>
        <v>0</v>
      </c>
      <c r="S231" s="194">
        <f t="shared" si="798"/>
        <v>0</v>
      </c>
      <c r="T231" s="194">
        <f t="shared" si="798"/>
        <v>0</v>
      </c>
      <c r="U231" s="194">
        <f t="shared" si="798"/>
        <v>0</v>
      </c>
      <c r="V231" s="194">
        <f t="shared" si="798"/>
        <v>0</v>
      </c>
      <c r="W231" s="194">
        <f t="shared" si="798"/>
        <v>0</v>
      </c>
      <c r="X231" s="194">
        <f t="shared" si="798"/>
        <v>0</v>
      </c>
      <c r="Y231" s="194">
        <f t="shared" si="798"/>
        <v>0</v>
      </c>
      <c r="Z231" s="194">
        <f t="shared" si="798"/>
        <v>0</v>
      </c>
      <c r="AA231" s="194">
        <f t="shared" si="798"/>
        <v>0</v>
      </c>
      <c r="AB231" s="194">
        <f t="shared" si="798"/>
        <v>0</v>
      </c>
      <c r="AC231" s="194">
        <f t="shared" si="798"/>
        <v>0</v>
      </c>
      <c r="AD231" s="194">
        <f t="shared" si="798"/>
        <v>0</v>
      </c>
      <c r="AE231" s="194">
        <f t="shared" si="798"/>
        <v>0</v>
      </c>
      <c r="AF231" s="194">
        <f t="shared" si="798"/>
        <v>0</v>
      </c>
      <c r="AG231" s="194">
        <f t="shared" si="798"/>
        <v>0</v>
      </c>
      <c r="AH231" s="194">
        <f t="shared" si="798"/>
        <v>0</v>
      </c>
      <c r="AI231" s="194">
        <f t="shared" si="798"/>
        <v>0</v>
      </c>
      <c r="AJ231" s="194">
        <f t="shared" si="798"/>
        <v>0</v>
      </c>
      <c r="AK231" s="194">
        <f t="shared" si="798"/>
        <v>0</v>
      </c>
      <c r="AL231" s="194">
        <f t="shared" si="798"/>
        <v>0</v>
      </c>
      <c r="AM231" s="194">
        <f>SUM(AM227:AM230)</f>
        <v>0</v>
      </c>
      <c r="AN231" s="194">
        <f t="shared" ref="AN231:AP231" si="799">SUM(AN227:AN230)</f>
        <v>0</v>
      </c>
      <c r="AO231" s="194">
        <f t="shared" si="799"/>
        <v>0</v>
      </c>
      <c r="AP231" s="194">
        <f t="shared" si="799"/>
        <v>0</v>
      </c>
    </row>
    <row r="232" spans="1:42">
      <c r="A232" s="197" t="s">
        <v>131</v>
      </c>
      <c r="C232" s="186">
        <f>C213+C219+C225+C231</f>
        <v>13791229.75</v>
      </c>
      <c r="D232" s="186">
        <f t="shared" ref="D232" si="800">D213+D219+D225+D231</f>
        <v>0</v>
      </c>
      <c r="E232" s="186">
        <f t="shared" ref="E232" si="801">E213+E219+E225+E231</f>
        <v>0</v>
      </c>
      <c r="F232" s="186">
        <f t="shared" ref="F232" si="802">F213+F219+F225+F231</f>
        <v>0</v>
      </c>
      <c r="G232" s="186">
        <f t="shared" ref="G232" si="803">G213+G219+G225+G231</f>
        <v>0</v>
      </c>
      <c r="H232" s="186">
        <f t="shared" ref="H232" si="804">H213+H219+H225+H231</f>
        <v>0</v>
      </c>
      <c r="I232" s="186">
        <f t="shared" ref="I232" si="805">I213+I219+I225+I231</f>
        <v>0</v>
      </c>
      <c r="J232" s="186">
        <f t="shared" ref="J232" si="806">J213+J219+J225+J231</f>
        <v>0</v>
      </c>
      <c r="K232" s="186">
        <f t="shared" ref="K232" si="807">K213+K219+K225+K231</f>
        <v>0</v>
      </c>
      <c r="L232" s="186">
        <f t="shared" ref="L232" si="808">L213+L219+L225+L231</f>
        <v>0</v>
      </c>
      <c r="M232" s="186">
        <f t="shared" ref="M232" si="809">M213+M219+M225+M231</f>
        <v>0</v>
      </c>
      <c r="N232" s="186">
        <f t="shared" ref="N232" si="810">N213+N219+N225+N231</f>
        <v>0</v>
      </c>
      <c r="O232" s="186">
        <f t="shared" ref="O232" si="811">O213+O219+O225+O231</f>
        <v>0</v>
      </c>
      <c r="P232" s="186">
        <f t="shared" ref="P232" si="812">P213+P219+P225+P231</f>
        <v>0</v>
      </c>
      <c r="Q232" s="186">
        <f t="shared" ref="Q232" si="813">Q213+Q219+Q225+Q231</f>
        <v>0</v>
      </c>
      <c r="R232" s="186">
        <f t="shared" ref="R232" si="814">R213+R219+R225+R231</f>
        <v>0</v>
      </c>
      <c r="S232" s="186">
        <f t="shared" ref="S232" si="815">S213+S219+S225+S231</f>
        <v>0</v>
      </c>
      <c r="T232" s="186">
        <f t="shared" ref="T232" si="816">T213+T219+T225+T231</f>
        <v>0</v>
      </c>
      <c r="U232" s="186">
        <f t="shared" ref="U232" si="817">U213+U219+U225+U231</f>
        <v>0</v>
      </c>
      <c r="V232" s="186">
        <f t="shared" ref="V232" si="818">V213+V219+V225+V231</f>
        <v>0</v>
      </c>
      <c r="W232" s="186">
        <f t="shared" ref="W232" si="819">W213+W219+W225+W231</f>
        <v>0</v>
      </c>
      <c r="X232" s="186">
        <f t="shared" ref="X232" si="820">X213+X219+X225+X231</f>
        <v>0</v>
      </c>
      <c r="Y232" s="186">
        <f t="shared" ref="Y232" si="821">Y213+Y219+Y225+Y231</f>
        <v>0</v>
      </c>
      <c r="Z232" s="186">
        <f t="shared" ref="Z232" si="822">Z213+Z219+Z225+Z231</f>
        <v>0</v>
      </c>
      <c r="AA232" s="186">
        <f t="shared" ref="AA232" si="823">AA213+AA219+AA225+AA231</f>
        <v>0</v>
      </c>
      <c r="AB232" s="186">
        <f t="shared" ref="AB232" si="824">AB213+AB219+AB225+AB231</f>
        <v>0</v>
      </c>
      <c r="AC232" s="186">
        <f t="shared" ref="AC232" si="825">AC213+AC219+AC225+AC231</f>
        <v>0</v>
      </c>
      <c r="AD232" s="186">
        <f t="shared" ref="AD232" si="826">AD213+AD219+AD225+AD231</f>
        <v>0</v>
      </c>
      <c r="AE232" s="186">
        <f t="shared" ref="AE232" si="827">AE213+AE219+AE225+AE231</f>
        <v>0</v>
      </c>
      <c r="AF232" s="186">
        <f t="shared" ref="AF232" si="828">AF213+AF219+AF225+AF231</f>
        <v>0</v>
      </c>
      <c r="AG232" s="186">
        <f t="shared" ref="AG232" si="829">AG213+AG219+AG225+AG231</f>
        <v>0</v>
      </c>
      <c r="AH232" s="186">
        <f t="shared" ref="AH232" si="830">AH213+AH219+AH225+AH231</f>
        <v>0</v>
      </c>
      <c r="AI232" s="186">
        <f t="shared" ref="AI232" si="831">AI213+AI219+AI225+AI231</f>
        <v>0</v>
      </c>
      <c r="AJ232" s="186">
        <f t="shared" ref="AJ232" si="832">AJ213+AJ219+AJ225+AJ231</f>
        <v>0</v>
      </c>
      <c r="AK232" s="186">
        <f t="shared" ref="AK232" si="833">AK213+AK219+AK225+AK231</f>
        <v>0</v>
      </c>
      <c r="AL232" s="186">
        <f t="shared" ref="AL232" si="834">AL213+AL219+AL225+AL231</f>
        <v>0</v>
      </c>
      <c r="AM232" s="186">
        <f t="shared" ref="AM232" si="835">AM213+AM219+AM225+AM231</f>
        <v>0</v>
      </c>
      <c r="AN232" s="186">
        <f t="shared" ref="AN232" si="836">AN213+AN219+AN225+AN231</f>
        <v>0</v>
      </c>
      <c r="AO232" s="186">
        <f t="shared" ref="AO232" si="837">AO213+AO219+AO225+AO231</f>
        <v>0</v>
      </c>
      <c r="AP232" s="186">
        <f t="shared" ref="AP232" si="838">AP213+AP219+AP225+AP231</f>
        <v>0</v>
      </c>
    </row>
    <row r="233" spans="1:42">
      <c r="A233" s="204"/>
      <c r="C233" s="186"/>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row>
    <row r="234" spans="1:42">
      <c r="A234" s="197" t="s">
        <v>132</v>
      </c>
      <c r="C234" s="186">
        <f>C206+C232</f>
        <v>7549431.3065293524</v>
      </c>
      <c r="D234" s="186">
        <f t="shared" ref="D234:AP234" si="839">D206+D232</f>
        <v>-8679921.1341283619</v>
      </c>
      <c r="E234" s="186">
        <f t="shared" si="839"/>
        <v>-3660456.5621161698</v>
      </c>
      <c r="F234" s="186">
        <f t="shared" si="839"/>
        <v>-544243.07405742723</v>
      </c>
      <c r="G234" s="186">
        <f t="shared" si="839"/>
        <v>-271512.56644902937</v>
      </c>
      <c r="H234" s="186">
        <f t="shared" si="839"/>
        <v>2158762.8490873985</v>
      </c>
      <c r="I234" s="186">
        <f t="shared" si="839"/>
        <v>4605974.7207820956</v>
      </c>
      <c r="J234" s="186">
        <f t="shared" si="839"/>
        <v>4942090.6234963303</v>
      </c>
      <c r="K234" s="186">
        <f t="shared" si="839"/>
        <v>5274026.1959402002</v>
      </c>
      <c r="L234" s="186">
        <f t="shared" si="839"/>
        <v>5625422.6287720529</v>
      </c>
      <c r="M234" s="186">
        <f t="shared" si="839"/>
        <v>6009280.5619223574</v>
      </c>
      <c r="N234" s="186">
        <f t="shared" si="839"/>
        <v>5529708.9901052415</v>
      </c>
      <c r="O234" s="186">
        <f t="shared" si="839"/>
        <v>5227611.7518892391</v>
      </c>
      <c r="P234" s="186">
        <f t="shared" si="839"/>
        <v>5747746.2435412779</v>
      </c>
      <c r="Q234" s="186">
        <f t="shared" si="839"/>
        <v>4855632.7807914931</v>
      </c>
      <c r="R234" s="186">
        <f t="shared" si="839"/>
        <v>4180339.0591746862</v>
      </c>
      <c r="S234" s="186">
        <f t="shared" si="839"/>
        <v>5352334.4756879052</v>
      </c>
      <c r="T234" s="186">
        <f t="shared" si="839"/>
        <v>6114215.1276996508</v>
      </c>
      <c r="U234" s="186">
        <f t="shared" si="839"/>
        <v>6226711.4912905348</v>
      </c>
      <c r="V234" s="186">
        <f t="shared" si="839"/>
        <v>6736729.0032041017</v>
      </c>
      <c r="W234" s="186">
        <f t="shared" si="839"/>
        <v>7248049.532286549</v>
      </c>
      <c r="X234" s="186">
        <f t="shared" si="839"/>
        <v>7383214.6045459332</v>
      </c>
      <c r="Y234" s="186">
        <f t="shared" si="839"/>
        <v>7529739.4189652251</v>
      </c>
      <c r="Z234" s="186">
        <f t="shared" si="839"/>
        <v>6938544.3559648925</v>
      </c>
      <c r="AA234" s="186">
        <f t="shared" si="839"/>
        <v>6560001.2795944996</v>
      </c>
      <c r="AB234" s="186">
        <f t="shared" si="839"/>
        <v>7157896.8873602217</v>
      </c>
      <c r="AC234" s="186">
        <f t="shared" si="839"/>
        <v>7540452.3459337801</v>
      </c>
      <c r="AD234" s="186">
        <f t="shared" si="839"/>
        <v>7644849.0832159556</v>
      </c>
      <c r="AE234" s="186">
        <f t="shared" si="839"/>
        <v>8000946.109539777</v>
      </c>
      <c r="AF234" s="186">
        <f t="shared" si="839"/>
        <v>10803102.654839028</v>
      </c>
      <c r="AG234" s="186">
        <f t="shared" si="839"/>
        <v>0</v>
      </c>
      <c r="AH234" s="186">
        <f t="shared" si="839"/>
        <v>0</v>
      </c>
      <c r="AI234" s="186">
        <f t="shared" si="839"/>
        <v>0</v>
      </c>
      <c r="AJ234" s="186">
        <f t="shared" si="839"/>
        <v>0</v>
      </c>
      <c r="AK234" s="186">
        <f t="shared" si="839"/>
        <v>0</v>
      </c>
      <c r="AL234" s="186">
        <f t="shared" si="839"/>
        <v>0</v>
      </c>
      <c r="AM234" s="186">
        <f t="shared" si="839"/>
        <v>0</v>
      </c>
      <c r="AN234" s="186">
        <f t="shared" si="839"/>
        <v>0</v>
      </c>
      <c r="AO234" s="186">
        <f t="shared" si="839"/>
        <v>0</v>
      </c>
      <c r="AP234" s="186">
        <f t="shared" si="839"/>
        <v>0</v>
      </c>
    </row>
    <row r="235" spans="1:42">
      <c r="A235" s="197" t="s">
        <v>130</v>
      </c>
      <c r="C235" s="194">
        <f t="shared" ref="C235:AP235" si="840">C234*-StateTax</f>
        <v>-415218.72185911436</v>
      </c>
      <c r="D235" s="194">
        <f t="shared" si="840"/>
        <v>477395.66237705993</v>
      </c>
      <c r="E235" s="194">
        <f t="shared" si="840"/>
        <v>201325.11091638936</v>
      </c>
      <c r="F235" s="194">
        <f t="shared" si="840"/>
        <v>29933.369073158497</v>
      </c>
      <c r="G235" s="194">
        <f t="shared" si="840"/>
        <v>14933.191154696615</v>
      </c>
      <c r="H235" s="194">
        <f t="shared" si="840"/>
        <v>-118731.95669980692</v>
      </c>
      <c r="I235" s="194">
        <f t="shared" si="840"/>
        <v>-253328.60964301525</v>
      </c>
      <c r="J235" s="194">
        <f t="shared" si="840"/>
        <v>-271814.98429229815</v>
      </c>
      <c r="K235" s="194">
        <f t="shared" si="840"/>
        <v>-290071.44077671104</v>
      </c>
      <c r="L235" s="194">
        <f t="shared" si="840"/>
        <v>-309398.24458246294</v>
      </c>
      <c r="M235" s="194">
        <f t="shared" si="840"/>
        <v>-330510.43090572965</v>
      </c>
      <c r="N235" s="194">
        <f t="shared" si="840"/>
        <v>-304133.99445578828</v>
      </c>
      <c r="O235" s="194">
        <f t="shared" si="840"/>
        <v>-287518.64635390817</v>
      </c>
      <c r="P235" s="194">
        <f t="shared" si="840"/>
        <v>-316126.0433947703</v>
      </c>
      <c r="Q235" s="194">
        <f t="shared" si="840"/>
        <v>-267059.80294353212</v>
      </c>
      <c r="R235" s="194">
        <f t="shared" si="840"/>
        <v>-229918.64825460775</v>
      </c>
      <c r="S235" s="194">
        <f t="shared" si="840"/>
        <v>-294378.39616283478</v>
      </c>
      <c r="T235" s="194">
        <f t="shared" si="840"/>
        <v>-336281.83202348079</v>
      </c>
      <c r="U235" s="194">
        <f t="shared" si="840"/>
        <v>-342469.13202097942</v>
      </c>
      <c r="V235" s="194">
        <f t="shared" si="840"/>
        <v>-370520.09517622559</v>
      </c>
      <c r="W235" s="194">
        <f t="shared" si="840"/>
        <v>-398642.72427576018</v>
      </c>
      <c r="X235" s="194">
        <f t="shared" si="840"/>
        <v>-406076.80325002631</v>
      </c>
      <c r="Y235" s="194">
        <f t="shared" si="840"/>
        <v>-414135.66804308741</v>
      </c>
      <c r="Z235" s="194">
        <f t="shared" si="840"/>
        <v>-381619.93957806908</v>
      </c>
      <c r="AA235" s="194">
        <f t="shared" si="840"/>
        <v>-360800.07037769747</v>
      </c>
      <c r="AB235" s="194">
        <f t="shared" si="840"/>
        <v>-393684.32880481222</v>
      </c>
      <c r="AC235" s="194">
        <f t="shared" si="840"/>
        <v>-414724.8790263579</v>
      </c>
      <c r="AD235" s="194">
        <f t="shared" si="840"/>
        <v>-420466.69957687758</v>
      </c>
      <c r="AE235" s="194">
        <f t="shared" si="840"/>
        <v>-440052.03602468775</v>
      </c>
      <c r="AF235" s="194">
        <f t="shared" si="840"/>
        <v>-594170.64601614652</v>
      </c>
      <c r="AG235" s="194">
        <f t="shared" si="840"/>
        <v>0</v>
      </c>
      <c r="AH235" s="194">
        <f t="shared" si="840"/>
        <v>0</v>
      </c>
      <c r="AI235" s="194">
        <f t="shared" si="840"/>
        <v>0</v>
      </c>
      <c r="AJ235" s="194">
        <f t="shared" si="840"/>
        <v>0</v>
      </c>
      <c r="AK235" s="194">
        <f t="shared" si="840"/>
        <v>0</v>
      </c>
      <c r="AL235" s="194">
        <f t="shared" si="840"/>
        <v>0</v>
      </c>
      <c r="AM235" s="194">
        <f t="shared" si="840"/>
        <v>0</v>
      </c>
      <c r="AN235" s="194">
        <f t="shared" si="840"/>
        <v>0</v>
      </c>
      <c r="AO235" s="194">
        <f t="shared" si="840"/>
        <v>0</v>
      </c>
      <c r="AP235" s="194">
        <f t="shared" si="840"/>
        <v>0</v>
      </c>
    </row>
    <row r="236" spans="1:42" s="118" customFormat="1">
      <c r="A236" s="42"/>
    </row>
    <row r="237" spans="1:42" s="118" customFormat="1">
      <c r="A237" s="195" t="s">
        <v>119</v>
      </c>
    </row>
    <row r="238" spans="1:42" s="118" customFormat="1">
      <c r="A238" s="42" t="s">
        <v>116</v>
      </c>
      <c r="C238" s="198">
        <f>C$43</f>
        <v>5130924.9360721735</v>
      </c>
      <c r="D238" s="198">
        <f t="shared" ref="D238:AP238" si="841">D$43</f>
        <v>5224480.1535440227</v>
      </c>
      <c r="E238" s="198">
        <f t="shared" si="841"/>
        <v>5319178.3042360479</v>
      </c>
      <c r="F238" s="198">
        <f t="shared" si="841"/>
        <v>5415035.5329115689</v>
      </c>
      <c r="G238" s="198">
        <f t="shared" si="841"/>
        <v>5512068.2044891519</v>
      </c>
      <c r="H238" s="198">
        <f t="shared" si="841"/>
        <v>5610292.9068568042</v>
      </c>
      <c r="I238" s="198">
        <f t="shared" si="841"/>
        <v>5709726.4537174851</v>
      </c>
      <c r="J238" s="198">
        <f t="shared" si="841"/>
        <v>5810385.8874661699</v>
      </c>
      <c r="K238" s="198">
        <f t="shared" si="841"/>
        <v>5912288.4820986763</v>
      </c>
      <c r="L238" s="198">
        <f t="shared" si="841"/>
        <v>6015451.7461524587</v>
      </c>
      <c r="M238" s="198">
        <f t="shared" si="841"/>
        <v>6119893.4256796334</v>
      </c>
      <c r="N238" s="198">
        <f t="shared" si="841"/>
        <v>6225631.5072523979</v>
      </c>
      <c r="O238" s="198">
        <f t="shared" si="841"/>
        <v>6332684.2210011082</v>
      </c>
      <c r="P238" s="198">
        <f t="shared" si="841"/>
        <v>6441070.0436851662</v>
      </c>
      <c r="Q238" s="198">
        <f t="shared" si="841"/>
        <v>6550807.7017969862</v>
      </c>
      <c r="R238" s="198">
        <f t="shared" si="841"/>
        <v>6661916.174699191</v>
      </c>
      <c r="S238" s="198">
        <f t="shared" si="841"/>
        <v>6774414.6977952812</v>
      </c>
      <c r="T238" s="198">
        <f t="shared" si="841"/>
        <v>6888322.7657339126</v>
      </c>
      <c r="U238" s="198">
        <f t="shared" si="841"/>
        <v>7003660.1356470631</v>
      </c>
      <c r="V238" s="198">
        <f t="shared" si="841"/>
        <v>7120446.8304221872</v>
      </c>
      <c r="W238" s="198">
        <f t="shared" si="841"/>
        <v>7238703.1420086045</v>
      </c>
      <c r="X238" s="198">
        <f t="shared" si="841"/>
        <v>7344118.712570752</v>
      </c>
      <c r="Y238" s="198">
        <f t="shared" si="841"/>
        <v>7451045.304426033</v>
      </c>
      <c r="Z238" s="198">
        <f t="shared" si="841"/>
        <v>7559504.0368923601</v>
      </c>
      <c r="AA238" s="198">
        <f t="shared" si="841"/>
        <v>7669516.3119206326</v>
      </c>
      <c r="AB238" s="198">
        <f t="shared" si="841"/>
        <v>7781103.8175747218</v>
      </c>
      <c r="AC238" s="198">
        <f t="shared" si="841"/>
        <v>7894288.5315467063</v>
      </c>
      <c r="AD238" s="198">
        <f t="shared" si="841"/>
        <v>8009092.7247074135</v>
      </c>
      <c r="AE238" s="198">
        <f t="shared" si="841"/>
        <v>8125538.9646924967</v>
      </c>
      <c r="AF238" s="198">
        <f t="shared" si="841"/>
        <v>12266365.119524082</v>
      </c>
      <c r="AG238" s="198">
        <f t="shared" si="841"/>
        <v>0</v>
      </c>
      <c r="AH238" s="198">
        <f t="shared" si="841"/>
        <v>0</v>
      </c>
      <c r="AI238" s="198">
        <f t="shared" si="841"/>
        <v>0</v>
      </c>
      <c r="AJ238" s="198">
        <f t="shared" si="841"/>
        <v>0</v>
      </c>
      <c r="AK238" s="198">
        <f t="shared" si="841"/>
        <v>0</v>
      </c>
      <c r="AL238" s="198">
        <f t="shared" si="841"/>
        <v>0</v>
      </c>
      <c r="AM238" s="198">
        <f t="shared" si="841"/>
        <v>0</v>
      </c>
      <c r="AN238" s="198">
        <f t="shared" si="841"/>
        <v>0</v>
      </c>
      <c r="AO238" s="198">
        <f t="shared" si="841"/>
        <v>0</v>
      </c>
      <c r="AP238" s="198">
        <f t="shared" si="841"/>
        <v>0</v>
      </c>
    </row>
    <row r="239" spans="1:42" s="118" customFormat="1">
      <c r="A239" s="42" t="s">
        <v>129</v>
      </c>
      <c r="C239" s="198">
        <f t="shared" ref="C239:AP239" si="842">C739</f>
        <v>28528.458178202956</v>
      </c>
      <c r="D239" s="198">
        <f t="shared" si="842"/>
        <v>41155.008793442918</v>
      </c>
      <c r="E239" s="198">
        <f t="shared" si="842"/>
        <v>53788.226519133903</v>
      </c>
      <c r="F239" s="198">
        <f t="shared" si="842"/>
        <v>64616.161421195531</v>
      </c>
      <c r="G239" s="198">
        <f t="shared" si="842"/>
        <v>77290.448270984823</v>
      </c>
      <c r="H239" s="198">
        <f t="shared" si="842"/>
        <v>89971.688633716185</v>
      </c>
      <c r="I239" s="198">
        <f t="shared" si="842"/>
        <v>100765.16524699876</v>
      </c>
      <c r="J239" s="198">
        <f t="shared" si="842"/>
        <v>113489.31321603422</v>
      </c>
      <c r="K239" s="198">
        <f t="shared" si="842"/>
        <v>126220.7129568919</v>
      </c>
      <c r="L239" s="198">
        <f t="shared" si="842"/>
        <v>136978.09917461983</v>
      </c>
      <c r="M239" s="198">
        <f t="shared" si="842"/>
        <v>118110.60951335869</v>
      </c>
      <c r="N239" s="198">
        <f t="shared" si="842"/>
        <v>130277.59365682983</v>
      </c>
      <c r="O239" s="198">
        <f t="shared" si="842"/>
        <v>88847.901148577046</v>
      </c>
      <c r="P239" s="198">
        <f t="shared" si="842"/>
        <v>101886.37546337843</v>
      </c>
      <c r="Q239" s="198">
        <f t="shared" si="842"/>
        <v>114924.84977817982</v>
      </c>
      <c r="R239" s="198">
        <f t="shared" si="842"/>
        <v>18029.125128545482</v>
      </c>
      <c r="S239" s="198">
        <f t="shared" si="842"/>
        <v>32898.398355727615</v>
      </c>
      <c r="T239" s="198">
        <f t="shared" si="842"/>
        <v>47767.671582909745</v>
      </c>
      <c r="U239" s="198">
        <f t="shared" si="842"/>
        <v>60382.909231071135</v>
      </c>
      <c r="V239" s="198">
        <f t="shared" si="842"/>
        <v>75286.502685733882</v>
      </c>
      <c r="W239" s="198">
        <f t="shared" si="842"/>
        <v>90190.096140396621</v>
      </c>
      <c r="X239" s="198">
        <f t="shared" si="842"/>
        <v>102736.69333359678</v>
      </c>
      <c r="Y239" s="198">
        <f t="shared" si="842"/>
        <v>117676.17470796108</v>
      </c>
      <c r="Z239" s="198">
        <f t="shared" si="842"/>
        <v>132615.65608232541</v>
      </c>
      <c r="AA239" s="198">
        <f t="shared" si="842"/>
        <v>83473.976921940499</v>
      </c>
      <c r="AB239" s="198">
        <f t="shared" si="842"/>
        <v>93316.277141678642</v>
      </c>
      <c r="AC239" s="198">
        <f t="shared" si="842"/>
        <v>103158.57736141678</v>
      </c>
      <c r="AD239" s="198">
        <f t="shared" si="842"/>
        <v>110423.63589592067</v>
      </c>
      <c r="AE239" s="198">
        <f t="shared" si="842"/>
        <v>120305.1775197134</v>
      </c>
      <c r="AF239" s="198">
        <f t="shared" si="842"/>
        <v>130186.71914350611</v>
      </c>
      <c r="AG239" s="198">
        <f t="shared" si="842"/>
        <v>0</v>
      </c>
      <c r="AH239" s="198">
        <f t="shared" si="842"/>
        <v>0</v>
      </c>
      <c r="AI239" s="198">
        <f t="shared" si="842"/>
        <v>0</v>
      </c>
      <c r="AJ239" s="198">
        <f t="shared" si="842"/>
        <v>0</v>
      </c>
      <c r="AK239" s="198">
        <f t="shared" si="842"/>
        <v>0</v>
      </c>
      <c r="AL239" s="198">
        <f t="shared" si="842"/>
        <v>0</v>
      </c>
      <c r="AM239" s="198">
        <f t="shared" si="842"/>
        <v>0</v>
      </c>
      <c r="AN239" s="198">
        <f t="shared" si="842"/>
        <v>0</v>
      </c>
      <c r="AO239" s="198">
        <f t="shared" si="842"/>
        <v>0</v>
      </c>
      <c r="AP239" s="198">
        <f t="shared" si="842"/>
        <v>0</v>
      </c>
    </row>
    <row r="240" spans="1:42" s="118" customFormat="1">
      <c r="A240" s="42" t="s">
        <v>117</v>
      </c>
      <c r="C240" s="198">
        <f>-C618</f>
        <v>-1787948.5127279793</v>
      </c>
      <c r="D240" s="198">
        <f t="shared" ref="D240:AP240" si="843">-D618</f>
        <v>-1688290.5425787431</v>
      </c>
      <c r="E240" s="198">
        <f t="shared" si="843"/>
        <v>-1574860.1826434168</v>
      </c>
      <c r="F240" s="198">
        <f t="shared" si="843"/>
        <v>-1446422.0135743732</v>
      </c>
      <c r="G240" s="198">
        <f t="shared" si="843"/>
        <v>-1301723.5797390742</v>
      </c>
      <c r="H240" s="198">
        <f t="shared" si="843"/>
        <v>-1139227.2609717117</v>
      </c>
      <c r="I240" s="198">
        <f t="shared" si="843"/>
        <v>-957352.68864162313</v>
      </c>
      <c r="J240" s="198">
        <f t="shared" si="843"/>
        <v>-754477.15955315891</v>
      </c>
      <c r="K240" s="198">
        <f t="shared" si="843"/>
        <v>-528653.17591308313</v>
      </c>
      <c r="L240" s="198">
        <f t="shared" si="843"/>
        <v>-277859.67330109229</v>
      </c>
      <c r="M240" s="198">
        <f t="shared" si="843"/>
        <v>0</v>
      </c>
      <c r="N240" s="198">
        <f t="shared" si="843"/>
        <v>0</v>
      </c>
      <c r="O240" s="198">
        <f t="shared" si="843"/>
        <v>0</v>
      </c>
      <c r="P240" s="198">
        <f t="shared" si="843"/>
        <v>0</v>
      </c>
      <c r="Q240" s="198">
        <f t="shared" si="843"/>
        <v>0</v>
      </c>
      <c r="R240" s="198">
        <f t="shared" si="843"/>
        <v>0</v>
      </c>
      <c r="S240" s="198">
        <f t="shared" si="843"/>
        <v>0</v>
      </c>
      <c r="T240" s="198">
        <f t="shared" si="843"/>
        <v>0</v>
      </c>
      <c r="U240" s="198">
        <f t="shared" si="843"/>
        <v>0</v>
      </c>
      <c r="V240" s="198">
        <f t="shared" si="843"/>
        <v>0</v>
      </c>
      <c r="W240" s="198">
        <f t="shared" si="843"/>
        <v>0</v>
      </c>
      <c r="X240" s="198">
        <f t="shared" si="843"/>
        <v>0</v>
      </c>
      <c r="Y240" s="198">
        <f t="shared" si="843"/>
        <v>0</v>
      </c>
      <c r="Z240" s="198">
        <f t="shared" si="843"/>
        <v>0</v>
      </c>
      <c r="AA240" s="198">
        <f t="shared" si="843"/>
        <v>0</v>
      </c>
      <c r="AB240" s="198">
        <f t="shared" si="843"/>
        <v>0</v>
      </c>
      <c r="AC240" s="198">
        <f t="shared" si="843"/>
        <v>0</v>
      </c>
      <c r="AD240" s="198">
        <f t="shared" si="843"/>
        <v>0</v>
      </c>
      <c r="AE240" s="198">
        <f t="shared" si="843"/>
        <v>0</v>
      </c>
      <c r="AF240" s="198">
        <f t="shared" si="843"/>
        <v>0</v>
      </c>
      <c r="AG240" s="198">
        <f t="shared" si="843"/>
        <v>0</v>
      </c>
      <c r="AH240" s="198">
        <f t="shared" si="843"/>
        <v>0</v>
      </c>
      <c r="AI240" s="198">
        <f t="shared" si="843"/>
        <v>0</v>
      </c>
      <c r="AJ240" s="198">
        <f t="shared" si="843"/>
        <v>0</v>
      </c>
      <c r="AK240" s="198">
        <f t="shared" si="843"/>
        <v>0</v>
      </c>
      <c r="AL240" s="198">
        <f t="shared" si="843"/>
        <v>0</v>
      </c>
      <c r="AM240" s="198">
        <f t="shared" si="843"/>
        <v>0</v>
      </c>
      <c r="AN240" s="198">
        <f t="shared" si="843"/>
        <v>0</v>
      </c>
      <c r="AO240" s="198">
        <f t="shared" si="843"/>
        <v>0</v>
      </c>
      <c r="AP240" s="198">
        <f t="shared" si="843"/>
        <v>0</v>
      </c>
    </row>
    <row r="241" spans="1:42" s="42" customFormat="1">
      <c r="A241" s="42" t="s">
        <v>120</v>
      </c>
      <c r="B241" s="118"/>
      <c r="C241" s="141">
        <f t="shared" ref="C241:AP241" si="844">IF(C$2&lt;=AnalysisPeriod,-C461-C492-C518-C544,0)</f>
        <v>-11197916.47051556</v>
      </c>
      <c r="D241" s="141">
        <f t="shared" si="844"/>
        <v>-11625420.495678077</v>
      </c>
      <c r="E241" s="141">
        <f t="shared" si="844"/>
        <v>-7079455.7553025307</v>
      </c>
      <c r="F241" s="141">
        <f t="shared" si="844"/>
        <v>-4350008.4618605757</v>
      </c>
      <c r="G241" s="141">
        <f t="shared" si="844"/>
        <v>-4331683.3465148499</v>
      </c>
      <c r="H241" s="141">
        <f t="shared" si="844"/>
        <v>-2288542.3389537879</v>
      </c>
      <c r="I241" s="141">
        <f t="shared" si="844"/>
        <v>-247164.20954076567</v>
      </c>
      <c r="J241" s="141">
        <f t="shared" si="844"/>
        <v>-227307.41763271511</v>
      </c>
      <c r="K241" s="141">
        <f t="shared" si="844"/>
        <v>-235829.82320228507</v>
      </c>
      <c r="L241" s="141">
        <f t="shared" si="844"/>
        <v>-249147.5432539329</v>
      </c>
      <c r="M241" s="141">
        <f t="shared" si="844"/>
        <v>-228723.47327063483</v>
      </c>
      <c r="N241" s="141">
        <f t="shared" si="844"/>
        <v>-826200.11080398643</v>
      </c>
      <c r="O241" s="141">
        <f t="shared" si="844"/>
        <v>-1193920.3702604463</v>
      </c>
      <c r="P241" s="141">
        <f t="shared" si="844"/>
        <v>-795210.17560726649</v>
      </c>
      <c r="Q241" s="141">
        <f t="shared" si="844"/>
        <v>-1810099.770783673</v>
      </c>
      <c r="R241" s="141">
        <f t="shared" si="844"/>
        <v>-2499606.2406530506</v>
      </c>
      <c r="S241" s="141">
        <f t="shared" si="844"/>
        <v>-1454978.6204631038</v>
      </c>
      <c r="T241" s="141">
        <f t="shared" si="844"/>
        <v>-821875.30961717141</v>
      </c>
      <c r="U241" s="141">
        <f t="shared" si="844"/>
        <v>-837331.55358759931</v>
      </c>
      <c r="V241" s="141">
        <f t="shared" si="844"/>
        <v>-459004.32990381925</v>
      </c>
      <c r="W241" s="141">
        <f t="shared" si="844"/>
        <v>-80843.705862452087</v>
      </c>
      <c r="X241" s="141">
        <f t="shared" si="844"/>
        <v>-63640.80135841544</v>
      </c>
      <c r="Y241" s="141">
        <f t="shared" si="844"/>
        <v>-38982.060168769363</v>
      </c>
      <c r="Z241" s="141">
        <f t="shared" si="844"/>
        <v>-753575.33700979326</v>
      </c>
      <c r="AA241" s="141">
        <f t="shared" si="844"/>
        <v>-1192989.0092480734</v>
      </c>
      <c r="AB241" s="141">
        <f t="shared" si="844"/>
        <v>-716523.20735617948</v>
      </c>
      <c r="AC241" s="141">
        <f t="shared" si="844"/>
        <v>-456994.76297434338</v>
      </c>
      <c r="AD241" s="141">
        <f t="shared" si="844"/>
        <v>-474667.27738737833</v>
      </c>
      <c r="AE241" s="141">
        <f t="shared" si="844"/>
        <v>-244898.03267243327</v>
      </c>
      <c r="AF241" s="141">
        <f t="shared" si="844"/>
        <v>-1593449.1838285606</v>
      </c>
      <c r="AG241" s="141">
        <f t="shared" si="844"/>
        <v>0</v>
      </c>
      <c r="AH241" s="141">
        <f t="shared" si="844"/>
        <v>0</v>
      </c>
      <c r="AI241" s="141">
        <f t="shared" si="844"/>
        <v>0</v>
      </c>
      <c r="AJ241" s="141">
        <f t="shared" si="844"/>
        <v>0</v>
      </c>
      <c r="AK241" s="141">
        <f t="shared" si="844"/>
        <v>0</v>
      </c>
      <c r="AL241" s="141">
        <f t="shared" si="844"/>
        <v>0</v>
      </c>
      <c r="AM241" s="141">
        <f t="shared" si="844"/>
        <v>0</v>
      </c>
      <c r="AN241" s="141">
        <f t="shared" si="844"/>
        <v>0</v>
      </c>
      <c r="AO241" s="141">
        <f t="shared" si="844"/>
        <v>0</v>
      </c>
      <c r="AP241" s="141">
        <f t="shared" si="844"/>
        <v>0</v>
      </c>
    </row>
    <row r="242" spans="1:42" s="118" customFormat="1">
      <c r="A242" s="42" t="s">
        <v>130</v>
      </c>
      <c r="C242" s="141">
        <f>C235</f>
        <v>-415218.72185911436</v>
      </c>
      <c r="D242" s="141">
        <f t="shared" ref="D242:AP242" si="845">D235</f>
        <v>477395.66237705993</v>
      </c>
      <c r="E242" s="141">
        <f t="shared" si="845"/>
        <v>201325.11091638936</v>
      </c>
      <c r="F242" s="141">
        <f t="shared" si="845"/>
        <v>29933.369073158497</v>
      </c>
      <c r="G242" s="141">
        <f t="shared" si="845"/>
        <v>14933.191154696615</v>
      </c>
      <c r="H242" s="141">
        <f t="shared" si="845"/>
        <v>-118731.95669980692</v>
      </c>
      <c r="I242" s="141">
        <f t="shared" si="845"/>
        <v>-253328.60964301525</v>
      </c>
      <c r="J242" s="141">
        <f t="shared" si="845"/>
        <v>-271814.98429229815</v>
      </c>
      <c r="K242" s="141">
        <f t="shared" si="845"/>
        <v>-290071.44077671104</v>
      </c>
      <c r="L242" s="141">
        <f t="shared" si="845"/>
        <v>-309398.24458246294</v>
      </c>
      <c r="M242" s="141">
        <f t="shared" si="845"/>
        <v>-330510.43090572965</v>
      </c>
      <c r="N242" s="141">
        <f t="shared" si="845"/>
        <v>-304133.99445578828</v>
      </c>
      <c r="O242" s="141">
        <f t="shared" si="845"/>
        <v>-287518.64635390817</v>
      </c>
      <c r="P242" s="141">
        <f t="shared" si="845"/>
        <v>-316126.0433947703</v>
      </c>
      <c r="Q242" s="141">
        <f t="shared" si="845"/>
        <v>-267059.80294353212</v>
      </c>
      <c r="R242" s="141">
        <f t="shared" si="845"/>
        <v>-229918.64825460775</v>
      </c>
      <c r="S242" s="141">
        <f t="shared" si="845"/>
        <v>-294378.39616283478</v>
      </c>
      <c r="T242" s="141">
        <f t="shared" si="845"/>
        <v>-336281.83202348079</v>
      </c>
      <c r="U242" s="141">
        <f t="shared" si="845"/>
        <v>-342469.13202097942</v>
      </c>
      <c r="V242" s="141">
        <f t="shared" si="845"/>
        <v>-370520.09517622559</v>
      </c>
      <c r="W242" s="141">
        <f t="shared" si="845"/>
        <v>-398642.72427576018</v>
      </c>
      <c r="X242" s="141">
        <f t="shared" si="845"/>
        <v>-406076.80325002631</v>
      </c>
      <c r="Y242" s="141">
        <f t="shared" si="845"/>
        <v>-414135.66804308741</v>
      </c>
      <c r="Z242" s="141">
        <f t="shared" si="845"/>
        <v>-381619.93957806908</v>
      </c>
      <c r="AA242" s="141">
        <f t="shared" si="845"/>
        <v>-360800.07037769747</v>
      </c>
      <c r="AB242" s="141">
        <f t="shared" si="845"/>
        <v>-393684.32880481222</v>
      </c>
      <c r="AC242" s="141">
        <f t="shared" si="845"/>
        <v>-414724.8790263579</v>
      </c>
      <c r="AD242" s="141">
        <f t="shared" si="845"/>
        <v>-420466.69957687758</v>
      </c>
      <c r="AE242" s="141">
        <f t="shared" si="845"/>
        <v>-440052.03602468775</v>
      </c>
      <c r="AF242" s="141">
        <f t="shared" si="845"/>
        <v>-594170.64601614652</v>
      </c>
      <c r="AG242" s="141">
        <f t="shared" si="845"/>
        <v>0</v>
      </c>
      <c r="AH242" s="141">
        <f t="shared" si="845"/>
        <v>0</v>
      </c>
      <c r="AI242" s="141">
        <f t="shared" si="845"/>
        <v>0</v>
      </c>
      <c r="AJ242" s="141">
        <f t="shared" si="845"/>
        <v>0</v>
      </c>
      <c r="AK242" s="141">
        <f t="shared" si="845"/>
        <v>0</v>
      </c>
      <c r="AL242" s="141">
        <f t="shared" si="845"/>
        <v>0</v>
      </c>
      <c r="AM242" s="141">
        <f t="shared" si="845"/>
        <v>0</v>
      </c>
      <c r="AN242" s="141">
        <f t="shared" si="845"/>
        <v>0</v>
      </c>
      <c r="AO242" s="141">
        <f t="shared" si="845"/>
        <v>0</v>
      </c>
      <c r="AP242" s="141">
        <f t="shared" si="845"/>
        <v>0</v>
      </c>
    </row>
    <row r="243" spans="1:42" s="118" customFormat="1">
      <c r="A243" s="42" t="s">
        <v>159</v>
      </c>
      <c r="C243" s="141">
        <f>C99</f>
        <v>20000</v>
      </c>
      <c r="D243" s="141">
        <f t="shared" ref="D243:AP243" si="846">D99</f>
        <v>0</v>
      </c>
      <c r="E243" s="141">
        <f t="shared" si="846"/>
        <v>0</v>
      </c>
      <c r="F243" s="141">
        <f t="shared" si="846"/>
        <v>0</v>
      </c>
      <c r="G243" s="141">
        <f t="shared" si="846"/>
        <v>0</v>
      </c>
      <c r="H243" s="141">
        <f t="shared" si="846"/>
        <v>0</v>
      </c>
      <c r="I243" s="141">
        <f t="shared" si="846"/>
        <v>0</v>
      </c>
      <c r="J243" s="141">
        <f t="shared" si="846"/>
        <v>0</v>
      </c>
      <c r="K243" s="141">
        <f t="shared" si="846"/>
        <v>0</v>
      </c>
      <c r="L243" s="141">
        <f t="shared" si="846"/>
        <v>0</v>
      </c>
      <c r="M243" s="141">
        <f t="shared" si="846"/>
        <v>0</v>
      </c>
      <c r="N243" s="141">
        <f t="shared" si="846"/>
        <v>0</v>
      </c>
      <c r="O243" s="141">
        <f t="shared" si="846"/>
        <v>0</v>
      </c>
      <c r="P243" s="141">
        <f t="shared" si="846"/>
        <v>0</v>
      </c>
      <c r="Q243" s="141">
        <f t="shared" si="846"/>
        <v>0</v>
      </c>
      <c r="R243" s="141">
        <f t="shared" si="846"/>
        <v>0</v>
      </c>
      <c r="S243" s="141">
        <f t="shared" si="846"/>
        <v>0</v>
      </c>
      <c r="T243" s="141">
        <f t="shared" si="846"/>
        <v>0</v>
      </c>
      <c r="U243" s="141">
        <f t="shared" si="846"/>
        <v>0</v>
      </c>
      <c r="V243" s="141">
        <f t="shared" si="846"/>
        <v>0</v>
      </c>
      <c r="W243" s="141">
        <f t="shared" si="846"/>
        <v>0</v>
      </c>
      <c r="X243" s="141">
        <f t="shared" si="846"/>
        <v>0</v>
      </c>
      <c r="Y243" s="141">
        <f t="shared" si="846"/>
        <v>0</v>
      </c>
      <c r="Z243" s="141">
        <f t="shared" si="846"/>
        <v>0</v>
      </c>
      <c r="AA243" s="141">
        <f t="shared" si="846"/>
        <v>0</v>
      </c>
      <c r="AB243" s="141">
        <f t="shared" si="846"/>
        <v>0</v>
      </c>
      <c r="AC243" s="141">
        <f t="shared" si="846"/>
        <v>0</v>
      </c>
      <c r="AD243" s="141">
        <f t="shared" si="846"/>
        <v>0</v>
      </c>
      <c r="AE243" s="141">
        <f t="shared" si="846"/>
        <v>0</v>
      </c>
      <c r="AF243" s="141">
        <f t="shared" si="846"/>
        <v>0</v>
      </c>
      <c r="AG243" s="141">
        <f t="shared" si="846"/>
        <v>0</v>
      </c>
      <c r="AH243" s="141">
        <f t="shared" si="846"/>
        <v>0</v>
      </c>
      <c r="AI243" s="141">
        <f t="shared" si="846"/>
        <v>0</v>
      </c>
      <c r="AJ243" s="141">
        <f t="shared" si="846"/>
        <v>0</v>
      </c>
      <c r="AK243" s="141">
        <f t="shared" si="846"/>
        <v>0</v>
      </c>
      <c r="AL243" s="141">
        <f t="shared" si="846"/>
        <v>0</v>
      </c>
      <c r="AM243" s="141">
        <f t="shared" si="846"/>
        <v>0</v>
      </c>
      <c r="AN243" s="141">
        <f t="shared" si="846"/>
        <v>0</v>
      </c>
      <c r="AO243" s="141">
        <f t="shared" si="846"/>
        <v>0</v>
      </c>
      <c r="AP243" s="141">
        <f t="shared" si="846"/>
        <v>0</v>
      </c>
    </row>
    <row r="244" spans="1:42" s="118" customFormat="1">
      <c r="A244" s="42" t="s">
        <v>567</v>
      </c>
      <c r="C244" s="203">
        <f>C103</f>
        <v>0</v>
      </c>
      <c r="D244" s="203">
        <f t="shared" ref="D244:AP244" si="847">D103</f>
        <v>0</v>
      </c>
      <c r="E244" s="203">
        <f t="shared" si="847"/>
        <v>0</v>
      </c>
      <c r="F244" s="203">
        <f t="shared" si="847"/>
        <v>0</v>
      </c>
      <c r="G244" s="203">
        <f t="shared" si="847"/>
        <v>0</v>
      </c>
      <c r="H244" s="203">
        <f t="shared" si="847"/>
        <v>0</v>
      </c>
      <c r="I244" s="203">
        <f t="shared" si="847"/>
        <v>0</v>
      </c>
      <c r="J244" s="203">
        <f t="shared" si="847"/>
        <v>0</v>
      </c>
      <c r="K244" s="203">
        <f t="shared" si="847"/>
        <v>0</v>
      </c>
      <c r="L244" s="203">
        <f t="shared" si="847"/>
        <v>0</v>
      </c>
      <c r="M244" s="203">
        <f t="shared" si="847"/>
        <v>0</v>
      </c>
      <c r="N244" s="203">
        <f t="shared" si="847"/>
        <v>0</v>
      </c>
      <c r="O244" s="203">
        <f t="shared" si="847"/>
        <v>0</v>
      </c>
      <c r="P244" s="203">
        <f t="shared" si="847"/>
        <v>0</v>
      </c>
      <c r="Q244" s="203">
        <f t="shared" si="847"/>
        <v>0</v>
      </c>
      <c r="R244" s="203">
        <f t="shared" si="847"/>
        <v>0</v>
      </c>
      <c r="S244" s="203">
        <f t="shared" si="847"/>
        <v>0</v>
      </c>
      <c r="T244" s="203">
        <f t="shared" si="847"/>
        <v>0</v>
      </c>
      <c r="U244" s="203">
        <f t="shared" si="847"/>
        <v>0</v>
      </c>
      <c r="V244" s="203">
        <f t="shared" si="847"/>
        <v>0</v>
      </c>
      <c r="W244" s="203">
        <f t="shared" si="847"/>
        <v>0</v>
      </c>
      <c r="X244" s="203">
        <f t="shared" si="847"/>
        <v>0</v>
      </c>
      <c r="Y244" s="203">
        <f t="shared" si="847"/>
        <v>0</v>
      </c>
      <c r="Z244" s="203">
        <f t="shared" si="847"/>
        <v>0</v>
      </c>
      <c r="AA244" s="203">
        <f t="shared" si="847"/>
        <v>0</v>
      </c>
      <c r="AB244" s="203">
        <f t="shared" si="847"/>
        <v>0</v>
      </c>
      <c r="AC244" s="203">
        <f t="shared" si="847"/>
        <v>0</v>
      </c>
      <c r="AD244" s="203">
        <f t="shared" si="847"/>
        <v>0</v>
      </c>
      <c r="AE244" s="203">
        <f t="shared" si="847"/>
        <v>0</v>
      </c>
      <c r="AF244" s="203">
        <f t="shared" si="847"/>
        <v>0</v>
      </c>
      <c r="AG244" s="203">
        <f t="shared" si="847"/>
        <v>0</v>
      </c>
      <c r="AH244" s="203">
        <f t="shared" si="847"/>
        <v>0</v>
      </c>
      <c r="AI244" s="203">
        <f t="shared" si="847"/>
        <v>0</v>
      </c>
      <c r="AJ244" s="203">
        <f t="shared" si="847"/>
        <v>0</v>
      </c>
      <c r="AK244" s="203">
        <f t="shared" si="847"/>
        <v>0</v>
      </c>
      <c r="AL244" s="203">
        <f t="shared" si="847"/>
        <v>0</v>
      </c>
      <c r="AM244" s="203">
        <f t="shared" si="847"/>
        <v>0</v>
      </c>
      <c r="AN244" s="203">
        <f t="shared" si="847"/>
        <v>0</v>
      </c>
      <c r="AO244" s="203">
        <f t="shared" si="847"/>
        <v>0</v>
      </c>
      <c r="AP244" s="203">
        <f t="shared" si="847"/>
        <v>0</v>
      </c>
    </row>
    <row r="245" spans="1:42" s="118" customFormat="1">
      <c r="A245" s="42" t="s">
        <v>118</v>
      </c>
      <c r="C245" s="198">
        <f>SUM(C238:C244)</f>
        <v>-8221630.310852278</v>
      </c>
      <c r="D245" s="198">
        <f t="shared" ref="D245:AP245" si="848">SUM(D238:D244)</f>
        <v>-7570680.2135422938</v>
      </c>
      <c r="E245" s="198">
        <f t="shared" si="848"/>
        <v>-3080024.2962743766</v>
      </c>
      <c r="F245" s="198">
        <f t="shared" si="848"/>
        <v>-286845.41202902573</v>
      </c>
      <c r="G245" s="198">
        <f t="shared" si="848"/>
        <v>-29115.082339090659</v>
      </c>
      <c r="H245" s="198">
        <f t="shared" si="848"/>
        <v>2153763.0388652133</v>
      </c>
      <c r="I245" s="198">
        <f t="shared" si="848"/>
        <v>4352646.1111390805</v>
      </c>
      <c r="J245" s="198">
        <f t="shared" si="848"/>
        <v>4670275.6392040318</v>
      </c>
      <c r="K245" s="198">
        <f t="shared" si="848"/>
        <v>4983954.7551634889</v>
      </c>
      <c r="L245" s="198">
        <f t="shared" si="848"/>
        <v>5316024.3841895899</v>
      </c>
      <c r="M245" s="198">
        <f t="shared" si="848"/>
        <v>5678770.1310166279</v>
      </c>
      <c r="N245" s="198">
        <f t="shared" si="848"/>
        <v>5225574.9956494533</v>
      </c>
      <c r="O245" s="198">
        <f t="shared" si="848"/>
        <v>4940093.1055353312</v>
      </c>
      <c r="P245" s="198">
        <f t="shared" si="848"/>
        <v>5431620.2001465075</v>
      </c>
      <c r="Q245" s="198">
        <f t="shared" si="848"/>
        <v>4588572.9778479608</v>
      </c>
      <c r="R245" s="198">
        <f t="shared" si="848"/>
        <v>3950420.4109200784</v>
      </c>
      <c r="S245" s="198">
        <f t="shared" si="848"/>
        <v>5057956.0795250703</v>
      </c>
      <c r="T245" s="198">
        <f t="shared" si="848"/>
        <v>5777933.2956761699</v>
      </c>
      <c r="U245" s="198">
        <f t="shared" si="848"/>
        <v>5884242.3592695557</v>
      </c>
      <c r="V245" s="198">
        <f t="shared" si="848"/>
        <v>6366208.9080278762</v>
      </c>
      <c r="W245" s="198">
        <f t="shared" si="848"/>
        <v>6849406.8080107886</v>
      </c>
      <c r="X245" s="198">
        <f t="shared" si="848"/>
        <v>6977137.8012959072</v>
      </c>
      <c r="Y245" s="198">
        <f t="shared" si="848"/>
        <v>7115603.7509221379</v>
      </c>
      <c r="Z245" s="198">
        <f t="shared" si="848"/>
        <v>6556924.4163868232</v>
      </c>
      <c r="AA245" s="198">
        <f t="shared" si="848"/>
        <v>6199201.2092168024</v>
      </c>
      <c r="AB245" s="198">
        <f t="shared" si="848"/>
        <v>6764212.5585554093</v>
      </c>
      <c r="AC245" s="198">
        <f t="shared" si="848"/>
        <v>7125727.4669074221</v>
      </c>
      <c r="AD245" s="198">
        <f t="shared" si="848"/>
        <v>7224382.3836390777</v>
      </c>
      <c r="AE245" s="198">
        <f t="shared" si="848"/>
        <v>7560894.0735150892</v>
      </c>
      <c r="AF245" s="198">
        <f t="shared" si="848"/>
        <v>10208932.008822881</v>
      </c>
      <c r="AG245" s="198">
        <f t="shared" si="848"/>
        <v>0</v>
      </c>
      <c r="AH245" s="198">
        <f t="shared" si="848"/>
        <v>0</v>
      </c>
      <c r="AI245" s="198">
        <f t="shared" si="848"/>
        <v>0</v>
      </c>
      <c r="AJ245" s="198">
        <f t="shared" si="848"/>
        <v>0</v>
      </c>
      <c r="AK245" s="198">
        <f t="shared" si="848"/>
        <v>0</v>
      </c>
      <c r="AL245" s="198">
        <f t="shared" si="848"/>
        <v>0</v>
      </c>
      <c r="AM245" s="198">
        <f t="shared" si="848"/>
        <v>0</v>
      </c>
      <c r="AN245" s="198">
        <f t="shared" si="848"/>
        <v>0</v>
      </c>
      <c r="AO245" s="198">
        <f t="shared" si="848"/>
        <v>0</v>
      </c>
      <c r="AP245" s="198">
        <f t="shared" si="848"/>
        <v>0</v>
      </c>
    </row>
    <row r="246" spans="1:42" s="118" customFormat="1">
      <c r="A246" s="42" t="str">
        <f>'Inputs &amp; Results'!A48</f>
        <v>Investment Based Incentive (IBI)</v>
      </c>
    </row>
    <row r="247" spans="1:42" s="118" customFormat="1">
      <c r="A247" s="204" t="str">
        <f>'Inputs &amp; Results'!A49</f>
        <v>Fixed Amount ($)</v>
      </c>
    </row>
    <row r="248" spans="1:42" s="118" customFormat="1">
      <c r="A248" s="205" t="str">
        <f>'Inputs &amp; Results'!A50</f>
        <v>Federal</v>
      </c>
      <c r="C248" s="198">
        <f>IF(IBIFedFixedFedTax="Yes",C561,0)</f>
        <v>1000</v>
      </c>
    </row>
    <row r="249" spans="1:42" s="118" customFormat="1">
      <c r="A249" s="205" t="str">
        <f>'Inputs &amp; Results'!A51</f>
        <v>State</v>
      </c>
      <c r="C249" s="198">
        <f>IF(IBIStateFixedFedTax="Yes",C562,0)</f>
        <v>2000</v>
      </c>
    </row>
    <row r="250" spans="1:42" s="118" customFormat="1">
      <c r="A250" s="205" t="str">
        <f>'Inputs &amp; Results'!A52</f>
        <v>Utility</v>
      </c>
      <c r="C250" s="198">
        <f>IF(IBIUtilityFixedFedTax="Yes",C563,0)</f>
        <v>500</v>
      </c>
    </row>
    <row r="251" spans="1:42">
      <c r="A251" s="205" t="str">
        <f>'Inputs &amp; Results'!A53</f>
        <v>Other</v>
      </c>
      <c r="C251" s="203">
        <f>IF(IBIOtherFixedFedTax="Yes",C564,0)</f>
        <v>250</v>
      </c>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row>
    <row r="252" spans="1:42">
      <c r="A252" s="205" t="s">
        <v>53</v>
      </c>
      <c r="C252" s="186">
        <f>SUM(C248:C251)</f>
        <v>3750</v>
      </c>
      <c r="D252" s="186"/>
      <c r="E252" s="186"/>
      <c r="F252" s="186"/>
      <c r="G252" s="186"/>
      <c r="H252" s="186"/>
      <c r="I252" s="186"/>
      <c r="J252" s="186"/>
      <c r="K252" s="186"/>
      <c r="L252" s="186"/>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row>
    <row r="253" spans="1:42">
      <c r="A253" s="204" t="str">
        <f>'Inputs &amp; Results'!A54</f>
        <v>Percentage of Pre-Financing Costs</v>
      </c>
      <c r="C253" s="186"/>
      <c r="D253" s="186"/>
      <c r="E253" s="186"/>
      <c r="F253" s="186"/>
      <c r="G253" s="186"/>
      <c r="H253" s="186"/>
      <c r="I253" s="186"/>
      <c r="J253" s="186"/>
      <c r="K253" s="186"/>
      <c r="L253" s="186"/>
      <c r="M253" s="186"/>
      <c r="N253" s="186"/>
      <c r="O253" s="186"/>
      <c r="P253" s="186"/>
      <c r="Q253" s="186"/>
      <c r="R253" s="186"/>
      <c r="S253" s="186"/>
      <c r="T253" s="186"/>
      <c r="U253" s="186"/>
      <c r="V253" s="186"/>
      <c r="W253" s="186"/>
      <c r="X253" s="186"/>
      <c r="Y253" s="186"/>
      <c r="Z253" s="186"/>
      <c r="AA253" s="186"/>
      <c r="AB253" s="186"/>
      <c r="AC253" s="186"/>
      <c r="AD253" s="186"/>
      <c r="AE253" s="186"/>
      <c r="AF253" s="186"/>
      <c r="AG253" s="186"/>
      <c r="AH253" s="186"/>
      <c r="AI253" s="186"/>
      <c r="AJ253" s="186"/>
      <c r="AK253" s="186"/>
      <c r="AL253" s="186"/>
      <c r="AM253" s="186"/>
      <c r="AN253" s="186"/>
      <c r="AO253" s="186"/>
      <c r="AP253" s="186"/>
    </row>
    <row r="254" spans="1:42">
      <c r="A254" s="205" t="str">
        <f>'Inputs &amp; Results'!A55</f>
        <v>Federal</v>
      </c>
      <c r="C254" s="198">
        <f>IF(IBIFedPercentFedTax="Yes",C567,0)</f>
        <v>2011357.5</v>
      </c>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205" t="str">
        <f>'Inputs &amp; Results'!A56</f>
        <v>State</v>
      </c>
      <c r="C255" s="198">
        <f>IF(IBIStatePercentFedTax="Yes",C568,0)</f>
        <v>4022715</v>
      </c>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205" t="str">
        <f>'Inputs &amp; Results'!A57</f>
        <v>Utility</v>
      </c>
      <c r="C256" s="198">
        <f>IF(IBIUtilityPercentFedTax="Yes",C569,0)</f>
        <v>402271.5</v>
      </c>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5" t="str">
        <f>'Inputs &amp; Results'!A58</f>
        <v>Other</v>
      </c>
      <c r="C257" s="203">
        <f>IF(IBIOtherPercentFedTax="Yes",C570,0)</f>
        <v>201135.75</v>
      </c>
      <c r="D257" s="186"/>
      <c r="E257" s="186"/>
      <c r="F257" s="186"/>
      <c r="G257" s="186"/>
      <c r="H257" s="186"/>
      <c r="I257" s="186"/>
      <c r="J257" s="186"/>
      <c r="K257" s="186"/>
      <c r="L257" s="186"/>
      <c r="M257" s="186"/>
      <c r="N257" s="186"/>
      <c r="O257" s="186"/>
      <c r="P257" s="186"/>
      <c r="Q257" s="186"/>
      <c r="R257" s="186"/>
      <c r="S257" s="186"/>
      <c r="T257" s="186"/>
      <c r="U257" s="186"/>
      <c r="V257" s="186"/>
      <c r="W257" s="186"/>
      <c r="X257" s="186"/>
      <c r="Y257" s="186"/>
      <c r="Z257" s="186"/>
      <c r="AA257" s="186"/>
      <c r="AB257" s="186"/>
      <c r="AC257" s="186"/>
      <c r="AD257" s="186"/>
      <c r="AE257" s="186"/>
      <c r="AF257" s="186"/>
      <c r="AG257" s="186"/>
      <c r="AH257" s="186"/>
      <c r="AI257" s="186"/>
      <c r="AJ257" s="186"/>
      <c r="AK257" s="186"/>
      <c r="AL257" s="186"/>
      <c r="AM257" s="186"/>
      <c r="AN257" s="186"/>
      <c r="AO257" s="186"/>
      <c r="AP257" s="186"/>
    </row>
    <row r="258" spans="1:42">
      <c r="A258" s="205" t="s">
        <v>53</v>
      </c>
      <c r="C258" s="186">
        <f>SUM(C254:C257)</f>
        <v>6637479.75</v>
      </c>
      <c r="D258" s="186"/>
      <c r="E258" s="186"/>
      <c r="F258" s="186"/>
      <c r="G258" s="186"/>
      <c r="H258" s="186"/>
      <c r="I258" s="186"/>
      <c r="J258" s="186"/>
      <c r="K258" s="186"/>
      <c r="L258" s="186"/>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row>
    <row r="259" spans="1:42">
      <c r="A259" s="197" t="str">
        <f>'Inputs &amp; Results'!A59</f>
        <v>Capacity Based Incentive (CBI) ($/DC-Watt)</v>
      </c>
      <c r="C259" s="186"/>
      <c r="D259" s="186"/>
      <c r="E259" s="186"/>
      <c r="F259" s="186"/>
      <c r="G259" s="186"/>
      <c r="H259" s="186"/>
      <c r="I259" s="186"/>
      <c r="J259" s="186"/>
      <c r="K259" s="186"/>
      <c r="L259" s="186"/>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row>
    <row r="260" spans="1:42">
      <c r="A260" s="204" t="str">
        <f>'Inputs &amp; Results'!A60</f>
        <v>Federal</v>
      </c>
      <c r="C260" s="141">
        <f>IF(CBIFedFedTax="Yes",C573,0)</f>
        <v>5000000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tr">
        <f>'Inputs &amp; Results'!A61</f>
        <v>State</v>
      </c>
      <c r="C261" s="141">
        <f>IF(CBIStateFedTax="Yes",C574,0)</f>
        <v>2000000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204" t="str">
        <f>'Inputs &amp; Results'!A62</f>
        <v>Utility</v>
      </c>
      <c r="C262" s="141">
        <f>IF(CBIUtilityFedTax="Yes",C575,0)</f>
        <v>100000</v>
      </c>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4" t="str">
        <f>'Inputs &amp; Results'!A63</f>
        <v>Other</v>
      </c>
      <c r="C263" s="203">
        <f>IF(CBIOtherFedTax="Yes",C576,0)</f>
        <v>50000</v>
      </c>
      <c r="D263" s="186"/>
      <c r="E263" s="186"/>
      <c r="F263" s="186"/>
      <c r="G263" s="186"/>
      <c r="H263" s="186"/>
      <c r="I263" s="186"/>
      <c r="J263" s="186"/>
      <c r="K263" s="186"/>
      <c r="L263" s="186"/>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row>
    <row r="264" spans="1:42">
      <c r="A264" s="204" t="s">
        <v>53</v>
      </c>
      <c r="C264" s="186">
        <f>SUM(C260:C263)</f>
        <v>7150000</v>
      </c>
      <c r="D264" s="186"/>
      <c r="E264" s="186"/>
      <c r="F264" s="186"/>
      <c r="G264" s="186"/>
      <c r="H264" s="186"/>
      <c r="I264" s="186"/>
      <c r="J264" s="186"/>
      <c r="K264" s="186"/>
      <c r="L264" s="186"/>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row>
    <row r="265" spans="1:42">
      <c r="A265" s="197" t="str">
        <f>'Inputs &amp; Results'!A66</f>
        <v>Production Based Incentive (PBI) ($/kWh)</v>
      </c>
      <c r="C265" s="186"/>
      <c r="D265" s="186"/>
      <c r="E265" s="186"/>
      <c r="F265" s="186"/>
      <c r="G265" s="186"/>
      <c r="H265" s="186"/>
      <c r="I265" s="186"/>
      <c r="J265" s="186"/>
      <c r="K265" s="186"/>
      <c r="L265" s="186"/>
      <c r="M265" s="186"/>
      <c r="N265" s="186"/>
      <c r="O265" s="186"/>
      <c r="P265" s="186"/>
      <c r="Q265" s="186"/>
      <c r="R265" s="186"/>
      <c r="S265" s="186"/>
      <c r="T265" s="186"/>
      <c r="U265" s="186"/>
      <c r="V265" s="186"/>
      <c r="W265" s="186"/>
      <c r="X265" s="186"/>
      <c r="Y265" s="186"/>
      <c r="Z265" s="186"/>
      <c r="AA265" s="186"/>
      <c r="AB265" s="186"/>
      <c r="AC265" s="186"/>
      <c r="AD265" s="186"/>
      <c r="AE265" s="186"/>
      <c r="AF265" s="186"/>
      <c r="AG265" s="186"/>
      <c r="AH265" s="186"/>
      <c r="AI265" s="186"/>
      <c r="AJ265" s="186"/>
      <c r="AK265" s="186"/>
      <c r="AL265" s="186"/>
      <c r="AM265" s="186"/>
      <c r="AN265" s="186"/>
      <c r="AO265" s="186"/>
      <c r="AP265" s="186"/>
    </row>
    <row r="266" spans="1:42">
      <c r="A266" s="204" t="str">
        <f>'Inputs &amp; Results'!A67</f>
        <v>Federal</v>
      </c>
      <c r="C266" s="141">
        <f t="shared" ref="C266:AP266" si="849">IF(AND(PBIFedFedTax="Yes",PBIFedDebtSwitch="No"),C583,0)</f>
        <v>0</v>
      </c>
      <c r="D266" s="141">
        <f t="shared" si="849"/>
        <v>0</v>
      </c>
      <c r="E266" s="141">
        <f t="shared" si="849"/>
        <v>0</v>
      </c>
      <c r="F266" s="141">
        <f t="shared" si="849"/>
        <v>0</v>
      </c>
      <c r="G266" s="141">
        <f t="shared" si="849"/>
        <v>0</v>
      </c>
      <c r="H266" s="141">
        <f t="shared" si="849"/>
        <v>0</v>
      </c>
      <c r="I266" s="141">
        <f t="shared" si="849"/>
        <v>0</v>
      </c>
      <c r="J266" s="141">
        <f t="shared" si="849"/>
        <v>0</v>
      </c>
      <c r="K266" s="141">
        <f t="shared" si="849"/>
        <v>0</v>
      </c>
      <c r="L266" s="141">
        <f t="shared" si="849"/>
        <v>0</v>
      </c>
      <c r="M266" s="141">
        <f t="shared" si="849"/>
        <v>0</v>
      </c>
      <c r="N266" s="141">
        <f t="shared" si="849"/>
        <v>0</v>
      </c>
      <c r="O266" s="141">
        <f t="shared" si="849"/>
        <v>0</v>
      </c>
      <c r="P266" s="141">
        <f t="shared" si="849"/>
        <v>0</v>
      </c>
      <c r="Q266" s="141">
        <f t="shared" si="849"/>
        <v>0</v>
      </c>
      <c r="R266" s="141">
        <f t="shared" si="849"/>
        <v>0</v>
      </c>
      <c r="S266" s="141">
        <f t="shared" si="849"/>
        <v>0</v>
      </c>
      <c r="T266" s="141">
        <f t="shared" si="849"/>
        <v>0</v>
      </c>
      <c r="U266" s="141">
        <f t="shared" si="849"/>
        <v>0</v>
      </c>
      <c r="V266" s="141">
        <f t="shared" si="849"/>
        <v>0</v>
      </c>
      <c r="W266" s="141">
        <f t="shared" si="849"/>
        <v>0</v>
      </c>
      <c r="X266" s="141">
        <f t="shared" si="849"/>
        <v>0</v>
      </c>
      <c r="Y266" s="141">
        <f t="shared" si="849"/>
        <v>0</v>
      </c>
      <c r="Z266" s="141">
        <f t="shared" si="849"/>
        <v>0</v>
      </c>
      <c r="AA266" s="141">
        <f t="shared" si="849"/>
        <v>0</v>
      </c>
      <c r="AB266" s="141">
        <f t="shared" si="849"/>
        <v>0</v>
      </c>
      <c r="AC266" s="141">
        <f t="shared" si="849"/>
        <v>0</v>
      </c>
      <c r="AD266" s="141">
        <f t="shared" si="849"/>
        <v>0</v>
      </c>
      <c r="AE266" s="141">
        <f t="shared" si="849"/>
        <v>0</v>
      </c>
      <c r="AF266" s="141">
        <f t="shared" si="849"/>
        <v>0</v>
      </c>
      <c r="AG266" s="141">
        <f t="shared" si="849"/>
        <v>0</v>
      </c>
      <c r="AH266" s="141">
        <f t="shared" si="849"/>
        <v>0</v>
      </c>
      <c r="AI266" s="141">
        <f t="shared" si="849"/>
        <v>0</v>
      </c>
      <c r="AJ266" s="141">
        <f t="shared" si="849"/>
        <v>0</v>
      </c>
      <c r="AK266" s="141">
        <f t="shared" si="849"/>
        <v>0</v>
      </c>
      <c r="AL266" s="141">
        <f t="shared" si="849"/>
        <v>0</v>
      </c>
      <c r="AM266" s="141">
        <f t="shared" si="849"/>
        <v>0</v>
      </c>
      <c r="AN266" s="141">
        <f t="shared" si="849"/>
        <v>0</v>
      </c>
      <c r="AO266" s="141">
        <f t="shared" si="849"/>
        <v>0</v>
      </c>
      <c r="AP266" s="141">
        <f t="shared" si="849"/>
        <v>0</v>
      </c>
    </row>
    <row r="267" spans="1:42">
      <c r="A267" s="204" t="str">
        <f>'Inputs &amp; Results'!A68</f>
        <v>State</v>
      </c>
      <c r="C267" s="141">
        <f t="shared" ref="C267:AP267" si="850">IF(AND(PBIStateFedTax="Yes",PBIStateDebtSwitch="No"),C587,0)</f>
        <v>0</v>
      </c>
      <c r="D267" s="141">
        <f t="shared" si="850"/>
        <v>0</v>
      </c>
      <c r="E267" s="141">
        <f t="shared" si="850"/>
        <v>0</v>
      </c>
      <c r="F267" s="141">
        <f t="shared" si="850"/>
        <v>0</v>
      </c>
      <c r="G267" s="141">
        <f t="shared" si="850"/>
        <v>0</v>
      </c>
      <c r="H267" s="141">
        <f t="shared" si="850"/>
        <v>0</v>
      </c>
      <c r="I267" s="141">
        <f t="shared" si="850"/>
        <v>0</v>
      </c>
      <c r="J267" s="141">
        <f t="shared" si="850"/>
        <v>0</v>
      </c>
      <c r="K267" s="141">
        <f t="shared" si="850"/>
        <v>0</v>
      </c>
      <c r="L267" s="141">
        <f t="shared" si="850"/>
        <v>0</v>
      </c>
      <c r="M267" s="141">
        <f t="shared" si="850"/>
        <v>0</v>
      </c>
      <c r="N267" s="141">
        <f t="shared" si="850"/>
        <v>0</v>
      </c>
      <c r="O267" s="141">
        <f t="shared" si="850"/>
        <v>0</v>
      </c>
      <c r="P267" s="141">
        <f t="shared" si="850"/>
        <v>0</v>
      </c>
      <c r="Q267" s="141">
        <f t="shared" si="850"/>
        <v>0</v>
      </c>
      <c r="R267" s="141">
        <f t="shared" si="850"/>
        <v>0</v>
      </c>
      <c r="S267" s="141">
        <f t="shared" si="850"/>
        <v>0</v>
      </c>
      <c r="T267" s="141">
        <f t="shared" si="850"/>
        <v>0</v>
      </c>
      <c r="U267" s="141">
        <f t="shared" si="850"/>
        <v>0</v>
      </c>
      <c r="V267" s="141">
        <f t="shared" si="850"/>
        <v>0</v>
      </c>
      <c r="W267" s="141">
        <f t="shared" si="850"/>
        <v>0</v>
      </c>
      <c r="X267" s="141">
        <f t="shared" si="850"/>
        <v>0</v>
      </c>
      <c r="Y267" s="141">
        <f t="shared" si="850"/>
        <v>0</v>
      </c>
      <c r="Z267" s="141">
        <f t="shared" si="850"/>
        <v>0</v>
      </c>
      <c r="AA267" s="141">
        <f t="shared" si="850"/>
        <v>0</v>
      </c>
      <c r="AB267" s="141">
        <f t="shared" si="850"/>
        <v>0</v>
      </c>
      <c r="AC267" s="141">
        <f t="shared" si="850"/>
        <v>0</v>
      </c>
      <c r="AD267" s="141">
        <f t="shared" si="850"/>
        <v>0</v>
      </c>
      <c r="AE267" s="141">
        <f t="shared" si="850"/>
        <v>0</v>
      </c>
      <c r="AF267" s="141">
        <f t="shared" si="850"/>
        <v>0</v>
      </c>
      <c r="AG267" s="141">
        <f t="shared" si="850"/>
        <v>0</v>
      </c>
      <c r="AH267" s="141">
        <f t="shared" si="850"/>
        <v>0</v>
      </c>
      <c r="AI267" s="141">
        <f t="shared" si="850"/>
        <v>0</v>
      </c>
      <c r="AJ267" s="141">
        <f t="shared" si="850"/>
        <v>0</v>
      </c>
      <c r="AK267" s="141">
        <f t="shared" si="850"/>
        <v>0</v>
      </c>
      <c r="AL267" s="141">
        <f t="shared" si="850"/>
        <v>0</v>
      </c>
      <c r="AM267" s="141">
        <f t="shared" si="850"/>
        <v>0</v>
      </c>
      <c r="AN267" s="141">
        <f t="shared" si="850"/>
        <v>0</v>
      </c>
      <c r="AO267" s="141">
        <f t="shared" si="850"/>
        <v>0</v>
      </c>
      <c r="AP267" s="141">
        <f t="shared" si="850"/>
        <v>0</v>
      </c>
    </row>
    <row r="268" spans="1:42">
      <c r="A268" s="204" t="str">
        <f>'Inputs &amp; Results'!A69</f>
        <v>Utility</v>
      </c>
      <c r="C268" s="141">
        <f t="shared" ref="C268:AP268" si="851">IF(AND(PBIUtilityFedTax="Yes",PBIUtilityDebtSwitch="No"),C591,0)</f>
        <v>0</v>
      </c>
      <c r="D268" s="141">
        <f t="shared" si="851"/>
        <v>0</v>
      </c>
      <c r="E268" s="141">
        <f t="shared" si="851"/>
        <v>0</v>
      </c>
      <c r="F268" s="141">
        <f t="shared" si="851"/>
        <v>0</v>
      </c>
      <c r="G268" s="141">
        <f t="shared" si="851"/>
        <v>0</v>
      </c>
      <c r="H268" s="141">
        <f t="shared" si="851"/>
        <v>0</v>
      </c>
      <c r="I268" s="141">
        <f t="shared" si="851"/>
        <v>0</v>
      </c>
      <c r="J268" s="141">
        <f t="shared" si="851"/>
        <v>0</v>
      </c>
      <c r="K268" s="141">
        <f t="shared" si="851"/>
        <v>0</v>
      </c>
      <c r="L268" s="141">
        <f t="shared" si="851"/>
        <v>0</v>
      </c>
      <c r="M268" s="141">
        <f t="shared" si="851"/>
        <v>0</v>
      </c>
      <c r="N268" s="141">
        <f t="shared" si="851"/>
        <v>0</v>
      </c>
      <c r="O268" s="141">
        <f t="shared" si="851"/>
        <v>0</v>
      </c>
      <c r="P268" s="141">
        <f t="shared" si="851"/>
        <v>0</v>
      </c>
      <c r="Q268" s="141">
        <f t="shared" si="851"/>
        <v>0</v>
      </c>
      <c r="R268" s="141">
        <f t="shared" si="851"/>
        <v>0</v>
      </c>
      <c r="S268" s="141">
        <f t="shared" si="851"/>
        <v>0</v>
      </c>
      <c r="T268" s="141">
        <f t="shared" si="851"/>
        <v>0</v>
      </c>
      <c r="U268" s="141">
        <f t="shared" si="851"/>
        <v>0</v>
      </c>
      <c r="V268" s="141">
        <f t="shared" si="851"/>
        <v>0</v>
      </c>
      <c r="W268" s="141">
        <f t="shared" si="851"/>
        <v>0</v>
      </c>
      <c r="X268" s="141">
        <f t="shared" si="851"/>
        <v>0</v>
      </c>
      <c r="Y268" s="141">
        <f t="shared" si="851"/>
        <v>0</v>
      </c>
      <c r="Z268" s="141">
        <f t="shared" si="851"/>
        <v>0</v>
      </c>
      <c r="AA268" s="141">
        <f t="shared" si="851"/>
        <v>0</v>
      </c>
      <c r="AB268" s="141">
        <f t="shared" si="851"/>
        <v>0</v>
      </c>
      <c r="AC268" s="141">
        <f t="shared" si="851"/>
        <v>0</v>
      </c>
      <c r="AD268" s="141">
        <f t="shared" si="851"/>
        <v>0</v>
      </c>
      <c r="AE268" s="141">
        <f t="shared" si="851"/>
        <v>0</v>
      </c>
      <c r="AF268" s="141">
        <f t="shared" si="851"/>
        <v>0</v>
      </c>
      <c r="AG268" s="141">
        <f t="shared" si="851"/>
        <v>0</v>
      </c>
      <c r="AH268" s="141">
        <f t="shared" si="851"/>
        <v>0</v>
      </c>
      <c r="AI268" s="141">
        <f t="shared" si="851"/>
        <v>0</v>
      </c>
      <c r="AJ268" s="141">
        <f t="shared" si="851"/>
        <v>0</v>
      </c>
      <c r="AK268" s="141">
        <f t="shared" si="851"/>
        <v>0</v>
      </c>
      <c r="AL268" s="141">
        <f t="shared" si="851"/>
        <v>0</v>
      </c>
      <c r="AM268" s="141">
        <f t="shared" si="851"/>
        <v>0</v>
      </c>
      <c r="AN268" s="141">
        <f t="shared" si="851"/>
        <v>0</v>
      </c>
      <c r="AO268" s="141">
        <f t="shared" si="851"/>
        <v>0</v>
      </c>
      <c r="AP268" s="141">
        <f t="shared" si="851"/>
        <v>0</v>
      </c>
    </row>
    <row r="269" spans="1:42">
      <c r="A269" s="204" t="str">
        <f>'Inputs &amp; Results'!A70</f>
        <v>Other</v>
      </c>
      <c r="C269" s="203">
        <f t="shared" ref="C269:AP269" si="852">IF(AND(PBIOtherFedTax="Yes",PBIOtherDebtSwitch="No"),C595,0)</f>
        <v>0</v>
      </c>
      <c r="D269" s="203">
        <f t="shared" si="852"/>
        <v>0</v>
      </c>
      <c r="E269" s="203">
        <f t="shared" si="852"/>
        <v>0</v>
      </c>
      <c r="F269" s="203">
        <f t="shared" si="852"/>
        <v>0</v>
      </c>
      <c r="G269" s="203">
        <f t="shared" si="852"/>
        <v>0</v>
      </c>
      <c r="H269" s="203">
        <f t="shared" si="852"/>
        <v>0</v>
      </c>
      <c r="I269" s="203">
        <f t="shared" si="852"/>
        <v>0</v>
      </c>
      <c r="J269" s="203">
        <f t="shared" si="852"/>
        <v>0</v>
      </c>
      <c r="K269" s="203">
        <f t="shared" si="852"/>
        <v>0</v>
      </c>
      <c r="L269" s="203">
        <f t="shared" si="852"/>
        <v>0</v>
      </c>
      <c r="M269" s="203">
        <f t="shared" si="852"/>
        <v>0</v>
      </c>
      <c r="N269" s="203">
        <f t="shared" si="852"/>
        <v>0</v>
      </c>
      <c r="O269" s="203">
        <f t="shared" si="852"/>
        <v>0</v>
      </c>
      <c r="P269" s="203">
        <f t="shared" si="852"/>
        <v>0</v>
      </c>
      <c r="Q269" s="203">
        <f t="shared" si="852"/>
        <v>0</v>
      </c>
      <c r="R269" s="203">
        <f t="shared" si="852"/>
        <v>0</v>
      </c>
      <c r="S269" s="203">
        <f t="shared" si="852"/>
        <v>0</v>
      </c>
      <c r="T269" s="203">
        <f t="shared" si="852"/>
        <v>0</v>
      </c>
      <c r="U269" s="203">
        <f t="shared" si="852"/>
        <v>0</v>
      </c>
      <c r="V269" s="203">
        <f t="shared" si="852"/>
        <v>0</v>
      </c>
      <c r="W269" s="203">
        <f t="shared" si="852"/>
        <v>0</v>
      </c>
      <c r="X269" s="203">
        <f t="shared" si="852"/>
        <v>0</v>
      </c>
      <c r="Y269" s="203">
        <f t="shared" si="852"/>
        <v>0</v>
      </c>
      <c r="Z269" s="203">
        <f t="shared" si="852"/>
        <v>0</v>
      </c>
      <c r="AA269" s="203">
        <f t="shared" si="852"/>
        <v>0</v>
      </c>
      <c r="AB269" s="203">
        <f t="shared" si="852"/>
        <v>0</v>
      </c>
      <c r="AC269" s="203">
        <f t="shared" si="852"/>
        <v>0</v>
      </c>
      <c r="AD269" s="203">
        <f t="shared" si="852"/>
        <v>0</v>
      </c>
      <c r="AE269" s="203">
        <f t="shared" si="852"/>
        <v>0</v>
      </c>
      <c r="AF269" s="203">
        <f t="shared" si="852"/>
        <v>0</v>
      </c>
      <c r="AG269" s="203">
        <f t="shared" si="852"/>
        <v>0</v>
      </c>
      <c r="AH269" s="203">
        <f t="shared" si="852"/>
        <v>0</v>
      </c>
      <c r="AI269" s="203">
        <f t="shared" si="852"/>
        <v>0</v>
      </c>
      <c r="AJ269" s="203">
        <f t="shared" si="852"/>
        <v>0</v>
      </c>
      <c r="AK269" s="203">
        <f t="shared" si="852"/>
        <v>0</v>
      </c>
      <c r="AL269" s="203">
        <f t="shared" si="852"/>
        <v>0</v>
      </c>
      <c r="AM269" s="203">
        <f t="shared" si="852"/>
        <v>0</v>
      </c>
      <c r="AN269" s="203">
        <f t="shared" si="852"/>
        <v>0</v>
      </c>
      <c r="AO269" s="203">
        <f t="shared" si="852"/>
        <v>0</v>
      </c>
      <c r="AP269" s="203">
        <f t="shared" si="852"/>
        <v>0</v>
      </c>
    </row>
    <row r="270" spans="1:42">
      <c r="A270" s="204" t="s">
        <v>53</v>
      </c>
      <c r="C270" s="194">
        <f>SUM(C266:C269)</f>
        <v>0</v>
      </c>
      <c r="D270" s="194">
        <f t="shared" ref="D270:AL270" si="853">SUM(D266:D269)</f>
        <v>0</v>
      </c>
      <c r="E270" s="194">
        <f t="shared" si="853"/>
        <v>0</v>
      </c>
      <c r="F270" s="194">
        <f t="shared" si="853"/>
        <v>0</v>
      </c>
      <c r="G270" s="194">
        <f t="shared" si="853"/>
        <v>0</v>
      </c>
      <c r="H270" s="194">
        <f t="shared" si="853"/>
        <v>0</v>
      </c>
      <c r="I270" s="194">
        <f t="shared" si="853"/>
        <v>0</v>
      </c>
      <c r="J270" s="194">
        <f t="shared" si="853"/>
        <v>0</v>
      </c>
      <c r="K270" s="194">
        <f t="shared" si="853"/>
        <v>0</v>
      </c>
      <c r="L270" s="194">
        <f t="shared" si="853"/>
        <v>0</v>
      </c>
      <c r="M270" s="194">
        <f t="shared" si="853"/>
        <v>0</v>
      </c>
      <c r="N270" s="194">
        <f t="shared" si="853"/>
        <v>0</v>
      </c>
      <c r="O270" s="194">
        <f t="shared" si="853"/>
        <v>0</v>
      </c>
      <c r="P270" s="194">
        <f t="shared" si="853"/>
        <v>0</v>
      </c>
      <c r="Q270" s="194">
        <f t="shared" si="853"/>
        <v>0</v>
      </c>
      <c r="R270" s="194">
        <f t="shared" si="853"/>
        <v>0</v>
      </c>
      <c r="S270" s="194">
        <f t="shared" si="853"/>
        <v>0</v>
      </c>
      <c r="T270" s="194">
        <f t="shared" si="853"/>
        <v>0</v>
      </c>
      <c r="U270" s="194">
        <f t="shared" si="853"/>
        <v>0</v>
      </c>
      <c r="V270" s="194">
        <f t="shared" si="853"/>
        <v>0</v>
      </c>
      <c r="W270" s="194">
        <f t="shared" si="853"/>
        <v>0</v>
      </c>
      <c r="X270" s="194">
        <f t="shared" si="853"/>
        <v>0</v>
      </c>
      <c r="Y270" s="194">
        <f t="shared" si="853"/>
        <v>0</v>
      </c>
      <c r="Z270" s="194">
        <f t="shared" si="853"/>
        <v>0</v>
      </c>
      <c r="AA270" s="194">
        <f t="shared" si="853"/>
        <v>0</v>
      </c>
      <c r="AB270" s="194">
        <f t="shared" si="853"/>
        <v>0</v>
      </c>
      <c r="AC270" s="194">
        <f t="shared" si="853"/>
        <v>0</v>
      </c>
      <c r="AD270" s="194">
        <f t="shared" si="853"/>
        <v>0</v>
      </c>
      <c r="AE270" s="194">
        <f t="shared" si="853"/>
        <v>0</v>
      </c>
      <c r="AF270" s="194">
        <f t="shared" si="853"/>
        <v>0</v>
      </c>
      <c r="AG270" s="194">
        <f t="shared" si="853"/>
        <v>0</v>
      </c>
      <c r="AH270" s="194">
        <f t="shared" si="853"/>
        <v>0</v>
      </c>
      <c r="AI270" s="194">
        <f t="shared" si="853"/>
        <v>0</v>
      </c>
      <c r="AJ270" s="194">
        <f t="shared" si="853"/>
        <v>0</v>
      </c>
      <c r="AK270" s="194">
        <f t="shared" si="853"/>
        <v>0</v>
      </c>
      <c r="AL270" s="194">
        <f t="shared" si="853"/>
        <v>0</v>
      </c>
      <c r="AM270" s="194">
        <f>SUM(AM266:AM269)</f>
        <v>0</v>
      </c>
      <c r="AN270" s="194">
        <f t="shared" ref="AN270" si="854">SUM(AN266:AN269)</f>
        <v>0</v>
      </c>
      <c r="AO270" s="194">
        <f t="shared" ref="AO270" si="855">SUM(AO266:AO269)</f>
        <v>0</v>
      </c>
      <c r="AP270" s="194">
        <f t="shared" ref="AP270" si="856">SUM(AP266:AP269)</f>
        <v>0</v>
      </c>
    </row>
    <row r="271" spans="1:42">
      <c r="A271" s="197" t="s">
        <v>131</v>
      </c>
      <c r="C271" s="186">
        <f>C252+C258+C264+C270</f>
        <v>13791229.75</v>
      </c>
      <c r="D271" s="186">
        <f t="shared" ref="D271:AP271" si="857">D252+D258+D264+D270</f>
        <v>0</v>
      </c>
      <c r="E271" s="186">
        <f t="shared" si="857"/>
        <v>0</v>
      </c>
      <c r="F271" s="186">
        <f t="shared" si="857"/>
        <v>0</v>
      </c>
      <c r="G271" s="186">
        <f t="shared" si="857"/>
        <v>0</v>
      </c>
      <c r="H271" s="186">
        <f t="shared" si="857"/>
        <v>0</v>
      </c>
      <c r="I271" s="186">
        <f t="shared" si="857"/>
        <v>0</v>
      </c>
      <c r="J271" s="186">
        <f t="shared" si="857"/>
        <v>0</v>
      </c>
      <c r="K271" s="186">
        <f t="shared" si="857"/>
        <v>0</v>
      </c>
      <c r="L271" s="186">
        <f t="shared" si="857"/>
        <v>0</v>
      </c>
      <c r="M271" s="186">
        <f t="shared" si="857"/>
        <v>0</v>
      </c>
      <c r="N271" s="186">
        <f t="shared" si="857"/>
        <v>0</v>
      </c>
      <c r="O271" s="186">
        <f t="shared" si="857"/>
        <v>0</v>
      </c>
      <c r="P271" s="186">
        <f t="shared" si="857"/>
        <v>0</v>
      </c>
      <c r="Q271" s="186">
        <f t="shared" si="857"/>
        <v>0</v>
      </c>
      <c r="R271" s="186">
        <f t="shared" si="857"/>
        <v>0</v>
      </c>
      <c r="S271" s="186">
        <f t="shared" si="857"/>
        <v>0</v>
      </c>
      <c r="T271" s="186">
        <f t="shared" si="857"/>
        <v>0</v>
      </c>
      <c r="U271" s="186">
        <f t="shared" si="857"/>
        <v>0</v>
      </c>
      <c r="V271" s="186">
        <f t="shared" si="857"/>
        <v>0</v>
      </c>
      <c r="W271" s="186">
        <f t="shared" si="857"/>
        <v>0</v>
      </c>
      <c r="X271" s="186">
        <f t="shared" si="857"/>
        <v>0</v>
      </c>
      <c r="Y271" s="186">
        <f t="shared" si="857"/>
        <v>0</v>
      </c>
      <c r="Z271" s="186">
        <f t="shared" si="857"/>
        <v>0</v>
      </c>
      <c r="AA271" s="186">
        <f t="shared" si="857"/>
        <v>0</v>
      </c>
      <c r="AB271" s="186">
        <f t="shared" si="857"/>
        <v>0</v>
      </c>
      <c r="AC271" s="186">
        <f t="shared" si="857"/>
        <v>0</v>
      </c>
      <c r="AD271" s="186">
        <f t="shared" si="857"/>
        <v>0</v>
      </c>
      <c r="AE271" s="186">
        <f t="shared" si="857"/>
        <v>0</v>
      </c>
      <c r="AF271" s="186">
        <f t="shared" si="857"/>
        <v>0</v>
      </c>
      <c r="AG271" s="186">
        <f t="shared" si="857"/>
        <v>0</v>
      </c>
      <c r="AH271" s="186">
        <f t="shared" si="857"/>
        <v>0</v>
      </c>
      <c r="AI271" s="186">
        <f t="shared" si="857"/>
        <v>0</v>
      </c>
      <c r="AJ271" s="186">
        <f t="shared" si="857"/>
        <v>0</v>
      </c>
      <c r="AK271" s="186">
        <f t="shared" si="857"/>
        <v>0</v>
      </c>
      <c r="AL271" s="186">
        <f t="shared" si="857"/>
        <v>0</v>
      </c>
      <c r="AM271" s="186">
        <f t="shared" si="857"/>
        <v>0</v>
      </c>
      <c r="AN271" s="186">
        <f t="shared" si="857"/>
        <v>0</v>
      </c>
      <c r="AO271" s="186">
        <f t="shared" si="857"/>
        <v>0</v>
      </c>
      <c r="AP271" s="186">
        <f t="shared" si="857"/>
        <v>0</v>
      </c>
    </row>
    <row r="272" spans="1:42">
      <c r="A272" s="204"/>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42">
      <c r="A273" s="197" t="s">
        <v>132</v>
      </c>
      <c r="C273" s="194">
        <f>C245+C271</f>
        <v>5569599.439147722</v>
      </c>
      <c r="D273" s="194">
        <f t="shared" ref="D273:AP273" si="858">D245+D271</f>
        <v>-7570680.2135422938</v>
      </c>
      <c r="E273" s="194">
        <f t="shared" si="858"/>
        <v>-3080024.2962743766</v>
      </c>
      <c r="F273" s="194">
        <f t="shared" si="858"/>
        <v>-286845.41202902573</v>
      </c>
      <c r="G273" s="194">
        <f t="shared" si="858"/>
        <v>-29115.082339090659</v>
      </c>
      <c r="H273" s="194">
        <f t="shared" si="858"/>
        <v>2153763.0388652133</v>
      </c>
      <c r="I273" s="194">
        <f t="shared" si="858"/>
        <v>4352646.1111390805</v>
      </c>
      <c r="J273" s="194">
        <f t="shared" si="858"/>
        <v>4670275.6392040318</v>
      </c>
      <c r="K273" s="194">
        <f t="shared" si="858"/>
        <v>4983954.7551634889</v>
      </c>
      <c r="L273" s="194">
        <f t="shared" si="858"/>
        <v>5316024.3841895899</v>
      </c>
      <c r="M273" s="194">
        <f t="shared" si="858"/>
        <v>5678770.1310166279</v>
      </c>
      <c r="N273" s="194">
        <f t="shared" si="858"/>
        <v>5225574.9956494533</v>
      </c>
      <c r="O273" s="194">
        <f t="shared" si="858"/>
        <v>4940093.1055353312</v>
      </c>
      <c r="P273" s="194">
        <f t="shared" si="858"/>
        <v>5431620.2001465075</v>
      </c>
      <c r="Q273" s="194">
        <f t="shared" si="858"/>
        <v>4588572.9778479608</v>
      </c>
      <c r="R273" s="194">
        <f t="shared" si="858"/>
        <v>3950420.4109200784</v>
      </c>
      <c r="S273" s="194">
        <f t="shared" si="858"/>
        <v>5057956.0795250703</v>
      </c>
      <c r="T273" s="194">
        <f t="shared" si="858"/>
        <v>5777933.2956761699</v>
      </c>
      <c r="U273" s="194">
        <f t="shared" si="858"/>
        <v>5884242.3592695557</v>
      </c>
      <c r="V273" s="194">
        <f t="shared" si="858"/>
        <v>6366208.9080278762</v>
      </c>
      <c r="W273" s="194">
        <f t="shared" si="858"/>
        <v>6849406.8080107886</v>
      </c>
      <c r="X273" s="194">
        <f t="shared" si="858"/>
        <v>6977137.8012959072</v>
      </c>
      <c r="Y273" s="194">
        <f t="shared" si="858"/>
        <v>7115603.7509221379</v>
      </c>
      <c r="Z273" s="194">
        <f t="shared" si="858"/>
        <v>6556924.4163868232</v>
      </c>
      <c r="AA273" s="194">
        <f t="shared" si="858"/>
        <v>6199201.2092168024</v>
      </c>
      <c r="AB273" s="194">
        <f t="shared" si="858"/>
        <v>6764212.5585554093</v>
      </c>
      <c r="AC273" s="194">
        <f t="shared" si="858"/>
        <v>7125727.4669074221</v>
      </c>
      <c r="AD273" s="194">
        <f t="shared" si="858"/>
        <v>7224382.3836390777</v>
      </c>
      <c r="AE273" s="194">
        <f t="shared" si="858"/>
        <v>7560894.0735150892</v>
      </c>
      <c r="AF273" s="194">
        <f t="shared" si="858"/>
        <v>10208932.008822881</v>
      </c>
      <c r="AG273" s="194">
        <f t="shared" si="858"/>
        <v>0</v>
      </c>
      <c r="AH273" s="194">
        <f t="shared" si="858"/>
        <v>0</v>
      </c>
      <c r="AI273" s="194">
        <f t="shared" si="858"/>
        <v>0</v>
      </c>
      <c r="AJ273" s="194">
        <f t="shared" si="858"/>
        <v>0</v>
      </c>
      <c r="AK273" s="194">
        <f t="shared" si="858"/>
        <v>0</v>
      </c>
      <c r="AL273" s="194">
        <f t="shared" si="858"/>
        <v>0</v>
      </c>
      <c r="AM273" s="194">
        <f t="shared" si="858"/>
        <v>0</v>
      </c>
      <c r="AN273" s="194">
        <f t="shared" si="858"/>
        <v>0</v>
      </c>
      <c r="AO273" s="194">
        <f t="shared" si="858"/>
        <v>0</v>
      </c>
      <c r="AP273" s="194">
        <f t="shared" si="858"/>
        <v>0</v>
      </c>
    </row>
    <row r="274" spans="1:42">
      <c r="A274" s="197" t="s">
        <v>224</v>
      </c>
      <c r="C274" s="194">
        <f t="shared" ref="C274:AP274" si="859">C273*-FedTax</f>
        <v>-1949359.8037017025</v>
      </c>
      <c r="D274" s="194">
        <f t="shared" si="859"/>
        <v>2649738.0747398026</v>
      </c>
      <c r="E274" s="194">
        <f t="shared" si="859"/>
        <v>1078008.5036960316</v>
      </c>
      <c r="F274" s="194">
        <f t="shared" si="859"/>
        <v>100395.89421015899</v>
      </c>
      <c r="G274" s="194">
        <f t="shared" si="859"/>
        <v>10190.278818681731</v>
      </c>
      <c r="H274" s="194">
        <f t="shared" si="859"/>
        <v>-753817.06360282458</v>
      </c>
      <c r="I274" s="194">
        <f t="shared" si="859"/>
        <v>-1523426.1388986781</v>
      </c>
      <c r="J274" s="194">
        <f t="shared" si="859"/>
        <v>-1634596.4737214111</v>
      </c>
      <c r="K274" s="194">
        <f t="shared" si="859"/>
        <v>-1744384.1643072211</v>
      </c>
      <c r="L274" s="194">
        <f t="shared" si="859"/>
        <v>-1860608.5344663563</v>
      </c>
      <c r="M274" s="194">
        <f t="shared" si="859"/>
        <v>-1987569.5458558197</v>
      </c>
      <c r="N274" s="194">
        <f t="shared" si="859"/>
        <v>-1828951.2484773085</v>
      </c>
      <c r="O274" s="194">
        <f t="shared" si="859"/>
        <v>-1729032.5869373658</v>
      </c>
      <c r="P274" s="194">
        <f t="shared" si="859"/>
        <v>-1901067.0700512775</v>
      </c>
      <c r="Q274" s="194">
        <f t="shared" si="859"/>
        <v>-1606000.5422467862</v>
      </c>
      <c r="R274" s="194">
        <f t="shared" si="859"/>
        <v>-1382647.1438220274</v>
      </c>
      <c r="S274" s="194">
        <f t="shared" si="859"/>
        <v>-1770284.6278337745</v>
      </c>
      <c r="T274" s="194">
        <f t="shared" si="859"/>
        <v>-2022276.6534866593</v>
      </c>
      <c r="U274" s="194">
        <f t="shared" si="859"/>
        <v>-2059484.8257443444</v>
      </c>
      <c r="V274" s="194">
        <f t="shared" si="859"/>
        <v>-2228173.1178097567</v>
      </c>
      <c r="W274" s="194">
        <f t="shared" si="859"/>
        <v>-2397292.3828037758</v>
      </c>
      <c r="X274" s="194">
        <f t="shared" si="859"/>
        <v>-2441998.2304535676</v>
      </c>
      <c r="Y274" s="194">
        <f t="shared" si="859"/>
        <v>-2490461.312822748</v>
      </c>
      <c r="Z274" s="194">
        <f t="shared" si="859"/>
        <v>-2294923.5457353881</v>
      </c>
      <c r="AA274" s="194">
        <f t="shared" si="859"/>
        <v>-2169720.4232258806</v>
      </c>
      <c r="AB274" s="194">
        <f t="shared" si="859"/>
        <v>-2367474.3954943931</v>
      </c>
      <c r="AC274" s="194">
        <f t="shared" si="859"/>
        <v>-2494004.6134175975</v>
      </c>
      <c r="AD274" s="194">
        <f t="shared" si="859"/>
        <v>-2528533.8342736769</v>
      </c>
      <c r="AE274" s="194">
        <f t="shared" si="859"/>
        <v>-2646312.925730281</v>
      </c>
      <c r="AF274" s="194">
        <f t="shared" si="859"/>
        <v>-3573126.2030880079</v>
      </c>
      <c r="AG274" s="194">
        <f t="shared" si="859"/>
        <v>0</v>
      </c>
      <c r="AH274" s="194">
        <f t="shared" si="859"/>
        <v>0</v>
      </c>
      <c r="AI274" s="194">
        <f t="shared" si="859"/>
        <v>0</v>
      </c>
      <c r="AJ274" s="194">
        <f t="shared" si="859"/>
        <v>0</v>
      </c>
      <c r="AK274" s="194">
        <f t="shared" si="859"/>
        <v>0</v>
      </c>
      <c r="AL274" s="194">
        <f t="shared" si="859"/>
        <v>0</v>
      </c>
      <c r="AM274" s="194">
        <f t="shared" si="859"/>
        <v>0</v>
      </c>
      <c r="AN274" s="194">
        <f t="shared" si="859"/>
        <v>0</v>
      </c>
      <c r="AO274" s="194">
        <f t="shared" si="859"/>
        <v>0</v>
      </c>
      <c r="AP274" s="194">
        <f t="shared" si="859"/>
        <v>0</v>
      </c>
    </row>
    <row r="275" spans="1:42">
      <c r="A275" s="204"/>
      <c r="C275" s="186"/>
      <c r="D275" s="186"/>
      <c r="E275" s="186"/>
      <c r="F275" s="186"/>
      <c r="G275" s="186"/>
      <c r="H275" s="186"/>
      <c r="I275" s="186"/>
      <c r="J275" s="186"/>
      <c r="K275" s="186"/>
      <c r="L275" s="186"/>
      <c r="M275" s="186"/>
      <c r="N275" s="186"/>
      <c r="O275" s="186"/>
      <c r="P275" s="186"/>
      <c r="Q275" s="186"/>
      <c r="R275" s="186"/>
      <c r="S275" s="186"/>
      <c r="T275" s="186"/>
      <c r="U275" s="186"/>
      <c r="V275" s="186"/>
      <c r="W275" s="186"/>
      <c r="X275" s="186"/>
      <c r="Y275" s="186"/>
      <c r="Z275" s="186"/>
      <c r="AA275" s="186"/>
      <c r="AB275" s="186"/>
      <c r="AC275" s="186"/>
      <c r="AD275" s="186"/>
      <c r="AE275" s="186"/>
      <c r="AF275" s="186"/>
      <c r="AG275" s="186"/>
      <c r="AH275" s="186"/>
      <c r="AI275" s="186"/>
      <c r="AJ275" s="186"/>
      <c r="AK275" s="186"/>
      <c r="AL275" s="186"/>
      <c r="AM275" s="186"/>
      <c r="AN275" s="186"/>
      <c r="AO275" s="186"/>
      <c r="AP275" s="186"/>
    </row>
    <row r="276" spans="1:42">
      <c r="A276" s="179" t="s">
        <v>499</v>
      </c>
    </row>
    <row r="277" spans="1:42">
      <c r="A277" s="195" t="s">
        <v>500</v>
      </c>
    </row>
    <row r="278" spans="1:42">
      <c r="A278" s="37" t="s">
        <v>82</v>
      </c>
      <c r="G278" s="293" t="s">
        <v>166</v>
      </c>
      <c r="H278" s="294"/>
      <c r="I278" s="294"/>
      <c r="J278" s="295"/>
      <c r="K278" s="226" t="s">
        <v>167</v>
      </c>
      <c r="L278" s="227"/>
    </row>
    <row r="279" spans="1:42" ht="51">
      <c r="B279" s="129" t="s">
        <v>154</v>
      </c>
      <c r="C279" s="129" t="s">
        <v>150</v>
      </c>
      <c r="D279" s="129" t="s">
        <v>152</v>
      </c>
      <c r="E279" s="206" t="s">
        <v>153</v>
      </c>
      <c r="F279" s="129" t="s">
        <v>155</v>
      </c>
      <c r="G279" s="129" t="s">
        <v>160</v>
      </c>
      <c r="H279" s="129" t="s">
        <v>162</v>
      </c>
      <c r="I279" s="129" t="s">
        <v>161</v>
      </c>
      <c r="J279" s="129" t="s">
        <v>163</v>
      </c>
      <c r="K279" s="228" t="s">
        <v>34</v>
      </c>
      <c r="L279" s="129" t="s">
        <v>163</v>
      </c>
      <c r="M279" s="207" t="s">
        <v>168</v>
      </c>
      <c r="N279" s="207" t="s">
        <v>169</v>
      </c>
      <c r="O279" s="129" t="s">
        <v>156</v>
      </c>
      <c r="P279" s="208" t="s">
        <v>319</v>
      </c>
      <c r="Q279" s="129" t="s">
        <v>324</v>
      </c>
    </row>
    <row r="280" spans="1:42" s="118" customFormat="1">
      <c r="A280" s="257" t="str">
        <f>'Inputs &amp; Results'!A217</f>
        <v>5-yr MACRS</v>
      </c>
      <c r="B280" s="351">
        <f t="shared" ref="B280:B285" si="860">C280/$C$287</f>
        <v>0.91752577319587614</v>
      </c>
      <c r="C280" s="141">
        <f>'Inputs &amp; Results'!C226</f>
        <v>39593328.638062894</v>
      </c>
      <c r="D280" s="141">
        <f>IF(StateBasisReduction="5-Yr MACRS",D287,$B280*D$287)</f>
        <v>3000</v>
      </c>
      <c r="E280" s="141">
        <f>IF(StateBasisReduction="5-Yr MACRS",E287,$B280*E$287)</f>
        <v>0</v>
      </c>
      <c r="F280" s="223">
        <f>C280-D280-E280</f>
        <v>39590328.638062894</v>
      </c>
      <c r="G280" s="352">
        <f>IF('Inputs &amp; Results'!B256="Yes",F280,0)</f>
        <v>39590328.638062894</v>
      </c>
      <c r="H280" s="353">
        <f>IF($G$287=0,0,G280/$G$287)</f>
        <v>1</v>
      </c>
      <c r="I280" s="353">
        <f t="shared" ref="I280:I285" si="861">$I$287*H280</f>
        <v>0</v>
      </c>
      <c r="J280" s="354">
        <f>I280*0.5</f>
        <v>0</v>
      </c>
      <c r="K280" s="355">
        <f t="shared" ref="K280:K285" si="862">H280*$K$287</f>
        <v>20000</v>
      </c>
      <c r="L280" s="354">
        <f>K280*0.5</f>
        <v>10000</v>
      </c>
      <c r="M280" s="141">
        <f t="shared" ref="M280:M285" si="863">IF(ITCStateFixedStateDeprec="Yes",L280,0)+IF(ITCStatePercentStateDeprec="Yes",J280,0)</f>
        <v>10000</v>
      </c>
      <c r="N280" s="141">
        <f t="shared" ref="N280:N285" si="864">IF(ITCFedFixedStateDeprec="Yes",L414,0)+IF(ITCFedPercentStateDeprec="Yes",J414,0)</f>
        <v>0</v>
      </c>
      <c r="O280" s="356">
        <f t="shared" ref="O280:O285" si="865">F280-M280-N280</f>
        <v>39580328.638062894</v>
      </c>
      <c r="P280" s="141">
        <f>IF('Inputs &amp; Results'!B238="Yes",O280*StateBonusDeprec,0)</f>
        <v>1979016.4319031448</v>
      </c>
      <c r="Q280" s="223">
        <f>O280-P280</f>
        <v>37601312.206159748</v>
      </c>
    </row>
    <row r="281" spans="1:42" s="118" customFormat="1">
      <c r="A281" s="257" t="str">
        <f>'Inputs &amp; Results'!A218</f>
        <v>15-yr MACRS</v>
      </c>
      <c r="B281" s="351">
        <f t="shared" si="860"/>
        <v>1.5463917525773191E-2</v>
      </c>
      <c r="C281" s="141">
        <f>'Inputs &amp; Results'!C227</f>
        <v>667303.29165274533</v>
      </c>
      <c r="D281" s="141">
        <f t="shared" ref="D281:E285" si="866">IF(StateBasisReduction="5-Yr MACRS",0,$B281*D$287)</f>
        <v>0</v>
      </c>
      <c r="E281" s="141">
        <f t="shared" si="866"/>
        <v>0</v>
      </c>
      <c r="F281" s="223">
        <f t="shared" ref="F281:F285" si="867">C281-D281-E281</f>
        <v>667303.29165274533</v>
      </c>
      <c r="G281" s="355">
        <f>IF('Inputs &amp; Results'!B257="Yes",F281,0)</f>
        <v>0</v>
      </c>
      <c r="H281" s="141">
        <f t="shared" ref="H281:H285" si="868">IF($G$287=0,0,G281/$G$287)</f>
        <v>0</v>
      </c>
      <c r="I281" s="141">
        <f t="shared" si="861"/>
        <v>0</v>
      </c>
      <c r="J281" s="326">
        <f t="shared" ref="J281:J285" si="869">I281*0.5</f>
        <v>0</v>
      </c>
      <c r="K281" s="355">
        <f t="shared" si="862"/>
        <v>0</v>
      </c>
      <c r="L281" s="326">
        <f t="shared" ref="L281:L285" si="870">K281*0.5</f>
        <v>0</v>
      </c>
      <c r="M281" s="141">
        <f t="shared" si="863"/>
        <v>0</v>
      </c>
      <c r="N281" s="141">
        <f t="shared" si="864"/>
        <v>0</v>
      </c>
      <c r="O281" s="223">
        <f t="shared" si="865"/>
        <v>667303.29165274533</v>
      </c>
      <c r="P281" s="141">
        <f>IF('Inputs &amp; Results'!B239="Yes",O281*StateBonusDeprec,0)</f>
        <v>0</v>
      </c>
      <c r="Q281" s="223">
        <f t="shared" ref="Q281:Q285" si="871">O281-P281</f>
        <v>667303.29165274533</v>
      </c>
    </row>
    <row r="282" spans="1:42" s="118" customFormat="1">
      <c r="A282" s="257" t="str">
        <f>'Inputs &amp; Results'!A219</f>
        <v>5-yr SL</v>
      </c>
      <c r="B282" s="351">
        <f t="shared" si="860"/>
        <v>0</v>
      </c>
      <c r="C282" s="141">
        <f>'Inputs &amp; Results'!C228</f>
        <v>0</v>
      </c>
      <c r="D282" s="141">
        <f t="shared" si="866"/>
        <v>0</v>
      </c>
      <c r="E282" s="141">
        <f t="shared" si="866"/>
        <v>0</v>
      </c>
      <c r="F282" s="223">
        <f t="shared" si="867"/>
        <v>0</v>
      </c>
      <c r="G282" s="355">
        <f>IF('Inputs &amp; Results'!B258="Yes",F282,0)</f>
        <v>0</v>
      </c>
      <c r="H282" s="141">
        <f t="shared" si="868"/>
        <v>0</v>
      </c>
      <c r="I282" s="141">
        <f t="shared" si="861"/>
        <v>0</v>
      </c>
      <c r="J282" s="326">
        <f t="shared" si="869"/>
        <v>0</v>
      </c>
      <c r="K282" s="355">
        <f t="shared" si="862"/>
        <v>0</v>
      </c>
      <c r="L282" s="326">
        <f t="shared" si="870"/>
        <v>0</v>
      </c>
      <c r="M282" s="141">
        <f t="shared" si="863"/>
        <v>0</v>
      </c>
      <c r="N282" s="141">
        <f t="shared" si="864"/>
        <v>0</v>
      </c>
      <c r="O282" s="223">
        <f t="shared" si="865"/>
        <v>0</v>
      </c>
      <c r="P282" s="141">
        <f>IF('Inputs &amp; Results'!B240="Yes",O282*StateBonusDeprec,0)</f>
        <v>0</v>
      </c>
      <c r="Q282" s="223">
        <f t="shared" si="871"/>
        <v>0</v>
      </c>
    </row>
    <row r="283" spans="1:42" s="118" customFormat="1">
      <c r="A283" s="257" t="str">
        <f>'Inputs &amp; Results'!A220</f>
        <v>15-yr SL</v>
      </c>
      <c r="B283" s="351">
        <f t="shared" si="860"/>
        <v>3.0927835051546382E-2</v>
      </c>
      <c r="C283" s="141">
        <f>'Inputs &amp; Results'!C229</f>
        <v>1334606.5833054907</v>
      </c>
      <c r="D283" s="141">
        <f t="shared" si="866"/>
        <v>0</v>
      </c>
      <c r="E283" s="141">
        <f t="shared" si="866"/>
        <v>0</v>
      </c>
      <c r="F283" s="223">
        <f t="shared" si="867"/>
        <v>1334606.5833054907</v>
      </c>
      <c r="G283" s="355">
        <f>IF('Inputs &amp; Results'!B259="Yes",F283,0)</f>
        <v>0</v>
      </c>
      <c r="H283" s="141">
        <f t="shared" si="868"/>
        <v>0</v>
      </c>
      <c r="I283" s="141">
        <f t="shared" si="861"/>
        <v>0</v>
      </c>
      <c r="J283" s="326">
        <f t="shared" si="869"/>
        <v>0</v>
      </c>
      <c r="K283" s="355">
        <f t="shared" si="862"/>
        <v>0</v>
      </c>
      <c r="L283" s="326">
        <f t="shared" si="870"/>
        <v>0</v>
      </c>
      <c r="M283" s="141">
        <f t="shared" si="863"/>
        <v>0</v>
      </c>
      <c r="N283" s="141">
        <f t="shared" si="864"/>
        <v>0</v>
      </c>
      <c r="O283" s="223">
        <f t="shared" si="865"/>
        <v>1334606.5833054907</v>
      </c>
      <c r="P283" s="141">
        <f>IF('Inputs &amp; Results'!B241="Yes",O283*StateBonusDeprec,0)</f>
        <v>0</v>
      </c>
      <c r="Q283" s="223">
        <f t="shared" si="871"/>
        <v>1334606.5833054907</v>
      </c>
    </row>
    <row r="284" spans="1:42" s="118" customFormat="1">
      <c r="A284" s="257" t="str">
        <f>'Inputs &amp; Results'!A221</f>
        <v>20-yr SL</v>
      </c>
      <c r="B284" s="351">
        <f t="shared" si="860"/>
        <v>3.0927835051546382E-2</v>
      </c>
      <c r="C284" s="141">
        <f>'Inputs &amp; Results'!C230</f>
        <v>1334606.5833054907</v>
      </c>
      <c r="D284" s="141">
        <f t="shared" si="866"/>
        <v>0</v>
      </c>
      <c r="E284" s="141">
        <f t="shared" si="866"/>
        <v>0</v>
      </c>
      <c r="F284" s="223">
        <f t="shared" si="867"/>
        <v>1334606.5833054907</v>
      </c>
      <c r="G284" s="355">
        <f>IF('Inputs &amp; Results'!B260="Yes",F284,0)</f>
        <v>0</v>
      </c>
      <c r="H284" s="141">
        <f t="shared" si="868"/>
        <v>0</v>
      </c>
      <c r="I284" s="141">
        <f t="shared" si="861"/>
        <v>0</v>
      </c>
      <c r="J284" s="326">
        <f t="shared" si="869"/>
        <v>0</v>
      </c>
      <c r="K284" s="355">
        <f t="shared" si="862"/>
        <v>0</v>
      </c>
      <c r="L284" s="326">
        <f t="shared" si="870"/>
        <v>0</v>
      </c>
      <c r="M284" s="141">
        <f t="shared" si="863"/>
        <v>0</v>
      </c>
      <c r="N284" s="141">
        <f t="shared" si="864"/>
        <v>0</v>
      </c>
      <c r="O284" s="223">
        <f t="shared" si="865"/>
        <v>1334606.5833054907</v>
      </c>
      <c r="P284" s="141">
        <f>IF('Inputs &amp; Results'!B242="Yes",O284*StateBonusDeprec,0)</f>
        <v>0</v>
      </c>
      <c r="Q284" s="223">
        <f t="shared" si="871"/>
        <v>1334606.5833054907</v>
      </c>
    </row>
    <row r="285" spans="1:42" s="118" customFormat="1">
      <c r="A285" s="257" t="str">
        <f>'Inputs &amp; Results'!A222</f>
        <v>39-yr SL</v>
      </c>
      <c r="B285" s="351">
        <f t="shared" si="860"/>
        <v>5.154639175257731E-3</v>
      </c>
      <c r="C285" s="141">
        <f>'Inputs &amp; Results'!C231</f>
        <v>222434.43055091513</v>
      </c>
      <c r="D285" s="141">
        <f t="shared" si="866"/>
        <v>0</v>
      </c>
      <c r="E285" s="141">
        <f t="shared" si="866"/>
        <v>0</v>
      </c>
      <c r="F285" s="223">
        <f t="shared" si="867"/>
        <v>222434.43055091513</v>
      </c>
      <c r="G285" s="355">
        <f>IF('Inputs &amp; Results'!B261="Yes",F285,0)</f>
        <v>0</v>
      </c>
      <c r="H285" s="141">
        <f t="shared" si="868"/>
        <v>0</v>
      </c>
      <c r="I285" s="141">
        <f t="shared" si="861"/>
        <v>0</v>
      </c>
      <c r="J285" s="326">
        <f t="shared" si="869"/>
        <v>0</v>
      </c>
      <c r="K285" s="355">
        <f t="shared" si="862"/>
        <v>0</v>
      </c>
      <c r="L285" s="326">
        <f t="shared" si="870"/>
        <v>0</v>
      </c>
      <c r="M285" s="141">
        <f t="shared" si="863"/>
        <v>0</v>
      </c>
      <c r="N285" s="141">
        <f t="shared" si="864"/>
        <v>0</v>
      </c>
      <c r="O285" s="223">
        <f t="shared" si="865"/>
        <v>222434.43055091513</v>
      </c>
      <c r="P285" s="141">
        <f>IF('Inputs &amp; Results'!B243="Yes",O285*StateBonusDeprec,0)</f>
        <v>0</v>
      </c>
      <c r="Q285" s="223">
        <f t="shared" si="871"/>
        <v>222434.43055091513</v>
      </c>
    </row>
    <row r="286" spans="1:42">
      <c r="A286" s="261" t="s">
        <v>376</v>
      </c>
      <c r="B286" s="209"/>
      <c r="C286" s="210"/>
      <c r="D286" s="211"/>
      <c r="E286" s="211"/>
      <c r="F286" s="103"/>
      <c r="G286" s="209"/>
      <c r="H286" s="230"/>
      <c r="I286" s="230"/>
      <c r="J286" s="296"/>
      <c r="K286" s="209"/>
      <c r="L286" s="296"/>
      <c r="M286" s="211"/>
      <c r="N286" s="211"/>
      <c r="O286" s="103"/>
      <c r="P286" s="211"/>
      <c r="Q286" s="103"/>
    </row>
    <row r="287" spans="1:42" s="118" customFormat="1">
      <c r="B287" s="357">
        <f>SUM(B280:B286)</f>
        <v>0.99999999999999978</v>
      </c>
      <c r="C287" s="203">
        <f>SUM(C280:C286)</f>
        <v>43152279.526877545</v>
      </c>
      <c r="D287" s="203">
        <f>B296+B302</f>
        <v>3000</v>
      </c>
      <c r="E287" s="203">
        <f>B308</f>
        <v>0</v>
      </c>
      <c r="F287" s="224">
        <f t="shared" ref="F287:Q287" si="872">SUM(F280:F286)</f>
        <v>43149279.526877545</v>
      </c>
      <c r="G287" s="224">
        <f>SUM(G280:G286)</f>
        <v>39590328.638062894</v>
      </c>
      <c r="H287" s="358">
        <f>SUM(H280:H286)</f>
        <v>1</v>
      </c>
      <c r="I287" s="224">
        <f>MIN(ITCStateMax,ITCStatePercent*G287)</f>
        <v>0</v>
      </c>
      <c r="J287" s="224">
        <f>SUM(J280:J286)</f>
        <v>0</v>
      </c>
      <c r="K287" s="224">
        <f>ITCStateFixed</f>
        <v>20000</v>
      </c>
      <c r="L287" s="224">
        <f>SUM(L280:L286)</f>
        <v>10000</v>
      </c>
      <c r="M287" s="203">
        <f t="shared" si="872"/>
        <v>10000</v>
      </c>
      <c r="N287" s="203">
        <f t="shared" si="872"/>
        <v>0</v>
      </c>
      <c r="O287" s="224">
        <f t="shared" si="872"/>
        <v>43139279.526877545</v>
      </c>
      <c r="P287" s="224">
        <f t="shared" si="872"/>
        <v>1979016.4319031448</v>
      </c>
      <c r="Q287" s="224">
        <f t="shared" si="872"/>
        <v>41160263.094974399</v>
      </c>
    </row>
    <row r="289" spans="1:2">
      <c r="A289" s="37" t="s">
        <v>165</v>
      </c>
    </row>
    <row r="290" spans="1:2">
      <c r="A290" s="184" t="str">
        <f>A559</f>
        <v>Investment Based Incentive (IBI)</v>
      </c>
    </row>
    <row r="291" spans="1:2">
      <c r="A291" s="200" t="str">
        <f t="shared" ref="A291:A307" si="873">A560</f>
        <v>Fixed Amount ($)</v>
      </c>
    </row>
    <row r="292" spans="1:2">
      <c r="A292" s="213" t="str">
        <f t="shared" si="873"/>
        <v>Federal</v>
      </c>
      <c r="B292" s="152">
        <f>IF(IBIFedFixedStateDeprec="Yes",IBIFedFixed,0)</f>
        <v>1000</v>
      </c>
    </row>
    <row r="293" spans="1:2">
      <c r="A293" s="213" t="str">
        <f t="shared" si="873"/>
        <v>State</v>
      </c>
      <c r="B293" s="152">
        <f>IF(IBIStateFixedStateDeprec="Yes",IBIStateFixed,0)</f>
        <v>2000</v>
      </c>
    </row>
    <row r="294" spans="1:2">
      <c r="A294" s="213" t="str">
        <f t="shared" si="873"/>
        <v>Utility</v>
      </c>
      <c r="B294" s="152">
        <f>IF(IBIUtilityFixedStateDeprec="Yes",IBIUtilityFixed,0)</f>
        <v>0</v>
      </c>
    </row>
    <row r="295" spans="1:2">
      <c r="A295" s="213" t="str">
        <f t="shared" si="873"/>
        <v>Other</v>
      </c>
      <c r="B295" s="187">
        <f>IF(IBIOtherFixedStateDeprec="Yes",IBIOtherFixed,0)</f>
        <v>0</v>
      </c>
    </row>
    <row r="296" spans="1:2">
      <c r="A296" s="213" t="str">
        <f t="shared" si="873"/>
        <v>Total</v>
      </c>
      <c r="B296" s="152">
        <f>SUM(B292:B295)</f>
        <v>3000</v>
      </c>
    </row>
    <row r="297" spans="1:2">
      <c r="A297" s="200" t="str">
        <f t="shared" si="873"/>
        <v>Percentage of Pre-Financing Costs</v>
      </c>
    </row>
    <row r="298" spans="1:2">
      <c r="A298" s="213" t="str">
        <f t="shared" si="873"/>
        <v>Federal</v>
      </c>
      <c r="B298" s="152">
        <f>IF(IBIFedPercentStateDeprec="Yes",IBIFedPercent,0)</f>
        <v>0</v>
      </c>
    </row>
    <row r="299" spans="1:2">
      <c r="A299" s="213" t="str">
        <f>A568</f>
        <v>State</v>
      </c>
      <c r="B299" s="152">
        <f>IF(IBIStatePercentStateDeprec="Yes",IBIStatePercent,0)</f>
        <v>0</v>
      </c>
    </row>
    <row r="300" spans="1:2">
      <c r="A300" s="213" t="str">
        <f t="shared" si="873"/>
        <v>Utility</v>
      </c>
      <c r="B300" s="152">
        <f>IF(IBIUtilityPercentStateDeprec="Yes",IBIUtilityPercent,0)</f>
        <v>0</v>
      </c>
    </row>
    <row r="301" spans="1:2">
      <c r="A301" s="213" t="str">
        <f t="shared" si="873"/>
        <v>Other</v>
      </c>
      <c r="B301" s="187">
        <f>IF(IBIOtherPercentStateDeprec="Yes",IBIOtherPercent,0)</f>
        <v>0</v>
      </c>
    </row>
    <row r="302" spans="1:2">
      <c r="A302" s="213" t="str">
        <f t="shared" si="873"/>
        <v>Total</v>
      </c>
      <c r="B302" s="152">
        <f>SUM(B298:B301)</f>
        <v>0</v>
      </c>
    </row>
    <row r="303" spans="1:2">
      <c r="A303" s="184" t="str">
        <f t="shared" si="873"/>
        <v>Capacity Based Incentive (CBI)</v>
      </c>
    </row>
    <row r="304" spans="1:2">
      <c r="A304" s="200" t="str">
        <f t="shared" si="873"/>
        <v>Federal</v>
      </c>
      <c r="B304" s="152">
        <f>IF(CBIFedStateDeprec="Yes",CBIFed,0)</f>
        <v>0</v>
      </c>
    </row>
    <row r="305" spans="1:42">
      <c r="A305" s="200" t="str">
        <f>A574</f>
        <v>State</v>
      </c>
      <c r="B305" s="152">
        <f>IF(CBIStateStateDeprec="Yes",CBIState,0)</f>
        <v>0</v>
      </c>
    </row>
    <row r="306" spans="1:42">
      <c r="A306" s="200" t="str">
        <f t="shared" si="873"/>
        <v>Utility</v>
      </c>
      <c r="B306" s="152">
        <f>IF(CBIUtilityStateDeprec="Yes",CBIUtility,0)</f>
        <v>0</v>
      </c>
    </row>
    <row r="307" spans="1:42">
      <c r="A307" s="200" t="str">
        <f t="shared" si="873"/>
        <v>Other</v>
      </c>
      <c r="B307" s="187">
        <f>IF(CBIOtherStateDeprec="Yes",CBIOther,0)</f>
        <v>0</v>
      </c>
    </row>
    <row r="308" spans="1:42">
      <c r="A308" s="200" t="str">
        <f>A577</f>
        <v>Total</v>
      </c>
      <c r="B308" s="194">
        <f>SUM(B304:B307)</f>
        <v>0</v>
      </c>
    </row>
    <row r="309" spans="1:42">
      <c r="A309" s="184" t="s">
        <v>151</v>
      </c>
      <c r="B309" s="152">
        <f>B296+B302+B308</f>
        <v>3000</v>
      </c>
    </row>
    <row r="311" spans="1:42">
      <c r="A311" s="37" t="s">
        <v>252</v>
      </c>
    </row>
    <row r="312" spans="1:42">
      <c r="A312" s="184" t="s">
        <v>157</v>
      </c>
    </row>
    <row r="313" spans="1:42">
      <c r="A313" s="205" t="str">
        <f>A280</f>
        <v>5-yr MACRS</v>
      </c>
      <c r="B313" s="214">
        <f>SUM(C313:AP313)</f>
        <v>0.99999999999999989</v>
      </c>
      <c r="C313" s="215">
        <f>LOOKUP(C$2,'Depreciation Schedules'!$A$3:$A$42,'Depreciation Schedules'!$B$3:$B$42)</f>
        <v>0.2</v>
      </c>
      <c r="D313" s="215">
        <f>LOOKUP(D$2,'Depreciation Schedules'!$A$3:$A$42,'Depreciation Schedules'!$B$3:$B$42)</f>
        <v>0.32</v>
      </c>
      <c r="E313" s="215">
        <f>LOOKUP(E$2,'Depreciation Schedules'!$A$3:$A$42,'Depreciation Schedules'!$B$3:$B$42)</f>
        <v>0.192</v>
      </c>
      <c r="F313" s="215">
        <f>LOOKUP(F$2,'Depreciation Schedules'!$A$3:$A$42,'Depreciation Schedules'!$B$3:$B$42)</f>
        <v>0.1152</v>
      </c>
      <c r="G313" s="215">
        <f>LOOKUP(G$2,'Depreciation Schedules'!$A$3:$A$42,'Depreciation Schedules'!$B$3:$B$42)</f>
        <v>0.1152</v>
      </c>
      <c r="H313" s="215">
        <f>LOOKUP(H$2,'Depreciation Schedules'!$A$3:$A$42,'Depreciation Schedules'!$B$3:$B$42)</f>
        <v>5.7599999999999998E-2</v>
      </c>
      <c r="I313" s="215">
        <f>LOOKUP(I$2,'Depreciation Schedules'!$A$3:$A$42,'Depreciation Schedules'!$B$3:$B$42)</f>
        <v>0</v>
      </c>
      <c r="J313" s="215">
        <f>LOOKUP(J$2,'Depreciation Schedules'!$A$3:$A$42,'Depreciation Schedules'!$B$3:$B$42)</f>
        <v>0</v>
      </c>
      <c r="K313" s="215">
        <f>LOOKUP(K$2,'Depreciation Schedules'!$A$3:$A$42,'Depreciation Schedules'!$B$3:$B$42)</f>
        <v>0</v>
      </c>
      <c r="L313" s="215">
        <f>LOOKUP(L$2,'Depreciation Schedules'!$A$3:$A$42,'Depreciation Schedules'!$B$3:$B$42)</f>
        <v>0</v>
      </c>
      <c r="M313" s="215">
        <f>LOOKUP(M$2,'Depreciation Schedules'!$A$3:$A$42,'Depreciation Schedules'!$B$3:$B$42)</f>
        <v>0</v>
      </c>
      <c r="N313" s="215">
        <f>LOOKUP(N$2,'Depreciation Schedules'!$A$3:$A$42,'Depreciation Schedules'!$B$3:$B$42)</f>
        <v>0</v>
      </c>
      <c r="O313" s="215">
        <f>LOOKUP(O$2,'Depreciation Schedules'!$A$3:$A$42,'Depreciation Schedules'!$B$3:$B$42)</f>
        <v>0</v>
      </c>
      <c r="P313" s="215">
        <f>LOOKUP(P$2,'Depreciation Schedules'!$A$3:$A$42,'Depreciation Schedules'!$B$3:$B$42)</f>
        <v>0</v>
      </c>
      <c r="Q313" s="215">
        <f>LOOKUP(Q$2,'Depreciation Schedules'!$A$3:$A$42,'Depreciation Schedules'!$B$3:$B$42)</f>
        <v>0</v>
      </c>
      <c r="R313" s="215">
        <f>LOOKUP(R$2,'Depreciation Schedules'!$A$3:$A$42,'Depreciation Schedules'!$B$3:$B$42)</f>
        <v>0</v>
      </c>
      <c r="S313" s="215">
        <f>LOOKUP(S$2,'Depreciation Schedules'!$A$3:$A$42,'Depreciation Schedules'!$B$3:$B$42)</f>
        <v>0</v>
      </c>
      <c r="T313" s="215">
        <f>LOOKUP(T$2,'Depreciation Schedules'!$A$3:$A$42,'Depreciation Schedules'!$B$3:$B$42)</f>
        <v>0</v>
      </c>
      <c r="U313" s="215">
        <f>LOOKUP(U$2,'Depreciation Schedules'!$A$3:$A$42,'Depreciation Schedules'!$B$3:$B$42)</f>
        <v>0</v>
      </c>
      <c r="V313" s="215">
        <f>LOOKUP(V$2,'Depreciation Schedules'!$A$3:$A$42,'Depreciation Schedules'!$B$3:$B$42)</f>
        <v>0</v>
      </c>
      <c r="W313" s="215">
        <f>LOOKUP(W$2,'Depreciation Schedules'!$A$3:$A$42,'Depreciation Schedules'!$B$3:$B$42)</f>
        <v>0</v>
      </c>
      <c r="X313" s="215">
        <f>LOOKUP(X$2,'Depreciation Schedules'!$A$3:$A$42,'Depreciation Schedules'!$B$3:$B$42)</f>
        <v>0</v>
      </c>
      <c r="Y313" s="215">
        <f>LOOKUP(Y$2,'Depreciation Schedules'!$A$3:$A$42,'Depreciation Schedules'!$B$3:$B$42)</f>
        <v>0</v>
      </c>
      <c r="Z313" s="215">
        <f>LOOKUP(Z$2,'Depreciation Schedules'!$A$3:$A$42,'Depreciation Schedules'!$B$3:$B$42)</f>
        <v>0</v>
      </c>
      <c r="AA313" s="215">
        <f>LOOKUP(AA$2,'Depreciation Schedules'!$A$3:$A$42,'Depreciation Schedules'!$B$3:$B$42)</f>
        <v>0</v>
      </c>
      <c r="AB313" s="215">
        <f>LOOKUP(AB$2,'Depreciation Schedules'!$A$3:$A$42,'Depreciation Schedules'!$B$3:$B$42)</f>
        <v>0</v>
      </c>
      <c r="AC313" s="215">
        <f>LOOKUP(AC$2,'Depreciation Schedules'!$A$3:$A$42,'Depreciation Schedules'!$B$3:$B$42)</f>
        <v>0</v>
      </c>
      <c r="AD313" s="215">
        <f>LOOKUP(AD$2,'Depreciation Schedules'!$A$3:$A$42,'Depreciation Schedules'!$B$3:$B$42)</f>
        <v>0</v>
      </c>
      <c r="AE313" s="215">
        <f>LOOKUP(AE$2,'Depreciation Schedules'!$A$3:$A$42,'Depreciation Schedules'!$B$3:$B$42)</f>
        <v>0</v>
      </c>
      <c r="AF313" s="215">
        <f>LOOKUP(AF$2,'Depreciation Schedules'!$A$3:$A$42,'Depreciation Schedules'!$B$3:$B$42)</f>
        <v>0</v>
      </c>
      <c r="AG313" s="215">
        <f>LOOKUP(AG$2,'Depreciation Schedules'!$A$3:$A$42,'Depreciation Schedules'!$B$3:$B$42)</f>
        <v>0</v>
      </c>
      <c r="AH313" s="215">
        <f>LOOKUP(AH$2,'Depreciation Schedules'!$A$3:$A$42,'Depreciation Schedules'!$B$3:$B$42)</f>
        <v>0</v>
      </c>
      <c r="AI313" s="215">
        <f>LOOKUP(AI$2,'Depreciation Schedules'!$A$3:$A$42,'Depreciation Schedules'!$B$3:$B$42)</f>
        <v>0</v>
      </c>
      <c r="AJ313" s="215">
        <f>LOOKUP(AJ$2,'Depreciation Schedules'!$A$3:$A$42,'Depreciation Schedules'!$B$3:$B$42)</f>
        <v>0</v>
      </c>
      <c r="AK313" s="215">
        <f>LOOKUP(AK$2,'Depreciation Schedules'!$A$3:$A$42,'Depreciation Schedules'!$B$3:$B$42)</f>
        <v>0</v>
      </c>
      <c r="AL313" s="215">
        <f>LOOKUP(AL$2,'Depreciation Schedules'!$A$3:$A$42,'Depreciation Schedules'!$B$3:$B$42)</f>
        <v>0</v>
      </c>
      <c r="AM313" s="215">
        <f>LOOKUP(AM$2,'Depreciation Schedules'!$A$3:$A$42,'Depreciation Schedules'!$B$3:$B$42)</f>
        <v>0</v>
      </c>
      <c r="AN313" s="215">
        <f>LOOKUP(AN$2,'Depreciation Schedules'!$A$3:$A$42,'Depreciation Schedules'!$B$3:$B$42)</f>
        <v>0</v>
      </c>
      <c r="AO313" s="215">
        <f>LOOKUP(AO$2,'Depreciation Schedules'!$A$3:$A$42,'Depreciation Schedules'!$B$3:$B$42)</f>
        <v>0</v>
      </c>
      <c r="AP313" s="215">
        <f>LOOKUP(AP$2,'Depreciation Schedules'!$A$3:$A$42,'Depreciation Schedules'!$B$3:$B$42)</f>
        <v>0</v>
      </c>
    </row>
    <row r="314" spans="1:42">
      <c r="A314" s="205" t="str">
        <f t="shared" ref="A314:A318" si="874">A281</f>
        <v>15-yr MACRS</v>
      </c>
      <c r="B314" s="216">
        <f t="shared" ref="B314:B318" si="875">SUM(C314:AP314)</f>
        <v>1.0000000000000002</v>
      </c>
      <c r="C314" s="215">
        <f>LOOKUP(C$2,'Depreciation Schedules'!$A$3:$A$42,'Depreciation Schedules'!$C$3:$C$42)</f>
        <v>0.05</v>
      </c>
      <c r="D314" s="215">
        <f>LOOKUP(D$2,'Depreciation Schedules'!$A$3:$A$42,'Depreciation Schedules'!$C$3:$C$42)</f>
        <v>9.5000000000000001E-2</v>
      </c>
      <c r="E314" s="215">
        <f>LOOKUP(E$2,'Depreciation Schedules'!$A$3:$A$42,'Depreciation Schedules'!$C$3:$C$42)</f>
        <v>8.5500000000000007E-2</v>
      </c>
      <c r="F314" s="215">
        <f>LOOKUP(F$2,'Depreciation Schedules'!$A$3:$A$42,'Depreciation Schedules'!$C$3:$C$42)</f>
        <v>7.6999999999999999E-2</v>
      </c>
      <c r="G314" s="215">
        <f>LOOKUP(G$2,'Depreciation Schedules'!$A$3:$A$42,'Depreciation Schedules'!$C$3:$C$42)</f>
        <v>6.93E-2</v>
      </c>
      <c r="H314" s="215">
        <f>LOOKUP(H$2,'Depreciation Schedules'!$A$3:$A$42,'Depreciation Schedules'!$C$3:$C$42)</f>
        <v>6.2300000000000001E-2</v>
      </c>
      <c r="I314" s="215">
        <f>LOOKUP(I$2,'Depreciation Schedules'!$A$3:$A$42,'Depreciation Schedules'!$C$3:$C$42)</f>
        <v>5.8999999999999997E-2</v>
      </c>
      <c r="J314" s="215">
        <f>LOOKUP(J$2,'Depreciation Schedules'!$A$3:$A$42,'Depreciation Schedules'!$C$3:$C$42)</f>
        <v>5.8999999999999997E-2</v>
      </c>
      <c r="K314" s="215">
        <f>LOOKUP(K$2,'Depreciation Schedules'!$A$3:$A$42,'Depreciation Schedules'!$C$3:$C$42)</f>
        <v>5.91E-2</v>
      </c>
      <c r="L314" s="215">
        <f>LOOKUP(L$2,'Depreciation Schedules'!$A$3:$A$42,'Depreciation Schedules'!$C$3:$C$42)</f>
        <v>5.8999999999999997E-2</v>
      </c>
      <c r="M314" s="215">
        <f>LOOKUP(M$2,'Depreciation Schedules'!$A$3:$A$42,'Depreciation Schedules'!$C$3:$C$42)</f>
        <v>5.91E-2</v>
      </c>
      <c r="N314" s="215">
        <f>LOOKUP(N$2,'Depreciation Schedules'!$A$3:$A$42,'Depreciation Schedules'!$C$3:$C$42)</f>
        <v>5.8999999999999997E-2</v>
      </c>
      <c r="O314" s="215">
        <f>LOOKUP(O$2,'Depreciation Schedules'!$A$3:$A$42,'Depreciation Schedules'!$C$3:$C$42)</f>
        <v>5.91E-2</v>
      </c>
      <c r="P314" s="215">
        <f>LOOKUP(P$2,'Depreciation Schedules'!$A$3:$A$42,'Depreciation Schedules'!$C$3:$C$42)</f>
        <v>5.8999999999999997E-2</v>
      </c>
      <c r="Q314" s="215">
        <f>LOOKUP(Q$2,'Depreciation Schedules'!$A$3:$A$42,'Depreciation Schedules'!$C$3:$C$42)</f>
        <v>5.91E-2</v>
      </c>
      <c r="R314" s="215">
        <f>LOOKUP(R$2,'Depreciation Schedules'!$A$3:$A$42,'Depreciation Schedules'!$C$3:$C$42)</f>
        <v>2.9499999999999998E-2</v>
      </c>
      <c r="S314" s="215">
        <f>LOOKUP(S$2,'Depreciation Schedules'!$A$3:$A$42,'Depreciation Schedules'!$C$3:$C$42)</f>
        <v>0</v>
      </c>
      <c r="T314" s="215">
        <f>LOOKUP(T$2,'Depreciation Schedules'!$A$3:$A$42,'Depreciation Schedules'!$C$3:$C$42)</f>
        <v>0</v>
      </c>
      <c r="U314" s="215">
        <f>LOOKUP(U$2,'Depreciation Schedules'!$A$3:$A$42,'Depreciation Schedules'!$C$3:$C$42)</f>
        <v>0</v>
      </c>
      <c r="V314" s="215">
        <f>LOOKUP(V$2,'Depreciation Schedules'!$A$3:$A$42,'Depreciation Schedules'!$C$3:$C$42)</f>
        <v>0</v>
      </c>
      <c r="W314" s="215">
        <f>LOOKUP(W$2,'Depreciation Schedules'!$A$3:$A$42,'Depreciation Schedules'!$C$3:$C$42)</f>
        <v>0</v>
      </c>
      <c r="X314" s="215">
        <f>LOOKUP(X$2,'Depreciation Schedules'!$A$3:$A$42,'Depreciation Schedules'!$C$3:$C$42)</f>
        <v>0</v>
      </c>
      <c r="Y314" s="215">
        <f>LOOKUP(Y$2,'Depreciation Schedules'!$A$3:$A$42,'Depreciation Schedules'!$C$3:$C$42)</f>
        <v>0</v>
      </c>
      <c r="Z314" s="215">
        <f>LOOKUP(Z$2,'Depreciation Schedules'!$A$3:$A$42,'Depreciation Schedules'!$C$3:$C$42)</f>
        <v>0</v>
      </c>
      <c r="AA314" s="215">
        <f>LOOKUP(AA$2,'Depreciation Schedules'!$A$3:$A$42,'Depreciation Schedules'!$C$3:$C$42)</f>
        <v>0</v>
      </c>
      <c r="AB314" s="215">
        <f>LOOKUP(AB$2,'Depreciation Schedules'!$A$3:$A$42,'Depreciation Schedules'!$C$3:$C$42)</f>
        <v>0</v>
      </c>
      <c r="AC314" s="215">
        <f>LOOKUP(AC$2,'Depreciation Schedules'!$A$3:$A$42,'Depreciation Schedules'!$C$3:$C$42)</f>
        <v>0</v>
      </c>
      <c r="AD314" s="215">
        <f>LOOKUP(AD$2,'Depreciation Schedules'!$A$3:$A$42,'Depreciation Schedules'!$C$3:$C$42)</f>
        <v>0</v>
      </c>
      <c r="AE314" s="215">
        <f>LOOKUP(AE$2,'Depreciation Schedules'!$A$3:$A$42,'Depreciation Schedules'!$C$3:$C$42)</f>
        <v>0</v>
      </c>
      <c r="AF314" s="215">
        <f>LOOKUP(AF$2,'Depreciation Schedules'!$A$3:$A$42,'Depreciation Schedules'!$C$3:$C$42)</f>
        <v>0</v>
      </c>
      <c r="AG314" s="215">
        <f>LOOKUP(AG$2,'Depreciation Schedules'!$A$3:$A$42,'Depreciation Schedules'!$C$3:$C$42)</f>
        <v>0</v>
      </c>
      <c r="AH314" s="215">
        <f>LOOKUP(AH$2,'Depreciation Schedules'!$A$3:$A$42,'Depreciation Schedules'!$C$3:$C$42)</f>
        <v>0</v>
      </c>
      <c r="AI314" s="215">
        <f>LOOKUP(AI$2,'Depreciation Schedules'!$A$3:$A$42,'Depreciation Schedules'!$C$3:$C$42)</f>
        <v>0</v>
      </c>
      <c r="AJ314" s="215">
        <f>LOOKUP(AJ$2,'Depreciation Schedules'!$A$3:$A$42,'Depreciation Schedules'!$C$3:$C$42)</f>
        <v>0</v>
      </c>
      <c r="AK314" s="215">
        <f>LOOKUP(AK$2,'Depreciation Schedules'!$A$3:$A$42,'Depreciation Schedules'!$C$3:$C$42)</f>
        <v>0</v>
      </c>
      <c r="AL314" s="215">
        <f>LOOKUP(AL$2,'Depreciation Schedules'!$A$3:$A$42,'Depreciation Schedules'!$C$3:$C$42)</f>
        <v>0</v>
      </c>
      <c r="AM314" s="215">
        <f>LOOKUP(AM$2,'Depreciation Schedules'!$A$3:$A$42,'Depreciation Schedules'!$C$3:$C$42)</f>
        <v>0</v>
      </c>
      <c r="AN314" s="215">
        <f>LOOKUP(AN$2,'Depreciation Schedules'!$A$3:$A$42,'Depreciation Schedules'!$C$3:$C$42)</f>
        <v>0</v>
      </c>
      <c r="AO314" s="215">
        <f>LOOKUP(AO$2,'Depreciation Schedules'!$A$3:$A$42,'Depreciation Schedules'!$C$3:$C$42)</f>
        <v>0</v>
      </c>
      <c r="AP314" s="215">
        <f>LOOKUP(AP$2,'Depreciation Schedules'!$A$3:$A$42,'Depreciation Schedules'!$C$3:$C$42)</f>
        <v>0</v>
      </c>
    </row>
    <row r="315" spans="1:42">
      <c r="A315" s="205" t="str">
        <f t="shared" si="874"/>
        <v>5-yr SL</v>
      </c>
      <c r="B315" s="216">
        <f t="shared" si="875"/>
        <v>0.99999999999999989</v>
      </c>
      <c r="C315" s="215">
        <f>LOOKUP(C$2,'Depreciation Schedules'!$A$3:$A$42,'Depreciation Schedules'!$D$3:$D$42)</f>
        <v>0.1</v>
      </c>
      <c r="D315" s="215">
        <f>LOOKUP(D$2,'Depreciation Schedules'!$A$3:$A$42,'Depreciation Schedules'!$D$3:$D$42)</f>
        <v>0.2</v>
      </c>
      <c r="E315" s="215">
        <f>LOOKUP(E$2,'Depreciation Schedules'!$A$3:$A$42,'Depreciation Schedules'!$D$3:$D$42)</f>
        <v>0.2</v>
      </c>
      <c r="F315" s="215">
        <f>LOOKUP(F$2,'Depreciation Schedules'!$A$3:$A$42,'Depreciation Schedules'!$D$3:$D$42)</f>
        <v>0.2</v>
      </c>
      <c r="G315" s="215">
        <f>LOOKUP(G$2,'Depreciation Schedules'!$A$3:$A$42,'Depreciation Schedules'!$D$3:$D$42)</f>
        <v>0.2</v>
      </c>
      <c r="H315" s="215">
        <f>LOOKUP(H$2,'Depreciation Schedules'!$A$3:$A$42,'Depreciation Schedules'!$D$3:$D$42)</f>
        <v>0.1</v>
      </c>
      <c r="I315" s="215">
        <f>LOOKUP(I$2,'Depreciation Schedules'!$A$3:$A$42,'Depreciation Schedules'!$D$3:$D$42)</f>
        <v>0</v>
      </c>
      <c r="J315" s="215">
        <f>LOOKUP(J$2,'Depreciation Schedules'!$A$3:$A$42,'Depreciation Schedules'!$D$3:$D$42)</f>
        <v>0</v>
      </c>
      <c r="K315" s="215">
        <f>LOOKUP(K$2,'Depreciation Schedules'!$A$3:$A$42,'Depreciation Schedules'!$D$3:$D$42)</f>
        <v>0</v>
      </c>
      <c r="L315" s="215">
        <f>LOOKUP(L$2,'Depreciation Schedules'!$A$3:$A$42,'Depreciation Schedules'!$D$3:$D$42)</f>
        <v>0</v>
      </c>
      <c r="M315" s="215">
        <f>LOOKUP(M$2,'Depreciation Schedules'!$A$3:$A$42,'Depreciation Schedules'!$D$3:$D$42)</f>
        <v>0</v>
      </c>
      <c r="N315" s="215">
        <f>LOOKUP(N$2,'Depreciation Schedules'!$A$3:$A$42,'Depreciation Schedules'!$D$3:$D$42)</f>
        <v>0</v>
      </c>
      <c r="O315" s="215">
        <f>LOOKUP(O$2,'Depreciation Schedules'!$A$3:$A$42,'Depreciation Schedules'!$D$3:$D$42)</f>
        <v>0</v>
      </c>
      <c r="P315" s="215">
        <f>LOOKUP(P$2,'Depreciation Schedules'!$A$3:$A$42,'Depreciation Schedules'!$D$3:$D$42)</f>
        <v>0</v>
      </c>
      <c r="Q315" s="215">
        <f>LOOKUP(Q$2,'Depreciation Schedules'!$A$3:$A$42,'Depreciation Schedules'!$D$3:$D$42)</f>
        <v>0</v>
      </c>
      <c r="R315" s="215">
        <f>LOOKUP(R$2,'Depreciation Schedules'!$A$3:$A$42,'Depreciation Schedules'!$D$3:$D$42)</f>
        <v>0</v>
      </c>
      <c r="S315" s="215">
        <f>LOOKUP(S$2,'Depreciation Schedules'!$A$3:$A$42,'Depreciation Schedules'!$D$3:$D$42)</f>
        <v>0</v>
      </c>
      <c r="T315" s="215">
        <f>LOOKUP(T$2,'Depreciation Schedules'!$A$3:$A$42,'Depreciation Schedules'!$D$3:$D$42)</f>
        <v>0</v>
      </c>
      <c r="U315" s="215">
        <f>LOOKUP(U$2,'Depreciation Schedules'!$A$3:$A$42,'Depreciation Schedules'!$D$3:$D$42)</f>
        <v>0</v>
      </c>
      <c r="V315" s="215">
        <f>LOOKUP(V$2,'Depreciation Schedules'!$A$3:$A$42,'Depreciation Schedules'!$D$3:$D$42)</f>
        <v>0</v>
      </c>
      <c r="W315" s="215">
        <f>LOOKUP(W$2,'Depreciation Schedules'!$A$3:$A$42,'Depreciation Schedules'!$D$3:$D$42)</f>
        <v>0</v>
      </c>
      <c r="X315" s="215">
        <f>LOOKUP(X$2,'Depreciation Schedules'!$A$3:$A$42,'Depreciation Schedules'!$D$3:$D$42)</f>
        <v>0</v>
      </c>
      <c r="Y315" s="215">
        <f>LOOKUP(Y$2,'Depreciation Schedules'!$A$3:$A$42,'Depreciation Schedules'!$D$3:$D$42)</f>
        <v>0</v>
      </c>
      <c r="Z315" s="215">
        <f>LOOKUP(Z$2,'Depreciation Schedules'!$A$3:$A$42,'Depreciation Schedules'!$D$3:$D$42)</f>
        <v>0</v>
      </c>
      <c r="AA315" s="215">
        <f>LOOKUP(AA$2,'Depreciation Schedules'!$A$3:$A$42,'Depreciation Schedules'!$D$3:$D$42)</f>
        <v>0</v>
      </c>
      <c r="AB315" s="215">
        <f>LOOKUP(AB$2,'Depreciation Schedules'!$A$3:$A$42,'Depreciation Schedules'!$D$3:$D$42)</f>
        <v>0</v>
      </c>
      <c r="AC315" s="215">
        <f>LOOKUP(AC$2,'Depreciation Schedules'!$A$3:$A$42,'Depreciation Schedules'!$D$3:$D$42)</f>
        <v>0</v>
      </c>
      <c r="AD315" s="215">
        <f>LOOKUP(AD$2,'Depreciation Schedules'!$A$3:$A$42,'Depreciation Schedules'!$D$3:$D$42)</f>
        <v>0</v>
      </c>
      <c r="AE315" s="215">
        <f>LOOKUP(AE$2,'Depreciation Schedules'!$A$3:$A$42,'Depreciation Schedules'!$D$3:$D$42)</f>
        <v>0</v>
      </c>
      <c r="AF315" s="215">
        <f>LOOKUP(AF$2,'Depreciation Schedules'!$A$3:$A$42,'Depreciation Schedules'!$D$3:$D$42)</f>
        <v>0</v>
      </c>
      <c r="AG315" s="215">
        <f>LOOKUP(AG$2,'Depreciation Schedules'!$A$3:$A$42,'Depreciation Schedules'!$D$3:$D$42)</f>
        <v>0</v>
      </c>
      <c r="AH315" s="215">
        <f>LOOKUP(AH$2,'Depreciation Schedules'!$A$3:$A$42,'Depreciation Schedules'!$D$3:$D$42)</f>
        <v>0</v>
      </c>
      <c r="AI315" s="215">
        <f>LOOKUP(AI$2,'Depreciation Schedules'!$A$3:$A$42,'Depreciation Schedules'!$D$3:$D$42)</f>
        <v>0</v>
      </c>
      <c r="AJ315" s="215">
        <f>LOOKUP(AJ$2,'Depreciation Schedules'!$A$3:$A$42,'Depreciation Schedules'!$D$3:$D$42)</f>
        <v>0</v>
      </c>
      <c r="AK315" s="215">
        <f>LOOKUP(AK$2,'Depreciation Schedules'!$A$3:$A$42,'Depreciation Schedules'!$D$3:$D$42)</f>
        <v>0</v>
      </c>
      <c r="AL315" s="215">
        <f>LOOKUP(AL$2,'Depreciation Schedules'!$A$3:$A$42,'Depreciation Schedules'!$D$3:$D$42)</f>
        <v>0</v>
      </c>
      <c r="AM315" s="215">
        <f>LOOKUP(AM$2,'Depreciation Schedules'!$A$3:$A$42,'Depreciation Schedules'!$D$3:$D$42)</f>
        <v>0</v>
      </c>
      <c r="AN315" s="215">
        <f>LOOKUP(AN$2,'Depreciation Schedules'!$A$3:$A$42,'Depreciation Schedules'!$D$3:$D$42)</f>
        <v>0</v>
      </c>
      <c r="AO315" s="215">
        <f>LOOKUP(AO$2,'Depreciation Schedules'!$A$3:$A$42,'Depreciation Schedules'!$D$3:$D$42)</f>
        <v>0</v>
      </c>
      <c r="AP315" s="215">
        <f>LOOKUP(AP$2,'Depreciation Schedules'!$A$3:$A$42,'Depreciation Schedules'!$D$3:$D$42)</f>
        <v>0</v>
      </c>
    </row>
    <row r="316" spans="1:42">
      <c r="A316" s="205" t="str">
        <f t="shared" si="874"/>
        <v>15-yr SL</v>
      </c>
      <c r="B316" s="216">
        <f t="shared" si="875"/>
        <v>0.99999999999999989</v>
      </c>
      <c r="C316" s="215">
        <f>LOOKUP(C$2,'Depreciation Schedules'!$A$3:$A$42,'Depreciation Schedules'!$E$3:$E$42)</f>
        <v>3.3300000000000003E-2</v>
      </c>
      <c r="D316" s="215">
        <f>LOOKUP(D$2,'Depreciation Schedules'!$A$3:$A$42,'Depreciation Schedules'!$E$3:$E$42)</f>
        <v>6.6699999999999995E-2</v>
      </c>
      <c r="E316" s="215">
        <f>LOOKUP(E$2,'Depreciation Schedules'!$A$3:$A$42,'Depreciation Schedules'!$E$3:$E$42)</f>
        <v>6.6699999999999995E-2</v>
      </c>
      <c r="F316" s="215">
        <f>LOOKUP(F$2,'Depreciation Schedules'!$A$3:$A$42,'Depreciation Schedules'!$E$3:$E$42)</f>
        <v>6.6699999999999995E-2</v>
      </c>
      <c r="G316" s="215">
        <f>LOOKUP(G$2,'Depreciation Schedules'!$A$3:$A$42,'Depreciation Schedules'!$E$3:$E$42)</f>
        <v>6.6699999999999995E-2</v>
      </c>
      <c r="H316" s="215">
        <f>LOOKUP(H$2,'Depreciation Schedules'!$A$3:$A$42,'Depreciation Schedules'!$E$3:$E$42)</f>
        <v>6.6699999999999995E-2</v>
      </c>
      <c r="I316" s="215">
        <f>LOOKUP(I$2,'Depreciation Schedules'!$A$3:$A$42,'Depreciation Schedules'!$E$3:$E$42)</f>
        <v>6.6699999999999995E-2</v>
      </c>
      <c r="J316" s="215">
        <f>LOOKUP(J$2,'Depreciation Schedules'!$A$3:$A$42,'Depreciation Schedules'!$E$3:$E$42)</f>
        <v>6.6600000000000006E-2</v>
      </c>
      <c r="K316" s="215">
        <f>LOOKUP(K$2,'Depreciation Schedules'!$A$3:$A$42,'Depreciation Schedules'!$E$3:$E$42)</f>
        <v>6.6699999999999995E-2</v>
      </c>
      <c r="L316" s="215">
        <f>LOOKUP(L$2,'Depreciation Schedules'!$A$3:$A$42,'Depreciation Schedules'!$E$3:$E$42)</f>
        <v>6.6600000000000006E-2</v>
      </c>
      <c r="M316" s="215">
        <f>LOOKUP(M$2,'Depreciation Schedules'!$A$3:$A$42,'Depreciation Schedules'!$E$3:$E$42)</f>
        <v>6.6699999999999995E-2</v>
      </c>
      <c r="N316" s="215">
        <f>LOOKUP(N$2,'Depreciation Schedules'!$A$3:$A$42,'Depreciation Schedules'!$E$3:$E$42)</f>
        <v>6.6600000000000006E-2</v>
      </c>
      <c r="O316" s="215">
        <f>LOOKUP(O$2,'Depreciation Schedules'!$A$3:$A$42,'Depreciation Schedules'!$E$3:$E$42)</f>
        <v>6.6699999999999995E-2</v>
      </c>
      <c r="P316" s="215">
        <f>LOOKUP(P$2,'Depreciation Schedules'!$A$3:$A$42,'Depreciation Schedules'!$E$3:$E$42)</f>
        <v>6.6600000000000006E-2</v>
      </c>
      <c r="Q316" s="215">
        <f>LOOKUP(Q$2,'Depreciation Schedules'!$A$3:$A$42,'Depreciation Schedules'!$E$3:$E$42)</f>
        <v>6.6699999999999995E-2</v>
      </c>
      <c r="R316" s="215">
        <f>LOOKUP(R$2,'Depreciation Schedules'!$A$3:$A$42,'Depreciation Schedules'!$E$3:$E$42)</f>
        <v>3.3300000000000003E-2</v>
      </c>
      <c r="S316" s="215">
        <f>LOOKUP(S$2,'Depreciation Schedules'!$A$3:$A$42,'Depreciation Schedules'!$E$3:$E$42)</f>
        <v>0</v>
      </c>
      <c r="T316" s="215">
        <f>LOOKUP(T$2,'Depreciation Schedules'!$A$3:$A$42,'Depreciation Schedules'!$E$3:$E$42)</f>
        <v>0</v>
      </c>
      <c r="U316" s="215">
        <f>LOOKUP(U$2,'Depreciation Schedules'!$A$3:$A$42,'Depreciation Schedules'!$E$3:$E$42)</f>
        <v>0</v>
      </c>
      <c r="V316" s="215">
        <f>LOOKUP(V$2,'Depreciation Schedules'!$A$3:$A$42,'Depreciation Schedules'!$E$3:$E$42)</f>
        <v>0</v>
      </c>
      <c r="W316" s="215">
        <f>LOOKUP(W$2,'Depreciation Schedules'!$A$3:$A$42,'Depreciation Schedules'!$E$3:$E$42)</f>
        <v>0</v>
      </c>
      <c r="X316" s="215">
        <f>LOOKUP(X$2,'Depreciation Schedules'!$A$3:$A$42,'Depreciation Schedules'!$E$3:$E$42)</f>
        <v>0</v>
      </c>
      <c r="Y316" s="215">
        <f>LOOKUP(Y$2,'Depreciation Schedules'!$A$3:$A$42,'Depreciation Schedules'!$E$3:$E$42)</f>
        <v>0</v>
      </c>
      <c r="Z316" s="215">
        <f>LOOKUP(Z$2,'Depreciation Schedules'!$A$3:$A$42,'Depreciation Schedules'!$E$3:$E$42)</f>
        <v>0</v>
      </c>
      <c r="AA316" s="215">
        <f>LOOKUP(AA$2,'Depreciation Schedules'!$A$3:$A$42,'Depreciation Schedules'!$E$3:$E$42)</f>
        <v>0</v>
      </c>
      <c r="AB316" s="215">
        <f>LOOKUP(AB$2,'Depreciation Schedules'!$A$3:$A$42,'Depreciation Schedules'!$E$3:$E$42)</f>
        <v>0</v>
      </c>
      <c r="AC316" s="215">
        <f>LOOKUP(AC$2,'Depreciation Schedules'!$A$3:$A$42,'Depreciation Schedules'!$E$3:$E$42)</f>
        <v>0</v>
      </c>
      <c r="AD316" s="215">
        <f>LOOKUP(AD$2,'Depreciation Schedules'!$A$3:$A$42,'Depreciation Schedules'!$E$3:$E$42)</f>
        <v>0</v>
      </c>
      <c r="AE316" s="215">
        <f>LOOKUP(AE$2,'Depreciation Schedules'!$A$3:$A$42,'Depreciation Schedules'!$E$3:$E$42)</f>
        <v>0</v>
      </c>
      <c r="AF316" s="215">
        <f>LOOKUP(AF$2,'Depreciation Schedules'!$A$3:$A$42,'Depreciation Schedules'!$E$3:$E$42)</f>
        <v>0</v>
      </c>
      <c r="AG316" s="215">
        <f>LOOKUP(AG$2,'Depreciation Schedules'!$A$3:$A$42,'Depreciation Schedules'!$E$3:$E$42)</f>
        <v>0</v>
      </c>
      <c r="AH316" s="215">
        <f>LOOKUP(AH$2,'Depreciation Schedules'!$A$3:$A$42,'Depreciation Schedules'!$E$3:$E$42)</f>
        <v>0</v>
      </c>
      <c r="AI316" s="215">
        <f>LOOKUP(AI$2,'Depreciation Schedules'!$A$3:$A$42,'Depreciation Schedules'!$E$3:$E$42)</f>
        <v>0</v>
      </c>
      <c r="AJ316" s="215">
        <f>LOOKUP(AJ$2,'Depreciation Schedules'!$A$3:$A$42,'Depreciation Schedules'!$E$3:$E$42)</f>
        <v>0</v>
      </c>
      <c r="AK316" s="215">
        <f>LOOKUP(AK$2,'Depreciation Schedules'!$A$3:$A$42,'Depreciation Schedules'!$E$3:$E$42)</f>
        <v>0</v>
      </c>
      <c r="AL316" s="215">
        <f>LOOKUP(AL$2,'Depreciation Schedules'!$A$3:$A$42,'Depreciation Schedules'!$E$3:$E$42)</f>
        <v>0</v>
      </c>
      <c r="AM316" s="215">
        <f>LOOKUP(AM$2,'Depreciation Schedules'!$A$3:$A$42,'Depreciation Schedules'!$E$3:$E$42)</f>
        <v>0</v>
      </c>
      <c r="AN316" s="215">
        <f>LOOKUP(AN$2,'Depreciation Schedules'!$A$3:$A$42,'Depreciation Schedules'!$E$3:$E$42)</f>
        <v>0</v>
      </c>
      <c r="AO316" s="215">
        <f>LOOKUP(AO$2,'Depreciation Schedules'!$A$3:$A$42,'Depreciation Schedules'!$E$3:$E$42)</f>
        <v>0</v>
      </c>
      <c r="AP316" s="215">
        <f>LOOKUP(AP$2,'Depreciation Schedules'!$A$3:$A$42,'Depreciation Schedules'!$E$3:$E$42)</f>
        <v>0</v>
      </c>
    </row>
    <row r="317" spans="1:42">
      <c r="A317" s="205" t="str">
        <f t="shared" si="874"/>
        <v>20-yr SL</v>
      </c>
      <c r="B317" s="216">
        <f t="shared" si="875"/>
        <v>1.0000000000000002</v>
      </c>
      <c r="C317" s="215">
        <f>LOOKUP(C$2,'Depreciation Schedules'!$A$3:$A$42,'Depreciation Schedules'!$F$3:$F$42)</f>
        <v>2.5000000000000001E-2</v>
      </c>
      <c r="D317" s="215">
        <f>LOOKUP(D$2,'Depreciation Schedules'!$A$3:$A$42,'Depreciation Schedules'!$F$3:$F$42)</f>
        <v>0.05</v>
      </c>
      <c r="E317" s="215">
        <f>LOOKUP(E$2,'Depreciation Schedules'!$A$3:$A$42,'Depreciation Schedules'!$F$3:$F$42)</f>
        <v>0.05</v>
      </c>
      <c r="F317" s="215">
        <f>LOOKUP(F$2,'Depreciation Schedules'!$A$3:$A$42,'Depreciation Schedules'!$F$3:$F$42)</f>
        <v>0.05</v>
      </c>
      <c r="G317" s="215">
        <f>LOOKUP(G$2,'Depreciation Schedules'!$A$3:$A$42,'Depreciation Schedules'!$F$3:$F$42)</f>
        <v>0.05</v>
      </c>
      <c r="H317" s="215">
        <f>LOOKUP(H$2,'Depreciation Schedules'!$A$3:$A$42,'Depreciation Schedules'!$F$3:$F$42)</f>
        <v>0.05</v>
      </c>
      <c r="I317" s="215">
        <f>LOOKUP(I$2,'Depreciation Schedules'!$A$3:$A$42,'Depreciation Schedules'!$F$3:$F$42)</f>
        <v>0.05</v>
      </c>
      <c r="J317" s="215">
        <f>LOOKUP(J$2,'Depreciation Schedules'!$A$3:$A$42,'Depreciation Schedules'!$F$3:$F$42)</f>
        <v>0.05</v>
      </c>
      <c r="K317" s="215">
        <f>LOOKUP(K$2,'Depreciation Schedules'!$A$3:$A$42,'Depreciation Schedules'!$F$3:$F$42)</f>
        <v>0.05</v>
      </c>
      <c r="L317" s="215">
        <f>LOOKUP(L$2,'Depreciation Schedules'!$A$3:$A$42,'Depreciation Schedules'!$F$3:$F$42)</f>
        <v>0.05</v>
      </c>
      <c r="M317" s="215">
        <f>LOOKUP(M$2,'Depreciation Schedules'!$A$3:$A$42,'Depreciation Schedules'!$F$3:$F$42)</f>
        <v>0.05</v>
      </c>
      <c r="N317" s="215">
        <f>LOOKUP(N$2,'Depreciation Schedules'!$A$3:$A$42,'Depreciation Schedules'!$F$3:$F$42)</f>
        <v>0.05</v>
      </c>
      <c r="O317" s="215">
        <f>LOOKUP(O$2,'Depreciation Schedules'!$A$3:$A$42,'Depreciation Schedules'!$F$3:$F$42)</f>
        <v>0.05</v>
      </c>
      <c r="P317" s="215">
        <f>LOOKUP(P$2,'Depreciation Schedules'!$A$3:$A$42,'Depreciation Schedules'!$F$3:$F$42)</f>
        <v>0.05</v>
      </c>
      <c r="Q317" s="215">
        <f>LOOKUP(Q$2,'Depreciation Schedules'!$A$3:$A$42,'Depreciation Schedules'!$F$3:$F$42)</f>
        <v>0.05</v>
      </c>
      <c r="R317" s="215">
        <f>LOOKUP(R$2,'Depreciation Schedules'!$A$3:$A$42,'Depreciation Schedules'!$F$3:$F$42)</f>
        <v>0.05</v>
      </c>
      <c r="S317" s="215">
        <f>LOOKUP(S$2,'Depreciation Schedules'!$A$3:$A$42,'Depreciation Schedules'!$F$3:$F$42)</f>
        <v>0.05</v>
      </c>
      <c r="T317" s="215">
        <f>LOOKUP(T$2,'Depreciation Schedules'!$A$3:$A$42,'Depreciation Schedules'!$F$3:$F$42)</f>
        <v>0.05</v>
      </c>
      <c r="U317" s="215">
        <f>LOOKUP(U$2,'Depreciation Schedules'!$A$3:$A$42,'Depreciation Schedules'!$F$3:$F$42)</f>
        <v>0.05</v>
      </c>
      <c r="V317" s="215">
        <f>LOOKUP(V$2,'Depreciation Schedules'!$A$3:$A$42,'Depreciation Schedules'!$F$3:$F$42)</f>
        <v>0.05</v>
      </c>
      <c r="W317" s="215">
        <f>LOOKUP(W$2,'Depreciation Schedules'!$A$3:$A$42,'Depreciation Schedules'!$F$3:$F$42)</f>
        <v>2.5000000000000001E-2</v>
      </c>
      <c r="X317" s="215">
        <f>LOOKUP(X$2,'Depreciation Schedules'!$A$3:$A$42,'Depreciation Schedules'!$F$3:$F$42)</f>
        <v>0</v>
      </c>
      <c r="Y317" s="215">
        <f>LOOKUP(Y$2,'Depreciation Schedules'!$A$3:$A$42,'Depreciation Schedules'!$F$3:$F$42)</f>
        <v>0</v>
      </c>
      <c r="Z317" s="215">
        <f>LOOKUP(Z$2,'Depreciation Schedules'!$A$3:$A$42,'Depreciation Schedules'!$F$3:$F$42)</f>
        <v>0</v>
      </c>
      <c r="AA317" s="215">
        <f>LOOKUP(AA$2,'Depreciation Schedules'!$A$3:$A$42,'Depreciation Schedules'!$F$3:$F$42)</f>
        <v>0</v>
      </c>
      <c r="AB317" s="215">
        <f>LOOKUP(AB$2,'Depreciation Schedules'!$A$3:$A$42,'Depreciation Schedules'!$F$3:$F$42)</f>
        <v>0</v>
      </c>
      <c r="AC317" s="215">
        <f>LOOKUP(AC$2,'Depreciation Schedules'!$A$3:$A$42,'Depreciation Schedules'!$F$3:$F$42)</f>
        <v>0</v>
      </c>
      <c r="AD317" s="215">
        <f>LOOKUP(AD$2,'Depreciation Schedules'!$A$3:$A$42,'Depreciation Schedules'!$F$3:$F$42)</f>
        <v>0</v>
      </c>
      <c r="AE317" s="215">
        <f>LOOKUP(AE$2,'Depreciation Schedules'!$A$3:$A$42,'Depreciation Schedules'!$F$3:$F$42)</f>
        <v>0</v>
      </c>
      <c r="AF317" s="215">
        <f>LOOKUP(AF$2,'Depreciation Schedules'!$A$3:$A$42,'Depreciation Schedules'!$F$3:$F$42)</f>
        <v>0</v>
      </c>
      <c r="AG317" s="215">
        <f>LOOKUP(AG$2,'Depreciation Schedules'!$A$3:$A$42,'Depreciation Schedules'!$F$3:$F$42)</f>
        <v>0</v>
      </c>
      <c r="AH317" s="215">
        <f>LOOKUP(AH$2,'Depreciation Schedules'!$A$3:$A$42,'Depreciation Schedules'!$F$3:$F$42)</f>
        <v>0</v>
      </c>
      <c r="AI317" s="215">
        <f>LOOKUP(AI$2,'Depreciation Schedules'!$A$3:$A$42,'Depreciation Schedules'!$F$3:$F$42)</f>
        <v>0</v>
      </c>
      <c r="AJ317" s="215">
        <f>LOOKUP(AJ$2,'Depreciation Schedules'!$A$3:$A$42,'Depreciation Schedules'!$F$3:$F$42)</f>
        <v>0</v>
      </c>
      <c r="AK317" s="215">
        <f>LOOKUP(AK$2,'Depreciation Schedules'!$A$3:$A$42,'Depreciation Schedules'!$F$3:$F$42)</f>
        <v>0</v>
      </c>
      <c r="AL317" s="215">
        <f>LOOKUP(AL$2,'Depreciation Schedules'!$A$3:$A$42,'Depreciation Schedules'!$F$3:$F$42)</f>
        <v>0</v>
      </c>
      <c r="AM317" s="215">
        <f>LOOKUP(AM$2,'Depreciation Schedules'!$A$3:$A$42,'Depreciation Schedules'!$F$3:$F$42)</f>
        <v>0</v>
      </c>
      <c r="AN317" s="215">
        <f>LOOKUP(AN$2,'Depreciation Schedules'!$A$3:$A$42,'Depreciation Schedules'!$F$3:$F$42)</f>
        <v>0</v>
      </c>
      <c r="AO317" s="215">
        <f>LOOKUP(AO$2,'Depreciation Schedules'!$A$3:$A$42,'Depreciation Schedules'!$F$3:$F$42)</f>
        <v>0</v>
      </c>
      <c r="AP317" s="215">
        <f>LOOKUP(AP$2,'Depreciation Schedules'!$A$3:$A$42,'Depreciation Schedules'!$F$3:$F$42)</f>
        <v>0</v>
      </c>
    </row>
    <row r="318" spans="1:42">
      <c r="A318" s="205" t="str">
        <f t="shared" si="874"/>
        <v>39-yr SL</v>
      </c>
      <c r="B318" s="217">
        <f t="shared" si="875"/>
        <v>1.0000000000000004</v>
      </c>
      <c r="C318" s="215">
        <f>LOOKUP(C$2,'Depreciation Schedules'!$A$3:$A$42,'Depreciation Schedules'!$G$3:$G$42)</f>
        <v>1.2820512820512799E-2</v>
      </c>
      <c r="D318" s="215">
        <f>LOOKUP(D$2,'Depreciation Schedules'!$A$3:$A$42,'Depreciation Schedules'!$G$3:$G$42)</f>
        <v>2.564102564102564E-2</v>
      </c>
      <c r="E318" s="215">
        <f>LOOKUP(E$2,'Depreciation Schedules'!$A$3:$A$42,'Depreciation Schedules'!$G$3:$G$42)</f>
        <v>2.564102564102564E-2</v>
      </c>
      <c r="F318" s="215">
        <f>LOOKUP(F$2,'Depreciation Schedules'!$A$3:$A$42,'Depreciation Schedules'!$G$3:$G$42)</f>
        <v>2.564102564102564E-2</v>
      </c>
      <c r="G318" s="215">
        <f>LOOKUP(G$2,'Depreciation Schedules'!$A$3:$A$42,'Depreciation Schedules'!$G$3:$G$42)</f>
        <v>2.564102564102564E-2</v>
      </c>
      <c r="H318" s="215">
        <f>LOOKUP(H$2,'Depreciation Schedules'!$A$3:$A$42,'Depreciation Schedules'!$G$3:$G$42)</f>
        <v>2.564102564102564E-2</v>
      </c>
      <c r="I318" s="215">
        <f>LOOKUP(I$2,'Depreciation Schedules'!$A$3:$A$42,'Depreciation Schedules'!$G$3:$G$42)</f>
        <v>2.564102564102564E-2</v>
      </c>
      <c r="J318" s="215">
        <f>LOOKUP(J$2,'Depreciation Schedules'!$A$3:$A$42,'Depreciation Schedules'!$G$3:$G$42)</f>
        <v>2.564102564102564E-2</v>
      </c>
      <c r="K318" s="215">
        <f>LOOKUP(K$2,'Depreciation Schedules'!$A$3:$A$42,'Depreciation Schedules'!$G$3:$G$42)</f>
        <v>2.564102564102564E-2</v>
      </c>
      <c r="L318" s="215">
        <f>LOOKUP(L$2,'Depreciation Schedules'!$A$3:$A$42,'Depreciation Schedules'!$G$3:$G$42)</f>
        <v>2.564102564102564E-2</v>
      </c>
      <c r="M318" s="215">
        <f>LOOKUP(M$2,'Depreciation Schedules'!$A$3:$A$42,'Depreciation Schedules'!$G$3:$G$42)</f>
        <v>2.564102564102564E-2</v>
      </c>
      <c r="N318" s="215">
        <f>LOOKUP(N$2,'Depreciation Schedules'!$A$3:$A$42,'Depreciation Schedules'!$G$3:$G$42)</f>
        <v>2.564102564102564E-2</v>
      </c>
      <c r="O318" s="215">
        <f>LOOKUP(O$2,'Depreciation Schedules'!$A$3:$A$42,'Depreciation Schedules'!$G$3:$G$42)</f>
        <v>2.564102564102564E-2</v>
      </c>
      <c r="P318" s="215">
        <f>LOOKUP(P$2,'Depreciation Schedules'!$A$3:$A$42,'Depreciation Schedules'!$G$3:$G$42)</f>
        <v>2.564102564102564E-2</v>
      </c>
      <c r="Q318" s="215">
        <f>LOOKUP(Q$2,'Depreciation Schedules'!$A$3:$A$42,'Depreciation Schedules'!$G$3:$G$42)</f>
        <v>2.564102564102564E-2</v>
      </c>
      <c r="R318" s="215">
        <f>LOOKUP(R$2,'Depreciation Schedules'!$A$3:$A$42,'Depreciation Schedules'!$G$3:$G$42)</f>
        <v>2.564102564102564E-2</v>
      </c>
      <c r="S318" s="215">
        <f>LOOKUP(S$2,'Depreciation Schedules'!$A$3:$A$42,'Depreciation Schedules'!$G$3:$G$42)</f>
        <v>2.564102564102564E-2</v>
      </c>
      <c r="T318" s="215">
        <f>LOOKUP(T$2,'Depreciation Schedules'!$A$3:$A$42,'Depreciation Schedules'!$G$3:$G$42)</f>
        <v>2.564102564102564E-2</v>
      </c>
      <c r="U318" s="215">
        <f>LOOKUP(U$2,'Depreciation Schedules'!$A$3:$A$42,'Depreciation Schedules'!$G$3:$G$42)</f>
        <v>2.564102564102564E-2</v>
      </c>
      <c r="V318" s="215">
        <f>LOOKUP(V$2,'Depreciation Schedules'!$A$3:$A$42,'Depreciation Schedules'!$G$3:$G$42)</f>
        <v>2.564102564102564E-2</v>
      </c>
      <c r="W318" s="215">
        <f>LOOKUP(W$2,'Depreciation Schedules'!$A$3:$A$42,'Depreciation Schedules'!$G$3:$G$42)</f>
        <v>2.564102564102564E-2</v>
      </c>
      <c r="X318" s="215">
        <f>LOOKUP(X$2,'Depreciation Schedules'!$A$3:$A$42,'Depreciation Schedules'!$G$3:$G$42)</f>
        <v>2.564102564102564E-2</v>
      </c>
      <c r="Y318" s="215">
        <f>LOOKUP(Y$2,'Depreciation Schedules'!$A$3:$A$42,'Depreciation Schedules'!$G$3:$G$42)</f>
        <v>2.564102564102564E-2</v>
      </c>
      <c r="Z318" s="215">
        <f>LOOKUP(Z$2,'Depreciation Schedules'!$A$3:$A$42,'Depreciation Schedules'!$G$3:$G$42)</f>
        <v>2.564102564102564E-2</v>
      </c>
      <c r="AA318" s="215">
        <f>LOOKUP(AA$2,'Depreciation Schedules'!$A$3:$A$42,'Depreciation Schedules'!$G$3:$G$42)</f>
        <v>2.564102564102564E-2</v>
      </c>
      <c r="AB318" s="215">
        <f>LOOKUP(AB$2,'Depreciation Schedules'!$A$3:$A$42,'Depreciation Schedules'!$G$3:$G$42)</f>
        <v>2.564102564102564E-2</v>
      </c>
      <c r="AC318" s="215">
        <f>LOOKUP(AC$2,'Depreciation Schedules'!$A$3:$A$42,'Depreciation Schedules'!$G$3:$G$42)</f>
        <v>2.564102564102564E-2</v>
      </c>
      <c r="AD318" s="215">
        <f>LOOKUP(AD$2,'Depreciation Schedules'!$A$3:$A$42,'Depreciation Schedules'!$G$3:$G$42)</f>
        <v>2.564102564102564E-2</v>
      </c>
      <c r="AE318" s="215">
        <f>LOOKUP(AE$2,'Depreciation Schedules'!$A$3:$A$42,'Depreciation Schedules'!$G$3:$G$42)</f>
        <v>2.564102564102564E-2</v>
      </c>
      <c r="AF318" s="215">
        <f>LOOKUP(AF$2,'Depreciation Schedules'!$A$3:$A$42,'Depreciation Schedules'!$G$3:$G$42)</f>
        <v>2.564102564102564E-2</v>
      </c>
      <c r="AG318" s="215">
        <f>LOOKUP(AG$2,'Depreciation Schedules'!$A$3:$A$42,'Depreciation Schedules'!$G$3:$G$42)</f>
        <v>2.564102564102564E-2</v>
      </c>
      <c r="AH318" s="215">
        <f>LOOKUP(AH$2,'Depreciation Schedules'!$A$3:$A$42,'Depreciation Schedules'!$G$3:$G$42)</f>
        <v>2.564102564102564E-2</v>
      </c>
      <c r="AI318" s="215">
        <f>LOOKUP(AI$2,'Depreciation Schedules'!$A$3:$A$42,'Depreciation Schedules'!$G$3:$G$42)</f>
        <v>2.564102564102564E-2</v>
      </c>
      <c r="AJ318" s="215">
        <f>LOOKUP(AJ$2,'Depreciation Schedules'!$A$3:$A$42,'Depreciation Schedules'!$G$3:$G$42)</f>
        <v>2.564102564102564E-2</v>
      </c>
      <c r="AK318" s="215">
        <f>LOOKUP(AK$2,'Depreciation Schedules'!$A$3:$A$42,'Depreciation Schedules'!$G$3:$G$42)</f>
        <v>2.564102564102564E-2</v>
      </c>
      <c r="AL318" s="215">
        <f>LOOKUP(AL$2,'Depreciation Schedules'!$A$3:$A$42,'Depreciation Schedules'!$G$3:$G$42)</f>
        <v>2.564102564102564E-2</v>
      </c>
      <c r="AM318" s="215">
        <f>LOOKUP(AM$2,'Depreciation Schedules'!$A$3:$A$42,'Depreciation Schedules'!$G$3:$G$42)</f>
        <v>2.564102564102564E-2</v>
      </c>
      <c r="AN318" s="215">
        <f>LOOKUP(AN$2,'Depreciation Schedules'!$A$3:$A$42,'Depreciation Schedules'!$G$3:$G$42)</f>
        <v>2.564102564102564E-2</v>
      </c>
      <c r="AO318" s="215">
        <f>LOOKUP(AO$2,'Depreciation Schedules'!$A$3:$A$42,'Depreciation Schedules'!$G$3:$G$42)</f>
        <v>2.564102564102564E-2</v>
      </c>
      <c r="AP318" s="215">
        <f>LOOKUP(AP$2,'Depreciation Schedules'!$A$3:$A$42,'Depreciation Schedules'!$G$3:$G$42)</f>
        <v>1.2820512820512799E-2</v>
      </c>
    </row>
    <row r="319" spans="1:42">
      <c r="A319" s="184" t="s">
        <v>34</v>
      </c>
      <c r="C319" s="186"/>
      <c r="D319" s="186"/>
      <c r="E319" s="186"/>
      <c r="F319" s="186"/>
      <c r="G319" s="186"/>
      <c r="H319" s="186"/>
      <c r="I319" s="186"/>
      <c r="J319" s="186"/>
      <c r="K319" s="186"/>
      <c r="L319" s="186"/>
      <c r="M319" s="186"/>
      <c r="N319" s="186"/>
      <c r="O319" s="186"/>
      <c r="P319" s="186"/>
      <c r="Q319" s="186"/>
      <c r="R319" s="186"/>
      <c r="S319" s="186"/>
      <c r="T319" s="186"/>
      <c r="U319" s="186"/>
      <c r="V319" s="186"/>
      <c r="W319" s="186"/>
      <c r="X319" s="186"/>
      <c r="Y319" s="186"/>
      <c r="Z319" s="186"/>
      <c r="AA319" s="186"/>
      <c r="AB319" s="186"/>
      <c r="AC319" s="186"/>
      <c r="AD319" s="186"/>
      <c r="AE319" s="186"/>
      <c r="AF319" s="186"/>
      <c r="AG319" s="186"/>
      <c r="AH319" s="186"/>
      <c r="AI319" s="186"/>
      <c r="AJ319" s="186"/>
      <c r="AK319" s="186"/>
      <c r="AL319" s="186"/>
      <c r="AM319" s="186"/>
      <c r="AN319" s="186"/>
      <c r="AO319" s="186"/>
      <c r="AP319" s="186"/>
    </row>
    <row r="320" spans="1:42">
      <c r="A320" s="205" t="str">
        <f>A313</f>
        <v>5-yr MACRS</v>
      </c>
      <c r="B320" s="218">
        <f>SUM(C320:AP320)</f>
        <v>37601312.206159748</v>
      </c>
      <c r="C320" s="186">
        <f t="shared" ref="C320:AP320" si="876">C313*$Q280</f>
        <v>7520262.4412319502</v>
      </c>
      <c r="D320" s="186">
        <f t="shared" si="876"/>
        <v>12032419.905971119</v>
      </c>
      <c r="E320" s="186">
        <f t="shared" si="876"/>
        <v>7219451.9435826717</v>
      </c>
      <c r="F320" s="186">
        <f t="shared" si="876"/>
        <v>4331671.1661496032</v>
      </c>
      <c r="G320" s="186">
        <f t="shared" si="876"/>
        <v>4331671.1661496032</v>
      </c>
      <c r="H320" s="186">
        <f t="shared" si="876"/>
        <v>2165835.5830748016</v>
      </c>
      <c r="I320" s="186">
        <f t="shared" si="876"/>
        <v>0</v>
      </c>
      <c r="J320" s="186">
        <f t="shared" si="876"/>
        <v>0</v>
      </c>
      <c r="K320" s="186">
        <f t="shared" si="876"/>
        <v>0</v>
      </c>
      <c r="L320" s="186">
        <f t="shared" si="876"/>
        <v>0</v>
      </c>
      <c r="M320" s="186">
        <f t="shared" si="876"/>
        <v>0</v>
      </c>
      <c r="N320" s="186">
        <f t="shared" si="876"/>
        <v>0</v>
      </c>
      <c r="O320" s="186">
        <f t="shared" si="876"/>
        <v>0</v>
      </c>
      <c r="P320" s="186">
        <f t="shared" si="876"/>
        <v>0</v>
      </c>
      <c r="Q320" s="186">
        <f t="shared" si="876"/>
        <v>0</v>
      </c>
      <c r="R320" s="186">
        <f t="shared" si="876"/>
        <v>0</v>
      </c>
      <c r="S320" s="186">
        <f t="shared" si="876"/>
        <v>0</v>
      </c>
      <c r="T320" s="186">
        <f t="shared" si="876"/>
        <v>0</v>
      </c>
      <c r="U320" s="186">
        <f t="shared" si="876"/>
        <v>0</v>
      </c>
      <c r="V320" s="186">
        <f t="shared" si="876"/>
        <v>0</v>
      </c>
      <c r="W320" s="186">
        <f t="shared" si="876"/>
        <v>0</v>
      </c>
      <c r="X320" s="186">
        <f t="shared" si="876"/>
        <v>0</v>
      </c>
      <c r="Y320" s="186">
        <f t="shared" si="876"/>
        <v>0</v>
      </c>
      <c r="Z320" s="186">
        <f t="shared" si="876"/>
        <v>0</v>
      </c>
      <c r="AA320" s="186">
        <f t="shared" si="876"/>
        <v>0</v>
      </c>
      <c r="AB320" s="186">
        <f t="shared" si="876"/>
        <v>0</v>
      </c>
      <c r="AC320" s="186">
        <f t="shared" si="876"/>
        <v>0</v>
      </c>
      <c r="AD320" s="186">
        <f t="shared" si="876"/>
        <v>0</v>
      </c>
      <c r="AE320" s="186">
        <f t="shared" si="876"/>
        <v>0</v>
      </c>
      <c r="AF320" s="186">
        <f t="shared" si="876"/>
        <v>0</v>
      </c>
      <c r="AG320" s="186">
        <f t="shared" si="876"/>
        <v>0</v>
      </c>
      <c r="AH320" s="186">
        <f t="shared" si="876"/>
        <v>0</v>
      </c>
      <c r="AI320" s="186">
        <f t="shared" si="876"/>
        <v>0</v>
      </c>
      <c r="AJ320" s="186">
        <f t="shared" si="876"/>
        <v>0</v>
      </c>
      <c r="AK320" s="186">
        <f t="shared" si="876"/>
        <v>0</v>
      </c>
      <c r="AL320" s="186">
        <f t="shared" si="876"/>
        <v>0</v>
      </c>
      <c r="AM320" s="186">
        <f t="shared" si="876"/>
        <v>0</v>
      </c>
      <c r="AN320" s="186">
        <f t="shared" si="876"/>
        <v>0</v>
      </c>
      <c r="AO320" s="186">
        <f t="shared" si="876"/>
        <v>0</v>
      </c>
      <c r="AP320" s="186">
        <f t="shared" si="876"/>
        <v>0</v>
      </c>
    </row>
    <row r="321" spans="1:42">
      <c r="A321" s="205" t="str">
        <f t="shared" ref="A321:A325" si="877">A314</f>
        <v>15-yr MACRS</v>
      </c>
      <c r="B321" s="153">
        <f t="shared" ref="B321:B327" si="878">SUM(C321:AP321)</f>
        <v>667303.29165274533</v>
      </c>
      <c r="C321" s="186">
        <f t="shared" ref="C321:AP321" si="879">C314*$Q281</f>
        <v>33365.16458263727</v>
      </c>
      <c r="D321" s="186">
        <f t="shared" si="879"/>
        <v>63393.812707010809</v>
      </c>
      <c r="E321" s="186">
        <f t="shared" si="879"/>
        <v>57054.431436309729</v>
      </c>
      <c r="F321" s="186">
        <f t="shared" si="879"/>
        <v>51382.353457261393</v>
      </c>
      <c r="G321" s="186">
        <f t="shared" si="879"/>
        <v>46244.118111535252</v>
      </c>
      <c r="H321" s="186">
        <f t="shared" si="879"/>
        <v>41572.995069966033</v>
      </c>
      <c r="I321" s="186">
        <f t="shared" si="879"/>
        <v>39370.89420751197</v>
      </c>
      <c r="J321" s="186">
        <f t="shared" si="879"/>
        <v>39370.89420751197</v>
      </c>
      <c r="K321" s="186">
        <f t="shared" si="879"/>
        <v>39437.624536677249</v>
      </c>
      <c r="L321" s="186">
        <f t="shared" si="879"/>
        <v>39370.89420751197</v>
      </c>
      <c r="M321" s="186">
        <f t="shared" si="879"/>
        <v>39437.624536677249</v>
      </c>
      <c r="N321" s="186">
        <f t="shared" si="879"/>
        <v>39370.89420751197</v>
      </c>
      <c r="O321" s="186">
        <f t="shared" si="879"/>
        <v>39437.624536677249</v>
      </c>
      <c r="P321" s="186">
        <f t="shared" si="879"/>
        <v>39370.89420751197</v>
      </c>
      <c r="Q321" s="186">
        <f t="shared" si="879"/>
        <v>39437.624536677249</v>
      </c>
      <c r="R321" s="186">
        <f t="shared" si="879"/>
        <v>19685.447103755985</v>
      </c>
      <c r="S321" s="186">
        <f t="shared" si="879"/>
        <v>0</v>
      </c>
      <c r="T321" s="186">
        <f t="shared" si="879"/>
        <v>0</v>
      </c>
      <c r="U321" s="186">
        <f t="shared" si="879"/>
        <v>0</v>
      </c>
      <c r="V321" s="186">
        <f t="shared" si="879"/>
        <v>0</v>
      </c>
      <c r="W321" s="186">
        <f t="shared" si="879"/>
        <v>0</v>
      </c>
      <c r="X321" s="186">
        <f t="shared" si="879"/>
        <v>0</v>
      </c>
      <c r="Y321" s="186">
        <f t="shared" si="879"/>
        <v>0</v>
      </c>
      <c r="Z321" s="186">
        <f t="shared" si="879"/>
        <v>0</v>
      </c>
      <c r="AA321" s="186">
        <f t="shared" si="879"/>
        <v>0</v>
      </c>
      <c r="AB321" s="186">
        <f t="shared" si="879"/>
        <v>0</v>
      </c>
      <c r="AC321" s="186">
        <f t="shared" si="879"/>
        <v>0</v>
      </c>
      <c r="AD321" s="186">
        <f t="shared" si="879"/>
        <v>0</v>
      </c>
      <c r="AE321" s="186">
        <f t="shared" si="879"/>
        <v>0</v>
      </c>
      <c r="AF321" s="186">
        <f t="shared" si="879"/>
        <v>0</v>
      </c>
      <c r="AG321" s="186">
        <f t="shared" si="879"/>
        <v>0</v>
      </c>
      <c r="AH321" s="186">
        <f t="shared" si="879"/>
        <v>0</v>
      </c>
      <c r="AI321" s="186">
        <f t="shared" si="879"/>
        <v>0</v>
      </c>
      <c r="AJ321" s="186">
        <f t="shared" si="879"/>
        <v>0</v>
      </c>
      <c r="AK321" s="186">
        <f t="shared" si="879"/>
        <v>0</v>
      </c>
      <c r="AL321" s="186">
        <f t="shared" si="879"/>
        <v>0</v>
      </c>
      <c r="AM321" s="186">
        <f t="shared" si="879"/>
        <v>0</v>
      </c>
      <c r="AN321" s="186">
        <f t="shared" si="879"/>
        <v>0</v>
      </c>
      <c r="AO321" s="186">
        <f t="shared" si="879"/>
        <v>0</v>
      </c>
      <c r="AP321" s="186">
        <f t="shared" si="879"/>
        <v>0</v>
      </c>
    </row>
    <row r="322" spans="1:42">
      <c r="A322" s="205" t="str">
        <f t="shared" si="877"/>
        <v>5-yr SL</v>
      </c>
      <c r="B322" s="153">
        <f t="shared" si="878"/>
        <v>0</v>
      </c>
      <c r="C322" s="186">
        <f t="shared" ref="C322:AP322" si="880">C315*$Q282</f>
        <v>0</v>
      </c>
      <c r="D322" s="186">
        <f t="shared" si="880"/>
        <v>0</v>
      </c>
      <c r="E322" s="186">
        <f t="shared" si="880"/>
        <v>0</v>
      </c>
      <c r="F322" s="186">
        <f t="shared" si="880"/>
        <v>0</v>
      </c>
      <c r="G322" s="186">
        <f t="shared" si="880"/>
        <v>0</v>
      </c>
      <c r="H322" s="186">
        <f t="shared" si="880"/>
        <v>0</v>
      </c>
      <c r="I322" s="186">
        <f t="shared" si="880"/>
        <v>0</v>
      </c>
      <c r="J322" s="186">
        <f t="shared" si="880"/>
        <v>0</v>
      </c>
      <c r="K322" s="186">
        <f t="shared" si="880"/>
        <v>0</v>
      </c>
      <c r="L322" s="186">
        <f t="shared" si="880"/>
        <v>0</v>
      </c>
      <c r="M322" s="186">
        <f t="shared" si="880"/>
        <v>0</v>
      </c>
      <c r="N322" s="186">
        <f t="shared" si="880"/>
        <v>0</v>
      </c>
      <c r="O322" s="186">
        <f t="shared" si="880"/>
        <v>0</v>
      </c>
      <c r="P322" s="186">
        <f t="shared" si="880"/>
        <v>0</v>
      </c>
      <c r="Q322" s="186">
        <f t="shared" si="880"/>
        <v>0</v>
      </c>
      <c r="R322" s="186">
        <f t="shared" si="880"/>
        <v>0</v>
      </c>
      <c r="S322" s="186">
        <f t="shared" si="880"/>
        <v>0</v>
      </c>
      <c r="T322" s="186">
        <f t="shared" si="880"/>
        <v>0</v>
      </c>
      <c r="U322" s="186">
        <f t="shared" si="880"/>
        <v>0</v>
      </c>
      <c r="V322" s="186">
        <f t="shared" si="880"/>
        <v>0</v>
      </c>
      <c r="W322" s="186">
        <f t="shared" si="880"/>
        <v>0</v>
      </c>
      <c r="X322" s="186">
        <f t="shared" si="880"/>
        <v>0</v>
      </c>
      <c r="Y322" s="186">
        <f t="shared" si="880"/>
        <v>0</v>
      </c>
      <c r="Z322" s="186">
        <f t="shared" si="880"/>
        <v>0</v>
      </c>
      <c r="AA322" s="186">
        <f t="shared" si="880"/>
        <v>0</v>
      </c>
      <c r="AB322" s="186">
        <f t="shared" si="880"/>
        <v>0</v>
      </c>
      <c r="AC322" s="186">
        <f t="shared" si="880"/>
        <v>0</v>
      </c>
      <c r="AD322" s="186">
        <f t="shared" si="880"/>
        <v>0</v>
      </c>
      <c r="AE322" s="186">
        <f t="shared" si="880"/>
        <v>0</v>
      </c>
      <c r="AF322" s="186">
        <f t="shared" si="880"/>
        <v>0</v>
      </c>
      <c r="AG322" s="186">
        <f t="shared" si="880"/>
        <v>0</v>
      </c>
      <c r="AH322" s="186">
        <f t="shared" si="880"/>
        <v>0</v>
      </c>
      <c r="AI322" s="186">
        <f t="shared" si="880"/>
        <v>0</v>
      </c>
      <c r="AJ322" s="186">
        <f t="shared" si="880"/>
        <v>0</v>
      </c>
      <c r="AK322" s="186">
        <f t="shared" si="880"/>
        <v>0</v>
      </c>
      <c r="AL322" s="186">
        <f t="shared" si="880"/>
        <v>0</v>
      </c>
      <c r="AM322" s="186">
        <f t="shared" si="880"/>
        <v>0</v>
      </c>
      <c r="AN322" s="186">
        <f t="shared" si="880"/>
        <v>0</v>
      </c>
      <c r="AO322" s="186">
        <f t="shared" si="880"/>
        <v>0</v>
      </c>
      <c r="AP322" s="186">
        <f t="shared" si="880"/>
        <v>0</v>
      </c>
    </row>
    <row r="323" spans="1:42">
      <c r="A323" s="205" t="str">
        <f t="shared" si="877"/>
        <v>15-yr SL</v>
      </c>
      <c r="B323" s="153">
        <f t="shared" si="878"/>
        <v>1334606.5833054909</v>
      </c>
      <c r="C323" s="186">
        <f t="shared" ref="C323:AP323" si="881">C316*$Q283</f>
        <v>44442.39922407284</v>
      </c>
      <c r="D323" s="186">
        <f t="shared" si="881"/>
        <v>89018.259106476224</v>
      </c>
      <c r="E323" s="186">
        <f t="shared" si="881"/>
        <v>89018.259106476224</v>
      </c>
      <c r="F323" s="186">
        <f t="shared" si="881"/>
        <v>89018.259106476224</v>
      </c>
      <c r="G323" s="186">
        <f t="shared" si="881"/>
        <v>89018.259106476224</v>
      </c>
      <c r="H323" s="186">
        <f t="shared" si="881"/>
        <v>89018.259106476224</v>
      </c>
      <c r="I323" s="186">
        <f t="shared" si="881"/>
        <v>89018.259106476224</v>
      </c>
      <c r="J323" s="186">
        <f t="shared" si="881"/>
        <v>88884.798448145681</v>
      </c>
      <c r="K323" s="186">
        <f t="shared" si="881"/>
        <v>89018.259106476224</v>
      </c>
      <c r="L323" s="186">
        <f t="shared" si="881"/>
        <v>88884.798448145681</v>
      </c>
      <c r="M323" s="186">
        <f t="shared" si="881"/>
        <v>89018.259106476224</v>
      </c>
      <c r="N323" s="186">
        <f t="shared" si="881"/>
        <v>88884.798448145681</v>
      </c>
      <c r="O323" s="186">
        <f t="shared" si="881"/>
        <v>89018.259106476224</v>
      </c>
      <c r="P323" s="186">
        <f t="shared" si="881"/>
        <v>88884.798448145681</v>
      </c>
      <c r="Q323" s="186">
        <f t="shared" si="881"/>
        <v>89018.259106476224</v>
      </c>
      <c r="R323" s="186">
        <f t="shared" si="881"/>
        <v>44442.39922407284</v>
      </c>
      <c r="S323" s="186">
        <f t="shared" si="881"/>
        <v>0</v>
      </c>
      <c r="T323" s="186">
        <f t="shared" si="881"/>
        <v>0</v>
      </c>
      <c r="U323" s="186">
        <f t="shared" si="881"/>
        <v>0</v>
      </c>
      <c r="V323" s="186">
        <f t="shared" si="881"/>
        <v>0</v>
      </c>
      <c r="W323" s="186">
        <f t="shared" si="881"/>
        <v>0</v>
      </c>
      <c r="X323" s="186">
        <f t="shared" si="881"/>
        <v>0</v>
      </c>
      <c r="Y323" s="186">
        <f t="shared" si="881"/>
        <v>0</v>
      </c>
      <c r="Z323" s="186">
        <f t="shared" si="881"/>
        <v>0</v>
      </c>
      <c r="AA323" s="186">
        <f t="shared" si="881"/>
        <v>0</v>
      </c>
      <c r="AB323" s="186">
        <f t="shared" si="881"/>
        <v>0</v>
      </c>
      <c r="AC323" s="186">
        <f t="shared" si="881"/>
        <v>0</v>
      </c>
      <c r="AD323" s="186">
        <f t="shared" si="881"/>
        <v>0</v>
      </c>
      <c r="AE323" s="186">
        <f t="shared" si="881"/>
        <v>0</v>
      </c>
      <c r="AF323" s="186">
        <f t="shared" si="881"/>
        <v>0</v>
      </c>
      <c r="AG323" s="186">
        <f t="shared" si="881"/>
        <v>0</v>
      </c>
      <c r="AH323" s="186">
        <f t="shared" si="881"/>
        <v>0</v>
      </c>
      <c r="AI323" s="186">
        <f t="shared" si="881"/>
        <v>0</v>
      </c>
      <c r="AJ323" s="186">
        <f t="shared" si="881"/>
        <v>0</v>
      </c>
      <c r="AK323" s="186">
        <f t="shared" si="881"/>
        <v>0</v>
      </c>
      <c r="AL323" s="186">
        <f t="shared" si="881"/>
        <v>0</v>
      </c>
      <c r="AM323" s="186">
        <f t="shared" si="881"/>
        <v>0</v>
      </c>
      <c r="AN323" s="186">
        <f t="shared" si="881"/>
        <v>0</v>
      </c>
      <c r="AO323" s="186">
        <f t="shared" si="881"/>
        <v>0</v>
      </c>
      <c r="AP323" s="186">
        <f t="shared" si="881"/>
        <v>0</v>
      </c>
    </row>
    <row r="324" spans="1:42">
      <c r="A324" s="205" t="str">
        <f t="shared" si="877"/>
        <v>20-yr SL</v>
      </c>
      <c r="B324" s="153">
        <f t="shared" si="878"/>
        <v>1334606.5833054904</v>
      </c>
      <c r="C324" s="186">
        <f t="shared" ref="C324:AP324" si="882">C317*$Q284</f>
        <v>33365.16458263727</v>
      </c>
      <c r="D324" s="186">
        <f t="shared" si="882"/>
        <v>66730.329165274539</v>
      </c>
      <c r="E324" s="186">
        <f t="shared" si="882"/>
        <v>66730.329165274539</v>
      </c>
      <c r="F324" s="186">
        <f t="shared" si="882"/>
        <v>66730.329165274539</v>
      </c>
      <c r="G324" s="186">
        <f t="shared" si="882"/>
        <v>66730.329165274539</v>
      </c>
      <c r="H324" s="186">
        <f t="shared" si="882"/>
        <v>66730.329165274539</v>
      </c>
      <c r="I324" s="186">
        <f t="shared" si="882"/>
        <v>66730.329165274539</v>
      </c>
      <c r="J324" s="186">
        <f t="shared" si="882"/>
        <v>66730.329165274539</v>
      </c>
      <c r="K324" s="186">
        <f t="shared" si="882"/>
        <v>66730.329165274539</v>
      </c>
      <c r="L324" s="186">
        <f t="shared" si="882"/>
        <v>66730.329165274539</v>
      </c>
      <c r="M324" s="186">
        <f t="shared" si="882"/>
        <v>66730.329165274539</v>
      </c>
      <c r="N324" s="186">
        <f t="shared" si="882"/>
        <v>66730.329165274539</v>
      </c>
      <c r="O324" s="186">
        <f t="shared" si="882"/>
        <v>66730.329165274539</v>
      </c>
      <c r="P324" s="186">
        <f t="shared" si="882"/>
        <v>66730.329165274539</v>
      </c>
      <c r="Q324" s="186">
        <f t="shared" si="882"/>
        <v>66730.329165274539</v>
      </c>
      <c r="R324" s="186">
        <f t="shared" si="882"/>
        <v>66730.329165274539</v>
      </c>
      <c r="S324" s="186">
        <f t="shared" si="882"/>
        <v>66730.329165274539</v>
      </c>
      <c r="T324" s="186">
        <f t="shared" si="882"/>
        <v>66730.329165274539</v>
      </c>
      <c r="U324" s="186">
        <f t="shared" si="882"/>
        <v>66730.329165274539</v>
      </c>
      <c r="V324" s="186">
        <f t="shared" si="882"/>
        <v>66730.329165274539</v>
      </c>
      <c r="W324" s="186">
        <f t="shared" si="882"/>
        <v>33365.16458263727</v>
      </c>
      <c r="X324" s="186">
        <f t="shared" si="882"/>
        <v>0</v>
      </c>
      <c r="Y324" s="186">
        <f t="shared" si="882"/>
        <v>0</v>
      </c>
      <c r="Z324" s="186">
        <f t="shared" si="882"/>
        <v>0</v>
      </c>
      <c r="AA324" s="186">
        <f t="shared" si="882"/>
        <v>0</v>
      </c>
      <c r="AB324" s="186">
        <f t="shared" si="882"/>
        <v>0</v>
      </c>
      <c r="AC324" s="186">
        <f t="shared" si="882"/>
        <v>0</v>
      </c>
      <c r="AD324" s="186">
        <f t="shared" si="882"/>
        <v>0</v>
      </c>
      <c r="AE324" s="186">
        <f t="shared" si="882"/>
        <v>0</v>
      </c>
      <c r="AF324" s="186">
        <f t="shared" si="882"/>
        <v>0</v>
      </c>
      <c r="AG324" s="186">
        <f t="shared" si="882"/>
        <v>0</v>
      </c>
      <c r="AH324" s="186">
        <f t="shared" si="882"/>
        <v>0</v>
      </c>
      <c r="AI324" s="186">
        <f t="shared" si="882"/>
        <v>0</v>
      </c>
      <c r="AJ324" s="186">
        <f t="shared" si="882"/>
        <v>0</v>
      </c>
      <c r="AK324" s="186">
        <f t="shared" si="882"/>
        <v>0</v>
      </c>
      <c r="AL324" s="186">
        <f t="shared" si="882"/>
        <v>0</v>
      </c>
      <c r="AM324" s="186">
        <f t="shared" si="882"/>
        <v>0</v>
      </c>
      <c r="AN324" s="186">
        <f t="shared" si="882"/>
        <v>0</v>
      </c>
      <c r="AO324" s="186">
        <f t="shared" si="882"/>
        <v>0</v>
      </c>
      <c r="AP324" s="186">
        <f t="shared" si="882"/>
        <v>0</v>
      </c>
    </row>
    <row r="325" spans="1:42">
      <c r="A325" s="205" t="str">
        <f t="shared" si="877"/>
        <v>39-yr SL</v>
      </c>
      <c r="B325" s="153">
        <f t="shared" si="878"/>
        <v>222434.43055091499</v>
      </c>
      <c r="C325" s="186">
        <f t="shared" ref="C325:AP325" si="883">C318*$Q285</f>
        <v>2851.7234686014713</v>
      </c>
      <c r="D325" s="186">
        <f t="shared" si="883"/>
        <v>5703.4469372029516</v>
      </c>
      <c r="E325" s="186">
        <f t="shared" si="883"/>
        <v>5703.4469372029516</v>
      </c>
      <c r="F325" s="186">
        <f t="shared" si="883"/>
        <v>5703.4469372029516</v>
      </c>
      <c r="G325" s="186">
        <f t="shared" si="883"/>
        <v>5703.4469372029516</v>
      </c>
      <c r="H325" s="186">
        <f t="shared" si="883"/>
        <v>5703.4469372029516</v>
      </c>
      <c r="I325" s="186">
        <f t="shared" si="883"/>
        <v>5703.4469372029516</v>
      </c>
      <c r="J325" s="186">
        <f t="shared" si="883"/>
        <v>5703.4469372029516</v>
      </c>
      <c r="K325" s="186">
        <f t="shared" si="883"/>
        <v>5703.4469372029516</v>
      </c>
      <c r="L325" s="186">
        <f t="shared" si="883"/>
        <v>5703.4469372029516</v>
      </c>
      <c r="M325" s="186">
        <f t="shared" si="883"/>
        <v>5703.4469372029516</v>
      </c>
      <c r="N325" s="186">
        <f t="shared" si="883"/>
        <v>5703.4469372029516</v>
      </c>
      <c r="O325" s="186">
        <f t="shared" si="883"/>
        <v>5703.4469372029516</v>
      </c>
      <c r="P325" s="186">
        <f t="shared" si="883"/>
        <v>5703.4469372029516</v>
      </c>
      <c r="Q325" s="186">
        <f t="shared" si="883"/>
        <v>5703.4469372029516</v>
      </c>
      <c r="R325" s="186">
        <f t="shared" si="883"/>
        <v>5703.4469372029516</v>
      </c>
      <c r="S325" s="186">
        <f t="shared" si="883"/>
        <v>5703.4469372029516</v>
      </c>
      <c r="T325" s="186">
        <f t="shared" si="883"/>
        <v>5703.4469372029516</v>
      </c>
      <c r="U325" s="186">
        <f t="shared" si="883"/>
        <v>5703.4469372029516</v>
      </c>
      <c r="V325" s="186">
        <f t="shared" si="883"/>
        <v>5703.4469372029516</v>
      </c>
      <c r="W325" s="186">
        <f t="shared" si="883"/>
        <v>5703.4469372029516</v>
      </c>
      <c r="X325" s="186">
        <f t="shared" si="883"/>
        <v>5703.4469372029516</v>
      </c>
      <c r="Y325" s="186">
        <f t="shared" si="883"/>
        <v>5703.4469372029516</v>
      </c>
      <c r="Z325" s="186">
        <f t="shared" si="883"/>
        <v>5703.4469372029516</v>
      </c>
      <c r="AA325" s="186">
        <f t="shared" si="883"/>
        <v>5703.4469372029516</v>
      </c>
      <c r="AB325" s="186">
        <f t="shared" si="883"/>
        <v>5703.4469372029516</v>
      </c>
      <c r="AC325" s="186">
        <f t="shared" si="883"/>
        <v>5703.4469372029516</v>
      </c>
      <c r="AD325" s="186">
        <f t="shared" si="883"/>
        <v>5703.4469372029516</v>
      </c>
      <c r="AE325" s="186">
        <f t="shared" si="883"/>
        <v>5703.4469372029516</v>
      </c>
      <c r="AF325" s="186">
        <f t="shared" si="883"/>
        <v>5703.4469372029516</v>
      </c>
      <c r="AG325" s="186">
        <f t="shared" si="883"/>
        <v>5703.4469372029516</v>
      </c>
      <c r="AH325" s="186">
        <f t="shared" si="883"/>
        <v>5703.4469372029516</v>
      </c>
      <c r="AI325" s="186">
        <f t="shared" si="883"/>
        <v>5703.4469372029516</v>
      </c>
      <c r="AJ325" s="186">
        <f t="shared" si="883"/>
        <v>5703.4469372029516</v>
      </c>
      <c r="AK325" s="186">
        <f t="shared" si="883"/>
        <v>5703.4469372029516</v>
      </c>
      <c r="AL325" s="186">
        <f t="shared" si="883"/>
        <v>5703.4469372029516</v>
      </c>
      <c r="AM325" s="186">
        <f t="shared" si="883"/>
        <v>5703.4469372029516</v>
      </c>
      <c r="AN325" s="186">
        <f t="shared" si="883"/>
        <v>5703.4469372029516</v>
      </c>
      <c r="AO325" s="186">
        <f t="shared" si="883"/>
        <v>5703.4469372029516</v>
      </c>
      <c r="AP325" s="186">
        <f t="shared" si="883"/>
        <v>2851.7234686014713</v>
      </c>
    </row>
    <row r="326" spans="1:42">
      <c r="A326" s="205" t="s">
        <v>319</v>
      </c>
      <c r="B326" s="212">
        <f t="shared" ref="B326" si="884">SUM(C326:AP326)</f>
        <v>1979016.4319031448</v>
      </c>
      <c r="C326" s="187">
        <f>P287</f>
        <v>1979016.4319031448</v>
      </c>
      <c r="D326" s="187">
        <v>0</v>
      </c>
      <c r="E326" s="187">
        <v>0</v>
      </c>
      <c r="F326" s="187">
        <v>0</v>
      </c>
      <c r="G326" s="187">
        <v>0</v>
      </c>
      <c r="H326" s="187">
        <v>0</v>
      </c>
      <c r="I326" s="187">
        <v>0</v>
      </c>
      <c r="J326" s="187">
        <v>0</v>
      </c>
      <c r="K326" s="187">
        <v>0</v>
      </c>
      <c r="L326" s="187">
        <v>0</v>
      </c>
      <c r="M326" s="187">
        <v>0</v>
      </c>
      <c r="N326" s="187">
        <v>0</v>
      </c>
      <c r="O326" s="187">
        <v>0</v>
      </c>
      <c r="P326" s="187">
        <v>0</v>
      </c>
      <c r="Q326" s="187">
        <v>0</v>
      </c>
      <c r="R326" s="187">
        <v>0</v>
      </c>
      <c r="S326" s="187">
        <v>0</v>
      </c>
      <c r="T326" s="187">
        <v>0</v>
      </c>
      <c r="U326" s="187">
        <v>0</v>
      </c>
      <c r="V326" s="187">
        <v>0</v>
      </c>
      <c r="W326" s="187">
        <v>0</v>
      </c>
      <c r="X326" s="187">
        <v>0</v>
      </c>
      <c r="Y326" s="187">
        <v>0</v>
      </c>
      <c r="Z326" s="187">
        <v>0</v>
      </c>
      <c r="AA326" s="187">
        <v>0</v>
      </c>
      <c r="AB326" s="187">
        <v>0</v>
      </c>
      <c r="AC326" s="187">
        <v>0</v>
      </c>
      <c r="AD326" s="187">
        <v>0</v>
      </c>
      <c r="AE326" s="187">
        <v>0</v>
      </c>
      <c r="AF326" s="187">
        <v>0</v>
      </c>
      <c r="AG326" s="187">
        <v>0</v>
      </c>
      <c r="AH326" s="187">
        <v>0</v>
      </c>
      <c r="AI326" s="187">
        <v>0</v>
      </c>
      <c r="AJ326" s="187">
        <v>0</v>
      </c>
      <c r="AK326" s="187">
        <v>0</v>
      </c>
      <c r="AL326" s="187">
        <v>0</v>
      </c>
      <c r="AM326" s="187">
        <v>0</v>
      </c>
      <c r="AN326" s="187">
        <v>0</v>
      </c>
      <c r="AO326" s="187">
        <v>0</v>
      </c>
      <c r="AP326" s="187">
        <v>0</v>
      </c>
    </row>
    <row r="327" spans="1:42">
      <c r="A327" s="204"/>
      <c r="B327" s="212">
        <f t="shared" si="878"/>
        <v>43139279.52687756</v>
      </c>
      <c r="C327" s="186">
        <f>SUM(C320:C326)</f>
        <v>9613303.3249930441</v>
      </c>
      <c r="D327" s="186">
        <f t="shared" ref="D327:AP327" si="885">SUM(D320:D326)</f>
        <v>12257265.753887083</v>
      </c>
      <c r="E327" s="186">
        <f t="shared" si="885"/>
        <v>7437958.4102279348</v>
      </c>
      <c r="F327" s="186">
        <f t="shared" si="885"/>
        <v>4544505.5548158186</v>
      </c>
      <c r="G327" s="186">
        <f t="shared" si="885"/>
        <v>4539367.3194700917</v>
      </c>
      <c r="H327" s="186">
        <f t="shared" si="885"/>
        <v>2368860.6133537218</v>
      </c>
      <c r="I327" s="186">
        <f t="shared" si="885"/>
        <v>200822.92941646569</v>
      </c>
      <c r="J327" s="186">
        <f t="shared" si="885"/>
        <v>200689.46875813513</v>
      </c>
      <c r="K327" s="186">
        <f t="shared" si="885"/>
        <v>200889.65974563095</v>
      </c>
      <c r="L327" s="186">
        <f t="shared" si="885"/>
        <v>200689.46875813513</v>
      </c>
      <c r="M327" s="186">
        <f t="shared" si="885"/>
        <v>200889.65974563095</v>
      </c>
      <c r="N327" s="186">
        <f t="shared" si="885"/>
        <v>200689.46875813513</v>
      </c>
      <c r="O327" s="186">
        <f t="shared" si="885"/>
        <v>200889.65974563095</v>
      </c>
      <c r="P327" s="186">
        <f t="shared" si="885"/>
        <v>200689.46875813513</v>
      </c>
      <c r="Q327" s="186">
        <f t="shared" si="885"/>
        <v>200889.65974563095</v>
      </c>
      <c r="R327" s="186">
        <f t="shared" si="885"/>
        <v>136561.62243030631</v>
      </c>
      <c r="S327" s="186">
        <f t="shared" si="885"/>
        <v>72433.776102477495</v>
      </c>
      <c r="T327" s="186">
        <f t="shared" si="885"/>
        <v>72433.776102477495</v>
      </c>
      <c r="U327" s="186">
        <f t="shared" si="885"/>
        <v>72433.776102477495</v>
      </c>
      <c r="V327" s="186">
        <f t="shared" si="885"/>
        <v>72433.776102477495</v>
      </c>
      <c r="W327" s="186">
        <f t="shared" si="885"/>
        <v>39068.611519840219</v>
      </c>
      <c r="X327" s="186">
        <f t="shared" si="885"/>
        <v>5703.4469372029516</v>
      </c>
      <c r="Y327" s="186">
        <f t="shared" si="885"/>
        <v>5703.4469372029516</v>
      </c>
      <c r="Z327" s="186">
        <f t="shared" si="885"/>
        <v>5703.4469372029516</v>
      </c>
      <c r="AA327" s="186">
        <f t="shared" si="885"/>
        <v>5703.4469372029516</v>
      </c>
      <c r="AB327" s="186">
        <f t="shared" si="885"/>
        <v>5703.4469372029516</v>
      </c>
      <c r="AC327" s="186">
        <f t="shared" si="885"/>
        <v>5703.4469372029516</v>
      </c>
      <c r="AD327" s="186">
        <f t="shared" si="885"/>
        <v>5703.4469372029516</v>
      </c>
      <c r="AE327" s="186">
        <f t="shared" si="885"/>
        <v>5703.4469372029516</v>
      </c>
      <c r="AF327" s="186">
        <f t="shared" si="885"/>
        <v>5703.4469372029516</v>
      </c>
      <c r="AG327" s="186">
        <f t="shared" si="885"/>
        <v>5703.4469372029516</v>
      </c>
      <c r="AH327" s="186">
        <f t="shared" si="885"/>
        <v>5703.4469372029516</v>
      </c>
      <c r="AI327" s="186">
        <f t="shared" si="885"/>
        <v>5703.4469372029516</v>
      </c>
      <c r="AJ327" s="186">
        <f t="shared" si="885"/>
        <v>5703.4469372029516</v>
      </c>
      <c r="AK327" s="186">
        <f t="shared" si="885"/>
        <v>5703.4469372029516</v>
      </c>
      <c r="AL327" s="186">
        <f t="shared" si="885"/>
        <v>5703.4469372029516</v>
      </c>
      <c r="AM327" s="186">
        <f t="shared" si="885"/>
        <v>5703.4469372029516</v>
      </c>
      <c r="AN327" s="186">
        <f t="shared" si="885"/>
        <v>5703.4469372029516</v>
      </c>
      <c r="AO327" s="186">
        <f t="shared" si="885"/>
        <v>5703.4469372029516</v>
      </c>
      <c r="AP327" s="186">
        <f t="shared" si="885"/>
        <v>2851.7234686014713</v>
      </c>
    </row>
    <row r="328" spans="1:42">
      <c r="A328" s="204"/>
      <c r="C328" s="186"/>
      <c r="D328" s="186"/>
      <c r="E328" s="186"/>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186"/>
      <c r="AL328" s="186"/>
      <c r="AM328" s="186"/>
      <c r="AN328" s="186"/>
      <c r="AO328" s="186"/>
      <c r="AP328" s="186"/>
    </row>
    <row r="329" spans="1:42">
      <c r="A329" s="197" t="s">
        <v>206</v>
      </c>
      <c r="C329" s="186"/>
      <c r="D329" s="186"/>
      <c r="E329" s="186"/>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186"/>
      <c r="AL329" s="186"/>
      <c r="AM329" s="186"/>
      <c r="AN329" s="186"/>
      <c r="AO329" s="186"/>
      <c r="AP329" s="186"/>
    </row>
    <row r="330" spans="1:42">
      <c r="A330" s="204" t="s">
        <v>208</v>
      </c>
      <c r="B330" s="219" t="str">
        <f>MMStateTaxTreatment</f>
        <v>5-yr MACRS</v>
      </c>
      <c r="C330" s="186"/>
      <c r="D330" s="186"/>
      <c r="E330" s="186"/>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186"/>
      <c r="AL330" s="186"/>
      <c r="AM330" s="186"/>
      <c r="AN330" s="186"/>
      <c r="AO330" s="186"/>
      <c r="AP330" s="186"/>
    </row>
    <row r="331" spans="1:42">
      <c r="A331" s="204" t="s">
        <v>209</v>
      </c>
      <c r="B331" s="186">
        <f t="shared" ref="B331:AP331" si="886">B2</f>
        <v>0</v>
      </c>
      <c r="C331" s="186">
        <f t="shared" si="886"/>
        <v>1</v>
      </c>
      <c r="D331" s="186">
        <f t="shared" si="886"/>
        <v>2</v>
      </c>
      <c r="E331" s="186">
        <f t="shared" si="886"/>
        <v>3</v>
      </c>
      <c r="F331" s="186">
        <f t="shared" si="886"/>
        <v>4</v>
      </c>
      <c r="G331" s="186">
        <f t="shared" si="886"/>
        <v>5</v>
      </c>
      <c r="H331" s="186">
        <f t="shared" si="886"/>
        <v>6</v>
      </c>
      <c r="I331" s="186">
        <f t="shared" si="886"/>
        <v>7</v>
      </c>
      <c r="J331" s="186">
        <f t="shared" si="886"/>
        <v>8</v>
      </c>
      <c r="K331" s="186">
        <f t="shared" si="886"/>
        <v>9</v>
      </c>
      <c r="L331" s="186">
        <f t="shared" si="886"/>
        <v>10</v>
      </c>
      <c r="M331" s="186">
        <f t="shared" si="886"/>
        <v>11</v>
      </c>
      <c r="N331" s="186">
        <f t="shared" si="886"/>
        <v>12</v>
      </c>
      <c r="O331" s="186">
        <f t="shared" si="886"/>
        <v>13</v>
      </c>
      <c r="P331" s="186">
        <f t="shared" si="886"/>
        <v>14</v>
      </c>
      <c r="Q331" s="186">
        <f t="shared" si="886"/>
        <v>15</v>
      </c>
      <c r="R331" s="186">
        <f t="shared" si="886"/>
        <v>16</v>
      </c>
      <c r="S331" s="186">
        <f t="shared" si="886"/>
        <v>17</v>
      </c>
      <c r="T331" s="186">
        <f t="shared" si="886"/>
        <v>18</v>
      </c>
      <c r="U331" s="186">
        <f t="shared" si="886"/>
        <v>19</v>
      </c>
      <c r="V331" s="186">
        <f t="shared" si="886"/>
        <v>20</v>
      </c>
      <c r="W331" s="186">
        <f t="shared" si="886"/>
        <v>21</v>
      </c>
      <c r="X331" s="186">
        <f t="shared" si="886"/>
        <v>22</v>
      </c>
      <c r="Y331" s="186">
        <f t="shared" si="886"/>
        <v>23</v>
      </c>
      <c r="Z331" s="186">
        <f t="shared" si="886"/>
        <v>24</v>
      </c>
      <c r="AA331" s="186">
        <f t="shared" si="886"/>
        <v>25</v>
      </c>
      <c r="AB331" s="186">
        <f t="shared" si="886"/>
        <v>26</v>
      </c>
      <c r="AC331" s="186">
        <f t="shared" si="886"/>
        <v>27</v>
      </c>
      <c r="AD331" s="186">
        <f t="shared" si="886"/>
        <v>28</v>
      </c>
      <c r="AE331" s="186">
        <f t="shared" si="886"/>
        <v>29</v>
      </c>
      <c r="AF331" s="186">
        <f t="shared" si="886"/>
        <v>30</v>
      </c>
      <c r="AG331" s="186">
        <f t="shared" si="886"/>
        <v>31</v>
      </c>
      <c r="AH331" s="186">
        <f t="shared" si="886"/>
        <v>32</v>
      </c>
      <c r="AI331" s="186">
        <f t="shared" si="886"/>
        <v>33</v>
      </c>
      <c r="AJ331" s="186">
        <f t="shared" si="886"/>
        <v>34</v>
      </c>
      <c r="AK331" s="186">
        <f t="shared" si="886"/>
        <v>35</v>
      </c>
      <c r="AL331" s="186">
        <f t="shared" si="886"/>
        <v>36</v>
      </c>
      <c r="AM331" s="186">
        <f t="shared" si="886"/>
        <v>37</v>
      </c>
      <c r="AN331" s="186">
        <f t="shared" si="886"/>
        <v>38</v>
      </c>
      <c r="AO331" s="186">
        <f t="shared" si="886"/>
        <v>39</v>
      </c>
      <c r="AP331" s="186">
        <f t="shared" si="886"/>
        <v>40</v>
      </c>
    </row>
    <row r="332" spans="1:42">
      <c r="A332" s="204" t="s">
        <v>210</v>
      </c>
      <c r="B332" s="220">
        <v>0</v>
      </c>
      <c r="C332" s="215">
        <f t="shared" ref="C332:AP332" si="887">IF($B$330=$A313,C313,0)+IF($B$330=$A314,C314,0)+IF($B$330=$A315,C315,0)+IF($B$330=$A316,C316,0)+IF($B$330=$A317,C317,0)+IF($B$330=$A318,C318,0)</f>
        <v>0.2</v>
      </c>
      <c r="D332" s="215">
        <f t="shared" si="887"/>
        <v>0.32</v>
      </c>
      <c r="E332" s="215">
        <f t="shared" si="887"/>
        <v>0.192</v>
      </c>
      <c r="F332" s="215">
        <f t="shared" si="887"/>
        <v>0.1152</v>
      </c>
      <c r="G332" s="215">
        <f t="shared" si="887"/>
        <v>0.1152</v>
      </c>
      <c r="H332" s="215">
        <f t="shared" si="887"/>
        <v>5.7599999999999998E-2</v>
      </c>
      <c r="I332" s="215">
        <f t="shared" si="887"/>
        <v>0</v>
      </c>
      <c r="J332" s="215">
        <f t="shared" si="887"/>
        <v>0</v>
      </c>
      <c r="K332" s="215">
        <f t="shared" si="887"/>
        <v>0</v>
      </c>
      <c r="L332" s="215">
        <f t="shared" si="887"/>
        <v>0</v>
      </c>
      <c r="M332" s="215">
        <f t="shared" si="887"/>
        <v>0</v>
      </c>
      <c r="N332" s="215">
        <f t="shared" si="887"/>
        <v>0</v>
      </c>
      <c r="O332" s="215">
        <f t="shared" si="887"/>
        <v>0</v>
      </c>
      <c r="P332" s="215">
        <f t="shared" si="887"/>
        <v>0</v>
      </c>
      <c r="Q332" s="215">
        <f t="shared" si="887"/>
        <v>0</v>
      </c>
      <c r="R332" s="215">
        <f t="shared" si="887"/>
        <v>0</v>
      </c>
      <c r="S332" s="215">
        <f t="shared" si="887"/>
        <v>0</v>
      </c>
      <c r="T332" s="215">
        <f t="shared" si="887"/>
        <v>0</v>
      </c>
      <c r="U332" s="215">
        <f t="shared" si="887"/>
        <v>0</v>
      </c>
      <c r="V332" s="215">
        <f t="shared" si="887"/>
        <v>0</v>
      </c>
      <c r="W332" s="215">
        <f t="shared" si="887"/>
        <v>0</v>
      </c>
      <c r="X332" s="215">
        <f t="shared" si="887"/>
        <v>0</v>
      </c>
      <c r="Y332" s="215">
        <f t="shared" si="887"/>
        <v>0</v>
      </c>
      <c r="Z332" s="215">
        <f t="shared" si="887"/>
        <v>0</v>
      </c>
      <c r="AA332" s="215">
        <f t="shared" si="887"/>
        <v>0</v>
      </c>
      <c r="AB332" s="215">
        <f t="shared" si="887"/>
        <v>0</v>
      </c>
      <c r="AC332" s="215">
        <f t="shared" si="887"/>
        <v>0</v>
      </c>
      <c r="AD332" s="215">
        <f t="shared" si="887"/>
        <v>0</v>
      </c>
      <c r="AE332" s="215">
        <f t="shared" si="887"/>
        <v>0</v>
      </c>
      <c r="AF332" s="215">
        <f t="shared" si="887"/>
        <v>0</v>
      </c>
      <c r="AG332" s="215">
        <f t="shared" si="887"/>
        <v>0</v>
      </c>
      <c r="AH332" s="215">
        <f t="shared" si="887"/>
        <v>0</v>
      </c>
      <c r="AI332" s="215">
        <f t="shared" si="887"/>
        <v>0</v>
      </c>
      <c r="AJ332" s="215">
        <f t="shared" si="887"/>
        <v>0</v>
      </c>
      <c r="AK332" s="215">
        <f t="shared" si="887"/>
        <v>0</v>
      </c>
      <c r="AL332" s="215">
        <f t="shared" si="887"/>
        <v>0</v>
      </c>
      <c r="AM332" s="215">
        <f t="shared" si="887"/>
        <v>0</v>
      </c>
      <c r="AN332" s="215">
        <f t="shared" si="887"/>
        <v>0</v>
      </c>
      <c r="AO332" s="215">
        <f t="shared" si="887"/>
        <v>0</v>
      </c>
      <c r="AP332" s="215">
        <f t="shared" si="887"/>
        <v>0</v>
      </c>
    </row>
    <row r="333" spans="1:42">
      <c r="A333" s="204"/>
      <c r="B333" s="220"/>
      <c r="C333" s="215"/>
      <c r="D333" s="215"/>
      <c r="E333" s="215"/>
      <c r="F333" s="215"/>
      <c r="G333" s="215"/>
      <c r="H333" s="215"/>
      <c r="I333" s="215"/>
      <c r="J333" s="215"/>
      <c r="K333" s="215"/>
      <c r="L333" s="215"/>
      <c r="M333" s="215"/>
      <c r="N333" s="215"/>
      <c r="O333" s="215"/>
      <c r="P333" s="215"/>
      <c r="Q333" s="215"/>
      <c r="R333" s="215"/>
      <c r="S333" s="215"/>
      <c r="T333" s="215"/>
      <c r="U333" s="215"/>
      <c r="V333" s="215"/>
      <c r="W333" s="215"/>
      <c r="X333" s="215"/>
      <c r="Y333" s="215"/>
      <c r="Z333" s="215"/>
      <c r="AA333" s="215"/>
      <c r="AB333" s="215"/>
      <c r="AC333" s="215"/>
      <c r="AD333" s="215"/>
      <c r="AE333" s="215"/>
      <c r="AF333" s="215"/>
      <c r="AG333" s="215"/>
      <c r="AH333" s="215"/>
      <c r="AI333" s="215"/>
      <c r="AJ333" s="215"/>
      <c r="AK333" s="215"/>
      <c r="AL333" s="215"/>
      <c r="AM333" s="215"/>
      <c r="AN333" s="215"/>
      <c r="AO333" s="215"/>
      <c r="AP333" s="215"/>
    </row>
    <row r="334" spans="1:42">
      <c r="A334" s="197" t="s">
        <v>368</v>
      </c>
      <c r="C334" s="186"/>
      <c r="D334" s="186"/>
      <c r="E334" s="186"/>
      <c r="F334" s="186"/>
      <c r="G334" s="186"/>
      <c r="H334" s="186"/>
      <c r="I334" s="186"/>
      <c r="J334" s="186"/>
      <c r="K334" s="186"/>
      <c r="L334" s="186"/>
      <c r="M334" s="186"/>
      <c r="N334" s="186"/>
      <c r="O334" s="186"/>
      <c r="P334" s="186"/>
      <c r="Q334" s="186"/>
      <c r="R334" s="186"/>
      <c r="S334" s="186"/>
      <c r="T334" s="186"/>
      <c r="U334" s="186"/>
      <c r="V334" s="186"/>
      <c r="W334" s="186"/>
      <c r="X334" s="186"/>
      <c r="Y334" s="186"/>
      <c r="Z334" s="186"/>
      <c r="AA334" s="186"/>
      <c r="AB334" s="186"/>
      <c r="AC334" s="186"/>
      <c r="AD334" s="186"/>
      <c r="AE334" s="186"/>
      <c r="AF334" s="186"/>
      <c r="AG334" s="186"/>
      <c r="AH334" s="186"/>
      <c r="AI334" s="186"/>
      <c r="AJ334" s="186"/>
      <c r="AK334" s="186"/>
      <c r="AL334" s="186"/>
      <c r="AM334" s="186"/>
      <c r="AN334" s="186"/>
      <c r="AO334" s="186"/>
      <c r="AP334" s="186"/>
    </row>
    <row r="335" spans="1:42">
      <c r="A335" s="204" t="s">
        <v>207</v>
      </c>
      <c r="C335" s="186"/>
      <c r="D335" s="186"/>
      <c r="E335" s="186"/>
      <c r="F335" s="186"/>
      <c r="G335" s="186"/>
      <c r="H335" s="186"/>
      <c r="I335" s="186"/>
      <c r="J335" s="186"/>
      <c r="K335" s="186"/>
      <c r="L335" s="186"/>
      <c r="M335" s="186"/>
      <c r="N335" s="186"/>
      <c r="O335" s="186"/>
      <c r="P335" s="186"/>
      <c r="Q335" s="186"/>
      <c r="R335" s="186"/>
      <c r="S335" s="186"/>
      <c r="T335" s="186"/>
      <c r="U335" s="186"/>
      <c r="V335" s="186"/>
      <c r="W335" s="186"/>
      <c r="X335" s="186"/>
      <c r="Y335" s="186"/>
      <c r="Z335" s="186"/>
      <c r="AA335" s="186"/>
      <c r="AB335" s="186"/>
      <c r="AC335" s="186"/>
      <c r="AD335" s="186"/>
      <c r="AE335" s="186"/>
      <c r="AF335" s="186"/>
      <c r="AG335" s="186"/>
      <c r="AH335" s="186"/>
      <c r="AI335" s="186"/>
      <c r="AJ335" s="186"/>
      <c r="AK335" s="186"/>
      <c r="AL335" s="186"/>
      <c r="AM335" s="186"/>
      <c r="AN335" s="186"/>
      <c r="AO335" s="186"/>
      <c r="AP335" s="186"/>
    </row>
    <row r="336" spans="1:42">
      <c r="A336" s="37">
        <v>1</v>
      </c>
      <c r="C336" s="186">
        <f>IF(C$2&lt;=AnalysisPeriod,IF(SUM($C649:C649)&gt;0,B336+1,0),0)</f>
        <v>0</v>
      </c>
      <c r="D336" s="186">
        <f>IF(D$2&lt;=AnalysisPeriod,IF(SUM($C649:D649)&gt;0,C336+1,0),0)</f>
        <v>0</v>
      </c>
      <c r="E336" s="186">
        <f>IF(E$2&lt;=AnalysisPeriod,IF(SUM($C649:E649)&gt;0,D336+1,0),0)</f>
        <v>0</v>
      </c>
      <c r="F336" s="186">
        <f>IF(F$2&lt;=AnalysisPeriod,IF(SUM($C649:F649)&gt;0,E336+1,0),0)</f>
        <v>0</v>
      </c>
      <c r="G336" s="186">
        <f>IF(G$2&lt;=AnalysisPeriod,IF(SUM($C649:G649)&gt;0,F336+1,0),0)</f>
        <v>0</v>
      </c>
      <c r="H336" s="186">
        <f>IF(H$2&lt;=AnalysisPeriod,IF(SUM($C649:H649)&gt;0,G336+1,0),0)</f>
        <v>0</v>
      </c>
      <c r="I336" s="186">
        <f>IF(I$2&lt;=AnalysisPeriod,IF(SUM($C649:I649)&gt;0,H336+1,0),0)</f>
        <v>0</v>
      </c>
      <c r="J336" s="186">
        <f>IF(J$2&lt;=AnalysisPeriod,IF(SUM($C649:J649)&gt;0,I336+1,0),0)</f>
        <v>0</v>
      </c>
      <c r="K336" s="186">
        <f>IF(K$2&lt;=AnalysisPeriod,IF(SUM($C649:K649)&gt;0,J336+1,0),0)</f>
        <v>0</v>
      </c>
      <c r="L336" s="186">
        <f>IF(L$2&lt;=AnalysisPeriod,IF(SUM($C649:L649)&gt;0,K336+1,0),0)</f>
        <v>0</v>
      </c>
      <c r="M336" s="186">
        <f>IF(M$2&lt;=AnalysisPeriod,IF(SUM($C649:M649)&gt;0,L336+1,0),0)</f>
        <v>0</v>
      </c>
      <c r="N336" s="186">
        <f>IF(N$2&lt;=AnalysisPeriod,IF(SUM($C649:N649)&gt;0,M336+1,0),0)</f>
        <v>1</v>
      </c>
      <c r="O336" s="186">
        <f>IF(O$2&lt;=AnalysisPeriod,IF(SUM($C649:O649)&gt;0,N336+1,0),0)</f>
        <v>2</v>
      </c>
      <c r="P336" s="186">
        <f>IF(P$2&lt;=AnalysisPeriod,IF(SUM($C649:P649)&gt;0,O336+1,0),0)</f>
        <v>3</v>
      </c>
      <c r="Q336" s="186">
        <f>IF(Q$2&lt;=AnalysisPeriod,IF(SUM($C649:Q649)&gt;0,P336+1,0),0)</f>
        <v>4</v>
      </c>
      <c r="R336" s="186">
        <f>IF(R$2&lt;=AnalysisPeriod,IF(SUM($C649:R649)&gt;0,Q336+1,0),0)</f>
        <v>5</v>
      </c>
      <c r="S336" s="186">
        <f>IF(S$2&lt;=AnalysisPeriod,IF(SUM($C649:S649)&gt;0,R336+1,0),0)</f>
        <v>6</v>
      </c>
      <c r="T336" s="186">
        <f>IF(T$2&lt;=AnalysisPeriod,IF(SUM($C649:T649)&gt;0,S336+1,0),0)</f>
        <v>7</v>
      </c>
      <c r="U336" s="186">
        <f>IF(U$2&lt;=AnalysisPeriod,IF(SUM($C649:U649)&gt;0,T336+1,0),0)</f>
        <v>8</v>
      </c>
      <c r="V336" s="186">
        <f>IF(V$2&lt;=AnalysisPeriod,IF(SUM($C649:V649)&gt;0,U336+1,0),0)</f>
        <v>9</v>
      </c>
      <c r="W336" s="186">
        <f>IF(W$2&lt;=AnalysisPeriod,IF(SUM($C649:W649)&gt;0,V336+1,0),0)</f>
        <v>10</v>
      </c>
      <c r="X336" s="186">
        <f>IF(X$2&lt;=AnalysisPeriod,IF(SUM($C649:X649)&gt;0,W336+1,0),0)</f>
        <v>11</v>
      </c>
      <c r="Y336" s="186">
        <f>IF(Y$2&lt;=AnalysisPeriod,IF(SUM($C649:Y649)&gt;0,X336+1,0),0)</f>
        <v>12</v>
      </c>
      <c r="Z336" s="186">
        <f>IF(Z$2&lt;=AnalysisPeriod,IF(SUM($C649:Z649)&gt;0,Y336+1,0),0)</f>
        <v>13</v>
      </c>
      <c r="AA336" s="186">
        <f>IF(AA$2&lt;=AnalysisPeriod,IF(SUM($C649:AA649)&gt;0,Z336+1,0),0)</f>
        <v>14</v>
      </c>
      <c r="AB336" s="186">
        <f>IF(AB$2&lt;=AnalysisPeriod,IF(SUM($C649:AB649)&gt;0,AA336+1,0),0)</f>
        <v>15</v>
      </c>
      <c r="AC336" s="186">
        <f>IF(AC$2&lt;=AnalysisPeriod,IF(SUM($C649:AC649)&gt;0,AB336+1,0),0)</f>
        <v>16</v>
      </c>
      <c r="AD336" s="186">
        <f>IF(AD$2&lt;=AnalysisPeriod,IF(SUM($C649:AD649)&gt;0,AC336+1,0),0)</f>
        <v>17</v>
      </c>
      <c r="AE336" s="186">
        <f>IF(AE$2&lt;=AnalysisPeriod,IF(SUM($C649:AE649)&gt;0,AD336+1,0),0)</f>
        <v>18</v>
      </c>
      <c r="AF336" s="186">
        <f>IF(AF$2&lt;=AnalysisPeriod,IF(SUM($C649:AF649)&gt;0,AE336+1,0),0)</f>
        <v>19</v>
      </c>
      <c r="AG336" s="186">
        <f>IF(AG$2&lt;=AnalysisPeriod,IF(SUM($C649:AG649)&gt;0,AF336+1,0),0)</f>
        <v>0</v>
      </c>
      <c r="AH336" s="186">
        <f>IF(AH$2&lt;=AnalysisPeriod,IF(SUM($C649:AH649)&gt;0,AG336+1,0),0)</f>
        <v>0</v>
      </c>
      <c r="AI336" s="186">
        <f>IF(AI$2&lt;=AnalysisPeriod,IF(SUM($C649:AI649)&gt;0,AH336+1,0),0)</f>
        <v>0</v>
      </c>
      <c r="AJ336" s="186">
        <f>IF(AJ$2&lt;=AnalysisPeriod,IF(SUM($C649:AJ649)&gt;0,AI336+1,0),0)</f>
        <v>0</v>
      </c>
      <c r="AK336" s="186">
        <f>IF(AK$2&lt;=AnalysisPeriod,IF(SUM($C649:AK649)&gt;0,AJ336+1,0),0)</f>
        <v>0</v>
      </c>
      <c r="AL336" s="186">
        <f>IF(AL$2&lt;=AnalysisPeriod,IF(SUM($C649:AL649)&gt;0,AK336+1,0),0)</f>
        <v>0</v>
      </c>
      <c r="AM336" s="186">
        <f>IF(AM$2&lt;=AnalysisPeriod,IF(SUM($C649:AM649)&gt;0,AL336+1,0),0)</f>
        <v>0</v>
      </c>
      <c r="AN336" s="186">
        <f>IF(AN$2&lt;=AnalysisPeriod,IF(SUM($C649:AN649)&gt;0,AM336+1,0),0)</f>
        <v>0</v>
      </c>
      <c r="AO336" s="186">
        <f>IF(AO$2&lt;=AnalysisPeriod,IF(SUM($C649:AO649)&gt;0,AN336+1,0),0)</f>
        <v>0</v>
      </c>
      <c r="AP336" s="186">
        <f>IF(AP$2&lt;=AnalysisPeriod,IF(SUM($C649:AP649)&gt;0,AO336+1,0),0)</f>
        <v>0</v>
      </c>
    </row>
    <row r="337" spans="1:42">
      <c r="A337" s="37">
        <f>A336+1</f>
        <v>2</v>
      </c>
      <c r="C337" s="186">
        <f>IF(C$2&lt;=AnalysisPeriod,IF(SUM($C650:C650)&gt;0,B337+1,0),0)</f>
        <v>0</v>
      </c>
      <c r="D337" s="186">
        <f>IF(D$2&lt;=AnalysisPeriod,IF(SUM($C650:D650)&gt;0,C337+1,0),0)</f>
        <v>0</v>
      </c>
      <c r="E337" s="186">
        <f>IF(E$2&lt;=AnalysisPeriod,IF(SUM($C650:E650)&gt;0,D337+1,0),0)</f>
        <v>0</v>
      </c>
      <c r="F337" s="186">
        <f>IF(F$2&lt;=AnalysisPeriod,IF(SUM($C650:F650)&gt;0,E337+1,0),0)</f>
        <v>0</v>
      </c>
      <c r="G337" s="186">
        <f>IF(G$2&lt;=AnalysisPeriod,IF(SUM($C650:G650)&gt;0,F337+1,0),0)</f>
        <v>0</v>
      </c>
      <c r="H337" s="186">
        <f>IF(H$2&lt;=AnalysisPeriod,IF(SUM($C650:H650)&gt;0,G337+1,0),0)</f>
        <v>0</v>
      </c>
      <c r="I337" s="186">
        <f>IF(I$2&lt;=AnalysisPeriod,IF(SUM($C650:I650)&gt;0,H337+1,0),0)</f>
        <v>0</v>
      </c>
      <c r="J337" s="186">
        <f>IF(J$2&lt;=AnalysisPeriod,IF(SUM($C650:J650)&gt;0,I337+1,0),0)</f>
        <v>0</v>
      </c>
      <c r="K337" s="186">
        <f>IF(K$2&lt;=AnalysisPeriod,IF(SUM($C650:K650)&gt;0,J337+1,0),0)</f>
        <v>0</v>
      </c>
      <c r="L337" s="186">
        <f>IF(L$2&lt;=AnalysisPeriod,IF(SUM($C650:L650)&gt;0,K337+1,0),0)</f>
        <v>0</v>
      </c>
      <c r="M337" s="186">
        <f>IF(M$2&lt;=AnalysisPeriod,IF(SUM($C650:M650)&gt;0,L337+1,0),0)</f>
        <v>0</v>
      </c>
      <c r="N337" s="186">
        <f>IF(N$2&lt;=AnalysisPeriod,IF(SUM($C650:N650)&gt;0,M337+1,0),0)</f>
        <v>0</v>
      </c>
      <c r="O337" s="186">
        <f>IF(O$2&lt;=AnalysisPeriod,IF(SUM($C650:O650)&gt;0,N337+1,0),0)</f>
        <v>0</v>
      </c>
      <c r="P337" s="186">
        <f>IF(P$2&lt;=AnalysisPeriod,IF(SUM($C650:P650)&gt;0,O337+1,0),0)</f>
        <v>0</v>
      </c>
      <c r="Q337" s="186">
        <f>IF(Q$2&lt;=AnalysisPeriod,IF(SUM($C650:Q650)&gt;0,P337+1,0),0)</f>
        <v>0</v>
      </c>
      <c r="R337" s="186">
        <f>IF(R$2&lt;=AnalysisPeriod,IF(SUM($C650:R650)&gt;0,Q337+1,0),0)</f>
        <v>0</v>
      </c>
      <c r="S337" s="186">
        <f>IF(S$2&lt;=AnalysisPeriod,IF(SUM($C650:S650)&gt;0,R337+1,0),0)</f>
        <v>0</v>
      </c>
      <c r="T337" s="186">
        <f>IF(T$2&lt;=AnalysisPeriod,IF(SUM($C650:T650)&gt;0,S337+1,0),0)</f>
        <v>0</v>
      </c>
      <c r="U337" s="186">
        <f>IF(U$2&lt;=AnalysisPeriod,IF(SUM($C650:U650)&gt;0,T337+1,0),0)</f>
        <v>0</v>
      </c>
      <c r="V337" s="186">
        <f>IF(V$2&lt;=AnalysisPeriod,IF(SUM($C650:V650)&gt;0,U337+1,0),0)</f>
        <v>0</v>
      </c>
      <c r="W337" s="186">
        <f>IF(W$2&lt;=AnalysisPeriod,IF(SUM($C650:W650)&gt;0,V337+1,0),0)</f>
        <v>0</v>
      </c>
      <c r="X337" s="186">
        <f>IF(X$2&lt;=AnalysisPeriod,IF(SUM($C650:X650)&gt;0,W337+1,0),0)</f>
        <v>0</v>
      </c>
      <c r="Y337" s="186">
        <f>IF(Y$2&lt;=AnalysisPeriod,IF(SUM($C650:Y650)&gt;0,X337+1,0),0)</f>
        <v>0</v>
      </c>
      <c r="Z337" s="186">
        <f>IF(Z$2&lt;=AnalysisPeriod,IF(SUM($C650:Z650)&gt;0,Y337+1,0),0)</f>
        <v>1</v>
      </c>
      <c r="AA337" s="186">
        <f>IF(AA$2&lt;=AnalysisPeriod,IF(SUM($C650:AA650)&gt;0,Z337+1,0),0)</f>
        <v>2</v>
      </c>
      <c r="AB337" s="186">
        <f>IF(AB$2&lt;=AnalysisPeriod,IF(SUM($C650:AB650)&gt;0,AA337+1,0),0)</f>
        <v>3</v>
      </c>
      <c r="AC337" s="186">
        <f>IF(AC$2&lt;=AnalysisPeriod,IF(SUM($C650:AC650)&gt;0,AB337+1,0),0)</f>
        <v>4</v>
      </c>
      <c r="AD337" s="186">
        <f>IF(AD$2&lt;=AnalysisPeriod,IF(SUM($C650:AD650)&gt;0,AC337+1,0),0)</f>
        <v>5</v>
      </c>
      <c r="AE337" s="186">
        <f>IF(AE$2&lt;=AnalysisPeriod,IF(SUM($C650:AE650)&gt;0,AD337+1,0),0)</f>
        <v>6</v>
      </c>
      <c r="AF337" s="186">
        <f>IF(AF$2&lt;=AnalysisPeriod,IF(SUM($C650:AF650)&gt;0,AE337+1,0),0)</f>
        <v>7</v>
      </c>
      <c r="AG337" s="186">
        <f>IF(AG$2&lt;=AnalysisPeriod,IF(SUM($C650:AG650)&gt;0,AF337+1,0),0)</f>
        <v>0</v>
      </c>
      <c r="AH337" s="186">
        <f>IF(AH$2&lt;=AnalysisPeriod,IF(SUM($C650:AH650)&gt;0,AG337+1,0),0)</f>
        <v>0</v>
      </c>
      <c r="AI337" s="186">
        <f>IF(AI$2&lt;=AnalysisPeriod,IF(SUM($C650:AI650)&gt;0,AH337+1,0),0)</f>
        <v>0</v>
      </c>
      <c r="AJ337" s="186">
        <f>IF(AJ$2&lt;=AnalysisPeriod,IF(SUM($C650:AJ650)&gt;0,AI337+1,0),0)</f>
        <v>0</v>
      </c>
      <c r="AK337" s="186">
        <f>IF(AK$2&lt;=AnalysisPeriod,IF(SUM($C650:AK650)&gt;0,AJ337+1,0),0)</f>
        <v>0</v>
      </c>
      <c r="AL337" s="186">
        <f>IF(AL$2&lt;=AnalysisPeriod,IF(SUM($C650:AL650)&gt;0,AK337+1,0),0)</f>
        <v>0</v>
      </c>
      <c r="AM337" s="186">
        <f>IF(AM$2&lt;=AnalysisPeriod,IF(SUM($C650:AM650)&gt;0,AL337+1,0),0)</f>
        <v>0</v>
      </c>
      <c r="AN337" s="186">
        <f>IF(AN$2&lt;=AnalysisPeriod,IF(SUM($C650:AN650)&gt;0,AM337+1,0),0)</f>
        <v>0</v>
      </c>
      <c r="AO337" s="186">
        <f>IF(AO$2&lt;=AnalysisPeriod,IF(SUM($C650:AO650)&gt;0,AN337+1,0),0)</f>
        <v>0</v>
      </c>
      <c r="AP337" s="186">
        <f>IF(AP$2&lt;=AnalysisPeriod,IF(SUM($C650:AP650)&gt;0,AO337+1,0),0)</f>
        <v>0</v>
      </c>
    </row>
    <row r="338" spans="1:42">
      <c r="A338" s="37">
        <f t="shared" ref="A338:A345" si="888">A337+1</f>
        <v>3</v>
      </c>
      <c r="C338" s="186">
        <f>IF(C$2&lt;=AnalysisPeriod,IF(SUM($C651:C651)&gt;0,B338+1,0),0)</f>
        <v>0</v>
      </c>
      <c r="D338" s="186">
        <f>IF(D$2&lt;=AnalysisPeriod,IF(SUM($C651:D651)&gt;0,C338+1,0),0)</f>
        <v>0</v>
      </c>
      <c r="E338" s="186">
        <f>IF(E$2&lt;=AnalysisPeriod,IF(SUM($C651:E651)&gt;0,D338+1,0),0)</f>
        <v>0</v>
      </c>
      <c r="F338" s="186">
        <f>IF(F$2&lt;=AnalysisPeriod,IF(SUM($C651:F651)&gt;0,E338+1,0),0)</f>
        <v>0</v>
      </c>
      <c r="G338" s="186">
        <f>IF(G$2&lt;=AnalysisPeriod,IF(SUM($C651:G651)&gt;0,F338+1,0),0)</f>
        <v>0</v>
      </c>
      <c r="H338" s="186">
        <f>IF(H$2&lt;=AnalysisPeriod,IF(SUM($C651:H651)&gt;0,G338+1,0),0)</f>
        <v>0</v>
      </c>
      <c r="I338" s="186">
        <f>IF(I$2&lt;=AnalysisPeriod,IF(SUM($C651:I651)&gt;0,H338+1,0),0)</f>
        <v>0</v>
      </c>
      <c r="J338" s="186">
        <f>IF(J$2&lt;=AnalysisPeriod,IF(SUM($C651:J651)&gt;0,I338+1,0),0)</f>
        <v>0</v>
      </c>
      <c r="K338" s="186">
        <f>IF(K$2&lt;=AnalysisPeriod,IF(SUM($C651:K651)&gt;0,J338+1,0),0)</f>
        <v>0</v>
      </c>
      <c r="L338" s="186">
        <f>IF(L$2&lt;=AnalysisPeriod,IF(SUM($C651:L651)&gt;0,K338+1,0),0)</f>
        <v>0</v>
      </c>
      <c r="M338" s="186">
        <f>IF(M$2&lt;=AnalysisPeriod,IF(SUM($C651:M651)&gt;0,L338+1,0),0)</f>
        <v>0</v>
      </c>
      <c r="N338" s="186">
        <f>IF(N$2&lt;=AnalysisPeriod,IF(SUM($C651:N651)&gt;0,M338+1,0),0)</f>
        <v>0</v>
      </c>
      <c r="O338" s="186">
        <f>IF(O$2&lt;=AnalysisPeriod,IF(SUM($C651:O651)&gt;0,N338+1,0),0)</f>
        <v>0</v>
      </c>
      <c r="P338" s="186">
        <f>IF(P$2&lt;=AnalysisPeriod,IF(SUM($C651:P651)&gt;0,O338+1,0),0)</f>
        <v>0</v>
      </c>
      <c r="Q338" s="186">
        <f>IF(Q$2&lt;=AnalysisPeriod,IF(SUM($C651:Q651)&gt;0,P338+1,0),0)</f>
        <v>0</v>
      </c>
      <c r="R338" s="186">
        <f>IF(R$2&lt;=AnalysisPeriod,IF(SUM($C651:R651)&gt;0,Q338+1,0),0)</f>
        <v>0</v>
      </c>
      <c r="S338" s="186">
        <f>IF(S$2&lt;=AnalysisPeriod,IF(SUM($C651:S651)&gt;0,R338+1,0),0)</f>
        <v>0</v>
      </c>
      <c r="T338" s="186">
        <f>IF(T$2&lt;=AnalysisPeriod,IF(SUM($C651:T651)&gt;0,S338+1,0),0)</f>
        <v>0</v>
      </c>
      <c r="U338" s="186">
        <f>IF(U$2&lt;=AnalysisPeriod,IF(SUM($C651:U651)&gt;0,T338+1,0),0)</f>
        <v>0</v>
      </c>
      <c r="V338" s="186">
        <f>IF(V$2&lt;=AnalysisPeriod,IF(SUM($C651:V651)&gt;0,U338+1,0),0)</f>
        <v>0</v>
      </c>
      <c r="W338" s="186">
        <f>IF(W$2&lt;=AnalysisPeriod,IF(SUM($C651:W651)&gt;0,V338+1,0),0)</f>
        <v>0</v>
      </c>
      <c r="X338" s="186">
        <f>IF(X$2&lt;=AnalysisPeriod,IF(SUM($C651:X651)&gt;0,W338+1,0),0)</f>
        <v>0</v>
      </c>
      <c r="Y338" s="186">
        <f>IF(Y$2&lt;=AnalysisPeriod,IF(SUM($C651:Y651)&gt;0,X338+1,0),0)</f>
        <v>0</v>
      </c>
      <c r="Z338" s="186">
        <f>IF(Z$2&lt;=AnalysisPeriod,IF(SUM($C651:Z651)&gt;0,Y338+1,0),0)</f>
        <v>0</v>
      </c>
      <c r="AA338" s="186">
        <f>IF(AA$2&lt;=AnalysisPeriod,IF(SUM($C651:AA651)&gt;0,Z338+1,0),0)</f>
        <v>0</v>
      </c>
      <c r="AB338" s="186">
        <f>IF(AB$2&lt;=AnalysisPeriod,IF(SUM($C651:AB651)&gt;0,AA338+1,0),0)</f>
        <v>0</v>
      </c>
      <c r="AC338" s="186">
        <f>IF(AC$2&lt;=AnalysisPeriod,IF(SUM($C651:AC651)&gt;0,AB338+1,0),0)</f>
        <v>0</v>
      </c>
      <c r="AD338" s="186">
        <f>IF(AD$2&lt;=AnalysisPeriod,IF(SUM($C651:AD651)&gt;0,AC338+1,0),0)</f>
        <v>0</v>
      </c>
      <c r="AE338" s="186">
        <f>IF(AE$2&lt;=AnalysisPeriod,IF(SUM($C651:AE651)&gt;0,AD338+1,0),0)</f>
        <v>0</v>
      </c>
      <c r="AF338" s="186">
        <f>IF(AF$2&lt;=AnalysisPeriod,IF(SUM($C651:AF651)&gt;0,AE338+1,0),0)</f>
        <v>0</v>
      </c>
      <c r="AG338" s="186">
        <f>IF(AG$2&lt;=AnalysisPeriod,IF(SUM($C651:AG651)&gt;0,AF338+1,0),0)</f>
        <v>0</v>
      </c>
      <c r="AH338" s="186">
        <f>IF(AH$2&lt;=AnalysisPeriod,IF(SUM($C651:AH651)&gt;0,AG338+1,0),0)</f>
        <v>0</v>
      </c>
      <c r="AI338" s="186">
        <f>IF(AI$2&lt;=AnalysisPeriod,IF(SUM($C651:AI651)&gt;0,AH338+1,0),0)</f>
        <v>0</v>
      </c>
      <c r="AJ338" s="186">
        <f>IF(AJ$2&lt;=AnalysisPeriod,IF(SUM($C651:AJ651)&gt;0,AI338+1,0),0)</f>
        <v>0</v>
      </c>
      <c r="AK338" s="186">
        <f>IF(AK$2&lt;=AnalysisPeriod,IF(SUM($C651:AK651)&gt;0,AJ338+1,0),0)</f>
        <v>0</v>
      </c>
      <c r="AL338" s="186">
        <f>IF(AL$2&lt;=AnalysisPeriod,IF(SUM($C651:AL651)&gt;0,AK338+1,0),0)</f>
        <v>0</v>
      </c>
      <c r="AM338" s="186">
        <f>IF(AM$2&lt;=AnalysisPeriod,IF(SUM($C651:AM651)&gt;0,AL338+1,0),0)</f>
        <v>0</v>
      </c>
      <c r="AN338" s="186">
        <f>IF(AN$2&lt;=AnalysisPeriod,IF(SUM($C651:AN651)&gt;0,AM338+1,0),0)</f>
        <v>0</v>
      </c>
      <c r="AO338" s="186">
        <f>IF(AO$2&lt;=AnalysisPeriod,IF(SUM($C651:AO651)&gt;0,AN338+1,0),0)</f>
        <v>0</v>
      </c>
      <c r="AP338" s="186">
        <f>IF(AP$2&lt;=AnalysisPeriod,IF(SUM($C651:AP651)&gt;0,AO338+1,0),0)</f>
        <v>0</v>
      </c>
    </row>
    <row r="339" spans="1:42">
      <c r="A339" s="37">
        <f t="shared" si="888"/>
        <v>4</v>
      </c>
      <c r="C339" s="186">
        <f>IF(C$2&lt;=AnalysisPeriod,IF(SUM($C652:C652)&gt;0,B339+1,0),0)</f>
        <v>0</v>
      </c>
      <c r="D339" s="186">
        <f>IF(D$2&lt;=AnalysisPeriod,IF(SUM($C652:D652)&gt;0,C339+1,0),0)</f>
        <v>0</v>
      </c>
      <c r="E339" s="186">
        <f>IF(E$2&lt;=AnalysisPeriod,IF(SUM($C652:E652)&gt;0,D339+1,0),0)</f>
        <v>0</v>
      </c>
      <c r="F339" s="186">
        <f>IF(F$2&lt;=AnalysisPeriod,IF(SUM($C652:F652)&gt;0,E339+1,0),0)</f>
        <v>0</v>
      </c>
      <c r="G339" s="186">
        <f>IF(G$2&lt;=AnalysisPeriod,IF(SUM($C652:G652)&gt;0,F339+1,0),0)</f>
        <v>0</v>
      </c>
      <c r="H339" s="186">
        <f>IF(H$2&lt;=AnalysisPeriod,IF(SUM($C652:H652)&gt;0,G339+1,0),0)</f>
        <v>0</v>
      </c>
      <c r="I339" s="186">
        <f>IF(I$2&lt;=AnalysisPeriod,IF(SUM($C652:I652)&gt;0,H339+1,0),0)</f>
        <v>0</v>
      </c>
      <c r="J339" s="186">
        <f>IF(J$2&lt;=AnalysisPeriod,IF(SUM($C652:J652)&gt;0,I339+1,0),0)</f>
        <v>0</v>
      </c>
      <c r="K339" s="186">
        <f>IF(K$2&lt;=AnalysisPeriod,IF(SUM($C652:K652)&gt;0,J339+1,0),0)</f>
        <v>0</v>
      </c>
      <c r="L339" s="186">
        <f>IF(L$2&lt;=AnalysisPeriod,IF(SUM($C652:L652)&gt;0,K339+1,0),0)</f>
        <v>0</v>
      </c>
      <c r="M339" s="186">
        <f>IF(M$2&lt;=AnalysisPeriod,IF(SUM($C652:M652)&gt;0,L339+1,0),0)</f>
        <v>0</v>
      </c>
      <c r="N339" s="186">
        <f>IF(N$2&lt;=AnalysisPeriod,IF(SUM($C652:N652)&gt;0,M339+1,0),0)</f>
        <v>0</v>
      </c>
      <c r="O339" s="186">
        <f>IF(O$2&lt;=AnalysisPeriod,IF(SUM($C652:O652)&gt;0,N339+1,0),0)</f>
        <v>0</v>
      </c>
      <c r="P339" s="186">
        <f>IF(P$2&lt;=AnalysisPeriod,IF(SUM($C652:P652)&gt;0,O339+1,0),0)</f>
        <v>0</v>
      </c>
      <c r="Q339" s="186">
        <f>IF(Q$2&lt;=AnalysisPeriod,IF(SUM($C652:Q652)&gt;0,P339+1,0),0)</f>
        <v>0</v>
      </c>
      <c r="R339" s="186">
        <f>IF(R$2&lt;=AnalysisPeriod,IF(SUM($C652:R652)&gt;0,Q339+1,0),0)</f>
        <v>0</v>
      </c>
      <c r="S339" s="186">
        <f>IF(S$2&lt;=AnalysisPeriod,IF(SUM($C652:S652)&gt;0,R339+1,0),0)</f>
        <v>0</v>
      </c>
      <c r="T339" s="186">
        <f>IF(T$2&lt;=AnalysisPeriod,IF(SUM($C652:T652)&gt;0,S339+1,0),0)</f>
        <v>0</v>
      </c>
      <c r="U339" s="186">
        <f>IF(U$2&lt;=AnalysisPeriod,IF(SUM($C652:U652)&gt;0,T339+1,0),0)</f>
        <v>0</v>
      </c>
      <c r="V339" s="186">
        <f>IF(V$2&lt;=AnalysisPeriod,IF(SUM($C652:V652)&gt;0,U339+1,0),0)</f>
        <v>0</v>
      </c>
      <c r="W339" s="186">
        <f>IF(W$2&lt;=AnalysisPeriod,IF(SUM($C652:W652)&gt;0,V339+1,0),0)</f>
        <v>0</v>
      </c>
      <c r="X339" s="186">
        <f>IF(X$2&lt;=AnalysisPeriod,IF(SUM($C652:X652)&gt;0,W339+1,0),0)</f>
        <v>0</v>
      </c>
      <c r="Y339" s="186">
        <f>IF(Y$2&lt;=AnalysisPeriod,IF(SUM($C652:Y652)&gt;0,X339+1,0),0)</f>
        <v>0</v>
      </c>
      <c r="Z339" s="186">
        <f>IF(Z$2&lt;=AnalysisPeriod,IF(SUM($C652:Z652)&gt;0,Y339+1,0),0)</f>
        <v>0</v>
      </c>
      <c r="AA339" s="186">
        <f>IF(AA$2&lt;=AnalysisPeriod,IF(SUM($C652:AA652)&gt;0,Z339+1,0),0)</f>
        <v>0</v>
      </c>
      <c r="AB339" s="186">
        <f>IF(AB$2&lt;=AnalysisPeriod,IF(SUM($C652:AB652)&gt;0,AA339+1,0),0)</f>
        <v>0</v>
      </c>
      <c r="AC339" s="186">
        <f>IF(AC$2&lt;=AnalysisPeriod,IF(SUM($C652:AC652)&gt;0,AB339+1,0),0)</f>
        <v>0</v>
      </c>
      <c r="AD339" s="186">
        <f>IF(AD$2&lt;=AnalysisPeriod,IF(SUM($C652:AD652)&gt;0,AC339+1,0),0)</f>
        <v>0</v>
      </c>
      <c r="AE339" s="186">
        <f>IF(AE$2&lt;=AnalysisPeriod,IF(SUM($C652:AE652)&gt;0,AD339+1,0),0)</f>
        <v>0</v>
      </c>
      <c r="AF339" s="186">
        <f>IF(AF$2&lt;=AnalysisPeriod,IF(SUM($C652:AF652)&gt;0,AE339+1,0),0)</f>
        <v>0</v>
      </c>
      <c r="AG339" s="186">
        <f>IF(AG$2&lt;=AnalysisPeriod,IF(SUM($C652:AG652)&gt;0,AF339+1,0),0)</f>
        <v>0</v>
      </c>
      <c r="AH339" s="186">
        <f>IF(AH$2&lt;=AnalysisPeriod,IF(SUM($C652:AH652)&gt;0,AG339+1,0),0)</f>
        <v>0</v>
      </c>
      <c r="AI339" s="186">
        <f>IF(AI$2&lt;=AnalysisPeriod,IF(SUM($C652:AI652)&gt;0,AH339+1,0),0)</f>
        <v>0</v>
      </c>
      <c r="AJ339" s="186">
        <f>IF(AJ$2&lt;=AnalysisPeriod,IF(SUM($C652:AJ652)&gt;0,AI339+1,0),0)</f>
        <v>0</v>
      </c>
      <c r="AK339" s="186">
        <f>IF(AK$2&lt;=AnalysisPeriod,IF(SUM($C652:AK652)&gt;0,AJ339+1,0),0)</f>
        <v>0</v>
      </c>
      <c r="AL339" s="186">
        <f>IF(AL$2&lt;=AnalysisPeriod,IF(SUM($C652:AL652)&gt;0,AK339+1,0),0)</f>
        <v>0</v>
      </c>
      <c r="AM339" s="186">
        <f>IF(AM$2&lt;=AnalysisPeriod,IF(SUM($C652:AM652)&gt;0,AL339+1,0),0)</f>
        <v>0</v>
      </c>
      <c r="AN339" s="186">
        <f>IF(AN$2&lt;=AnalysisPeriod,IF(SUM($C652:AN652)&gt;0,AM339+1,0),0)</f>
        <v>0</v>
      </c>
      <c r="AO339" s="186">
        <f>IF(AO$2&lt;=AnalysisPeriod,IF(SUM($C652:AO652)&gt;0,AN339+1,0),0)</f>
        <v>0</v>
      </c>
      <c r="AP339" s="186">
        <f>IF(AP$2&lt;=AnalysisPeriod,IF(SUM($C652:AP652)&gt;0,AO339+1,0),0)</f>
        <v>0</v>
      </c>
    </row>
    <row r="340" spans="1:42">
      <c r="A340" s="37">
        <f t="shared" si="888"/>
        <v>5</v>
      </c>
      <c r="C340" s="186">
        <f>IF(C$2&lt;=AnalysisPeriod,IF(SUM($C653:C653)&gt;0,B340+1,0),0)</f>
        <v>0</v>
      </c>
      <c r="D340" s="186">
        <f>IF(D$2&lt;=AnalysisPeriod,IF(SUM($C653:D653)&gt;0,C340+1,0),0)</f>
        <v>0</v>
      </c>
      <c r="E340" s="186">
        <f>IF(E$2&lt;=AnalysisPeriod,IF(SUM($C653:E653)&gt;0,D340+1,0),0)</f>
        <v>0</v>
      </c>
      <c r="F340" s="186">
        <f>IF(F$2&lt;=AnalysisPeriod,IF(SUM($C653:F653)&gt;0,E340+1,0),0)</f>
        <v>0</v>
      </c>
      <c r="G340" s="186">
        <f>IF(G$2&lt;=AnalysisPeriod,IF(SUM($C653:G653)&gt;0,F340+1,0),0)</f>
        <v>0</v>
      </c>
      <c r="H340" s="186">
        <f>IF(H$2&lt;=AnalysisPeriod,IF(SUM($C653:H653)&gt;0,G340+1,0),0)</f>
        <v>0</v>
      </c>
      <c r="I340" s="186">
        <f>IF(I$2&lt;=AnalysisPeriod,IF(SUM($C653:I653)&gt;0,H340+1,0),0)</f>
        <v>0</v>
      </c>
      <c r="J340" s="186">
        <f>IF(J$2&lt;=AnalysisPeriod,IF(SUM($C653:J653)&gt;0,I340+1,0),0)</f>
        <v>0</v>
      </c>
      <c r="K340" s="186">
        <f>IF(K$2&lt;=AnalysisPeriod,IF(SUM($C653:K653)&gt;0,J340+1,0),0)</f>
        <v>0</v>
      </c>
      <c r="L340" s="186">
        <f>IF(L$2&lt;=AnalysisPeriod,IF(SUM($C653:L653)&gt;0,K340+1,0),0)</f>
        <v>0</v>
      </c>
      <c r="M340" s="186">
        <f>IF(M$2&lt;=AnalysisPeriod,IF(SUM($C653:M653)&gt;0,L340+1,0),0)</f>
        <v>0</v>
      </c>
      <c r="N340" s="186">
        <f>IF(N$2&lt;=AnalysisPeriod,IF(SUM($C653:N653)&gt;0,M340+1,0),0)</f>
        <v>0</v>
      </c>
      <c r="O340" s="186">
        <f>IF(O$2&lt;=AnalysisPeriod,IF(SUM($C653:O653)&gt;0,N340+1,0),0)</f>
        <v>0</v>
      </c>
      <c r="P340" s="186">
        <f>IF(P$2&lt;=AnalysisPeriod,IF(SUM($C653:P653)&gt;0,O340+1,0),0)</f>
        <v>0</v>
      </c>
      <c r="Q340" s="186">
        <f>IF(Q$2&lt;=AnalysisPeriod,IF(SUM($C653:Q653)&gt;0,P340+1,0),0)</f>
        <v>0</v>
      </c>
      <c r="R340" s="186">
        <f>IF(R$2&lt;=AnalysisPeriod,IF(SUM($C653:R653)&gt;0,Q340+1,0),0)</f>
        <v>0</v>
      </c>
      <c r="S340" s="186">
        <f>IF(S$2&lt;=AnalysisPeriod,IF(SUM($C653:S653)&gt;0,R340+1,0),0)</f>
        <v>0</v>
      </c>
      <c r="T340" s="186">
        <f>IF(T$2&lt;=AnalysisPeriod,IF(SUM($C653:T653)&gt;0,S340+1,0),0)</f>
        <v>0</v>
      </c>
      <c r="U340" s="186">
        <f>IF(U$2&lt;=AnalysisPeriod,IF(SUM($C653:U653)&gt;0,T340+1,0),0)</f>
        <v>0</v>
      </c>
      <c r="V340" s="186">
        <f>IF(V$2&lt;=AnalysisPeriod,IF(SUM($C653:V653)&gt;0,U340+1,0),0)</f>
        <v>0</v>
      </c>
      <c r="W340" s="186">
        <f>IF(W$2&lt;=AnalysisPeriod,IF(SUM($C653:W653)&gt;0,V340+1,0),0)</f>
        <v>0</v>
      </c>
      <c r="X340" s="186">
        <f>IF(X$2&lt;=AnalysisPeriod,IF(SUM($C653:X653)&gt;0,W340+1,0),0)</f>
        <v>0</v>
      </c>
      <c r="Y340" s="186">
        <f>IF(Y$2&lt;=AnalysisPeriod,IF(SUM($C653:Y653)&gt;0,X340+1,0),0)</f>
        <v>0</v>
      </c>
      <c r="Z340" s="186">
        <f>IF(Z$2&lt;=AnalysisPeriod,IF(SUM($C653:Z653)&gt;0,Y340+1,0),0)</f>
        <v>0</v>
      </c>
      <c r="AA340" s="186">
        <f>IF(AA$2&lt;=AnalysisPeriod,IF(SUM($C653:AA653)&gt;0,Z340+1,0),0)</f>
        <v>0</v>
      </c>
      <c r="AB340" s="186">
        <f>IF(AB$2&lt;=AnalysisPeriod,IF(SUM($C653:AB653)&gt;0,AA340+1,0),0)</f>
        <v>0</v>
      </c>
      <c r="AC340" s="186">
        <f>IF(AC$2&lt;=AnalysisPeriod,IF(SUM($C653:AC653)&gt;0,AB340+1,0),0)</f>
        <v>0</v>
      </c>
      <c r="AD340" s="186">
        <f>IF(AD$2&lt;=AnalysisPeriod,IF(SUM($C653:AD653)&gt;0,AC340+1,0),0)</f>
        <v>0</v>
      </c>
      <c r="AE340" s="186">
        <f>IF(AE$2&lt;=AnalysisPeriod,IF(SUM($C653:AE653)&gt;0,AD340+1,0),0)</f>
        <v>0</v>
      </c>
      <c r="AF340" s="186">
        <f>IF(AF$2&lt;=AnalysisPeriod,IF(SUM($C653:AF653)&gt;0,AE340+1,0),0)</f>
        <v>0</v>
      </c>
      <c r="AG340" s="186">
        <f>IF(AG$2&lt;=AnalysisPeriod,IF(SUM($C653:AG653)&gt;0,AF340+1,0),0)</f>
        <v>0</v>
      </c>
      <c r="AH340" s="186">
        <f>IF(AH$2&lt;=AnalysisPeriod,IF(SUM($C653:AH653)&gt;0,AG340+1,0),0)</f>
        <v>0</v>
      </c>
      <c r="AI340" s="186">
        <f>IF(AI$2&lt;=AnalysisPeriod,IF(SUM($C653:AI653)&gt;0,AH340+1,0),0)</f>
        <v>0</v>
      </c>
      <c r="AJ340" s="186">
        <f>IF(AJ$2&lt;=AnalysisPeriod,IF(SUM($C653:AJ653)&gt;0,AI340+1,0),0)</f>
        <v>0</v>
      </c>
      <c r="AK340" s="186">
        <f>IF(AK$2&lt;=AnalysisPeriod,IF(SUM($C653:AK653)&gt;0,AJ340+1,0),0)</f>
        <v>0</v>
      </c>
      <c r="AL340" s="186">
        <f>IF(AL$2&lt;=AnalysisPeriod,IF(SUM($C653:AL653)&gt;0,AK340+1,0),0)</f>
        <v>0</v>
      </c>
      <c r="AM340" s="186">
        <f>IF(AM$2&lt;=AnalysisPeriod,IF(SUM($C653:AM653)&gt;0,AL340+1,0),0)</f>
        <v>0</v>
      </c>
      <c r="AN340" s="186">
        <f>IF(AN$2&lt;=AnalysisPeriod,IF(SUM($C653:AN653)&gt;0,AM340+1,0),0)</f>
        <v>0</v>
      </c>
      <c r="AO340" s="186">
        <f>IF(AO$2&lt;=AnalysisPeriod,IF(SUM($C653:AO653)&gt;0,AN340+1,0),0)</f>
        <v>0</v>
      </c>
      <c r="AP340" s="186">
        <f>IF(AP$2&lt;=AnalysisPeriod,IF(SUM($C653:AP653)&gt;0,AO340+1,0),0)</f>
        <v>0</v>
      </c>
    </row>
    <row r="341" spans="1:42">
      <c r="A341" s="37">
        <f t="shared" si="888"/>
        <v>6</v>
      </c>
      <c r="C341" s="186">
        <f>IF(C$2&lt;=AnalysisPeriod,IF(SUM($C654:C654)&gt;0,B341+1,0),0)</f>
        <v>0</v>
      </c>
      <c r="D341" s="186">
        <f>IF(D$2&lt;=AnalysisPeriod,IF(SUM($C654:D654)&gt;0,C341+1,0),0)</f>
        <v>0</v>
      </c>
      <c r="E341" s="186">
        <f>IF(E$2&lt;=AnalysisPeriod,IF(SUM($C654:E654)&gt;0,D341+1,0),0)</f>
        <v>0</v>
      </c>
      <c r="F341" s="186">
        <f>IF(F$2&lt;=AnalysisPeriod,IF(SUM($C654:F654)&gt;0,E341+1,0),0)</f>
        <v>0</v>
      </c>
      <c r="G341" s="186">
        <f>IF(G$2&lt;=AnalysisPeriod,IF(SUM($C654:G654)&gt;0,F341+1,0),0)</f>
        <v>0</v>
      </c>
      <c r="H341" s="186">
        <f>IF(H$2&lt;=AnalysisPeriod,IF(SUM($C654:H654)&gt;0,G341+1,0),0)</f>
        <v>0</v>
      </c>
      <c r="I341" s="186">
        <f>IF(I$2&lt;=AnalysisPeriod,IF(SUM($C654:I654)&gt;0,H341+1,0),0)</f>
        <v>0</v>
      </c>
      <c r="J341" s="186">
        <f>IF(J$2&lt;=AnalysisPeriod,IF(SUM($C654:J654)&gt;0,I341+1,0),0)</f>
        <v>0</v>
      </c>
      <c r="K341" s="186">
        <f>IF(K$2&lt;=AnalysisPeriod,IF(SUM($C654:K654)&gt;0,J341+1,0),0)</f>
        <v>0</v>
      </c>
      <c r="L341" s="186">
        <f>IF(L$2&lt;=AnalysisPeriod,IF(SUM($C654:L654)&gt;0,K341+1,0),0)</f>
        <v>0</v>
      </c>
      <c r="M341" s="186">
        <f>IF(M$2&lt;=AnalysisPeriod,IF(SUM($C654:M654)&gt;0,L341+1,0),0)</f>
        <v>0</v>
      </c>
      <c r="N341" s="186">
        <f>IF(N$2&lt;=AnalysisPeriod,IF(SUM($C654:N654)&gt;0,M341+1,0),0)</f>
        <v>0</v>
      </c>
      <c r="O341" s="186">
        <f>IF(O$2&lt;=AnalysisPeriod,IF(SUM($C654:O654)&gt;0,N341+1,0),0)</f>
        <v>0</v>
      </c>
      <c r="P341" s="186">
        <f>IF(P$2&lt;=AnalysisPeriod,IF(SUM($C654:P654)&gt;0,O341+1,0),0)</f>
        <v>0</v>
      </c>
      <c r="Q341" s="186">
        <f>IF(Q$2&lt;=AnalysisPeriod,IF(SUM($C654:Q654)&gt;0,P341+1,0),0)</f>
        <v>0</v>
      </c>
      <c r="R341" s="186">
        <f>IF(R$2&lt;=AnalysisPeriod,IF(SUM($C654:R654)&gt;0,Q341+1,0),0)</f>
        <v>0</v>
      </c>
      <c r="S341" s="186">
        <f>IF(S$2&lt;=AnalysisPeriod,IF(SUM($C654:S654)&gt;0,R341+1,0),0)</f>
        <v>0</v>
      </c>
      <c r="T341" s="186">
        <f>IF(T$2&lt;=AnalysisPeriod,IF(SUM($C654:T654)&gt;0,S341+1,0),0)</f>
        <v>0</v>
      </c>
      <c r="U341" s="186">
        <f>IF(U$2&lt;=AnalysisPeriod,IF(SUM($C654:U654)&gt;0,T341+1,0),0)</f>
        <v>0</v>
      </c>
      <c r="V341" s="186">
        <f>IF(V$2&lt;=AnalysisPeriod,IF(SUM($C654:V654)&gt;0,U341+1,0),0)</f>
        <v>0</v>
      </c>
      <c r="W341" s="186">
        <f>IF(W$2&lt;=AnalysisPeriod,IF(SUM($C654:W654)&gt;0,V341+1,0),0)</f>
        <v>0</v>
      </c>
      <c r="X341" s="186">
        <f>IF(X$2&lt;=AnalysisPeriod,IF(SUM($C654:X654)&gt;0,W341+1,0),0)</f>
        <v>0</v>
      </c>
      <c r="Y341" s="186">
        <f>IF(Y$2&lt;=AnalysisPeriod,IF(SUM($C654:Y654)&gt;0,X341+1,0),0)</f>
        <v>0</v>
      </c>
      <c r="Z341" s="186">
        <f>IF(Z$2&lt;=AnalysisPeriod,IF(SUM($C654:Z654)&gt;0,Y341+1,0),0)</f>
        <v>0</v>
      </c>
      <c r="AA341" s="186">
        <f>IF(AA$2&lt;=AnalysisPeriod,IF(SUM($C654:AA654)&gt;0,Z341+1,0),0)</f>
        <v>0</v>
      </c>
      <c r="AB341" s="186">
        <f>IF(AB$2&lt;=AnalysisPeriod,IF(SUM($C654:AB654)&gt;0,AA341+1,0),0)</f>
        <v>0</v>
      </c>
      <c r="AC341" s="186">
        <f>IF(AC$2&lt;=AnalysisPeriod,IF(SUM($C654:AC654)&gt;0,AB341+1,0),0)</f>
        <v>0</v>
      </c>
      <c r="AD341" s="186">
        <f>IF(AD$2&lt;=AnalysisPeriod,IF(SUM($C654:AD654)&gt;0,AC341+1,0),0)</f>
        <v>0</v>
      </c>
      <c r="AE341" s="186">
        <f>IF(AE$2&lt;=AnalysisPeriod,IF(SUM($C654:AE654)&gt;0,AD341+1,0),0)</f>
        <v>0</v>
      </c>
      <c r="AF341" s="186">
        <f>IF(AF$2&lt;=AnalysisPeriod,IF(SUM($C654:AF654)&gt;0,AE341+1,0),0)</f>
        <v>0</v>
      </c>
      <c r="AG341" s="186">
        <f>IF(AG$2&lt;=AnalysisPeriod,IF(SUM($C654:AG654)&gt;0,AF341+1,0),0)</f>
        <v>0</v>
      </c>
      <c r="AH341" s="186">
        <f>IF(AH$2&lt;=AnalysisPeriod,IF(SUM($C654:AH654)&gt;0,AG341+1,0),0)</f>
        <v>0</v>
      </c>
      <c r="AI341" s="186">
        <f>IF(AI$2&lt;=AnalysisPeriod,IF(SUM($C654:AI654)&gt;0,AH341+1,0),0)</f>
        <v>0</v>
      </c>
      <c r="AJ341" s="186">
        <f>IF(AJ$2&lt;=AnalysisPeriod,IF(SUM($C654:AJ654)&gt;0,AI341+1,0),0)</f>
        <v>0</v>
      </c>
      <c r="AK341" s="186">
        <f>IF(AK$2&lt;=AnalysisPeriod,IF(SUM($C654:AK654)&gt;0,AJ341+1,0),0)</f>
        <v>0</v>
      </c>
      <c r="AL341" s="186">
        <f>IF(AL$2&lt;=AnalysisPeriod,IF(SUM($C654:AL654)&gt;0,AK341+1,0),0)</f>
        <v>0</v>
      </c>
      <c r="AM341" s="186">
        <f>IF(AM$2&lt;=AnalysisPeriod,IF(SUM($C654:AM654)&gt;0,AL341+1,0),0)</f>
        <v>0</v>
      </c>
      <c r="AN341" s="186">
        <f>IF(AN$2&lt;=AnalysisPeriod,IF(SUM($C654:AN654)&gt;0,AM341+1,0),0)</f>
        <v>0</v>
      </c>
      <c r="AO341" s="186">
        <f>IF(AO$2&lt;=AnalysisPeriod,IF(SUM($C654:AO654)&gt;0,AN341+1,0),0)</f>
        <v>0</v>
      </c>
      <c r="AP341" s="186">
        <f>IF(AP$2&lt;=AnalysisPeriod,IF(SUM($C654:AP654)&gt;0,AO341+1,0),0)</f>
        <v>0</v>
      </c>
    </row>
    <row r="342" spans="1:42">
      <c r="A342" s="37">
        <f t="shared" si="888"/>
        <v>7</v>
      </c>
      <c r="C342" s="186">
        <f>IF(C$2&lt;=AnalysisPeriod,IF(SUM($C655:C655)&gt;0,B342+1,0),0)</f>
        <v>0</v>
      </c>
      <c r="D342" s="186">
        <f>IF(D$2&lt;=AnalysisPeriod,IF(SUM($C655:D655)&gt;0,C342+1,0),0)</f>
        <v>0</v>
      </c>
      <c r="E342" s="186">
        <f>IF(E$2&lt;=AnalysisPeriod,IF(SUM($C655:E655)&gt;0,D342+1,0),0)</f>
        <v>0</v>
      </c>
      <c r="F342" s="186">
        <f>IF(F$2&lt;=AnalysisPeriod,IF(SUM($C655:F655)&gt;0,E342+1,0),0)</f>
        <v>0</v>
      </c>
      <c r="G342" s="186">
        <f>IF(G$2&lt;=AnalysisPeriod,IF(SUM($C655:G655)&gt;0,F342+1,0),0)</f>
        <v>0</v>
      </c>
      <c r="H342" s="186">
        <f>IF(H$2&lt;=AnalysisPeriod,IF(SUM($C655:H655)&gt;0,G342+1,0),0)</f>
        <v>0</v>
      </c>
      <c r="I342" s="186">
        <f>IF(I$2&lt;=AnalysisPeriod,IF(SUM($C655:I655)&gt;0,H342+1,0),0)</f>
        <v>0</v>
      </c>
      <c r="J342" s="186">
        <f>IF(J$2&lt;=AnalysisPeriod,IF(SUM($C655:J655)&gt;0,I342+1,0),0)</f>
        <v>0</v>
      </c>
      <c r="K342" s="186">
        <f>IF(K$2&lt;=AnalysisPeriod,IF(SUM($C655:K655)&gt;0,J342+1,0),0)</f>
        <v>0</v>
      </c>
      <c r="L342" s="186">
        <f>IF(L$2&lt;=AnalysisPeriod,IF(SUM($C655:L655)&gt;0,K342+1,0),0)</f>
        <v>0</v>
      </c>
      <c r="M342" s="186">
        <f>IF(M$2&lt;=AnalysisPeriod,IF(SUM($C655:M655)&gt;0,L342+1,0),0)</f>
        <v>0</v>
      </c>
      <c r="N342" s="186">
        <f>IF(N$2&lt;=AnalysisPeriod,IF(SUM($C655:N655)&gt;0,M342+1,0),0)</f>
        <v>0</v>
      </c>
      <c r="O342" s="186">
        <f>IF(O$2&lt;=AnalysisPeriod,IF(SUM($C655:O655)&gt;0,N342+1,0),0)</f>
        <v>0</v>
      </c>
      <c r="P342" s="186">
        <f>IF(P$2&lt;=AnalysisPeriod,IF(SUM($C655:P655)&gt;0,O342+1,0),0)</f>
        <v>0</v>
      </c>
      <c r="Q342" s="186">
        <f>IF(Q$2&lt;=AnalysisPeriod,IF(SUM($C655:Q655)&gt;0,P342+1,0),0)</f>
        <v>0</v>
      </c>
      <c r="R342" s="186">
        <f>IF(R$2&lt;=AnalysisPeriod,IF(SUM($C655:R655)&gt;0,Q342+1,0),0)</f>
        <v>0</v>
      </c>
      <c r="S342" s="186">
        <f>IF(S$2&lt;=AnalysisPeriod,IF(SUM($C655:S655)&gt;0,R342+1,0),0)</f>
        <v>0</v>
      </c>
      <c r="T342" s="186">
        <f>IF(T$2&lt;=AnalysisPeriod,IF(SUM($C655:T655)&gt;0,S342+1,0),0)</f>
        <v>0</v>
      </c>
      <c r="U342" s="186">
        <f>IF(U$2&lt;=AnalysisPeriod,IF(SUM($C655:U655)&gt;0,T342+1,0),0)</f>
        <v>0</v>
      </c>
      <c r="V342" s="186">
        <f>IF(V$2&lt;=AnalysisPeriod,IF(SUM($C655:V655)&gt;0,U342+1,0),0)</f>
        <v>0</v>
      </c>
      <c r="W342" s="186">
        <f>IF(W$2&lt;=AnalysisPeriod,IF(SUM($C655:W655)&gt;0,V342+1,0),0)</f>
        <v>0</v>
      </c>
      <c r="X342" s="186">
        <f>IF(X$2&lt;=AnalysisPeriod,IF(SUM($C655:X655)&gt;0,W342+1,0),0)</f>
        <v>0</v>
      </c>
      <c r="Y342" s="186">
        <f>IF(Y$2&lt;=AnalysisPeriod,IF(SUM($C655:Y655)&gt;0,X342+1,0),0)</f>
        <v>0</v>
      </c>
      <c r="Z342" s="186">
        <f>IF(Z$2&lt;=AnalysisPeriod,IF(SUM($C655:Z655)&gt;0,Y342+1,0),0)</f>
        <v>0</v>
      </c>
      <c r="AA342" s="186">
        <f>IF(AA$2&lt;=AnalysisPeriod,IF(SUM($C655:AA655)&gt;0,Z342+1,0),0)</f>
        <v>0</v>
      </c>
      <c r="AB342" s="186">
        <f>IF(AB$2&lt;=AnalysisPeriod,IF(SUM($C655:AB655)&gt;0,AA342+1,0),0)</f>
        <v>0</v>
      </c>
      <c r="AC342" s="186">
        <f>IF(AC$2&lt;=AnalysisPeriod,IF(SUM($C655:AC655)&gt;0,AB342+1,0),0)</f>
        <v>0</v>
      </c>
      <c r="AD342" s="186">
        <f>IF(AD$2&lt;=AnalysisPeriod,IF(SUM($C655:AD655)&gt;0,AC342+1,0),0)</f>
        <v>0</v>
      </c>
      <c r="AE342" s="186">
        <f>IF(AE$2&lt;=AnalysisPeriod,IF(SUM($C655:AE655)&gt;0,AD342+1,0),0)</f>
        <v>0</v>
      </c>
      <c r="AF342" s="186">
        <f>IF(AF$2&lt;=AnalysisPeriod,IF(SUM($C655:AF655)&gt;0,AE342+1,0),0)</f>
        <v>0</v>
      </c>
      <c r="AG342" s="186">
        <f>IF(AG$2&lt;=AnalysisPeriod,IF(SUM($C655:AG655)&gt;0,AF342+1,0),0)</f>
        <v>0</v>
      </c>
      <c r="AH342" s="186">
        <f>IF(AH$2&lt;=AnalysisPeriod,IF(SUM($C655:AH655)&gt;0,AG342+1,0),0)</f>
        <v>0</v>
      </c>
      <c r="AI342" s="186">
        <f>IF(AI$2&lt;=AnalysisPeriod,IF(SUM($C655:AI655)&gt;0,AH342+1,0),0)</f>
        <v>0</v>
      </c>
      <c r="AJ342" s="186">
        <f>IF(AJ$2&lt;=AnalysisPeriod,IF(SUM($C655:AJ655)&gt;0,AI342+1,0),0)</f>
        <v>0</v>
      </c>
      <c r="AK342" s="186">
        <f>IF(AK$2&lt;=AnalysisPeriod,IF(SUM($C655:AK655)&gt;0,AJ342+1,0),0)</f>
        <v>0</v>
      </c>
      <c r="AL342" s="186">
        <f>IF(AL$2&lt;=AnalysisPeriod,IF(SUM($C655:AL655)&gt;0,AK342+1,0),0)</f>
        <v>0</v>
      </c>
      <c r="AM342" s="186">
        <f>IF(AM$2&lt;=AnalysisPeriod,IF(SUM($C655:AM655)&gt;0,AL342+1,0),0)</f>
        <v>0</v>
      </c>
      <c r="AN342" s="186">
        <f>IF(AN$2&lt;=AnalysisPeriod,IF(SUM($C655:AN655)&gt;0,AM342+1,0),0)</f>
        <v>0</v>
      </c>
      <c r="AO342" s="186">
        <f>IF(AO$2&lt;=AnalysisPeriod,IF(SUM($C655:AO655)&gt;0,AN342+1,0),0)</f>
        <v>0</v>
      </c>
      <c r="AP342" s="186">
        <f>IF(AP$2&lt;=AnalysisPeriod,IF(SUM($C655:AP655)&gt;0,AO342+1,0),0)</f>
        <v>0</v>
      </c>
    </row>
    <row r="343" spans="1:42">
      <c r="A343" s="37">
        <f t="shared" si="888"/>
        <v>8</v>
      </c>
      <c r="C343" s="186">
        <f>IF(C$2&lt;=AnalysisPeriod,IF(SUM($C656:C656)&gt;0,B343+1,0),0)</f>
        <v>0</v>
      </c>
      <c r="D343" s="186">
        <f>IF(D$2&lt;=AnalysisPeriod,IF(SUM($C656:D656)&gt;0,C343+1,0),0)</f>
        <v>0</v>
      </c>
      <c r="E343" s="186">
        <f>IF(E$2&lt;=AnalysisPeriod,IF(SUM($C656:E656)&gt;0,D343+1,0),0)</f>
        <v>0</v>
      </c>
      <c r="F343" s="186">
        <f>IF(F$2&lt;=AnalysisPeriod,IF(SUM($C656:F656)&gt;0,E343+1,0),0)</f>
        <v>0</v>
      </c>
      <c r="G343" s="186">
        <f>IF(G$2&lt;=AnalysisPeriod,IF(SUM($C656:G656)&gt;0,F343+1,0),0)</f>
        <v>0</v>
      </c>
      <c r="H343" s="186">
        <f>IF(H$2&lt;=AnalysisPeriod,IF(SUM($C656:H656)&gt;0,G343+1,0),0)</f>
        <v>0</v>
      </c>
      <c r="I343" s="186">
        <f>IF(I$2&lt;=AnalysisPeriod,IF(SUM($C656:I656)&gt;0,H343+1,0),0)</f>
        <v>0</v>
      </c>
      <c r="J343" s="186">
        <f>IF(J$2&lt;=AnalysisPeriod,IF(SUM($C656:J656)&gt;0,I343+1,0),0)</f>
        <v>0</v>
      </c>
      <c r="K343" s="186">
        <f>IF(K$2&lt;=AnalysisPeriod,IF(SUM($C656:K656)&gt;0,J343+1,0),0)</f>
        <v>0</v>
      </c>
      <c r="L343" s="186">
        <f>IF(L$2&lt;=AnalysisPeriod,IF(SUM($C656:L656)&gt;0,K343+1,0),0)</f>
        <v>0</v>
      </c>
      <c r="M343" s="186">
        <f>IF(M$2&lt;=AnalysisPeriod,IF(SUM($C656:M656)&gt;0,L343+1,0),0)</f>
        <v>0</v>
      </c>
      <c r="N343" s="186">
        <f>IF(N$2&lt;=AnalysisPeriod,IF(SUM($C656:N656)&gt;0,M343+1,0),0)</f>
        <v>0</v>
      </c>
      <c r="O343" s="186">
        <f>IF(O$2&lt;=AnalysisPeriod,IF(SUM($C656:O656)&gt;0,N343+1,0),0)</f>
        <v>0</v>
      </c>
      <c r="P343" s="186">
        <f>IF(P$2&lt;=AnalysisPeriod,IF(SUM($C656:P656)&gt;0,O343+1,0),0)</f>
        <v>0</v>
      </c>
      <c r="Q343" s="186">
        <f>IF(Q$2&lt;=AnalysisPeriod,IF(SUM($C656:Q656)&gt;0,P343+1,0),0)</f>
        <v>0</v>
      </c>
      <c r="R343" s="186">
        <f>IF(R$2&lt;=AnalysisPeriod,IF(SUM($C656:R656)&gt;0,Q343+1,0),0)</f>
        <v>0</v>
      </c>
      <c r="S343" s="186">
        <f>IF(S$2&lt;=AnalysisPeriod,IF(SUM($C656:S656)&gt;0,R343+1,0),0)</f>
        <v>0</v>
      </c>
      <c r="T343" s="186">
        <f>IF(T$2&lt;=AnalysisPeriod,IF(SUM($C656:T656)&gt;0,S343+1,0),0)</f>
        <v>0</v>
      </c>
      <c r="U343" s="186">
        <f>IF(U$2&lt;=AnalysisPeriod,IF(SUM($C656:U656)&gt;0,T343+1,0),0)</f>
        <v>0</v>
      </c>
      <c r="V343" s="186">
        <f>IF(V$2&lt;=AnalysisPeriod,IF(SUM($C656:V656)&gt;0,U343+1,0),0)</f>
        <v>0</v>
      </c>
      <c r="W343" s="186">
        <f>IF(W$2&lt;=AnalysisPeriod,IF(SUM($C656:W656)&gt;0,V343+1,0),0)</f>
        <v>0</v>
      </c>
      <c r="X343" s="186">
        <f>IF(X$2&lt;=AnalysisPeriod,IF(SUM($C656:X656)&gt;0,W343+1,0),0)</f>
        <v>0</v>
      </c>
      <c r="Y343" s="186">
        <f>IF(Y$2&lt;=AnalysisPeriod,IF(SUM($C656:Y656)&gt;0,X343+1,0),0)</f>
        <v>0</v>
      </c>
      <c r="Z343" s="186">
        <f>IF(Z$2&lt;=AnalysisPeriod,IF(SUM($C656:Z656)&gt;0,Y343+1,0),0)</f>
        <v>0</v>
      </c>
      <c r="AA343" s="186">
        <f>IF(AA$2&lt;=AnalysisPeriod,IF(SUM($C656:AA656)&gt;0,Z343+1,0),0)</f>
        <v>0</v>
      </c>
      <c r="AB343" s="186">
        <f>IF(AB$2&lt;=AnalysisPeriod,IF(SUM($C656:AB656)&gt;0,AA343+1,0),0)</f>
        <v>0</v>
      </c>
      <c r="AC343" s="186">
        <f>IF(AC$2&lt;=AnalysisPeriod,IF(SUM($C656:AC656)&gt;0,AB343+1,0),0)</f>
        <v>0</v>
      </c>
      <c r="AD343" s="186">
        <f>IF(AD$2&lt;=AnalysisPeriod,IF(SUM($C656:AD656)&gt;0,AC343+1,0),0)</f>
        <v>0</v>
      </c>
      <c r="AE343" s="186">
        <f>IF(AE$2&lt;=AnalysisPeriod,IF(SUM($C656:AE656)&gt;0,AD343+1,0),0)</f>
        <v>0</v>
      </c>
      <c r="AF343" s="186">
        <f>IF(AF$2&lt;=AnalysisPeriod,IF(SUM($C656:AF656)&gt;0,AE343+1,0),0)</f>
        <v>0</v>
      </c>
      <c r="AG343" s="186">
        <f>IF(AG$2&lt;=AnalysisPeriod,IF(SUM($C656:AG656)&gt;0,AF343+1,0),0)</f>
        <v>0</v>
      </c>
      <c r="AH343" s="186">
        <f>IF(AH$2&lt;=AnalysisPeriod,IF(SUM($C656:AH656)&gt;0,AG343+1,0),0)</f>
        <v>0</v>
      </c>
      <c r="AI343" s="186">
        <f>IF(AI$2&lt;=AnalysisPeriod,IF(SUM($C656:AI656)&gt;0,AH343+1,0),0)</f>
        <v>0</v>
      </c>
      <c r="AJ343" s="186">
        <f>IF(AJ$2&lt;=AnalysisPeriod,IF(SUM($C656:AJ656)&gt;0,AI343+1,0),0)</f>
        <v>0</v>
      </c>
      <c r="AK343" s="186">
        <f>IF(AK$2&lt;=AnalysisPeriod,IF(SUM($C656:AK656)&gt;0,AJ343+1,0),0)</f>
        <v>0</v>
      </c>
      <c r="AL343" s="186">
        <f>IF(AL$2&lt;=AnalysisPeriod,IF(SUM($C656:AL656)&gt;0,AK343+1,0),0)</f>
        <v>0</v>
      </c>
      <c r="AM343" s="186">
        <f>IF(AM$2&lt;=AnalysisPeriod,IF(SUM($C656:AM656)&gt;0,AL343+1,0),0)</f>
        <v>0</v>
      </c>
      <c r="AN343" s="186">
        <f>IF(AN$2&lt;=AnalysisPeriod,IF(SUM($C656:AN656)&gt;0,AM343+1,0),0)</f>
        <v>0</v>
      </c>
      <c r="AO343" s="186">
        <f>IF(AO$2&lt;=AnalysisPeriod,IF(SUM($C656:AO656)&gt;0,AN343+1,0),0)</f>
        <v>0</v>
      </c>
      <c r="AP343" s="186">
        <f>IF(AP$2&lt;=AnalysisPeriod,IF(SUM($C656:AP656)&gt;0,AO343+1,0),0)</f>
        <v>0</v>
      </c>
    </row>
    <row r="344" spans="1:42">
      <c r="A344" s="37">
        <f>A343+1</f>
        <v>9</v>
      </c>
      <c r="C344" s="186">
        <f>IF(C$2&lt;=AnalysisPeriod,IF(SUM($C657:C657)&gt;0,B344+1,0),0)</f>
        <v>0</v>
      </c>
      <c r="D344" s="186">
        <f>IF(D$2&lt;=AnalysisPeriod,IF(SUM($C657:D657)&gt;0,C344+1,0),0)</f>
        <v>0</v>
      </c>
      <c r="E344" s="186">
        <f>IF(E$2&lt;=AnalysisPeriod,IF(SUM($C657:E657)&gt;0,D344+1,0),0)</f>
        <v>0</v>
      </c>
      <c r="F344" s="186">
        <f>IF(F$2&lt;=AnalysisPeriod,IF(SUM($C657:F657)&gt;0,E344+1,0),0)</f>
        <v>0</v>
      </c>
      <c r="G344" s="186">
        <f>IF(G$2&lt;=AnalysisPeriod,IF(SUM($C657:G657)&gt;0,F344+1,0),0)</f>
        <v>0</v>
      </c>
      <c r="H344" s="186">
        <f>IF(H$2&lt;=AnalysisPeriod,IF(SUM($C657:H657)&gt;0,G344+1,0),0)</f>
        <v>0</v>
      </c>
      <c r="I344" s="186">
        <f>IF(I$2&lt;=AnalysisPeriod,IF(SUM($C657:I657)&gt;0,H344+1,0),0)</f>
        <v>0</v>
      </c>
      <c r="J344" s="186">
        <f>IF(J$2&lt;=AnalysisPeriod,IF(SUM($C657:J657)&gt;0,I344+1,0),0)</f>
        <v>0</v>
      </c>
      <c r="K344" s="186">
        <f>IF(K$2&lt;=AnalysisPeriod,IF(SUM($C657:K657)&gt;0,J344+1,0),0)</f>
        <v>0</v>
      </c>
      <c r="L344" s="186">
        <f>IF(L$2&lt;=AnalysisPeriod,IF(SUM($C657:L657)&gt;0,K344+1,0),0)</f>
        <v>0</v>
      </c>
      <c r="M344" s="186">
        <f>IF(M$2&lt;=AnalysisPeriod,IF(SUM($C657:M657)&gt;0,L344+1,0),0)</f>
        <v>0</v>
      </c>
      <c r="N344" s="186">
        <f>IF(N$2&lt;=AnalysisPeriod,IF(SUM($C657:N657)&gt;0,M344+1,0),0)</f>
        <v>0</v>
      </c>
      <c r="O344" s="186">
        <f>IF(O$2&lt;=AnalysisPeriod,IF(SUM($C657:O657)&gt;0,N344+1,0),0)</f>
        <v>0</v>
      </c>
      <c r="P344" s="186">
        <f>IF(P$2&lt;=AnalysisPeriod,IF(SUM($C657:P657)&gt;0,O344+1,0),0)</f>
        <v>0</v>
      </c>
      <c r="Q344" s="186">
        <f>IF(Q$2&lt;=AnalysisPeriod,IF(SUM($C657:Q657)&gt;0,P344+1,0),0)</f>
        <v>0</v>
      </c>
      <c r="R344" s="186">
        <f>IF(R$2&lt;=AnalysisPeriod,IF(SUM($C657:R657)&gt;0,Q344+1,0),0)</f>
        <v>0</v>
      </c>
      <c r="S344" s="186">
        <f>IF(S$2&lt;=AnalysisPeriod,IF(SUM($C657:S657)&gt;0,R344+1,0),0)</f>
        <v>0</v>
      </c>
      <c r="T344" s="186">
        <f>IF(T$2&lt;=AnalysisPeriod,IF(SUM($C657:T657)&gt;0,S344+1,0),0)</f>
        <v>0</v>
      </c>
      <c r="U344" s="186">
        <f>IF(U$2&lt;=AnalysisPeriod,IF(SUM($C657:U657)&gt;0,T344+1,0),0)</f>
        <v>0</v>
      </c>
      <c r="V344" s="186">
        <f>IF(V$2&lt;=AnalysisPeriod,IF(SUM($C657:V657)&gt;0,U344+1,0),0)</f>
        <v>0</v>
      </c>
      <c r="W344" s="186">
        <f>IF(W$2&lt;=AnalysisPeriod,IF(SUM($C657:W657)&gt;0,V344+1,0),0)</f>
        <v>0</v>
      </c>
      <c r="X344" s="186">
        <f>IF(X$2&lt;=AnalysisPeriod,IF(SUM($C657:X657)&gt;0,W344+1,0),0)</f>
        <v>0</v>
      </c>
      <c r="Y344" s="186">
        <f>IF(Y$2&lt;=AnalysisPeriod,IF(SUM($C657:Y657)&gt;0,X344+1,0),0)</f>
        <v>0</v>
      </c>
      <c r="Z344" s="186">
        <f>IF(Z$2&lt;=AnalysisPeriod,IF(SUM($C657:Z657)&gt;0,Y344+1,0),0)</f>
        <v>0</v>
      </c>
      <c r="AA344" s="186">
        <f>IF(AA$2&lt;=AnalysisPeriod,IF(SUM($C657:AA657)&gt;0,Z344+1,0),0)</f>
        <v>0</v>
      </c>
      <c r="AB344" s="186">
        <f>IF(AB$2&lt;=AnalysisPeriod,IF(SUM($C657:AB657)&gt;0,AA344+1,0),0)</f>
        <v>0</v>
      </c>
      <c r="AC344" s="186">
        <f>IF(AC$2&lt;=AnalysisPeriod,IF(SUM($C657:AC657)&gt;0,AB344+1,0),0)</f>
        <v>0</v>
      </c>
      <c r="AD344" s="186">
        <f>IF(AD$2&lt;=AnalysisPeriod,IF(SUM($C657:AD657)&gt;0,AC344+1,0),0)</f>
        <v>0</v>
      </c>
      <c r="AE344" s="186">
        <f>IF(AE$2&lt;=AnalysisPeriod,IF(SUM($C657:AE657)&gt;0,AD344+1,0),0)</f>
        <v>0</v>
      </c>
      <c r="AF344" s="186">
        <f>IF(AF$2&lt;=AnalysisPeriod,IF(SUM($C657:AF657)&gt;0,AE344+1,0),0)</f>
        <v>0</v>
      </c>
      <c r="AG344" s="186">
        <f>IF(AG$2&lt;=AnalysisPeriod,IF(SUM($C657:AG657)&gt;0,AF344+1,0),0)</f>
        <v>0</v>
      </c>
      <c r="AH344" s="186">
        <f>IF(AH$2&lt;=AnalysisPeriod,IF(SUM($C657:AH657)&gt;0,AG344+1,0),0)</f>
        <v>0</v>
      </c>
      <c r="AI344" s="186">
        <f>IF(AI$2&lt;=AnalysisPeriod,IF(SUM($C657:AI657)&gt;0,AH344+1,0),0)</f>
        <v>0</v>
      </c>
      <c r="AJ344" s="186">
        <f>IF(AJ$2&lt;=AnalysisPeriod,IF(SUM($C657:AJ657)&gt;0,AI344+1,0),0)</f>
        <v>0</v>
      </c>
      <c r="AK344" s="186">
        <f>IF(AK$2&lt;=AnalysisPeriod,IF(SUM($C657:AK657)&gt;0,AJ344+1,0),0)</f>
        <v>0</v>
      </c>
      <c r="AL344" s="186">
        <f>IF(AL$2&lt;=AnalysisPeriod,IF(SUM($C657:AL657)&gt;0,AK344+1,0),0)</f>
        <v>0</v>
      </c>
      <c r="AM344" s="186">
        <f>IF(AM$2&lt;=AnalysisPeriod,IF(SUM($C657:AM657)&gt;0,AL344+1,0),0)</f>
        <v>0</v>
      </c>
      <c r="AN344" s="186">
        <f>IF(AN$2&lt;=AnalysisPeriod,IF(SUM($C657:AN657)&gt;0,AM344+1,0),0)</f>
        <v>0</v>
      </c>
      <c r="AO344" s="186">
        <f>IF(AO$2&lt;=AnalysisPeriod,IF(SUM($C657:AO657)&gt;0,AN344+1,0),0)</f>
        <v>0</v>
      </c>
      <c r="AP344" s="186">
        <f>IF(AP$2&lt;=AnalysisPeriod,IF(SUM($C657:AP657)&gt;0,AO344+1,0),0)</f>
        <v>0</v>
      </c>
    </row>
    <row r="345" spans="1:42">
      <c r="A345" s="37">
        <f t="shared" si="888"/>
        <v>10</v>
      </c>
      <c r="C345" s="186">
        <f>IF(C$2&lt;=AnalysisPeriod,IF(SUM($C658:C658)&gt;0,B345+1,0),0)</f>
        <v>0</v>
      </c>
      <c r="D345" s="186">
        <f>IF(D$2&lt;=AnalysisPeriod,IF(SUM($C658:D658)&gt;0,C345+1,0),0)</f>
        <v>0</v>
      </c>
      <c r="E345" s="186">
        <f>IF(E$2&lt;=AnalysisPeriod,IF(SUM($C658:E658)&gt;0,D345+1,0),0)</f>
        <v>0</v>
      </c>
      <c r="F345" s="186">
        <f>IF(F$2&lt;=AnalysisPeriod,IF(SUM($C658:F658)&gt;0,E345+1,0),0)</f>
        <v>0</v>
      </c>
      <c r="G345" s="186">
        <f>IF(G$2&lt;=AnalysisPeriod,IF(SUM($C658:G658)&gt;0,F345+1,0),0)</f>
        <v>0</v>
      </c>
      <c r="H345" s="186">
        <f>IF(H$2&lt;=AnalysisPeriod,IF(SUM($C658:H658)&gt;0,G345+1,0),0)</f>
        <v>0</v>
      </c>
      <c r="I345" s="186">
        <f>IF(I$2&lt;=AnalysisPeriod,IF(SUM($C658:I658)&gt;0,H345+1,0),0)</f>
        <v>0</v>
      </c>
      <c r="J345" s="186">
        <f>IF(J$2&lt;=AnalysisPeriod,IF(SUM($C658:J658)&gt;0,I345+1,0),0)</f>
        <v>0</v>
      </c>
      <c r="K345" s="186">
        <f>IF(K$2&lt;=AnalysisPeriod,IF(SUM($C658:K658)&gt;0,J345+1,0),0)</f>
        <v>0</v>
      </c>
      <c r="L345" s="186">
        <f>IF(L$2&lt;=AnalysisPeriod,IF(SUM($C658:L658)&gt;0,K345+1,0),0)</f>
        <v>0</v>
      </c>
      <c r="M345" s="186">
        <f>IF(M$2&lt;=AnalysisPeriod,IF(SUM($C658:M658)&gt;0,L345+1,0),0)</f>
        <v>0</v>
      </c>
      <c r="N345" s="186">
        <f>IF(N$2&lt;=AnalysisPeriod,IF(SUM($C658:N658)&gt;0,M345+1,0),0)</f>
        <v>0</v>
      </c>
      <c r="O345" s="186">
        <f>IF(O$2&lt;=AnalysisPeriod,IF(SUM($C658:O658)&gt;0,N345+1,0),0)</f>
        <v>0</v>
      </c>
      <c r="P345" s="186">
        <f>IF(P$2&lt;=AnalysisPeriod,IF(SUM($C658:P658)&gt;0,O345+1,0),0)</f>
        <v>0</v>
      </c>
      <c r="Q345" s="186">
        <f>IF(Q$2&lt;=AnalysisPeriod,IF(SUM($C658:Q658)&gt;0,P345+1,0),0)</f>
        <v>0</v>
      </c>
      <c r="R345" s="186">
        <f>IF(R$2&lt;=AnalysisPeriod,IF(SUM($C658:R658)&gt;0,Q345+1,0),0)</f>
        <v>0</v>
      </c>
      <c r="S345" s="186">
        <f>IF(S$2&lt;=AnalysisPeriod,IF(SUM($C658:S658)&gt;0,R345+1,0),0)</f>
        <v>0</v>
      </c>
      <c r="T345" s="186">
        <f>IF(T$2&lt;=AnalysisPeriod,IF(SUM($C658:T658)&gt;0,S345+1,0),0)</f>
        <v>0</v>
      </c>
      <c r="U345" s="186">
        <f>IF(U$2&lt;=AnalysisPeriod,IF(SUM($C658:U658)&gt;0,T345+1,0),0)</f>
        <v>0</v>
      </c>
      <c r="V345" s="186">
        <f>IF(V$2&lt;=AnalysisPeriod,IF(SUM($C658:V658)&gt;0,U345+1,0),0)</f>
        <v>0</v>
      </c>
      <c r="W345" s="186">
        <f>IF(W$2&lt;=AnalysisPeriod,IF(SUM($C658:W658)&gt;0,V345+1,0),0)</f>
        <v>0</v>
      </c>
      <c r="X345" s="186">
        <f>IF(X$2&lt;=AnalysisPeriod,IF(SUM($C658:X658)&gt;0,W345+1,0),0)</f>
        <v>0</v>
      </c>
      <c r="Y345" s="186">
        <f>IF(Y$2&lt;=AnalysisPeriod,IF(SUM($C658:Y658)&gt;0,X345+1,0),0)</f>
        <v>0</v>
      </c>
      <c r="Z345" s="186">
        <f>IF(Z$2&lt;=AnalysisPeriod,IF(SUM($C658:Z658)&gt;0,Y345+1,0),0)</f>
        <v>0</v>
      </c>
      <c r="AA345" s="186">
        <f>IF(AA$2&lt;=AnalysisPeriod,IF(SUM($C658:AA658)&gt;0,Z345+1,0),0)</f>
        <v>0</v>
      </c>
      <c r="AB345" s="186">
        <f>IF(AB$2&lt;=AnalysisPeriod,IF(SUM($C658:AB658)&gt;0,AA345+1,0),0)</f>
        <v>0</v>
      </c>
      <c r="AC345" s="186">
        <f>IF(AC$2&lt;=AnalysisPeriod,IF(SUM($C658:AC658)&gt;0,AB345+1,0),0)</f>
        <v>0</v>
      </c>
      <c r="AD345" s="186">
        <f>IF(AD$2&lt;=AnalysisPeriod,IF(SUM($C658:AD658)&gt;0,AC345+1,0),0)</f>
        <v>0</v>
      </c>
      <c r="AE345" s="186">
        <f>IF(AE$2&lt;=AnalysisPeriod,IF(SUM($C658:AE658)&gt;0,AD345+1,0),0)</f>
        <v>0</v>
      </c>
      <c r="AF345" s="186">
        <f>IF(AF$2&lt;=AnalysisPeriod,IF(SUM($C658:AF658)&gt;0,AE345+1,0),0)</f>
        <v>0</v>
      </c>
      <c r="AG345" s="186">
        <f>IF(AG$2&lt;=AnalysisPeriod,IF(SUM($C658:AG658)&gt;0,AF345+1,0),0)</f>
        <v>0</v>
      </c>
      <c r="AH345" s="186">
        <f>IF(AH$2&lt;=AnalysisPeriod,IF(SUM($C658:AH658)&gt;0,AG345+1,0),0)</f>
        <v>0</v>
      </c>
      <c r="AI345" s="186">
        <f>IF(AI$2&lt;=AnalysisPeriod,IF(SUM($C658:AI658)&gt;0,AH345+1,0),0)</f>
        <v>0</v>
      </c>
      <c r="AJ345" s="186">
        <f>IF(AJ$2&lt;=AnalysisPeriod,IF(SUM($C658:AJ658)&gt;0,AI345+1,0),0)</f>
        <v>0</v>
      </c>
      <c r="AK345" s="186">
        <f>IF(AK$2&lt;=AnalysisPeriod,IF(SUM($C658:AK658)&gt;0,AJ345+1,0),0)</f>
        <v>0</v>
      </c>
      <c r="AL345" s="186">
        <f>IF(AL$2&lt;=AnalysisPeriod,IF(SUM($C658:AL658)&gt;0,AK345+1,0),0)</f>
        <v>0</v>
      </c>
      <c r="AM345" s="186">
        <f>IF(AM$2&lt;=AnalysisPeriod,IF(SUM($C658:AM658)&gt;0,AL345+1,0),0)</f>
        <v>0</v>
      </c>
      <c r="AN345" s="186">
        <f>IF(AN$2&lt;=AnalysisPeriod,IF(SUM($C658:AN658)&gt;0,AM345+1,0),0)</f>
        <v>0</v>
      </c>
      <c r="AO345" s="186">
        <f>IF(AO$2&lt;=AnalysisPeriod,IF(SUM($C658:AO658)&gt;0,AN345+1,0),0)</f>
        <v>0</v>
      </c>
      <c r="AP345" s="186">
        <f>IF(AP$2&lt;=AnalysisPeriod,IF(SUM($C658:AP658)&gt;0,AO345+1,0),0)</f>
        <v>0</v>
      </c>
    </row>
    <row r="346" spans="1:42">
      <c r="A346" s="204" t="s">
        <v>211</v>
      </c>
      <c r="C346" s="186"/>
      <c r="D346" s="186"/>
      <c r="E346" s="186"/>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186"/>
      <c r="AL346" s="186"/>
      <c r="AM346" s="186"/>
      <c r="AN346" s="186"/>
      <c r="AO346" s="186"/>
      <c r="AP346" s="186"/>
    </row>
    <row r="347" spans="1:42">
      <c r="A347" s="37">
        <v>1</v>
      </c>
      <c r="B347" s="196">
        <f t="shared" ref="B347:B356" si="889">SUM(C347:AP347)</f>
        <v>2944872.3435013141</v>
      </c>
      <c r="C347" s="186">
        <f t="shared" ref="C347:AP347" si="890">LOOKUP(C336,$B$331:$AP$331,$B$332:$AP$332)*$B649</f>
        <v>0</v>
      </c>
      <c r="D347" s="186">
        <f t="shared" si="890"/>
        <v>0</v>
      </c>
      <c r="E347" s="186">
        <f t="shared" si="890"/>
        <v>0</v>
      </c>
      <c r="F347" s="186">
        <f t="shared" si="890"/>
        <v>0</v>
      </c>
      <c r="G347" s="186">
        <f t="shared" si="890"/>
        <v>0</v>
      </c>
      <c r="H347" s="186">
        <f t="shared" si="890"/>
        <v>0</v>
      </c>
      <c r="I347" s="186">
        <f t="shared" si="890"/>
        <v>0</v>
      </c>
      <c r="J347" s="186">
        <f t="shared" si="890"/>
        <v>0</v>
      </c>
      <c r="K347" s="186">
        <f t="shared" si="890"/>
        <v>0</v>
      </c>
      <c r="L347" s="186">
        <f t="shared" si="890"/>
        <v>0</v>
      </c>
      <c r="M347" s="186">
        <f t="shared" si="890"/>
        <v>0</v>
      </c>
      <c r="N347" s="186">
        <f t="shared" si="890"/>
        <v>588974.46870026283</v>
      </c>
      <c r="O347" s="186">
        <f t="shared" si="890"/>
        <v>942359.14992042049</v>
      </c>
      <c r="P347" s="186">
        <f t="shared" si="890"/>
        <v>565415.48995225236</v>
      </c>
      <c r="Q347" s="186">
        <f t="shared" si="890"/>
        <v>339249.29397135135</v>
      </c>
      <c r="R347" s="186">
        <f t="shared" si="890"/>
        <v>339249.29397135135</v>
      </c>
      <c r="S347" s="186">
        <f t="shared" si="890"/>
        <v>169624.64698567567</v>
      </c>
      <c r="T347" s="186">
        <f t="shared" si="890"/>
        <v>0</v>
      </c>
      <c r="U347" s="186">
        <f t="shared" si="890"/>
        <v>0</v>
      </c>
      <c r="V347" s="186">
        <f t="shared" si="890"/>
        <v>0</v>
      </c>
      <c r="W347" s="186">
        <f t="shared" si="890"/>
        <v>0</v>
      </c>
      <c r="X347" s="186">
        <f t="shared" si="890"/>
        <v>0</v>
      </c>
      <c r="Y347" s="186">
        <f t="shared" si="890"/>
        <v>0</v>
      </c>
      <c r="Z347" s="186">
        <f t="shared" si="890"/>
        <v>0</v>
      </c>
      <c r="AA347" s="186">
        <f t="shared" si="890"/>
        <v>0</v>
      </c>
      <c r="AB347" s="186">
        <f t="shared" si="890"/>
        <v>0</v>
      </c>
      <c r="AC347" s="186">
        <f t="shared" si="890"/>
        <v>0</v>
      </c>
      <c r="AD347" s="186">
        <f t="shared" si="890"/>
        <v>0</v>
      </c>
      <c r="AE347" s="186">
        <f t="shared" si="890"/>
        <v>0</v>
      </c>
      <c r="AF347" s="186">
        <f t="shared" si="890"/>
        <v>0</v>
      </c>
      <c r="AG347" s="186">
        <f t="shared" si="890"/>
        <v>0</v>
      </c>
      <c r="AH347" s="186">
        <f t="shared" si="890"/>
        <v>0</v>
      </c>
      <c r="AI347" s="186">
        <f t="shared" si="890"/>
        <v>0</v>
      </c>
      <c r="AJ347" s="186">
        <f t="shared" si="890"/>
        <v>0</v>
      </c>
      <c r="AK347" s="186">
        <f t="shared" si="890"/>
        <v>0</v>
      </c>
      <c r="AL347" s="186">
        <f t="shared" si="890"/>
        <v>0</v>
      </c>
      <c r="AM347" s="186">
        <f t="shared" si="890"/>
        <v>0</v>
      </c>
      <c r="AN347" s="186">
        <f t="shared" si="890"/>
        <v>0</v>
      </c>
      <c r="AO347" s="186">
        <f t="shared" si="890"/>
        <v>0</v>
      </c>
      <c r="AP347" s="186">
        <f t="shared" si="890"/>
        <v>0</v>
      </c>
    </row>
    <row r="348" spans="1:42">
      <c r="A348" s="37">
        <f>A347+1</f>
        <v>2</v>
      </c>
      <c r="B348" s="196">
        <f t="shared" si="889"/>
        <v>3520942.886524681</v>
      </c>
      <c r="C348" s="186">
        <f t="shared" ref="C348:AP348" si="891">LOOKUP(C337,$B$331:$AP$331,$B$332:$AP$332)*$B650</f>
        <v>0</v>
      </c>
      <c r="D348" s="186">
        <f t="shared" si="891"/>
        <v>0</v>
      </c>
      <c r="E348" s="186">
        <f t="shared" si="891"/>
        <v>0</v>
      </c>
      <c r="F348" s="186">
        <f t="shared" si="891"/>
        <v>0</v>
      </c>
      <c r="G348" s="186">
        <f t="shared" si="891"/>
        <v>0</v>
      </c>
      <c r="H348" s="186">
        <f t="shared" si="891"/>
        <v>0</v>
      </c>
      <c r="I348" s="186">
        <f t="shared" si="891"/>
        <v>0</v>
      </c>
      <c r="J348" s="186">
        <f t="shared" si="891"/>
        <v>0</v>
      </c>
      <c r="K348" s="186">
        <f t="shared" si="891"/>
        <v>0</v>
      </c>
      <c r="L348" s="186">
        <f t="shared" si="891"/>
        <v>0</v>
      </c>
      <c r="M348" s="186">
        <f t="shared" si="891"/>
        <v>0</v>
      </c>
      <c r="N348" s="186">
        <f t="shared" si="891"/>
        <v>0</v>
      </c>
      <c r="O348" s="186">
        <f t="shared" si="891"/>
        <v>0</v>
      </c>
      <c r="P348" s="186">
        <f t="shared" si="891"/>
        <v>0</v>
      </c>
      <c r="Q348" s="186">
        <f t="shared" si="891"/>
        <v>0</v>
      </c>
      <c r="R348" s="186">
        <f t="shared" si="891"/>
        <v>0</v>
      </c>
      <c r="S348" s="186">
        <f t="shared" si="891"/>
        <v>0</v>
      </c>
      <c r="T348" s="186">
        <f t="shared" si="891"/>
        <v>0</v>
      </c>
      <c r="U348" s="186">
        <f t="shared" si="891"/>
        <v>0</v>
      </c>
      <c r="V348" s="186">
        <f t="shared" si="891"/>
        <v>0</v>
      </c>
      <c r="W348" s="186">
        <f t="shared" si="891"/>
        <v>0</v>
      </c>
      <c r="X348" s="186">
        <f t="shared" si="891"/>
        <v>0</v>
      </c>
      <c r="Y348" s="186">
        <f t="shared" si="891"/>
        <v>0</v>
      </c>
      <c r="Z348" s="186">
        <f t="shared" si="891"/>
        <v>704188.57730493625</v>
      </c>
      <c r="AA348" s="186">
        <f t="shared" si="891"/>
        <v>1126701.7236878979</v>
      </c>
      <c r="AB348" s="186">
        <f t="shared" si="891"/>
        <v>676021.03421273874</v>
      </c>
      <c r="AC348" s="186">
        <f t="shared" si="891"/>
        <v>405612.62052764324</v>
      </c>
      <c r="AD348" s="186">
        <f t="shared" si="891"/>
        <v>405612.62052764324</v>
      </c>
      <c r="AE348" s="186">
        <f t="shared" si="891"/>
        <v>202806.31026382162</v>
      </c>
      <c r="AF348" s="186">
        <f t="shared" si="891"/>
        <v>0</v>
      </c>
      <c r="AG348" s="186">
        <f t="shared" si="891"/>
        <v>0</v>
      </c>
      <c r="AH348" s="186">
        <f t="shared" si="891"/>
        <v>0</v>
      </c>
      <c r="AI348" s="186">
        <f t="shared" si="891"/>
        <v>0</v>
      </c>
      <c r="AJ348" s="186">
        <f t="shared" si="891"/>
        <v>0</v>
      </c>
      <c r="AK348" s="186">
        <f t="shared" si="891"/>
        <v>0</v>
      </c>
      <c r="AL348" s="186">
        <f t="shared" si="891"/>
        <v>0</v>
      </c>
      <c r="AM348" s="186">
        <f t="shared" si="891"/>
        <v>0</v>
      </c>
      <c r="AN348" s="186">
        <f t="shared" si="891"/>
        <v>0</v>
      </c>
      <c r="AO348" s="186">
        <f t="shared" si="891"/>
        <v>0</v>
      </c>
      <c r="AP348" s="186">
        <f t="shared" si="891"/>
        <v>0</v>
      </c>
    </row>
    <row r="349" spans="1:42">
      <c r="A349" s="37">
        <f t="shared" ref="A349:A356" si="892">A348+1</f>
        <v>3</v>
      </c>
      <c r="B349" s="196">
        <f t="shared" si="889"/>
        <v>0</v>
      </c>
      <c r="C349" s="186">
        <f t="shared" ref="C349:AP349" si="893">LOOKUP(C338,$B$331:$AP$331,$B$332:$AP$332)*$B651</f>
        <v>0</v>
      </c>
      <c r="D349" s="186">
        <f t="shared" si="893"/>
        <v>0</v>
      </c>
      <c r="E349" s="186">
        <f t="shared" si="893"/>
        <v>0</v>
      </c>
      <c r="F349" s="186">
        <f t="shared" si="893"/>
        <v>0</v>
      </c>
      <c r="G349" s="186">
        <f t="shared" si="893"/>
        <v>0</v>
      </c>
      <c r="H349" s="186">
        <f t="shared" si="893"/>
        <v>0</v>
      </c>
      <c r="I349" s="186">
        <f t="shared" si="893"/>
        <v>0</v>
      </c>
      <c r="J349" s="186">
        <f t="shared" si="893"/>
        <v>0</v>
      </c>
      <c r="K349" s="186">
        <f t="shared" si="893"/>
        <v>0</v>
      </c>
      <c r="L349" s="186">
        <f t="shared" si="893"/>
        <v>0</v>
      </c>
      <c r="M349" s="186">
        <f t="shared" si="893"/>
        <v>0</v>
      </c>
      <c r="N349" s="186">
        <f t="shared" si="893"/>
        <v>0</v>
      </c>
      <c r="O349" s="186">
        <f t="shared" si="893"/>
        <v>0</v>
      </c>
      <c r="P349" s="186">
        <f t="shared" si="893"/>
        <v>0</v>
      </c>
      <c r="Q349" s="186">
        <f t="shared" si="893"/>
        <v>0</v>
      </c>
      <c r="R349" s="186">
        <f t="shared" si="893"/>
        <v>0</v>
      </c>
      <c r="S349" s="186">
        <f t="shared" si="893"/>
        <v>0</v>
      </c>
      <c r="T349" s="186">
        <f t="shared" si="893"/>
        <v>0</v>
      </c>
      <c r="U349" s="186">
        <f t="shared" si="893"/>
        <v>0</v>
      </c>
      <c r="V349" s="186">
        <f t="shared" si="893"/>
        <v>0</v>
      </c>
      <c r="W349" s="186">
        <f t="shared" si="893"/>
        <v>0</v>
      </c>
      <c r="X349" s="186">
        <f t="shared" si="893"/>
        <v>0</v>
      </c>
      <c r="Y349" s="186">
        <f t="shared" si="893"/>
        <v>0</v>
      </c>
      <c r="Z349" s="186">
        <f t="shared" si="893"/>
        <v>0</v>
      </c>
      <c r="AA349" s="186">
        <f t="shared" si="893"/>
        <v>0</v>
      </c>
      <c r="AB349" s="186">
        <f t="shared" si="893"/>
        <v>0</v>
      </c>
      <c r="AC349" s="186">
        <f t="shared" si="893"/>
        <v>0</v>
      </c>
      <c r="AD349" s="186">
        <f t="shared" si="893"/>
        <v>0</v>
      </c>
      <c r="AE349" s="186">
        <f t="shared" si="893"/>
        <v>0</v>
      </c>
      <c r="AF349" s="186">
        <f t="shared" si="893"/>
        <v>0</v>
      </c>
      <c r="AG349" s="186">
        <f t="shared" si="893"/>
        <v>0</v>
      </c>
      <c r="AH349" s="186">
        <f t="shared" si="893"/>
        <v>0</v>
      </c>
      <c r="AI349" s="186">
        <f t="shared" si="893"/>
        <v>0</v>
      </c>
      <c r="AJ349" s="186">
        <f t="shared" si="893"/>
        <v>0</v>
      </c>
      <c r="AK349" s="186">
        <f t="shared" si="893"/>
        <v>0</v>
      </c>
      <c r="AL349" s="186">
        <f t="shared" si="893"/>
        <v>0</v>
      </c>
      <c r="AM349" s="186">
        <f t="shared" si="893"/>
        <v>0</v>
      </c>
      <c r="AN349" s="186">
        <f t="shared" si="893"/>
        <v>0</v>
      </c>
      <c r="AO349" s="186">
        <f t="shared" si="893"/>
        <v>0</v>
      </c>
      <c r="AP349" s="186">
        <f t="shared" si="893"/>
        <v>0</v>
      </c>
    </row>
    <row r="350" spans="1:42">
      <c r="A350" s="37">
        <f t="shared" si="892"/>
        <v>4</v>
      </c>
      <c r="B350" s="196">
        <f t="shared" si="889"/>
        <v>0</v>
      </c>
      <c r="C350" s="186">
        <f t="shared" ref="C350:AP350" si="894">LOOKUP(C339,$B$331:$AP$331,$B$332:$AP$332)*$B652</f>
        <v>0</v>
      </c>
      <c r="D350" s="186">
        <f t="shared" si="894"/>
        <v>0</v>
      </c>
      <c r="E350" s="186">
        <f t="shared" si="894"/>
        <v>0</v>
      </c>
      <c r="F350" s="186">
        <f t="shared" si="894"/>
        <v>0</v>
      </c>
      <c r="G350" s="186">
        <f t="shared" si="894"/>
        <v>0</v>
      </c>
      <c r="H350" s="186">
        <f t="shared" si="894"/>
        <v>0</v>
      </c>
      <c r="I350" s="186">
        <f t="shared" si="894"/>
        <v>0</v>
      </c>
      <c r="J350" s="186">
        <f t="shared" si="894"/>
        <v>0</v>
      </c>
      <c r="K350" s="186">
        <f t="shared" si="894"/>
        <v>0</v>
      </c>
      <c r="L350" s="186">
        <f t="shared" si="894"/>
        <v>0</v>
      </c>
      <c r="M350" s="186">
        <f t="shared" si="894"/>
        <v>0</v>
      </c>
      <c r="N350" s="186">
        <f t="shared" si="894"/>
        <v>0</v>
      </c>
      <c r="O350" s="186">
        <f t="shared" si="894"/>
        <v>0</v>
      </c>
      <c r="P350" s="186">
        <f t="shared" si="894"/>
        <v>0</v>
      </c>
      <c r="Q350" s="186">
        <f t="shared" si="894"/>
        <v>0</v>
      </c>
      <c r="R350" s="186">
        <f t="shared" si="894"/>
        <v>0</v>
      </c>
      <c r="S350" s="186">
        <f t="shared" si="894"/>
        <v>0</v>
      </c>
      <c r="T350" s="186">
        <f t="shared" si="894"/>
        <v>0</v>
      </c>
      <c r="U350" s="186">
        <f t="shared" si="894"/>
        <v>0</v>
      </c>
      <c r="V350" s="186">
        <f t="shared" si="894"/>
        <v>0</v>
      </c>
      <c r="W350" s="186">
        <f t="shared" si="894"/>
        <v>0</v>
      </c>
      <c r="X350" s="186">
        <f t="shared" si="894"/>
        <v>0</v>
      </c>
      <c r="Y350" s="186">
        <f t="shared" si="894"/>
        <v>0</v>
      </c>
      <c r="Z350" s="186">
        <f t="shared" si="894"/>
        <v>0</v>
      </c>
      <c r="AA350" s="186">
        <f t="shared" si="894"/>
        <v>0</v>
      </c>
      <c r="AB350" s="186">
        <f t="shared" si="894"/>
        <v>0</v>
      </c>
      <c r="AC350" s="186">
        <f t="shared" si="894"/>
        <v>0</v>
      </c>
      <c r="AD350" s="186">
        <f t="shared" si="894"/>
        <v>0</v>
      </c>
      <c r="AE350" s="186">
        <f t="shared" si="894"/>
        <v>0</v>
      </c>
      <c r="AF350" s="186">
        <f t="shared" si="894"/>
        <v>0</v>
      </c>
      <c r="AG350" s="186">
        <f t="shared" si="894"/>
        <v>0</v>
      </c>
      <c r="AH350" s="186">
        <f t="shared" si="894"/>
        <v>0</v>
      </c>
      <c r="AI350" s="186">
        <f t="shared" si="894"/>
        <v>0</v>
      </c>
      <c r="AJ350" s="186">
        <f t="shared" si="894"/>
        <v>0</v>
      </c>
      <c r="AK350" s="186">
        <f t="shared" si="894"/>
        <v>0</v>
      </c>
      <c r="AL350" s="186">
        <f t="shared" si="894"/>
        <v>0</v>
      </c>
      <c r="AM350" s="186">
        <f t="shared" si="894"/>
        <v>0</v>
      </c>
      <c r="AN350" s="186">
        <f t="shared" si="894"/>
        <v>0</v>
      </c>
      <c r="AO350" s="186">
        <f t="shared" si="894"/>
        <v>0</v>
      </c>
      <c r="AP350" s="186">
        <f t="shared" si="894"/>
        <v>0</v>
      </c>
    </row>
    <row r="351" spans="1:42">
      <c r="A351" s="37">
        <f t="shared" si="892"/>
        <v>5</v>
      </c>
      <c r="B351" s="196">
        <f t="shared" si="889"/>
        <v>0</v>
      </c>
      <c r="C351" s="186">
        <f t="shared" ref="C351:AP351" si="895">LOOKUP(C340,$B$331:$AP$331,$B$332:$AP$332)*$B653</f>
        <v>0</v>
      </c>
      <c r="D351" s="186">
        <f t="shared" si="895"/>
        <v>0</v>
      </c>
      <c r="E351" s="186">
        <f t="shared" si="895"/>
        <v>0</v>
      </c>
      <c r="F351" s="186">
        <f t="shared" si="895"/>
        <v>0</v>
      </c>
      <c r="G351" s="186">
        <f t="shared" si="895"/>
        <v>0</v>
      </c>
      <c r="H351" s="186">
        <f t="shared" si="895"/>
        <v>0</v>
      </c>
      <c r="I351" s="186">
        <f t="shared" si="895"/>
        <v>0</v>
      </c>
      <c r="J351" s="186">
        <f t="shared" si="895"/>
        <v>0</v>
      </c>
      <c r="K351" s="186">
        <f t="shared" si="895"/>
        <v>0</v>
      </c>
      <c r="L351" s="186">
        <f t="shared" si="895"/>
        <v>0</v>
      </c>
      <c r="M351" s="186">
        <f t="shared" si="895"/>
        <v>0</v>
      </c>
      <c r="N351" s="186">
        <f t="shared" si="895"/>
        <v>0</v>
      </c>
      <c r="O351" s="186">
        <f t="shared" si="895"/>
        <v>0</v>
      </c>
      <c r="P351" s="186">
        <f t="shared" si="895"/>
        <v>0</v>
      </c>
      <c r="Q351" s="186">
        <f t="shared" si="895"/>
        <v>0</v>
      </c>
      <c r="R351" s="186">
        <f t="shared" si="895"/>
        <v>0</v>
      </c>
      <c r="S351" s="186">
        <f t="shared" si="895"/>
        <v>0</v>
      </c>
      <c r="T351" s="186">
        <f t="shared" si="895"/>
        <v>0</v>
      </c>
      <c r="U351" s="186">
        <f t="shared" si="895"/>
        <v>0</v>
      </c>
      <c r="V351" s="186">
        <f t="shared" si="895"/>
        <v>0</v>
      </c>
      <c r="W351" s="186">
        <f t="shared" si="895"/>
        <v>0</v>
      </c>
      <c r="X351" s="186">
        <f t="shared" si="895"/>
        <v>0</v>
      </c>
      <c r="Y351" s="186">
        <f t="shared" si="895"/>
        <v>0</v>
      </c>
      <c r="Z351" s="186">
        <f t="shared" si="895"/>
        <v>0</v>
      </c>
      <c r="AA351" s="186">
        <f t="shared" si="895"/>
        <v>0</v>
      </c>
      <c r="AB351" s="186">
        <f t="shared" si="895"/>
        <v>0</v>
      </c>
      <c r="AC351" s="186">
        <f t="shared" si="895"/>
        <v>0</v>
      </c>
      <c r="AD351" s="186">
        <f t="shared" si="895"/>
        <v>0</v>
      </c>
      <c r="AE351" s="186">
        <f t="shared" si="895"/>
        <v>0</v>
      </c>
      <c r="AF351" s="186">
        <f t="shared" si="895"/>
        <v>0</v>
      </c>
      <c r="AG351" s="186">
        <f t="shared" si="895"/>
        <v>0</v>
      </c>
      <c r="AH351" s="186">
        <f t="shared" si="895"/>
        <v>0</v>
      </c>
      <c r="AI351" s="186">
        <f t="shared" si="895"/>
        <v>0</v>
      </c>
      <c r="AJ351" s="186">
        <f t="shared" si="895"/>
        <v>0</v>
      </c>
      <c r="AK351" s="186">
        <f t="shared" si="895"/>
        <v>0</v>
      </c>
      <c r="AL351" s="186">
        <f t="shared" si="895"/>
        <v>0</v>
      </c>
      <c r="AM351" s="186">
        <f t="shared" si="895"/>
        <v>0</v>
      </c>
      <c r="AN351" s="186">
        <f t="shared" si="895"/>
        <v>0</v>
      </c>
      <c r="AO351" s="186">
        <f t="shared" si="895"/>
        <v>0</v>
      </c>
      <c r="AP351" s="186">
        <f t="shared" si="895"/>
        <v>0</v>
      </c>
    </row>
    <row r="352" spans="1:42">
      <c r="A352" s="118">
        <f t="shared" si="892"/>
        <v>6</v>
      </c>
      <c r="B352" s="196">
        <f t="shared" si="889"/>
        <v>0</v>
      </c>
      <c r="C352" s="186">
        <f t="shared" ref="C352:AP352" si="896">LOOKUP(C341,$B$331:$AP$331,$B$332:$AP$332)*$B654</f>
        <v>0</v>
      </c>
      <c r="D352" s="186">
        <f t="shared" si="896"/>
        <v>0</v>
      </c>
      <c r="E352" s="186">
        <f t="shared" si="896"/>
        <v>0</v>
      </c>
      <c r="F352" s="186">
        <f t="shared" si="896"/>
        <v>0</v>
      </c>
      <c r="G352" s="186">
        <f t="shared" si="896"/>
        <v>0</v>
      </c>
      <c r="H352" s="186">
        <f t="shared" si="896"/>
        <v>0</v>
      </c>
      <c r="I352" s="186">
        <f t="shared" si="896"/>
        <v>0</v>
      </c>
      <c r="J352" s="186">
        <f t="shared" si="896"/>
        <v>0</v>
      </c>
      <c r="K352" s="186">
        <f t="shared" si="896"/>
        <v>0</v>
      </c>
      <c r="L352" s="186">
        <f t="shared" si="896"/>
        <v>0</v>
      </c>
      <c r="M352" s="186">
        <f t="shared" si="896"/>
        <v>0</v>
      </c>
      <c r="N352" s="186">
        <f t="shared" si="896"/>
        <v>0</v>
      </c>
      <c r="O352" s="186">
        <f t="shared" si="896"/>
        <v>0</v>
      </c>
      <c r="P352" s="186">
        <f t="shared" si="896"/>
        <v>0</v>
      </c>
      <c r="Q352" s="186">
        <f t="shared" si="896"/>
        <v>0</v>
      </c>
      <c r="R352" s="186">
        <f t="shared" si="896"/>
        <v>0</v>
      </c>
      <c r="S352" s="186">
        <f t="shared" si="896"/>
        <v>0</v>
      </c>
      <c r="T352" s="186">
        <f t="shared" si="896"/>
        <v>0</v>
      </c>
      <c r="U352" s="186">
        <f t="shared" si="896"/>
        <v>0</v>
      </c>
      <c r="V352" s="186">
        <f t="shared" si="896"/>
        <v>0</v>
      </c>
      <c r="W352" s="186">
        <f t="shared" si="896"/>
        <v>0</v>
      </c>
      <c r="X352" s="186">
        <f t="shared" si="896"/>
        <v>0</v>
      </c>
      <c r="Y352" s="186">
        <f t="shared" si="896"/>
        <v>0</v>
      </c>
      <c r="Z352" s="186">
        <f t="shared" si="896"/>
        <v>0</v>
      </c>
      <c r="AA352" s="186">
        <f t="shared" si="896"/>
        <v>0</v>
      </c>
      <c r="AB352" s="186">
        <f t="shared" si="896"/>
        <v>0</v>
      </c>
      <c r="AC352" s="186">
        <f t="shared" si="896"/>
        <v>0</v>
      </c>
      <c r="AD352" s="186">
        <f t="shared" si="896"/>
        <v>0</v>
      </c>
      <c r="AE352" s="186">
        <f t="shared" si="896"/>
        <v>0</v>
      </c>
      <c r="AF352" s="186">
        <f t="shared" si="896"/>
        <v>0</v>
      </c>
      <c r="AG352" s="186">
        <f t="shared" si="896"/>
        <v>0</v>
      </c>
      <c r="AH352" s="186">
        <f t="shared" si="896"/>
        <v>0</v>
      </c>
      <c r="AI352" s="186">
        <f t="shared" si="896"/>
        <v>0</v>
      </c>
      <c r="AJ352" s="186">
        <f t="shared" si="896"/>
        <v>0</v>
      </c>
      <c r="AK352" s="186">
        <f t="shared" si="896"/>
        <v>0</v>
      </c>
      <c r="AL352" s="186">
        <f t="shared" si="896"/>
        <v>0</v>
      </c>
      <c r="AM352" s="186">
        <f t="shared" si="896"/>
        <v>0</v>
      </c>
      <c r="AN352" s="186">
        <f t="shared" si="896"/>
        <v>0</v>
      </c>
      <c r="AO352" s="186">
        <f t="shared" si="896"/>
        <v>0</v>
      </c>
      <c r="AP352" s="186">
        <f t="shared" si="896"/>
        <v>0</v>
      </c>
    </row>
    <row r="353" spans="1:42">
      <c r="A353" s="118">
        <f t="shared" si="892"/>
        <v>7</v>
      </c>
      <c r="B353" s="196">
        <f t="shared" si="889"/>
        <v>0</v>
      </c>
      <c r="C353" s="186">
        <f t="shared" ref="C353:AP353" si="897">LOOKUP(C342,$B$331:$AP$331,$B$332:$AP$332)*$B655</f>
        <v>0</v>
      </c>
      <c r="D353" s="186">
        <f t="shared" si="897"/>
        <v>0</v>
      </c>
      <c r="E353" s="186">
        <f t="shared" si="897"/>
        <v>0</v>
      </c>
      <c r="F353" s="186">
        <f t="shared" si="897"/>
        <v>0</v>
      </c>
      <c r="G353" s="186">
        <f t="shared" si="897"/>
        <v>0</v>
      </c>
      <c r="H353" s="186">
        <f t="shared" si="897"/>
        <v>0</v>
      </c>
      <c r="I353" s="186">
        <f t="shared" si="897"/>
        <v>0</v>
      </c>
      <c r="J353" s="186">
        <f t="shared" si="897"/>
        <v>0</v>
      </c>
      <c r="K353" s="186">
        <f t="shared" si="897"/>
        <v>0</v>
      </c>
      <c r="L353" s="186">
        <f t="shared" si="897"/>
        <v>0</v>
      </c>
      <c r="M353" s="186">
        <f t="shared" si="897"/>
        <v>0</v>
      </c>
      <c r="N353" s="186">
        <f t="shared" si="897"/>
        <v>0</v>
      </c>
      <c r="O353" s="186">
        <f t="shared" si="897"/>
        <v>0</v>
      </c>
      <c r="P353" s="186">
        <f t="shared" si="897"/>
        <v>0</v>
      </c>
      <c r="Q353" s="186">
        <f t="shared" si="897"/>
        <v>0</v>
      </c>
      <c r="R353" s="186">
        <f t="shared" si="897"/>
        <v>0</v>
      </c>
      <c r="S353" s="186">
        <f t="shared" si="897"/>
        <v>0</v>
      </c>
      <c r="T353" s="186">
        <f t="shared" si="897"/>
        <v>0</v>
      </c>
      <c r="U353" s="186">
        <f t="shared" si="897"/>
        <v>0</v>
      </c>
      <c r="V353" s="186">
        <f t="shared" si="897"/>
        <v>0</v>
      </c>
      <c r="W353" s="186">
        <f t="shared" si="897"/>
        <v>0</v>
      </c>
      <c r="X353" s="186">
        <f t="shared" si="897"/>
        <v>0</v>
      </c>
      <c r="Y353" s="186">
        <f t="shared" si="897"/>
        <v>0</v>
      </c>
      <c r="Z353" s="186">
        <f t="shared" si="897"/>
        <v>0</v>
      </c>
      <c r="AA353" s="186">
        <f t="shared" si="897"/>
        <v>0</v>
      </c>
      <c r="AB353" s="186">
        <f t="shared" si="897"/>
        <v>0</v>
      </c>
      <c r="AC353" s="186">
        <f t="shared" si="897"/>
        <v>0</v>
      </c>
      <c r="AD353" s="186">
        <f t="shared" si="897"/>
        <v>0</v>
      </c>
      <c r="AE353" s="186">
        <f t="shared" si="897"/>
        <v>0</v>
      </c>
      <c r="AF353" s="186">
        <f t="shared" si="897"/>
        <v>0</v>
      </c>
      <c r="AG353" s="186">
        <f t="shared" si="897"/>
        <v>0</v>
      </c>
      <c r="AH353" s="186">
        <f t="shared" si="897"/>
        <v>0</v>
      </c>
      <c r="AI353" s="186">
        <f t="shared" si="897"/>
        <v>0</v>
      </c>
      <c r="AJ353" s="186">
        <f t="shared" si="897"/>
        <v>0</v>
      </c>
      <c r="AK353" s="186">
        <f t="shared" si="897"/>
        <v>0</v>
      </c>
      <c r="AL353" s="186">
        <f t="shared" si="897"/>
        <v>0</v>
      </c>
      <c r="AM353" s="186">
        <f t="shared" si="897"/>
        <v>0</v>
      </c>
      <c r="AN353" s="186">
        <f t="shared" si="897"/>
        <v>0</v>
      </c>
      <c r="AO353" s="186">
        <f t="shared" si="897"/>
        <v>0</v>
      </c>
      <c r="AP353" s="186">
        <f t="shared" si="897"/>
        <v>0</v>
      </c>
    </row>
    <row r="354" spans="1:42">
      <c r="A354" s="118">
        <f t="shared" si="892"/>
        <v>8</v>
      </c>
      <c r="B354" s="196">
        <f t="shared" si="889"/>
        <v>0</v>
      </c>
      <c r="C354" s="186">
        <f t="shared" ref="C354:AP354" si="898">LOOKUP(C343,$B$331:$AP$331,$B$332:$AP$332)*$B656</f>
        <v>0</v>
      </c>
      <c r="D354" s="186">
        <f t="shared" si="898"/>
        <v>0</v>
      </c>
      <c r="E354" s="186">
        <f t="shared" si="898"/>
        <v>0</v>
      </c>
      <c r="F354" s="186">
        <f t="shared" si="898"/>
        <v>0</v>
      </c>
      <c r="G354" s="186">
        <f t="shared" si="898"/>
        <v>0</v>
      </c>
      <c r="H354" s="186">
        <f t="shared" si="898"/>
        <v>0</v>
      </c>
      <c r="I354" s="186">
        <f t="shared" si="898"/>
        <v>0</v>
      </c>
      <c r="J354" s="186">
        <f t="shared" si="898"/>
        <v>0</v>
      </c>
      <c r="K354" s="186">
        <f t="shared" si="898"/>
        <v>0</v>
      </c>
      <c r="L354" s="186">
        <f t="shared" si="898"/>
        <v>0</v>
      </c>
      <c r="M354" s="186">
        <f t="shared" si="898"/>
        <v>0</v>
      </c>
      <c r="N354" s="186">
        <f t="shared" si="898"/>
        <v>0</v>
      </c>
      <c r="O354" s="186">
        <f t="shared" si="898"/>
        <v>0</v>
      </c>
      <c r="P354" s="186">
        <f t="shared" si="898"/>
        <v>0</v>
      </c>
      <c r="Q354" s="186">
        <f t="shared" si="898"/>
        <v>0</v>
      </c>
      <c r="R354" s="186">
        <f t="shared" si="898"/>
        <v>0</v>
      </c>
      <c r="S354" s="186">
        <f t="shared" si="898"/>
        <v>0</v>
      </c>
      <c r="T354" s="186">
        <f t="shared" si="898"/>
        <v>0</v>
      </c>
      <c r="U354" s="186">
        <f t="shared" si="898"/>
        <v>0</v>
      </c>
      <c r="V354" s="186">
        <f t="shared" si="898"/>
        <v>0</v>
      </c>
      <c r="W354" s="186">
        <f t="shared" si="898"/>
        <v>0</v>
      </c>
      <c r="X354" s="186">
        <f t="shared" si="898"/>
        <v>0</v>
      </c>
      <c r="Y354" s="186">
        <f t="shared" si="898"/>
        <v>0</v>
      </c>
      <c r="Z354" s="186">
        <f t="shared" si="898"/>
        <v>0</v>
      </c>
      <c r="AA354" s="186">
        <f t="shared" si="898"/>
        <v>0</v>
      </c>
      <c r="AB354" s="186">
        <f t="shared" si="898"/>
        <v>0</v>
      </c>
      <c r="AC354" s="186">
        <f t="shared" si="898"/>
        <v>0</v>
      </c>
      <c r="AD354" s="186">
        <f t="shared" si="898"/>
        <v>0</v>
      </c>
      <c r="AE354" s="186">
        <f t="shared" si="898"/>
        <v>0</v>
      </c>
      <c r="AF354" s="186">
        <f t="shared" si="898"/>
        <v>0</v>
      </c>
      <c r="AG354" s="186">
        <f t="shared" si="898"/>
        <v>0</v>
      </c>
      <c r="AH354" s="186">
        <f t="shared" si="898"/>
        <v>0</v>
      </c>
      <c r="AI354" s="186">
        <f t="shared" si="898"/>
        <v>0</v>
      </c>
      <c r="AJ354" s="186">
        <f t="shared" si="898"/>
        <v>0</v>
      </c>
      <c r="AK354" s="186">
        <f t="shared" si="898"/>
        <v>0</v>
      </c>
      <c r="AL354" s="186">
        <f t="shared" si="898"/>
        <v>0</v>
      </c>
      <c r="AM354" s="186">
        <f t="shared" si="898"/>
        <v>0</v>
      </c>
      <c r="AN354" s="186">
        <f t="shared" si="898"/>
        <v>0</v>
      </c>
      <c r="AO354" s="186">
        <f t="shared" si="898"/>
        <v>0</v>
      </c>
      <c r="AP354" s="186">
        <f t="shared" si="898"/>
        <v>0</v>
      </c>
    </row>
    <row r="355" spans="1:42">
      <c r="A355" s="118">
        <f>A354+1</f>
        <v>9</v>
      </c>
      <c r="B355" s="196">
        <f t="shared" si="889"/>
        <v>0</v>
      </c>
      <c r="C355" s="186">
        <f t="shared" ref="C355:AP355" si="899">LOOKUP(C344,$B$331:$AP$331,$B$332:$AP$332)*$B657</f>
        <v>0</v>
      </c>
      <c r="D355" s="186">
        <f t="shared" si="899"/>
        <v>0</v>
      </c>
      <c r="E355" s="186">
        <f t="shared" si="899"/>
        <v>0</v>
      </c>
      <c r="F355" s="186">
        <f t="shared" si="899"/>
        <v>0</v>
      </c>
      <c r="G355" s="186">
        <f t="shared" si="899"/>
        <v>0</v>
      </c>
      <c r="H355" s="186">
        <f t="shared" si="899"/>
        <v>0</v>
      </c>
      <c r="I355" s="186">
        <f t="shared" si="899"/>
        <v>0</v>
      </c>
      <c r="J355" s="186">
        <f t="shared" si="899"/>
        <v>0</v>
      </c>
      <c r="K355" s="186">
        <f t="shared" si="899"/>
        <v>0</v>
      </c>
      <c r="L355" s="186">
        <f t="shared" si="899"/>
        <v>0</v>
      </c>
      <c r="M355" s="186">
        <f t="shared" si="899"/>
        <v>0</v>
      </c>
      <c r="N355" s="186">
        <f t="shared" si="899"/>
        <v>0</v>
      </c>
      <c r="O355" s="186">
        <f t="shared" si="899"/>
        <v>0</v>
      </c>
      <c r="P355" s="186">
        <f t="shared" si="899"/>
        <v>0</v>
      </c>
      <c r="Q355" s="186">
        <f t="shared" si="899"/>
        <v>0</v>
      </c>
      <c r="R355" s="186">
        <f t="shared" si="899"/>
        <v>0</v>
      </c>
      <c r="S355" s="186">
        <f t="shared" si="899"/>
        <v>0</v>
      </c>
      <c r="T355" s="186">
        <f t="shared" si="899"/>
        <v>0</v>
      </c>
      <c r="U355" s="186">
        <f t="shared" si="899"/>
        <v>0</v>
      </c>
      <c r="V355" s="186">
        <f t="shared" si="899"/>
        <v>0</v>
      </c>
      <c r="W355" s="186">
        <f t="shared" si="899"/>
        <v>0</v>
      </c>
      <c r="X355" s="186">
        <f t="shared" si="899"/>
        <v>0</v>
      </c>
      <c r="Y355" s="186">
        <f t="shared" si="899"/>
        <v>0</v>
      </c>
      <c r="Z355" s="186">
        <f t="shared" si="899"/>
        <v>0</v>
      </c>
      <c r="AA355" s="186">
        <f t="shared" si="899"/>
        <v>0</v>
      </c>
      <c r="AB355" s="186">
        <f t="shared" si="899"/>
        <v>0</v>
      </c>
      <c r="AC355" s="186">
        <f t="shared" si="899"/>
        <v>0</v>
      </c>
      <c r="AD355" s="186">
        <f t="shared" si="899"/>
        <v>0</v>
      </c>
      <c r="AE355" s="186">
        <f t="shared" si="899"/>
        <v>0</v>
      </c>
      <c r="AF355" s="186">
        <f t="shared" si="899"/>
        <v>0</v>
      </c>
      <c r="AG355" s="186">
        <f t="shared" si="899"/>
        <v>0</v>
      </c>
      <c r="AH355" s="186">
        <f t="shared" si="899"/>
        <v>0</v>
      </c>
      <c r="AI355" s="186">
        <f t="shared" si="899"/>
        <v>0</v>
      </c>
      <c r="AJ355" s="186">
        <f t="shared" si="899"/>
        <v>0</v>
      </c>
      <c r="AK355" s="186">
        <f t="shared" si="899"/>
        <v>0</v>
      </c>
      <c r="AL355" s="186">
        <f t="shared" si="899"/>
        <v>0</v>
      </c>
      <c r="AM355" s="186">
        <f t="shared" si="899"/>
        <v>0</v>
      </c>
      <c r="AN355" s="186">
        <f t="shared" si="899"/>
        <v>0</v>
      </c>
      <c r="AO355" s="186">
        <f t="shared" si="899"/>
        <v>0</v>
      </c>
      <c r="AP355" s="186">
        <f t="shared" si="899"/>
        <v>0</v>
      </c>
    </row>
    <row r="356" spans="1:42">
      <c r="A356" s="118">
        <f t="shared" si="892"/>
        <v>10</v>
      </c>
      <c r="B356" s="196">
        <f t="shared" si="889"/>
        <v>0</v>
      </c>
      <c r="C356" s="221">
        <f t="shared" ref="C356:AP356" si="900">LOOKUP(C345,$B$331:$AP$331,$B$332:$AP$332)*$B658</f>
        <v>0</v>
      </c>
      <c r="D356" s="187">
        <f t="shared" si="900"/>
        <v>0</v>
      </c>
      <c r="E356" s="187">
        <f t="shared" si="900"/>
        <v>0</v>
      </c>
      <c r="F356" s="187">
        <f t="shared" si="900"/>
        <v>0</v>
      </c>
      <c r="G356" s="187">
        <f t="shared" si="900"/>
        <v>0</v>
      </c>
      <c r="H356" s="187">
        <f t="shared" si="900"/>
        <v>0</v>
      </c>
      <c r="I356" s="187">
        <f t="shared" si="900"/>
        <v>0</v>
      </c>
      <c r="J356" s="187">
        <f t="shared" si="900"/>
        <v>0</v>
      </c>
      <c r="K356" s="187">
        <f t="shared" si="900"/>
        <v>0</v>
      </c>
      <c r="L356" s="187">
        <f t="shared" si="900"/>
        <v>0</v>
      </c>
      <c r="M356" s="187">
        <f t="shared" si="900"/>
        <v>0</v>
      </c>
      <c r="N356" s="187">
        <f t="shared" si="900"/>
        <v>0</v>
      </c>
      <c r="O356" s="187">
        <f t="shared" si="900"/>
        <v>0</v>
      </c>
      <c r="P356" s="187">
        <f t="shared" si="900"/>
        <v>0</v>
      </c>
      <c r="Q356" s="187">
        <f t="shared" si="900"/>
        <v>0</v>
      </c>
      <c r="R356" s="187">
        <f t="shared" si="900"/>
        <v>0</v>
      </c>
      <c r="S356" s="187">
        <f t="shared" si="900"/>
        <v>0</v>
      </c>
      <c r="T356" s="187">
        <f t="shared" si="900"/>
        <v>0</v>
      </c>
      <c r="U356" s="187">
        <f t="shared" si="900"/>
        <v>0</v>
      </c>
      <c r="V356" s="187">
        <f t="shared" si="900"/>
        <v>0</v>
      </c>
      <c r="W356" s="187">
        <f t="shared" si="900"/>
        <v>0</v>
      </c>
      <c r="X356" s="187">
        <f t="shared" si="900"/>
        <v>0</v>
      </c>
      <c r="Y356" s="187">
        <f t="shared" si="900"/>
        <v>0</v>
      </c>
      <c r="Z356" s="187">
        <f t="shared" si="900"/>
        <v>0</v>
      </c>
      <c r="AA356" s="187">
        <f t="shared" si="900"/>
        <v>0</v>
      </c>
      <c r="AB356" s="187">
        <f t="shared" si="900"/>
        <v>0</v>
      </c>
      <c r="AC356" s="187">
        <f t="shared" si="900"/>
        <v>0</v>
      </c>
      <c r="AD356" s="187">
        <f t="shared" si="900"/>
        <v>0</v>
      </c>
      <c r="AE356" s="187">
        <f t="shared" si="900"/>
        <v>0</v>
      </c>
      <c r="AF356" s="187">
        <f t="shared" si="900"/>
        <v>0</v>
      </c>
      <c r="AG356" s="187">
        <f t="shared" si="900"/>
        <v>0</v>
      </c>
      <c r="AH356" s="187">
        <f t="shared" si="900"/>
        <v>0</v>
      </c>
      <c r="AI356" s="187">
        <f t="shared" si="900"/>
        <v>0</v>
      </c>
      <c r="AJ356" s="187">
        <f t="shared" si="900"/>
        <v>0</v>
      </c>
      <c r="AK356" s="187">
        <f t="shared" si="900"/>
        <v>0</v>
      </c>
      <c r="AL356" s="187">
        <f t="shared" si="900"/>
        <v>0</v>
      </c>
      <c r="AM356" s="187">
        <f t="shared" si="900"/>
        <v>0</v>
      </c>
      <c r="AN356" s="187">
        <f t="shared" si="900"/>
        <v>0</v>
      </c>
      <c r="AO356" s="187">
        <f t="shared" si="900"/>
        <v>0</v>
      </c>
      <c r="AP356" s="187">
        <f t="shared" si="900"/>
        <v>0</v>
      </c>
    </row>
    <row r="357" spans="1:42" s="118" customFormat="1" ht="12" customHeight="1">
      <c r="A357" s="222" t="s">
        <v>53</v>
      </c>
      <c r="B357" s="141"/>
      <c r="C357" s="141">
        <f>SUM(C347:C356)</f>
        <v>0</v>
      </c>
      <c r="D357" s="141">
        <f t="shared" ref="D357:AP357" si="901">SUM(D347:D356)</f>
        <v>0</v>
      </c>
      <c r="E357" s="141">
        <f t="shared" si="901"/>
        <v>0</v>
      </c>
      <c r="F357" s="141">
        <f t="shared" si="901"/>
        <v>0</v>
      </c>
      <c r="G357" s="141">
        <f t="shared" si="901"/>
        <v>0</v>
      </c>
      <c r="H357" s="141">
        <f t="shared" si="901"/>
        <v>0</v>
      </c>
      <c r="I357" s="141">
        <f t="shared" si="901"/>
        <v>0</v>
      </c>
      <c r="J357" s="141">
        <f t="shared" si="901"/>
        <v>0</v>
      </c>
      <c r="K357" s="141">
        <f t="shared" si="901"/>
        <v>0</v>
      </c>
      <c r="L357" s="141">
        <f t="shared" si="901"/>
        <v>0</v>
      </c>
      <c r="M357" s="141">
        <f t="shared" si="901"/>
        <v>0</v>
      </c>
      <c r="N357" s="141">
        <f t="shared" si="901"/>
        <v>588974.46870026283</v>
      </c>
      <c r="O357" s="141">
        <f t="shared" si="901"/>
        <v>942359.14992042049</v>
      </c>
      <c r="P357" s="141">
        <f t="shared" si="901"/>
        <v>565415.48995225236</v>
      </c>
      <c r="Q357" s="141">
        <f t="shared" si="901"/>
        <v>339249.29397135135</v>
      </c>
      <c r="R357" s="141">
        <f t="shared" si="901"/>
        <v>339249.29397135135</v>
      </c>
      <c r="S357" s="141">
        <f t="shared" si="901"/>
        <v>169624.64698567567</v>
      </c>
      <c r="T357" s="141">
        <f t="shared" si="901"/>
        <v>0</v>
      </c>
      <c r="U357" s="141">
        <f t="shared" si="901"/>
        <v>0</v>
      </c>
      <c r="V357" s="141">
        <f t="shared" si="901"/>
        <v>0</v>
      </c>
      <c r="W357" s="141">
        <f t="shared" si="901"/>
        <v>0</v>
      </c>
      <c r="X357" s="141">
        <f t="shared" si="901"/>
        <v>0</v>
      </c>
      <c r="Y357" s="141">
        <f t="shared" si="901"/>
        <v>0</v>
      </c>
      <c r="Z357" s="141">
        <f t="shared" si="901"/>
        <v>704188.57730493625</v>
      </c>
      <c r="AA357" s="141">
        <f t="shared" si="901"/>
        <v>1126701.7236878979</v>
      </c>
      <c r="AB357" s="141">
        <f t="shared" si="901"/>
        <v>676021.03421273874</v>
      </c>
      <c r="AC357" s="141">
        <f t="shared" si="901"/>
        <v>405612.62052764324</v>
      </c>
      <c r="AD357" s="141">
        <f t="shared" si="901"/>
        <v>405612.62052764324</v>
      </c>
      <c r="AE357" s="141">
        <f t="shared" si="901"/>
        <v>202806.31026382162</v>
      </c>
      <c r="AF357" s="141">
        <f t="shared" si="901"/>
        <v>0</v>
      </c>
      <c r="AG357" s="141">
        <f t="shared" si="901"/>
        <v>0</v>
      </c>
      <c r="AH357" s="141">
        <f t="shared" si="901"/>
        <v>0</v>
      </c>
      <c r="AI357" s="141">
        <f t="shared" si="901"/>
        <v>0</v>
      </c>
      <c r="AJ357" s="141">
        <f t="shared" si="901"/>
        <v>0</v>
      </c>
      <c r="AK357" s="141">
        <f t="shared" si="901"/>
        <v>0</v>
      </c>
      <c r="AL357" s="141">
        <f t="shared" si="901"/>
        <v>0</v>
      </c>
      <c r="AM357" s="141">
        <f t="shared" si="901"/>
        <v>0</v>
      </c>
      <c r="AN357" s="141">
        <f t="shared" si="901"/>
        <v>0</v>
      </c>
      <c r="AO357" s="141">
        <f t="shared" si="901"/>
        <v>0</v>
      </c>
      <c r="AP357" s="141">
        <f t="shared" si="901"/>
        <v>0</v>
      </c>
    </row>
    <row r="358" spans="1:42">
      <c r="A358" s="204"/>
      <c r="C358" s="186"/>
      <c r="D358" s="186"/>
      <c r="E358" s="186"/>
      <c r="F358" s="186"/>
      <c r="G358" s="186"/>
      <c r="H358" s="186"/>
      <c r="I358" s="186"/>
      <c r="J358" s="186"/>
      <c r="K358" s="186"/>
      <c r="L358" s="186"/>
      <c r="M358" s="186"/>
      <c r="N358" s="186"/>
      <c r="O358" s="186"/>
      <c r="P358" s="186"/>
      <c r="Q358" s="186"/>
      <c r="R358" s="186"/>
      <c r="S358" s="186"/>
      <c r="T358" s="186"/>
      <c r="U358" s="186"/>
      <c r="V358" s="186"/>
      <c r="W358" s="186"/>
      <c r="X358" s="186"/>
      <c r="Y358" s="186"/>
      <c r="Z358" s="186"/>
      <c r="AA358" s="186"/>
      <c r="AB358" s="186"/>
      <c r="AC358" s="186"/>
      <c r="AD358" s="186"/>
      <c r="AE358" s="186"/>
      <c r="AF358" s="186"/>
      <c r="AG358" s="186"/>
      <c r="AH358" s="186"/>
      <c r="AI358" s="186"/>
      <c r="AJ358" s="186"/>
      <c r="AK358" s="186"/>
      <c r="AL358" s="186"/>
      <c r="AM358" s="186"/>
      <c r="AN358" s="186"/>
      <c r="AO358" s="186"/>
      <c r="AP358" s="186"/>
    </row>
    <row r="359" spans="1:42">
      <c r="A359" s="197" t="s">
        <v>369</v>
      </c>
      <c r="C359" s="186"/>
      <c r="D359" s="186"/>
      <c r="E359" s="186"/>
      <c r="F359" s="186"/>
      <c r="G359" s="186"/>
      <c r="H359" s="186"/>
      <c r="I359" s="186"/>
      <c r="J359" s="186"/>
      <c r="K359" s="186"/>
      <c r="L359" s="186"/>
      <c r="M359" s="186"/>
      <c r="N359" s="186"/>
      <c r="O359" s="186"/>
      <c r="P359" s="186"/>
      <c r="Q359" s="186"/>
      <c r="R359" s="186"/>
      <c r="S359" s="186"/>
      <c r="T359" s="186"/>
      <c r="U359" s="186"/>
      <c r="V359" s="186"/>
      <c r="W359" s="186"/>
      <c r="X359" s="186"/>
      <c r="Y359" s="186"/>
      <c r="Z359" s="186"/>
      <c r="AA359" s="186"/>
      <c r="AB359" s="186"/>
      <c r="AC359" s="186"/>
      <c r="AD359" s="186"/>
      <c r="AE359" s="186"/>
      <c r="AF359" s="186"/>
      <c r="AG359" s="186"/>
      <c r="AH359" s="186"/>
      <c r="AI359" s="186"/>
      <c r="AJ359" s="186"/>
      <c r="AK359" s="186"/>
      <c r="AL359" s="186"/>
      <c r="AM359" s="186"/>
      <c r="AN359" s="186"/>
      <c r="AO359" s="186"/>
      <c r="AP359" s="186"/>
    </row>
    <row r="360" spans="1:42">
      <c r="A360" s="204" t="s">
        <v>207</v>
      </c>
      <c r="C360" s="186"/>
      <c r="D360" s="186"/>
      <c r="E360" s="186"/>
      <c r="F360" s="186"/>
      <c r="G360" s="186"/>
      <c r="H360" s="186"/>
      <c r="I360" s="186"/>
      <c r="J360" s="186"/>
      <c r="K360" s="186"/>
      <c r="L360" s="186"/>
      <c r="M360" s="186"/>
      <c r="N360" s="186"/>
      <c r="O360" s="186"/>
      <c r="P360" s="186"/>
      <c r="Q360" s="186"/>
      <c r="R360" s="186"/>
      <c r="S360" s="186"/>
      <c r="T360" s="186"/>
      <c r="U360" s="186"/>
      <c r="V360" s="186"/>
      <c r="W360" s="186"/>
      <c r="X360" s="186"/>
      <c r="Y360" s="186"/>
      <c r="Z360" s="186"/>
      <c r="AA360" s="186"/>
      <c r="AB360" s="186"/>
      <c r="AC360" s="186"/>
      <c r="AD360" s="186"/>
      <c r="AE360" s="186"/>
      <c r="AF360" s="186"/>
      <c r="AG360" s="186"/>
      <c r="AH360" s="186"/>
      <c r="AI360" s="186"/>
      <c r="AJ360" s="186"/>
      <c r="AK360" s="186"/>
      <c r="AL360" s="186"/>
      <c r="AM360" s="186"/>
      <c r="AN360" s="186"/>
      <c r="AO360" s="186"/>
      <c r="AP360" s="186"/>
    </row>
    <row r="361" spans="1:42">
      <c r="A361" s="118">
        <v>1</v>
      </c>
      <c r="C361" s="186">
        <f>IF(C$2&lt;=AnalysisPeriod,IF(SUM($C681:C681)&gt;0,B361+1,0),0)</f>
        <v>0</v>
      </c>
      <c r="D361" s="186">
        <f>IF(D$2&lt;=AnalysisPeriod,IF(SUM($C681:D681)&gt;0,C361+1,0),0)</f>
        <v>0</v>
      </c>
      <c r="E361" s="186">
        <f>IF(E$2&lt;=AnalysisPeriod,IF(SUM($C681:E681)&gt;0,D361+1,0),0)</f>
        <v>0</v>
      </c>
      <c r="F361" s="186">
        <f>IF(F$2&lt;=AnalysisPeriod,IF(SUM($C681:F681)&gt;0,E361+1,0),0)</f>
        <v>0</v>
      </c>
      <c r="G361" s="186">
        <f>IF(G$2&lt;=AnalysisPeriod,IF(SUM($C681:G681)&gt;0,F361+1,0),0)</f>
        <v>0</v>
      </c>
      <c r="H361" s="186">
        <f>IF(H$2&lt;=AnalysisPeriod,IF(SUM($C681:H681)&gt;0,G361+1,0),0)</f>
        <v>0</v>
      </c>
      <c r="I361" s="186">
        <f>IF(I$2&lt;=AnalysisPeriod,IF(SUM($C681:I681)&gt;0,H361+1,0),0)</f>
        <v>0</v>
      </c>
      <c r="J361" s="186">
        <f>IF(J$2&lt;=AnalysisPeriod,IF(SUM($C681:J681)&gt;0,I361+1,0),0)</f>
        <v>0</v>
      </c>
      <c r="K361" s="186">
        <f>IF(K$2&lt;=AnalysisPeriod,IF(SUM($C681:K681)&gt;0,J361+1,0),0)</f>
        <v>0</v>
      </c>
      <c r="L361" s="186">
        <f>IF(L$2&lt;=AnalysisPeriod,IF(SUM($C681:L681)&gt;0,K361+1,0),0)</f>
        <v>0</v>
      </c>
      <c r="M361" s="186">
        <f>IF(M$2&lt;=AnalysisPeriod,IF(SUM($C681:M681)&gt;0,L361+1,0),0)</f>
        <v>0</v>
      </c>
      <c r="N361" s="186">
        <f>IF(N$2&lt;=AnalysisPeriod,IF(SUM($C681:N681)&gt;0,M361+1,0),0)</f>
        <v>0</v>
      </c>
      <c r="O361" s="186">
        <f>IF(O$2&lt;=AnalysisPeriod,IF(SUM($C681:O681)&gt;0,N361+1,0),0)</f>
        <v>0</v>
      </c>
      <c r="P361" s="186">
        <f>IF(P$2&lt;=AnalysisPeriod,IF(SUM($C681:P681)&gt;0,O361+1,0),0)</f>
        <v>0</v>
      </c>
      <c r="Q361" s="186">
        <f>IF(Q$2&lt;=AnalysisPeriod,IF(SUM($C681:Q681)&gt;0,P361+1,0),0)</f>
        <v>1</v>
      </c>
      <c r="R361" s="186">
        <f>IF(R$2&lt;=AnalysisPeriod,IF(SUM($C681:R681)&gt;0,Q361+1,0),0)</f>
        <v>2</v>
      </c>
      <c r="S361" s="186">
        <f>IF(S$2&lt;=AnalysisPeriod,IF(SUM($C681:S681)&gt;0,R361+1,0),0)</f>
        <v>3</v>
      </c>
      <c r="T361" s="186">
        <f>IF(T$2&lt;=AnalysisPeriod,IF(SUM($C681:T681)&gt;0,S361+1,0),0)</f>
        <v>4</v>
      </c>
      <c r="U361" s="186">
        <f>IF(U$2&lt;=AnalysisPeriod,IF(SUM($C681:U681)&gt;0,T361+1,0),0)</f>
        <v>5</v>
      </c>
      <c r="V361" s="186">
        <f>IF(V$2&lt;=AnalysisPeriod,IF(SUM($C681:V681)&gt;0,U361+1,0),0)</f>
        <v>6</v>
      </c>
      <c r="W361" s="186">
        <f>IF(W$2&lt;=AnalysisPeriod,IF(SUM($C681:W681)&gt;0,V361+1,0),0)</f>
        <v>7</v>
      </c>
      <c r="X361" s="186">
        <f>IF(X$2&lt;=AnalysisPeriod,IF(SUM($C681:X681)&gt;0,W361+1,0),0)</f>
        <v>8</v>
      </c>
      <c r="Y361" s="186">
        <f>IF(Y$2&lt;=AnalysisPeriod,IF(SUM($C681:Y681)&gt;0,X361+1,0),0)</f>
        <v>9</v>
      </c>
      <c r="Z361" s="186">
        <f>IF(Z$2&lt;=AnalysisPeriod,IF(SUM($C681:Z681)&gt;0,Y361+1,0),0)</f>
        <v>10</v>
      </c>
      <c r="AA361" s="186">
        <f>IF(AA$2&lt;=AnalysisPeriod,IF(SUM($C681:AA681)&gt;0,Z361+1,0),0)</f>
        <v>11</v>
      </c>
      <c r="AB361" s="186">
        <f>IF(AB$2&lt;=AnalysisPeriod,IF(SUM($C681:AB681)&gt;0,AA361+1,0),0)</f>
        <v>12</v>
      </c>
      <c r="AC361" s="186">
        <f>IF(AC$2&lt;=AnalysisPeriod,IF(SUM($C681:AC681)&gt;0,AB361+1,0),0)</f>
        <v>13</v>
      </c>
      <c r="AD361" s="186">
        <f>IF(AD$2&lt;=AnalysisPeriod,IF(SUM($C681:AD681)&gt;0,AC361+1,0),0)</f>
        <v>14</v>
      </c>
      <c r="AE361" s="186">
        <f>IF(AE$2&lt;=AnalysisPeriod,IF(SUM($C681:AE681)&gt;0,AD361+1,0),0)</f>
        <v>15</v>
      </c>
      <c r="AF361" s="186">
        <f>IF(AF$2&lt;=AnalysisPeriod,IF(SUM($C681:AF681)&gt;0,AE361+1,0),0)</f>
        <v>16</v>
      </c>
      <c r="AG361" s="186">
        <f>IF(AG$2&lt;=AnalysisPeriod,IF(SUM($C681:AG681)&gt;0,AF361+1,0),0)</f>
        <v>0</v>
      </c>
      <c r="AH361" s="186">
        <f>IF(AH$2&lt;=AnalysisPeriod,IF(SUM($C681:AH681)&gt;0,AG361+1,0),0)</f>
        <v>0</v>
      </c>
      <c r="AI361" s="186">
        <f>IF(AI$2&lt;=AnalysisPeriod,IF(SUM($C681:AI681)&gt;0,AH361+1,0),0)</f>
        <v>0</v>
      </c>
      <c r="AJ361" s="186">
        <f>IF(AJ$2&lt;=AnalysisPeriod,IF(SUM($C681:AJ681)&gt;0,AI361+1,0),0)</f>
        <v>0</v>
      </c>
      <c r="AK361" s="186">
        <f>IF(AK$2&lt;=AnalysisPeriod,IF(SUM($C681:AK681)&gt;0,AJ361+1,0),0)</f>
        <v>0</v>
      </c>
      <c r="AL361" s="186">
        <f>IF(AL$2&lt;=AnalysisPeriod,IF(SUM($C681:AL681)&gt;0,AK361+1,0),0)</f>
        <v>0</v>
      </c>
      <c r="AM361" s="186">
        <f>IF(AM$2&lt;=AnalysisPeriod,IF(SUM($C681:AM681)&gt;0,AL361+1,0),0)</f>
        <v>0</v>
      </c>
      <c r="AN361" s="186">
        <f>IF(AN$2&lt;=AnalysisPeriod,IF(SUM($C681:AN681)&gt;0,AM361+1,0),0)</f>
        <v>0</v>
      </c>
      <c r="AO361" s="186">
        <f>IF(AO$2&lt;=AnalysisPeriod,IF(SUM($C681:AO681)&gt;0,AN361+1,0),0)</f>
        <v>0</v>
      </c>
      <c r="AP361" s="186">
        <f>IF(AP$2&lt;=AnalysisPeriod,IF(SUM($C681:AP681)&gt;0,AO361+1,0),0)</f>
        <v>0</v>
      </c>
    </row>
    <row r="362" spans="1:42">
      <c r="A362" s="118">
        <f>A361+1</f>
        <v>2</v>
      </c>
      <c r="C362" s="186">
        <f>IF(C$2&lt;=AnalysisPeriod,IF(SUM($C682:C682)&gt;0,B362+1,0),0)</f>
        <v>0</v>
      </c>
      <c r="D362" s="186">
        <f>IF(D$2&lt;=AnalysisPeriod,IF(SUM($C682:D682)&gt;0,C362+1,0),0)</f>
        <v>0</v>
      </c>
      <c r="E362" s="186">
        <f>IF(E$2&lt;=AnalysisPeriod,IF(SUM($C682:E682)&gt;0,D362+1,0),0)</f>
        <v>0</v>
      </c>
      <c r="F362" s="186">
        <f>IF(F$2&lt;=AnalysisPeriod,IF(SUM($C682:F682)&gt;0,E362+1,0),0)</f>
        <v>0</v>
      </c>
      <c r="G362" s="186">
        <f>IF(G$2&lt;=AnalysisPeriod,IF(SUM($C682:G682)&gt;0,F362+1,0),0)</f>
        <v>0</v>
      </c>
      <c r="H362" s="186">
        <f>IF(H$2&lt;=AnalysisPeriod,IF(SUM($C682:H682)&gt;0,G362+1,0),0)</f>
        <v>0</v>
      </c>
      <c r="I362" s="186">
        <f>IF(I$2&lt;=AnalysisPeriod,IF(SUM($C682:I682)&gt;0,H362+1,0),0)</f>
        <v>0</v>
      </c>
      <c r="J362" s="186">
        <f>IF(J$2&lt;=AnalysisPeriod,IF(SUM($C682:J682)&gt;0,I362+1,0),0)</f>
        <v>0</v>
      </c>
      <c r="K362" s="186">
        <f>IF(K$2&lt;=AnalysisPeriod,IF(SUM($C682:K682)&gt;0,J362+1,0),0)</f>
        <v>0</v>
      </c>
      <c r="L362" s="186">
        <f>IF(L$2&lt;=AnalysisPeriod,IF(SUM($C682:L682)&gt;0,K362+1,0),0)</f>
        <v>0</v>
      </c>
      <c r="M362" s="186">
        <f>IF(M$2&lt;=AnalysisPeriod,IF(SUM($C682:M682)&gt;0,L362+1,0),0)</f>
        <v>0</v>
      </c>
      <c r="N362" s="186">
        <f>IF(N$2&lt;=AnalysisPeriod,IF(SUM($C682:N682)&gt;0,M362+1,0),0)</f>
        <v>0</v>
      </c>
      <c r="O362" s="186">
        <f>IF(O$2&lt;=AnalysisPeriod,IF(SUM($C682:O682)&gt;0,N362+1,0),0)</f>
        <v>0</v>
      </c>
      <c r="P362" s="186">
        <f>IF(P$2&lt;=AnalysisPeriod,IF(SUM($C682:P682)&gt;0,O362+1,0),0)</f>
        <v>0</v>
      </c>
      <c r="Q362" s="186">
        <f>IF(Q$2&lt;=AnalysisPeriod,IF(SUM($C682:Q682)&gt;0,P362+1,0),0)</f>
        <v>0</v>
      </c>
      <c r="R362" s="186">
        <f>IF(R$2&lt;=AnalysisPeriod,IF(SUM($C682:R682)&gt;0,Q362+1,0),0)</f>
        <v>0</v>
      </c>
      <c r="S362" s="186">
        <f>IF(S$2&lt;=AnalysisPeriod,IF(SUM($C682:S682)&gt;0,R362+1,0),0)</f>
        <v>0</v>
      </c>
      <c r="T362" s="186">
        <f>IF(T$2&lt;=AnalysisPeriod,IF(SUM($C682:T682)&gt;0,S362+1,0),0)</f>
        <v>0</v>
      </c>
      <c r="U362" s="186">
        <f>IF(U$2&lt;=AnalysisPeriod,IF(SUM($C682:U682)&gt;0,T362+1,0),0)</f>
        <v>0</v>
      </c>
      <c r="V362" s="186">
        <f>IF(V$2&lt;=AnalysisPeriod,IF(SUM($C682:V682)&gt;0,U362+1,0),0)</f>
        <v>0</v>
      </c>
      <c r="W362" s="186">
        <f>IF(W$2&lt;=AnalysisPeriod,IF(SUM($C682:W682)&gt;0,V362+1,0),0)</f>
        <v>0</v>
      </c>
      <c r="X362" s="186">
        <f>IF(X$2&lt;=AnalysisPeriod,IF(SUM($C682:X682)&gt;0,W362+1,0),0)</f>
        <v>0</v>
      </c>
      <c r="Y362" s="186">
        <f>IF(Y$2&lt;=AnalysisPeriod,IF(SUM($C682:Y682)&gt;0,X362+1,0),0)</f>
        <v>0</v>
      </c>
      <c r="Z362" s="186">
        <f>IF(Z$2&lt;=AnalysisPeriod,IF(SUM($C682:Z682)&gt;0,Y362+1,0),0)</f>
        <v>0</v>
      </c>
      <c r="AA362" s="186">
        <f>IF(AA$2&lt;=AnalysisPeriod,IF(SUM($C682:AA682)&gt;0,Z362+1,0),0)</f>
        <v>0</v>
      </c>
      <c r="AB362" s="186">
        <f>IF(AB$2&lt;=AnalysisPeriod,IF(SUM($C682:AB682)&gt;0,AA362+1,0),0)</f>
        <v>0</v>
      </c>
      <c r="AC362" s="186">
        <f>IF(AC$2&lt;=AnalysisPeriod,IF(SUM($C682:AC682)&gt;0,AB362+1,0),0)</f>
        <v>0</v>
      </c>
      <c r="AD362" s="186">
        <f>IF(AD$2&lt;=AnalysisPeriod,IF(SUM($C682:AD682)&gt;0,AC362+1,0),0)</f>
        <v>0</v>
      </c>
      <c r="AE362" s="186">
        <f>IF(AE$2&lt;=AnalysisPeriod,IF(SUM($C682:AE682)&gt;0,AD362+1,0),0)</f>
        <v>0</v>
      </c>
      <c r="AF362" s="186">
        <f>IF(AF$2&lt;=AnalysisPeriod,IF(SUM($C682:AF682)&gt;0,AE362+1,0),0)</f>
        <v>1</v>
      </c>
      <c r="AG362" s="186">
        <f>IF(AG$2&lt;=AnalysisPeriod,IF(SUM($C682:AG682)&gt;0,AF362+1,0),0)</f>
        <v>0</v>
      </c>
      <c r="AH362" s="186">
        <f>IF(AH$2&lt;=AnalysisPeriod,IF(SUM($C682:AH682)&gt;0,AG362+1,0),0)</f>
        <v>0</v>
      </c>
      <c r="AI362" s="186">
        <f>IF(AI$2&lt;=AnalysisPeriod,IF(SUM($C682:AI682)&gt;0,AH362+1,0),0)</f>
        <v>0</v>
      </c>
      <c r="AJ362" s="186">
        <f>IF(AJ$2&lt;=AnalysisPeriod,IF(SUM($C682:AJ682)&gt;0,AI362+1,0),0)</f>
        <v>0</v>
      </c>
      <c r="AK362" s="186">
        <f>IF(AK$2&lt;=AnalysisPeriod,IF(SUM($C682:AK682)&gt;0,AJ362+1,0),0)</f>
        <v>0</v>
      </c>
      <c r="AL362" s="186">
        <f>IF(AL$2&lt;=AnalysisPeriod,IF(SUM($C682:AL682)&gt;0,AK362+1,0),0)</f>
        <v>0</v>
      </c>
      <c r="AM362" s="186">
        <f>IF(AM$2&lt;=AnalysisPeriod,IF(SUM($C682:AM682)&gt;0,AL362+1,0),0)</f>
        <v>0</v>
      </c>
      <c r="AN362" s="186">
        <f>IF(AN$2&lt;=AnalysisPeriod,IF(SUM($C682:AN682)&gt;0,AM362+1,0),0)</f>
        <v>0</v>
      </c>
      <c r="AO362" s="186">
        <f>IF(AO$2&lt;=AnalysisPeriod,IF(SUM($C682:AO682)&gt;0,AN362+1,0),0)</f>
        <v>0</v>
      </c>
      <c r="AP362" s="186">
        <f>IF(AP$2&lt;=AnalysisPeriod,IF(SUM($C682:AP682)&gt;0,AO362+1,0),0)</f>
        <v>0</v>
      </c>
    </row>
    <row r="363" spans="1:42">
      <c r="A363" s="118">
        <f t="shared" ref="A363:A370" si="902">A362+1</f>
        <v>3</v>
      </c>
      <c r="C363" s="186">
        <f>IF(C$2&lt;=AnalysisPeriod,IF(SUM($C683:C683)&gt;0,B363+1,0),0)</f>
        <v>0</v>
      </c>
      <c r="D363" s="186">
        <f>IF(D$2&lt;=AnalysisPeriod,IF(SUM($C683:D683)&gt;0,C363+1,0),0)</f>
        <v>0</v>
      </c>
      <c r="E363" s="186">
        <f>IF(E$2&lt;=AnalysisPeriod,IF(SUM($C683:E683)&gt;0,D363+1,0),0)</f>
        <v>0</v>
      </c>
      <c r="F363" s="186">
        <f>IF(F$2&lt;=AnalysisPeriod,IF(SUM($C683:F683)&gt;0,E363+1,0),0)</f>
        <v>0</v>
      </c>
      <c r="G363" s="186">
        <f>IF(G$2&lt;=AnalysisPeriod,IF(SUM($C683:G683)&gt;0,F363+1,0),0)</f>
        <v>0</v>
      </c>
      <c r="H363" s="186">
        <f>IF(H$2&lt;=AnalysisPeriod,IF(SUM($C683:H683)&gt;0,G363+1,0),0)</f>
        <v>0</v>
      </c>
      <c r="I363" s="186">
        <f>IF(I$2&lt;=AnalysisPeriod,IF(SUM($C683:I683)&gt;0,H363+1,0),0)</f>
        <v>0</v>
      </c>
      <c r="J363" s="186">
        <f>IF(J$2&lt;=AnalysisPeriod,IF(SUM($C683:J683)&gt;0,I363+1,0),0)</f>
        <v>0</v>
      </c>
      <c r="K363" s="186">
        <f>IF(K$2&lt;=AnalysisPeriod,IF(SUM($C683:K683)&gt;0,J363+1,0),0)</f>
        <v>0</v>
      </c>
      <c r="L363" s="186">
        <f>IF(L$2&lt;=AnalysisPeriod,IF(SUM($C683:L683)&gt;0,K363+1,0),0)</f>
        <v>0</v>
      </c>
      <c r="M363" s="186">
        <f>IF(M$2&lt;=AnalysisPeriod,IF(SUM($C683:M683)&gt;0,L363+1,0),0)</f>
        <v>0</v>
      </c>
      <c r="N363" s="186">
        <f>IF(N$2&lt;=AnalysisPeriod,IF(SUM($C683:N683)&gt;0,M363+1,0),0)</f>
        <v>0</v>
      </c>
      <c r="O363" s="186">
        <f>IF(O$2&lt;=AnalysisPeriod,IF(SUM($C683:O683)&gt;0,N363+1,0),0)</f>
        <v>0</v>
      </c>
      <c r="P363" s="186">
        <f>IF(P$2&lt;=AnalysisPeriod,IF(SUM($C683:P683)&gt;0,O363+1,0),0)</f>
        <v>0</v>
      </c>
      <c r="Q363" s="186">
        <f>IF(Q$2&lt;=AnalysisPeriod,IF(SUM($C683:Q683)&gt;0,P363+1,0),0)</f>
        <v>0</v>
      </c>
      <c r="R363" s="186">
        <f>IF(R$2&lt;=AnalysisPeriod,IF(SUM($C683:R683)&gt;0,Q363+1,0),0)</f>
        <v>0</v>
      </c>
      <c r="S363" s="186">
        <f>IF(S$2&lt;=AnalysisPeriod,IF(SUM($C683:S683)&gt;0,R363+1,0),0)</f>
        <v>0</v>
      </c>
      <c r="T363" s="186">
        <f>IF(T$2&lt;=AnalysisPeriod,IF(SUM($C683:T683)&gt;0,S363+1,0),0)</f>
        <v>0</v>
      </c>
      <c r="U363" s="186">
        <f>IF(U$2&lt;=AnalysisPeriod,IF(SUM($C683:U683)&gt;0,T363+1,0),0)</f>
        <v>0</v>
      </c>
      <c r="V363" s="186">
        <f>IF(V$2&lt;=AnalysisPeriod,IF(SUM($C683:V683)&gt;0,U363+1,0),0)</f>
        <v>0</v>
      </c>
      <c r="W363" s="186">
        <f>IF(W$2&lt;=AnalysisPeriod,IF(SUM($C683:W683)&gt;0,V363+1,0),0)</f>
        <v>0</v>
      </c>
      <c r="X363" s="186">
        <f>IF(X$2&lt;=AnalysisPeriod,IF(SUM($C683:X683)&gt;0,W363+1,0),0)</f>
        <v>0</v>
      </c>
      <c r="Y363" s="186">
        <f>IF(Y$2&lt;=AnalysisPeriod,IF(SUM($C683:Y683)&gt;0,X363+1,0),0)</f>
        <v>0</v>
      </c>
      <c r="Z363" s="186">
        <f>IF(Z$2&lt;=AnalysisPeriod,IF(SUM($C683:Z683)&gt;0,Y363+1,0),0)</f>
        <v>0</v>
      </c>
      <c r="AA363" s="186">
        <f>IF(AA$2&lt;=AnalysisPeriod,IF(SUM($C683:AA683)&gt;0,Z363+1,0),0)</f>
        <v>0</v>
      </c>
      <c r="AB363" s="186">
        <f>IF(AB$2&lt;=AnalysisPeriod,IF(SUM($C683:AB683)&gt;0,AA363+1,0),0)</f>
        <v>0</v>
      </c>
      <c r="AC363" s="186">
        <f>IF(AC$2&lt;=AnalysisPeriod,IF(SUM($C683:AC683)&gt;0,AB363+1,0),0)</f>
        <v>0</v>
      </c>
      <c r="AD363" s="186">
        <f>IF(AD$2&lt;=AnalysisPeriod,IF(SUM($C683:AD683)&gt;0,AC363+1,0),0)</f>
        <v>0</v>
      </c>
      <c r="AE363" s="186">
        <f>IF(AE$2&lt;=AnalysisPeriod,IF(SUM($C683:AE683)&gt;0,AD363+1,0),0)</f>
        <v>0</v>
      </c>
      <c r="AF363" s="186">
        <f>IF(AF$2&lt;=AnalysisPeriod,IF(SUM($C683:AF683)&gt;0,AE363+1,0),0)</f>
        <v>0</v>
      </c>
      <c r="AG363" s="186">
        <f>IF(AG$2&lt;=AnalysisPeriod,IF(SUM($C683:AG683)&gt;0,AF363+1,0),0)</f>
        <v>0</v>
      </c>
      <c r="AH363" s="186">
        <f>IF(AH$2&lt;=AnalysisPeriod,IF(SUM($C683:AH683)&gt;0,AG363+1,0),0)</f>
        <v>0</v>
      </c>
      <c r="AI363" s="186">
        <f>IF(AI$2&lt;=AnalysisPeriod,IF(SUM($C683:AI683)&gt;0,AH363+1,0),0)</f>
        <v>0</v>
      </c>
      <c r="AJ363" s="186">
        <f>IF(AJ$2&lt;=AnalysisPeriod,IF(SUM($C683:AJ683)&gt;0,AI363+1,0),0)</f>
        <v>0</v>
      </c>
      <c r="AK363" s="186">
        <f>IF(AK$2&lt;=AnalysisPeriod,IF(SUM($C683:AK683)&gt;0,AJ363+1,0),0)</f>
        <v>0</v>
      </c>
      <c r="AL363" s="186">
        <f>IF(AL$2&lt;=AnalysisPeriod,IF(SUM($C683:AL683)&gt;0,AK363+1,0),0)</f>
        <v>0</v>
      </c>
      <c r="AM363" s="186">
        <f>IF(AM$2&lt;=AnalysisPeriod,IF(SUM($C683:AM683)&gt;0,AL363+1,0),0)</f>
        <v>0</v>
      </c>
      <c r="AN363" s="186">
        <f>IF(AN$2&lt;=AnalysisPeriod,IF(SUM($C683:AN683)&gt;0,AM363+1,0),0)</f>
        <v>0</v>
      </c>
      <c r="AO363" s="186">
        <f>IF(AO$2&lt;=AnalysisPeriod,IF(SUM($C683:AO683)&gt;0,AN363+1,0),0)</f>
        <v>0</v>
      </c>
      <c r="AP363" s="186">
        <f>IF(AP$2&lt;=AnalysisPeriod,IF(SUM($C683:AP683)&gt;0,AO363+1,0),0)</f>
        <v>0</v>
      </c>
    </row>
    <row r="364" spans="1:42">
      <c r="A364" s="118">
        <f t="shared" si="902"/>
        <v>4</v>
      </c>
      <c r="C364" s="186">
        <f>IF(C$2&lt;=AnalysisPeriod,IF(SUM($C684:C684)&gt;0,B364+1,0),0)</f>
        <v>0</v>
      </c>
      <c r="D364" s="186">
        <f>IF(D$2&lt;=AnalysisPeriod,IF(SUM($C684:D684)&gt;0,C364+1,0),0)</f>
        <v>0</v>
      </c>
      <c r="E364" s="186">
        <f>IF(E$2&lt;=AnalysisPeriod,IF(SUM($C684:E684)&gt;0,D364+1,0),0)</f>
        <v>0</v>
      </c>
      <c r="F364" s="186">
        <f>IF(F$2&lt;=AnalysisPeriod,IF(SUM($C684:F684)&gt;0,E364+1,0),0)</f>
        <v>0</v>
      </c>
      <c r="G364" s="186">
        <f>IF(G$2&lt;=AnalysisPeriod,IF(SUM($C684:G684)&gt;0,F364+1,0),0)</f>
        <v>0</v>
      </c>
      <c r="H364" s="186">
        <f>IF(H$2&lt;=AnalysisPeriod,IF(SUM($C684:H684)&gt;0,G364+1,0),0)</f>
        <v>0</v>
      </c>
      <c r="I364" s="186">
        <f>IF(I$2&lt;=AnalysisPeriod,IF(SUM($C684:I684)&gt;0,H364+1,0),0)</f>
        <v>0</v>
      </c>
      <c r="J364" s="186">
        <f>IF(J$2&lt;=AnalysisPeriod,IF(SUM($C684:J684)&gt;0,I364+1,0),0)</f>
        <v>0</v>
      </c>
      <c r="K364" s="186">
        <f>IF(K$2&lt;=AnalysisPeriod,IF(SUM($C684:K684)&gt;0,J364+1,0),0)</f>
        <v>0</v>
      </c>
      <c r="L364" s="186">
        <f>IF(L$2&lt;=AnalysisPeriod,IF(SUM($C684:L684)&gt;0,K364+1,0),0)</f>
        <v>0</v>
      </c>
      <c r="M364" s="186">
        <f>IF(M$2&lt;=AnalysisPeriod,IF(SUM($C684:M684)&gt;0,L364+1,0),0)</f>
        <v>0</v>
      </c>
      <c r="N364" s="186">
        <f>IF(N$2&lt;=AnalysisPeriod,IF(SUM($C684:N684)&gt;0,M364+1,0),0)</f>
        <v>0</v>
      </c>
      <c r="O364" s="186">
        <f>IF(O$2&lt;=AnalysisPeriod,IF(SUM($C684:O684)&gt;0,N364+1,0),0)</f>
        <v>0</v>
      </c>
      <c r="P364" s="186">
        <f>IF(P$2&lt;=AnalysisPeriod,IF(SUM($C684:P684)&gt;0,O364+1,0),0)</f>
        <v>0</v>
      </c>
      <c r="Q364" s="186">
        <f>IF(Q$2&lt;=AnalysisPeriod,IF(SUM($C684:Q684)&gt;0,P364+1,0),0)</f>
        <v>0</v>
      </c>
      <c r="R364" s="186">
        <f>IF(R$2&lt;=AnalysisPeriod,IF(SUM($C684:R684)&gt;0,Q364+1,0),0)</f>
        <v>0</v>
      </c>
      <c r="S364" s="186">
        <f>IF(S$2&lt;=AnalysisPeriod,IF(SUM($C684:S684)&gt;0,R364+1,0),0)</f>
        <v>0</v>
      </c>
      <c r="T364" s="186">
        <f>IF(T$2&lt;=AnalysisPeriod,IF(SUM($C684:T684)&gt;0,S364+1,0),0)</f>
        <v>0</v>
      </c>
      <c r="U364" s="186">
        <f>IF(U$2&lt;=AnalysisPeriod,IF(SUM($C684:U684)&gt;0,T364+1,0),0)</f>
        <v>0</v>
      </c>
      <c r="V364" s="186">
        <f>IF(V$2&lt;=AnalysisPeriod,IF(SUM($C684:V684)&gt;0,U364+1,0),0)</f>
        <v>0</v>
      </c>
      <c r="W364" s="186">
        <f>IF(W$2&lt;=AnalysisPeriod,IF(SUM($C684:W684)&gt;0,V364+1,0),0)</f>
        <v>0</v>
      </c>
      <c r="X364" s="186">
        <f>IF(X$2&lt;=AnalysisPeriod,IF(SUM($C684:X684)&gt;0,W364+1,0),0)</f>
        <v>0</v>
      </c>
      <c r="Y364" s="186">
        <f>IF(Y$2&lt;=AnalysisPeriod,IF(SUM($C684:Y684)&gt;0,X364+1,0),0)</f>
        <v>0</v>
      </c>
      <c r="Z364" s="186">
        <f>IF(Z$2&lt;=AnalysisPeriod,IF(SUM($C684:Z684)&gt;0,Y364+1,0),0)</f>
        <v>0</v>
      </c>
      <c r="AA364" s="186">
        <f>IF(AA$2&lt;=AnalysisPeriod,IF(SUM($C684:AA684)&gt;0,Z364+1,0),0)</f>
        <v>0</v>
      </c>
      <c r="AB364" s="186">
        <f>IF(AB$2&lt;=AnalysisPeriod,IF(SUM($C684:AB684)&gt;0,AA364+1,0),0)</f>
        <v>0</v>
      </c>
      <c r="AC364" s="186">
        <f>IF(AC$2&lt;=AnalysisPeriod,IF(SUM($C684:AC684)&gt;0,AB364+1,0),0)</f>
        <v>0</v>
      </c>
      <c r="AD364" s="186">
        <f>IF(AD$2&lt;=AnalysisPeriod,IF(SUM($C684:AD684)&gt;0,AC364+1,0),0)</f>
        <v>0</v>
      </c>
      <c r="AE364" s="186">
        <f>IF(AE$2&lt;=AnalysisPeriod,IF(SUM($C684:AE684)&gt;0,AD364+1,0),0)</f>
        <v>0</v>
      </c>
      <c r="AF364" s="186">
        <f>IF(AF$2&lt;=AnalysisPeriod,IF(SUM($C684:AF684)&gt;0,AE364+1,0),0)</f>
        <v>0</v>
      </c>
      <c r="AG364" s="186">
        <f>IF(AG$2&lt;=AnalysisPeriod,IF(SUM($C684:AG684)&gt;0,AF364+1,0),0)</f>
        <v>0</v>
      </c>
      <c r="AH364" s="186">
        <f>IF(AH$2&lt;=AnalysisPeriod,IF(SUM($C684:AH684)&gt;0,AG364+1,0),0)</f>
        <v>0</v>
      </c>
      <c r="AI364" s="186">
        <f>IF(AI$2&lt;=AnalysisPeriod,IF(SUM($C684:AI684)&gt;0,AH364+1,0),0)</f>
        <v>0</v>
      </c>
      <c r="AJ364" s="186">
        <f>IF(AJ$2&lt;=AnalysisPeriod,IF(SUM($C684:AJ684)&gt;0,AI364+1,0),0)</f>
        <v>0</v>
      </c>
      <c r="AK364" s="186">
        <f>IF(AK$2&lt;=AnalysisPeriod,IF(SUM($C684:AK684)&gt;0,AJ364+1,0),0)</f>
        <v>0</v>
      </c>
      <c r="AL364" s="186">
        <f>IF(AL$2&lt;=AnalysisPeriod,IF(SUM($C684:AL684)&gt;0,AK364+1,0),0)</f>
        <v>0</v>
      </c>
      <c r="AM364" s="186">
        <f>IF(AM$2&lt;=AnalysisPeriod,IF(SUM($C684:AM684)&gt;0,AL364+1,0),0)</f>
        <v>0</v>
      </c>
      <c r="AN364" s="186">
        <f>IF(AN$2&lt;=AnalysisPeriod,IF(SUM($C684:AN684)&gt;0,AM364+1,0),0)</f>
        <v>0</v>
      </c>
      <c r="AO364" s="186">
        <f>IF(AO$2&lt;=AnalysisPeriod,IF(SUM($C684:AO684)&gt;0,AN364+1,0),0)</f>
        <v>0</v>
      </c>
      <c r="AP364" s="186">
        <f>IF(AP$2&lt;=AnalysisPeriod,IF(SUM($C684:AP684)&gt;0,AO364+1,0),0)</f>
        <v>0</v>
      </c>
    </row>
    <row r="365" spans="1:42">
      <c r="A365" s="118">
        <f t="shared" si="902"/>
        <v>5</v>
      </c>
      <c r="C365" s="186">
        <f>IF(C$2&lt;=AnalysisPeriod,IF(SUM($C685:C685)&gt;0,B365+1,0),0)</f>
        <v>0</v>
      </c>
      <c r="D365" s="186">
        <f>IF(D$2&lt;=AnalysisPeriod,IF(SUM($C685:D685)&gt;0,C365+1,0),0)</f>
        <v>0</v>
      </c>
      <c r="E365" s="186">
        <f>IF(E$2&lt;=AnalysisPeriod,IF(SUM($C685:E685)&gt;0,D365+1,0),0)</f>
        <v>0</v>
      </c>
      <c r="F365" s="186">
        <f>IF(F$2&lt;=AnalysisPeriod,IF(SUM($C685:F685)&gt;0,E365+1,0),0)</f>
        <v>0</v>
      </c>
      <c r="G365" s="186">
        <f>IF(G$2&lt;=AnalysisPeriod,IF(SUM($C685:G685)&gt;0,F365+1,0),0)</f>
        <v>0</v>
      </c>
      <c r="H365" s="186">
        <f>IF(H$2&lt;=AnalysisPeriod,IF(SUM($C685:H685)&gt;0,G365+1,0),0)</f>
        <v>0</v>
      </c>
      <c r="I365" s="186">
        <f>IF(I$2&lt;=AnalysisPeriod,IF(SUM($C685:I685)&gt;0,H365+1,0),0)</f>
        <v>0</v>
      </c>
      <c r="J365" s="186">
        <f>IF(J$2&lt;=AnalysisPeriod,IF(SUM($C685:J685)&gt;0,I365+1,0),0)</f>
        <v>0</v>
      </c>
      <c r="K365" s="186">
        <f>IF(K$2&lt;=AnalysisPeriod,IF(SUM($C685:K685)&gt;0,J365+1,0),0)</f>
        <v>0</v>
      </c>
      <c r="L365" s="186">
        <f>IF(L$2&lt;=AnalysisPeriod,IF(SUM($C685:L685)&gt;0,K365+1,0),0)</f>
        <v>0</v>
      </c>
      <c r="M365" s="186">
        <f>IF(M$2&lt;=AnalysisPeriod,IF(SUM($C685:M685)&gt;0,L365+1,0),0)</f>
        <v>0</v>
      </c>
      <c r="N365" s="186">
        <f>IF(N$2&lt;=AnalysisPeriod,IF(SUM($C685:N685)&gt;0,M365+1,0),0)</f>
        <v>0</v>
      </c>
      <c r="O365" s="186">
        <f>IF(O$2&lt;=AnalysisPeriod,IF(SUM($C685:O685)&gt;0,N365+1,0),0)</f>
        <v>0</v>
      </c>
      <c r="P365" s="186">
        <f>IF(P$2&lt;=AnalysisPeriod,IF(SUM($C685:P685)&gt;0,O365+1,0),0)</f>
        <v>0</v>
      </c>
      <c r="Q365" s="186">
        <f>IF(Q$2&lt;=AnalysisPeriod,IF(SUM($C685:Q685)&gt;0,P365+1,0),0)</f>
        <v>0</v>
      </c>
      <c r="R365" s="186">
        <f>IF(R$2&lt;=AnalysisPeriod,IF(SUM($C685:R685)&gt;0,Q365+1,0),0)</f>
        <v>0</v>
      </c>
      <c r="S365" s="186">
        <f>IF(S$2&lt;=AnalysisPeriod,IF(SUM($C685:S685)&gt;0,R365+1,0),0)</f>
        <v>0</v>
      </c>
      <c r="T365" s="186">
        <f>IF(T$2&lt;=AnalysisPeriod,IF(SUM($C685:T685)&gt;0,S365+1,0),0)</f>
        <v>0</v>
      </c>
      <c r="U365" s="186">
        <f>IF(U$2&lt;=AnalysisPeriod,IF(SUM($C685:U685)&gt;0,T365+1,0),0)</f>
        <v>0</v>
      </c>
      <c r="V365" s="186">
        <f>IF(V$2&lt;=AnalysisPeriod,IF(SUM($C685:V685)&gt;0,U365+1,0),0)</f>
        <v>0</v>
      </c>
      <c r="W365" s="186">
        <f>IF(W$2&lt;=AnalysisPeriod,IF(SUM($C685:W685)&gt;0,V365+1,0),0)</f>
        <v>0</v>
      </c>
      <c r="X365" s="186">
        <f>IF(X$2&lt;=AnalysisPeriod,IF(SUM($C685:X685)&gt;0,W365+1,0),0)</f>
        <v>0</v>
      </c>
      <c r="Y365" s="186">
        <f>IF(Y$2&lt;=AnalysisPeriod,IF(SUM($C685:Y685)&gt;0,X365+1,0),0)</f>
        <v>0</v>
      </c>
      <c r="Z365" s="186">
        <f>IF(Z$2&lt;=AnalysisPeriod,IF(SUM($C685:Z685)&gt;0,Y365+1,0),0)</f>
        <v>0</v>
      </c>
      <c r="AA365" s="186">
        <f>IF(AA$2&lt;=AnalysisPeriod,IF(SUM($C685:AA685)&gt;0,Z365+1,0),0)</f>
        <v>0</v>
      </c>
      <c r="AB365" s="186">
        <f>IF(AB$2&lt;=AnalysisPeriod,IF(SUM($C685:AB685)&gt;0,AA365+1,0),0)</f>
        <v>0</v>
      </c>
      <c r="AC365" s="186">
        <f>IF(AC$2&lt;=AnalysisPeriod,IF(SUM($C685:AC685)&gt;0,AB365+1,0),0)</f>
        <v>0</v>
      </c>
      <c r="AD365" s="186">
        <f>IF(AD$2&lt;=AnalysisPeriod,IF(SUM($C685:AD685)&gt;0,AC365+1,0),0)</f>
        <v>0</v>
      </c>
      <c r="AE365" s="186">
        <f>IF(AE$2&lt;=AnalysisPeriod,IF(SUM($C685:AE685)&gt;0,AD365+1,0),0)</f>
        <v>0</v>
      </c>
      <c r="AF365" s="186">
        <f>IF(AF$2&lt;=AnalysisPeriod,IF(SUM($C685:AF685)&gt;0,AE365+1,0),0)</f>
        <v>0</v>
      </c>
      <c r="AG365" s="186">
        <f>IF(AG$2&lt;=AnalysisPeriod,IF(SUM($C685:AG685)&gt;0,AF365+1,0),0)</f>
        <v>0</v>
      </c>
      <c r="AH365" s="186">
        <f>IF(AH$2&lt;=AnalysisPeriod,IF(SUM($C685:AH685)&gt;0,AG365+1,0),0)</f>
        <v>0</v>
      </c>
      <c r="AI365" s="186">
        <f>IF(AI$2&lt;=AnalysisPeriod,IF(SUM($C685:AI685)&gt;0,AH365+1,0),0)</f>
        <v>0</v>
      </c>
      <c r="AJ365" s="186">
        <f>IF(AJ$2&lt;=AnalysisPeriod,IF(SUM($C685:AJ685)&gt;0,AI365+1,0),0)</f>
        <v>0</v>
      </c>
      <c r="AK365" s="186">
        <f>IF(AK$2&lt;=AnalysisPeriod,IF(SUM($C685:AK685)&gt;0,AJ365+1,0),0)</f>
        <v>0</v>
      </c>
      <c r="AL365" s="186">
        <f>IF(AL$2&lt;=AnalysisPeriod,IF(SUM($C685:AL685)&gt;0,AK365+1,0),0)</f>
        <v>0</v>
      </c>
      <c r="AM365" s="186">
        <f>IF(AM$2&lt;=AnalysisPeriod,IF(SUM($C685:AM685)&gt;0,AL365+1,0),0)</f>
        <v>0</v>
      </c>
      <c r="AN365" s="186">
        <f>IF(AN$2&lt;=AnalysisPeriod,IF(SUM($C685:AN685)&gt;0,AM365+1,0),0)</f>
        <v>0</v>
      </c>
      <c r="AO365" s="186">
        <f>IF(AO$2&lt;=AnalysisPeriod,IF(SUM($C685:AO685)&gt;0,AN365+1,0),0)</f>
        <v>0</v>
      </c>
      <c r="AP365" s="186">
        <f>IF(AP$2&lt;=AnalysisPeriod,IF(SUM($C685:AP685)&gt;0,AO365+1,0),0)</f>
        <v>0</v>
      </c>
    </row>
    <row r="366" spans="1:42">
      <c r="A366" s="118">
        <f t="shared" si="902"/>
        <v>6</v>
      </c>
      <c r="C366" s="186">
        <f>IF(C$2&lt;=AnalysisPeriod,IF(SUM($C686:C686)&gt;0,B366+1,0),0)</f>
        <v>0</v>
      </c>
      <c r="D366" s="186">
        <f>IF(D$2&lt;=AnalysisPeriod,IF(SUM($C686:D686)&gt;0,C366+1,0),0)</f>
        <v>0</v>
      </c>
      <c r="E366" s="186">
        <f>IF(E$2&lt;=AnalysisPeriod,IF(SUM($C686:E686)&gt;0,D366+1,0),0)</f>
        <v>0</v>
      </c>
      <c r="F366" s="186">
        <f>IF(F$2&lt;=AnalysisPeriod,IF(SUM($C686:F686)&gt;0,E366+1,0),0)</f>
        <v>0</v>
      </c>
      <c r="G366" s="186">
        <f>IF(G$2&lt;=AnalysisPeriod,IF(SUM($C686:G686)&gt;0,F366+1,0),0)</f>
        <v>0</v>
      </c>
      <c r="H366" s="186">
        <f>IF(H$2&lt;=AnalysisPeriod,IF(SUM($C686:H686)&gt;0,G366+1,0),0)</f>
        <v>0</v>
      </c>
      <c r="I366" s="186">
        <f>IF(I$2&lt;=AnalysisPeriod,IF(SUM($C686:I686)&gt;0,H366+1,0),0)</f>
        <v>0</v>
      </c>
      <c r="J366" s="186">
        <f>IF(J$2&lt;=AnalysisPeriod,IF(SUM($C686:J686)&gt;0,I366+1,0),0)</f>
        <v>0</v>
      </c>
      <c r="K366" s="186">
        <f>IF(K$2&lt;=AnalysisPeriod,IF(SUM($C686:K686)&gt;0,J366+1,0),0)</f>
        <v>0</v>
      </c>
      <c r="L366" s="186">
        <f>IF(L$2&lt;=AnalysisPeriod,IF(SUM($C686:L686)&gt;0,K366+1,0),0)</f>
        <v>0</v>
      </c>
      <c r="M366" s="186">
        <f>IF(M$2&lt;=AnalysisPeriod,IF(SUM($C686:M686)&gt;0,L366+1,0),0)</f>
        <v>0</v>
      </c>
      <c r="N366" s="186">
        <f>IF(N$2&lt;=AnalysisPeriod,IF(SUM($C686:N686)&gt;0,M366+1,0),0)</f>
        <v>0</v>
      </c>
      <c r="O366" s="186">
        <f>IF(O$2&lt;=AnalysisPeriod,IF(SUM($C686:O686)&gt;0,N366+1,0),0)</f>
        <v>0</v>
      </c>
      <c r="P366" s="186">
        <f>IF(P$2&lt;=AnalysisPeriod,IF(SUM($C686:P686)&gt;0,O366+1,0),0)</f>
        <v>0</v>
      </c>
      <c r="Q366" s="186">
        <f>IF(Q$2&lt;=AnalysisPeriod,IF(SUM($C686:Q686)&gt;0,P366+1,0),0)</f>
        <v>0</v>
      </c>
      <c r="R366" s="186">
        <f>IF(R$2&lt;=AnalysisPeriod,IF(SUM($C686:R686)&gt;0,Q366+1,0),0)</f>
        <v>0</v>
      </c>
      <c r="S366" s="186">
        <f>IF(S$2&lt;=AnalysisPeriod,IF(SUM($C686:S686)&gt;0,R366+1,0),0)</f>
        <v>0</v>
      </c>
      <c r="T366" s="186">
        <f>IF(T$2&lt;=AnalysisPeriod,IF(SUM($C686:T686)&gt;0,S366+1,0),0)</f>
        <v>0</v>
      </c>
      <c r="U366" s="186">
        <f>IF(U$2&lt;=AnalysisPeriod,IF(SUM($C686:U686)&gt;0,T366+1,0),0)</f>
        <v>0</v>
      </c>
      <c r="V366" s="186">
        <f>IF(V$2&lt;=AnalysisPeriod,IF(SUM($C686:V686)&gt;0,U366+1,0),0)</f>
        <v>0</v>
      </c>
      <c r="W366" s="186">
        <f>IF(W$2&lt;=AnalysisPeriod,IF(SUM($C686:W686)&gt;0,V366+1,0),0)</f>
        <v>0</v>
      </c>
      <c r="X366" s="186">
        <f>IF(X$2&lt;=AnalysisPeriod,IF(SUM($C686:X686)&gt;0,W366+1,0),0)</f>
        <v>0</v>
      </c>
      <c r="Y366" s="186">
        <f>IF(Y$2&lt;=AnalysisPeriod,IF(SUM($C686:Y686)&gt;0,X366+1,0),0)</f>
        <v>0</v>
      </c>
      <c r="Z366" s="186">
        <f>IF(Z$2&lt;=AnalysisPeriod,IF(SUM($C686:Z686)&gt;0,Y366+1,0),0)</f>
        <v>0</v>
      </c>
      <c r="AA366" s="186">
        <f>IF(AA$2&lt;=AnalysisPeriod,IF(SUM($C686:AA686)&gt;0,Z366+1,0),0)</f>
        <v>0</v>
      </c>
      <c r="AB366" s="186">
        <f>IF(AB$2&lt;=AnalysisPeriod,IF(SUM($C686:AB686)&gt;0,AA366+1,0),0)</f>
        <v>0</v>
      </c>
      <c r="AC366" s="186">
        <f>IF(AC$2&lt;=AnalysisPeriod,IF(SUM($C686:AC686)&gt;0,AB366+1,0),0)</f>
        <v>0</v>
      </c>
      <c r="AD366" s="186">
        <f>IF(AD$2&lt;=AnalysisPeriod,IF(SUM($C686:AD686)&gt;0,AC366+1,0),0)</f>
        <v>0</v>
      </c>
      <c r="AE366" s="186">
        <f>IF(AE$2&lt;=AnalysisPeriod,IF(SUM($C686:AE686)&gt;0,AD366+1,0),0)</f>
        <v>0</v>
      </c>
      <c r="AF366" s="186">
        <f>IF(AF$2&lt;=AnalysisPeriod,IF(SUM($C686:AF686)&gt;0,AE366+1,0),0)</f>
        <v>0</v>
      </c>
      <c r="AG366" s="186">
        <f>IF(AG$2&lt;=AnalysisPeriod,IF(SUM($C686:AG686)&gt;0,AF366+1,0),0)</f>
        <v>0</v>
      </c>
      <c r="AH366" s="186">
        <f>IF(AH$2&lt;=AnalysisPeriod,IF(SUM($C686:AH686)&gt;0,AG366+1,0),0)</f>
        <v>0</v>
      </c>
      <c r="AI366" s="186">
        <f>IF(AI$2&lt;=AnalysisPeriod,IF(SUM($C686:AI686)&gt;0,AH366+1,0),0)</f>
        <v>0</v>
      </c>
      <c r="AJ366" s="186">
        <f>IF(AJ$2&lt;=AnalysisPeriod,IF(SUM($C686:AJ686)&gt;0,AI366+1,0),0)</f>
        <v>0</v>
      </c>
      <c r="AK366" s="186">
        <f>IF(AK$2&lt;=AnalysisPeriod,IF(SUM($C686:AK686)&gt;0,AJ366+1,0),0)</f>
        <v>0</v>
      </c>
      <c r="AL366" s="186">
        <f>IF(AL$2&lt;=AnalysisPeriod,IF(SUM($C686:AL686)&gt;0,AK366+1,0),0)</f>
        <v>0</v>
      </c>
      <c r="AM366" s="186">
        <f>IF(AM$2&lt;=AnalysisPeriod,IF(SUM($C686:AM686)&gt;0,AL366+1,0),0)</f>
        <v>0</v>
      </c>
      <c r="AN366" s="186">
        <f>IF(AN$2&lt;=AnalysisPeriod,IF(SUM($C686:AN686)&gt;0,AM366+1,0),0)</f>
        <v>0</v>
      </c>
      <c r="AO366" s="186">
        <f>IF(AO$2&lt;=AnalysisPeriod,IF(SUM($C686:AO686)&gt;0,AN366+1,0),0)</f>
        <v>0</v>
      </c>
      <c r="AP366" s="186">
        <f>IF(AP$2&lt;=AnalysisPeriod,IF(SUM($C686:AP686)&gt;0,AO366+1,0),0)</f>
        <v>0</v>
      </c>
    </row>
    <row r="367" spans="1:42">
      <c r="A367" s="118">
        <f t="shared" si="902"/>
        <v>7</v>
      </c>
      <c r="C367" s="186">
        <f>IF(C$2&lt;=AnalysisPeriod,IF(SUM($C687:C687)&gt;0,B367+1,0),0)</f>
        <v>0</v>
      </c>
      <c r="D367" s="186">
        <f>IF(D$2&lt;=AnalysisPeriod,IF(SUM($C687:D687)&gt;0,C367+1,0),0)</f>
        <v>0</v>
      </c>
      <c r="E367" s="186">
        <f>IF(E$2&lt;=AnalysisPeriod,IF(SUM($C687:E687)&gt;0,D367+1,0),0)</f>
        <v>0</v>
      </c>
      <c r="F367" s="186">
        <f>IF(F$2&lt;=AnalysisPeriod,IF(SUM($C687:F687)&gt;0,E367+1,0),0)</f>
        <v>0</v>
      </c>
      <c r="G367" s="186">
        <f>IF(G$2&lt;=AnalysisPeriod,IF(SUM($C687:G687)&gt;0,F367+1,0),0)</f>
        <v>0</v>
      </c>
      <c r="H367" s="186">
        <f>IF(H$2&lt;=AnalysisPeriod,IF(SUM($C687:H687)&gt;0,G367+1,0),0)</f>
        <v>0</v>
      </c>
      <c r="I367" s="186">
        <f>IF(I$2&lt;=AnalysisPeriod,IF(SUM($C687:I687)&gt;0,H367+1,0),0)</f>
        <v>0</v>
      </c>
      <c r="J367" s="186">
        <f>IF(J$2&lt;=AnalysisPeriod,IF(SUM($C687:J687)&gt;0,I367+1,0),0)</f>
        <v>0</v>
      </c>
      <c r="K367" s="186">
        <f>IF(K$2&lt;=AnalysisPeriod,IF(SUM($C687:K687)&gt;0,J367+1,0),0)</f>
        <v>0</v>
      </c>
      <c r="L367" s="186">
        <f>IF(L$2&lt;=AnalysisPeriod,IF(SUM($C687:L687)&gt;0,K367+1,0),0)</f>
        <v>0</v>
      </c>
      <c r="M367" s="186">
        <f>IF(M$2&lt;=AnalysisPeriod,IF(SUM($C687:M687)&gt;0,L367+1,0),0)</f>
        <v>0</v>
      </c>
      <c r="N367" s="186">
        <f>IF(N$2&lt;=AnalysisPeriod,IF(SUM($C687:N687)&gt;0,M367+1,0),0)</f>
        <v>0</v>
      </c>
      <c r="O367" s="186">
        <f>IF(O$2&lt;=AnalysisPeriod,IF(SUM($C687:O687)&gt;0,N367+1,0),0)</f>
        <v>0</v>
      </c>
      <c r="P367" s="186">
        <f>IF(P$2&lt;=AnalysisPeriod,IF(SUM($C687:P687)&gt;0,O367+1,0),0)</f>
        <v>0</v>
      </c>
      <c r="Q367" s="186">
        <f>IF(Q$2&lt;=AnalysisPeriod,IF(SUM($C687:Q687)&gt;0,P367+1,0),0)</f>
        <v>0</v>
      </c>
      <c r="R367" s="186">
        <f>IF(R$2&lt;=AnalysisPeriod,IF(SUM($C687:R687)&gt;0,Q367+1,0),0)</f>
        <v>0</v>
      </c>
      <c r="S367" s="186">
        <f>IF(S$2&lt;=AnalysisPeriod,IF(SUM($C687:S687)&gt;0,R367+1,0),0)</f>
        <v>0</v>
      </c>
      <c r="T367" s="186">
        <f>IF(T$2&lt;=AnalysisPeriod,IF(SUM($C687:T687)&gt;0,S367+1,0),0)</f>
        <v>0</v>
      </c>
      <c r="U367" s="186">
        <f>IF(U$2&lt;=AnalysisPeriod,IF(SUM($C687:U687)&gt;0,T367+1,0),0)</f>
        <v>0</v>
      </c>
      <c r="V367" s="186">
        <f>IF(V$2&lt;=AnalysisPeriod,IF(SUM($C687:V687)&gt;0,U367+1,0),0)</f>
        <v>0</v>
      </c>
      <c r="W367" s="186">
        <f>IF(W$2&lt;=AnalysisPeriod,IF(SUM($C687:W687)&gt;0,V367+1,0),0)</f>
        <v>0</v>
      </c>
      <c r="X367" s="186">
        <f>IF(X$2&lt;=AnalysisPeriod,IF(SUM($C687:X687)&gt;0,W367+1,0),0)</f>
        <v>0</v>
      </c>
      <c r="Y367" s="186">
        <f>IF(Y$2&lt;=AnalysisPeriod,IF(SUM($C687:Y687)&gt;0,X367+1,0),0)</f>
        <v>0</v>
      </c>
      <c r="Z367" s="186">
        <f>IF(Z$2&lt;=AnalysisPeriod,IF(SUM($C687:Z687)&gt;0,Y367+1,0),0)</f>
        <v>0</v>
      </c>
      <c r="AA367" s="186">
        <f>IF(AA$2&lt;=AnalysisPeriod,IF(SUM($C687:AA687)&gt;0,Z367+1,0),0)</f>
        <v>0</v>
      </c>
      <c r="AB367" s="186">
        <f>IF(AB$2&lt;=AnalysisPeriod,IF(SUM($C687:AB687)&gt;0,AA367+1,0),0)</f>
        <v>0</v>
      </c>
      <c r="AC367" s="186">
        <f>IF(AC$2&lt;=AnalysisPeriod,IF(SUM($C687:AC687)&gt;0,AB367+1,0),0)</f>
        <v>0</v>
      </c>
      <c r="AD367" s="186">
        <f>IF(AD$2&lt;=AnalysisPeriod,IF(SUM($C687:AD687)&gt;0,AC367+1,0),0)</f>
        <v>0</v>
      </c>
      <c r="AE367" s="186">
        <f>IF(AE$2&lt;=AnalysisPeriod,IF(SUM($C687:AE687)&gt;0,AD367+1,0),0)</f>
        <v>0</v>
      </c>
      <c r="AF367" s="186">
        <f>IF(AF$2&lt;=AnalysisPeriod,IF(SUM($C687:AF687)&gt;0,AE367+1,0),0)</f>
        <v>0</v>
      </c>
      <c r="AG367" s="186">
        <f>IF(AG$2&lt;=AnalysisPeriod,IF(SUM($C687:AG687)&gt;0,AF367+1,0),0)</f>
        <v>0</v>
      </c>
      <c r="AH367" s="186">
        <f>IF(AH$2&lt;=AnalysisPeriod,IF(SUM($C687:AH687)&gt;0,AG367+1,0),0)</f>
        <v>0</v>
      </c>
      <c r="AI367" s="186">
        <f>IF(AI$2&lt;=AnalysisPeriod,IF(SUM($C687:AI687)&gt;0,AH367+1,0),0)</f>
        <v>0</v>
      </c>
      <c r="AJ367" s="186">
        <f>IF(AJ$2&lt;=AnalysisPeriod,IF(SUM($C687:AJ687)&gt;0,AI367+1,0),0)</f>
        <v>0</v>
      </c>
      <c r="AK367" s="186">
        <f>IF(AK$2&lt;=AnalysisPeriod,IF(SUM($C687:AK687)&gt;0,AJ367+1,0),0)</f>
        <v>0</v>
      </c>
      <c r="AL367" s="186">
        <f>IF(AL$2&lt;=AnalysisPeriod,IF(SUM($C687:AL687)&gt;0,AK367+1,0),0)</f>
        <v>0</v>
      </c>
      <c r="AM367" s="186">
        <f>IF(AM$2&lt;=AnalysisPeriod,IF(SUM($C687:AM687)&gt;0,AL367+1,0),0)</f>
        <v>0</v>
      </c>
      <c r="AN367" s="186">
        <f>IF(AN$2&lt;=AnalysisPeriod,IF(SUM($C687:AN687)&gt;0,AM367+1,0),0)</f>
        <v>0</v>
      </c>
      <c r="AO367" s="186">
        <f>IF(AO$2&lt;=AnalysisPeriod,IF(SUM($C687:AO687)&gt;0,AN367+1,0),0)</f>
        <v>0</v>
      </c>
      <c r="AP367" s="186">
        <f>IF(AP$2&lt;=AnalysisPeriod,IF(SUM($C687:AP687)&gt;0,AO367+1,0),0)</f>
        <v>0</v>
      </c>
    </row>
    <row r="368" spans="1:42">
      <c r="A368" s="118">
        <f t="shared" si="902"/>
        <v>8</v>
      </c>
      <c r="C368" s="186">
        <f>IF(C$2&lt;=AnalysisPeriod,IF(SUM($C688:C688)&gt;0,B368+1,0),0)</f>
        <v>0</v>
      </c>
      <c r="D368" s="186">
        <f>IF(D$2&lt;=AnalysisPeriod,IF(SUM($C688:D688)&gt;0,C368+1,0),0)</f>
        <v>0</v>
      </c>
      <c r="E368" s="186">
        <f>IF(E$2&lt;=AnalysisPeriod,IF(SUM($C688:E688)&gt;0,D368+1,0),0)</f>
        <v>0</v>
      </c>
      <c r="F368" s="186">
        <f>IF(F$2&lt;=AnalysisPeriod,IF(SUM($C688:F688)&gt;0,E368+1,0),0)</f>
        <v>0</v>
      </c>
      <c r="G368" s="186">
        <f>IF(G$2&lt;=AnalysisPeriod,IF(SUM($C688:G688)&gt;0,F368+1,0),0)</f>
        <v>0</v>
      </c>
      <c r="H368" s="186">
        <f>IF(H$2&lt;=AnalysisPeriod,IF(SUM($C688:H688)&gt;0,G368+1,0),0)</f>
        <v>0</v>
      </c>
      <c r="I368" s="186">
        <f>IF(I$2&lt;=AnalysisPeriod,IF(SUM($C688:I688)&gt;0,H368+1,0),0)</f>
        <v>0</v>
      </c>
      <c r="J368" s="186">
        <f>IF(J$2&lt;=AnalysisPeriod,IF(SUM($C688:J688)&gt;0,I368+1,0),0)</f>
        <v>0</v>
      </c>
      <c r="K368" s="186">
        <f>IF(K$2&lt;=AnalysisPeriod,IF(SUM($C688:K688)&gt;0,J368+1,0),0)</f>
        <v>0</v>
      </c>
      <c r="L368" s="186">
        <f>IF(L$2&lt;=AnalysisPeriod,IF(SUM($C688:L688)&gt;0,K368+1,0),0)</f>
        <v>0</v>
      </c>
      <c r="M368" s="186">
        <f>IF(M$2&lt;=AnalysisPeriod,IF(SUM($C688:M688)&gt;0,L368+1,0),0)</f>
        <v>0</v>
      </c>
      <c r="N368" s="186">
        <f>IF(N$2&lt;=AnalysisPeriod,IF(SUM($C688:N688)&gt;0,M368+1,0),0)</f>
        <v>0</v>
      </c>
      <c r="O368" s="186">
        <f>IF(O$2&lt;=AnalysisPeriod,IF(SUM($C688:O688)&gt;0,N368+1,0),0)</f>
        <v>0</v>
      </c>
      <c r="P368" s="186">
        <f>IF(P$2&lt;=AnalysisPeriod,IF(SUM($C688:P688)&gt;0,O368+1,0),0)</f>
        <v>0</v>
      </c>
      <c r="Q368" s="186">
        <f>IF(Q$2&lt;=AnalysisPeriod,IF(SUM($C688:Q688)&gt;0,P368+1,0),0)</f>
        <v>0</v>
      </c>
      <c r="R368" s="186">
        <f>IF(R$2&lt;=AnalysisPeriod,IF(SUM($C688:R688)&gt;0,Q368+1,0),0)</f>
        <v>0</v>
      </c>
      <c r="S368" s="186">
        <f>IF(S$2&lt;=AnalysisPeriod,IF(SUM($C688:S688)&gt;0,R368+1,0),0)</f>
        <v>0</v>
      </c>
      <c r="T368" s="186">
        <f>IF(T$2&lt;=AnalysisPeriod,IF(SUM($C688:T688)&gt;0,S368+1,0),0)</f>
        <v>0</v>
      </c>
      <c r="U368" s="186">
        <f>IF(U$2&lt;=AnalysisPeriod,IF(SUM($C688:U688)&gt;0,T368+1,0),0)</f>
        <v>0</v>
      </c>
      <c r="V368" s="186">
        <f>IF(V$2&lt;=AnalysisPeriod,IF(SUM($C688:V688)&gt;0,U368+1,0),0)</f>
        <v>0</v>
      </c>
      <c r="W368" s="186">
        <f>IF(W$2&lt;=AnalysisPeriod,IF(SUM($C688:W688)&gt;0,V368+1,0),0)</f>
        <v>0</v>
      </c>
      <c r="X368" s="186">
        <f>IF(X$2&lt;=AnalysisPeriod,IF(SUM($C688:X688)&gt;0,W368+1,0),0)</f>
        <v>0</v>
      </c>
      <c r="Y368" s="186">
        <f>IF(Y$2&lt;=AnalysisPeriod,IF(SUM($C688:Y688)&gt;0,X368+1,0),0)</f>
        <v>0</v>
      </c>
      <c r="Z368" s="186">
        <f>IF(Z$2&lt;=AnalysisPeriod,IF(SUM($C688:Z688)&gt;0,Y368+1,0),0)</f>
        <v>0</v>
      </c>
      <c r="AA368" s="186">
        <f>IF(AA$2&lt;=AnalysisPeriod,IF(SUM($C688:AA688)&gt;0,Z368+1,0),0)</f>
        <v>0</v>
      </c>
      <c r="AB368" s="186">
        <f>IF(AB$2&lt;=AnalysisPeriod,IF(SUM($C688:AB688)&gt;0,AA368+1,0),0)</f>
        <v>0</v>
      </c>
      <c r="AC368" s="186">
        <f>IF(AC$2&lt;=AnalysisPeriod,IF(SUM($C688:AC688)&gt;0,AB368+1,0),0)</f>
        <v>0</v>
      </c>
      <c r="AD368" s="186">
        <f>IF(AD$2&lt;=AnalysisPeriod,IF(SUM($C688:AD688)&gt;0,AC368+1,0),0)</f>
        <v>0</v>
      </c>
      <c r="AE368" s="186">
        <f>IF(AE$2&lt;=AnalysisPeriod,IF(SUM($C688:AE688)&gt;0,AD368+1,0),0)</f>
        <v>0</v>
      </c>
      <c r="AF368" s="186">
        <f>IF(AF$2&lt;=AnalysisPeriod,IF(SUM($C688:AF688)&gt;0,AE368+1,0),0)</f>
        <v>0</v>
      </c>
      <c r="AG368" s="186">
        <f>IF(AG$2&lt;=AnalysisPeriod,IF(SUM($C688:AG688)&gt;0,AF368+1,0),0)</f>
        <v>0</v>
      </c>
      <c r="AH368" s="186">
        <f>IF(AH$2&lt;=AnalysisPeriod,IF(SUM($C688:AH688)&gt;0,AG368+1,0),0)</f>
        <v>0</v>
      </c>
      <c r="AI368" s="186">
        <f>IF(AI$2&lt;=AnalysisPeriod,IF(SUM($C688:AI688)&gt;0,AH368+1,0),0)</f>
        <v>0</v>
      </c>
      <c r="AJ368" s="186">
        <f>IF(AJ$2&lt;=AnalysisPeriod,IF(SUM($C688:AJ688)&gt;0,AI368+1,0),0)</f>
        <v>0</v>
      </c>
      <c r="AK368" s="186">
        <f>IF(AK$2&lt;=AnalysisPeriod,IF(SUM($C688:AK688)&gt;0,AJ368+1,0),0)</f>
        <v>0</v>
      </c>
      <c r="AL368" s="186">
        <f>IF(AL$2&lt;=AnalysisPeriod,IF(SUM($C688:AL688)&gt;0,AK368+1,0),0)</f>
        <v>0</v>
      </c>
      <c r="AM368" s="186">
        <f>IF(AM$2&lt;=AnalysisPeriod,IF(SUM($C688:AM688)&gt;0,AL368+1,0),0)</f>
        <v>0</v>
      </c>
      <c r="AN368" s="186">
        <f>IF(AN$2&lt;=AnalysisPeriod,IF(SUM($C688:AN688)&gt;0,AM368+1,0),0)</f>
        <v>0</v>
      </c>
      <c r="AO368" s="186">
        <f>IF(AO$2&lt;=AnalysisPeriod,IF(SUM($C688:AO688)&gt;0,AN368+1,0),0)</f>
        <v>0</v>
      </c>
      <c r="AP368" s="186">
        <f>IF(AP$2&lt;=AnalysisPeriod,IF(SUM($C688:AP688)&gt;0,AO368+1,0),0)</f>
        <v>0</v>
      </c>
    </row>
    <row r="369" spans="1:42">
      <c r="A369" s="118">
        <f>A368+1</f>
        <v>9</v>
      </c>
      <c r="C369" s="186">
        <f>IF(C$2&lt;=AnalysisPeriod,IF(SUM($C689:C689)&gt;0,B369+1,0),0)</f>
        <v>0</v>
      </c>
      <c r="D369" s="186">
        <f>IF(D$2&lt;=AnalysisPeriod,IF(SUM($C689:D689)&gt;0,C369+1,0),0)</f>
        <v>0</v>
      </c>
      <c r="E369" s="186">
        <f>IF(E$2&lt;=AnalysisPeriod,IF(SUM($C689:E689)&gt;0,D369+1,0),0)</f>
        <v>0</v>
      </c>
      <c r="F369" s="186">
        <f>IF(F$2&lt;=AnalysisPeriod,IF(SUM($C689:F689)&gt;0,E369+1,0),0)</f>
        <v>0</v>
      </c>
      <c r="G369" s="186">
        <f>IF(G$2&lt;=AnalysisPeriod,IF(SUM($C689:G689)&gt;0,F369+1,0),0)</f>
        <v>0</v>
      </c>
      <c r="H369" s="186">
        <f>IF(H$2&lt;=AnalysisPeriod,IF(SUM($C689:H689)&gt;0,G369+1,0),0)</f>
        <v>0</v>
      </c>
      <c r="I369" s="186">
        <f>IF(I$2&lt;=AnalysisPeriod,IF(SUM($C689:I689)&gt;0,H369+1,0),0)</f>
        <v>0</v>
      </c>
      <c r="J369" s="186">
        <f>IF(J$2&lt;=AnalysisPeriod,IF(SUM($C689:J689)&gt;0,I369+1,0),0)</f>
        <v>0</v>
      </c>
      <c r="K369" s="186">
        <f>IF(K$2&lt;=AnalysisPeriod,IF(SUM($C689:K689)&gt;0,J369+1,0),0)</f>
        <v>0</v>
      </c>
      <c r="L369" s="186">
        <f>IF(L$2&lt;=AnalysisPeriod,IF(SUM($C689:L689)&gt;0,K369+1,0),0)</f>
        <v>0</v>
      </c>
      <c r="M369" s="186">
        <f>IF(M$2&lt;=AnalysisPeriod,IF(SUM($C689:M689)&gt;0,L369+1,0),0)</f>
        <v>0</v>
      </c>
      <c r="N369" s="186">
        <f>IF(N$2&lt;=AnalysisPeriod,IF(SUM($C689:N689)&gt;0,M369+1,0),0)</f>
        <v>0</v>
      </c>
      <c r="O369" s="186">
        <f>IF(O$2&lt;=AnalysisPeriod,IF(SUM($C689:O689)&gt;0,N369+1,0),0)</f>
        <v>0</v>
      </c>
      <c r="P369" s="186">
        <f>IF(P$2&lt;=AnalysisPeriod,IF(SUM($C689:P689)&gt;0,O369+1,0),0)</f>
        <v>0</v>
      </c>
      <c r="Q369" s="186">
        <f>IF(Q$2&lt;=AnalysisPeriod,IF(SUM($C689:Q689)&gt;0,P369+1,0),0)</f>
        <v>0</v>
      </c>
      <c r="R369" s="186">
        <f>IF(R$2&lt;=AnalysisPeriod,IF(SUM($C689:R689)&gt;0,Q369+1,0),0)</f>
        <v>0</v>
      </c>
      <c r="S369" s="186">
        <f>IF(S$2&lt;=AnalysisPeriod,IF(SUM($C689:S689)&gt;0,R369+1,0),0)</f>
        <v>0</v>
      </c>
      <c r="T369" s="186">
        <f>IF(T$2&lt;=AnalysisPeriod,IF(SUM($C689:T689)&gt;0,S369+1,0),0)</f>
        <v>0</v>
      </c>
      <c r="U369" s="186">
        <f>IF(U$2&lt;=AnalysisPeriod,IF(SUM($C689:U689)&gt;0,T369+1,0),0)</f>
        <v>0</v>
      </c>
      <c r="V369" s="186">
        <f>IF(V$2&lt;=AnalysisPeriod,IF(SUM($C689:V689)&gt;0,U369+1,0),0)</f>
        <v>0</v>
      </c>
      <c r="W369" s="186">
        <f>IF(W$2&lt;=AnalysisPeriod,IF(SUM($C689:W689)&gt;0,V369+1,0),0)</f>
        <v>0</v>
      </c>
      <c r="X369" s="186">
        <f>IF(X$2&lt;=AnalysisPeriod,IF(SUM($C689:X689)&gt;0,W369+1,0),0)</f>
        <v>0</v>
      </c>
      <c r="Y369" s="186">
        <f>IF(Y$2&lt;=AnalysisPeriod,IF(SUM($C689:Y689)&gt;0,X369+1,0),0)</f>
        <v>0</v>
      </c>
      <c r="Z369" s="186">
        <f>IF(Z$2&lt;=AnalysisPeriod,IF(SUM($C689:Z689)&gt;0,Y369+1,0),0)</f>
        <v>0</v>
      </c>
      <c r="AA369" s="186">
        <f>IF(AA$2&lt;=AnalysisPeriod,IF(SUM($C689:AA689)&gt;0,Z369+1,0),0)</f>
        <v>0</v>
      </c>
      <c r="AB369" s="186">
        <f>IF(AB$2&lt;=AnalysisPeriod,IF(SUM($C689:AB689)&gt;0,AA369+1,0),0)</f>
        <v>0</v>
      </c>
      <c r="AC369" s="186">
        <f>IF(AC$2&lt;=AnalysisPeriod,IF(SUM($C689:AC689)&gt;0,AB369+1,0),0)</f>
        <v>0</v>
      </c>
      <c r="AD369" s="186">
        <f>IF(AD$2&lt;=AnalysisPeriod,IF(SUM($C689:AD689)&gt;0,AC369+1,0),0)</f>
        <v>0</v>
      </c>
      <c r="AE369" s="186">
        <f>IF(AE$2&lt;=AnalysisPeriod,IF(SUM($C689:AE689)&gt;0,AD369+1,0),0)</f>
        <v>0</v>
      </c>
      <c r="AF369" s="186">
        <f>IF(AF$2&lt;=AnalysisPeriod,IF(SUM($C689:AF689)&gt;0,AE369+1,0),0)</f>
        <v>0</v>
      </c>
      <c r="AG369" s="186">
        <f>IF(AG$2&lt;=AnalysisPeriod,IF(SUM($C689:AG689)&gt;0,AF369+1,0),0)</f>
        <v>0</v>
      </c>
      <c r="AH369" s="186">
        <f>IF(AH$2&lt;=AnalysisPeriod,IF(SUM($C689:AH689)&gt;0,AG369+1,0),0)</f>
        <v>0</v>
      </c>
      <c r="AI369" s="186">
        <f>IF(AI$2&lt;=AnalysisPeriod,IF(SUM($C689:AI689)&gt;0,AH369+1,0),0)</f>
        <v>0</v>
      </c>
      <c r="AJ369" s="186">
        <f>IF(AJ$2&lt;=AnalysisPeriod,IF(SUM($C689:AJ689)&gt;0,AI369+1,0),0)</f>
        <v>0</v>
      </c>
      <c r="AK369" s="186">
        <f>IF(AK$2&lt;=AnalysisPeriod,IF(SUM($C689:AK689)&gt;0,AJ369+1,0),0)</f>
        <v>0</v>
      </c>
      <c r="AL369" s="186">
        <f>IF(AL$2&lt;=AnalysisPeriod,IF(SUM($C689:AL689)&gt;0,AK369+1,0),0)</f>
        <v>0</v>
      </c>
      <c r="AM369" s="186">
        <f>IF(AM$2&lt;=AnalysisPeriod,IF(SUM($C689:AM689)&gt;0,AL369+1,0),0)</f>
        <v>0</v>
      </c>
      <c r="AN369" s="186">
        <f>IF(AN$2&lt;=AnalysisPeriod,IF(SUM($C689:AN689)&gt;0,AM369+1,0),0)</f>
        <v>0</v>
      </c>
      <c r="AO369" s="186">
        <f>IF(AO$2&lt;=AnalysisPeriod,IF(SUM($C689:AO689)&gt;0,AN369+1,0),0)</f>
        <v>0</v>
      </c>
      <c r="AP369" s="186">
        <f>IF(AP$2&lt;=AnalysisPeriod,IF(SUM($C689:AP689)&gt;0,AO369+1,0),0)</f>
        <v>0</v>
      </c>
    </row>
    <row r="370" spans="1:42">
      <c r="A370" s="118">
        <f t="shared" si="902"/>
        <v>10</v>
      </c>
      <c r="C370" s="186">
        <f>IF(C$2&lt;=AnalysisPeriod,IF(SUM($C690:C690)&gt;0,B370+1,0),0)</f>
        <v>0</v>
      </c>
      <c r="D370" s="186">
        <f>IF(D$2&lt;=AnalysisPeriod,IF(SUM($C690:D690)&gt;0,C370+1,0),0)</f>
        <v>0</v>
      </c>
      <c r="E370" s="186">
        <f>IF(E$2&lt;=AnalysisPeriod,IF(SUM($C690:E690)&gt;0,D370+1,0),0)</f>
        <v>0</v>
      </c>
      <c r="F370" s="186">
        <f>IF(F$2&lt;=AnalysisPeriod,IF(SUM($C690:F690)&gt;0,E370+1,0),0)</f>
        <v>0</v>
      </c>
      <c r="G370" s="186">
        <f>IF(G$2&lt;=AnalysisPeriod,IF(SUM($C690:G690)&gt;0,F370+1,0),0)</f>
        <v>0</v>
      </c>
      <c r="H370" s="186">
        <f>IF(H$2&lt;=AnalysisPeriod,IF(SUM($C690:H690)&gt;0,G370+1,0),0)</f>
        <v>0</v>
      </c>
      <c r="I370" s="186">
        <f>IF(I$2&lt;=AnalysisPeriod,IF(SUM($C690:I690)&gt;0,H370+1,0),0)</f>
        <v>0</v>
      </c>
      <c r="J370" s="186">
        <f>IF(J$2&lt;=AnalysisPeriod,IF(SUM($C690:J690)&gt;0,I370+1,0),0)</f>
        <v>0</v>
      </c>
      <c r="K370" s="186">
        <f>IF(K$2&lt;=AnalysisPeriod,IF(SUM($C690:K690)&gt;0,J370+1,0),0)</f>
        <v>0</v>
      </c>
      <c r="L370" s="186">
        <f>IF(L$2&lt;=AnalysisPeriod,IF(SUM($C690:L690)&gt;0,K370+1,0),0)</f>
        <v>0</v>
      </c>
      <c r="M370" s="186">
        <f>IF(M$2&lt;=AnalysisPeriod,IF(SUM($C690:M690)&gt;0,L370+1,0),0)</f>
        <v>0</v>
      </c>
      <c r="N370" s="186">
        <f>IF(N$2&lt;=AnalysisPeriod,IF(SUM($C690:N690)&gt;0,M370+1,0),0)</f>
        <v>0</v>
      </c>
      <c r="O370" s="186">
        <f>IF(O$2&lt;=AnalysisPeriod,IF(SUM($C690:O690)&gt;0,N370+1,0),0)</f>
        <v>0</v>
      </c>
      <c r="P370" s="186">
        <f>IF(P$2&lt;=AnalysisPeriod,IF(SUM($C690:P690)&gt;0,O370+1,0),0)</f>
        <v>0</v>
      </c>
      <c r="Q370" s="186">
        <f>IF(Q$2&lt;=AnalysisPeriod,IF(SUM($C690:Q690)&gt;0,P370+1,0),0)</f>
        <v>0</v>
      </c>
      <c r="R370" s="186">
        <f>IF(R$2&lt;=AnalysisPeriod,IF(SUM($C690:R690)&gt;0,Q370+1,0),0)</f>
        <v>0</v>
      </c>
      <c r="S370" s="186">
        <f>IF(S$2&lt;=AnalysisPeriod,IF(SUM($C690:S690)&gt;0,R370+1,0),0)</f>
        <v>0</v>
      </c>
      <c r="T370" s="186">
        <f>IF(T$2&lt;=AnalysisPeriod,IF(SUM($C690:T690)&gt;0,S370+1,0),0)</f>
        <v>0</v>
      </c>
      <c r="U370" s="186">
        <f>IF(U$2&lt;=AnalysisPeriod,IF(SUM($C690:U690)&gt;0,T370+1,0),0)</f>
        <v>0</v>
      </c>
      <c r="V370" s="186">
        <f>IF(V$2&lt;=AnalysisPeriod,IF(SUM($C690:V690)&gt;0,U370+1,0),0)</f>
        <v>0</v>
      </c>
      <c r="W370" s="186">
        <f>IF(W$2&lt;=AnalysisPeriod,IF(SUM($C690:W690)&gt;0,V370+1,0),0)</f>
        <v>0</v>
      </c>
      <c r="X370" s="186">
        <f>IF(X$2&lt;=AnalysisPeriod,IF(SUM($C690:X690)&gt;0,W370+1,0),0)</f>
        <v>0</v>
      </c>
      <c r="Y370" s="186">
        <f>IF(Y$2&lt;=AnalysisPeriod,IF(SUM($C690:Y690)&gt;0,X370+1,0),0)</f>
        <v>0</v>
      </c>
      <c r="Z370" s="186">
        <f>IF(Z$2&lt;=AnalysisPeriod,IF(SUM($C690:Z690)&gt;0,Y370+1,0),0)</f>
        <v>0</v>
      </c>
      <c r="AA370" s="186">
        <f>IF(AA$2&lt;=AnalysisPeriod,IF(SUM($C690:AA690)&gt;0,Z370+1,0),0)</f>
        <v>0</v>
      </c>
      <c r="AB370" s="186">
        <f>IF(AB$2&lt;=AnalysisPeriod,IF(SUM($C690:AB690)&gt;0,AA370+1,0),0)</f>
        <v>0</v>
      </c>
      <c r="AC370" s="186">
        <f>IF(AC$2&lt;=AnalysisPeriod,IF(SUM($C690:AC690)&gt;0,AB370+1,0),0)</f>
        <v>0</v>
      </c>
      <c r="AD370" s="186">
        <f>IF(AD$2&lt;=AnalysisPeriod,IF(SUM($C690:AD690)&gt;0,AC370+1,0),0)</f>
        <v>0</v>
      </c>
      <c r="AE370" s="186">
        <f>IF(AE$2&lt;=AnalysisPeriod,IF(SUM($C690:AE690)&gt;0,AD370+1,0),0)</f>
        <v>0</v>
      </c>
      <c r="AF370" s="186">
        <f>IF(AF$2&lt;=AnalysisPeriod,IF(SUM($C690:AF690)&gt;0,AE370+1,0),0)</f>
        <v>0</v>
      </c>
      <c r="AG370" s="186">
        <f>IF(AG$2&lt;=AnalysisPeriod,IF(SUM($C690:AG690)&gt;0,AF370+1,0),0)</f>
        <v>0</v>
      </c>
      <c r="AH370" s="186">
        <f>IF(AH$2&lt;=AnalysisPeriod,IF(SUM($C690:AH690)&gt;0,AG370+1,0),0)</f>
        <v>0</v>
      </c>
      <c r="AI370" s="186">
        <f>IF(AI$2&lt;=AnalysisPeriod,IF(SUM($C690:AI690)&gt;0,AH370+1,0),0)</f>
        <v>0</v>
      </c>
      <c r="AJ370" s="186">
        <f>IF(AJ$2&lt;=AnalysisPeriod,IF(SUM($C690:AJ690)&gt;0,AI370+1,0),0)</f>
        <v>0</v>
      </c>
      <c r="AK370" s="186">
        <f>IF(AK$2&lt;=AnalysisPeriod,IF(SUM($C690:AK690)&gt;0,AJ370+1,0),0)</f>
        <v>0</v>
      </c>
      <c r="AL370" s="186">
        <f>IF(AL$2&lt;=AnalysisPeriod,IF(SUM($C690:AL690)&gt;0,AK370+1,0),0)</f>
        <v>0</v>
      </c>
      <c r="AM370" s="186">
        <f>IF(AM$2&lt;=AnalysisPeriod,IF(SUM($C690:AM690)&gt;0,AL370+1,0),0)</f>
        <v>0</v>
      </c>
      <c r="AN370" s="186">
        <f>IF(AN$2&lt;=AnalysisPeriod,IF(SUM($C690:AN690)&gt;0,AM370+1,0),0)</f>
        <v>0</v>
      </c>
      <c r="AO370" s="186">
        <f>IF(AO$2&lt;=AnalysisPeriod,IF(SUM($C690:AO690)&gt;0,AN370+1,0),0)</f>
        <v>0</v>
      </c>
      <c r="AP370" s="186">
        <f>IF(AP$2&lt;=AnalysisPeriod,IF(SUM($C690:AP690)&gt;0,AO370+1,0),0)</f>
        <v>0</v>
      </c>
    </row>
    <row r="371" spans="1:42">
      <c r="A371" s="204"/>
      <c r="C371" s="186"/>
      <c r="D371" s="186"/>
      <c r="E371" s="186"/>
      <c r="F371" s="186"/>
      <c r="G371" s="186"/>
      <c r="H371" s="186"/>
      <c r="I371" s="186"/>
      <c r="J371" s="186"/>
      <c r="K371" s="186"/>
      <c r="L371" s="186"/>
      <c r="M371" s="186"/>
      <c r="N371" s="186"/>
      <c r="O371" s="186"/>
      <c r="P371" s="186"/>
      <c r="Q371" s="186"/>
      <c r="R371" s="186"/>
      <c r="S371" s="186"/>
      <c r="T371" s="186"/>
      <c r="U371" s="186"/>
      <c r="V371" s="186"/>
      <c r="W371" s="186"/>
      <c r="X371" s="186"/>
      <c r="Y371" s="186"/>
      <c r="Z371" s="186"/>
      <c r="AA371" s="186"/>
      <c r="AB371" s="186"/>
      <c r="AC371" s="186"/>
      <c r="AD371" s="186"/>
      <c r="AE371" s="186"/>
      <c r="AF371" s="186"/>
      <c r="AG371" s="186"/>
      <c r="AH371" s="186"/>
      <c r="AI371" s="186"/>
      <c r="AJ371" s="186"/>
      <c r="AK371" s="186"/>
      <c r="AL371" s="186"/>
      <c r="AM371" s="186"/>
      <c r="AN371" s="186"/>
      <c r="AO371" s="186"/>
      <c r="AP371" s="186"/>
    </row>
    <row r="372" spans="1:42">
      <c r="A372" s="204" t="s">
        <v>211</v>
      </c>
      <c r="C372" s="186"/>
      <c r="D372" s="186"/>
      <c r="E372" s="186"/>
      <c r="F372" s="186"/>
      <c r="G372" s="186"/>
      <c r="H372" s="186"/>
      <c r="I372" s="186"/>
      <c r="J372" s="186"/>
      <c r="K372" s="186"/>
      <c r="L372" s="186"/>
      <c r="M372" s="186"/>
      <c r="N372" s="186"/>
      <c r="O372" s="186"/>
      <c r="P372" s="186"/>
      <c r="Q372" s="186"/>
      <c r="R372" s="186"/>
      <c r="S372" s="186"/>
      <c r="T372" s="186"/>
      <c r="U372" s="186"/>
      <c r="V372" s="186"/>
      <c r="W372" s="186"/>
      <c r="X372" s="186"/>
      <c r="Y372" s="186"/>
      <c r="Z372" s="186"/>
      <c r="AA372" s="186"/>
      <c r="AB372" s="186"/>
      <c r="AC372" s="186"/>
      <c r="AD372" s="186"/>
      <c r="AE372" s="186"/>
      <c r="AF372" s="186"/>
      <c r="AG372" s="186"/>
      <c r="AH372" s="186"/>
      <c r="AI372" s="186"/>
      <c r="AJ372" s="186"/>
      <c r="AK372" s="186"/>
      <c r="AL372" s="186"/>
      <c r="AM372" s="186"/>
      <c r="AN372" s="186"/>
      <c r="AO372" s="186"/>
      <c r="AP372" s="186"/>
    </row>
    <row r="373" spans="1:42">
      <c r="A373" s="118">
        <v>1</v>
      </c>
      <c r="B373" s="196">
        <f t="shared" ref="B373:B382" si="903">SUM(C373:AP373)</f>
        <v>6158778.6534697898</v>
      </c>
      <c r="C373" s="225">
        <f t="shared" ref="C373:AP373" si="904">LOOKUP(C361,$B$331:$AP$331,$B$332:$AP$332)*$B681</f>
        <v>0</v>
      </c>
      <c r="D373" s="186">
        <f t="shared" si="904"/>
        <v>0</v>
      </c>
      <c r="E373" s="186">
        <f t="shared" si="904"/>
        <v>0</v>
      </c>
      <c r="F373" s="186">
        <f t="shared" si="904"/>
        <v>0</v>
      </c>
      <c r="G373" s="186">
        <f t="shared" si="904"/>
        <v>0</v>
      </c>
      <c r="H373" s="186">
        <f t="shared" si="904"/>
        <v>0</v>
      </c>
      <c r="I373" s="186">
        <f t="shared" si="904"/>
        <v>0</v>
      </c>
      <c r="J373" s="186">
        <f t="shared" si="904"/>
        <v>0</v>
      </c>
      <c r="K373" s="186">
        <f t="shared" si="904"/>
        <v>0</v>
      </c>
      <c r="L373" s="186">
        <f t="shared" si="904"/>
        <v>0</v>
      </c>
      <c r="M373" s="186">
        <f t="shared" si="904"/>
        <v>0</v>
      </c>
      <c r="N373" s="186">
        <f t="shared" si="904"/>
        <v>0</v>
      </c>
      <c r="O373" s="186">
        <f t="shared" si="904"/>
        <v>0</v>
      </c>
      <c r="P373" s="186">
        <f t="shared" si="904"/>
        <v>0</v>
      </c>
      <c r="Q373" s="186">
        <f t="shared" si="904"/>
        <v>1231755.7306939578</v>
      </c>
      <c r="R373" s="186">
        <f t="shared" si="904"/>
        <v>1970809.1691103324</v>
      </c>
      <c r="S373" s="186">
        <f t="shared" si="904"/>
        <v>1182485.5014661995</v>
      </c>
      <c r="T373" s="186">
        <f t="shared" si="904"/>
        <v>709491.30087971967</v>
      </c>
      <c r="U373" s="186">
        <f t="shared" si="904"/>
        <v>709491.30087971967</v>
      </c>
      <c r="V373" s="186">
        <f t="shared" si="904"/>
        <v>354745.65043985983</v>
      </c>
      <c r="W373" s="186">
        <f t="shared" si="904"/>
        <v>0</v>
      </c>
      <c r="X373" s="186">
        <f t="shared" si="904"/>
        <v>0</v>
      </c>
      <c r="Y373" s="186">
        <f t="shared" si="904"/>
        <v>0</v>
      </c>
      <c r="Z373" s="186">
        <f t="shared" si="904"/>
        <v>0</v>
      </c>
      <c r="AA373" s="186">
        <f t="shared" si="904"/>
        <v>0</v>
      </c>
      <c r="AB373" s="186">
        <f t="shared" si="904"/>
        <v>0</v>
      </c>
      <c r="AC373" s="186">
        <f t="shared" si="904"/>
        <v>0</v>
      </c>
      <c r="AD373" s="186">
        <f t="shared" si="904"/>
        <v>0</v>
      </c>
      <c r="AE373" s="186">
        <f t="shared" si="904"/>
        <v>0</v>
      </c>
      <c r="AF373" s="186">
        <f t="shared" si="904"/>
        <v>0</v>
      </c>
      <c r="AG373" s="186">
        <f t="shared" si="904"/>
        <v>0</v>
      </c>
      <c r="AH373" s="186">
        <f t="shared" si="904"/>
        <v>0</v>
      </c>
      <c r="AI373" s="186">
        <f t="shared" si="904"/>
        <v>0</v>
      </c>
      <c r="AJ373" s="186">
        <f t="shared" si="904"/>
        <v>0</v>
      </c>
      <c r="AK373" s="186">
        <f t="shared" si="904"/>
        <v>0</v>
      </c>
      <c r="AL373" s="186">
        <f t="shared" si="904"/>
        <v>0</v>
      </c>
      <c r="AM373" s="186">
        <f t="shared" si="904"/>
        <v>0</v>
      </c>
      <c r="AN373" s="186">
        <f t="shared" si="904"/>
        <v>0</v>
      </c>
      <c r="AO373" s="186">
        <f t="shared" si="904"/>
        <v>0</v>
      </c>
      <c r="AP373" s="186">
        <f t="shared" si="904"/>
        <v>0</v>
      </c>
    </row>
    <row r="374" spans="1:42">
      <c r="A374" s="118">
        <f>A373+1</f>
        <v>2</v>
      </c>
      <c r="B374" s="196">
        <f t="shared" si="903"/>
        <v>1539980.512798867</v>
      </c>
      <c r="C374" s="225">
        <f t="shared" ref="C374:AP374" si="905">LOOKUP(C362,$B$331:$AP$331,$B$332:$AP$332)*$B682</f>
        <v>0</v>
      </c>
      <c r="D374" s="186">
        <f t="shared" si="905"/>
        <v>0</v>
      </c>
      <c r="E374" s="186">
        <f t="shared" si="905"/>
        <v>0</v>
      </c>
      <c r="F374" s="186">
        <f t="shared" si="905"/>
        <v>0</v>
      </c>
      <c r="G374" s="186">
        <f t="shared" si="905"/>
        <v>0</v>
      </c>
      <c r="H374" s="186">
        <f t="shared" si="905"/>
        <v>0</v>
      </c>
      <c r="I374" s="186">
        <f t="shared" si="905"/>
        <v>0</v>
      </c>
      <c r="J374" s="186">
        <f t="shared" si="905"/>
        <v>0</v>
      </c>
      <c r="K374" s="186">
        <f t="shared" si="905"/>
        <v>0</v>
      </c>
      <c r="L374" s="186">
        <f t="shared" si="905"/>
        <v>0</v>
      </c>
      <c r="M374" s="186">
        <f t="shared" si="905"/>
        <v>0</v>
      </c>
      <c r="N374" s="186">
        <f t="shared" si="905"/>
        <v>0</v>
      </c>
      <c r="O374" s="186">
        <f t="shared" si="905"/>
        <v>0</v>
      </c>
      <c r="P374" s="186">
        <f t="shared" si="905"/>
        <v>0</v>
      </c>
      <c r="Q374" s="186">
        <f t="shared" si="905"/>
        <v>0</v>
      </c>
      <c r="R374" s="186">
        <f t="shared" si="905"/>
        <v>0</v>
      </c>
      <c r="S374" s="186">
        <f t="shared" si="905"/>
        <v>0</v>
      </c>
      <c r="T374" s="186">
        <f t="shared" si="905"/>
        <v>0</v>
      </c>
      <c r="U374" s="186">
        <f t="shared" si="905"/>
        <v>0</v>
      </c>
      <c r="V374" s="186">
        <f t="shared" si="905"/>
        <v>0</v>
      </c>
      <c r="W374" s="186">
        <f t="shared" si="905"/>
        <v>0</v>
      </c>
      <c r="X374" s="186">
        <f t="shared" si="905"/>
        <v>0</v>
      </c>
      <c r="Y374" s="186">
        <f t="shared" si="905"/>
        <v>0</v>
      </c>
      <c r="Z374" s="186">
        <f t="shared" si="905"/>
        <v>0</v>
      </c>
      <c r="AA374" s="186">
        <f t="shared" si="905"/>
        <v>0</v>
      </c>
      <c r="AB374" s="186">
        <f t="shared" si="905"/>
        <v>0</v>
      </c>
      <c r="AC374" s="186">
        <f t="shared" si="905"/>
        <v>0</v>
      </c>
      <c r="AD374" s="186">
        <f t="shared" si="905"/>
        <v>0</v>
      </c>
      <c r="AE374" s="186">
        <f t="shared" si="905"/>
        <v>0</v>
      </c>
      <c r="AF374" s="186">
        <f t="shared" si="905"/>
        <v>1539980.512798867</v>
      </c>
      <c r="AG374" s="186">
        <f t="shared" si="905"/>
        <v>0</v>
      </c>
      <c r="AH374" s="186">
        <f t="shared" si="905"/>
        <v>0</v>
      </c>
      <c r="AI374" s="186">
        <f t="shared" si="905"/>
        <v>0</v>
      </c>
      <c r="AJ374" s="186">
        <f t="shared" si="905"/>
        <v>0</v>
      </c>
      <c r="AK374" s="186">
        <f t="shared" si="905"/>
        <v>0</v>
      </c>
      <c r="AL374" s="186">
        <f t="shared" si="905"/>
        <v>0</v>
      </c>
      <c r="AM374" s="186">
        <f t="shared" si="905"/>
        <v>0</v>
      </c>
      <c r="AN374" s="186">
        <f t="shared" si="905"/>
        <v>0</v>
      </c>
      <c r="AO374" s="186">
        <f t="shared" si="905"/>
        <v>0</v>
      </c>
      <c r="AP374" s="186">
        <f t="shared" si="905"/>
        <v>0</v>
      </c>
    </row>
    <row r="375" spans="1:42">
      <c r="A375" s="118">
        <f t="shared" ref="A375:A382" si="906">A374+1</f>
        <v>3</v>
      </c>
      <c r="B375" s="196">
        <f t="shared" si="903"/>
        <v>0</v>
      </c>
      <c r="C375" s="225">
        <f t="shared" ref="C375:AP375" si="907">LOOKUP(C363,$B$331:$AP$331,$B$332:$AP$332)*$B683</f>
        <v>0</v>
      </c>
      <c r="D375" s="186">
        <f t="shared" si="907"/>
        <v>0</v>
      </c>
      <c r="E375" s="186">
        <f t="shared" si="907"/>
        <v>0</v>
      </c>
      <c r="F375" s="186">
        <f t="shared" si="907"/>
        <v>0</v>
      </c>
      <c r="G375" s="186">
        <f t="shared" si="907"/>
        <v>0</v>
      </c>
      <c r="H375" s="186">
        <f t="shared" si="907"/>
        <v>0</v>
      </c>
      <c r="I375" s="186">
        <f t="shared" si="907"/>
        <v>0</v>
      </c>
      <c r="J375" s="186">
        <f t="shared" si="907"/>
        <v>0</v>
      </c>
      <c r="K375" s="186">
        <f t="shared" si="907"/>
        <v>0</v>
      </c>
      <c r="L375" s="186">
        <f t="shared" si="907"/>
        <v>0</v>
      </c>
      <c r="M375" s="186">
        <f t="shared" si="907"/>
        <v>0</v>
      </c>
      <c r="N375" s="186">
        <f t="shared" si="907"/>
        <v>0</v>
      </c>
      <c r="O375" s="186">
        <f t="shared" si="907"/>
        <v>0</v>
      </c>
      <c r="P375" s="186">
        <f t="shared" si="907"/>
        <v>0</v>
      </c>
      <c r="Q375" s="186">
        <f t="shared" si="907"/>
        <v>0</v>
      </c>
      <c r="R375" s="186">
        <f t="shared" si="907"/>
        <v>0</v>
      </c>
      <c r="S375" s="186">
        <f t="shared" si="907"/>
        <v>0</v>
      </c>
      <c r="T375" s="186">
        <f t="shared" si="907"/>
        <v>0</v>
      </c>
      <c r="U375" s="186">
        <f t="shared" si="907"/>
        <v>0</v>
      </c>
      <c r="V375" s="186">
        <f t="shared" si="907"/>
        <v>0</v>
      </c>
      <c r="W375" s="186">
        <f t="shared" si="907"/>
        <v>0</v>
      </c>
      <c r="X375" s="186">
        <f t="shared" si="907"/>
        <v>0</v>
      </c>
      <c r="Y375" s="186">
        <f t="shared" si="907"/>
        <v>0</v>
      </c>
      <c r="Z375" s="186">
        <f t="shared" si="907"/>
        <v>0</v>
      </c>
      <c r="AA375" s="186">
        <f t="shared" si="907"/>
        <v>0</v>
      </c>
      <c r="AB375" s="186">
        <f t="shared" si="907"/>
        <v>0</v>
      </c>
      <c r="AC375" s="186">
        <f t="shared" si="907"/>
        <v>0</v>
      </c>
      <c r="AD375" s="186">
        <f t="shared" si="907"/>
        <v>0</v>
      </c>
      <c r="AE375" s="186">
        <f t="shared" si="907"/>
        <v>0</v>
      </c>
      <c r="AF375" s="186">
        <f t="shared" si="907"/>
        <v>0</v>
      </c>
      <c r="AG375" s="186">
        <f t="shared" si="907"/>
        <v>0</v>
      </c>
      <c r="AH375" s="186">
        <f t="shared" si="907"/>
        <v>0</v>
      </c>
      <c r="AI375" s="186">
        <f t="shared" si="907"/>
        <v>0</v>
      </c>
      <c r="AJ375" s="186">
        <f t="shared" si="907"/>
        <v>0</v>
      </c>
      <c r="AK375" s="186">
        <f t="shared" si="907"/>
        <v>0</v>
      </c>
      <c r="AL375" s="186">
        <f t="shared" si="907"/>
        <v>0</v>
      </c>
      <c r="AM375" s="186">
        <f t="shared" si="907"/>
        <v>0</v>
      </c>
      <c r="AN375" s="186">
        <f t="shared" si="907"/>
        <v>0</v>
      </c>
      <c r="AO375" s="186">
        <f t="shared" si="907"/>
        <v>0</v>
      </c>
      <c r="AP375" s="186">
        <f t="shared" si="907"/>
        <v>0</v>
      </c>
    </row>
    <row r="376" spans="1:42">
      <c r="A376" s="118">
        <f t="shared" si="906"/>
        <v>4</v>
      </c>
      <c r="B376" s="196">
        <f t="shared" si="903"/>
        <v>0</v>
      </c>
      <c r="C376" s="225">
        <f t="shared" ref="C376:AP376" si="908">LOOKUP(C364,$B$331:$AP$331,$B$332:$AP$332)*$B684</f>
        <v>0</v>
      </c>
      <c r="D376" s="186">
        <f t="shared" si="908"/>
        <v>0</v>
      </c>
      <c r="E376" s="186">
        <f t="shared" si="908"/>
        <v>0</v>
      </c>
      <c r="F376" s="186">
        <f t="shared" si="908"/>
        <v>0</v>
      </c>
      <c r="G376" s="186">
        <f t="shared" si="908"/>
        <v>0</v>
      </c>
      <c r="H376" s="186">
        <f t="shared" si="908"/>
        <v>0</v>
      </c>
      <c r="I376" s="186">
        <f t="shared" si="908"/>
        <v>0</v>
      </c>
      <c r="J376" s="186">
        <f t="shared" si="908"/>
        <v>0</v>
      </c>
      <c r="K376" s="186">
        <f t="shared" si="908"/>
        <v>0</v>
      </c>
      <c r="L376" s="186">
        <f t="shared" si="908"/>
        <v>0</v>
      </c>
      <c r="M376" s="186">
        <f t="shared" si="908"/>
        <v>0</v>
      </c>
      <c r="N376" s="186">
        <f t="shared" si="908"/>
        <v>0</v>
      </c>
      <c r="O376" s="186">
        <f t="shared" si="908"/>
        <v>0</v>
      </c>
      <c r="P376" s="186">
        <f t="shared" si="908"/>
        <v>0</v>
      </c>
      <c r="Q376" s="186">
        <f t="shared" si="908"/>
        <v>0</v>
      </c>
      <c r="R376" s="186">
        <f t="shared" si="908"/>
        <v>0</v>
      </c>
      <c r="S376" s="186">
        <f t="shared" si="908"/>
        <v>0</v>
      </c>
      <c r="T376" s="186">
        <f t="shared" si="908"/>
        <v>0</v>
      </c>
      <c r="U376" s="186">
        <f t="shared" si="908"/>
        <v>0</v>
      </c>
      <c r="V376" s="186">
        <f t="shared" si="908"/>
        <v>0</v>
      </c>
      <c r="W376" s="186">
        <f t="shared" si="908"/>
        <v>0</v>
      </c>
      <c r="X376" s="186">
        <f t="shared" si="908"/>
        <v>0</v>
      </c>
      <c r="Y376" s="186">
        <f t="shared" si="908"/>
        <v>0</v>
      </c>
      <c r="Z376" s="186">
        <f t="shared" si="908"/>
        <v>0</v>
      </c>
      <c r="AA376" s="186">
        <f t="shared" si="908"/>
        <v>0</v>
      </c>
      <c r="AB376" s="186">
        <f t="shared" si="908"/>
        <v>0</v>
      </c>
      <c r="AC376" s="186">
        <f t="shared" si="908"/>
        <v>0</v>
      </c>
      <c r="AD376" s="186">
        <f t="shared" si="908"/>
        <v>0</v>
      </c>
      <c r="AE376" s="186">
        <f t="shared" si="908"/>
        <v>0</v>
      </c>
      <c r="AF376" s="186">
        <f t="shared" si="908"/>
        <v>0</v>
      </c>
      <c r="AG376" s="186">
        <f t="shared" si="908"/>
        <v>0</v>
      </c>
      <c r="AH376" s="186">
        <f t="shared" si="908"/>
        <v>0</v>
      </c>
      <c r="AI376" s="186">
        <f t="shared" si="908"/>
        <v>0</v>
      </c>
      <c r="AJ376" s="186">
        <f t="shared" si="908"/>
        <v>0</v>
      </c>
      <c r="AK376" s="186">
        <f t="shared" si="908"/>
        <v>0</v>
      </c>
      <c r="AL376" s="186">
        <f t="shared" si="908"/>
        <v>0</v>
      </c>
      <c r="AM376" s="186">
        <f t="shared" si="908"/>
        <v>0</v>
      </c>
      <c r="AN376" s="186">
        <f t="shared" si="908"/>
        <v>0</v>
      </c>
      <c r="AO376" s="186">
        <f t="shared" si="908"/>
        <v>0</v>
      </c>
      <c r="AP376" s="186">
        <f t="shared" si="908"/>
        <v>0</v>
      </c>
    </row>
    <row r="377" spans="1:42">
      <c r="A377" s="118">
        <f t="shared" si="906"/>
        <v>5</v>
      </c>
      <c r="B377" s="196">
        <f t="shared" si="903"/>
        <v>0</v>
      </c>
      <c r="C377" s="225">
        <f t="shared" ref="C377:AP377" si="909">LOOKUP(C365,$B$331:$AP$331,$B$332:$AP$332)*$B685</f>
        <v>0</v>
      </c>
      <c r="D377" s="186">
        <f t="shared" si="909"/>
        <v>0</v>
      </c>
      <c r="E377" s="186">
        <f t="shared" si="909"/>
        <v>0</v>
      </c>
      <c r="F377" s="186">
        <f t="shared" si="909"/>
        <v>0</v>
      </c>
      <c r="G377" s="186">
        <f t="shared" si="909"/>
        <v>0</v>
      </c>
      <c r="H377" s="186">
        <f t="shared" si="909"/>
        <v>0</v>
      </c>
      <c r="I377" s="186">
        <f t="shared" si="909"/>
        <v>0</v>
      </c>
      <c r="J377" s="186">
        <f t="shared" si="909"/>
        <v>0</v>
      </c>
      <c r="K377" s="186">
        <f t="shared" si="909"/>
        <v>0</v>
      </c>
      <c r="L377" s="186">
        <f t="shared" si="909"/>
        <v>0</v>
      </c>
      <c r="M377" s="186">
        <f t="shared" si="909"/>
        <v>0</v>
      </c>
      <c r="N377" s="186">
        <f t="shared" si="909"/>
        <v>0</v>
      </c>
      <c r="O377" s="186">
        <f t="shared" si="909"/>
        <v>0</v>
      </c>
      <c r="P377" s="186">
        <f t="shared" si="909"/>
        <v>0</v>
      </c>
      <c r="Q377" s="186">
        <f t="shared" si="909"/>
        <v>0</v>
      </c>
      <c r="R377" s="186">
        <f t="shared" si="909"/>
        <v>0</v>
      </c>
      <c r="S377" s="186">
        <f t="shared" si="909"/>
        <v>0</v>
      </c>
      <c r="T377" s="186">
        <f t="shared" si="909"/>
        <v>0</v>
      </c>
      <c r="U377" s="186">
        <f t="shared" si="909"/>
        <v>0</v>
      </c>
      <c r="V377" s="186">
        <f t="shared" si="909"/>
        <v>0</v>
      </c>
      <c r="W377" s="186">
        <f t="shared" si="909"/>
        <v>0</v>
      </c>
      <c r="X377" s="186">
        <f t="shared" si="909"/>
        <v>0</v>
      </c>
      <c r="Y377" s="186">
        <f t="shared" si="909"/>
        <v>0</v>
      </c>
      <c r="Z377" s="186">
        <f t="shared" si="909"/>
        <v>0</v>
      </c>
      <c r="AA377" s="186">
        <f t="shared" si="909"/>
        <v>0</v>
      </c>
      <c r="AB377" s="186">
        <f t="shared" si="909"/>
        <v>0</v>
      </c>
      <c r="AC377" s="186">
        <f t="shared" si="909"/>
        <v>0</v>
      </c>
      <c r="AD377" s="186">
        <f t="shared" si="909"/>
        <v>0</v>
      </c>
      <c r="AE377" s="186">
        <f t="shared" si="909"/>
        <v>0</v>
      </c>
      <c r="AF377" s="186">
        <f t="shared" si="909"/>
        <v>0</v>
      </c>
      <c r="AG377" s="186">
        <f t="shared" si="909"/>
        <v>0</v>
      </c>
      <c r="AH377" s="186">
        <f t="shared" si="909"/>
        <v>0</v>
      </c>
      <c r="AI377" s="186">
        <f t="shared" si="909"/>
        <v>0</v>
      </c>
      <c r="AJ377" s="186">
        <f t="shared" si="909"/>
        <v>0</v>
      </c>
      <c r="AK377" s="186">
        <f t="shared" si="909"/>
        <v>0</v>
      </c>
      <c r="AL377" s="186">
        <f t="shared" si="909"/>
        <v>0</v>
      </c>
      <c r="AM377" s="186">
        <f t="shared" si="909"/>
        <v>0</v>
      </c>
      <c r="AN377" s="186">
        <f t="shared" si="909"/>
        <v>0</v>
      </c>
      <c r="AO377" s="186">
        <f t="shared" si="909"/>
        <v>0</v>
      </c>
      <c r="AP377" s="186">
        <f t="shared" si="909"/>
        <v>0</v>
      </c>
    </row>
    <row r="378" spans="1:42">
      <c r="A378" s="118">
        <f t="shared" si="906"/>
        <v>6</v>
      </c>
      <c r="B378" s="196">
        <f t="shared" si="903"/>
        <v>0</v>
      </c>
      <c r="C378" s="225">
        <f t="shared" ref="C378:AP378" si="910">LOOKUP(C366,$B$331:$AP$331,$B$332:$AP$332)*$B686</f>
        <v>0</v>
      </c>
      <c r="D378" s="186">
        <f t="shared" si="910"/>
        <v>0</v>
      </c>
      <c r="E378" s="186">
        <f t="shared" si="910"/>
        <v>0</v>
      </c>
      <c r="F378" s="186">
        <f t="shared" si="910"/>
        <v>0</v>
      </c>
      <c r="G378" s="186">
        <f t="shared" si="910"/>
        <v>0</v>
      </c>
      <c r="H378" s="186">
        <f t="shared" si="910"/>
        <v>0</v>
      </c>
      <c r="I378" s="186">
        <f t="shared" si="910"/>
        <v>0</v>
      </c>
      <c r="J378" s="186">
        <f t="shared" si="910"/>
        <v>0</v>
      </c>
      <c r="K378" s="186">
        <f t="shared" si="910"/>
        <v>0</v>
      </c>
      <c r="L378" s="186">
        <f t="shared" si="910"/>
        <v>0</v>
      </c>
      <c r="M378" s="186">
        <f t="shared" si="910"/>
        <v>0</v>
      </c>
      <c r="N378" s="186">
        <f t="shared" si="910"/>
        <v>0</v>
      </c>
      <c r="O378" s="186">
        <f t="shared" si="910"/>
        <v>0</v>
      </c>
      <c r="P378" s="186">
        <f t="shared" si="910"/>
        <v>0</v>
      </c>
      <c r="Q378" s="186">
        <f t="shared" si="910"/>
        <v>0</v>
      </c>
      <c r="R378" s="186">
        <f t="shared" si="910"/>
        <v>0</v>
      </c>
      <c r="S378" s="186">
        <f t="shared" si="910"/>
        <v>0</v>
      </c>
      <c r="T378" s="186">
        <f t="shared" si="910"/>
        <v>0</v>
      </c>
      <c r="U378" s="186">
        <f t="shared" si="910"/>
        <v>0</v>
      </c>
      <c r="V378" s="186">
        <f t="shared" si="910"/>
        <v>0</v>
      </c>
      <c r="W378" s="186">
        <f t="shared" si="910"/>
        <v>0</v>
      </c>
      <c r="X378" s="186">
        <f t="shared" si="910"/>
        <v>0</v>
      </c>
      <c r="Y378" s="186">
        <f t="shared" si="910"/>
        <v>0</v>
      </c>
      <c r="Z378" s="186">
        <f t="shared" si="910"/>
        <v>0</v>
      </c>
      <c r="AA378" s="186">
        <f t="shared" si="910"/>
        <v>0</v>
      </c>
      <c r="AB378" s="186">
        <f t="shared" si="910"/>
        <v>0</v>
      </c>
      <c r="AC378" s="186">
        <f t="shared" si="910"/>
        <v>0</v>
      </c>
      <c r="AD378" s="186">
        <f t="shared" si="910"/>
        <v>0</v>
      </c>
      <c r="AE378" s="186">
        <f t="shared" si="910"/>
        <v>0</v>
      </c>
      <c r="AF378" s="186">
        <f t="shared" si="910"/>
        <v>0</v>
      </c>
      <c r="AG378" s="186">
        <f t="shared" si="910"/>
        <v>0</v>
      </c>
      <c r="AH378" s="186">
        <f t="shared" si="910"/>
        <v>0</v>
      </c>
      <c r="AI378" s="186">
        <f t="shared" si="910"/>
        <v>0</v>
      </c>
      <c r="AJ378" s="186">
        <f t="shared" si="910"/>
        <v>0</v>
      </c>
      <c r="AK378" s="186">
        <f t="shared" si="910"/>
        <v>0</v>
      </c>
      <c r="AL378" s="186">
        <f t="shared" si="910"/>
        <v>0</v>
      </c>
      <c r="AM378" s="186">
        <f t="shared" si="910"/>
        <v>0</v>
      </c>
      <c r="AN378" s="186">
        <f t="shared" si="910"/>
        <v>0</v>
      </c>
      <c r="AO378" s="186">
        <f t="shared" si="910"/>
        <v>0</v>
      </c>
      <c r="AP378" s="186">
        <f t="shared" si="910"/>
        <v>0</v>
      </c>
    </row>
    <row r="379" spans="1:42">
      <c r="A379" s="118">
        <f t="shared" si="906"/>
        <v>7</v>
      </c>
      <c r="B379" s="196">
        <f t="shared" si="903"/>
        <v>0</v>
      </c>
      <c r="C379" s="225">
        <f t="shared" ref="C379:AP379" si="911">LOOKUP(C367,$B$331:$AP$331,$B$332:$AP$332)*$B687</f>
        <v>0</v>
      </c>
      <c r="D379" s="186">
        <f t="shared" si="911"/>
        <v>0</v>
      </c>
      <c r="E379" s="186">
        <f t="shared" si="911"/>
        <v>0</v>
      </c>
      <c r="F379" s="186">
        <f t="shared" si="911"/>
        <v>0</v>
      </c>
      <c r="G379" s="186">
        <f t="shared" si="911"/>
        <v>0</v>
      </c>
      <c r="H379" s="186">
        <f t="shared" si="911"/>
        <v>0</v>
      </c>
      <c r="I379" s="186">
        <f t="shared" si="911"/>
        <v>0</v>
      </c>
      <c r="J379" s="186">
        <f t="shared" si="911"/>
        <v>0</v>
      </c>
      <c r="K379" s="186">
        <f t="shared" si="911"/>
        <v>0</v>
      </c>
      <c r="L379" s="186">
        <f t="shared" si="911"/>
        <v>0</v>
      </c>
      <c r="M379" s="186">
        <f t="shared" si="911"/>
        <v>0</v>
      </c>
      <c r="N379" s="186">
        <f t="shared" si="911"/>
        <v>0</v>
      </c>
      <c r="O379" s="186">
        <f t="shared" si="911"/>
        <v>0</v>
      </c>
      <c r="P379" s="186">
        <f t="shared" si="911"/>
        <v>0</v>
      </c>
      <c r="Q379" s="186">
        <f t="shared" si="911"/>
        <v>0</v>
      </c>
      <c r="R379" s="186">
        <f t="shared" si="911"/>
        <v>0</v>
      </c>
      <c r="S379" s="186">
        <f t="shared" si="911"/>
        <v>0</v>
      </c>
      <c r="T379" s="186">
        <f t="shared" si="911"/>
        <v>0</v>
      </c>
      <c r="U379" s="186">
        <f t="shared" si="911"/>
        <v>0</v>
      </c>
      <c r="V379" s="186">
        <f t="shared" si="911"/>
        <v>0</v>
      </c>
      <c r="W379" s="186">
        <f t="shared" si="911"/>
        <v>0</v>
      </c>
      <c r="X379" s="186">
        <f t="shared" si="911"/>
        <v>0</v>
      </c>
      <c r="Y379" s="186">
        <f t="shared" si="911"/>
        <v>0</v>
      </c>
      <c r="Z379" s="186">
        <f t="shared" si="911"/>
        <v>0</v>
      </c>
      <c r="AA379" s="186">
        <f t="shared" si="911"/>
        <v>0</v>
      </c>
      <c r="AB379" s="186">
        <f t="shared" si="911"/>
        <v>0</v>
      </c>
      <c r="AC379" s="186">
        <f t="shared" si="911"/>
        <v>0</v>
      </c>
      <c r="AD379" s="186">
        <f t="shared" si="911"/>
        <v>0</v>
      </c>
      <c r="AE379" s="186">
        <f t="shared" si="911"/>
        <v>0</v>
      </c>
      <c r="AF379" s="186">
        <f t="shared" si="911"/>
        <v>0</v>
      </c>
      <c r="AG379" s="186">
        <f t="shared" si="911"/>
        <v>0</v>
      </c>
      <c r="AH379" s="186">
        <f t="shared" si="911"/>
        <v>0</v>
      </c>
      <c r="AI379" s="186">
        <f t="shared" si="911"/>
        <v>0</v>
      </c>
      <c r="AJ379" s="186">
        <f t="shared" si="911"/>
        <v>0</v>
      </c>
      <c r="AK379" s="186">
        <f t="shared" si="911"/>
        <v>0</v>
      </c>
      <c r="AL379" s="186">
        <f t="shared" si="911"/>
        <v>0</v>
      </c>
      <c r="AM379" s="186">
        <f t="shared" si="911"/>
        <v>0</v>
      </c>
      <c r="AN379" s="186">
        <f t="shared" si="911"/>
        <v>0</v>
      </c>
      <c r="AO379" s="186">
        <f t="shared" si="911"/>
        <v>0</v>
      </c>
      <c r="AP379" s="186">
        <f t="shared" si="911"/>
        <v>0</v>
      </c>
    </row>
    <row r="380" spans="1:42">
      <c r="A380" s="118">
        <f t="shared" si="906"/>
        <v>8</v>
      </c>
      <c r="B380" s="196">
        <f t="shared" si="903"/>
        <v>0</v>
      </c>
      <c r="C380" s="225">
        <f t="shared" ref="C380:AP380" si="912">LOOKUP(C368,$B$331:$AP$331,$B$332:$AP$332)*$B688</f>
        <v>0</v>
      </c>
      <c r="D380" s="186">
        <f t="shared" si="912"/>
        <v>0</v>
      </c>
      <c r="E380" s="186">
        <f t="shared" si="912"/>
        <v>0</v>
      </c>
      <c r="F380" s="186">
        <f t="shared" si="912"/>
        <v>0</v>
      </c>
      <c r="G380" s="186">
        <f t="shared" si="912"/>
        <v>0</v>
      </c>
      <c r="H380" s="186">
        <f t="shared" si="912"/>
        <v>0</v>
      </c>
      <c r="I380" s="186">
        <f t="shared" si="912"/>
        <v>0</v>
      </c>
      <c r="J380" s="186">
        <f t="shared" si="912"/>
        <v>0</v>
      </c>
      <c r="K380" s="186">
        <f t="shared" si="912"/>
        <v>0</v>
      </c>
      <c r="L380" s="186">
        <f t="shared" si="912"/>
        <v>0</v>
      </c>
      <c r="M380" s="186">
        <f t="shared" si="912"/>
        <v>0</v>
      </c>
      <c r="N380" s="186">
        <f t="shared" si="912"/>
        <v>0</v>
      </c>
      <c r="O380" s="186">
        <f t="shared" si="912"/>
        <v>0</v>
      </c>
      <c r="P380" s="186">
        <f t="shared" si="912"/>
        <v>0</v>
      </c>
      <c r="Q380" s="186">
        <f t="shared" si="912"/>
        <v>0</v>
      </c>
      <c r="R380" s="186">
        <f t="shared" si="912"/>
        <v>0</v>
      </c>
      <c r="S380" s="186">
        <f t="shared" si="912"/>
        <v>0</v>
      </c>
      <c r="T380" s="186">
        <f t="shared" si="912"/>
        <v>0</v>
      </c>
      <c r="U380" s="186">
        <f t="shared" si="912"/>
        <v>0</v>
      </c>
      <c r="V380" s="186">
        <f t="shared" si="912"/>
        <v>0</v>
      </c>
      <c r="W380" s="186">
        <f t="shared" si="912"/>
        <v>0</v>
      </c>
      <c r="X380" s="186">
        <f t="shared" si="912"/>
        <v>0</v>
      </c>
      <c r="Y380" s="186">
        <f t="shared" si="912"/>
        <v>0</v>
      </c>
      <c r="Z380" s="186">
        <f t="shared" si="912"/>
        <v>0</v>
      </c>
      <c r="AA380" s="186">
        <f t="shared" si="912"/>
        <v>0</v>
      </c>
      <c r="AB380" s="186">
        <f t="shared" si="912"/>
        <v>0</v>
      </c>
      <c r="AC380" s="186">
        <f t="shared" si="912"/>
        <v>0</v>
      </c>
      <c r="AD380" s="186">
        <f t="shared" si="912"/>
        <v>0</v>
      </c>
      <c r="AE380" s="186">
        <f t="shared" si="912"/>
        <v>0</v>
      </c>
      <c r="AF380" s="186">
        <f t="shared" si="912"/>
        <v>0</v>
      </c>
      <c r="AG380" s="186">
        <f t="shared" si="912"/>
        <v>0</v>
      </c>
      <c r="AH380" s="186">
        <f t="shared" si="912"/>
        <v>0</v>
      </c>
      <c r="AI380" s="186">
        <f t="shared" si="912"/>
        <v>0</v>
      </c>
      <c r="AJ380" s="186">
        <f t="shared" si="912"/>
        <v>0</v>
      </c>
      <c r="AK380" s="186">
        <f t="shared" si="912"/>
        <v>0</v>
      </c>
      <c r="AL380" s="186">
        <f t="shared" si="912"/>
        <v>0</v>
      </c>
      <c r="AM380" s="186">
        <f t="shared" si="912"/>
        <v>0</v>
      </c>
      <c r="AN380" s="186">
        <f t="shared" si="912"/>
        <v>0</v>
      </c>
      <c r="AO380" s="186">
        <f t="shared" si="912"/>
        <v>0</v>
      </c>
      <c r="AP380" s="186">
        <f t="shared" si="912"/>
        <v>0</v>
      </c>
    </row>
    <row r="381" spans="1:42">
      <c r="A381" s="118">
        <f>A380+1</f>
        <v>9</v>
      </c>
      <c r="B381" s="196">
        <f t="shared" si="903"/>
        <v>0</v>
      </c>
      <c r="C381" s="225">
        <f t="shared" ref="C381:AP381" si="913">LOOKUP(C369,$B$331:$AP$331,$B$332:$AP$332)*$B689</f>
        <v>0</v>
      </c>
      <c r="D381" s="186">
        <f t="shared" si="913"/>
        <v>0</v>
      </c>
      <c r="E381" s="186">
        <f t="shared" si="913"/>
        <v>0</v>
      </c>
      <c r="F381" s="186">
        <f t="shared" si="913"/>
        <v>0</v>
      </c>
      <c r="G381" s="186">
        <f t="shared" si="913"/>
        <v>0</v>
      </c>
      <c r="H381" s="186">
        <f t="shared" si="913"/>
        <v>0</v>
      </c>
      <c r="I381" s="186">
        <f t="shared" si="913"/>
        <v>0</v>
      </c>
      <c r="J381" s="186">
        <f t="shared" si="913"/>
        <v>0</v>
      </c>
      <c r="K381" s="186">
        <f t="shared" si="913"/>
        <v>0</v>
      </c>
      <c r="L381" s="186">
        <f t="shared" si="913"/>
        <v>0</v>
      </c>
      <c r="M381" s="186">
        <f t="shared" si="913"/>
        <v>0</v>
      </c>
      <c r="N381" s="186">
        <f t="shared" si="913"/>
        <v>0</v>
      </c>
      <c r="O381" s="186">
        <f t="shared" si="913"/>
        <v>0</v>
      </c>
      <c r="P381" s="186">
        <f t="shared" si="913"/>
        <v>0</v>
      </c>
      <c r="Q381" s="186">
        <f t="shared" si="913"/>
        <v>0</v>
      </c>
      <c r="R381" s="186">
        <f t="shared" si="913"/>
        <v>0</v>
      </c>
      <c r="S381" s="186">
        <f t="shared" si="913"/>
        <v>0</v>
      </c>
      <c r="T381" s="186">
        <f t="shared" si="913"/>
        <v>0</v>
      </c>
      <c r="U381" s="186">
        <f t="shared" si="913"/>
        <v>0</v>
      </c>
      <c r="V381" s="186">
        <f t="shared" si="913"/>
        <v>0</v>
      </c>
      <c r="W381" s="186">
        <f t="shared" si="913"/>
        <v>0</v>
      </c>
      <c r="X381" s="186">
        <f t="shared" si="913"/>
        <v>0</v>
      </c>
      <c r="Y381" s="186">
        <f t="shared" si="913"/>
        <v>0</v>
      </c>
      <c r="Z381" s="186">
        <f t="shared" si="913"/>
        <v>0</v>
      </c>
      <c r="AA381" s="186">
        <f t="shared" si="913"/>
        <v>0</v>
      </c>
      <c r="AB381" s="186">
        <f t="shared" si="913"/>
        <v>0</v>
      </c>
      <c r="AC381" s="186">
        <f t="shared" si="913"/>
        <v>0</v>
      </c>
      <c r="AD381" s="186">
        <f t="shared" si="913"/>
        <v>0</v>
      </c>
      <c r="AE381" s="186">
        <f t="shared" si="913"/>
        <v>0</v>
      </c>
      <c r="AF381" s="186">
        <f t="shared" si="913"/>
        <v>0</v>
      </c>
      <c r="AG381" s="186">
        <f t="shared" si="913"/>
        <v>0</v>
      </c>
      <c r="AH381" s="186">
        <f t="shared" si="913"/>
        <v>0</v>
      </c>
      <c r="AI381" s="186">
        <f t="shared" si="913"/>
        <v>0</v>
      </c>
      <c r="AJ381" s="186">
        <f t="shared" si="913"/>
        <v>0</v>
      </c>
      <c r="AK381" s="186">
        <f t="shared" si="913"/>
        <v>0</v>
      </c>
      <c r="AL381" s="186">
        <f t="shared" si="913"/>
        <v>0</v>
      </c>
      <c r="AM381" s="186">
        <f t="shared" si="913"/>
        <v>0</v>
      </c>
      <c r="AN381" s="186">
        <f t="shared" si="913"/>
        <v>0</v>
      </c>
      <c r="AO381" s="186">
        <f t="shared" si="913"/>
        <v>0</v>
      </c>
      <c r="AP381" s="186">
        <f t="shared" si="913"/>
        <v>0</v>
      </c>
    </row>
    <row r="382" spans="1:42">
      <c r="A382" s="118">
        <f t="shared" si="906"/>
        <v>10</v>
      </c>
      <c r="B382" s="196">
        <f t="shared" si="903"/>
        <v>0</v>
      </c>
      <c r="C382" s="221">
        <f t="shared" ref="C382:AP382" si="914">LOOKUP(C370,$B$331:$AP$331,$B$332:$AP$332)*$B690</f>
        <v>0</v>
      </c>
      <c r="D382" s="187">
        <f t="shared" si="914"/>
        <v>0</v>
      </c>
      <c r="E382" s="187">
        <f t="shared" si="914"/>
        <v>0</v>
      </c>
      <c r="F382" s="187">
        <f t="shared" si="914"/>
        <v>0</v>
      </c>
      <c r="G382" s="187">
        <f t="shared" si="914"/>
        <v>0</v>
      </c>
      <c r="H382" s="187">
        <f t="shared" si="914"/>
        <v>0</v>
      </c>
      <c r="I382" s="187">
        <f t="shared" si="914"/>
        <v>0</v>
      </c>
      <c r="J382" s="187">
        <f t="shared" si="914"/>
        <v>0</v>
      </c>
      <c r="K382" s="187">
        <f t="shared" si="914"/>
        <v>0</v>
      </c>
      <c r="L382" s="187">
        <f t="shared" si="914"/>
        <v>0</v>
      </c>
      <c r="M382" s="187">
        <f t="shared" si="914"/>
        <v>0</v>
      </c>
      <c r="N382" s="187">
        <f t="shared" si="914"/>
        <v>0</v>
      </c>
      <c r="O382" s="187">
        <f t="shared" si="914"/>
        <v>0</v>
      </c>
      <c r="P382" s="187">
        <f t="shared" si="914"/>
        <v>0</v>
      </c>
      <c r="Q382" s="187">
        <f t="shared" si="914"/>
        <v>0</v>
      </c>
      <c r="R382" s="187">
        <f t="shared" si="914"/>
        <v>0</v>
      </c>
      <c r="S382" s="187">
        <f t="shared" si="914"/>
        <v>0</v>
      </c>
      <c r="T382" s="187">
        <f t="shared" si="914"/>
        <v>0</v>
      </c>
      <c r="U382" s="187">
        <f t="shared" si="914"/>
        <v>0</v>
      </c>
      <c r="V382" s="187">
        <f t="shared" si="914"/>
        <v>0</v>
      </c>
      <c r="W382" s="187">
        <f t="shared" si="914"/>
        <v>0</v>
      </c>
      <c r="X382" s="187">
        <f t="shared" si="914"/>
        <v>0</v>
      </c>
      <c r="Y382" s="187">
        <f t="shared" si="914"/>
        <v>0</v>
      </c>
      <c r="Z382" s="187">
        <f t="shared" si="914"/>
        <v>0</v>
      </c>
      <c r="AA382" s="187">
        <f t="shared" si="914"/>
        <v>0</v>
      </c>
      <c r="AB382" s="187">
        <f t="shared" si="914"/>
        <v>0</v>
      </c>
      <c r="AC382" s="187">
        <f t="shared" si="914"/>
        <v>0</v>
      </c>
      <c r="AD382" s="187">
        <f t="shared" si="914"/>
        <v>0</v>
      </c>
      <c r="AE382" s="187">
        <f t="shared" si="914"/>
        <v>0</v>
      </c>
      <c r="AF382" s="187">
        <f t="shared" si="914"/>
        <v>0</v>
      </c>
      <c r="AG382" s="187">
        <f t="shared" si="914"/>
        <v>0</v>
      </c>
      <c r="AH382" s="187">
        <f t="shared" si="914"/>
        <v>0</v>
      </c>
      <c r="AI382" s="187">
        <f t="shared" si="914"/>
        <v>0</v>
      </c>
      <c r="AJ382" s="187">
        <f t="shared" si="914"/>
        <v>0</v>
      </c>
      <c r="AK382" s="187">
        <f t="shared" si="914"/>
        <v>0</v>
      </c>
      <c r="AL382" s="187">
        <f t="shared" si="914"/>
        <v>0</v>
      </c>
      <c r="AM382" s="187">
        <f t="shared" si="914"/>
        <v>0</v>
      </c>
      <c r="AN382" s="187">
        <f t="shared" si="914"/>
        <v>0</v>
      </c>
      <c r="AO382" s="187">
        <f t="shared" si="914"/>
        <v>0</v>
      </c>
      <c r="AP382" s="187">
        <f t="shared" si="914"/>
        <v>0</v>
      </c>
    </row>
    <row r="383" spans="1:42" s="118" customFormat="1" ht="12" customHeight="1">
      <c r="A383" s="222" t="s">
        <v>53</v>
      </c>
      <c r="B383" s="141"/>
      <c r="C383" s="141">
        <f>SUM(C373:C382)</f>
        <v>0</v>
      </c>
      <c r="D383" s="141">
        <f t="shared" ref="D383:AP383" si="915">SUM(D373:D382)</f>
        <v>0</v>
      </c>
      <c r="E383" s="141">
        <f t="shared" si="915"/>
        <v>0</v>
      </c>
      <c r="F383" s="141">
        <f t="shared" si="915"/>
        <v>0</v>
      </c>
      <c r="G383" s="141">
        <f t="shared" si="915"/>
        <v>0</v>
      </c>
      <c r="H383" s="141">
        <f t="shared" si="915"/>
        <v>0</v>
      </c>
      <c r="I383" s="141">
        <f t="shared" si="915"/>
        <v>0</v>
      </c>
      <c r="J383" s="141">
        <f t="shared" si="915"/>
        <v>0</v>
      </c>
      <c r="K383" s="141">
        <f t="shared" si="915"/>
        <v>0</v>
      </c>
      <c r="L383" s="141">
        <f t="shared" si="915"/>
        <v>0</v>
      </c>
      <c r="M383" s="141">
        <f t="shared" si="915"/>
        <v>0</v>
      </c>
      <c r="N383" s="141">
        <f t="shared" si="915"/>
        <v>0</v>
      </c>
      <c r="O383" s="141">
        <f t="shared" si="915"/>
        <v>0</v>
      </c>
      <c r="P383" s="141">
        <f t="shared" si="915"/>
        <v>0</v>
      </c>
      <c r="Q383" s="141">
        <f t="shared" si="915"/>
        <v>1231755.7306939578</v>
      </c>
      <c r="R383" s="141">
        <f t="shared" si="915"/>
        <v>1970809.1691103324</v>
      </c>
      <c r="S383" s="141">
        <f t="shared" si="915"/>
        <v>1182485.5014661995</v>
      </c>
      <c r="T383" s="141">
        <f t="shared" si="915"/>
        <v>709491.30087971967</v>
      </c>
      <c r="U383" s="141">
        <f t="shared" si="915"/>
        <v>709491.30087971967</v>
      </c>
      <c r="V383" s="141">
        <f t="shared" si="915"/>
        <v>354745.65043985983</v>
      </c>
      <c r="W383" s="141">
        <f t="shared" si="915"/>
        <v>0</v>
      </c>
      <c r="X383" s="141">
        <f t="shared" si="915"/>
        <v>0</v>
      </c>
      <c r="Y383" s="141">
        <f t="shared" si="915"/>
        <v>0</v>
      </c>
      <c r="Z383" s="141">
        <f t="shared" si="915"/>
        <v>0</v>
      </c>
      <c r="AA383" s="141">
        <f t="shared" si="915"/>
        <v>0</v>
      </c>
      <c r="AB383" s="141">
        <f t="shared" si="915"/>
        <v>0</v>
      </c>
      <c r="AC383" s="141">
        <f t="shared" si="915"/>
        <v>0</v>
      </c>
      <c r="AD383" s="141">
        <f t="shared" si="915"/>
        <v>0</v>
      </c>
      <c r="AE383" s="141">
        <f t="shared" si="915"/>
        <v>0</v>
      </c>
      <c r="AF383" s="141">
        <f t="shared" si="915"/>
        <v>1539980.512798867</v>
      </c>
      <c r="AG383" s="141">
        <f t="shared" si="915"/>
        <v>0</v>
      </c>
      <c r="AH383" s="141">
        <f t="shared" si="915"/>
        <v>0</v>
      </c>
      <c r="AI383" s="141">
        <f t="shared" si="915"/>
        <v>0</v>
      </c>
      <c r="AJ383" s="141">
        <f t="shared" si="915"/>
        <v>0</v>
      </c>
      <c r="AK383" s="141">
        <f t="shared" si="915"/>
        <v>0</v>
      </c>
      <c r="AL383" s="141">
        <f t="shared" si="915"/>
        <v>0</v>
      </c>
      <c r="AM383" s="141">
        <f t="shared" si="915"/>
        <v>0</v>
      </c>
      <c r="AN383" s="141">
        <f t="shared" si="915"/>
        <v>0</v>
      </c>
      <c r="AO383" s="141">
        <f t="shared" si="915"/>
        <v>0</v>
      </c>
      <c r="AP383" s="141">
        <f t="shared" si="915"/>
        <v>0</v>
      </c>
    </row>
    <row r="384" spans="1:42">
      <c r="A384" s="204"/>
      <c r="C384" s="186"/>
      <c r="D384" s="186"/>
      <c r="E384" s="186"/>
      <c r="F384" s="186"/>
      <c r="G384" s="186"/>
      <c r="H384" s="186"/>
      <c r="I384" s="186"/>
      <c r="J384" s="186"/>
      <c r="K384" s="186"/>
      <c r="L384" s="186"/>
      <c r="M384" s="186"/>
      <c r="N384" s="186"/>
      <c r="O384" s="186"/>
      <c r="P384" s="186"/>
      <c r="Q384" s="186"/>
      <c r="R384" s="186"/>
      <c r="S384" s="186"/>
      <c r="T384" s="186"/>
      <c r="U384" s="186"/>
      <c r="V384" s="186"/>
      <c r="W384" s="186"/>
      <c r="X384" s="186"/>
      <c r="Y384" s="186"/>
      <c r="Z384" s="186"/>
      <c r="AA384" s="186"/>
      <c r="AB384" s="186"/>
      <c r="AC384" s="186"/>
      <c r="AD384" s="186"/>
      <c r="AE384" s="186"/>
      <c r="AF384" s="186"/>
      <c r="AG384" s="186"/>
      <c r="AH384" s="186"/>
      <c r="AI384" s="186"/>
      <c r="AJ384" s="186"/>
      <c r="AK384" s="186"/>
      <c r="AL384" s="186"/>
      <c r="AM384" s="186"/>
      <c r="AN384" s="186"/>
      <c r="AO384" s="186"/>
      <c r="AP384" s="186"/>
    </row>
    <row r="385" spans="1:42">
      <c r="A385" s="197" t="s">
        <v>370</v>
      </c>
      <c r="C385" s="186"/>
      <c r="D385" s="186"/>
      <c r="E385" s="186"/>
      <c r="F385" s="186"/>
      <c r="G385" s="186"/>
      <c r="H385" s="186"/>
      <c r="I385" s="186"/>
      <c r="J385" s="186"/>
      <c r="K385" s="186"/>
      <c r="L385" s="186"/>
      <c r="M385" s="186"/>
      <c r="N385" s="186"/>
      <c r="O385" s="186"/>
      <c r="P385" s="186"/>
      <c r="Q385" s="186"/>
      <c r="R385" s="186"/>
      <c r="S385" s="186"/>
      <c r="T385" s="186"/>
      <c r="U385" s="186"/>
      <c r="V385" s="186"/>
      <c r="W385" s="186"/>
      <c r="X385" s="186"/>
      <c r="Y385" s="186"/>
      <c r="Z385" s="186"/>
      <c r="AA385" s="186"/>
      <c r="AB385" s="186"/>
      <c r="AC385" s="186"/>
      <c r="AD385" s="186"/>
      <c r="AE385" s="186"/>
      <c r="AF385" s="186"/>
      <c r="AG385" s="186"/>
      <c r="AH385" s="186"/>
      <c r="AI385" s="186"/>
      <c r="AJ385" s="186"/>
      <c r="AK385" s="186"/>
      <c r="AL385" s="186"/>
      <c r="AM385" s="186"/>
      <c r="AN385" s="186"/>
      <c r="AO385" s="186"/>
      <c r="AP385" s="186"/>
    </row>
    <row r="386" spans="1:42">
      <c r="A386" s="204" t="s">
        <v>207</v>
      </c>
      <c r="C386" s="186"/>
      <c r="D386" s="186"/>
      <c r="E386" s="186"/>
      <c r="F386" s="186"/>
      <c r="G386" s="186"/>
      <c r="H386" s="186"/>
      <c r="I386" s="186"/>
      <c r="J386" s="186"/>
      <c r="K386" s="186"/>
      <c r="L386" s="186"/>
      <c r="M386" s="186"/>
      <c r="N386" s="186"/>
      <c r="O386" s="186"/>
      <c r="P386" s="186"/>
      <c r="Q386" s="186"/>
      <c r="R386" s="186"/>
      <c r="S386" s="186"/>
      <c r="T386" s="186"/>
      <c r="U386" s="186"/>
      <c r="V386" s="186"/>
      <c r="W386" s="186"/>
      <c r="X386" s="186"/>
      <c r="Y386" s="186"/>
      <c r="Z386" s="186"/>
      <c r="AA386" s="186"/>
      <c r="AB386" s="186"/>
      <c r="AC386" s="186"/>
      <c r="AD386" s="186"/>
      <c r="AE386" s="186"/>
      <c r="AF386" s="186"/>
      <c r="AG386" s="186"/>
      <c r="AH386" s="186"/>
      <c r="AI386" s="186"/>
      <c r="AJ386" s="186"/>
      <c r="AK386" s="186"/>
      <c r="AL386" s="186"/>
      <c r="AM386" s="186"/>
      <c r="AN386" s="186"/>
      <c r="AO386" s="186"/>
      <c r="AP386" s="186"/>
    </row>
    <row r="387" spans="1:42">
      <c r="A387" s="118">
        <v>1</v>
      </c>
      <c r="C387" s="186">
        <f>IF(C$2&lt;=AnalysisPeriod,IF(SUM($C713:C713)&gt;0,B387+1,0),0)</f>
        <v>0</v>
      </c>
      <c r="D387" s="186">
        <f>IF(D$2&lt;=AnalysisPeriod,IF(SUM($C713:D713)&gt;0,C387+1,0),0)</f>
        <v>0</v>
      </c>
      <c r="E387" s="186">
        <f>IF(E$2&lt;=AnalysisPeriod,IF(SUM($C713:E713)&gt;0,D387+1,0),0)</f>
        <v>1</v>
      </c>
      <c r="F387" s="186">
        <f>IF(F$2&lt;=AnalysisPeriod,IF(SUM($C713:F713)&gt;0,E387+1,0),0)</f>
        <v>2</v>
      </c>
      <c r="G387" s="186">
        <f>IF(G$2&lt;=AnalysisPeriod,IF(SUM($C713:G713)&gt;0,F387+1,0),0)</f>
        <v>3</v>
      </c>
      <c r="H387" s="186">
        <f>IF(H$2&lt;=AnalysisPeriod,IF(SUM($C713:H713)&gt;0,G387+1,0),0)</f>
        <v>4</v>
      </c>
      <c r="I387" s="186">
        <f>IF(I$2&lt;=AnalysisPeriod,IF(SUM($C713:I713)&gt;0,H387+1,0),0)</f>
        <v>5</v>
      </c>
      <c r="J387" s="186">
        <f>IF(J$2&lt;=AnalysisPeriod,IF(SUM($C713:J713)&gt;0,I387+1,0),0)</f>
        <v>6</v>
      </c>
      <c r="K387" s="186">
        <f>IF(K$2&lt;=AnalysisPeriod,IF(SUM($C713:K713)&gt;0,J387+1,0),0)</f>
        <v>7</v>
      </c>
      <c r="L387" s="186">
        <f>IF(L$2&lt;=AnalysisPeriod,IF(SUM($C713:L713)&gt;0,K387+1,0),0)</f>
        <v>8</v>
      </c>
      <c r="M387" s="186">
        <f>IF(M$2&lt;=AnalysisPeriod,IF(SUM($C713:M713)&gt;0,L387+1,0),0)</f>
        <v>9</v>
      </c>
      <c r="N387" s="186">
        <f>IF(N$2&lt;=AnalysisPeriod,IF(SUM($C713:N713)&gt;0,M387+1,0),0)</f>
        <v>10</v>
      </c>
      <c r="O387" s="186">
        <f>IF(O$2&lt;=AnalysisPeriod,IF(SUM($C713:O713)&gt;0,N387+1,0),0)</f>
        <v>11</v>
      </c>
      <c r="P387" s="186">
        <f>IF(P$2&lt;=AnalysisPeriod,IF(SUM($C713:P713)&gt;0,O387+1,0),0)</f>
        <v>12</v>
      </c>
      <c r="Q387" s="186">
        <f>IF(Q$2&lt;=AnalysisPeriod,IF(SUM($C713:Q713)&gt;0,P387+1,0),0)</f>
        <v>13</v>
      </c>
      <c r="R387" s="186">
        <f>IF(R$2&lt;=AnalysisPeriod,IF(SUM($C713:R713)&gt;0,Q387+1,0),0)</f>
        <v>14</v>
      </c>
      <c r="S387" s="186">
        <f>IF(S$2&lt;=AnalysisPeriod,IF(SUM($C713:S713)&gt;0,R387+1,0),0)</f>
        <v>15</v>
      </c>
      <c r="T387" s="186">
        <f>IF(T$2&lt;=AnalysisPeriod,IF(SUM($C713:T713)&gt;0,S387+1,0),0)</f>
        <v>16</v>
      </c>
      <c r="U387" s="186">
        <f>IF(U$2&lt;=AnalysisPeriod,IF(SUM($C713:U713)&gt;0,T387+1,0),0)</f>
        <v>17</v>
      </c>
      <c r="V387" s="186">
        <f>IF(V$2&lt;=AnalysisPeriod,IF(SUM($C713:V713)&gt;0,U387+1,0),0)</f>
        <v>18</v>
      </c>
      <c r="W387" s="186">
        <f>IF(W$2&lt;=AnalysisPeriod,IF(SUM($C713:W713)&gt;0,V387+1,0),0)</f>
        <v>19</v>
      </c>
      <c r="X387" s="186">
        <f>IF(X$2&lt;=AnalysisPeriod,IF(SUM($C713:X713)&gt;0,W387+1,0),0)</f>
        <v>20</v>
      </c>
      <c r="Y387" s="186">
        <f>IF(Y$2&lt;=AnalysisPeriod,IF(SUM($C713:Y713)&gt;0,X387+1,0),0)</f>
        <v>21</v>
      </c>
      <c r="Z387" s="186">
        <f>IF(Z$2&lt;=AnalysisPeriod,IF(SUM($C713:Z713)&gt;0,Y387+1,0),0)</f>
        <v>22</v>
      </c>
      <c r="AA387" s="186">
        <f>IF(AA$2&lt;=AnalysisPeriod,IF(SUM($C713:AA713)&gt;0,Z387+1,0),0)</f>
        <v>23</v>
      </c>
      <c r="AB387" s="186">
        <f>IF(AB$2&lt;=AnalysisPeriod,IF(SUM($C713:AB713)&gt;0,AA387+1,0),0)</f>
        <v>24</v>
      </c>
      <c r="AC387" s="186">
        <f>IF(AC$2&lt;=AnalysisPeriod,IF(SUM($C713:AC713)&gt;0,AB387+1,0),0)</f>
        <v>25</v>
      </c>
      <c r="AD387" s="186">
        <f>IF(AD$2&lt;=AnalysisPeriod,IF(SUM($C713:AD713)&gt;0,AC387+1,0),0)</f>
        <v>26</v>
      </c>
      <c r="AE387" s="186">
        <f>IF(AE$2&lt;=AnalysisPeriod,IF(SUM($C713:AE713)&gt;0,AD387+1,0),0)</f>
        <v>27</v>
      </c>
      <c r="AF387" s="186">
        <f>IF(AF$2&lt;=AnalysisPeriod,IF(SUM($C713:AF713)&gt;0,AE387+1,0),0)</f>
        <v>28</v>
      </c>
      <c r="AG387" s="186">
        <f>IF(AG$2&lt;=AnalysisPeriod,IF(SUM($C713:AG713)&gt;0,AF387+1,0),0)</f>
        <v>0</v>
      </c>
      <c r="AH387" s="186">
        <f>IF(AH$2&lt;=AnalysisPeriod,IF(SUM($C713:AH713)&gt;0,AG387+1,0),0)</f>
        <v>0</v>
      </c>
      <c r="AI387" s="186">
        <f>IF(AI$2&lt;=AnalysisPeriod,IF(SUM($C713:AI713)&gt;0,AH387+1,0),0)</f>
        <v>0</v>
      </c>
      <c r="AJ387" s="186">
        <f>IF(AJ$2&lt;=AnalysisPeriod,IF(SUM($C713:AJ713)&gt;0,AI387+1,0),0)</f>
        <v>0</v>
      </c>
      <c r="AK387" s="186">
        <f>IF(AK$2&lt;=AnalysisPeriod,IF(SUM($C713:AK713)&gt;0,AJ387+1,0),0)</f>
        <v>0</v>
      </c>
      <c r="AL387" s="186">
        <f>IF(AL$2&lt;=AnalysisPeriod,IF(SUM($C713:AL713)&gt;0,AK387+1,0),0)</f>
        <v>0</v>
      </c>
      <c r="AM387" s="186">
        <f>IF(AM$2&lt;=AnalysisPeriod,IF(SUM($C713:AM713)&gt;0,AL387+1,0),0)</f>
        <v>0</v>
      </c>
      <c r="AN387" s="186">
        <f>IF(AN$2&lt;=AnalysisPeriod,IF(SUM($C713:AN713)&gt;0,AM387+1,0),0)</f>
        <v>0</v>
      </c>
      <c r="AO387" s="186">
        <f>IF(AO$2&lt;=AnalysisPeriod,IF(SUM($C713:AO713)&gt;0,AN387+1,0),0)</f>
        <v>0</v>
      </c>
      <c r="AP387" s="186">
        <f>IF(AP$2&lt;=AnalysisPeriod,IF(SUM($C713:AP713)&gt;0,AO387+1,0),0)</f>
        <v>0</v>
      </c>
    </row>
    <row r="388" spans="1:42">
      <c r="A388" s="118">
        <f>A387+1</f>
        <v>2</v>
      </c>
      <c r="C388" s="186">
        <f>IF(C$2&lt;=AnalysisPeriod,IF(SUM($C714:C714)&gt;0,B388+1,0),0)</f>
        <v>0</v>
      </c>
      <c r="D388" s="186">
        <f>IF(D$2&lt;=AnalysisPeriod,IF(SUM($C714:D714)&gt;0,C388+1,0),0)</f>
        <v>0</v>
      </c>
      <c r="E388" s="186">
        <f>IF(E$2&lt;=AnalysisPeriod,IF(SUM($C714:E714)&gt;0,D388+1,0),0)</f>
        <v>0</v>
      </c>
      <c r="F388" s="186">
        <f>IF(F$2&lt;=AnalysisPeriod,IF(SUM($C714:F714)&gt;0,E388+1,0),0)</f>
        <v>0</v>
      </c>
      <c r="G388" s="186">
        <f>IF(G$2&lt;=AnalysisPeriod,IF(SUM($C714:G714)&gt;0,F388+1,0),0)</f>
        <v>0</v>
      </c>
      <c r="H388" s="186">
        <f>IF(H$2&lt;=AnalysisPeriod,IF(SUM($C714:H714)&gt;0,G388+1,0),0)</f>
        <v>1</v>
      </c>
      <c r="I388" s="186">
        <f>IF(I$2&lt;=AnalysisPeriod,IF(SUM($C714:I714)&gt;0,H388+1,0),0)</f>
        <v>2</v>
      </c>
      <c r="J388" s="186">
        <f>IF(J$2&lt;=AnalysisPeriod,IF(SUM($C714:J714)&gt;0,I388+1,0),0)</f>
        <v>3</v>
      </c>
      <c r="K388" s="186">
        <f>IF(K$2&lt;=AnalysisPeriod,IF(SUM($C714:K714)&gt;0,J388+1,0),0)</f>
        <v>4</v>
      </c>
      <c r="L388" s="186">
        <f>IF(L$2&lt;=AnalysisPeriod,IF(SUM($C714:L714)&gt;0,K388+1,0),0)</f>
        <v>5</v>
      </c>
      <c r="M388" s="186">
        <f>IF(M$2&lt;=AnalysisPeriod,IF(SUM($C714:M714)&gt;0,L388+1,0),0)</f>
        <v>6</v>
      </c>
      <c r="N388" s="186">
        <f>IF(N$2&lt;=AnalysisPeriod,IF(SUM($C714:N714)&gt;0,M388+1,0),0)</f>
        <v>7</v>
      </c>
      <c r="O388" s="186">
        <f>IF(O$2&lt;=AnalysisPeriod,IF(SUM($C714:O714)&gt;0,N388+1,0),0)</f>
        <v>8</v>
      </c>
      <c r="P388" s="186">
        <f>IF(P$2&lt;=AnalysisPeriod,IF(SUM($C714:P714)&gt;0,O388+1,0),0)</f>
        <v>9</v>
      </c>
      <c r="Q388" s="186">
        <f>IF(Q$2&lt;=AnalysisPeriod,IF(SUM($C714:Q714)&gt;0,P388+1,0),0)</f>
        <v>10</v>
      </c>
      <c r="R388" s="186">
        <f>IF(R$2&lt;=AnalysisPeriod,IF(SUM($C714:R714)&gt;0,Q388+1,0),0)</f>
        <v>11</v>
      </c>
      <c r="S388" s="186">
        <f>IF(S$2&lt;=AnalysisPeriod,IF(SUM($C714:S714)&gt;0,R388+1,0),0)</f>
        <v>12</v>
      </c>
      <c r="T388" s="186">
        <f>IF(T$2&lt;=AnalysisPeriod,IF(SUM($C714:T714)&gt;0,S388+1,0),0)</f>
        <v>13</v>
      </c>
      <c r="U388" s="186">
        <f>IF(U$2&lt;=AnalysisPeriod,IF(SUM($C714:U714)&gt;0,T388+1,0),0)</f>
        <v>14</v>
      </c>
      <c r="V388" s="186">
        <f>IF(V$2&lt;=AnalysisPeriod,IF(SUM($C714:V714)&gt;0,U388+1,0),0)</f>
        <v>15</v>
      </c>
      <c r="W388" s="186">
        <f>IF(W$2&lt;=AnalysisPeriod,IF(SUM($C714:W714)&gt;0,V388+1,0),0)</f>
        <v>16</v>
      </c>
      <c r="X388" s="186">
        <f>IF(X$2&lt;=AnalysisPeriod,IF(SUM($C714:X714)&gt;0,W388+1,0),0)</f>
        <v>17</v>
      </c>
      <c r="Y388" s="186">
        <f>IF(Y$2&lt;=AnalysisPeriod,IF(SUM($C714:Y714)&gt;0,X388+1,0),0)</f>
        <v>18</v>
      </c>
      <c r="Z388" s="186">
        <f>IF(Z$2&lt;=AnalysisPeriod,IF(SUM($C714:Z714)&gt;0,Y388+1,0),0)</f>
        <v>19</v>
      </c>
      <c r="AA388" s="186">
        <f>IF(AA$2&lt;=AnalysisPeriod,IF(SUM($C714:AA714)&gt;0,Z388+1,0),0)</f>
        <v>20</v>
      </c>
      <c r="AB388" s="186">
        <f>IF(AB$2&lt;=AnalysisPeriod,IF(SUM($C714:AB714)&gt;0,AA388+1,0),0)</f>
        <v>21</v>
      </c>
      <c r="AC388" s="186">
        <f>IF(AC$2&lt;=AnalysisPeriod,IF(SUM($C714:AC714)&gt;0,AB388+1,0),0)</f>
        <v>22</v>
      </c>
      <c r="AD388" s="186">
        <f>IF(AD$2&lt;=AnalysisPeriod,IF(SUM($C714:AD714)&gt;0,AC388+1,0),0)</f>
        <v>23</v>
      </c>
      <c r="AE388" s="186">
        <f>IF(AE$2&lt;=AnalysisPeriod,IF(SUM($C714:AE714)&gt;0,AD388+1,0),0)</f>
        <v>24</v>
      </c>
      <c r="AF388" s="186">
        <f>IF(AF$2&lt;=AnalysisPeriod,IF(SUM($C714:AF714)&gt;0,AE388+1,0),0)</f>
        <v>25</v>
      </c>
      <c r="AG388" s="186">
        <f>IF(AG$2&lt;=AnalysisPeriod,IF(SUM($C714:AG714)&gt;0,AF388+1,0),0)</f>
        <v>0</v>
      </c>
      <c r="AH388" s="186">
        <f>IF(AH$2&lt;=AnalysisPeriod,IF(SUM($C714:AH714)&gt;0,AG388+1,0),0)</f>
        <v>0</v>
      </c>
      <c r="AI388" s="186">
        <f>IF(AI$2&lt;=AnalysisPeriod,IF(SUM($C714:AI714)&gt;0,AH388+1,0),0)</f>
        <v>0</v>
      </c>
      <c r="AJ388" s="186">
        <f>IF(AJ$2&lt;=AnalysisPeriod,IF(SUM($C714:AJ714)&gt;0,AI388+1,0),0)</f>
        <v>0</v>
      </c>
      <c r="AK388" s="186">
        <f>IF(AK$2&lt;=AnalysisPeriod,IF(SUM($C714:AK714)&gt;0,AJ388+1,0),0)</f>
        <v>0</v>
      </c>
      <c r="AL388" s="186">
        <f>IF(AL$2&lt;=AnalysisPeriod,IF(SUM($C714:AL714)&gt;0,AK388+1,0),0)</f>
        <v>0</v>
      </c>
      <c r="AM388" s="186">
        <f>IF(AM$2&lt;=AnalysisPeriod,IF(SUM($C714:AM714)&gt;0,AL388+1,0),0)</f>
        <v>0</v>
      </c>
      <c r="AN388" s="186">
        <f>IF(AN$2&lt;=AnalysisPeriod,IF(SUM($C714:AN714)&gt;0,AM388+1,0),0)</f>
        <v>0</v>
      </c>
      <c r="AO388" s="186">
        <f>IF(AO$2&lt;=AnalysisPeriod,IF(SUM($C714:AO714)&gt;0,AN388+1,0),0)</f>
        <v>0</v>
      </c>
      <c r="AP388" s="186">
        <f>IF(AP$2&lt;=AnalysisPeriod,IF(SUM($C714:AP714)&gt;0,AO388+1,0),0)</f>
        <v>0</v>
      </c>
    </row>
    <row r="389" spans="1:42">
      <c r="A389" s="118">
        <f t="shared" ref="A389:A396" si="916">A388+1</f>
        <v>3</v>
      </c>
      <c r="C389" s="186">
        <f>IF(C$2&lt;=AnalysisPeriod,IF(SUM($C715:C715)&gt;0,B389+1,0),0)</f>
        <v>0</v>
      </c>
      <c r="D389" s="186">
        <f>IF(D$2&lt;=AnalysisPeriod,IF(SUM($C715:D715)&gt;0,C389+1,0),0)</f>
        <v>0</v>
      </c>
      <c r="E389" s="186">
        <f>IF(E$2&lt;=AnalysisPeriod,IF(SUM($C715:E715)&gt;0,D389+1,0),0)</f>
        <v>0</v>
      </c>
      <c r="F389" s="186">
        <f>IF(F$2&lt;=AnalysisPeriod,IF(SUM($C715:F715)&gt;0,E389+1,0),0)</f>
        <v>0</v>
      </c>
      <c r="G389" s="186">
        <f>IF(G$2&lt;=AnalysisPeriod,IF(SUM($C715:G715)&gt;0,F389+1,0),0)</f>
        <v>0</v>
      </c>
      <c r="H389" s="186">
        <f>IF(H$2&lt;=AnalysisPeriod,IF(SUM($C715:H715)&gt;0,G389+1,0),0)</f>
        <v>0</v>
      </c>
      <c r="I389" s="186">
        <f>IF(I$2&lt;=AnalysisPeriod,IF(SUM($C715:I715)&gt;0,H389+1,0),0)</f>
        <v>0</v>
      </c>
      <c r="J389" s="186">
        <f>IF(J$2&lt;=AnalysisPeriod,IF(SUM($C715:J715)&gt;0,I389+1,0),0)</f>
        <v>0</v>
      </c>
      <c r="K389" s="186">
        <f>IF(K$2&lt;=AnalysisPeriod,IF(SUM($C715:K715)&gt;0,J389+1,0),0)</f>
        <v>1</v>
      </c>
      <c r="L389" s="186">
        <f>IF(L$2&lt;=AnalysisPeriod,IF(SUM($C715:L715)&gt;0,K389+1,0),0)</f>
        <v>2</v>
      </c>
      <c r="M389" s="186">
        <f>IF(M$2&lt;=AnalysisPeriod,IF(SUM($C715:M715)&gt;0,L389+1,0),0)</f>
        <v>3</v>
      </c>
      <c r="N389" s="186">
        <f>IF(N$2&lt;=AnalysisPeriod,IF(SUM($C715:N715)&gt;0,M389+1,0),0)</f>
        <v>4</v>
      </c>
      <c r="O389" s="186">
        <f>IF(O$2&lt;=AnalysisPeriod,IF(SUM($C715:O715)&gt;0,N389+1,0),0)</f>
        <v>5</v>
      </c>
      <c r="P389" s="186">
        <f>IF(P$2&lt;=AnalysisPeriod,IF(SUM($C715:P715)&gt;0,O389+1,0),0)</f>
        <v>6</v>
      </c>
      <c r="Q389" s="186">
        <f>IF(Q$2&lt;=AnalysisPeriod,IF(SUM($C715:Q715)&gt;0,P389+1,0),0)</f>
        <v>7</v>
      </c>
      <c r="R389" s="186">
        <f>IF(R$2&lt;=AnalysisPeriod,IF(SUM($C715:R715)&gt;0,Q389+1,0),0)</f>
        <v>8</v>
      </c>
      <c r="S389" s="186">
        <f>IF(S$2&lt;=AnalysisPeriod,IF(SUM($C715:S715)&gt;0,R389+1,0),0)</f>
        <v>9</v>
      </c>
      <c r="T389" s="186">
        <f>IF(T$2&lt;=AnalysisPeriod,IF(SUM($C715:T715)&gt;0,S389+1,0),0)</f>
        <v>10</v>
      </c>
      <c r="U389" s="186">
        <f>IF(U$2&lt;=AnalysisPeriod,IF(SUM($C715:U715)&gt;0,T389+1,0),0)</f>
        <v>11</v>
      </c>
      <c r="V389" s="186">
        <f>IF(V$2&lt;=AnalysisPeriod,IF(SUM($C715:V715)&gt;0,U389+1,0),0)</f>
        <v>12</v>
      </c>
      <c r="W389" s="186">
        <f>IF(W$2&lt;=AnalysisPeriod,IF(SUM($C715:W715)&gt;0,V389+1,0),0)</f>
        <v>13</v>
      </c>
      <c r="X389" s="186">
        <f>IF(X$2&lt;=AnalysisPeriod,IF(SUM($C715:X715)&gt;0,W389+1,0),0)</f>
        <v>14</v>
      </c>
      <c r="Y389" s="186">
        <f>IF(Y$2&lt;=AnalysisPeriod,IF(SUM($C715:Y715)&gt;0,X389+1,0),0)</f>
        <v>15</v>
      </c>
      <c r="Z389" s="186">
        <f>IF(Z$2&lt;=AnalysisPeriod,IF(SUM($C715:Z715)&gt;0,Y389+1,0),0)</f>
        <v>16</v>
      </c>
      <c r="AA389" s="186">
        <f>IF(AA$2&lt;=AnalysisPeriod,IF(SUM($C715:AA715)&gt;0,Z389+1,0),0)</f>
        <v>17</v>
      </c>
      <c r="AB389" s="186">
        <f>IF(AB$2&lt;=AnalysisPeriod,IF(SUM($C715:AB715)&gt;0,AA389+1,0),0)</f>
        <v>18</v>
      </c>
      <c r="AC389" s="186">
        <f>IF(AC$2&lt;=AnalysisPeriod,IF(SUM($C715:AC715)&gt;0,AB389+1,0),0)</f>
        <v>19</v>
      </c>
      <c r="AD389" s="186">
        <f>IF(AD$2&lt;=AnalysisPeriod,IF(SUM($C715:AD715)&gt;0,AC389+1,0),0)</f>
        <v>20</v>
      </c>
      <c r="AE389" s="186">
        <f>IF(AE$2&lt;=AnalysisPeriod,IF(SUM($C715:AE715)&gt;0,AD389+1,0),0)</f>
        <v>21</v>
      </c>
      <c r="AF389" s="186">
        <f>IF(AF$2&lt;=AnalysisPeriod,IF(SUM($C715:AF715)&gt;0,AE389+1,0),0)</f>
        <v>22</v>
      </c>
      <c r="AG389" s="186">
        <f>IF(AG$2&lt;=AnalysisPeriod,IF(SUM($C715:AG715)&gt;0,AF389+1,0),0)</f>
        <v>0</v>
      </c>
      <c r="AH389" s="186">
        <f>IF(AH$2&lt;=AnalysisPeriod,IF(SUM($C715:AH715)&gt;0,AG389+1,0),0)</f>
        <v>0</v>
      </c>
      <c r="AI389" s="186">
        <f>IF(AI$2&lt;=AnalysisPeriod,IF(SUM($C715:AI715)&gt;0,AH389+1,0),0)</f>
        <v>0</v>
      </c>
      <c r="AJ389" s="186">
        <f>IF(AJ$2&lt;=AnalysisPeriod,IF(SUM($C715:AJ715)&gt;0,AI389+1,0),0)</f>
        <v>0</v>
      </c>
      <c r="AK389" s="186">
        <f>IF(AK$2&lt;=AnalysisPeriod,IF(SUM($C715:AK715)&gt;0,AJ389+1,0),0)</f>
        <v>0</v>
      </c>
      <c r="AL389" s="186">
        <f>IF(AL$2&lt;=AnalysisPeriod,IF(SUM($C715:AL715)&gt;0,AK389+1,0),0)</f>
        <v>0</v>
      </c>
      <c r="AM389" s="186">
        <f>IF(AM$2&lt;=AnalysisPeriod,IF(SUM($C715:AM715)&gt;0,AL389+1,0),0)</f>
        <v>0</v>
      </c>
      <c r="AN389" s="186">
        <f>IF(AN$2&lt;=AnalysisPeriod,IF(SUM($C715:AN715)&gt;0,AM389+1,0),0)</f>
        <v>0</v>
      </c>
      <c r="AO389" s="186">
        <f>IF(AO$2&lt;=AnalysisPeriod,IF(SUM($C715:AO715)&gt;0,AN389+1,0),0)</f>
        <v>0</v>
      </c>
      <c r="AP389" s="186">
        <f>IF(AP$2&lt;=AnalysisPeriod,IF(SUM($C715:AP715)&gt;0,AO389+1,0),0)</f>
        <v>0</v>
      </c>
    </row>
    <row r="390" spans="1:42">
      <c r="A390" s="118">
        <f t="shared" si="916"/>
        <v>4</v>
      </c>
      <c r="C390" s="186">
        <f>IF(C$2&lt;=AnalysisPeriod,IF(SUM($C716:C716)&gt;0,B390+1,0),0)</f>
        <v>0</v>
      </c>
      <c r="D390" s="186">
        <f>IF(D$2&lt;=AnalysisPeriod,IF(SUM($C716:D716)&gt;0,C390+1,0),0)</f>
        <v>0</v>
      </c>
      <c r="E390" s="186">
        <f>IF(E$2&lt;=AnalysisPeriod,IF(SUM($C716:E716)&gt;0,D390+1,0),0)</f>
        <v>0</v>
      </c>
      <c r="F390" s="186">
        <f>IF(F$2&lt;=AnalysisPeriod,IF(SUM($C716:F716)&gt;0,E390+1,0),0)</f>
        <v>0</v>
      </c>
      <c r="G390" s="186">
        <f>IF(G$2&lt;=AnalysisPeriod,IF(SUM($C716:G716)&gt;0,F390+1,0),0)</f>
        <v>0</v>
      </c>
      <c r="H390" s="186">
        <f>IF(H$2&lt;=AnalysisPeriod,IF(SUM($C716:H716)&gt;0,G390+1,0),0)</f>
        <v>0</v>
      </c>
      <c r="I390" s="186">
        <f>IF(I$2&lt;=AnalysisPeriod,IF(SUM($C716:I716)&gt;0,H390+1,0),0)</f>
        <v>0</v>
      </c>
      <c r="J390" s="186">
        <f>IF(J$2&lt;=AnalysisPeriod,IF(SUM($C716:J716)&gt;0,I390+1,0),0)</f>
        <v>0</v>
      </c>
      <c r="K390" s="186">
        <f>IF(K$2&lt;=AnalysisPeriod,IF(SUM($C716:K716)&gt;0,J390+1,0),0)</f>
        <v>0</v>
      </c>
      <c r="L390" s="186">
        <f>IF(L$2&lt;=AnalysisPeriod,IF(SUM($C716:L716)&gt;0,K390+1,0),0)</f>
        <v>0</v>
      </c>
      <c r="M390" s="186">
        <f>IF(M$2&lt;=AnalysisPeriod,IF(SUM($C716:M716)&gt;0,L390+1,0),0)</f>
        <v>0</v>
      </c>
      <c r="N390" s="186">
        <f>IF(N$2&lt;=AnalysisPeriod,IF(SUM($C716:N716)&gt;0,M390+1,0),0)</f>
        <v>1</v>
      </c>
      <c r="O390" s="186">
        <f>IF(O$2&lt;=AnalysisPeriod,IF(SUM($C716:O716)&gt;0,N390+1,0),0)</f>
        <v>2</v>
      </c>
      <c r="P390" s="186">
        <f>IF(P$2&lt;=AnalysisPeriod,IF(SUM($C716:P716)&gt;0,O390+1,0),0)</f>
        <v>3</v>
      </c>
      <c r="Q390" s="186">
        <f>IF(Q$2&lt;=AnalysisPeriod,IF(SUM($C716:Q716)&gt;0,P390+1,0),0)</f>
        <v>4</v>
      </c>
      <c r="R390" s="186">
        <f>IF(R$2&lt;=AnalysisPeriod,IF(SUM($C716:R716)&gt;0,Q390+1,0),0)</f>
        <v>5</v>
      </c>
      <c r="S390" s="186">
        <f>IF(S$2&lt;=AnalysisPeriod,IF(SUM($C716:S716)&gt;0,R390+1,0),0)</f>
        <v>6</v>
      </c>
      <c r="T390" s="186">
        <f>IF(T$2&lt;=AnalysisPeriod,IF(SUM($C716:T716)&gt;0,S390+1,0),0)</f>
        <v>7</v>
      </c>
      <c r="U390" s="186">
        <f>IF(U$2&lt;=AnalysisPeriod,IF(SUM($C716:U716)&gt;0,T390+1,0),0)</f>
        <v>8</v>
      </c>
      <c r="V390" s="186">
        <f>IF(V$2&lt;=AnalysisPeriod,IF(SUM($C716:V716)&gt;0,U390+1,0),0)</f>
        <v>9</v>
      </c>
      <c r="W390" s="186">
        <f>IF(W$2&lt;=AnalysisPeriod,IF(SUM($C716:W716)&gt;0,V390+1,0),0)</f>
        <v>10</v>
      </c>
      <c r="X390" s="186">
        <f>IF(X$2&lt;=AnalysisPeriod,IF(SUM($C716:X716)&gt;0,W390+1,0),0)</f>
        <v>11</v>
      </c>
      <c r="Y390" s="186">
        <f>IF(Y$2&lt;=AnalysisPeriod,IF(SUM($C716:Y716)&gt;0,X390+1,0),0)</f>
        <v>12</v>
      </c>
      <c r="Z390" s="186">
        <f>IF(Z$2&lt;=AnalysisPeriod,IF(SUM($C716:Z716)&gt;0,Y390+1,0),0)</f>
        <v>13</v>
      </c>
      <c r="AA390" s="186">
        <f>IF(AA$2&lt;=AnalysisPeriod,IF(SUM($C716:AA716)&gt;0,Z390+1,0),0)</f>
        <v>14</v>
      </c>
      <c r="AB390" s="186">
        <f>IF(AB$2&lt;=AnalysisPeriod,IF(SUM($C716:AB716)&gt;0,AA390+1,0),0)</f>
        <v>15</v>
      </c>
      <c r="AC390" s="186">
        <f>IF(AC$2&lt;=AnalysisPeriod,IF(SUM($C716:AC716)&gt;0,AB390+1,0),0)</f>
        <v>16</v>
      </c>
      <c r="AD390" s="186">
        <f>IF(AD$2&lt;=AnalysisPeriod,IF(SUM($C716:AD716)&gt;0,AC390+1,0),0)</f>
        <v>17</v>
      </c>
      <c r="AE390" s="186">
        <f>IF(AE$2&lt;=AnalysisPeriod,IF(SUM($C716:AE716)&gt;0,AD390+1,0),0)</f>
        <v>18</v>
      </c>
      <c r="AF390" s="186">
        <f>IF(AF$2&lt;=AnalysisPeriod,IF(SUM($C716:AF716)&gt;0,AE390+1,0),0)</f>
        <v>19</v>
      </c>
      <c r="AG390" s="186">
        <f>IF(AG$2&lt;=AnalysisPeriod,IF(SUM($C716:AG716)&gt;0,AF390+1,0),0)</f>
        <v>0</v>
      </c>
      <c r="AH390" s="186">
        <f>IF(AH$2&lt;=AnalysisPeriod,IF(SUM($C716:AH716)&gt;0,AG390+1,0),0)</f>
        <v>0</v>
      </c>
      <c r="AI390" s="186">
        <f>IF(AI$2&lt;=AnalysisPeriod,IF(SUM($C716:AI716)&gt;0,AH390+1,0),0)</f>
        <v>0</v>
      </c>
      <c r="AJ390" s="186">
        <f>IF(AJ$2&lt;=AnalysisPeriod,IF(SUM($C716:AJ716)&gt;0,AI390+1,0),0)</f>
        <v>0</v>
      </c>
      <c r="AK390" s="186">
        <f>IF(AK$2&lt;=AnalysisPeriod,IF(SUM($C716:AK716)&gt;0,AJ390+1,0),0)</f>
        <v>0</v>
      </c>
      <c r="AL390" s="186">
        <f>IF(AL$2&lt;=AnalysisPeriod,IF(SUM($C716:AL716)&gt;0,AK390+1,0),0)</f>
        <v>0</v>
      </c>
      <c r="AM390" s="186">
        <f>IF(AM$2&lt;=AnalysisPeriod,IF(SUM($C716:AM716)&gt;0,AL390+1,0),0)</f>
        <v>0</v>
      </c>
      <c r="AN390" s="186">
        <f>IF(AN$2&lt;=AnalysisPeriod,IF(SUM($C716:AN716)&gt;0,AM390+1,0),0)</f>
        <v>0</v>
      </c>
      <c r="AO390" s="186">
        <f>IF(AO$2&lt;=AnalysisPeriod,IF(SUM($C716:AO716)&gt;0,AN390+1,0),0)</f>
        <v>0</v>
      </c>
      <c r="AP390" s="186">
        <f>IF(AP$2&lt;=AnalysisPeriod,IF(SUM($C716:AP716)&gt;0,AO390+1,0),0)</f>
        <v>0</v>
      </c>
    </row>
    <row r="391" spans="1:42">
      <c r="A391" s="118">
        <f t="shared" si="916"/>
        <v>5</v>
      </c>
      <c r="C391" s="186">
        <f>IF(C$2&lt;=AnalysisPeriod,IF(SUM($C717:C717)&gt;0,B391+1,0),0)</f>
        <v>0</v>
      </c>
      <c r="D391" s="186">
        <f>IF(D$2&lt;=AnalysisPeriod,IF(SUM($C717:D717)&gt;0,C391+1,0),0)</f>
        <v>0</v>
      </c>
      <c r="E391" s="186">
        <f>IF(E$2&lt;=AnalysisPeriod,IF(SUM($C717:E717)&gt;0,D391+1,0),0)</f>
        <v>0</v>
      </c>
      <c r="F391" s="186">
        <f>IF(F$2&lt;=AnalysisPeriod,IF(SUM($C717:F717)&gt;0,E391+1,0),0)</f>
        <v>0</v>
      </c>
      <c r="G391" s="186">
        <f>IF(G$2&lt;=AnalysisPeriod,IF(SUM($C717:G717)&gt;0,F391+1,0),0)</f>
        <v>0</v>
      </c>
      <c r="H391" s="186">
        <f>IF(H$2&lt;=AnalysisPeriod,IF(SUM($C717:H717)&gt;0,G391+1,0),0)</f>
        <v>0</v>
      </c>
      <c r="I391" s="186">
        <f>IF(I$2&lt;=AnalysisPeriod,IF(SUM($C717:I717)&gt;0,H391+1,0),0)</f>
        <v>0</v>
      </c>
      <c r="J391" s="186">
        <f>IF(J$2&lt;=AnalysisPeriod,IF(SUM($C717:J717)&gt;0,I391+1,0),0)</f>
        <v>0</v>
      </c>
      <c r="K391" s="186">
        <f>IF(K$2&lt;=AnalysisPeriod,IF(SUM($C717:K717)&gt;0,J391+1,0),0)</f>
        <v>0</v>
      </c>
      <c r="L391" s="186">
        <f>IF(L$2&lt;=AnalysisPeriod,IF(SUM($C717:L717)&gt;0,K391+1,0),0)</f>
        <v>0</v>
      </c>
      <c r="M391" s="186">
        <f>IF(M$2&lt;=AnalysisPeriod,IF(SUM($C717:M717)&gt;0,L391+1,0),0)</f>
        <v>0</v>
      </c>
      <c r="N391" s="186">
        <f>IF(N$2&lt;=AnalysisPeriod,IF(SUM($C717:N717)&gt;0,M391+1,0),0)</f>
        <v>0</v>
      </c>
      <c r="O391" s="186">
        <f>IF(O$2&lt;=AnalysisPeriod,IF(SUM($C717:O717)&gt;0,N391+1,0),0)</f>
        <v>0</v>
      </c>
      <c r="P391" s="186">
        <f>IF(P$2&lt;=AnalysisPeriod,IF(SUM($C717:P717)&gt;0,O391+1,0),0)</f>
        <v>0</v>
      </c>
      <c r="Q391" s="186">
        <f>IF(Q$2&lt;=AnalysisPeriod,IF(SUM($C717:Q717)&gt;0,P391+1,0),0)</f>
        <v>1</v>
      </c>
      <c r="R391" s="186">
        <f>IF(R$2&lt;=AnalysisPeriod,IF(SUM($C717:R717)&gt;0,Q391+1,0),0)</f>
        <v>2</v>
      </c>
      <c r="S391" s="186">
        <f>IF(S$2&lt;=AnalysisPeriod,IF(SUM($C717:S717)&gt;0,R391+1,0),0)</f>
        <v>3</v>
      </c>
      <c r="T391" s="186">
        <f>IF(T$2&lt;=AnalysisPeriod,IF(SUM($C717:T717)&gt;0,S391+1,0),0)</f>
        <v>4</v>
      </c>
      <c r="U391" s="186">
        <f>IF(U$2&lt;=AnalysisPeriod,IF(SUM($C717:U717)&gt;0,T391+1,0),0)</f>
        <v>5</v>
      </c>
      <c r="V391" s="186">
        <f>IF(V$2&lt;=AnalysisPeriod,IF(SUM($C717:V717)&gt;0,U391+1,0),0)</f>
        <v>6</v>
      </c>
      <c r="W391" s="186">
        <f>IF(W$2&lt;=AnalysisPeriod,IF(SUM($C717:W717)&gt;0,V391+1,0),0)</f>
        <v>7</v>
      </c>
      <c r="X391" s="186">
        <f>IF(X$2&lt;=AnalysisPeriod,IF(SUM($C717:X717)&gt;0,W391+1,0),0)</f>
        <v>8</v>
      </c>
      <c r="Y391" s="186">
        <f>IF(Y$2&lt;=AnalysisPeriod,IF(SUM($C717:Y717)&gt;0,X391+1,0),0)</f>
        <v>9</v>
      </c>
      <c r="Z391" s="186">
        <f>IF(Z$2&lt;=AnalysisPeriod,IF(SUM($C717:Z717)&gt;0,Y391+1,0),0)</f>
        <v>10</v>
      </c>
      <c r="AA391" s="186">
        <f>IF(AA$2&lt;=AnalysisPeriod,IF(SUM($C717:AA717)&gt;0,Z391+1,0),0)</f>
        <v>11</v>
      </c>
      <c r="AB391" s="186">
        <f>IF(AB$2&lt;=AnalysisPeriod,IF(SUM($C717:AB717)&gt;0,AA391+1,0),0)</f>
        <v>12</v>
      </c>
      <c r="AC391" s="186">
        <f>IF(AC$2&lt;=AnalysisPeriod,IF(SUM($C717:AC717)&gt;0,AB391+1,0),0)</f>
        <v>13</v>
      </c>
      <c r="AD391" s="186">
        <f>IF(AD$2&lt;=AnalysisPeriod,IF(SUM($C717:AD717)&gt;0,AC391+1,0),0)</f>
        <v>14</v>
      </c>
      <c r="AE391" s="186">
        <f>IF(AE$2&lt;=AnalysisPeriod,IF(SUM($C717:AE717)&gt;0,AD391+1,0),0)</f>
        <v>15</v>
      </c>
      <c r="AF391" s="186">
        <f>IF(AF$2&lt;=AnalysisPeriod,IF(SUM($C717:AF717)&gt;0,AE391+1,0),0)</f>
        <v>16</v>
      </c>
      <c r="AG391" s="186">
        <f>IF(AG$2&lt;=AnalysisPeriod,IF(SUM($C717:AG717)&gt;0,AF391+1,0),0)</f>
        <v>0</v>
      </c>
      <c r="AH391" s="186">
        <f>IF(AH$2&lt;=AnalysisPeriod,IF(SUM($C717:AH717)&gt;0,AG391+1,0),0)</f>
        <v>0</v>
      </c>
      <c r="AI391" s="186">
        <f>IF(AI$2&lt;=AnalysisPeriod,IF(SUM($C717:AI717)&gt;0,AH391+1,0),0)</f>
        <v>0</v>
      </c>
      <c r="AJ391" s="186">
        <f>IF(AJ$2&lt;=AnalysisPeriod,IF(SUM($C717:AJ717)&gt;0,AI391+1,0),0)</f>
        <v>0</v>
      </c>
      <c r="AK391" s="186">
        <f>IF(AK$2&lt;=AnalysisPeriod,IF(SUM($C717:AK717)&gt;0,AJ391+1,0),0)</f>
        <v>0</v>
      </c>
      <c r="AL391" s="186">
        <f>IF(AL$2&lt;=AnalysisPeriod,IF(SUM($C717:AL717)&gt;0,AK391+1,0),0)</f>
        <v>0</v>
      </c>
      <c r="AM391" s="186">
        <f>IF(AM$2&lt;=AnalysisPeriod,IF(SUM($C717:AM717)&gt;0,AL391+1,0),0)</f>
        <v>0</v>
      </c>
      <c r="AN391" s="186">
        <f>IF(AN$2&lt;=AnalysisPeriod,IF(SUM($C717:AN717)&gt;0,AM391+1,0),0)</f>
        <v>0</v>
      </c>
      <c r="AO391" s="186">
        <f>IF(AO$2&lt;=AnalysisPeriod,IF(SUM($C717:AO717)&gt;0,AN391+1,0),0)</f>
        <v>0</v>
      </c>
      <c r="AP391" s="186">
        <f>IF(AP$2&lt;=AnalysisPeriod,IF(SUM($C717:AP717)&gt;0,AO391+1,0),0)</f>
        <v>0</v>
      </c>
    </row>
    <row r="392" spans="1:42">
      <c r="A392" s="118">
        <f t="shared" si="916"/>
        <v>6</v>
      </c>
      <c r="C392" s="186">
        <f>IF(C$2&lt;=AnalysisPeriod,IF(SUM($C718:C718)&gt;0,B392+1,0),0)</f>
        <v>0</v>
      </c>
      <c r="D392" s="186">
        <f>IF(D$2&lt;=AnalysisPeriod,IF(SUM($C718:D718)&gt;0,C392+1,0),0)</f>
        <v>0</v>
      </c>
      <c r="E392" s="186">
        <f>IF(E$2&lt;=AnalysisPeriod,IF(SUM($C718:E718)&gt;0,D392+1,0),0)</f>
        <v>0</v>
      </c>
      <c r="F392" s="186">
        <f>IF(F$2&lt;=AnalysisPeriod,IF(SUM($C718:F718)&gt;0,E392+1,0),0)</f>
        <v>0</v>
      </c>
      <c r="G392" s="186">
        <f>IF(G$2&lt;=AnalysisPeriod,IF(SUM($C718:G718)&gt;0,F392+1,0),0)</f>
        <v>0</v>
      </c>
      <c r="H392" s="186">
        <f>IF(H$2&lt;=AnalysisPeriod,IF(SUM($C718:H718)&gt;0,G392+1,0),0)</f>
        <v>0</v>
      </c>
      <c r="I392" s="186">
        <f>IF(I$2&lt;=AnalysisPeriod,IF(SUM($C718:I718)&gt;0,H392+1,0),0)</f>
        <v>0</v>
      </c>
      <c r="J392" s="186">
        <f>IF(J$2&lt;=AnalysisPeriod,IF(SUM($C718:J718)&gt;0,I392+1,0),0)</f>
        <v>0</v>
      </c>
      <c r="K392" s="186">
        <f>IF(K$2&lt;=AnalysisPeriod,IF(SUM($C718:K718)&gt;0,J392+1,0),0)</f>
        <v>0</v>
      </c>
      <c r="L392" s="186">
        <f>IF(L$2&lt;=AnalysisPeriod,IF(SUM($C718:L718)&gt;0,K392+1,0),0)</f>
        <v>0</v>
      </c>
      <c r="M392" s="186">
        <f>IF(M$2&lt;=AnalysisPeriod,IF(SUM($C718:M718)&gt;0,L392+1,0),0)</f>
        <v>0</v>
      </c>
      <c r="N392" s="186">
        <f>IF(N$2&lt;=AnalysisPeriod,IF(SUM($C718:N718)&gt;0,M392+1,0),0)</f>
        <v>0</v>
      </c>
      <c r="O392" s="186">
        <f>IF(O$2&lt;=AnalysisPeriod,IF(SUM($C718:O718)&gt;0,N392+1,0),0)</f>
        <v>0</v>
      </c>
      <c r="P392" s="186">
        <f>IF(P$2&lt;=AnalysisPeriod,IF(SUM($C718:P718)&gt;0,O392+1,0),0)</f>
        <v>0</v>
      </c>
      <c r="Q392" s="186">
        <f>IF(Q$2&lt;=AnalysisPeriod,IF(SUM($C718:Q718)&gt;0,P392+1,0),0)</f>
        <v>0</v>
      </c>
      <c r="R392" s="186">
        <f>IF(R$2&lt;=AnalysisPeriod,IF(SUM($C718:R718)&gt;0,Q392+1,0),0)</f>
        <v>0</v>
      </c>
      <c r="S392" s="186">
        <f>IF(S$2&lt;=AnalysisPeriod,IF(SUM($C718:S718)&gt;0,R392+1,0),0)</f>
        <v>0</v>
      </c>
      <c r="T392" s="186">
        <f>IF(T$2&lt;=AnalysisPeriod,IF(SUM($C718:T718)&gt;0,S392+1,0),0)</f>
        <v>1</v>
      </c>
      <c r="U392" s="186">
        <f>IF(U$2&lt;=AnalysisPeriod,IF(SUM($C718:U718)&gt;0,T392+1,0),0)</f>
        <v>2</v>
      </c>
      <c r="V392" s="186">
        <f>IF(V$2&lt;=AnalysisPeriod,IF(SUM($C718:V718)&gt;0,U392+1,0),0)</f>
        <v>3</v>
      </c>
      <c r="W392" s="186">
        <f>IF(W$2&lt;=AnalysisPeriod,IF(SUM($C718:W718)&gt;0,V392+1,0),0)</f>
        <v>4</v>
      </c>
      <c r="X392" s="186">
        <f>IF(X$2&lt;=AnalysisPeriod,IF(SUM($C718:X718)&gt;0,W392+1,0),0)</f>
        <v>5</v>
      </c>
      <c r="Y392" s="186">
        <f>IF(Y$2&lt;=AnalysisPeriod,IF(SUM($C718:Y718)&gt;0,X392+1,0),0)</f>
        <v>6</v>
      </c>
      <c r="Z392" s="186">
        <f>IF(Z$2&lt;=AnalysisPeriod,IF(SUM($C718:Z718)&gt;0,Y392+1,0),0)</f>
        <v>7</v>
      </c>
      <c r="AA392" s="186">
        <f>IF(AA$2&lt;=AnalysisPeriod,IF(SUM($C718:AA718)&gt;0,Z392+1,0),0)</f>
        <v>8</v>
      </c>
      <c r="AB392" s="186">
        <f>IF(AB$2&lt;=AnalysisPeriod,IF(SUM($C718:AB718)&gt;0,AA392+1,0),0)</f>
        <v>9</v>
      </c>
      <c r="AC392" s="186">
        <f>IF(AC$2&lt;=AnalysisPeriod,IF(SUM($C718:AC718)&gt;0,AB392+1,0),0)</f>
        <v>10</v>
      </c>
      <c r="AD392" s="186">
        <f>IF(AD$2&lt;=AnalysisPeriod,IF(SUM($C718:AD718)&gt;0,AC392+1,0),0)</f>
        <v>11</v>
      </c>
      <c r="AE392" s="186">
        <f>IF(AE$2&lt;=AnalysisPeriod,IF(SUM($C718:AE718)&gt;0,AD392+1,0),0)</f>
        <v>12</v>
      </c>
      <c r="AF392" s="186">
        <f>IF(AF$2&lt;=AnalysisPeriod,IF(SUM($C718:AF718)&gt;0,AE392+1,0),0)</f>
        <v>13</v>
      </c>
      <c r="AG392" s="186">
        <f>IF(AG$2&lt;=AnalysisPeriod,IF(SUM($C718:AG718)&gt;0,AF392+1,0),0)</f>
        <v>0</v>
      </c>
      <c r="AH392" s="186">
        <f>IF(AH$2&lt;=AnalysisPeriod,IF(SUM($C718:AH718)&gt;0,AG392+1,0),0)</f>
        <v>0</v>
      </c>
      <c r="AI392" s="186">
        <f>IF(AI$2&lt;=AnalysisPeriod,IF(SUM($C718:AI718)&gt;0,AH392+1,0),0)</f>
        <v>0</v>
      </c>
      <c r="AJ392" s="186">
        <f>IF(AJ$2&lt;=AnalysisPeriod,IF(SUM($C718:AJ718)&gt;0,AI392+1,0),0)</f>
        <v>0</v>
      </c>
      <c r="AK392" s="186">
        <f>IF(AK$2&lt;=AnalysisPeriod,IF(SUM($C718:AK718)&gt;0,AJ392+1,0),0)</f>
        <v>0</v>
      </c>
      <c r="AL392" s="186">
        <f>IF(AL$2&lt;=AnalysisPeriod,IF(SUM($C718:AL718)&gt;0,AK392+1,0),0)</f>
        <v>0</v>
      </c>
      <c r="AM392" s="186">
        <f>IF(AM$2&lt;=AnalysisPeriod,IF(SUM($C718:AM718)&gt;0,AL392+1,0),0)</f>
        <v>0</v>
      </c>
      <c r="AN392" s="186">
        <f>IF(AN$2&lt;=AnalysisPeriod,IF(SUM($C718:AN718)&gt;0,AM392+1,0),0)</f>
        <v>0</v>
      </c>
      <c r="AO392" s="186">
        <f>IF(AO$2&lt;=AnalysisPeriod,IF(SUM($C718:AO718)&gt;0,AN392+1,0),0)</f>
        <v>0</v>
      </c>
      <c r="AP392" s="186">
        <f>IF(AP$2&lt;=AnalysisPeriod,IF(SUM($C718:AP718)&gt;0,AO392+1,0),0)</f>
        <v>0</v>
      </c>
    </row>
    <row r="393" spans="1:42">
      <c r="A393" s="118">
        <f t="shared" si="916"/>
        <v>7</v>
      </c>
      <c r="C393" s="186">
        <f>IF(C$2&lt;=AnalysisPeriod,IF(SUM($C719:C719)&gt;0,B393+1,0),0)</f>
        <v>0</v>
      </c>
      <c r="D393" s="186">
        <f>IF(D$2&lt;=AnalysisPeriod,IF(SUM($C719:D719)&gt;0,C393+1,0),0)</f>
        <v>0</v>
      </c>
      <c r="E393" s="186">
        <f>IF(E$2&lt;=AnalysisPeriod,IF(SUM($C719:E719)&gt;0,D393+1,0),0)</f>
        <v>0</v>
      </c>
      <c r="F393" s="186">
        <f>IF(F$2&lt;=AnalysisPeriod,IF(SUM($C719:F719)&gt;0,E393+1,0),0)</f>
        <v>0</v>
      </c>
      <c r="G393" s="186">
        <f>IF(G$2&lt;=AnalysisPeriod,IF(SUM($C719:G719)&gt;0,F393+1,0),0)</f>
        <v>0</v>
      </c>
      <c r="H393" s="186">
        <f>IF(H$2&lt;=AnalysisPeriod,IF(SUM($C719:H719)&gt;0,G393+1,0),0)</f>
        <v>0</v>
      </c>
      <c r="I393" s="186">
        <f>IF(I$2&lt;=AnalysisPeriod,IF(SUM($C719:I719)&gt;0,H393+1,0),0)</f>
        <v>0</v>
      </c>
      <c r="J393" s="186">
        <f>IF(J$2&lt;=AnalysisPeriod,IF(SUM($C719:J719)&gt;0,I393+1,0),0)</f>
        <v>0</v>
      </c>
      <c r="K393" s="186">
        <f>IF(K$2&lt;=AnalysisPeriod,IF(SUM($C719:K719)&gt;0,J393+1,0),0)</f>
        <v>0</v>
      </c>
      <c r="L393" s="186">
        <f>IF(L$2&lt;=AnalysisPeriod,IF(SUM($C719:L719)&gt;0,K393+1,0),0)</f>
        <v>0</v>
      </c>
      <c r="M393" s="186">
        <f>IF(M$2&lt;=AnalysisPeriod,IF(SUM($C719:M719)&gt;0,L393+1,0),0)</f>
        <v>0</v>
      </c>
      <c r="N393" s="186">
        <f>IF(N$2&lt;=AnalysisPeriod,IF(SUM($C719:N719)&gt;0,M393+1,0),0)</f>
        <v>0</v>
      </c>
      <c r="O393" s="186">
        <f>IF(O$2&lt;=AnalysisPeriod,IF(SUM($C719:O719)&gt;0,N393+1,0),0)</f>
        <v>0</v>
      </c>
      <c r="P393" s="186">
        <f>IF(P$2&lt;=AnalysisPeriod,IF(SUM($C719:P719)&gt;0,O393+1,0),0)</f>
        <v>0</v>
      </c>
      <c r="Q393" s="186">
        <f>IF(Q$2&lt;=AnalysisPeriod,IF(SUM($C719:Q719)&gt;0,P393+1,0),0)</f>
        <v>0</v>
      </c>
      <c r="R393" s="186">
        <f>IF(R$2&lt;=AnalysisPeriod,IF(SUM($C719:R719)&gt;0,Q393+1,0),0)</f>
        <v>0</v>
      </c>
      <c r="S393" s="186">
        <f>IF(S$2&lt;=AnalysisPeriod,IF(SUM($C719:S719)&gt;0,R393+1,0),0)</f>
        <v>0</v>
      </c>
      <c r="T393" s="186">
        <f>IF(T$2&lt;=AnalysisPeriod,IF(SUM($C719:T719)&gt;0,S393+1,0),0)</f>
        <v>0</v>
      </c>
      <c r="U393" s="186">
        <f>IF(U$2&lt;=AnalysisPeriod,IF(SUM($C719:U719)&gt;0,T393+1,0),0)</f>
        <v>0</v>
      </c>
      <c r="V393" s="186">
        <f>IF(V$2&lt;=AnalysisPeriod,IF(SUM($C719:V719)&gt;0,U393+1,0),0)</f>
        <v>0</v>
      </c>
      <c r="W393" s="186">
        <f>IF(W$2&lt;=AnalysisPeriod,IF(SUM($C719:W719)&gt;0,V393+1,0),0)</f>
        <v>1</v>
      </c>
      <c r="X393" s="186">
        <f>IF(X$2&lt;=AnalysisPeriod,IF(SUM($C719:X719)&gt;0,W393+1,0),0)</f>
        <v>2</v>
      </c>
      <c r="Y393" s="186">
        <f>IF(Y$2&lt;=AnalysisPeriod,IF(SUM($C719:Y719)&gt;0,X393+1,0),0)</f>
        <v>3</v>
      </c>
      <c r="Z393" s="186">
        <f>IF(Z$2&lt;=AnalysisPeriod,IF(SUM($C719:Z719)&gt;0,Y393+1,0),0)</f>
        <v>4</v>
      </c>
      <c r="AA393" s="186">
        <f>IF(AA$2&lt;=AnalysisPeriod,IF(SUM($C719:AA719)&gt;0,Z393+1,0),0)</f>
        <v>5</v>
      </c>
      <c r="AB393" s="186">
        <f>IF(AB$2&lt;=AnalysisPeriod,IF(SUM($C719:AB719)&gt;0,AA393+1,0),0)</f>
        <v>6</v>
      </c>
      <c r="AC393" s="186">
        <f>IF(AC$2&lt;=AnalysisPeriod,IF(SUM($C719:AC719)&gt;0,AB393+1,0),0)</f>
        <v>7</v>
      </c>
      <c r="AD393" s="186">
        <f>IF(AD$2&lt;=AnalysisPeriod,IF(SUM($C719:AD719)&gt;0,AC393+1,0),0)</f>
        <v>8</v>
      </c>
      <c r="AE393" s="186">
        <f>IF(AE$2&lt;=AnalysisPeriod,IF(SUM($C719:AE719)&gt;0,AD393+1,0),0)</f>
        <v>9</v>
      </c>
      <c r="AF393" s="186">
        <f>IF(AF$2&lt;=AnalysisPeriod,IF(SUM($C719:AF719)&gt;0,AE393+1,0),0)</f>
        <v>10</v>
      </c>
      <c r="AG393" s="186">
        <f>IF(AG$2&lt;=AnalysisPeriod,IF(SUM($C719:AG719)&gt;0,AF393+1,0),0)</f>
        <v>0</v>
      </c>
      <c r="AH393" s="186">
        <f>IF(AH$2&lt;=AnalysisPeriod,IF(SUM($C719:AH719)&gt;0,AG393+1,0),0)</f>
        <v>0</v>
      </c>
      <c r="AI393" s="186">
        <f>IF(AI$2&lt;=AnalysisPeriod,IF(SUM($C719:AI719)&gt;0,AH393+1,0),0)</f>
        <v>0</v>
      </c>
      <c r="AJ393" s="186">
        <f>IF(AJ$2&lt;=AnalysisPeriod,IF(SUM($C719:AJ719)&gt;0,AI393+1,0),0)</f>
        <v>0</v>
      </c>
      <c r="AK393" s="186">
        <f>IF(AK$2&lt;=AnalysisPeriod,IF(SUM($C719:AK719)&gt;0,AJ393+1,0),0)</f>
        <v>0</v>
      </c>
      <c r="AL393" s="186">
        <f>IF(AL$2&lt;=AnalysisPeriod,IF(SUM($C719:AL719)&gt;0,AK393+1,0),0)</f>
        <v>0</v>
      </c>
      <c r="AM393" s="186">
        <f>IF(AM$2&lt;=AnalysisPeriod,IF(SUM($C719:AM719)&gt;0,AL393+1,0),0)</f>
        <v>0</v>
      </c>
      <c r="AN393" s="186">
        <f>IF(AN$2&lt;=AnalysisPeriod,IF(SUM($C719:AN719)&gt;0,AM393+1,0),0)</f>
        <v>0</v>
      </c>
      <c r="AO393" s="186">
        <f>IF(AO$2&lt;=AnalysisPeriod,IF(SUM($C719:AO719)&gt;0,AN393+1,0),0)</f>
        <v>0</v>
      </c>
      <c r="AP393" s="186">
        <f>IF(AP$2&lt;=AnalysisPeriod,IF(SUM($C719:AP719)&gt;0,AO393+1,0),0)</f>
        <v>0</v>
      </c>
    </row>
    <row r="394" spans="1:42">
      <c r="A394" s="118">
        <f t="shared" si="916"/>
        <v>8</v>
      </c>
      <c r="C394" s="186">
        <f>IF(C$2&lt;=AnalysisPeriod,IF(SUM($C720:C720)&gt;0,B394+1,0),0)</f>
        <v>0</v>
      </c>
      <c r="D394" s="186">
        <f>IF(D$2&lt;=AnalysisPeriod,IF(SUM($C720:D720)&gt;0,C394+1,0),0)</f>
        <v>0</v>
      </c>
      <c r="E394" s="186">
        <f>IF(E$2&lt;=AnalysisPeriod,IF(SUM($C720:E720)&gt;0,D394+1,0),0)</f>
        <v>0</v>
      </c>
      <c r="F394" s="186">
        <f>IF(F$2&lt;=AnalysisPeriod,IF(SUM($C720:F720)&gt;0,E394+1,0),0)</f>
        <v>0</v>
      </c>
      <c r="G394" s="186">
        <f>IF(G$2&lt;=AnalysisPeriod,IF(SUM($C720:G720)&gt;0,F394+1,0),0)</f>
        <v>0</v>
      </c>
      <c r="H394" s="186">
        <f>IF(H$2&lt;=AnalysisPeriod,IF(SUM($C720:H720)&gt;0,G394+1,0),0)</f>
        <v>0</v>
      </c>
      <c r="I394" s="186">
        <f>IF(I$2&lt;=AnalysisPeriod,IF(SUM($C720:I720)&gt;0,H394+1,0),0)</f>
        <v>0</v>
      </c>
      <c r="J394" s="186">
        <f>IF(J$2&lt;=AnalysisPeriod,IF(SUM($C720:J720)&gt;0,I394+1,0),0)</f>
        <v>0</v>
      </c>
      <c r="K394" s="186">
        <f>IF(K$2&lt;=AnalysisPeriod,IF(SUM($C720:K720)&gt;0,J394+1,0),0)</f>
        <v>0</v>
      </c>
      <c r="L394" s="186">
        <f>IF(L$2&lt;=AnalysisPeriod,IF(SUM($C720:L720)&gt;0,K394+1,0),0)</f>
        <v>0</v>
      </c>
      <c r="M394" s="186">
        <f>IF(M$2&lt;=AnalysisPeriod,IF(SUM($C720:M720)&gt;0,L394+1,0),0)</f>
        <v>0</v>
      </c>
      <c r="N394" s="186">
        <f>IF(N$2&lt;=AnalysisPeriod,IF(SUM($C720:N720)&gt;0,M394+1,0),0)</f>
        <v>0</v>
      </c>
      <c r="O394" s="186">
        <f>IF(O$2&lt;=AnalysisPeriod,IF(SUM($C720:O720)&gt;0,N394+1,0),0)</f>
        <v>0</v>
      </c>
      <c r="P394" s="186">
        <f>IF(P$2&lt;=AnalysisPeriod,IF(SUM($C720:P720)&gt;0,O394+1,0),0)</f>
        <v>0</v>
      </c>
      <c r="Q394" s="186">
        <f>IF(Q$2&lt;=AnalysisPeriod,IF(SUM($C720:Q720)&gt;0,P394+1,0),0)</f>
        <v>0</v>
      </c>
      <c r="R394" s="186">
        <f>IF(R$2&lt;=AnalysisPeriod,IF(SUM($C720:R720)&gt;0,Q394+1,0),0)</f>
        <v>0</v>
      </c>
      <c r="S394" s="186">
        <f>IF(S$2&lt;=AnalysisPeriod,IF(SUM($C720:S720)&gt;0,R394+1,0),0)</f>
        <v>0</v>
      </c>
      <c r="T394" s="186">
        <f>IF(T$2&lt;=AnalysisPeriod,IF(SUM($C720:T720)&gt;0,S394+1,0),0)</f>
        <v>0</v>
      </c>
      <c r="U394" s="186">
        <f>IF(U$2&lt;=AnalysisPeriod,IF(SUM($C720:U720)&gt;0,T394+1,0),0)</f>
        <v>0</v>
      </c>
      <c r="V394" s="186">
        <f>IF(V$2&lt;=AnalysisPeriod,IF(SUM($C720:V720)&gt;0,U394+1,0),0)</f>
        <v>0</v>
      </c>
      <c r="W394" s="186">
        <f>IF(W$2&lt;=AnalysisPeriod,IF(SUM($C720:W720)&gt;0,V394+1,0),0)</f>
        <v>0</v>
      </c>
      <c r="X394" s="186">
        <f>IF(X$2&lt;=AnalysisPeriod,IF(SUM($C720:X720)&gt;0,W394+1,0),0)</f>
        <v>0</v>
      </c>
      <c r="Y394" s="186">
        <f>IF(Y$2&lt;=AnalysisPeriod,IF(SUM($C720:Y720)&gt;0,X394+1,0),0)</f>
        <v>0</v>
      </c>
      <c r="Z394" s="186">
        <f>IF(Z$2&lt;=AnalysisPeriod,IF(SUM($C720:Z720)&gt;0,Y394+1,0),0)</f>
        <v>1</v>
      </c>
      <c r="AA394" s="186">
        <f>IF(AA$2&lt;=AnalysisPeriod,IF(SUM($C720:AA720)&gt;0,Z394+1,0),0)</f>
        <v>2</v>
      </c>
      <c r="AB394" s="186">
        <f>IF(AB$2&lt;=AnalysisPeriod,IF(SUM($C720:AB720)&gt;0,AA394+1,0),0)</f>
        <v>3</v>
      </c>
      <c r="AC394" s="186">
        <f>IF(AC$2&lt;=AnalysisPeriod,IF(SUM($C720:AC720)&gt;0,AB394+1,0),0)</f>
        <v>4</v>
      </c>
      <c r="AD394" s="186">
        <f>IF(AD$2&lt;=AnalysisPeriod,IF(SUM($C720:AD720)&gt;0,AC394+1,0),0)</f>
        <v>5</v>
      </c>
      <c r="AE394" s="186">
        <f>IF(AE$2&lt;=AnalysisPeriod,IF(SUM($C720:AE720)&gt;0,AD394+1,0),0)</f>
        <v>6</v>
      </c>
      <c r="AF394" s="186">
        <f>IF(AF$2&lt;=AnalysisPeriod,IF(SUM($C720:AF720)&gt;0,AE394+1,0),0)</f>
        <v>7</v>
      </c>
      <c r="AG394" s="186">
        <f>IF(AG$2&lt;=AnalysisPeriod,IF(SUM($C720:AG720)&gt;0,AF394+1,0),0)</f>
        <v>0</v>
      </c>
      <c r="AH394" s="186">
        <f>IF(AH$2&lt;=AnalysisPeriod,IF(SUM($C720:AH720)&gt;0,AG394+1,0),0)</f>
        <v>0</v>
      </c>
      <c r="AI394" s="186">
        <f>IF(AI$2&lt;=AnalysisPeriod,IF(SUM($C720:AI720)&gt;0,AH394+1,0),0)</f>
        <v>0</v>
      </c>
      <c r="AJ394" s="186">
        <f>IF(AJ$2&lt;=AnalysisPeriod,IF(SUM($C720:AJ720)&gt;0,AI394+1,0),0)</f>
        <v>0</v>
      </c>
      <c r="AK394" s="186">
        <f>IF(AK$2&lt;=AnalysisPeriod,IF(SUM($C720:AK720)&gt;0,AJ394+1,0),0)</f>
        <v>0</v>
      </c>
      <c r="AL394" s="186">
        <f>IF(AL$2&lt;=AnalysisPeriod,IF(SUM($C720:AL720)&gt;0,AK394+1,0),0)</f>
        <v>0</v>
      </c>
      <c r="AM394" s="186">
        <f>IF(AM$2&lt;=AnalysisPeriod,IF(SUM($C720:AM720)&gt;0,AL394+1,0),0)</f>
        <v>0</v>
      </c>
      <c r="AN394" s="186">
        <f>IF(AN$2&lt;=AnalysisPeriod,IF(SUM($C720:AN720)&gt;0,AM394+1,0),0)</f>
        <v>0</v>
      </c>
      <c r="AO394" s="186">
        <f>IF(AO$2&lt;=AnalysisPeriod,IF(SUM($C720:AO720)&gt;0,AN394+1,0),0)</f>
        <v>0</v>
      </c>
      <c r="AP394" s="186">
        <f>IF(AP$2&lt;=AnalysisPeriod,IF(SUM($C720:AP720)&gt;0,AO394+1,0),0)</f>
        <v>0</v>
      </c>
    </row>
    <row r="395" spans="1:42">
      <c r="A395" s="118">
        <f>A394+1</f>
        <v>9</v>
      </c>
      <c r="C395" s="186">
        <f>IF(C$2&lt;=AnalysisPeriod,IF(SUM($C721:C721)&gt;0,B395+1,0),0)</f>
        <v>0</v>
      </c>
      <c r="D395" s="186">
        <f>IF(D$2&lt;=AnalysisPeriod,IF(SUM($C721:D721)&gt;0,C395+1,0),0)</f>
        <v>0</v>
      </c>
      <c r="E395" s="186">
        <f>IF(E$2&lt;=AnalysisPeriod,IF(SUM($C721:E721)&gt;0,D395+1,0),0)</f>
        <v>0</v>
      </c>
      <c r="F395" s="186">
        <f>IF(F$2&lt;=AnalysisPeriod,IF(SUM($C721:F721)&gt;0,E395+1,0),0)</f>
        <v>0</v>
      </c>
      <c r="G395" s="186">
        <f>IF(G$2&lt;=AnalysisPeriod,IF(SUM($C721:G721)&gt;0,F395+1,0),0)</f>
        <v>0</v>
      </c>
      <c r="H395" s="186">
        <f>IF(H$2&lt;=AnalysisPeriod,IF(SUM($C721:H721)&gt;0,G395+1,0),0)</f>
        <v>0</v>
      </c>
      <c r="I395" s="186">
        <f>IF(I$2&lt;=AnalysisPeriod,IF(SUM($C721:I721)&gt;0,H395+1,0),0)</f>
        <v>0</v>
      </c>
      <c r="J395" s="186">
        <f>IF(J$2&lt;=AnalysisPeriod,IF(SUM($C721:J721)&gt;0,I395+1,0),0)</f>
        <v>0</v>
      </c>
      <c r="K395" s="186">
        <f>IF(K$2&lt;=AnalysisPeriod,IF(SUM($C721:K721)&gt;0,J395+1,0),0)</f>
        <v>0</v>
      </c>
      <c r="L395" s="186">
        <f>IF(L$2&lt;=AnalysisPeriod,IF(SUM($C721:L721)&gt;0,K395+1,0),0)</f>
        <v>0</v>
      </c>
      <c r="M395" s="186">
        <f>IF(M$2&lt;=AnalysisPeriod,IF(SUM($C721:M721)&gt;0,L395+1,0),0)</f>
        <v>0</v>
      </c>
      <c r="N395" s="186">
        <f>IF(N$2&lt;=AnalysisPeriod,IF(SUM($C721:N721)&gt;0,M395+1,0),0)</f>
        <v>0</v>
      </c>
      <c r="O395" s="186">
        <f>IF(O$2&lt;=AnalysisPeriod,IF(SUM($C721:O721)&gt;0,N395+1,0),0)</f>
        <v>0</v>
      </c>
      <c r="P395" s="186">
        <f>IF(P$2&lt;=AnalysisPeriod,IF(SUM($C721:P721)&gt;0,O395+1,0),0)</f>
        <v>0</v>
      </c>
      <c r="Q395" s="186">
        <f>IF(Q$2&lt;=AnalysisPeriod,IF(SUM($C721:Q721)&gt;0,P395+1,0),0)</f>
        <v>0</v>
      </c>
      <c r="R395" s="186">
        <f>IF(R$2&lt;=AnalysisPeriod,IF(SUM($C721:R721)&gt;0,Q395+1,0),0)</f>
        <v>0</v>
      </c>
      <c r="S395" s="186">
        <f>IF(S$2&lt;=AnalysisPeriod,IF(SUM($C721:S721)&gt;0,R395+1,0),0)</f>
        <v>0</v>
      </c>
      <c r="T395" s="186">
        <f>IF(T$2&lt;=AnalysisPeriod,IF(SUM($C721:T721)&gt;0,S395+1,0),0)</f>
        <v>0</v>
      </c>
      <c r="U395" s="186">
        <f>IF(U$2&lt;=AnalysisPeriod,IF(SUM($C721:U721)&gt;0,T395+1,0),0)</f>
        <v>0</v>
      </c>
      <c r="V395" s="186">
        <f>IF(V$2&lt;=AnalysisPeriod,IF(SUM($C721:V721)&gt;0,U395+1,0),0)</f>
        <v>0</v>
      </c>
      <c r="W395" s="186">
        <f>IF(W$2&lt;=AnalysisPeriod,IF(SUM($C721:W721)&gt;0,V395+1,0),0)</f>
        <v>0</v>
      </c>
      <c r="X395" s="186">
        <f>IF(X$2&lt;=AnalysisPeriod,IF(SUM($C721:X721)&gt;0,W395+1,0),0)</f>
        <v>0</v>
      </c>
      <c r="Y395" s="186">
        <f>IF(Y$2&lt;=AnalysisPeriod,IF(SUM($C721:Y721)&gt;0,X395+1,0),0)</f>
        <v>0</v>
      </c>
      <c r="Z395" s="186">
        <f>IF(Z$2&lt;=AnalysisPeriod,IF(SUM($C721:Z721)&gt;0,Y395+1,0),0)</f>
        <v>0</v>
      </c>
      <c r="AA395" s="186">
        <f>IF(AA$2&lt;=AnalysisPeriod,IF(SUM($C721:AA721)&gt;0,Z395+1,0),0)</f>
        <v>0</v>
      </c>
      <c r="AB395" s="186">
        <f>IF(AB$2&lt;=AnalysisPeriod,IF(SUM($C721:AB721)&gt;0,AA395+1,0),0)</f>
        <v>0</v>
      </c>
      <c r="AC395" s="186">
        <f>IF(AC$2&lt;=AnalysisPeriod,IF(SUM($C721:AC721)&gt;0,AB395+1,0),0)</f>
        <v>1</v>
      </c>
      <c r="AD395" s="186">
        <f>IF(AD$2&lt;=AnalysisPeriod,IF(SUM($C721:AD721)&gt;0,AC395+1,0),0)</f>
        <v>2</v>
      </c>
      <c r="AE395" s="186">
        <f>IF(AE$2&lt;=AnalysisPeriod,IF(SUM($C721:AE721)&gt;0,AD395+1,0),0)</f>
        <v>3</v>
      </c>
      <c r="AF395" s="186">
        <f>IF(AF$2&lt;=AnalysisPeriod,IF(SUM($C721:AF721)&gt;0,AE395+1,0),0)</f>
        <v>4</v>
      </c>
      <c r="AG395" s="186">
        <f>IF(AG$2&lt;=AnalysisPeriod,IF(SUM($C721:AG721)&gt;0,AF395+1,0),0)</f>
        <v>0</v>
      </c>
      <c r="AH395" s="186">
        <f>IF(AH$2&lt;=AnalysisPeriod,IF(SUM($C721:AH721)&gt;0,AG395+1,0),0)</f>
        <v>0</v>
      </c>
      <c r="AI395" s="186">
        <f>IF(AI$2&lt;=AnalysisPeriod,IF(SUM($C721:AI721)&gt;0,AH395+1,0),0)</f>
        <v>0</v>
      </c>
      <c r="AJ395" s="186">
        <f>IF(AJ$2&lt;=AnalysisPeriod,IF(SUM($C721:AJ721)&gt;0,AI395+1,0),0)</f>
        <v>0</v>
      </c>
      <c r="AK395" s="186">
        <f>IF(AK$2&lt;=AnalysisPeriod,IF(SUM($C721:AK721)&gt;0,AJ395+1,0),0)</f>
        <v>0</v>
      </c>
      <c r="AL395" s="186">
        <f>IF(AL$2&lt;=AnalysisPeriod,IF(SUM($C721:AL721)&gt;0,AK395+1,0),0)</f>
        <v>0</v>
      </c>
      <c r="AM395" s="186">
        <f>IF(AM$2&lt;=AnalysisPeriod,IF(SUM($C721:AM721)&gt;0,AL395+1,0),0)</f>
        <v>0</v>
      </c>
      <c r="AN395" s="186">
        <f>IF(AN$2&lt;=AnalysisPeriod,IF(SUM($C721:AN721)&gt;0,AM395+1,0),0)</f>
        <v>0</v>
      </c>
      <c r="AO395" s="186">
        <f>IF(AO$2&lt;=AnalysisPeriod,IF(SUM($C721:AO721)&gt;0,AN395+1,0),0)</f>
        <v>0</v>
      </c>
      <c r="AP395" s="186">
        <f>IF(AP$2&lt;=AnalysisPeriod,IF(SUM($C721:AP721)&gt;0,AO395+1,0),0)</f>
        <v>0</v>
      </c>
    </row>
    <row r="396" spans="1:42">
      <c r="A396" s="118">
        <f t="shared" si="916"/>
        <v>10</v>
      </c>
      <c r="C396" s="186">
        <f>IF(C$2&lt;=AnalysisPeriod,IF(SUM($C722:C722)&gt;0,B396+1,0),0)</f>
        <v>0</v>
      </c>
      <c r="D396" s="186">
        <f>IF(D$2&lt;=AnalysisPeriod,IF(SUM($C722:D722)&gt;0,C396+1,0),0)</f>
        <v>0</v>
      </c>
      <c r="E396" s="186">
        <f>IF(E$2&lt;=AnalysisPeriod,IF(SUM($C722:E722)&gt;0,D396+1,0),0)</f>
        <v>0</v>
      </c>
      <c r="F396" s="186">
        <f>IF(F$2&lt;=AnalysisPeriod,IF(SUM($C722:F722)&gt;0,E396+1,0),0)</f>
        <v>0</v>
      </c>
      <c r="G396" s="186">
        <f>IF(G$2&lt;=AnalysisPeriod,IF(SUM($C722:G722)&gt;0,F396+1,0),0)</f>
        <v>0</v>
      </c>
      <c r="H396" s="186">
        <f>IF(H$2&lt;=AnalysisPeriod,IF(SUM($C722:H722)&gt;0,G396+1,0),0)</f>
        <v>0</v>
      </c>
      <c r="I396" s="186">
        <f>IF(I$2&lt;=AnalysisPeriod,IF(SUM($C722:I722)&gt;0,H396+1,0),0)</f>
        <v>0</v>
      </c>
      <c r="J396" s="186">
        <f>IF(J$2&lt;=AnalysisPeriod,IF(SUM($C722:J722)&gt;0,I396+1,0),0)</f>
        <v>0</v>
      </c>
      <c r="K396" s="186">
        <f>IF(K$2&lt;=AnalysisPeriod,IF(SUM($C722:K722)&gt;0,J396+1,0),0)</f>
        <v>0</v>
      </c>
      <c r="L396" s="186">
        <f>IF(L$2&lt;=AnalysisPeriod,IF(SUM($C722:L722)&gt;0,K396+1,0),0)</f>
        <v>0</v>
      </c>
      <c r="M396" s="186">
        <f>IF(M$2&lt;=AnalysisPeriod,IF(SUM($C722:M722)&gt;0,L396+1,0),0)</f>
        <v>0</v>
      </c>
      <c r="N396" s="186">
        <f>IF(N$2&lt;=AnalysisPeriod,IF(SUM($C722:N722)&gt;0,M396+1,0),0)</f>
        <v>0</v>
      </c>
      <c r="O396" s="186">
        <f>IF(O$2&lt;=AnalysisPeriod,IF(SUM($C722:O722)&gt;0,N396+1,0),0)</f>
        <v>0</v>
      </c>
      <c r="P396" s="186">
        <f>IF(P$2&lt;=AnalysisPeriod,IF(SUM($C722:P722)&gt;0,O396+1,0),0)</f>
        <v>0</v>
      </c>
      <c r="Q396" s="186">
        <f>IF(Q$2&lt;=AnalysisPeriod,IF(SUM($C722:Q722)&gt;0,P396+1,0),0)</f>
        <v>0</v>
      </c>
      <c r="R396" s="186">
        <f>IF(R$2&lt;=AnalysisPeriod,IF(SUM($C722:R722)&gt;0,Q396+1,0),0)</f>
        <v>0</v>
      </c>
      <c r="S396" s="186">
        <f>IF(S$2&lt;=AnalysisPeriod,IF(SUM($C722:S722)&gt;0,R396+1,0),0)</f>
        <v>0</v>
      </c>
      <c r="T396" s="186">
        <f>IF(T$2&lt;=AnalysisPeriod,IF(SUM($C722:T722)&gt;0,S396+1,0),0)</f>
        <v>0</v>
      </c>
      <c r="U396" s="186">
        <f>IF(U$2&lt;=AnalysisPeriod,IF(SUM($C722:U722)&gt;0,T396+1,0),0)</f>
        <v>0</v>
      </c>
      <c r="V396" s="186">
        <f>IF(V$2&lt;=AnalysisPeriod,IF(SUM($C722:V722)&gt;0,U396+1,0),0)</f>
        <v>0</v>
      </c>
      <c r="W396" s="186">
        <f>IF(W$2&lt;=AnalysisPeriod,IF(SUM($C722:W722)&gt;0,V396+1,0),0)</f>
        <v>0</v>
      </c>
      <c r="X396" s="186">
        <f>IF(X$2&lt;=AnalysisPeriod,IF(SUM($C722:X722)&gt;0,W396+1,0),0)</f>
        <v>0</v>
      </c>
      <c r="Y396" s="186">
        <f>IF(Y$2&lt;=AnalysisPeriod,IF(SUM($C722:Y722)&gt;0,X396+1,0),0)</f>
        <v>0</v>
      </c>
      <c r="Z396" s="186">
        <f>IF(Z$2&lt;=AnalysisPeriod,IF(SUM($C722:Z722)&gt;0,Y396+1,0),0)</f>
        <v>0</v>
      </c>
      <c r="AA396" s="186">
        <f>IF(AA$2&lt;=AnalysisPeriod,IF(SUM($C722:AA722)&gt;0,Z396+1,0),0)</f>
        <v>0</v>
      </c>
      <c r="AB396" s="186">
        <f>IF(AB$2&lt;=AnalysisPeriod,IF(SUM($C722:AB722)&gt;0,AA396+1,0),0)</f>
        <v>0</v>
      </c>
      <c r="AC396" s="186">
        <f>IF(AC$2&lt;=AnalysisPeriod,IF(SUM($C722:AC722)&gt;0,AB396+1,0),0)</f>
        <v>0</v>
      </c>
      <c r="AD396" s="186">
        <f>IF(AD$2&lt;=AnalysisPeriod,IF(SUM($C722:AD722)&gt;0,AC396+1,0),0)</f>
        <v>0</v>
      </c>
      <c r="AE396" s="186">
        <f>IF(AE$2&lt;=AnalysisPeriod,IF(SUM($C722:AE722)&gt;0,AD396+1,0),0)</f>
        <v>0</v>
      </c>
      <c r="AF396" s="186">
        <f>IF(AF$2&lt;=AnalysisPeriod,IF(SUM($C722:AF722)&gt;0,AE396+1,0),0)</f>
        <v>1</v>
      </c>
      <c r="AG396" s="186">
        <f>IF(AG$2&lt;=AnalysisPeriod,IF(SUM($C722:AG722)&gt;0,AF396+1,0),0)</f>
        <v>0</v>
      </c>
      <c r="AH396" s="186">
        <f>IF(AH$2&lt;=AnalysisPeriod,IF(SUM($C722:AH722)&gt;0,AG396+1,0),0)</f>
        <v>0</v>
      </c>
      <c r="AI396" s="186">
        <f>IF(AI$2&lt;=AnalysisPeriod,IF(SUM($C722:AI722)&gt;0,AH396+1,0),0)</f>
        <v>0</v>
      </c>
      <c r="AJ396" s="186">
        <f>IF(AJ$2&lt;=AnalysisPeriod,IF(SUM($C722:AJ722)&gt;0,AI396+1,0),0)</f>
        <v>0</v>
      </c>
      <c r="AK396" s="186">
        <f>IF(AK$2&lt;=AnalysisPeriod,IF(SUM($C722:AK722)&gt;0,AJ396+1,0),0)</f>
        <v>0</v>
      </c>
      <c r="AL396" s="186">
        <f>IF(AL$2&lt;=AnalysisPeriod,IF(SUM($C722:AL722)&gt;0,AK396+1,0),0)</f>
        <v>0</v>
      </c>
      <c r="AM396" s="186">
        <f>IF(AM$2&lt;=AnalysisPeriod,IF(SUM($C722:AM722)&gt;0,AL396+1,0),0)</f>
        <v>0</v>
      </c>
      <c r="AN396" s="186">
        <f>IF(AN$2&lt;=AnalysisPeriod,IF(SUM($C722:AN722)&gt;0,AM396+1,0),0)</f>
        <v>0</v>
      </c>
      <c r="AO396" s="186">
        <f>IF(AO$2&lt;=AnalysisPeriod,IF(SUM($C722:AO722)&gt;0,AN396+1,0),0)</f>
        <v>0</v>
      </c>
      <c r="AP396" s="186">
        <f>IF(AP$2&lt;=AnalysisPeriod,IF(SUM($C722:AP722)&gt;0,AO396+1,0),0)</f>
        <v>0</v>
      </c>
    </row>
    <row r="397" spans="1:42">
      <c r="A397" s="204"/>
      <c r="C397" s="186"/>
      <c r="D397" s="186"/>
      <c r="E397" s="186"/>
      <c r="F397" s="186"/>
      <c r="G397" s="186"/>
      <c r="H397" s="186"/>
      <c r="I397" s="186"/>
      <c r="J397" s="186"/>
      <c r="K397" s="186"/>
      <c r="L397" s="186"/>
      <c r="M397" s="186"/>
      <c r="N397" s="186"/>
      <c r="O397" s="186"/>
      <c r="P397" s="186"/>
      <c r="Q397" s="186"/>
      <c r="R397" s="186"/>
      <c r="S397" s="186"/>
      <c r="T397" s="186"/>
      <c r="U397" s="186"/>
      <c r="V397" s="186"/>
      <c r="W397" s="186"/>
      <c r="X397" s="186"/>
      <c r="Y397" s="186"/>
      <c r="Z397" s="186"/>
      <c r="AA397" s="186"/>
      <c r="AB397" s="186"/>
      <c r="AC397" s="186"/>
      <c r="AD397" s="186"/>
      <c r="AE397" s="186"/>
      <c r="AF397" s="186"/>
      <c r="AG397" s="186"/>
      <c r="AH397" s="186"/>
      <c r="AI397" s="186"/>
      <c r="AJ397" s="186"/>
      <c r="AK397" s="186"/>
      <c r="AL397" s="186"/>
      <c r="AM397" s="186"/>
      <c r="AN397" s="186"/>
      <c r="AO397" s="186"/>
      <c r="AP397" s="186"/>
    </row>
    <row r="398" spans="1:42">
      <c r="A398" s="204" t="s">
        <v>211</v>
      </c>
      <c r="C398" s="186"/>
      <c r="D398" s="186"/>
      <c r="E398" s="186"/>
      <c r="F398" s="186"/>
      <c r="G398" s="186"/>
      <c r="H398" s="186"/>
      <c r="I398" s="186"/>
      <c r="J398" s="186"/>
      <c r="K398" s="186"/>
      <c r="L398" s="186"/>
      <c r="M398" s="186"/>
      <c r="N398" s="186"/>
      <c r="O398" s="186"/>
      <c r="P398" s="186"/>
      <c r="Q398" s="186"/>
      <c r="R398" s="186"/>
      <c r="S398" s="186"/>
      <c r="T398" s="186"/>
      <c r="U398" s="186"/>
      <c r="V398" s="186"/>
      <c r="W398" s="186"/>
      <c r="X398" s="186"/>
      <c r="Y398" s="186"/>
      <c r="Z398" s="186"/>
      <c r="AA398" s="186"/>
      <c r="AB398" s="186"/>
      <c r="AC398" s="186"/>
      <c r="AD398" s="186"/>
      <c r="AE398" s="186"/>
      <c r="AF398" s="186"/>
      <c r="AG398" s="186"/>
      <c r="AH398" s="186"/>
      <c r="AI398" s="186"/>
      <c r="AJ398" s="186"/>
      <c r="AK398" s="186"/>
      <c r="AL398" s="186"/>
      <c r="AM398" s="186"/>
      <c r="AN398" s="186"/>
      <c r="AO398" s="186"/>
      <c r="AP398" s="186"/>
    </row>
    <row r="399" spans="1:42">
      <c r="A399" s="118">
        <v>1</v>
      </c>
      <c r="B399" s="196">
        <f t="shared" ref="B399:B408" si="917">SUM(C399:AP399)</f>
        <v>103022.49999999997</v>
      </c>
      <c r="C399" s="225">
        <f t="shared" ref="C399:AP399" si="918">LOOKUP(C387,$B$331:$AP$331,$B$332:$AP$332)*$B713</f>
        <v>0</v>
      </c>
      <c r="D399" s="186">
        <f t="shared" si="918"/>
        <v>0</v>
      </c>
      <c r="E399" s="186">
        <f t="shared" si="918"/>
        <v>20604.499999999996</v>
      </c>
      <c r="F399" s="186">
        <f t="shared" si="918"/>
        <v>32967.19999999999</v>
      </c>
      <c r="G399" s="186">
        <f t="shared" si="918"/>
        <v>19780.319999999996</v>
      </c>
      <c r="H399" s="186">
        <f t="shared" si="918"/>
        <v>11868.191999999995</v>
      </c>
      <c r="I399" s="186">
        <f t="shared" si="918"/>
        <v>11868.191999999995</v>
      </c>
      <c r="J399" s="186">
        <f t="shared" si="918"/>
        <v>5934.0959999999977</v>
      </c>
      <c r="K399" s="186">
        <f t="shared" si="918"/>
        <v>0</v>
      </c>
      <c r="L399" s="186">
        <f t="shared" si="918"/>
        <v>0</v>
      </c>
      <c r="M399" s="186">
        <f t="shared" si="918"/>
        <v>0</v>
      </c>
      <c r="N399" s="186">
        <f t="shared" si="918"/>
        <v>0</v>
      </c>
      <c r="O399" s="186">
        <f t="shared" si="918"/>
        <v>0</v>
      </c>
      <c r="P399" s="186">
        <f t="shared" si="918"/>
        <v>0</v>
      </c>
      <c r="Q399" s="186">
        <f t="shared" si="918"/>
        <v>0</v>
      </c>
      <c r="R399" s="186">
        <f t="shared" si="918"/>
        <v>0</v>
      </c>
      <c r="S399" s="186">
        <f t="shared" si="918"/>
        <v>0</v>
      </c>
      <c r="T399" s="186">
        <f t="shared" si="918"/>
        <v>0</v>
      </c>
      <c r="U399" s="186">
        <f t="shared" si="918"/>
        <v>0</v>
      </c>
      <c r="V399" s="186">
        <f t="shared" si="918"/>
        <v>0</v>
      </c>
      <c r="W399" s="186">
        <f t="shared" si="918"/>
        <v>0</v>
      </c>
      <c r="X399" s="186">
        <f t="shared" si="918"/>
        <v>0</v>
      </c>
      <c r="Y399" s="186">
        <f t="shared" si="918"/>
        <v>0</v>
      </c>
      <c r="Z399" s="186">
        <f t="shared" si="918"/>
        <v>0</v>
      </c>
      <c r="AA399" s="186">
        <f t="shared" si="918"/>
        <v>0</v>
      </c>
      <c r="AB399" s="186">
        <f t="shared" si="918"/>
        <v>0</v>
      </c>
      <c r="AC399" s="186">
        <f t="shared" si="918"/>
        <v>0</v>
      </c>
      <c r="AD399" s="186">
        <f t="shared" si="918"/>
        <v>0</v>
      </c>
      <c r="AE399" s="186">
        <f t="shared" si="918"/>
        <v>0</v>
      </c>
      <c r="AF399" s="186">
        <f t="shared" si="918"/>
        <v>0</v>
      </c>
      <c r="AG399" s="186">
        <f t="shared" si="918"/>
        <v>0</v>
      </c>
      <c r="AH399" s="186">
        <f t="shared" si="918"/>
        <v>0</v>
      </c>
      <c r="AI399" s="186">
        <f t="shared" si="918"/>
        <v>0</v>
      </c>
      <c r="AJ399" s="186">
        <f t="shared" si="918"/>
        <v>0</v>
      </c>
      <c r="AK399" s="186">
        <f t="shared" si="918"/>
        <v>0</v>
      </c>
      <c r="AL399" s="186">
        <f t="shared" si="918"/>
        <v>0</v>
      </c>
      <c r="AM399" s="186">
        <f t="shared" si="918"/>
        <v>0</v>
      </c>
      <c r="AN399" s="186">
        <f t="shared" si="918"/>
        <v>0</v>
      </c>
      <c r="AO399" s="186">
        <f t="shared" si="918"/>
        <v>0</v>
      </c>
      <c r="AP399" s="186">
        <f t="shared" si="918"/>
        <v>0</v>
      </c>
    </row>
    <row r="400" spans="1:42">
      <c r="A400" s="118">
        <f>A399+1</f>
        <v>2</v>
      </c>
      <c r="B400" s="196">
        <f t="shared" si="917"/>
        <v>107728.40038843744</v>
      </c>
      <c r="C400" s="225">
        <f t="shared" ref="C400:AP400" si="919">LOOKUP(C388,$B$331:$AP$331,$B$332:$AP$332)*$B714</f>
        <v>0</v>
      </c>
      <c r="D400" s="186">
        <f t="shared" si="919"/>
        <v>0</v>
      </c>
      <c r="E400" s="186">
        <f t="shared" si="919"/>
        <v>0</v>
      </c>
      <c r="F400" s="186">
        <f t="shared" si="919"/>
        <v>0</v>
      </c>
      <c r="G400" s="186">
        <f t="shared" si="919"/>
        <v>0</v>
      </c>
      <c r="H400" s="186">
        <f t="shared" si="919"/>
        <v>21545.680077687488</v>
      </c>
      <c r="I400" s="186">
        <f t="shared" si="919"/>
        <v>34473.088124299975</v>
      </c>
      <c r="J400" s="186">
        <f t="shared" si="919"/>
        <v>20683.852874579985</v>
      </c>
      <c r="K400" s="186">
        <f t="shared" si="919"/>
        <v>12410.311724747991</v>
      </c>
      <c r="L400" s="186">
        <f t="shared" si="919"/>
        <v>12410.311724747991</v>
      </c>
      <c r="M400" s="186">
        <f t="shared" si="919"/>
        <v>6205.1558623739957</v>
      </c>
      <c r="N400" s="186">
        <f t="shared" si="919"/>
        <v>0</v>
      </c>
      <c r="O400" s="186">
        <f t="shared" si="919"/>
        <v>0</v>
      </c>
      <c r="P400" s="186">
        <f t="shared" si="919"/>
        <v>0</v>
      </c>
      <c r="Q400" s="186">
        <f t="shared" si="919"/>
        <v>0</v>
      </c>
      <c r="R400" s="186">
        <f t="shared" si="919"/>
        <v>0</v>
      </c>
      <c r="S400" s="186">
        <f t="shared" si="919"/>
        <v>0</v>
      </c>
      <c r="T400" s="186">
        <f t="shared" si="919"/>
        <v>0</v>
      </c>
      <c r="U400" s="186">
        <f t="shared" si="919"/>
        <v>0</v>
      </c>
      <c r="V400" s="186">
        <f t="shared" si="919"/>
        <v>0</v>
      </c>
      <c r="W400" s="186">
        <f t="shared" si="919"/>
        <v>0</v>
      </c>
      <c r="X400" s="186">
        <f t="shared" si="919"/>
        <v>0</v>
      </c>
      <c r="Y400" s="186">
        <f t="shared" si="919"/>
        <v>0</v>
      </c>
      <c r="Z400" s="186">
        <f t="shared" si="919"/>
        <v>0</v>
      </c>
      <c r="AA400" s="186">
        <f t="shared" si="919"/>
        <v>0</v>
      </c>
      <c r="AB400" s="186">
        <f t="shared" si="919"/>
        <v>0</v>
      </c>
      <c r="AC400" s="186">
        <f t="shared" si="919"/>
        <v>0</v>
      </c>
      <c r="AD400" s="186">
        <f t="shared" si="919"/>
        <v>0</v>
      </c>
      <c r="AE400" s="186">
        <f t="shared" si="919"/>
        <v>0</v>
      </c>
      <c r="AF400" s="186">
        <f t="shared" si="919"/>
        <v>0</v>
      </c>
      <c r="AG400" s="186">
        <f t="shared" si="919"/>
        <v>0</v>
      </c>
      <c r="AH400" s="186">
        <f t="shared" si="919"/>
        <v>0</v>
      </c>
      <c r="AI400" s="186">
        <f t="shared" si="919"/>
        <v>0</v>
      </c>
      <c r="AJ400" s="186">
        <f t="shared" si="919"/>
        <v>0</v>
      </c>
      <c r="AK400" s="186">
        <f t="shared" si="919"/>
        <v>0</v>
      </c>
      <c r="AL400" s="186">
        <f t="shared" si="919"/>
        <v>0</v>
      </c>
      <c r="AM400" s="186">
        <f t="shared" si="919"/>
        <v>0</v>
      </c>
      <c r="AN400" s="186">
        <f t="shared" si="919"/>
        <v>0</v>
      </c>
      <c r="AO400" s="186">
        <f t="shared" si="919"/>
        <v>0</v>
      </c>
      <c r="AP400" s="186">
        <f t="shared" si="919"/>
        <v>0</v>
      </c>
    </row>
    <row r="401" spans="1:42">
      <c r="A401" s="118">
        <f t="shared" ref="A401:A408" si="920">A400+1</f>
        <v>3</v>
      </c>
      <c r="B401" s="196">
        <f t="shared" si="917"/>
        <v>112649.25865953058</v>
      </c>
      <c r="C401" s="225">
        <f t="shared" ref="C401:AP401" si="921">LOOKUP(C389,$B$331:$AP$331,$B$332:$AP$332)*$B715</f>
        <v>0</v>
      </c>
      <c r="D401" s="186">
        <f t="shared" si="921"/>
        <v>0</v>
      </c>
      <c r="E401" s="186">
        <f t="shared" si="921"/>
        <v>0</v>
      </c>
      <c r="F401" s="186">
        <f t="shared" si="921"/>
        <v>0</v>
      </c>
      <c r="G401" s="186">
        <f t="shared" si="921"/>
        <v>0</v>
      </c>
      <c r="H401" s="186">
        <f t="shared" si="921"/>
        <v>0</v>
      </c>
      <c r="I401" s="186">
        <f t="shared" si="921"/>
        <v>0</v>
      </c>
      <c r="J401" s="186">
        <f t="shared" si="921"/>
        <v>0</v>
      </c>
      <c r="K401" s="186">
        <f t="shared" si="921"/>
        <v>22529.851731906117</v>
      </c>
      <c r="L401" s="186">
        <f t="shared" si="921"/>
        <v>36047.762771049784</v>
      </c>
      <c r="M401" s="186">
        <f t="shared" si="921"/>
        <v>21628.65766262987</v>
      </c>
      <c r="N401" s="186">
        <f t="shared" si="921"/>
        <v>12977.194597577922</v>
      </c>
      <c r="O401" s="186">
        <f t="shared" si="921"/>
        <v>12977.194597577922</v>
      </c>
      <c r="P401" s="186">
        <f t="shared" si="921"/>
        <v>6488.5972987889609</v>
      </c>
      <c r="Q401" s="186">
        <f t="shared" si="921"/>
        <v>0</v>
      </c>
      <c r="R401" s="186">
        <f t="shared" si="921"/>
        <v>0</v>
      </c>
      <c r="S401" s="186">
        <f t="shared" si="921"/>
        <v>0</v>
      </c>
      <c r="T401" s="186">
        <f t="shared" si="921"/>
        <v>0</v>
      </c>
      <c r="U401" s="186">
        <f t="shared" si="921"/>
        <v>0</v>
      </c>
      <c r="V401" s="186">
        <f t="shared" si="921"/>
        <v>0</v>
      </c>
      <c r="W401" s="186">
        <f t="shared" si="921"/>
        <v>0</v>
      </c>
      <c r="X401" s="186">
        <f t="shared" si="921"/>
        <v>0</v>
      </c>
      <c r="Y401" s="186">
        <f t="shared" si="921"/>
        <v>0</v>
      </c>
      <c r="Z401" s="186">
        <f t="shared" si="921"/>
        <v>0</v>
      </c>
      <c r="AA401" s="186">
        <f t="shared" si="921"/>
        <v>0</v>
      </c>
      <c r="AB401" s="186">
        <f t="shared" si="921"/>
        <v>0</v>
      </c>
      <c r="AC401" s="186">
        <f t="shared" si="921"/>
        <v>0</v>
      </c>
      <c r="AD401" s="186">
        <f t="shared" si="921"/>
        <v>0</v>
      </c>
      <c r="AE401" s="186">
        <f t="shared" si="921"/>
        <v>0</v>
      </c>
      <c r="AF401" s="186">
        <f t="shared" si="921"/>
        <v>0</v>
      </c>
      <c r="AG401" s="186">
        <f t="shared" si="921"/>
        <v>0</v>
      </c>
      <c r="AH401" s="186">
        <f t="shared" si="921"/>
        <v>0</v>
      </c>
      <c r="AI401" s="186">
        <f t="shared" si="921"/>
        <v>0</v>
      </c>
      <c r="AJ401" s="186">
        <f t="shared" si="921"/>
        <v>0</v>
      </c>
      <c r="AK401" s="186">
        <f t="shared" si="921"/>
        <v>0</v>
      </c>
      <c r="AL401" s="186">
        <f t="shared" si="921"/>
        <v>0</v>
      </c>
      <c r="AM401" s="186">
        <f t="shared" si="921"/>
        <v>0</v>
      </c>
      <c r="AN401" s="186">
        <f t="shared" si="921"/>
        <v>0</v>
      </c>
      <c r="AO401" s="186">
        <f t="shared" si="921"/>
        <v>0</v>
      </c>
      <c r="AP401" s="186">
        <f t="shared" si="921"/>
        <v>0</v>
      </c>
    </row>
    <row r="402" spans="1:42">
      <c r="A402" s="118">
        <f t="shared" si="920"/>
        <v>4</v>
      </c>
      <c r="B402" s="196">
        <f t="shared" si="917"/>
        <v>117794.89374005256</v>
      </c>
      <c r="C402" s="225">
        <f t="shared" ref="C402:AP402" si="922">LOOKUP(C390,$B$331:$AP$331,$B$332:$AP$332)*$B716</f>
        <v>0</v>
      </c>
      <c r="D402" s="186">
        <f t="shared" si="922"/>
        <v>0</v>
      </c>
      <c r="E402" s="186">
        <f t="shared" si="922"/>
        <v>0</v>
      </c>
      <c r="F402" s="186">
        <f t="shared" si="922"/>
        <v>0</v>
      </c>
      <c r="G402" s="186">
        <f t="shared" si="922"/>
        <v>0</v>
      </c>
      <c r="H402" s="186">
        <f t="shared" si="922"/>
        <v>0</v>
      </c>
      <c r="I402" s="186">
        <f t="shared" si="922"/>
        <v>0</v>
      </c>
      <c r="J402" s="186">
        <f t="shared" si="922"/>
        <v>0</v>
      </c>
      <c r="K402" s="186">
        <f t="shared" si="922"/>
        <v>0</v>
      </c>
      <c r="L402" s="186">
        <f t="shared" si="922"/>
        <v>0</v>
      </c>
      <c r="M402" s="186">
        <f t="shared" si="922"/>
        <v>0</v>
      </c>
      <c r="N402" s="186">
        <f t="shared" si="922"/>
        <v>23558.978748010515</v>
      </c>
      <c r="O402" s="186">
        <f t="shared" si="922"/>
        <v>37694.365996816821</v>
      </c>
      <c r="P402" s="186">
        <f t="shared" si="922"/>
        <v>22616.619598090092</v>
      </c>
      <c r="Q402" s="186">
        <f t="shared" si="922"/>
        <v>13569.971758854055</v>
      </c>
      <c r="R402" s="186">
        <f t="shared" si="922"/>
        <v>13569.971758854055</v>
      </c>
      <c r="S402" s="186">
        <f t="shared" si="922"/>
        <v>6784.9858794270276</v>
      </c>
      <c r="T402" s="186">
        <f t="shared" si="922"/>
        <v>0</v>
      </c>
      <c r="U402" s="186">
        <f t="shared" si="922"/>
        <v>0</v>
      </c>
      <c r="V402" s="186">
        <f t="shared" si="922"/>
        <v>0</v>
      </c>
      <c r="W402" s="186">
        <f t="shared" si="922"/>
        <v>0</v>
      </c>
      <c r="X402" s="186">
        <f t="shared" si="922"/>
        <v>0</v>
      </c>
      <c r="Y402" s="186">
        <f t="shared" si="922"/>
        <v>0</v>
      </c>
      <c r="Z402" s="186">
        <f t="shared" si="922"/>
        <v>0</v>
      </c>
      <c r="AA402" s="186">
        <f t="shared" si="922"/>
        <v>0</v>
      </c>
      <c r="AB402" s="186">
        <f t="shared" si="922"/>
        <v>0</v>
      </c>
      <c r="AC402" s="186">
        <f t="shared" si="922"/>
        <v>0</v>
      </c>
      <c r="AD402" s="186">
        <f t="shared" si="922"/>
        <v>0</v>
      </c>
      <c r="AE402" s="186">
        <f t="shared" si="922"/>
        <v>0</v>
      </c>
      <c r="AF402" s="186">
        <f t="shared" si="922"/>
        <v>0</v>
      </c>
      <c r="AG402" s="186">
        <f t="shared" si="922"/>
        <v>0</v>
      </c>
      <c r="AH402" s="186">
        <f t="shared" si="922"/>
        <v>0</v>
      </c>
      <c r="AI402" s="186">
        <f t="shared" si="922"/>
        <v>0</v>
      </c>
      <c r="AJ402" s="186">
        <f t="shared" si="922"/>
        <v>0</v>
      </c>
      <c r="AK402" s="186">
        <f t="shared" si="922"/>
        <v>0</v>
      </c>
      <c r="AL402" s="186">
        <f t="shared" si="922"/>
        <v>0</v>
      </c>
      <c r="AM402" s="186">
        <f t="shared" si="922"/>
        <v>0</v>
      </c>
      <c r="AN402" s="186">
        <f t="shared" si="922"/>
        <v>0</v>
      </c>
      <c r="AO402" s="186">
        <f t="shared" si="922"/>
        <v>0</v>
      </c>
      <c r="AP402" s="186">
        <f t="shared" si="922"/>
        <v>0</v>
      </c>
    </row>
    <row r="403" spans="1:42">
      <c r="A403" s="118">
        <f t="shared" si="920"/>
        <v>5</v>
      </c>
      <c r="B403" s="196">
        <f t="shared" si="917"/>
        <v>123175.57306939577</v>
      </c>
      <c r="C403" s="225">
        <f t="shared" ref="C403:AP403" si="923">LOOKUP(C391,$B$331:$AP$331,$B$332:$AP$332)*$B717</f>
        <v>0</v>
      </c>
      <c r="D403" s="186">
        <f t="shared" si="923"/>
        <v>0</v>
      </c>
      <c r="E403" s="186">
        <f t="shared" si="923"/>
        <v>0</v>
      </c>
      <c r="F403" s="186">
        <f t="shared" si="923"/>
        <v>0</v>
      </c>
      <c r="G403" s="186">
        <f t="shared" si="923"/>
        <v>0</v>
      </c>
      <c r="H403" s="186">
        <f t="shared" si="923"/>
        <v>0</v>
      </c>
      <c r="I403" s="186">
        <f t="shared" si="923"/>
        <v>0</v>
      </c>
      <c r="J403" s="186">
        <f t="shared" si="923"/>
        <v>0</v>
      </c>
      <c r="K403" s="186">
        <f t="shared" si="923"/>
        <v>0</v>
      </c>
      <c r="L403" s="186">
        <f t="shared" si="923"/>
        <v>0</v>
      </c>
      <c r="M403" s="186">
        <f t="shared" si="923"/>
        <v>0</v>
      </c>
      <c r="N403" s="186">
        <f t="shared" si="923"/>
        <v>0</v>
      </c>
      <c r="O403" s="186">
        <f t="shared" si="923"/>
        <v>0</v>
      </c>
      <c r="P403" s="186">
        <f t="shared" si="923"/>
        <v>0</v>
      </c>
      <c r="Q403" s="186">
        <f t="shared" si="923"/>
        <v>24635.114613879156</v>
      </c>
      <c r="R403" s="186">
        <f t="shared" si="923"/>
        <v>39416.183382206647</v>
      </c>
      <c r="S403" s="186">
        <f t="shared" si="923"/>
        <v>23649.710029323989</v>
      </c>
      <c r="T403" s="186">
        <f t="shared" si="923"/>
        <v>14189.826017594392</v>
      </c>
      <c r="U403" s="186">
        <f t="shared" si="923"/>
        <v>14189.826017594392</v>
      </c>
      <c r="V403" s="186">
        <f t="shared" si="923"/>
        <v>7094.9130087971962</v>
      </c>
      <c r="W403" s="186">
        <f t="shared" si="923"/>
        <v>0</v>
      </c>
      <c r="X403" s="186">
        <f t="shared" si="923"/>
        <v>0</v>
      </c>
      <c r="Y403" s="186">
        <f t="shared" si="923"/>
        <v>0</v>
      </c>
      <c r="Z403" s="186">
        <f t="shared" si="923"/>
        <v>0</v>
      </c>
      <c r="AA403" s="186">
        <f t="shared" si="923"/>
        <v>0</v>
      </c>
      <c r="AB403" s="186">
        <f t="shared" si="923"/>
        <v>0</v>
      </c>
      <c r="AC403" s="186">
        <f t="shared" si="923"/>
        <v>0</v>
      </c>
      <c r="AD403" s="186">
        <f t="shared" si="923"/>
        <v>0</v>
      </c>
      <c r="AE403" s="186">
        <f t="shared" si="923"/>
        <v>0</v>
      </c>
      <c r="AF403" s="186">
        <f t="shared" si="923"/>
        <v>0</v>
      </c>
      <c r="AG403" s="186">
        <f t="shared" si="923"/>
        <v>0</v>
      </c>
      <c r="AH403" s="186">
        <f t="shared" si="923"/>
        <v>0</v>
      </c>
      <c r="AI403" s="186">
        <f t="shared" si="923"/>
        <v>0</v>
      </c>
      <c r="AJ403" s="186">
        <f t="shared" si="923"/>
        <v>0</v>
      </c>
      <c r="AK403" s="186">
        <f t="shared" si="923"/>
        <v>0</v>
      </c>
      <c r="AL403" s="186">
        <f t="shared" si="923"/>
        <v>0</v>
      </c>
      <c r="AM403" s="186">
        <f t="shared" si="923"/>
        <v>0</v>
      </c>
      <c r="AN403" s="186">
        <f t="shared" si="923"/>
        <v>0</v>
      </c>
      <c r="AO403" s="186">
        <f t="shared" si="923"/>
        <v>0</v>
      </c>
      <c r="AP403" s="186">
        <f t="shared" si="923"/>
        <v>0</v>
      </c>
    </row>
    <row r="404" spans="1:42">
      <c r="A404" s="118">
        <f t="shared" si="920"/>
        <v>6</v>
      </c>
      <c r="B404" s="196">
        <f t="shared" si="917"/>
        <v>128802.03308689946</v>
      </c>
      <c r="C404" s="225">
        <f t="shared" ref="C404:AP404" si="924">LOOKUP(C392,$B$331:$AP$331,$B$332:$AP$332)*$B718</f>
        <v>0</v>
      </c>
      <c r="D404" s="186">
        <f t="shared" si="924"/>
        <v>0</v>
      </c>
      <c r="E404" s="186">
        <f t="shared" si="924"/>
        <v>0</v>
      </c>
      <c r="F404" s="186">
        <f t="shared" si="924"/>
        <v>0</v>
      </c>
      <c r="G404" s="186">
        <f t="shared" si="924"/>
        <v>0</v>
      </c>
      <c r="H404" s="186">
        <f t="shared" si="924"/>
        <v>0</v>
      </c>
      <c r="I404" s="186">
        <f t="shared" si="924"/>
        <v>0</v>
      </c>
      <c r="J404" s="186">
        <f t="shared" si="924"/>
        <v>0</v>
      </c>
      <c r="K404" s="186">
        <f t="shared" si="924"/>
        <v>0</v>
      </c>
      <c r="L404" s="186">
        <f t="shared" si="924"/>
        <v>0</v>
      </c>
      <c r="M404" s="186">
        <f t="shared" si="924"/>
        <v>0</v>
      </c>
      <c r="N404" s="186">
        <f t="shared" si="924"/>
        <v>0</v>
      </c>
      <c r="O404" s="186">
        <f t="shared" si="924"/>
        <v>0</v>
      </c>
      <c r="P404" s="186">
        <f t="shared" si="924"/>
        <v>0</v>
      </c>
      <c r="Q404" s="186">
        <f t="shared" si="924"/>
        <v>0</v>
      </c>
      <c r="R404" s="186">
        <f t="shared" si="924"/>
        <v>0</v>
      </c>
      <c r="S404" s="186">
        <f t="shared" si="924"/>
        <v>0</v>
      </c>
      <c r="T404" s="186">
        <f t="shared" si="924"/>
        <v>25760.406617379896</v>
      </c>
      <c r="U404" s="186">
        <f t="shared" si="924"/>
        <v>41216.650587807831</v>
      </c>
      <c r="V404" s="186">
        <f t="shared" si="924"/>
        <v>24729.990352684701</v>
      </c>
      <c r="W404" s="186">
        <f t="shared" si="924"/>
        <v>14837.99421161082</v>
      </c>
      <c r="X404" s="186">
        <f t="shared" si="924"/>
        <v>14837.99421161082</v>
      </c>
      <c r="Y404" s="186">
        <f t="shared" si="924"/>
        <v>7418.9971058054098</v>
      </c>
      <c r="Z404" s="186">
        <f t="shared" si="924"/>
        <v>0</v>
      </c>
      <c r="AA404" s="186">
        <f t="shared" si="924"/>
        <v>0</v>
      </c>
      <c r="AB404" s="186">
        <f t="shared" si="924"/>
        <v>0</v>
      </c>
      <c r="AC404" s="186">
        <f t="shared" si="924"/>
        <v>0</v>
      </c>
      <c r="AD404" s="186">
        <f t="shared" si="924"/>
        <v>0</v>
      </c>
      <c r="AE404" s="186">
        <f t="shared" si="924"/>
        <v>0</v>
      </c>
      <c r="AF404" s="186">
        <f t="shared" si="924"/>
        <v>0</v>
      </c>
      <c r="AG404" s="186">
        <f t="shared" si="924"/>
        <v>0</v>
      </c>
      <c r="AH404" s="186">
        <f t="shared" si="924"/>
        <v>0</v>
      </c>
      <c r="AI404" s="186">
        <f t="shared" si="924"/>
        <v>0</v>
      </c>
      <c r="AJ404" s="186">
        <f t="shared" si="924"/>
        <v>0</v>
      </c>
      <c r="AK404" s="186">
        <f t="shared" si="924"/>
        <v>0</v>
      </c>
      <c r="AL404" s="186">
        <f t="shared" si="924"/>
        <v>0</v>
      </c>
      <c r="AM404" s="186">
        <f t="shared" si="924"/>
        <v>0</v>
      </c>
      <c r="AN404" s="186">
        <f t="shared" si="924"/>
        <v>0</v>
      </c>
      <c r="AO404" s="186">
        <f t="shared" si="924"/>
        <v>0</v>
      </c>
      <c r="AP404" s="186">
        <f t="shared" si="924"/>
        <v>0</v>
      </c>
    </row>
    <row r="405" spans="1:42">
      <c r="A405" s="118">
        <f t="shared" si="920"/>
        <v>7</v>
      </c>
      <c r="B405" s="196">
        <f t="shared" si="917"/>
        <v>134685.50065500522</v>
      </c>
      <c r="C405" s="225">
        <f t="shared" ref="C405:AP405" si="925">LOOKUP(C393,$B$331:$AP$331,$B$332:$AP$332)*$B719</f>
        <v>0</v>
      </c>
      <c r="D405" s="186">
        <f t="shared" si="925"/>
        <v>0</v>
      </c>
      <c r="E405" s="186">
        <f t="shared" si="925"/>
        <v>0</v>
      </c>
      <c r="F405" s="186">
        <f t="shared" si="925"/>
        <v>0</v>
      </c>
      <c r="G405" s="186">
        <f t="shared" si="925"/>
        <v>0</v>
      </c>
      <c r="H405" s="186">
        <f t="shared" si="925"/>
        <v>0</v>
      </c>
      <c r="I405" s="186">
        <f t="shared" si="925"/>
        <v>0</v>
      </c>
      <c r="J405" s="186">
        <f t="shared" si="925"/>
        <v>0</v>
      </c>
      <c r="K405" s="186">
        <f t="shared" si="925"/>
        <v>0</v>
      </c>
      <c r="L405" s="186">
        <f t="shared" si="925"/>
        <v>0</v>
      </c>
      <c r="M405" s="186">
        <f t="shared" si="925"/>
        <v>0</v>
      </c>
      <c r="N405" s="186">
        <f t="shared" si="925"/>
        <v>0</v>
      </c>
      <c r="O405" s="186">
        <f t="shared" si="925"/>
        <v>0</v>
      </c>
      <c r="P405" s="186">
        <f t="shared" si="925"/>
        <v>0</v>
      </c>
      <c r="Q405" s="186">
        <f t="shared" si="925"/>
        <v>0</v>
      </c>
      <c r="R405" s="186">
        <f t="shared" si="925"/>
        <v>0</v>
      </c>
      <c r="S405" s="186">
        <f t="shared" si="925"/>
        <v>0</v>
      </c>
      <c r="T405" s="186">
        <f t="shared" si="925"/>
        <v>0</v>
      </c>
      <c r="U405" s="186">
        <f t="shared" si="925"/>
        <v>0</v>
      </c>
      <c r="V405" s="186">
        <f t="shared" si="925"/>
        <v>0</v>
      </c>
      <c r="W405" s="186">
        <f t="shared" si="925"/>
        <v>26937.100131001047</v>
      </c>
      <c r="X405" s="186">
        <f t="shared" si="925"/>
        <v>43099.360209601669</v>
      </c>
      <c r="Y405" s="186">
        <f t="shared" si="925"/>
        <v>25859.616125761004</v>
      </c>
      <c r="Z405" s="186">
        <f t="shared" si="925"/>
        <v>15515.7696754566</v>
      </c>
      <c r="AA405" s="186">
        <f t="shared" si="925"/>
        <v>15515.7696754566</v>
      </c>
      <c r="AB405" s="186">
        <f t="shared" si="925"/>
        <v>7757.8848377283002</v>
      </c>
      <c r="AC405" s="186">
        <f t="shared" si="925"/>
        <v>0</v>
      </c>
      <c r="AD405" s="186">
        <f t="shared" si="925"/>
        <v>0</v>
      </c>
      <c r="AE405" s="186">
        <f t="shared" si="925"/>
        <v>0</v>
      </c>
      <c r="AF405" s="186">
        <f t="shared" si="925"/>
        <v>0</v>
      </c>
      <c r="AG405" s="186">
        <f t="shared" si="925"/>
        <v>0</v>
      </c>
      <c r="AH405" s="186">
        <f t="shared" si="925"/>
        <v>0</v>
      </c>
      <c r="AI405" s="186">
        <f t="shared" si="925"/>
        <v>0</v>
      </c>
      <c r="AJ405" s="186">
        <f t="shared" si="925"/>
        <v>0</v>
      </c>
      <c r="AK405" s="186">
        <f t="shared" si="925"/>
        <v>0</v>
      </c>
      <c r="AL405" s="186">
        <f t="shared" si="925"/>
        <v>0</v>
      </c>
      <c r="AM405" s="186">
        <f t="shared" si="925"/>
        <v>0</v>
      </c>
      <c r="AN405" s="186">
        <f t="shared" si="925"/>
        <v>0</v>
      </c>
      <c r="AO405" s="186">
        <f t="shared" si="925"/>
        <v>0</v>
      </c>
      <c r="AP405" s="186">
        <f t="shared" si="925"/>
        <v>0</v>
      </c>
    </row>
    <row r="406" spans="1:42">
      <c r="A406" s="118">
        <f t="shared" si="920"/>
        <v>8</v>
      </c>
      <c r="B406" s="196">
        <f t="shared" si="917"/>
        <v>140837.71546098724</v>
      </c>
      <c r="C406" s="225">
        <f t="shared" ref="C406:AP406" si="926">LOOKUP(C394,$B$331:$AP$331,$B$332:$AP$332)*$B720</f>
        <v>0</v>
      </c>
      <c r="D406" s="186">
        <f t="shared" si="926"/>
        <v>0</v>
      </c>
      <c r="E406" s="186">
        <f t="shared" si="926"/>
        <v>0</v>
      </c>
      <c r="F406" s="186">
        <f t="shared" si="926"/>
        <v>0</v>
      </c>
      <c r="G406" s="186">
        <f t="shared" si="926"/>
        <v>0</v>
      </c>
      <c r="H406" s="186">
        <f t="shared" si="926"/>
        <v>0</v>
      </c>
      <c r="I406" s="186">
        <f t="shared" si="926"/>
        <v>0</v>
      </c>
      <c r="J406" s="186">
        <f t="shared" si="926"/>
        <v>0</v>
      </c>
      <c r="K406" s="186">
        <f t="shared" si="926"/>
        <v>0</v>
      </c>
      <c r="L406" s="186">
        <f t="shared" si="926"/>
        <v>0</v>
      </c>
      <c r="M406" s="186">
        <f t="shared" si="926"/>
        <v>0</v>
      </c>
      <c r="N406" s="186">
        <f t="shared" si="926"/>
        <v>0</v>
      </c>
      <c r="O406" s="186">
        <f t="shared" si="926"/>
        <v>0</v>
      </c>
      <c r="P406" s="186">
        <f t="shared" si="926"/>
        <v>0</v>
      </c>
      <c r="Q406" s="186">
        <f t="shared" si="926"/>
        <v>0</v>
      </c>
      <c r="R406" s="186">
        <f t="shared" si="926"/>
        <v>0</v>
      </c>
      <c r="S406" s="186">
        <f t="shared" si="926"/>
        <v>0</v>
      </c>
      <c r="T406" s="186">
        <f t="shared" si="926"/>
        <v>0</v>
      </c>
      <c r="U406" s="186">
        <f t="shared" si="926"/>
        <v>0</v>
      </c>
      <c r="V406" s="186">
        <f t="shared" si="926"/>
        <v>0</v>
      </c>
      <c r="W406" s="186">
        <f t="shared" si="926"/>
        <v>0</v>
      </c>
      <c r="X406" s="186">
        <f t="shared" si="926"/>
        <v>0</v>
      </c>
      <c r="Y406" s="186">
        <f t="shared" si="926"/>
        <v>0</v>
      </c>
      <c r="Z406" s="186">
        <f t="shared" si="926"/>
        <v>28167.543092197448</v>
      </c>
      <c r="AA406" s="186">
        <f t="shared" si="926"/>
        <v>45068.068947515916</v>
      </c>
      <c r="AB406" s="186">
        <f t="shared" si="926"/>
        <v>27040.841368509551</v>
      </c>
      <c r="AC406" s="186">
        <f t="shared" si="926"/>
        <v>16224.504821105729</v>
      </c>
      <c r="AD406" s="186">
        <f t="shared" si="926"/>
        <v>16224.504821105729</v>
      </c>
      <c r="AE406" s="186">
        <f t="shared" si="926"/>
        <v>8112.2524105528646</v>
      </c>
      <c r="AF406" s="186">
        <f t="shared" si="926"/>
        <v>0</v>
      </c>
      <c r="AG406" s="186">
        <f t="shared" si="926"/>
        <v>0</v>
      </c>
      <c r="AH406" s="186">
        <f t="shared" si="926"/>
        <v>0</v>
      </c>
      <c r="AI406" s="186">
        <f t="shared" si="926"/>
        <v>0</v>
      </c>
      <c r="AJ406" s="186">
        <f t="shared" si="926"/>
        <v>0</v>
      </c>
      <c r="AK406" s="186">
        <f t="shared" si="926"/>
        <v>0</v>
      </c>
      <c r="AL406" s="186">
        <f t="shared" si="926"/>
        <v>0</v>
      </c>
      <c r="AM406" s="186">
        <f t="shared" si="926"/>
        <v>0</v>
      </c>
      <c r="AN406" s="186">
        <f t="shared" si="926"/>
        <v>0</v>
      </c>
      <c r="AO406" s="186">
        <f t="shared" si="926"/>
        <v>0</v>
      </c>
      <c r="AP406" s="186">
        <f t="shared" si="926"/>
        <v>0</v>
      </c>
    </row>
    <row r="407" spans="1:42">
      <c r="A407" s="118">
        <f>A406+1</f>
        <v>9</v>
      </c>
      <c r="B407" s="196">
        <f t="shared" si="917"/>
        <v>121822.53268718722</v>
      </c>
      <c r="C407" s="225">
        <f t="shared" ref="C407:AP407" si="927">LOOKUP(C395,$B$331:$AP$331,$B$332:$AP$332)*$B721</f>
        <v>0</v>
      </c>
      <c r="D407" s="186">
        <f t="shared" si="927"/>
        <v>0</v>
      </c>
      <c r="E407" s="186">
        <f t="shared" si="927"/>
        <v>0</v>
      </c>
      <c r="F407" s="186">
        <f t="shared" si="927"/>
        <v>0</v>
      </c>
      <c r="G407" s="186">
        <f t="shared" si="927"/>
        <v>0</v>
      </c>
      <c r="H407" s="186">
        <f t="shared" si="927"/>
        <v>0</v>
      </c>
      <c r="I407" s="186">
        <f t="shared" si="927"/>
        <v>0</v>
      </c>
      <c r="J407" s="186">
        <f t="shared" si="927"/>
        <v>0</v>
      </c>
      <c r="K407" s="186">
        <f t="shared" si="927"/>
        <v>0</v>
      </c>
      <c r="L407" s="186">
        <f t="shared" si="927"/>
        <v>0</v>
      </c>
      <c r="M407" s="186">
        <f t="shared" si="927"/>
        <v>0</v>
      </c>
      <c r="N407" s="186">
        <f t="shared" si="927"/>
        <v>0</v>
      </c>
      <c r="O407" s="186">
        <f t="shared" si="927"/>
        <v>0</v>
      </c>
      <c r="P407" s="186">
        <f t="shared" si="927"/>
        <v>0</v>
      </c>
      <c r="Q407" s="186">
        <f t="shared" si="927"/>
        <v>0</v>
      </c>
      <c r="R407" s="186">
        <f t="shared" si="927"/>
        <v>0</v>
      </c>
      <c r="S407" s="186">
        <f t="shared" si="927"/>
        <v>0</v>
      </c>
      <c r="T407" s="186">
        <f t="shared" si="927"/>
        <v>0</v>
      </c>
      <c r="U407" s="186">
        <f t="shared" si="927"/>
        <v>0</v>
      </c>
      <c r="V407" s="186">
        <f t="shared" si="927"/>
        <v>0</v>
      </c>
      <c r="W407" s="186">
        <f t="shared" si="927"/>
        <v>0</v>
      </c>
      <c r="X407" s="186">
        <f t="shared" si="927"/>
        <v>0</v>
      </c>
      <c r="Y407" s="186">
        <f t="shared" si="927"/>
        <v>0</v>
      </c>
      <c r="Z407" s="186">
        <f t="shared" si="927"/>
        <v>0</v>
      </c>
      <c r="AA407" s="186">
        <f t="shared" si="927"/>
        <v>0</v>
      </c>
      <c r="AB407" s="186">
        <f t="shared" si="927"/>
        <v>0</v>
      </c>
      <c r="AC407" s="186">
        <f t="shared" si="927"/>
        <v>29454.190688391496</v>
      </c>
      <c r="AD407" s="186">
        <f t="shared" si="927"/>
        <v>47126.705101426393</v>
      </c>
      <c r="AE407" s="186">
        <f t="shared" si="927"/>
        <v>28276.023060855838</v>
      </c>
      <c r="AF407" s="186">
        <f t="shared" si="927"/>
        <v>16965.613836513501</v>
      </c>
      <c r="AG407" s="186">
        <f t="shared" si="927"/>
        <v>0</v>
      </c>
      <c r="AH407" s="186">
        <f t="shared" si="927"/>
        <v>0</v>
      </c>
      <c r="AI407" s="186">
        <f t="shared" si="927"/>
        <v>0</v>
      </c>
      <c r="AJ407" s="186">
        <f t="shared" si="927"/>
        <v>0</v>
      </c>
      <c r="AK407" s="186">
        <f t="shared" si="927"/>
        <v>0</v>
      </c>
      <c r="AL407" s="186">
        <f t="shared" si="927"/>
        <v>0</v>
      </c>
      <c r="AM407" s="186">
        <f t="shared" si="927"/>
        <v>0</v>
      </c>
      <c r="AN407" s="186">
        <f t="shared" si="927"/>
        <v>0</v>
      </c>
      <c r="AO407" s="186">
        <f t="shared" si="927"/>
        <v>0</v>
      </c>
      <c r="AP407" s="186">
        <f t="shared" si="927"/>
        <v>0</v>
      </c>
    </row>
    <row r="408" spans="1:42">
      <c r="A408" s="118">
        <f t="shared" si="920"/>
        <v>10</v>
      </c>
      <c r="B408" s="196">
        <f t="shared" si="917"/>
        <v>30799.610255977339</v>
      </c>
      <c r="C408" s="221">
        <f t="shared" ref="C408:AP408" si="928">LOOKUP(C396,$B$331:$AP$331,$B$332:$AP$332)*$B722</f>
        <v>0</v>
      </c>
      <c r="D408" s="187">
        <f t="shared" si="928"/>
        <v>0</v>
      </c>
      <c r="E408" s="187">
        <f t="shared" si="928"/>
        <v>0</v>
      </c>
      <c r="F408" s="187">
        <f t="shared" si="928"/>
        <v>0</v>
      </c>
      <c r="G408" s="187">
        <f t="shared" si="928"/>
        <v>0</v>
      </c>
      <c r="H408" s="187">
        <f t="shared" si="928"/>
        <v>0</v>
      </c>
      <c r="I408" s="187">
        <f t="shared" si="928"/>
        <v>0</v>
      </c>
      <c r="J408" s="187">
        <f t="shared" si="928"/>
        <v>0</v>
      </c>
      <c r="K408" s="187">
        <f t="shared" si="928"/>
        <v>0</v>
      </c>
      <c r="L408" s="187">
        <f t="shared" si="928"/>
        <v>0</v>
      </c>
      <c r="M408" s="187">
        <f t="shared" si="928"/>
        <v>0</v>
      </c>
      <c r="N408" s="187">
        <f t="shared" si="928"/>
        <v>0</v>
      </c>
      <c r="O408" s="187">
        <f t="shared" si="928"/>
        <v>0</v>
      </c>
      <c r="P408" s="187">
        <f t="shared" si="928"/>
        <v>0</v>
      </c>
      <c r="Q408" s="187">
        <f t="shared" si="928"/>
        <v>0</v>
      </c>
      <c r="R408" s="187">
        <f t="shared" si="928"/>
        <v>0</v>
      </c>
      <c r="S408" s="187">
        <f t="shared" si="928"/>
        <v>0</v>
      </c>
      <c r="T408" s="187">
        <f t="shared" si="928"/>
        <v>0</v>
      </c>
      <c r="U408" s="187">
        <f t="shared" si="928"/>
        <v>0</v>
      </c>
      <c r="V408" s="187">
        <f t="shared" si="928"/>
        <v>0</v>
      </c>
      <c r="W408" s="187">
        <f t="shared" si="928"/>
        <v>0</v>
      </c>
      <c r="X408" s="187">
        <f t="shared" si="928"/>
        <v>0</v>
      </c>
      <c r="Y408" s="187">
        <f t="shared" si="928"/>
        <v>0</v>
      </c>
      <c r="Z408" s="187">
        <f t="shared" si="928"/>
        <v>0</v>
      </c>
      <c r="AA408" s="187">
        <f t="shared" si="928"/>
        <v>0</v>
      </c>
      <c r="AB408" s="187">
        <f t="shared" si="928"/>
        <v>0</v>
      </c>
      <c r="AC408" s="187">
        <f t="shared" si="928"/>
        <v>0</v>
      </c>
      <c r="AD408" s="187">
        <f t="shared" si="928"/>
        <v>0</v>
      </c>
      <c r="AE408" s="187">
        <f t="shared" si="928"/>
        <v>0</v>
      </c>
      <c r="AF408" s="187">
        <f t="shared" si="928"/>
        <v>30799.610255977339</v>
      </c>
      <c r="AG408" s="187">
        <f t="shared" si="928"/>
        <v>0</v>
      </c>
      <c r="AH408" s="187">
        <f t="shared" si="928"/>
        <v>0</v>
      </c>
      <c r="AI408" s="187">
        <f t="shared" si="928"/>
        <v>0</v>
      </c>
      <c r="AJ408" s="187">
        <f t="shared" si="928"/>
        <v>0</v>
      </c>
      <c r="AK408" s="187">
        <f t="shared" si="928"/>
        <v>0</v>
      </c>
      <c r="AL408" s="187">
        <f t="shared" si="928"/>
        <v>0</v>
      </c>
      <c r="AM408" s="187">
        <f t="shared" si="928"/>
        <v>0</v>
      </c>
      <c r="AN408" s="187">
        <f t="shared" si="928"/>
        <v>0</v>
      </c>
      <c r="AO408" s="187">
        <f t="shared" si="928"/>
        <v>0</v>
      </c>
      <c r="AP408" s="187">
        <f t="shared" si="928"/>
        <v>0</v>
      </c>
    </row>
    <row r="409" spans="1:42" s="118" customFormat="1" ht="12" customHeight="1">
      <c r="A409" s="222" t="s">
        <v>53</v>
      </c>
      <c r="B409" s="141"/>
      <c r="C409" s="141">
        <f>SUM(C399:C408)</f>
        <v>0</v>
      </c>
      <c r="D409" s="141">
        <f t="shared" ref="D409:AP409" si="929">SUM(D399:D408)</f>
        <v>0</v>
      </c>
      <c r="E409" s="141">
        <f t="shared" si="929"/>
        <v>20604.499999999996</v>
      </c>
      <c r="F409" s="141">
        <f t="shared" si="929"/>
        <v>32967.19999999999</v>
      </c>
      <c r="G409" s="141">
        <f t="shared" si="929"/>
        <v>19780.319999999996</v>
      </c>
      <c r="H409" s="141">
        <f t="shared" si="929"/>
        <v>33413.872077687483</v>
      </c>
      <c r="I409" s="141">
        <f t="shared" si="929"/>
        <v>46341.28012429997</v>
      </c>
      <c r="J409" s="141">
        <f t="shared" si="929"/>
        <v>26617.948874579983</v>
      </c>
      <c r="K409" s="141">
        <f t="shared" si="929"/>
        <v>34940.163456654111</v>
      </c>
      <c r="L409" s="141">
        <f t="shared" si="929"/>
        <v>48458.074495797773</v>
      </c>
      <c r="M409" s="141">
        <f t="shared" si="929"/>
        <v>27833.813525003865</v>
      </c>
      <c r="N409" s="141">
        <f t="shared" si="929"/>
        <v>36536.173345588439</v>
      </c>
      <c r="O409" s="141">
        <f t="shared" si="929"/>
        <v>50671.560594394745</v>
      </c>
      <c r="P409" s="141">
        <f t="shared" si="929"/>
        <v>29105.216896879054</v>
      </c>
      <c r="Q409" s="141">
        <f t="shared" si="929"/>
        <v>38205.086372733211</v>
      </c>
      <c r="R409" s="141">
        <f t="shared" si="929"/>
        <v>52986.155141060706</v>
      </c>
      <c r="S409" s="141">
        <f t="shared" si="929"/>
        <v>30434.695908751019</v>
      </c>
      <c r="T409" s="141">
        <f t="shared" si="929"/>
        <v>39950.232634974287</v>
      </c>
      <c r="U409" s="141">
        <f t="shared" si="929"/>
        <v>55406.476605402226</v>
      </c>
      <c r="V409" s="141">
        <f t="shared" si="929"/>
        <v>31824.903361481898</v>
      </c>
      <c r="W409" s="141">
        <f t="shared" si="929"/>
        <v>41775.094342611868</v>
      </c>
      <c r="X409" s="141">
        <f t="shared" si="929"/>
        <v>57937.354421212491</v>
      </c>
      <c r="Y409" s="141">
        <f t="shared" si="929"/>
        <v>33278.613231566414</v>
      </c>
      <c r="Z409" s="141">
        <f t="shared" si="929"/>
        <v>43683.312767654046</v>
      </c>
      <c r="AA409" s="141">
        <f t="shared" si="929"/>
        <v>60583.838622972515</v>
      </c>
      <c r="AB409" s="141">
        <f t="shared" si="929"/>
        <v>34798.72620623785</v>
      </c>
      <c r="AC409" s="141">
        <f t="shared" si="929"/>
        <v>45678.695509497222</v>
      </c>
      <c r="AD409" s="141">
        <f t="shared" si="929"/>
        <v>63351.209922532122</v>
      </c>
      <c r="AE409" s="141">
        <f t="shared" si="929"/>
        <v>36388.275471408706</v>
      </c>
      <c r="AF409" s="141">
        <f t="shared" si="929"/>
        <v>47765.22409249084</v>
      </c>
      <c r="AG409" s="141">
        <f t="shared" si="929"/>
        <v>0</v>
      </c>
      <c r="AH409" s="141">
        <f t="shared" si="929"/>
        <v>0</v>
      </c>
      <c r="AI409" s="141">
        <f t="shared" si="929"/>
        <v>0</v>
      </c>
      <c r="AJ409" s="141">
        <f t="shared" si="929"/>
        <v>0</v>
      </c>
      <c r="AK409" s="141">
        <f t="shared" si="929"/>
        <v>0</v>
      </c>
      <c r="AL409" s="141">
        <f t="shared" si="929"/>
        <v>0</v>
      </c>
      <c r="AM409" s="141">
        <f t="shared" si="929"/>
        <v>0</v>
      </c>
      <c r="AN409" s="141">
        <f t="shared" si="929"/>
        <v>0</v>
      </c>
      <c r="AO409" s="141">
        <f t="shared" si="929"/>
        <v>0</v>
      </c>
      <c r="AP409" s="141">
        <f t="shared" si="929"/>
        <v>0</v>
      </c>
    </row>
    <row r="410" spans="1:42">
      <c r="A410" s="204"/>
      <c r="C410" s="186"/>
      <c r="D410" s="186"/>
      <c r="E410" s="186"/>
      <c r="F410" s="186"/>
      <c r="G410" s="186"/>
      <c r="H410" s="186"/>
      <c r="I410" s="186"/>
      <c r="J410" s="186"/>
      <c r="K410" s="186"/>
      <c r="L410" s="186"/>
      <c r="M410" s="186"/>
      <c r="N410" s="186"/>
      <c r="O410" s="186"/>
      <c r="P410" s="186"/>
      <c r="Q410" s="186"/>
      <c r="R410" s="186"/>
      <c r="S410" s="186"/>
      <c r="T410" s="186"/>
      <c r="U410" s="186"/>
      <c r="V410" s="186"/>
      <c r="W410" s="186"/>
      <c r="X410" s="186"/>
      <c r="Y410" s="186"/>
      <c r="Z410" s="186"/>
      <c r="AA410" s="186"/>
      <c r="AB410" s="186"/>
      <c r="AC410" s="186"/>
      <c r="AD410" s="186"/>
      <c r="AE410" s="186"/>
      <c r="AF410" s="186"/>
      <c r="AG410" s="186"/>
      <c r="AH410" s="186"/>
      <c r="AI410" s="186"/>
      <c r="AJ410" s="186"/>
      <c r="AK410" s="186"/>
      <c r="AL410" s="186"/>
      <c r="AM410" s="186"/>
      <c r="AN410" s="186"/>
      <c r="AO410" s="186"/>
      <c r="AP410" s="186"/>
    </row>
    <row r="411" spans="1:42">
      <c r="A411" s="195" t="s">
        <v>501</v>
      </c>
    </row>
    <row r="412" spans="1:42">
      <c r="A412" s="118" t="s">
        <v>82</v>
      </c>
      <c r="G412" s="293" t="s">
        <v>166</v>
      </c>
      <c r="H412" s="294"/>
      <c r="I412" s="294"/>
      <c r="J412" s="295"/>
      <c r="K412" s="226" t="s">
        <v>167</v>
      </c>
      <c r="L412" s="227"/>
    </row>
    <row r="413" spans="1:42" ht="51">
      <c r="A413" s="118"/>
      <c r="B413" s="129" t="s">
        <v>154</v>
      </c>
      <c r="C413" s="129" t="s">
        <v>150</v>
      </c>
      <c r="D413" s="129" t="s">
        <v>152</v>
      </c>
      <c r="E413" s="206" t="s">
        <v>153</v>
      </c>
      <c r="F413" s="129" t="s">
        <v>155</v>
      </c>
      <c r="G413" s="129" t="s">
        <v>160</v>
      </c>
      <c r="H413" s="129" t="s">
        <v>162</v>
      </c>
      <c r="I413" s="129" t="s">
        <v>161</v>
      </c>
      <c r="J413" s="129" t="s">
        <v>163</v>
      </c>
      <c r="K413" s="228" t="s">
        <v>34</v>
      </c>
      <c r="L413" s="129" t="s">
        <v>163</v>
      </c>
      <c r="M413" s="207" t="s">
        <v>168</v>
      </c>
      <c r="N413" s="207" t="s">
        <v>169</v>
      </c>
      <c r="O413" s="129" t="s">
        <v>156</v>
      </c>
      <c r="P413" s="208" t="s">
        <v>319</v>
      </c>
      <c r="Q413" s="129" t="s">
        <v>324</v>
      </c>
    </row>
    <row r="414" spans="1:42" s="118" customFormat="1">
      <c r="A414" s="257" t="str">
        <f>A280</f>
        <v>5-yr MACRS</v>
      </c>
      <c r="B414" s="351">
        <f>C414/$C$421</f>
        <v>0.91752577319587614</v>
      </c>
      <c r="C414" s="141">
        <f>'Inputs &amp; Results'!C226</f>
        <v>39593328.638062894</v>
      </c>
      <c r="D414" s="141">
        <f>IF(FedBasisReduction="5-Yr MACRS",D421,$B414*D$421)</f>
        <v>3000</v>
      </c>
      <c r="E414" s="141">
        <f>IF(FedBasisReduction="5-Yr MACRS",E421,$B414*E$421)</f>
        <v>0</v>
      </c>
      <c r="F414" s="223">
        <f>C414-D414-E414</f>
        <v>39590328.638062894</v>
      </c>
      <c r="G414" s="352">
        <f>IF('Inputs &amp; Results'!B264="Yes",F414,0)</f>
        <v>39590328.638062894</v>
      </c>
      <c r="H414" s="353">
        <f>IF($G$421=0,0,G414/$G$421)</f>
        <v>1</v>
      </c>
      <c r="I414" s="353">
        <f t="shared" ref="I414:I419" si="930">$I$421*H414</f>
        <v>0</v>
      </c>
      <c r="J414" s="354">
        <f>I414*0.5</f>
        <v>0</v>
      </c>
      <c r="K414" s="355">
        <f t="shared" ref="K414:K419" si="931">H414*$K$421</f>
        <v>10000</v>
      </c>
      <c r="L414" s="354">
        <f>K414*0.5</f>
        <v>5000</v>
      </c>
      <c r="M414" s="141">
        <f t="shared" ref="M414:M419" si="932">IF(ITCStateFixedFedDeprec="Yes",L280,0)+IF(ITCStatePercentFedDeprec="Yes",J280,0)</f>
        <v>0</v>
      </c>
      <c r="N414" s="141">
        <f t="shared" ref="N414:N419" si="933">IF(ITCFedFixedFedDeprec="Yes",L414,0)+IF(ITCFedPercentFedDeprec="Yes",J414,0)</f>
        <v>5000</v>
      </c>
      <c r="O414" s="356">
        <f t="shared" ref="O414:O419" si="934">F414-M414-N414</f>
        <v>39585328.638062894</v>
      </c>
      <c r="P414" s="141">
        <f>IF('Inputs &amp; Results'!B247="Yes",O414*FedBonusDeprec,0)</f>
        <v>3958532.8638062896</v>
      </c>
      <c r="Q414" s="223">
        <f>O414-P414</f>
        <v>35626795.774256602</v>
      </c>
    </row>
    <row r="415" spans="1:42" s="118" customFormat="1">
      <c r="A415" s="257" t="str">
        <f t="shared" ref="A415:A419" si="935">A281</f>
        <v>15-yr MACRS</v>
      </c>
      <c r="B415" s="351">
        <f t="shared" ref="B415:B419" si="936">C415/$C$421</f>
        <v>1.5463917525773191E-2</v>
      </c>
      <c r="C415" s="141">
        <f>'Inputs &amp; Results'!C227</f>
        <v>667303.29165274533</v>
      </c>
      <c r="D415" s="141">
        <f t="shared" ref="D415:E419" si="937">IF(FedBasisReduction="5-Yr MACRS",0,$B415*D$421)</f>
        <v>0</v>
      </c>
      <c r="E415" s="141">
        <f t="shared" si="937"/>
        <v>0</v>
      </c>
      <c r="F415" s="223">
        <f t="shared" ref="F415:F419" si="938">C415-D415-E415</f>
        <v>667303.29165274533</v>
      </c>
      <c r="G415" s="355">
        <f>IF('Inputs &amp; Results'!B265="Yes",F415,0)</f>
        <v>0</v>
      </c>
      <c r="H415" s="141">
        <f t="shared" ref="H415:H419" si="939">IF($G$421=0,0,G415/$G$421)</f>
        <v>0</v>
      </c>
      <c r="I415" s="141">
        <f t="shared" si="930"/>
        <v>0</v>
      </c>
      <c r="J415" s="326">
        <f t="shared" ref="J415:J419" si="940">I415*0.5</f>
        <v>0</v>
      </c>
      <c r="K415" s="355">
        <f t="shared" si="931"/>
        <v>0</v>
      </c>
      <c r="L415" s="326">
        <f t="shared" ref="L415:L419" si="941">K415*0.5</f>
        <v>0</v>
      </c>
      <c r="M415" s="141">
        <f t="shared" si="932"/>
        <v>0</v>
      </c>
      <c r="N415" s="141">
        <f t="shared" si="933"/>
        <v>0</v>
      </c>
      <c r="O415" s="223">
        <f t="shared" si="934"/>
        <v>667303.29165274533</v>
      </c>
      <c r="P415" s="141">
        <f>IF('Inputs &amp; Results'!B248="Yes",O415*FedBonusDeprec,0)</f>
        <v>0</v>
      </c>
      <c r="Q415" s="223">
        <f t="shared" ref="Q415:Q419" si="942">O415-P415</f>
        <v>667303.29165274533</v>
      </c>
    </row>
    <row r="416" spans="1:42" s="118" customFormat="1">
      <c r="A416" s="257" t="str">
        <f t="shared" si="935"/>
        <v>5-yr SL</v>
      </c>
      <c r="B416" s="351">
        <f t="shared" si="936"/>
        <v>0</v>
      </c>
      <c r="C416" s="141">
        <f>'Inputs &amp; Results'!C228</f>
        <v>0</v>
      </c>
      <c r="D416" s="141">
        <f t="shared" si="937"/>
        <v>0</v>
      </c>
      <c r="E416" s="141">
        <f t="shared" si="937"/>
        <v>0</v>
      </c>
      <c r="F416" s="223">
        <f t="shared" si="938"/>
        <v>0</v>
      </c>
      <c r="G416" s="355">
        <f>IF('Inputs &amp; Results'!B266="Yes",F416,0)</f>
        <v>0</v>
      </c>
      <c r="H416" s="141">
        <f t="shared" si="939"/>
        <v>0</v>
      </c>
      <c r="I416" s="141">
        <f t="shared" si="930"/>
        <v>0</v>
      </c>
      <c r="J416" s="326">
        <f t="shared" si="940"/>
        <v>0</v>
      </c>
      <c r="K416" s="355">
        <f t="shared" si="931"/>
        <v>0</v>
      </c>
      <c r="L416" s="326">
        <f t="shared" si="941"/>
        <v>0</v>
      </c>
      <c r="M416" s="141">
        <f t="shared" si="932"/>
        <v>0</v>
      </c>
      <c r="N416" s="141">
        <f t="shared" si="933"/>
        <v>0</v>
      </c>
      <c r="O416" s="223">
        <f t="shared" si="934"/>
        <v>0</v>
      </c>
      <c r="P416" s="141">
        <f>IF('Inputs &amp; Results'!B249="Yes",O416*FedBonusDeprec,0)</f>
        <v>0</v>
      </c>
      <c r="Q416" s="223">
        <f t="shared" si="942"/>
        <v>0</v>
      </c>
    </row>
    <row r="417" spans="1:17" s="118" customFormat="1">
      <c r="A417" s="257" t="str">
        <f t="shared" si="935"/>
        <v>15-yr SL</v>
      </c>
      <c r="B417" s="351">
        <f t="shared" si="936"/>
        <v>3.0927835051546382E-2</v>
      </c>
      <c r="C417" s="141">
        <f>'Inputs &amp; Results'!C229</f>
        <v>1334606.5833054907</v>
      </c>
      <c r="D417" s="141">
        <f t="shared" si="937"/>
        <v>0</v>
      </c>
      <c r="E417" s="141">
        <f t="shared" si="937"/>
        <v>0</v>
      </c>
      <c r="F417" s="223">
        <f t="shared" si="938"/>
        <v>1334606.5833054907</v>
      </c>
      <c r="G417" s="355">
        <f>IF('Inputs &amp; Results'!B267="Yes",F417,0)</f>
        <v>0</v>
      </c>
      <c r="H417" s="141">
        <f t="shared" si="939"/>
        <v>0</v>
      </c>
      <c r="I417" s="141">
        <f t="shared" si="930"/>
        <v>0</v>
      </c>
      <c r="J417" s="326">
        <f t="shared" si="940"/>
        <v>0</v>
      </c>
      <c r="K417" s="355">
        <f t="shared" si="931"/>
        <v>0</v>
      </c>
      <c r="L417" s="326">
        <f t="shared" si="941"/>
        <v>0</v>
      </c>
      <c r="M417" s="141">
        <f t="shared" si="932"/>
        <v>0</v>
      </c>
      <c r="N417" s="141">
        <f t="shared" si="933"/>
        <v>0</v>
      </c>
      <c r="O417" s="223">
        <f t="shared" si="934"/>
        <v>1334606.5833054907</v>
      </c>
      <c r="P417" s="141">
        <f>IF('Inputs &amp; Results'!B250="Yes",O417*FedBonusDeprec,0)</f>
        <v>0</v>
      </c>
      <c r="Q417" s="223">
        <f t="shared" si="942"/>
        <v>1334606.5833054907</v>
      </c>
    </row>
    <row r="418" spans="1:17" s="118" customFormat="1">
      <c r="A418" s="257" t="str">
        <f t="shared" si="935"/>
        <v>20-yr SL</v>
      </c>
      <c r="B418" s="351">
        <f t="shared" si="936"/>
        <v>3.0927835051546382E-2</v>
      </c>
      <c r="C418" s="141">
        <f>'Inputs &amp; Results'!C230</f>
        <v>1334606.5833054907</v>
      </c>
      <c r="D418" s="141">
        <f t="shared" si="937"/>
        <v>0</v>
      </c>
      <c r="E418" s="141">
        <f t="shared" si="937"/>
        <v>0</v>
      </c>
      <c r="F418" s="223">
        <f t="shared" si="938"/>
        <v>1334606.5833054907</v>
      </c>
      <c r="G418" s="355">
        <f>IF('Inputs &amp; Results'!B268="Yes",F418,0)</f>
        <v>0</v>
      </c>
      <c r="H418" s="141">
        <f t="shared" si="939"/>
        <v>0</v>
      </c>
      <c r="I418" s="141">
        <f t="shared" si="930"/>
        <v>0</v>
      </c>
      <c r="J418" s="326">
        <f t="shared" si="940"/>
        <v>0</v>
      </c>
      <c r="K418" s="355">
        <f t="shared" si="931"/>
        <v>0</v>
      </c>
      <c r="L418" s="326">
        <f t="shared" si="941"/>
        <v>0</v>
      </c>
      <c r="M418" s="141">
        <f t="shared" si="932"/>
        <v>0</v>
      </c>
      <c r="N418" s="141">
        <f t="shared" si="933"/>
        <v>0</v>
      </c>
      <c r="O418" s="223">
        <f t="shared" si="934"/>
        <v>1334606.5833054907</v>
      </c>
      <c r="P418" s="141">
        <f>IF('Inputs &amp; Results'!B251="Yes",O418*FedBonusDeprec,0)</f>
        <v>0</v>
      </c>
      <c r="Q418" s="223">
        <f t="shared" si="942"/>
        <v>1334606.5833054907</v>
      </c>
    </row>
    <row r="419" spans="1:17" s="118" customFormat="1">
      <c r="A419" s="257" t="str">
        <f t="shared" si="935"/>
        <v>39-yr SL</v>
      </c>
      <c r="B419" s="351">
        <f t="shared" si="936"/>
        <v>5.154639175257731E-3</v>
      </c>
      <c r="C419" s="141">
        <f>'Inputs &amp; Results'!C231</f>
        <v>222434.43055091513</v>
      </c>
      <c r="D419" s="141">
        <f t="shared" si="937"/>
        <v>0</v>
      </c>
      <c r="E419" s="141">
        <f t="shared" si="937"/>
        <v>0</v>
      </c>
      <c r="F419" s="223">
        <f t="shared" si="938"/>
        <v>222434.43055091513</v>
      </c>
      <c r="G419" s="355">
        <f>IF('Inputs &amp; Results'!B269="Yes",F419,0)</f>
        <v>0</v>
      </c>
      <c r="H419" s="141">
        <f t="shared" si="939"/>
        <v>0</v>
      </c>
      <c r="I419" s="141">
        <f t="shared" si="930"/>
        <v>0</v>
      </c>
      <c r="J419" s="326">
        <f t="shared" si="940"/>
        <v>0</v>
      </c>
      <c r="K419" s="355">
        <f t="shared" si="931"/>
        <v>0</v>
      </c>
      <c r="L419" s="326">
        <f t="shared" si="941"/>
        <v>0</v>
      </c>
      <c r="M419" s="141">
        <f t="shared" si="932"/>
        <v>0</v>
      </c>
      <c r="N419" s="141">
        <f t="shared" si="933"/>
        <v>0</v>
      </c>
      <c r="O419" s="223">
        <f t="shared" si="934"/>
        <v>222434.43055091513</v>
      </c>
      <c r="P419" s="141">
        <f>IF('Inputs &amp; Results'!B252="Yes",O419*FedBonusDeprec,0)</f>
        <v>0</v>
      </c>
      <c r="Q419" s="223">
        <f t="shared" si="942"/>
        <v>222434.43055091513</v>
      </c>
    </row>
    <row r="420" spans="1:17">
      <c r="A420" s="261" t="s">
        <v>376</v>
      </c>
      <c r="B420" s="209"/>
      <c r="C420" s="210"/>
      <c r="D420" s="211"/>
      <c r="E420" s="211"/>
      <c r="F420" s="103"/>
      <c r="G420" s="209"/>
      <c r="H420" s="230"/>
      <c r="I420" s="230"/>
      <c r="J420" s="296"/>
      <c r="K420" s="209"/>
      <c r="L420" s="296"/>
      <c r="M420" s="211"/>
      <c r="N420" s="211"/>
      <c r="O420" s="103"/>
      <c r="P420" s="211"/>
      <c r="Q420" s="103"/>
    </row>
    <row r="421" spans="1:17" s="118" customFormat="1">
      <c r="B421" s="357">
        <f>SUM(B414:B420)</f>
        <v>0.99999999999999978</v>
      </c>
      <c r="C421" s="203">
        <f>SUM(C414:C420)</f>
        <v>43152279.526877545</v>
      </c>
      <c r="D421" s="203">
        <f>B430+B436</f>
        <v>3000</v>
      </c>
      <c r="E421" s="203">
        <f>B442</f>
        <v>0</v>
      </c>
      <c r="F421" s="224">
        <f t="shared" ref="F421:Q421" si="943">SUM(F414:F420)</f>
        <v>43149279.526877545</v>
      </c>
      <c r="G421" s="224">
        <f>SUM(G414:G420)</f>
        <v>39590328.638062894</v>
      </c>
      <c r="H421" s="358">
        <f>SUM(H414:H420)</f>
        <v>1</v>
      </c>
      <c r="I421" s="224">
        <f>MIN(ITCFedMax,ITCFedPercent*G421)</f>
        <v>0</v>
      </c>
      <c r="J421" s="224">
        <f>SUM(J414:J420)</f>
        <v>0</v>
      </c>
      <c r="K421" s="224">
        <f>ITCFedFixed</f>
        <v>10000</v>
      </c>
      <c r="L421" s="224">
        <f>SUM(L414:L420)</f>
        <v>5000</v>
      </c>
      <c r="M421" s="203">
        <f t="shared" si="943"/>
        <v>0</v>
      </c>
      <c r="N421" s="203">
        <f t="shared" si="943"/>
        <v>5000</v>
      </c>
      <c r="O421" s="224">
        <f t="shared" si="943"/>
        <v>43144279.526877545</v>
      </c>
      <c r="P421" s="224">
        <f t="shared" si="943"/>
        <v>3958532.8638062896</v>
      </c>
      <c r="Q421" s="224">
        <f t="shared" si="943"/>
        <v>39185746.663071252</v>
      </c>
    </row>
    <row r="422" spans="1:17">
      <c r="A422" s="118"/>
    </row>
    <row r="423" spans="1:17">
      <c r="A423" s="118" t="s">
        <v>165</v>
      </c>
    </row>
    <row r="424" spans="1:17">
      <c r="A424" s="257" t="str">
        <f>A290</f>
        <v>Investment Based Incentive (IBI)</v>
      </c>
    </row>
    <row r="425" spans="1:17">
      <c r="A425" s="258" t="str">
        <f t="shared" ref="A425:A443" si="944">A291</f>
        <v>Fixed Amount ($)</v>
      </c>
    </row>
    <row r="426" spans="1:17">
      <c r="A426" s="259" t="str">
        <f t="shared" si="944"/>
        <v>Federal</v>
      </c>
      <c r="B426" s="152">
        <f>IF(IBIFedFixedFedDeprec="Yes",IBIFedFixed,0)</f>
        <v>1000</v>
      </c>
    </row>
    <row r="427" spans="1:17">
      <c r="A427" s="259" t="str">
        <f t="shared" si="944"/>
        <v>State</v>
      </c>
      <c r="B427" s="152">
        <f>IF(IBIStateFixedFedDeprec="Yes",IBIStateFixed,0)</f>
        <v>2000</v>
      </c>
    </row>
    <row r="428" spans="1:17">
      <c r="A428" s="259" t="str">
        <f t="shared" si="944"/>
        <v>Utility</v>
      </c>
      <c r="B428" s="152">
        <f>IF(IBIUtilityFixedFedDeprec="Yes",IBIUtilityFixed,0)</f>
        <v>0</v>
      </c>
    </row>
    <row r="429" spans="1:17">
      <c r="A429" s="259" t="str">
        <f t="shared" si="944"/>
        <v>Other</v>
      </c>
      <c r="B429" s="187">
        <f>IF(IBIOtherFixedFedDeprec="Yes",IBIOtherFixed,0)</f>
        <v>0</v>
      </c>
    </row>
    <row r="430" spans="1:17">
      <c r="A430" s="259" t="str">
        <f t="shared" si="944"/>
        <v>Total</v>
      </c>
      <c r="B430" s="152">
        <f>SUM(B426:B429)</f>
        <v>3000</v>
      </c>
    </row>
    <row r="431" spans="1:17">
      <c r="A431" s="258" t="str">
        <f t="shared" si="944"/>
        <v>Percentage of Pre-Financing Costs</v>
      </c>
    </row>
    <row r="432" spans="1:17">
      <c r="A432" s="259" t="str">
        <f t="shared" si="944"/>
        <v>Federal</v>
      </c>
      <c r="B432" s="152">
        <f>IF(IBIFedPercentFedDeprec="Yes",IBIFedPercent,0)</f>
        <v>0</v>
      </c>
    </row>
    <row r="433" spans="1:42">
      <c r="A433" s="259" t="str">
        <f t="shared" si="944"/>
        <v>State</v>
      </c>
      <c r="B433" s="152">
        <f>IF(IBIStatePercentFedDeprec="Yes",IBIStatePercent,0)</f>
        <v>0</v>
      </c>
    </row>
    <row r="434" spans="1:42">
      <c r="A434" s="259" t="str">
        <f t="shared" si="944"/>
        <v>Utility</v>
      </c>
      <c r="B434" s="152">
        <f>IF(IBIUtilityPercentFedDeprec="Yes",IBIUtilityPercent,0)</f>
        <v>0</v>
      </c>
    </row>
    <row r="435" spans="1:42">
      <c r="A435" s="259" t="str">
        <f t="shared" si="944"/>
        <v>Other</v>
      </c>
      <c r="B435" s="187">
        <f>IF(IBIOtherPercentFedDeprec="Yes",IBIOtherPercent,0)</f>
        <v>0</v>
      </c>
    </row>
    <row r="436" spans="1:42">
      <c r="A436" s="259" t="str">
        <f t="shared" si="944"/>
        <v>Total</v>
      </c>
      <c r="B436" s="152">
        <f>SUM(B432:B435)</f>
        <v>0</v>
      </c>
    </row>
    <row r="437" spans="1:42">
      <c r="A437" s="257" t="str">
        <f t="shared" si="944"/>
        <v>Capacity Based Incentive (CBI)</v>
      </c>
    </row>
    <row r="438" spans="1:42">
      <c r="A438" s="258" t="str">
        <f t="shared" si="944"/>
        <v>Federal</v>
      </c>
      <c r="B438" s="152">
        <f>IF(CBIFedFedDeprec="Yes",CBIFed,0)</f>
        <v>0</v>
      </c>
    </row>
    <row r="439" spans="1:42">
      <c r="A439" s="258" t="str">
        <f t="shared" si="944"/>
        <v>State</v>
      </c>
      <c r="B439" s="152">
        <f>IF(CBIStateFedDeprec="Yes",CBIState,0)</f>
        <v>0</v>
      </c>
    </row>
    <row r="440" spans="1:42">
      <c r="A440" s="258" t="str">
        <f t="shared" si="944"/>
        <v>Utility</v>
      </c>
      <c r="B440" s="152">
        <f>IF(CBIUtilityFedDeprec="Yes",CBIUtility,0)</f>
        <v>0</v>
      </c>
    </row>
    <row r="441" spans="1:42">
      <c r="A441" s="258" t="str">
        <f t="shared" si="944"/>
        <v>Other</v>
      </c>
      <c r="B441" s="187">
        <f>IF(CBIOtherFedDeprec="Yes",CBIOther,0)</f>
        <v>0</v>
      </c>
    </row>
    <row r="442" spans="1:42">
      <c r="A442" s="258" t="str">
        <f t="shared" si="944"/>
        <v>Total</v>
      </c>
      <c r="B442" s="194">
        <f>SUM(B438:B441)</f>
        <v>0</v>
      </c>
    </row>
    <row r="443" spans="1:42">
      <c r="A443" s="257" t="str">
        <f t="shared" si="944"/>
        <v>Total Basis Reduction</v>
      </c>
      <c r="B443" s="152">
        <f>B430+B436+B442</f>
        <v>3000</v>
      </c>
    </row>
    <row r="444" spans="1:42">
      <c r="A444" s="118"/>
    </row>
    <row r="445" spans="1:42">
      <c r="A445" s="118" t="s">
        <v>253</v>
      </c>
    </row>
    <row r="446" spans="1:42">
      <c r="A446" s="257" t="s">
        <v>157</v>
      </c>
    </row>
    <row r="447" spans="1:42">
      <c r="A447" s="205" t="str">
        <f>A414</f>
        <v>5-yr MACRS</v>
      </c>
      <c r="B447" s="214">
        <f>SUM(C447:AP447)</f>
        <v>0.99999999999999989</v>
      </c>
      <c r="C447" s="215">
        <f>LOOKUP(C$2,'Depreciation Schedules'!$A$3:$A$42,'Depreciation Schedules'!$B$3:$B$42)</f>
        <v>0.2</v>
      </c>
      <c r="D447" s="215">
        <f>LOOKUP(D$2,'Depreciation Schedules'!$A$3:$A$42,'Depreciation Schedules'!$B$3:$B$42)</f>
        <v>0.32</v>
      </c>
      <c r="E447" s="215">
        <f>LOOKUP(E$2,'Depreciation Schedules'!$A$3:$A$42,'Depreciation Schedules'!$B$3:$B$42)</f>
        <v>0.192</v>
      </c>
      <c r="F447" s="215">
        <f>LOOKUP(F$2,'Depreciation Schedules'!$A$3:$A$42,'Depreciation Schedules'!$B$3:$B$42)</f>
        <v>0.1152</v>
      </c>
      <c r="G447" s="215">
        <f>LOOKUP(G$2,'Depreciation Schedules'!$A$3:$A$42,'Depreciation Schedules'!$B$3:$B$42)</f>
        <v>0.1152</v>
      </c>
      <c r="H447" s="215">
        <f>LOOKUP(H$2,'Depreciation Schedules'!$A$3:$A$42,'Depreciation Schedules'!$B$3:$B$42)</f>
        <v>5.7599999999999998E-2</v>
      </c>
      <c r="I447" s="215">
        <f>LOOKUP(I$2,'Depreciation Schedules'!$A$3:$A$42,'Depreciation Schedules'!$B$3:$B$42)</f>
        <v>0</v>
      </c>
      <c r="J447" s="215">
        <f>LOOKUP(J$2,'Depreciation Schedules'!$A$3:$A$42,'Depreciation Schedules'!$B$3:$B$42)</f>
        <v>0</v>
      </c>
      <c r="K447" s="215">
        <f>LOOKUP(K$2,'Depreciation Schedules'!$A$3:$A$42,'Depreciation Schedules'!$B$3:$B$42)</f>
        <v>0</v>
      </c>
      <c r="L447" s="215">
        <f>LOOKUP(L$2,'Depreciation Schedules'!$A$3:$A$42,'Depreciation Schedules'!$B$3:$B$42)</f>
        <v>0</v>
      </c>
      <c r="M447" s="215">
        <f>LOOKUP(M$2,'Depreciation Schedules'!$A$3:$A$42,'Depreciation Schedules'!$B$3:$B$42)</f>
        <v>0</v>
      </c>
      <c r="N447" s="215">
        <f>LOOKUP(N$2,'Depreciation Schedules'!$A$3:$A$42,'Depreciation Schedules'!$B$3:$B$42)</f>
        <v>0</v>
      </c>
      <c r="O447" s="215">
        <f>LOOKUP(O$2,'Depreciation Schedules'!$A$3:$A$42,'Depreciation Schedules'!$B$3:$B$42)</f>
        <v>0</v>
      </c>
      <c r="P447" s="215">
        <f>LOOKUP(P$2,'Depreciation Schedules'!$A$3:$A$42,'Depreciation Schedules'!$B$3:$B$42)</f>
        <v>0</v>
      </c>
      <c r="Q447" s="215">
        <f>LOOKUP(Q$2,'Depreciation Schedules'!$A$3:$A$42,'Depreciation Schedules'!$B$3:$B$42)</f>
        <v>0</v>
      </c>
      <c r="R447" s="215">
        <f>LOOKUP(R$2,'Depreciation Schedules'!$A$3:$A$42,'Depreciation Schedules'!$B$3:$B$42)</f>
        <v>0</v>
      </c>
      <c r="S447" s="215">
        <f>LOOKUP(S$2,'Depreciation Schedules'!$A$3:$A$42,'Depreciation Schedules'!$B$3:$B$42)</f>
        <v>0</v>
      </c>
      <c r="T447" s="215">
        <f>LOOKUP(T$2,'Depreciation Schedules'!$A$3:$A$42,'Depreciation Schedules'!$B$3:$B$42)</f>
        <v>0</v>
      </c>
      <c r="U447" s="215">
        <f>LOOKUP(U$2,'Depreciation Schedules'!$A$3:$A$42,'Depreciation Schedules'!$B$3:$B$42)</f>
        <v>0</v>
      </c>
      <c r="V447" s="215">
        <f>LOOKUP(V$2,'Depreciation Schedules'!$A$3:$A$42,'Depreciation Schedules'!$B$3:$B$42)</f>
        <v>0</v>
      </c>
      <c r="W447" s="215">
        <f>LOOKUP(W$2,'Depreciation Schedules'!$A$3:$A$42,'Depreciation Schedules'!$B$3:$B$42)</f>
        <v>0</v>
      </c>
      <c r="X447" s="215">
        <f>LOOKUP(X$2,'Depreciation Schedules'!$A$3:$A$42,'Depreciation Schedules'!$B$3:$B$42)</f>
        <v>0</v>
      </c>
      <c r="Y447" s="215">
        <f>LOOKUP(Y$2,'Depreciation Schedules'!$A$3:$A$42,'Depreciation Schedules'!$B$3:$B$42)</f>
        <v>0</v>
      </c>
      <c r="Z447" s="215">
        <f>LOOKUP(Z$2,'Depreciation Schedules'!$A$3:$A$42,'Depreciation Schedules'!$B$3:$B$42)</f>
        <v>0</v>
      </c>
      <c r="AA447" s="215">
        <f>LOOKUP(AA$2,'Depreciation Schedules'!$A$3:$A$42,'Depreciation Schedules'!$B$3:$B$42)</f>
        <v>0</v>
      </c>
      <c r="AB447" s="215">
        <f>LOOKUP(AB$2,'Depreciation Schedules'!$A$3:$A$42,'Depreciation Schedules'!$B$3:$B$42)</f>
        <v>0</v>
      </c>
      <c r="AC447" s="215">
        <f>LOOKUP(AC$2,'Depreciation Schedules'!$A$3:$A$42,'Depreciation Schedules'!$B$3:$B$42)</f>
        <v>0</v>
      </c>
      <c r="AD447" s="215">
        <f>LOOKUP(AD$2,'Depreciation Schedules'!$A$3:$A$42,'Depreciation Schedules'!$B$3:$B$42)</f>
        <v>0</v>
      </c>
      <c r="AE447" s="215">
        <f>LOOKUP(AE$2,'Depreciation Schedules'!$A$3:$A$42,'Depreciation Schedules'!$B$3:$B$42)</f>
        <v>0</v>
      </c>
      <c r="AF447" s="215">
        <f>LOOKUP(AF$2,'Depreciation Schedules'!$A$3:$A$42,'Depreciation Schedules'!$B$3:$B$42)</f>
        <v>0</v>
      </c>
      <c r="AG447" s="215">
        <f>LOOKUP(AG$2,'Depreciation Schedules'!$A$3:$A$42,'Depreciation Schedules'!$B$3:$B$42)</f>
        <v>0</v>
      </c>
      <c r="AH447" s="215">
        <f>LOOKUP(AH$2,'Depreciation Schedules'!$A$3:$A$42,'Depreciation Schedules'!$B$3:$B$42)</f>
        <v>0</v>
      </c>
      <c r="AI447" s="215">
        <f>LOOKUP(AI$2,'Depreciation Schedules'!$A$3:$A$42,'Depreciation Schedules'!$B$3:$B$42)</f>
        <v>0</v>
      </c>
      <c r="AJ447" s="215">
        <f>LOOKUP(AJ$2,'Depreciation Schedules'!$A$3:$A$42,'Depreciation Schedules'!$B$3:$B$42)</f>
        <v>0</v>
      </c>
      <c r="AK447" s="215">
        <f>LOOKUP(AK$2,'Depreciation Schedules'!$A$3:$A$42,'Depreciation Schedules'!$B$3:$B$42)</f>
        <v>0</v>
      </c>
      <c r="AL447" s="215">
        <f>LOOKUP(AL$2,'Depreciation Schedules'!$A$3:$A$42,'Depreciation Schedules'!$B$3:$B$42)</f>
        <v>0</v>
      </c>
      <c r="AM447" s="215">
        <f>LOOKUP(AM$2,'Depreciation Schedules'!$A$3:$A$42,'Depreciation Schedules'!$B$3:$B$42)</f>
        <v>0</v>
      </c>
      <c r="AN447" s="215">
        <f>LOOKUP(AN$2,'Depreciation Schedules'!$A$3:$A$42,'Depreciation Schedules'!$B$3:$B$42)</f>
        <v>0</v>
      </c>
      <c r="AO447" s="215">
        <f>LOOKUP(AO$2,'Depreciation Schedules'!$A$3:$A$42,'Depreciation Schedules'!$B$3:$B$42)</f>
        <v>0</v>
      </c>
      <c r="AP447" s="215">
        <f>LOOKUP(AP$2,'Depreciation Schedules'!$A$3:$A$42,'Depreciation Schedules'!$B$3:$B$42)</f>
        <v>0</v>
      </c>
    </row>
    <row r="448" spans="1:42">
      <c r="A448" s="205" t="str">
        <f t="shared" ref="A448:A452" si="945">A415</f>
        <v>15-yr MACRS</v>
      </c>
      <c r="B448" s="216">
        <f t="shared" ref="B448:B452" si="946">SUM(C448:AP448)</f>
        <v>1.0000000000000002</v>
      </c>
      <c r="C448" s="215">
        <f>LOOKUP(C$2,'Depreciation Schedules'!$A$3:$A$42,'Depreciation Schedules'!$C$3:$C$42)</f>
        <v>0.05</v>
      </c>
      <c r="D448" s="215">
        <f>LOOKUP(D$2,'Depreciation Schedules'!$A$3:$A$42,'Depreciation Schedules'!$C$3:$C$42)</f>
        <v>9.5000000000000001E-2</v>
      </c>
      <c r="E448" s="215">
        <f>LOOKUP(E$2,'Depreciation Schedules'!$A$3:$A$42,'Depreciation Schedules'!$C$3:$C$42)</f>
        <v>8.5500000000000007E-2</v>
      </c>
      <c r="F448" s="215">
        <f>LOOKUP(F$2,'Depreciation Schedules'!$A$3:$A$42,'Depreciation Schedules'!$C$3:$C$42)</f>
        <v>7.6999999999999999E-2</v>
      </c>
      <c r="G448" s="215">
        <f>LOOKUP(G$2,'Depreciation Schedules'!$A$3:$A$42,'Depreciation Schedules'!$C$3:$C$42)</f>
        <v>6.93E-2</v>
      </c>
      <c r="H448" s="215">
        <f>LOOKUP(H$2,'Depreciation Schedules'!$A$3:$A$42,'Depreciation Schedules'!$C$3:$C$42)</f>
        <v>6.2300000000000001E-2</v>
      </c>
      <c r="I448" s="215">
        <f>LOOKUP(I$2,'Depreciation Schedules'!$A$3:$A$42,'Depreciation Schedules'!$C$3:$C$42)</f>
        <v>5.8999999999999997E-2</v>
      </c>
      <c r="J448" s="215">
        <f>LOOKUP(J$2,'Depreciation Schedules'!$A$3:$A$42,'Depreciation Schedules'!$C$3:$C$42)</f>
        <v>5.8999999999999997E-2</v>
      </c>
      <c r="K448" s="215">
        <f>LOOKUP(K$2,'Depreciation Schedules'!$A$3:$A$42,'Depreciation Schedules'!$C$3:$C$42)</f>
        <v>5.91E-2</v>
      </c>
      <c r="L448" s="215">
        <f>LOOKUP(L$2,'Depreciation Schedules'!$A$3:$A$42,'Depreciation Schedules'!$C$3:$C$42)</f>
        <v>5.8999999999999997E-2</v>
      </c>
      <c r="M448" s="215">
        <f>LOOKUP(M$2,'Depreciation Schedules'!$A$3:$A$42,'Depreciation Schedules'!$C$3:$C$42)</f>
        <v>5.91E-2</v>
      </c>
      <c r="N448" s="215">
        <f>LOOKUP(N$2,'Depreciation Schedules'!$A$3:$A$42,'Depreciation Schedules'!$C$3:$C$42)</f>
        <v>5.8999999999999997E-2</v>
      </c>
      <c r="O448" s="215">
        <f>LOOKUP(O$2,'Depreciation Schedules'!$A$3:$A$42,'Depreciation Schedules'!$C$3:$C$42)</f>
        <v>5.91E-2</v>
      </c>
      <c r="P448" s="215">
        <f>LOOKUP(P$2,'Depreciation Schedules'!$A$3:$A$42,'Depreciation Schedules'!$C$3:$C$42)</f>
        <v>5.8999999999999997E-2</v>
      </c>
      <c r="Q448" s="215">
        <f>LOOKUP(Q$2,'Depreciation Schedules'!$A$3:$A$42,'Depreciation Schedules'!$C$3:$C$42)</f>
        <v>5.91E-2</v>
      </c>
      <c r="R448" s="215">
        <f>LOOKUP(R$2,'Depreciation Schedules'!$A$3:$A$42,'Depreciation Schedules'!$C$3:$C$42)</f>
        <v>2.9499999999999998E-2</v>
      </c>
      <c r="S448" s="215">
        <f>LOOKUP(S$2,'Depreciation Schedules'!$A$3:$A$42,'Depreciation Schedules'!$C$3:$C$42)</f>
        <v>0</v>
      </c>
      <c r="T448" s="215">
        <f>LOOKUP(T$2,'Depreciation Schedules'!$A$3:$A$42,'Depreciation Schedules'!$C$3:$C$42)</f>
        <v>0</v>
      </c>
      <c r="U448" s="215">
        <f>LOOKUP(U$2,'Depreciation Schedules'!$A$3:$A$42,'Depreciation Schedules'!$C$3:$C$42)</f>
        <v>0</v>
      </c>
      <c r="V448" s="215">
        <f>LOOKUP(V$2,'Depreciation Schedules'!$A$3:$A$42,'Depreciation Schedules'!$C$3:$C$42)</f>
        <v>0</v>
      </c>
      <c r="W448" s="215">
        <f>LOOKUP(W$2,'Depreciation Schedules'!$A$3:$A$42,'Depreciation Schedules'!$C$3:$C$42)</f>
        <v>0</v>
      </c>
      <c r="X448" s="215">
        <f>LOOKUP(X$2,'Depreciation Schedules'!$A$3:$A$42,'Depreciation Schedules'!$C$3:$C$42)</f>
        <v>0</v>
      </c>
      <c r="Y448" s="215">
        <f>LOOKUP(Y$2,'Depreciation Schedules'!$A$3:$A$42,'Depreciation Schedules'!$C$3:$C$42)</f>
        <v>0</v>
      </c>
      <c r="Z448" s="215">
        <f>LOOKUP(Z$2,'Depreciation Schedules'!$A$3:$A$42,'Depreciation Schedules'!$C$3:$C$42)</f>
        <v>0</v>
      </c>
      <c r="AA448" s="215">
        <f>LOOKUP(AA$2,'Depreciation Schedules'!$A$3:$A$42,'Depreciation Schedules'!$C$3:$C$42)</f>
        <v>0</v>
      </c>
      <c r="AB448" s="215">
        <f>LOOKUP(AB$2,'Depreciation Schedules'!$A$3:$A$42,'Depreciation Schedules'!$C$3:$C$42)</f>
        <v>0</v>
      </c>
      <c r="AC448" s="215">
        <f>LOOKUP(AC$2,'Depreciation Schedules'!$A$3:$A$42,'Depreciation Schedules'!$C$3:$C$42)</f>
        <v>0</v>
      </c>
      <c r="AD448" s="215">
        <f>LOOKUP(AD$2,'Depreciation Schedules'!$A$3:$A$42,'Depreciation Schedules'!$C$3:$C$42)</f>
        <v>0</v>
      </c>
      <c r="AE448" s="215">
        <f>LOOKUP(AE$2,'Depreciation Schedules'!$A$3:$A$42,'Depreciation Schedules'!$C$3:$C$42)</f>
        <v>0</v>
      </c>
      <c r="AF448" s="215">
        <f>LOOKUP(AF$2,'Depreciation Schedules'!$A$3:$A$42,'Depreciation Schedules'!$C$3:$C$42)</f>
        <v>0</v>
      </c>
      <c r="AG448" s="215">
        <f>LOOKUP(AG$2,'Depreciation Schedules'!$A$3:$A$42,'Depreciation Schedules'!$C$3:$C$42)</f>
        <v>0</v>
      </c>
      <c r="AH448" s="215">
        <f>LOOKUP(AH$2,'Depreciation Schedules'!$A$3:$A$42,'Depreciation Schedules'!$C$3:$C$42)</f>
        <v>0</v>
      </c>
      <c r="AI448" s="215">
        <f>LOOKUP(AI$2,'Depreciation Schedules'!$A$3:$A$42,'Depreciation Schedules'!$C$3:$C$42)</f>
        <v>0</v>
      </c>
      <c r="AJ448" s="215">
        <f>LOOKUP(AJ$2,'Depreciation Schedules'!$A$3:$A$42,'Depreciation Schedules'!$C$3:$C$42)</f>
        <v>0</v>
      </c>
      <c r="AK448" s="215">
        <f>LOOKUP(AK$2,'Depreciation Schedules'!$A$3:$A$42,'Depreciation Schedules'!$C$3:$C$42)</f>
        <v>0</v>
      </c>
      <c r="AL448" s="215">
        <f>LOOKUP(AL$2,'Depreciation Schedules'!$A$3:$A$42,'Depreciation Schedules'!$C$3:$C$42)</f>
        <v>0</v>
      </c>
      <c r="AM448" s="215">
        <f>LOOKUP(AM$2,'Depreciation Schedules'!$A$3:$A$42,'Depreciation Schedules'!$C$3:$C$42)</f>
        <v>0</v>
      </c>
      <c r="AN448" s="215">
        <f>LOOKUP(AN$2,'Depreciation Schedules'!$A$3:$A$42,'Depreciation Schedules'!$C$3:$C$42)</f>
        <v>0</v>
      </c>
      <c r="AO448" s="215">
        <f>LOOKUP(AO$2,'Depreciation Schedules'!$A$3:$A$42,'Depreciation Schedules'!$C$3:$C$42)</f>
        <v>0</v>
      </c>
      <c r="AP448" s="215">
        <f>LOOKUP(AP$2,'Depreciation Schedules'!$A$3:$A$42,'Depreciation Schedules'!$C$3:$C$42)</f>
        <v>0</v>
      </c>
    </row>
    <row r="449" spans="1:42">
      <c r="A449" s="205" t="str">
        <f t="shared" si="945"/>
        <v>5-yr SL</v>
      </c>
      <c r="B449" s="216">
        <f t="shared" si="946"/>
        <v>0.99999999999999989</v>
      </c>
      <c r="C449" s="215">
        <f>LOOKUP(C$2,'Depreciation Schedules'!$A$3:$A$42,'Depreciation Schedules'!$D$3:$D$42)</f>
        <v>0.1</v>
      </c>
      <c r="D449" s="215">
        <f>LOOKUP(D$2,'Depreciation Schedules'!$A$3:$A$42,'Depreciation Schedules'!$D$3:$D$42)</f>
        <v>0.2</v>
      </c>
      <c r="E449" s="215">
        <f>LOOKUP(E$2,'Depreciation Schedules'!$A$3:$A$42,'Depreciation Schedules'!$D$3:$D$42)</f>
        <v>0.2</v>
      </c>
      <c r="F449" s="215">
        <f>LOOKUP(F$2,'Depreciation Schedules'!$A$3:$A$42,'Depreciation Schedules'!$D$3:$D$42)</f>
        <v>0.2</v>
      </c>
      <c r="G449" s="215">
        <f>LOOKUP(G$2,'Depreciation Schedules'!$A$3:$A$42,'Depreciation Schedules'!$D$3:$D$42)</f>
        <v>0.2</v>
      </c>
      <c r="H449" s="215">
        <f>LOOKUP(H$2,'Depreciation Schedules'!$A$3:$A$42,'Depreciation Schedules'!$D$3:$D$42)</f>
        <v>0.1</v>
      </c>
      <c r="I449" s="215">
        <f>LOOKUP(I$2,'Depreciation Schedules'!$A$3:$A$42,'Depreciation Schedules'!$D$3:$D$42)</f>
        <v>0</v>
      </c>
      <c r="J449" s="215">
        <f>LOOKUP(J$2,'Depreciation Schedules'!$A$3:$A$42,'Depreciation Schedules'!$D$3:$D$42)</f>
        <v>0</v>
      </c>
      <c r="K449" s="215">
        <f>LOOKUP(K$2,'Depreciation Schedules'!$A$3:$A$42,'Depreciation Schedules'!$D$3:$D$42)</f>
        <v>0</v>
      </c>
      <c r="L449" s="215">
        <f>LOOKUP(L$2,'Depreciation Schedules'!$A$3:$A$42,'Depreciation Schedules'!$D$3:$D$42)</f>
        <v>0</v>
      </c>
      <c r="M449" s="215">
        <f>LOOKUP(M$2,'Depreciation Schedules'!$A$3:$A$42,'Depreciation Schedules'!$D$3:$D$42)</f>
        <v>0</v>
      </c>
      <c r="N449" s="215">
        <f>LOOKUP(N$2,'Depreciation Schedules'!$A$3:$A$42,'Depreciation Schedules'!$D$3:$D$42)</f>
        <v>0</v>
      </c>
      <c r="O449" s="215">
        <f>LOOKUP(O$2,'Depreciation Schedules'!$A$3:$A$42,'Depreciation Schedules'!$D$3:$D$42)</f>
        <v>0</v>
      </c>
      <c r="P449" s="215">
        <f>LOOKUP(P$2,'Depreciation Schedules'!$A$3:$A$42,'Depreciation Schedules'!$D$3:$D$42)</f>
        <v>0</v>
      </c>
      <c r="Q449" s="215">
        <f>LOOKUP(Q$2,'Depreciation Schedules'!$A$3:$A$42,'Depreciation Schedules'!$D$3:$D$42)</f>
        <v>0</v>
      </c>
      <c r="R449" s="215">
        <f>LOOKUP(R$2,'Depreciation Schedules'!$A$3:$A$42,'Depreciation Schedules'!$D$3:$D$42)</f>
        <v>0</v>
      </c>
      <c r="S449" s="215">
        <f>LOOKUP(S$2,'Depreciation Schedules'!$A$3:$A$42,'Depreciation Schedules'!$D$3:$D$42)</f>
        <v>0</v>
      </c>
      <c r="T449" s="215">
        <f>LOOKUP(T$2,'Depreciation Schedules'!$A$3:$A$42,'Depreciation Schedules'!$D$3:$D$42)</f>
        <v>0</v>
      </c>
      <c r="U449" s="215">
        <f>LOOKUP(U$2,'Depreciation Schedules'!$A$3:$A$42,'Depreciation Schedules'!$D$3:$D$42)</f>
        <v>0</v>
      </c>
      <c r="V449" s="215">
        <f>LOOKUP(V$2,'Depreciation Schedules'!$A$3:$A$42,'Depreciation Schedules'!$D$3:$D$42)</f>
        <v>0</v>
      </c>
      <c r="W449" s="215">
        <f>LOOKUP(W$2,'Depreciation Schedules'!$A$3:$A$42,'Depreciation Schedules'!$D$3:$D$42)</f>
        <v>0</v>
      </c>
      <c r="X449" s="215">
        <f>LOOKUP(X$2,'Depreciation Schedules'!$A$3:$A$42,'Depreciation Schedules'!$D$3:$D$42)</f>
        <v>0</v>
      </c>
      <c r="Y449" s="215">
        <f>LOOKUP(Y$2,'Depreciation Schedules'!$A$3:$A$42,'Depreciation Schedules'!$D$3:$D$42)</f>
        <v>0</v>
      </c>
      <c r="Z449" s="215">
        <f>LOOKUP(Z$2,'Depreciation Schedules'!$A$3:$A$42,'Depreciation Schedules'!$D$3:$D$42)</f>
        <v>0</v>
      </c>
      <c r="AA449" s="215">
        <f>LOOKUP(AA$2,'Depreciation Schedules'!$A$3:$A$42,'Depreciation Schedules'!$D$3:$D$42)</f>
        <v>0</v>
      </c>
      <c r="AB449" s="215">
        <f>LOOKUP(AB$2,'Depreciation Schedules'!$A$3:$A$42,'Depreciation Schedules'!$D$3:$D$42)</f>
        <v>0</v>
      </c>
      <c r="AC449" s="215">
        <f>LOOKUP(AC$2,'Depreciation Schedules'!$A$3:$A$42,'Depreciation Schedules'!$D$3:$D$42)</f>
        <v>0</v>
      </c>
      <c r="AD449" s="215">
        <f>LOOKUP(AD$2,'Depreciation Schedules'!$A$3:$A$42,'Depreciation Schedules'!$D$3:$D$42)</f>
        <v>0</v>
      </c>
      <c r="AE449" s="215">
        <f>LOOKUP(AE$2,'Depreciation Schedules'!$A$3:$A$42,'Depreciation Schedules'!$D$3:$D$42)</f>
        <v>0</v>
      </c>
      <c r="AF449" s="215">
        <f>LOOKUP(AF$2,'Depreciation Schedules'!$A$3:$A$42,'Depreciation Schedules'!$D$3:$D$42)</f>
        <v>0</v>
      </c>
      <c r="AG449" s="215">
        <f>LOOKUP(AG$2,'Depreciation Schedules'!$A$3:$A$42,'Depreciation Schedules'!$D$3:$D$42)</f>
        <v>0</v>
      </c>
      <c r="AH449" s="215">
        <f>LOOKUP(AH$2,'Depreciation Schedules'!$A$3:$A$42,'Depreciation Schedules'!$D$3:$D$42)</f>
        <v>0</v>
      </c>
      <c r="AI449" s="215">
        <f>LOOKUP(AI$2,'Depreciation Schedules'!$A$3:$A$42,'Depreciation Schedules'!$D$3:$D$42)</f>
        <v>0</v>
      </c>
      <c r="AJ449" s="215">
        <f>LOOKUP(AJ$2,'Depreciation Schedules'!$A$3:$A$42,'Depreciation Schedules'!$D$3:$D$42)</f>
        <v>0</v>
      </c>
      <c r="AK449" s="215">
        <f>LOOKUP(AK$2,'Depreciation Schedules'!$A$3:$A$42,'Depreciation Schedules'!$D$3:$D$42)</f>
        <v>0</v>
      </c>
      <c r="AL449" s="215">
        <f>LOOKUP(AL$2,'Depreciation Schedules'!$A$3:$A$42,'Depreciation Schedules'!$D$3:$D$42)</f>
        <v>0</v>
      </c>
      <c r="AM449" s="215">
        <f>LOOKUP(AM$2,'Depreciation Schedules'!$A$3:$A$42,'Depreciation Schedules'!$D$3:$D$42)</f>
        <v>0</v>
      </c>
      <c r="AN449" s="215">
        <f>LOOKUP(AN$2,'Depreciation Schedules'!$A$3:$A$42,'Depreciation Schedules'!$D$3:$D$42)</f>
        <v>0</v>
      </c>
      <c r="AO449" s="215">
        <f>LOOKUP(AO$2,'Depreciation Schedules'!$A$3:$A$42,'Depreciation Schedules'!$D$3:$D$42)</f>
        <v>0</v>
      </c>
      <c r="AP449" s="215">
        <f>LOOKUP(AP$2,'Depreciation Schedules'!$A$3:$A$42,'Depreciation Schedules'!$D$3:$D$42)</f>
        <v>0</v>
      </c>
    </row>
    <row r="450" spans="1:42">
      <c r="A450" s="205" t="str">
        <f t="shared" si="945"/>
        <v>15-yr SL</v>
      </c>
      <c r="B450" s="216">
        <f t="shared" si="946"/>
        <v>0.99999999999999989</v>
      </c>
      <c r="C450" s="215">
        <f>LOOKUP(C$2,'Depreciation Schedules'!$A$3:$A$42,'Depreciation Schedules'!$E$3:$E$42)</f>
        <v>3.3300000000000003E-2</v>
      </c>
      <c r="D450" s="215">
        <f>LOOKUP(D$2,'Depreciation Schedules'!$A$3:$A$42,'Depreciation Schedules'!$E$3:$E$42)</f>
        <v>6.6699999999999995E-2</v>
      </c>
      <c r="E450" s="215">
        <f>LOOKUP(E$2,'Depreciation Schedules'!$A$3:$A$42,'Depreciation Schedules'!$E$3:$E$42)</f>
        <v>6.6699999999999995E-2</v>
      </c>
      <c r="F450" s="215">
        <f>LOOKUP(F$2,'Depreciation Schedules'!$A$3:$A$42,'Depreciation Schedules'!$E$3:$E$42)</f>
        <v>6.6699999999999995E-2</v>
      </c>
      <c r="G450" s="215">
        <f>LOOKUP(G$2,'Depreciation Schedules'!$A$3:$A$42,'Depreciation Schedules'!$E$3:$E$42)</f>
        <v>6.6699999999999995E-2</v>
      </c>
      <c r="H450" s="215">
        <f>LOOKUP(H$2,'Depreciation Schedules'!$A$3:$A$42,'Depreciation Schedules'!$E$3:$E$42)</f>
        <v>6.6699999999999995E-2</v>
      </c>
      <c r="I450" s="215">
        <f>LOOKUP(I$2,'Depreciation Schedules'!$A$3:$A$42,'Depreciation Schedules'!$E$3:$E$42)</f>
        <v>6.6699999999999995E-2</v>
      </c>
      <c r="J450" s="215">
        <f>LOOKUP(J$2,'Depreciation Schedules'!$A$3:$A$42,'Depreciation Schedules'!$E$3:$E$42)</f>
        <v>6.6600000000000006E-2</v>
      </c>
      <c r="K450" s="215">
        <f>LOOKUP(K$2,'Depreciation Schedules'!$A$3:$A$42,'Depreciation Schedules'!$E$3:$E$42)</f>
        <v>6.6699999999999995E-2</v>
      </c>
      <c r="L450" s="215">
        <f>LOOKUP(L$2,'Depreciation Schedules'!$A$3:$A$42,'Depreciation Schedules'!$E$3:$E$42)</f>
        <v>6.6600000000000006E-2</v>
      </c>
      <c r="M450" s="215">
        <f>LOOKUP(M$2,'Depreciation Schedules'!$A$3:$A$42,'Depreciation Schedules'!$E$3:$E$42)</f>
        <v>6.6699999999999995E-2</v>
      </c>
      <c r="N450" s="215">
        <f>LOOKUP(N$2,'Depreciation Schedules'!$A$3:$A$42,'Depreciation Schedules'!$E$3:$E$42)</f>
        <v>6.6600000000000006E-2</v>
      </c>
      <c r="O450" s="215">
        <f>LOOKUP(O$2,'Depreciation Schedules'!$A$3:$A$42,'Depreciation Schedules'!$E$3:$E$42)</f>
        <v>6.6699999999999995E-2</v>
      </c>
      <c r="P450" s="215">
        <f>LOOKUP(P$2,'Depreciation Schedules'!$A$3:$A$42,'Depreciation Schedules'!$E$3:$E$42)</f>
        <v>6.6600000000000006E-2</v>
      </c>
      <c r="Q450" s="215">
        <f>LOOKUP(Q$2,'Depreciation Schedules'!$A$3:$A$42,'Depreciation Schedules'!$E$3:$E$42)</f>
        <v>6.6699999999999995E-2</v>
      </c>
      <c r="R450" s="215">
        <f>LOOKUP(R$2,'Depreciation Schedules'!$A$3:$A$42,'Depreciation Schedules'!$E$3:$E$42)</f>
        <v>3.3300000000000003E-2</v>
      </c>
      <c r="S450" s="215">
        <f>LOOKUP(S$2,'Depreciation Schedules'!$A$3:$A$42,'Depreciation Schedules'!$E$3:$E$42)</f>
        <v>0</v>
      </c>
      <c r="T450" s="215">
        <f>LOOKUP(T$2,'Depreciation Schedules'!$A$3:$A$42,'Depreciation Schedules'!$E$3:$E$42)</f>
        <v>0</v>
      </c>
      <c r="U450" s="215">
        <f>LOOKUP(U$2,'Depreciation Schedules'!$A$3:$A$42,'Depreciation Schedules'!$E$3:$E$42)</f>
        <v>0</v>
      </c>
      <c r="V450" s="215">
        <f>LOOKUP(V$2,'Depreciation Schedules'!$A$3:$A$42,'Depreciation Schedules'!$E$3:$E$42)</f>
        <v>0</v>
      </c>
      <c r="W450" s="215">
        <f>LOOKUP(W$2,'Depreciation Schedules'!$A$3:$A$42,'Depreciation Schedules'!$E$3:$E$42)</f>
        <v>0</v>
      </c>
      <c r="X450" s="215">
        <f>LOOKUP(X$2,'Depreciation Schedules'!$A$3:$A$42,'Depreciation Schedules'!$E$3:$E$42)</f>
        <v>0</v>
      </c>
      <c r="Y450" s="215">
        <f>LOOKUP(Y$2,'Depreciation Schedules'!$A$3:$A$42,'Depreciation Schedules'!$E$3:$E$42)</f>
        <v>0</v>
      </c>
      <c r="Z450" s="215">
        <f>LOOKUP(Z$2,'Depreciation Schedules'!$A$3:$A$42,'Depreciation Schedules'!$E$3:$E$42)</f>
        <v>0</v>
      </c>
      <c r="AA450" s="215">
        <f>LOOKUP(AA$2,'Depreciation Schedules'!$A$3:$A$42,'Depreciation Schedules'!$E$3:$E$42)</f>
        <v>0</v>
      </c>
      <c r="AB450" s="215">
        <f>LOOKUP(AB$2,'Depreciation Schedules'!$A$3:$A$42,'Depreciation Schedules'!$E$3:$E$42)</f>
        <v>0</v>
      </c>
      <c r="AC450" s="215">
        <f>LOOKUP(AC$2,'Depreciation Schedules'!$A$3:$A$42,'Depreciation Schedules'!$E$3:$E$42)</f>
        <v>0</v>
      </c>
      <c r="AD450" s="215">
        <f>LOOKUP(AD$2,'Depreciation Schedules'!$A$3:$A$42,'Depreciation Schedules'!$E$3:$E$42)</f>
        <v>0</v>
      </c>
      <c r="AE450" s="215">
        <f>LOOKUP(AE$2,'Depreciation Schedules'!$A$3:$A$42,'Depreciation Schedules'!$E$3:$E$42)</f>
        <v>0</v>
      </c>
      <c r="AF450" s="215">
        <f>LOOKUP(AF$2,'Depreciation Schedules'!$A$3:$A$42,'Depreciation Schedules'!$E$3:$E$42)</f>
        <v>0</v>
      </c>
      <c r="AG450" s="215">
        <f>LOOKUP(AG$2,'Depreciation Schedules'!$A$3:$A$42,'Depreciation Schedules'!$E$3:$E$42)</f>
        <v>0</v>
      </c>
      <c r="AH450" s="215">
        <f>LOOKUP(AH$2,'Depreciation Schedules'!$A$3:$A$42,'Depreciation Schedules'!$E$3:$E$42)</f>
        <v>0</v>
      </c>
      <c r="AI450" s="215">
        <f>LOOKUP(AI$2,'Depreciation Schedules'!$A$3:$A$42,'Depreciation Schedules'!$E$3:$E$42)</f>
        <v>0</v>
      </c>
      <c r="AJ450" s="215">
        <f>LOOKUP(AJ$2,'Depreciation Schedules'!$A$3:$A$42,'Depreciation Schedules'!$E$3:$E$42)</f>
        <v>0</v>
      </c>
      <c r="AK450" s="215">
        <f>LOOKUP(AK$2,'Depreciation Schedules'!$A$3:$A$42,'Depreciation Schedules'!$E$3:$E$42)</f>
        <v>0</v>
      </c>
      <c r="AL450" s="215">
        <f>LOOKUP(AL$2,'Depreciation Schedules'!$A$3:$A$42,'Depreciation Schedules'!$E$3:$E$42)</f>
        <v>0</v>
      </c>
      <c r="AM450" s="215">
        <f>LOOKUP(AM$2,'Depreciation Schedules'!$A$3:$A$42,'Depreciation Schedules'!$E$3:$E$42)</f>
        <v>0</v>
      </c>
      <c r="AN450" s="215">
        <f>LOOKUP(AN$2,'Depreciation Schedules'!$A$3:$A$42,'Depreciation Schedules'!$E$3:$E$42)</f>
        <v>0</v>
      </c>
      <c r="AO450" s="215">
        <f>LOOKUP(AO$2,'Depreciation Schedules'!$A$3:$A$42,'Depreciation Schedules'!$E$3:$E$42)</f>
        <v>0</v>
      </c>
      <c r="AP450" s="215">
        <f>LOOKUP(AP$2,'Depreciation Schedules'!$A$3:$A$42,'Depreciation Schedules'!$E$3:$E$42)</f>
        <v>0</v>
      </c>
    </row>
    <row r="451" spans="1:42">
      <c r="A451" s="205" t="str">
        <f t="shared" si="945"/>
        <v>20-yr SL</v>
      </c>
      <c r="B451" s="216">
        <f t="shared" si="946"/>
        <v>1.0000000000000002</v>
      </c>
      <c r="C451" s="215">
        <f>LOOKUP(C$2,'Depreciation Schedules'!$A$3:$A$42,'Depreciation Schedules'!$F$3:$F$42)</f>
        <v>2.5000000000000001E-2</v>
      </c>
      <c r="D451" s="215">
        <f>LOOKUP(D$2,'Depreciation Schedules'!$A$3:$A$42,'Depreciation Schedules'!$F$3:$F$42)</f>
        <v>0.05</v>
      </c>
      <c r="E451" s="215">
        <f>LOOKUP(E$2,'Depreciation Schedules'!$A$3:$A$42,'Depreciation Schedules'!$F$3:$F$42)</f>
        <v>0.05</v>
      </c>
      <c r="F451" s="215">
        <f>LOOKUP(F$2,'Depreciation Schedules'!$A$3:$A$42,'Depreciation Schedules'!$F$3:$F$42)</f>
        <v>0.05</v>
      </c>
      <c r="G451" s="215">
        <f>LOOKUP(G$2,'Depreciation Schedules'!$A$3:$A$42,'Depreciation Schedules'!$F$3:$F$42)</f>
        <v>0.05</v>
      </c>
      <c r="H451" s="215">
        <f>LOOKUP(H$2,'Depreciation Schedules'!$A$3:$A$42,'Depreciation Schedules'!$F$3:$F$42)</f>
        <v>0.05</v>
      </c>
      <c r="I451" s="215">
        <f>LOOKUP(I$2,'Depreciation Schedules'!$A$3:$A$42,'Depreciation Schedules'!$F$3:$F$42)</f>
        <v>0.05</v>
      </c>
      <c r="J451" s="215">
        <f>LOOKUP(J$2,'Depreciation Schedules'!$A$3:$A$42,'Depreciation Schedules'!$F$3:$F$42)</f>
        <v>0.05</v>
      </c>
      <c r="K451" s="215">
        <f>LOOKUP(K$2,'Depreciation Schedules'!$A$3:$A$42,'Depreciation Schedules'!$F$3:$F$42)</f>
        <v>0.05</v>
      </c>
      <c r="L451" s="215">
        <f>LOOKUP(L$2,'Depreciation Schedules'!$A$3:$A$42,'Depreciation Schedules'!$F$3:$F$42)</f>
        <v>0.05</v>
      </c>
      <c r="M451" s="215">
        <f>LOOKUP(M$2,'Depreciation Schedules'!$A$3:$A$42,'Depreciation Schedules'!$F$3:$F$42)</f>
        <v>0.05</v>
      </c>
      <c r="N451" s="215">
        <f>LOOKUP(N$2,'Depreciation Schedules'!$A$3:$A$42,'Depreciation Schedules'!$F$3:$F$42)</f>
        <v>0.05</v>
      </c>
      <c r="O451" s="215">
        <f>LOOKUP(O$2,'Depreciation Schedules'!$A$3:$A$42,'Depreciation Schedules'!$F$3:$F$42)</f>
        <v>0.05</v>
      </c>
      <c r="P451" s="215">
        <f>LOOKUP(P$2,'Depreciation Schedules'!$A$3:$A$42,'Depreciation Schedules'!$F$3:$F$42)</f>
        <v>0.05</v>
      </c>
      <c r="Q451" s="215">
        <f>LOOKUP(Q$2,'Depreciation Schedules'!$A$3:$A$42,'Depreciation Schedules'!$F$3:$F$42)</f>
        <v>0.05</v>
      </c>
      <c r="R451" s="215">
        <f>LOOKUP(R$2,'Depreciation Schedules'!$A$3:$A$42,'Depreciation Schedules'!$F$3:$F$42)</f>
        <v>0.05</v>
      </c>
      <c r="S451" s="215">
        <f>LOOKUP(S$2,'Depreciation Schedules'!$A$3:$A$42,'Depreciation Schedules'!$F$3:$F$42)</f>
        <v>0.05</v>
      </c>
      <c r="T451" s="215">
        <f>LOOKUP(T$2,'Depreciation Schedules'!$A$3:$A$42,'Depreciation Schedules'!$F$3:$F$42)</f>
        <v>0.05</v>
      </c>
      <c r="U451" s="215">
        <f>LOOKUP(U$2,'Depreciation Schedules'!$A$3:$A$42,'Depreciation Schedules'!$F$3:$F$42)</f>
        <v>0.05</v>
      </c>
      <c r="V451" s="215">
        <f>LOOKUP(V$2,'Depreciation Schedules'!$A$3:$A$42,'Depreciation Schedules'!$F$3:$F$42)</f>
        <v>0.05</v>
      </c>
      <c r="W451" s="215">
        <f>LOOKUP(W$2,'Depreciation Schedules'!$A$3:$A$42,'Depreciation Schedules'!$F$3:$F$42)</f>
        <v>2.5000000000000001E-2</v>
      </c>
      <c r="X451" s="215">
        <f>LOOKUP(X$2,'Depreciation Schedules'!$A$3:$A$42,'Depreciation Schedules'!$F$3:$F$42)</f>
        <v>0</v>
      </c>
      <c r="Y451" s="215">
        <f>LOOKUP(Y$2,'Depreciation Schedules'!$A$3:$A$42,'Depreciation Schedules'!$F$3:$F$42)</f>
        <v>0</v>
      </c>
      <c r="Z451" s="215">
        <f>LOOKUP(Z$2,'Depreciation Schedules'!$A$3:$A$42,'Depreciation Schedules'!$F$3:$F$42)</f>
        <v>0</v>
      </c>
      <c r="AA451" s="215">
        <f>LOOKUP(AA$2,'Depreciation Schedules'!$A$3:$A$42,'Depreciation Schedules'!$F$3:$F$42)</f>
        <v>0</v>
      </c>
      <c r="AB451" s="215">
        <f>LOOKUP(AB$2,'Depreciation Schedules'!$A$3:$A$42,'Depreciation Schedules'!$F$3:$F$42)</f>
        <v>0</v>
      </c>
      <c r="AC451" s="215">
        <f>LOOKUP(AC$2,'Depreciation Schedules'!$A$3:$A$42,'Depreciation Schedules'!$F$3:$F$42)</f>
        <v>0</v>
      </c>
      <c r="AD451" s="215">
        <f>LOOKUP(AD$2,'Depreciation Schedules'!$A$3:$A$42,'Depreciation Schedules'!$F$3:$F$42)</f>
        <v>0</v>
      </c>
      <c r="AE451" s="215">
        <f>LOOKUP(AE$2,'Depreciation Schedules'!$A$3:$A$42,'Depreciation Schedules'!$F$3:$F$42)</f>
        <v>0</v>
      </c>
      <c r="AF451" s="215">
        <f>LOOKUP(AF$2,'Depreciation Schedules'!$A$3:$A$42,'Depreciation Schedules'!$F$3:$F$42)</f>
        <v>0</v>
      </c>
      <c r="AG451" s="215">
        <f>LOOKUP(AG$2,'Depreciation Schedules'!$A$3:$A$42,'Depreciation Schedules'!$F$3:$F$42)</f>
        <v>0</v>
      </c>
      <c r="AH451" s="215">
        <f>LOOKUP(AH$2,'Depreciation Schedules'!$A$3:$A$42,'Depreciation Schedules'!$F$3:$F$42)</f>
        <v>0</v>
      </c>
      <c r="AI451" s="215">
        <f>LOOKUP(AI$2,'Depreciation Schedules'!$A$3:$A$42,'Depreciation Schedules'!$F$3:$F$42)</f>
        <v>0</v>
      </c>
      <c r="AJ451" s="215">
        <f>LOOKUP(AJ$2,'Depreciation Schedules'!$A$3:$A$42,'Depreciation Schedules'!$F$3:$F$42)</f>
        <v>0</v>
      </c>
      <c r="AK451" s="215">
        <f>LOOKUP(AK$2,'Depreciation Schedules'!$A$3:$A$42,'Depreciation Schedules'!$F$3:$F$42)</f>
        <v>0</v>
      </c>
      <c r="AL451" s="215">
        <f>LOOKUP(AL$2,'Depreciation Schedules'!$A$3:$A$42,'Depreciation Schedules'!$F$3:$F$42)</f>
        <v>0</v>
      </c>
      <c r="AM451" s="215">
        <f>LOOKUP(AM$2,'Depreciation Schedules'!$A$3:$A$42,'Depreciation Schedules'!$F$3:$F$42)</f>
        <v>0</v>
      </c>
      <c r="AN451" s="215">
        <f>LOOKUP(AN$2,'Depreciation Schedules'!$A$3:$A$42,'Depreciation Schedules'!$F$3:$F$42)</f>
        <v>0</v>
      </c>
      <c r="AO451" s="215">
        <f>LOOKUP(AO$2,'Depreciation Schedules'!$A$3:$A$42,'Depreciation Schedules'!$F$3:$F$42)</f>
        <v>0</v>
      </c>
      <c r="AP451" s="215">
        <f>LOOKUP(AP$2,'Depreciation Schedules'!$A$3:$A$42,'Depreciation Schedules'!$F$3:$F$42)</f>
        <v>0</v>
      </c>
    </row>
    <row r="452" spans="1:42">
      <c r="A452" s="205" t="str">
        <f t="shared" si="945"/>
        <v>39-yr SL</v>
      </c>
      <c r="B452" s="217">
        <f t="shared" si="946"/>
        <v>1.0000000000000004</v>
      </c>
      <c r="C452" s="215">
        <f>LOOKUP(C$2,'Depreciation Schedules'!$A$3:$A$42,'Depreciation Schedules'!$G$3:$G$42)</f>
        <v>1.2820512820512799E-2</v>
      </c>
      <c r="D452" s="215">
        <f>LOOKUP(D$2,'Depreciation Schedules'!$A$3:$A$42,'Depreciation Schedules'!$G$3:$G$42)</f>
        <v>2.564102564102564E-2</v>
      </c>
      <c r="E452" s="215">
        <f>LOOKUP(E$2,'Depreciation Schedules'!$A$3:$A$42,'Depreciation Schedules'!$G$3:$G$42)</f>
        <v>2.564102564102564E-2</v>
      </c>
      <c r="F452" s="215">
        <f>LOOKUP(F$2,'Depreciation Schedules'!$A$3:$A$42,'Depreciation Schedules'!$G$3:$G$42)</f>
        <v>2.564102564102564E-2</v>
      </c>
      <c r="G452" s="215">
        <f>LOOKUP(G$2,'Depreciation Schedules'!$A$3:$A$42,'Depreciation Schedules'!$G$3:$G$42)</f>
        <v>2.564102564102564E-2</v>
      </c>
      <c r="H452" s="215">
        <f>LOOKUP(H$2,'Depreciation Schedules'!$A$3:$A$42,'Depreciation Schedules'!$G$3:$G$42)</f>
        <v>2.564102564102564E-2</v>
      </c>
      <c r="I452" s="215">
        <f>LOOKUP(I$2,'Depreciation Schedules'!$A$3:$A$42,'Depreciation Schedules'!$G$3:$G$42)</f>
        <v>2.564102564102564E-2</v>
      </c>
      <c r="J452" s="215">
        <f>LOOKUP(J$2,'Depreciation Schedules'!$A$3:$A$42,'Depreciation Schedules'!$G$3:$G$42)</f>
        <v>2.564102564102564E-2</v>
      </c>
      <c r="K452" s="215">
        <f>LOOKUP(K$2,'Depreciation Schedules'!$A$3:$A$42,'Depreciation Schedules'!$G$3:$G$42)</f>
        <v>2.564102564102564E-2</v>
      </c>
      <c r="L452" s="215">
        <f>LOOKUP(L$2,'Depreciation Schedules'!$A$3:$A$42,'Depreciation Schedules'!$G$3:$G$42)</f>
        <v>2.564102564102564E-2</v>
      </c>
      <c r="M452" s="215">
        <f>LOOKUP(M$2,'Depreciation Schedules'!$A$3:$A$42,'Depreciation Schedules'!$G$3:$G$42)</f>
        <v>2.564102564102564E-2</v>
      </c>
      <c r="N452" s="215">
        <f>LOOKUP(N$2,'Depreciation Schedules'!$A$3:$A$42,'Depreciation Schedules'!$G$3:$G$42)</f>
        <v>2.564102564102564E-2</v>
      </c>
      <c r="O452" s="215">
        <f>LOOKUP(O$2,'Depreciation Schedules'!$A$3:$A$42,'Depreciation Schedules'!$G$3:$G$42)</f>
        <v>2.564102564102564E-2</v>
      </c>
      <c r="P452" s="215">
        <f>LOOKUP(P$2,'Depreciation Schedules'!$A$3:$A$42,'Depreciation Schedules'!$G$3:$G$42)</f>
        <v>2.564102564102564E-2</v>
      </c>
      <c r="Q452" s="215">
        <f>LOOKUP(Q$2,'Depreciation Schedules'!$A$3:$A$42,'Depreciation Schedules'!$G$3:$G$42)</f>
        <v>2.564102564102564E-2</v>
      </c>
      <c r="R452" s="215">
        <f>LOOKUP(R$2,'Depreciation Schedules'!$A$3:$A$42,'Depreciation Schedules'!$G$3:$G$42)</f>
        <v>2.564102564102564E-2</v>
      </c>
      <c r="S452" s="215">
        <f>LOOKUP(S$2,'Depreciation Schedules'!$A$3:$A$42,'Depreciation Schedules'!$G$3:$G$42)</f>
        <v>2.564102564102564E-2</v>
      </c>
      <c r="T452" s="215">
        <f>LOOKUP(T$2,'Depreciation Schedules'!$A$3:$A$42,'Depreciation Schedules'!$G$3:$G$42)</f>
        <v>2.564102564102564E-2</v>
      </c>
      <c r="U452" s="215">
        <f>LOOKUP(U$2,'Depreciation Schedules'!$A$3:$A$42,'Depreciation Schedules'!$G$3:$G$42)</f>
        <v>2.564102564102564E-2</v>
      </c>
      <c r="V452" s="215">
        <f>LOOKUP(V$2,'Depreciation Schedules'!$A$3:$A$42,'Depreciation Schedules'!$G$3:$G$42)</f>
        <v>2.564102564102564E-2</v>
      </c>
      <c r="W452" s="215">
        <f>LOOKUP(W$2,'Depreciation Schedules'!$A$3:$A$42,'Depreciation Schedules'!$G$3:$G$42)</f>
        <v>2.564102564102564E-2</v>
      </c>
      <c r="X452" s="215">
        <f>LOOKUP(X$2,'Depreciation Schedules'!$A$3:$A$42,'Depreciation Schedules'!$G$3:$G$42)</f>
        <v>2.564102564102564E-2</v>
      </c>
      <c r="Y452" s="215">
        <f>LOOKUP(Y$2,'Depreciation Schedules'!$A$3:$A$42,'Depreciation Schedules'!$G$3:$G$42)</f>
        <v>2.564102564102564E-2</v>
      </c>
      <c r="Z452" s="215">
        <f>LOOKUP(Z$2,'Depreciation Schedules'!$A$3:$A$42,'Depreciation Schedules'!$G$3:$G$42)</f>
        <v>2.564102564102564E-2</v>
      </c>
      <c r="AA452" s="215">
        <f>LOOKUP(AA$2,'Depreciation Schedules'!$A$3:$A$42,'Depreciation Schedules'!$G$3:$G$42)</f>
        <v>2.564102564102564E-2</v>
      </c>
      <c r="AB452" s="215">
        <f>LOOKUP(AB$2,'Depreciation Schedules'!$A$3:$A$42,'Depreciation Schedules'!$G$3:$G$42)</f>
        <v>2.564102564102564E-2</v>
      </c>
      <c r="AC452" s="215">
        <f>LOOKUP(AC$2,'Depreciation Schedules'!$A$3:$A$42,'Depreciation Schedules'!$G$3:$G$42)</f>
        <v>2.564102564102564E-2</v>
      </c>
      <c r="AD452" s="215">
        <f>LOOKUP(AD$2,'Depreciation Schedules'!$A$3:$A$42,'Depreciation Schedules'!$G$3:$G$42)</f>
        <v>2.564102564102564E-2</v>
      </c>
      <c r="AE452" s="215">
        <f>LOOKUP(AE$2,'Depreciation Schedules'!$A$3:$A$42,'Depreciation Schedules'!$G$3:$G$42)</f>
        <v>2.564102564102564E-2</v>
      </c>
      <c r="AF452" s="215">
        <f>LOOKUP(AF$2,'Depreciation Schedules'!$A$3:$A$42,'Depreciation Schedules'!$G$3:$G$42)</f>
        <v>2.564102564102564E-2</v>
      </c>
      <c r="AG452" s="215">
        <f>LOOKUP(AG$2,'Depreciation Schedules'!$A$3:$A$42,'Depreciation Schedules'!$G$3:$G$42)</f>
        <v>2.564102564102564E-2</v>
      </c>
      <c r="AH452" s="215">
        <f>LOOKUP(AH$2,'Depreciation Schedules'!$A$3:$A$42,'Depreciation Schedules'!$G$3:$G$42)</f>
        <v>2.564102564102564E-2</v>
      </c>
      <c r="AI452" s="215">
        <f>LOOKUP(AI$2,'Depreciation Schedules'!$A$3:$A$42,'Depreciation Schedules'!$G$3:$G$42)</f>
        <v>2.564102564102564E-2</v>
      </c>
      <c r="AJ452" s="215">
        <f>LOOKUP(AJ$2,'Depreciation Schedules'!$A$3:$A$42,'Depreciation Schedules'!$G$3:$G$42)</f>
        <v>2.564102564102564E-2</v>
      </c>
      <c r="AK452" s="215">
        <f>LOOKUP(AK$2,'Depreciation Schedules'!$A$3:$A$42,'Depreciation Schedules'!$G$3:$G$42)</f>
        <v>2.564102564102564E-2</v>
      </c>
      <c r="AL452" s="215">
        <f>LOOKUP(AL$2,'Depreciation Schedules'!$A$3:$A$42,'Depreciation Schedules'!$G$3:$G$42)</f>
        <v>2.564102564102564E-2</v>
      </c>
      <c r="AM452" s="215">
        <f>LOOKUP(AM$2,'Depreciation Schedules'!$A$3:$A$42,'Depreciation Schedules'!$G$3:$G$42)</f>
        <v>2.564102564102564E-2</v>
      </c>
      <c r="AN452" s="215">
        <f>LOOKUP(AN$2,'Depreciation Schedules'!$A$3:$A$42,'Depreciation Schedules'!$G$3:$G$42)</f>
        <v>2.564102564102564E-2</v>
      </c>
      <c r="AO452" s="215">
        <f>LOOKUP(AO$2,'Depreciation Schedules'!$A$3:$A$42,'Depreciation Schedules'!$G$3:$G$42)</f>
        <v>2.564102564102564E-2</v>
      </c>
      <c r="AP452" s="215">
        <f>LOOKUP(AP$2,'Depreciation Schedules'!$A$3:$A$42,'Depreciation Schedules'!$G$3:$G$42)</f>
        <v>1.2820512820512799E-2</v>
      </c>
    </row>
    <row r="453" spans="1:42">
      <c r="A453" s="257" t="s">
        <v>34</v>
      </c>
      <c r="C453" s="186"/>
      <c r="D453" s="186"/>
      <c r="E453" s="186"/>
      <c r="F453" s="186"/>
      <c r="G453" s="186"/>
      <c r="H453" s="186"/>
      <c r="I453" s="186"/>
      <c r="J453" s="186"/>
      <c r="K453" s="186"/>
      <c r="L453" s="186"/>
      <c r="M453" s="186"/>
      <c r="N453" s="186"/>
      <c r="O453" s="186"/>
      <c r="P453" s="186"/>
      <c r="Q453" s="186"/>
      <c r="R453" s="186"/>
      <c r="S453" s="186"/>
      <c r="T453" s="186"/>
      <c r="U453" s="186"/>
      <c r="V453" s="186"/>
      <c r="W453" s="186"/>
      <c r="X453" s="186"/>
      <c r="Y453" s="186"/>
      <c r="Z453" s="186"/>
      <c r="AA453" s="186"/>
      <c r="AB453" s="186"/>
      <c r="AC453" s="186"/>
      <c r="AD453" s="186"/>
      <c r="AE453" s="186"/>
      <c r="AF453" s="186"/>
      <c r="AG453" s="186"/>
      <c r="AH453" s="186"/>
      <c r="AI453" s="186"/>
      <c r="AJ453" s="186"/>
      <c r="AK453" s="186"/>
      <c r="AL453" s="186"/>
      <c r="AM453" s="186"/>
      <c r="AN453" s="186"/>
      <c r="AO453" s="186"/>
      <c r="AP453" s="186"/>
    </row>
    <row r="454" spans="1:42">
      <c r="A454" s="205" t="str">
        <f>A447</f>
        <v>5-yr MACRS</v>
      </c>
      <c r="B454" s="218">
        <f>SUM(C454:AP454)</f>
        <v>35626795.774256602</v>
      </c>
      <c r="C454" s="186">
        <f t="shared" ref="C454:AP454" si="947">C447*$Q414</f>
        <v>7125359.1548513211</v>
      </c>
      <c r="D454" s="186">
        <f t="shared" si="947"/>
        <v>11400574.647762112</v>
      </c>
      <c r="E454" s="186">
        <f t="shared" si="947"/>
        <v>6840344.7886572676</v>
      </c>
      <c r="F454" s="186">
        <f t="shared" si="947"/>
        <v>4104206.8731943606</v>
      </c>
      <c r="G454" s="186">
        <f t="shared" si="947"/>
        <v>4104206.8731943606</v>
      </c>
      <c r="H454" s="186">
        <f t="shared" si="947"/>
        <v>2052103.4365971803</v>
      </c>
      <c r="I454" s="186">
        <f t="shared" si="947"/>
        <v>0</v>
      </c>
      <c r="J454" s="186">
        <f t="shared" si="947"/>
        <v>0</v>
      </c>
      <c r="K454" s="186">
        <f t="shared" si="947"/>
        <v>0</v>
      </c>
      <c r="L454" s="186">
        <f t="shared" si="947"/>
        <v>0</v>
      </c>
      <c r="M454" s="186">
        <f t="shared" si="947"/>
        <v>0</v>
      </c>
      <c r="N454" s="186">
        <f t="shared" si="947"/>
        <v>0</v>
      </c>
      <c r="O454" s="186">
        <f t="shared" si="947"/>
        <v>0</v>
      </c>
      <c r="P454" s="186">
        <f t="shared" si="947"/>
        <v>0</v>
      </c>
      <c r="Q454" s="186">
        <f t="shared" si="947"/>
        <v>0</v>
      </c>
      <c r="R454" s="186">
        <f t="shared" si="947"/>
        <v>0</v>
      </c>
      <c r="S454" s="186">
        <f t="shared" si="947"/>
        <v>0</v>
      </c>
      <c r="T454" s="186">
        <f t="shared" si="947"/>
        <v>0</v>
      </c>
      <c r="U454" s="186">
        <f t="shared" si="947"/>
        <v>0</v>
      </c>
      <c r="V454" s="186">
        <f t="shared" si="947"/>
        <v>0</v>
      </c>
      <c r="W454" s="186">
        <f t="shared" si="947"/>
        <v>0</v>
      </c>
      <c r="X454" s="186">
        <f t="shared" si="947"/>
        <v>0</v>
      </c>
      <c r="Y454" s="186">
        <f t="shared" si="947"/>
        <v>0</v>
      </c>
      <c r="Z454" s="186">
        <f t="shared" si="947"/>
        <v>0</v>
      </c>
      <c r="AA454" s="186">
        <f t="shared" si="947"/>
        <v>0</v>
      </c>
      <c r="AB454" s="186">
        <f t="shared" si="947"/>
        <v>0</v>
      </c>
      <c r="AC454" s="186">
        <f t="shared" si="947"/>
        <v>0</v>
      </c>
      <c r="AD454" s="186">
        <f t="shared" si="947"/>
        <v>0</v>
      </c>
      <c r="AE454" s="186">
        <f t="shared" si="947"/>
        <v>0</v>
      </c>
      <c r="AF454" s="186">
        <f t="shared" si="947"/>
        <v>0</v>
      </c>
      <c r="AG454" s="186">
        <f t="shared" si="947"/>
        <v>0</v>
      </c>
      <c r="AH454" s="186">
        <f t="shared" si="947"/>
        <v>0</v>
      </c>
      <c r="AI454" s="186">
        <f t="shared" si="947"/>
        <v>0</v>
      </c>
      <c r="AJ454" s="186">
        <f t="shared" si="947"/>
        <v>0</v>
      </c>
      <c r="AK454" s="186">
        <f t="shared" si="947"/>
        <v>0</v>
      </c>
      <c r="AL454" s="186">
        <f t="shared" si="947"/>
        <v>0</v>
      </c>
      <c r="AM454" s="186">
        <f t="shared" si="947"/>
        <v>0</v>
      </c>
      <c r="AN454" s="186">
        <f t="shared" si="947"/>
        <v>0</v>
      </c>
      <c r="AO454" s="186">
        <f t="shared" si="947"/>
        <v>0</v>
      </c>
      <c r="AP454" s="186">
        <f t="shared" si="947"/>
        <v>0</v>
      </c>
    </row>
    <row r="455" spans="1:42">
      <c r="A455" s="205" t="str">
        <f t="shared" ref="A455:A459" si="948">A448</f>
        <v>15-yr MACRS</v>
      </c>
      <c r="B455" s="153">
        <f t="shared" ref="B455:B461" si="949">SUM(C455:AP455)</f>
        <v>667303.29165274533</v>
      </c>
      <c r="C455" s="186">
        <f t="shared" ref="C455:AP455" si="950">C448*$Q415</f>
        <v>33365.16458263727</v>
      </c>
      <c r="D455" s="186">
        <f t="shared" si="950"/>
        <v>63393.812707010809</v>
      </c>
      <c r="E455" s="186">
        <f t="shared" si="950"/>
        <v>57054.431436309729</v>
      </c>
      <c r="F455" s="186">
        <f t="shared" si="950"/>
        <v>51382.353457261393</v>
      </c>
      <c r="G455" s="186">
        <f t="shared" si="950"/>
        <v>46244.118111535252</v>
      </c>
      <c r="H455" s="186">
        <f t="shared" si="950"/>
        <v>41572.995069966033</v>
      </c>
      <c r="I455" s="186">
        <f t="shared" si="950"/>
        <v>39370.89420751197</v>
      </c>
      <c r="J455" s="186">
        <f t="shared" si="950"/>
        <v>39370.89420751197</v>
      </c>
      <c r="K455" s="186">
        <f t="shared" si="950"/>
        <v>39437.624536677249</v>
      </c>
      <c r="L455" s="186">
        <f t="shared" si="950"/>
        <v>39370.89420751197</v>
      </c>
      <c r="M455" s="186">
        <f t="shared" si="950"/>
        <v>39437.624536677249</v>
      </c>
      <c r="N455" s="186">
        <f t="shared" si="950"/>
        <v>39370.89420751197</v>
      </c>
      <c r="O455" s="186">
        <f t="shared" si="950"/>
        <v>39437.624536677249</v>
      </c>
      <c r="P455" s="186">
        <f t="shared" si="950"/>
        <v>39370.89420751197</v>
      </c>
      <c r="Q455" s="186">
        <f t="shared" si="950"/>
        <v>39437.624536677249</v>
      </c>
      <c r="R455" s="186">
        <f t="shared" si="950"/>
        <v>19685.447103755985</v>
      </c>
      <c r="S455" s="186">
        <f t="shared" si="950"/>
        <v>0</v>
      </c>
      <c r="T455" s="186">
        <f t="shared" si="950"/>
        <v>0</v>
      </c>
      <c r="U455" s="186">
        <f t="shared" si="950"/>
        <v>0</v>
      </c>
      <c r="V455" s="186">
        <f t="shared" si="950"/>
        <v>0</v>
      </c>
      <c r="W455" s="186">
        <f t="shared" si="950"/>
        <v>0</v>
      </c>
      <c r="X455" s="186">
        <f t="shared" si="950"/>
        <v>0</v>
      </c>
      <c r="Y455" s="186">
        <f t="shared" si="950"/>
        <v>0</v>
      </c>
      <c r="Z455" s="186">
        <f t="shared" si="950"/>
        <v>0</v>
      </c>
      <c r="AA455" s="186">
        <f t="shared" si="950"/>
        <v>0</v>
      </c>
      <c r="AB455" s="186">
        <f t="shared" si="950"/>
        <v>0</v>
      </c>
      <c r="AC455" s="186">
        <f t="shared" si="950"/>
        <v>0</v>
      </c>
      <c r="AD455" s="186">
        <f t="shared" si="950"/>
        <v>0</v>
      </c>
      <c r="AE455" s="186">
        <f t="shared" si="950"/>
        <v>0</v>
      </c>
      <c r="AF455" s="186">
        <f t="shared" si="950"/>
        <v>0</v>
      </c>
      <c r="AG455" s="186">
        <f t="shared" si="950"/>
        <v>0</v>
      </c>
      <c r="AH455" s="186">
        <f t="shared" si="950"/>
        <v>0</v>
      </c>
      <c r="AI455" s="186">
        <f t="shared" si="950"/>
        <v>0</v>
      </c>
      <c r="AJ455" s="186">
        <f t="shared" si="950"/>
        <v>0</v>
      </c>
      <c r="AK455" s="186">
        <f t="shared" si="950"/>
        <v>0</v>
      </c>
      <c r="AL455" s="186">
        <f t="shared" si="950"/>
        <v>0</v>
      </c>
      <c r="AM455" s="186">
        <f t="shared" si="950"/>
        <v>0</v>
      </c>
      <c r="AN455" s="186">
        <f t="shared" si="950"/>
        <v>0</v>
      </c>
      <c r="AO455" s="186">
        <f t="shared" si="950"/>
        <v>0</v>
      </c>
      <c r="AP455" s="186">
        <f t="shared" si="950"/>
        <v>0</v>
      </c>
    </row>
    <row r="456" spans="1:42">
      <c r="A456" s="205" t="str">
        <f t="shared" si="948"/>
        <v>5-yr SL</v>
      </c>
      <c r="B456" s="153">
        <f t="shared" si="949"/>
        <v>0</v>
      </c>
      <c r="C456" s="186">
        <f t="shared" ref="C456:AP456" si="951">C449*$Q416</f>
        <v>0</v>
      </c>
      <c r="D456" s="186">
        <f t="shared" si="951"/>
        <v>0</v>
      </c>
      <c r="E456" s="186">
        <f t="shared" si="951"/>
        <v>0</v>
      </c>
      <c r="F456" s="186">
        <f t="shared" si="951"/>
        <v>0</v>
      </c>
      <c r="G456" s="186">
        <f t="shared" si="951"/>
        <v>0</v>
      </c>
      <c r="H456" s="186">
        <f t="shared" si="951"/>
        <v>0</v>
      </c>
      <c r="I456" s="186">
        <f t="shared" si="951"/>
        <v>0</v>
      </c>
      <c r="J456" s="186">
        <f t="shared" si="951"/>
        <v>0</v>
      </c>
      <c r="K456" s="186">
        <f t="shared" si="951"/>
        <v>0</v>
      </c>
      <c r="L456" s="186">
        <f t="shared" si="951"/>
        <v>0</v>
      </c>
      <c r="M456" s="186">
        <f t="shared" si="951"/>
        <v>0</v>
      </c>
      <c r="N456" s="186">
        <f t="shared" si="951"/>
        <v>0</v>
      </c>
      <c r="O456" s="186">
        <f t="shared" si="951"/>
        <v>0</v>
      </c>
      <c r="P456" s="186">
        <f t="shared" si="951"/>
        <v>0</v>
      </c>
      <c r="Q456" s="186">
        <f t="shared" si="951"/>
        <v>0</v>
      </c>
      <c r="R456" s="186">
        <f t="shared" si="951"/>
        <v>0</v>
      </c>
      <c r="S456" s="186">
        <f t="shared" si="951"/>
        <v>0</v>
      </c>
      <c r="T456" s="186">
        <f t="shared" si="951"/>
        <v>0</v>
      </c>
      <c r="U456" s="186">
        <f t="shared" si="951"/>
        <v>0</v>
      </c>
      <c r="V456" s="186">
        <f t="shared" si="951"/>
        <v>0</v>
      </c>
      <c r="W456" s="186">
        <f t="shared" si="951"/>
        <v>0</v>
      </c>
      <c r="X456" s="186">
        <f t="shared" si="951"/>
        <v>0</v>
      </c>
      <c r="Y456" s="186">
        <f t="shared" si="951"/>
        <v>0</v>
      </c>
      <c r="Z456" s="186">
        <f t="shared" si="951"/>
        <v>0</v>
      </c>
      <c r="AA456" s="186">
        <f t="shared" si="951"/>
        <v>0</v>
      </c>
      <c r="AB456" s="186">
        <f t="shared" si="951"/>
        <v>0</v>
      </c>
      <c r="AC456" s="186">
        <f t="shared" si="951"/>
        <v>0</v>
      </c>
      <c r="AD456" s="186">
        <f t="shared" si="951"/>
        <v>0</v>
      </c>
      <c r="AE456" s="186">
        <f t="shared" si="951"/>
        <v>0</v>
      </c>
      <c r="AF456" s="186">
        <f t="shared" si="951"/>
        <v>0</v>
      </c>
      <c r="AG456" s="186">
        <f t="shared" si="951"/>
        <v>0</v>
      </c>
      <c r="AH456" s="186">
        <f t="shared" si="951"/>
        <v>0</v>
      </c>
      <c r="AI456" s="186">
        <f t="shared" si="951"/>
        <v>0</v>
      </c>
      <c r="AJ456" s="186">
        <f t="shared" si="951"/>
        <v>0</v>
      </c>
      <c r="AK456" s="186">
        <f t="shared" si="951"/>
        <v>0</v>
      </c>
      <c r="AL456" s="186">
        <f t="shared" si="951"/>
        <v>0</v>
      </c>
      <c r="AM456" s="186">
        <f t="shared" si="951"/>
        <v>0</v>
      </c>
      <c r="AN456" s="186">
        <f t="shared" si="951"/>
        <v>0</v>
      </c>
      <c r="AO456" s="186">
        <f t="shared" si="951"/>
        <v>0</v>
      </c>
      <c r="AP456" s="186">
        <f t="shared" si="951"/>
        <v>0</v>
      </c>
    </row>
    <row r="457" spans="1:42">
      <c r="A457" s="205" t="str">
        <f t="shared" si="948"/>
        <v>15-yr SL</v>
      </c>
      <c r="B457" s="153">
        <f t="shared" si="949"/>
        <v>1334606.5833054909</v>
      </c>
      <c r="C457" s="186">
        <f t="shared" ref="C457:AP457" si="952">C450*$Q417</f>
        <v>44442.39922407284</v>
      </c>
      <c r="D457" s="186">
        <f t="shared" si="952"/>
        <v>89018.259106476224</v>
      </c>
      <c r="E457" s="186">
        <f t="shared" si="952"/>
        <v>89018.259106476224</v>
      </c>
      <c r="F457" s="186">
        <f t="shared" si="952"/>
        <v>89018.259106476224</v>
      </c>
      <c r="G457" s="186">
        <f t="shared" si="952"/>
        <v>89018.259106476224</v>
      </c>
      <c r="H457" s="186">
        <f t="shared" si="952"/>
        <v>89018.259106476224</v>
      </c>
      <c r="I457" s="186">
        <f t="shared" si="952"/>
        <v>89018.259106476224</v>
      </c>
      <c r="J457" s="186">
        <f t="shared" si="952"/>
        <v>88884.798448145681</v>
      </c>
      <c r="K457" s="186">
        <f t="shared" si="952"/>
        <v>89018.259106476224</v>
      </c>
      <c r="L457" s="186">
        <f t="shared" si="952"/>
        <v>88884.798448145681</v>
      </c>
      <c r="M457" s="186">
        <f t="shared" si="952"/>
        <v>89018.259106476224</v>
      </c>
      <c r="N457" s="186">
        <f t="shared" si="952"/>
        <v>88884.798448145681</v>
      </c>
      <c r="O457" s="186">
        <f t="shared" si="952"/>
        <v>89018.259106476224</v>
      </c>
      <c r="P457" s="186">
        <f t="shared" si="952"/>
        <v>88884.798448145681</v>
      </c>
      <c r="Q457" s="186">
        <f t="shared" si="952"/>
        <v>89018.259106476224</v>
      </c>
      <c r="R457" s="186">
        <f t="shared" si="952"/>
        <v>44442.39922407284</v>
      </c>
      <c r="S457" s="186">
        <f t="shared" si="952"/>
        <v>0</v>
      </c>
      <c r="T457" s="186">
        <f t="shared" si="952"/>
        <v>0</v>
      </c>
      <c r="U457" s="186">
        <f t="shared" si="952"/>
        <v>0</v>
      </c>
      <c r="V457" s="186">
        <f t="shared" si="952"/>
        <v>0</v>
      </c>
      <c r="W457" s="186">
        <f t="shared" si="952"/>
        <v>0</v>
      </c>
      <c r="X457" s="186">
        <f t="shared" si="952"/>
        <v>0</v>
      </c>
      <c r="Y457" s="186">
        <f t="shared" si="952"/>
        <v>0</v>
      </c>
      <c r="Z457" s="186">
        <f t="shared" si="952"/>
        <v>0</v>
      </c>
      <c r="AA457" s="186">
        <f t="shared" si="952"/>
        <v>0</v>
      </c>
      <c r="AB457" s="186">
        <f t="shared" si="952"/>
        <v>0</v>
      </c>
      <c r="AC457" s="186">
        <f t="shared" si="952"/>
        <v>0</v>
      </c>
      <c r="AD457" s="186">
        <f t="shared" si="952"/>
        <v>0</v>
      </c>
      <c r="AE457" s="186">
        <f t="shared" si="952"/>
        <v>0</v>
      </c>
      <c r="AF457" s="186">
        <f t="shared" si="952"/>
        <v>0</v>
      </c>
      <c r="AG457" s="186">
        <f t="shared" si="952"/>
        <v>0</v>
      </c>
      <c r="AH457" s="186">
        <f t="shared" si="952"/>
        <v>0</v>
      </c>
      <c r="AI457" s="186">
        <f t="shared" si="952"/>
        <v>0</v>
      </c>
      <c r="AJ457" s="186">
        <f t="shared" si="952"/>
        <v>0</v>
      </c>
      <c r="AK457" s="186">
        <f t="shared" si="952"/>
        <v>0</v>
      </c>
      <c r="AL457" s="186">
        <f t="shared" si="952"/>
        <v>0</v>
      </c>
      <c r="AM457" s="186">
        <f t="shared" si="952"/>
        <v>0</v>
      </c>
      <c r="AN457" s="186">
        <f t="shared" si="952"/>
        <v>0</v>
      </c>
      <c r="AO457" s="186">
        <f t="shared" si="952"/>
        <v>0</v>
      </c>
      <c r="AP457" s="186">
        <f t="shared" si="952"/>
        <v>0</v>
      </c>
    </row>
    <row r="458" spans="1:42">
      <c r="A458" s="205" t="str">
        <f t="shared" si="948"/>
        <v>20-yr SL</v>
      </c>
      <c r="B458" s="153">
        <f t="shared" si="949"/>
        <v>1334606.5833054904</v>
      </c>
      <c r="C458" s="186">
        <f t="shared" ref="C458:AP458" si="953">C451*$Q418</f>
        <v>33365.16458263727</v>
      </c>
      <c r="D458" s="186">
        <f t="shared" si="953"/>
        <v>66730.329165274539</v>
      </c>
      <c r="E458" s="186">
        <f t="shared" si="953"/>
        <v>66730.329165274539</v>
      </c>
      <c r="F458" s="186">
        <f t="shared" si="953"/>
        <v>66730.329165274539</v>
      </c>
      <c r="G458" s="186">
        <f t="shared" si="953"/>
        <v>66730.329165274539</v>
      </c>
      <c r="H458" s="186">
        <f t="shared" si="953"/>
        <v>66730.329165274539</v>
      </c>
      <c r="I458" s="186">
        <f t="shared" si="953"/>
        <v>66730.329165274539</v>
      </c>
      <c r="J458" s="186">
        <f t="shared" si="953"/>
        <v>66730.329165274539</v>
      </c>
      <c r="K458" s="186">
        <f t="shared" si="953"/>
        <v>66730.329165274539</v>
      </c>
      <c r="L458" s="186">
        <f t="shared" si="953"/>
        <v>66730.329165274539</v>
      </c>
      <c r="M458" s="186">
        <f t="shared" si="953"/>
        <v>66730.329165274539</v>
      </c>
      <c r="N458" s="186">
        <f t="shared" si="953"/>
        <v>66730.329165274539</v>
      </c>
      <c r="O458" s="186">
        <f t="shared" si="953"/>
        <v>66730.329165274539</v>
      </c>
      <c r="P458" s="186">
        <f t="shared" si="953"/>
        <v>66730.329165274539</v>
      </c>
      <c r="Q458" s="186">
        <f t="shared" si="953"/>
        <v>66730.329165274539</v>
      </c>
      <c r="R458" s="186">
        <f t="shared" si="953"/>
        <v>66730.329165274539</v>
      </c>
      <c r="S458" s="186">
        <f t="shared" si="953"/>
        <v>66730.329165274539</v>
      </c>
      <c r="T458" s="186">
        <f t="shared" si="953"/>
        <v>66730.329165274539</v>
      </c>
      <c r="U458" s="186">
        <f t="shared" si="953"/>
        <v>66730.329165274539</v>
      </c>
      <c r="V458" s="186">
        <f t="shared" si="953"/>
        <v>66730.329165274539</v>
      </c>
      <c r="W458" s="186">
        <f t="shared" si="953"/>
        <v>33365.16458263727</v>
      </c>
      <c r="X458" s="186">
        <f t="shared" si="953"/>
        <v>0</v>
      </c>
      <c r="Y458" s="186">
        <f t="shared" si="953"/>
        <v>0</v>
      </c>
      <c r="Z458" s="186">
        <f t="shared" si="953"/>
        <v>0</v>
      </c>
      <c r="AA458" s="186">
        <f t="shared" si="953"/>
        <v>0</v>
      </c>
      <c r="AB458" s="186">
        <f t="shared" si="953"/>
        <v>0</v>
      </c>
      <c r="AC458" s="186">
        <f t="shared" si="953"/>
        <v>0</v>
      </c>
      <c r="AD458" s="186">
        <f t="shared" si="953"/>
        <v>0</v>
      </c>
      <c r="AE458" s="186">
        <f t="shared" si="953"/>
        <v>0</v>
      </c>
      <c r="AF458" s="186">
        <f t="shared" si="953"/>
        <v>0</v>
      </c>
      <c r="AG458" s="186">
        <f t="shared" si="953"/>
        <v>0</v>
      </c>
      <c r="AH458" s="186">
        <f t="shared" si="953"/>
        <v>0</v>
      </c>
      <c r="AI458" s="186">
        <f t="shared" si="953"/>
        <v>0</v>
      </c>
      <c r="AJ458" s="186">
        <f t="shared" si="953"/>
        <v>0</v>
      </c>
      <c r="AK458" s="186">
        <f t="shared" si="953"/>
        <v>0</v>
      </c>
      <c r="AL458" s="186">
        <f t="shared" si="953"/>
        <v>0</v>
      </c>
      <c r="AM458" s="186">
        <f t="shared" si="953"/>
        <v>0</v>
      </c>
      <c r="AN458" s="186">
        <f t="shared" si="953"/>
        <v>0</v>
      </c>
      <c r="AO458" s="186">
        <f t="shared" si="953"/>
        <v>0</v>
      </c>
      <c r="AP458" s="186">
        <f t="shared" si="953"/>
        <v>0</v>
      </c>
    </row>
    <row r="459" spans="1:42">
      <c r="A459" s="205" t="str">
        <f t="shared" si="948"/>
        <v>39-yr SL</v>
      </c>
      <c r="B459" s="153">
        <f t="shared" si="949"/>
        <v>222434.43055091499</v>
      </c>
      <c r="C459" s="186">
        <f t="shared" ref="C459:AP459" si="954">C452*$Q419</f>
        <v>2851.7234686014713</v>
      </c>
      <c r="D459" s="186">
        <f t="shared" si="954"/>
        <v>5703.4469372029516</v>
      </c>
      <c r="E459" s="186">
        <f t="shared" si="954"/>
        <v>5703.4469372029516</v>
      </c>
      <c r="F459" s="186">
        <f t="shared" si="954"/>
        <v>5703.4469372029516</v>
      </c>
      <c r="G459" s="186">
        <f t="shared" si="954"/>
        <v>5703.4469372029516</v>
      </c>
      <c r="H459" s="186">
        <f t="shared" si="954"/>
        <v>5703.4469372029516</v>
      </c>
      <c r="I459" s="186">
        <f t="shared" si="954"/>
        <v>5703.4469372029516</v>
      </c>
      <c r="J459" s="186">
        <f t="shared" si="954"/>
        <v>5703.4469372029516</v>
      </c>
      <c r="K459" s="186">
        <f t="shared" si="954"/>
        <v>5703.4469372029516</v>
      </c>
      <c r="L459" s="186">
        <f t="shared" si="954"/>
        <v>5703.4469372029516</v>
      </c>
      <c r="M459" s="186">
        <f t="shared" si="954"/>
        <v>5703.4469372029516</v>
      </c>
      <c r="N459" s="186">
        <f t="shared" si="954"/>
        <v>5703.4469372029516</v>
      </c>
      <c r="O459" s="186">
        <f t="shared" si="954"/>
        <v>5703.4469372029516</v>
      </c>
      <c r="P459" s="186">
        <f t="shared" si="954"/>
        <v>5703.4469372029516</v>
      </c>
      <c r="Q459" s="186">
        <f t="shared" si="954"/>
        <v>5703.4469372029516</v>
      </c>
      <c r="R459" s="186">
        <f t="shared" si="954"/>
        <v>5703.4469372029516</v>
      </c>
      <c r="S459" s="186">
        <f t="shared" si="954"/>
        <v>5703.4469372029516</v>
      </c>
      <c r="T459" s="186">
        <f t="shared" si="954"/>
        <v>5703.4469372029516</v>
      </c>
      <c r="U459" s="186">
        <f t="shared" si="954"/>
        <v>5703.4469372029516</v>
      </c>
      <c r="V459" s="186">
        <f t="shared" si="954"/>
        <v>5703.4469372029516</v>
      </c>
      <c r="W459" s="186">
        <f t="shared" si="954"/>
        <v>5703.4469372029516</v>
      </c>
      <c r="X459" s="186">
        <f t="shared" si="954"/>
        <v>5703.4469372029516</v>
      </c>
      <c r="Y459" s="186">
        <f t="shared" si="954"/>
        <v>5703.4469372029516</v>
      </c>
      <c r="Z459" s="186">
        <f t="shared" si="954"/>
        <v>5703.4469372029516</v>
      </c>
      <c r="AA459" s="186">
        <f t="shared" si="954"/>
        <v>5703.4469372029516</v>
      </c>
      <c r="AB459" s="186">
        <f t="shared" si="954"/>
        <v>5703.4469372029516</v>
      </c>
      <c r="AC459" s="186">
        <f t="shared" si="954"/>
        <v>5703.4469372029516</v>
      </c>
      <c r="AD459" s="186">
        <f t="shared" si="954"/>
        <v>5703.4469372029516</v>
      </c>
      <c r="AE459" s="186">
        <f t="shared" si="954"/>
        <v>5703.4469372029516</v>
      </c>
      <c r="AF459" s="186">
        <f t="shared" si="954"/>
        <v>5703.4469372029516</v>
      </c>
      <c r="AG459" s="186">
        <f t="shared" si="954"/>
        <v>5703.4469372029516</v>
      </c>
      <c r="AH459" s="186">
        <f t="shared" si="954"/>
        <v>5703.4469372029516</v>
      </c>
      <c r="AI459" s="186">
        <f t="shared" si="954"/>
        <v>5703.4469372029516</v>
      </c>
      <c r="AJ459" s="186">
        <f t="shared" si="954"/>
        <v>5703.4469372029516</v>
      </c>
      <c r="AK459" s="186">
        <f t="shared" si="954"/>
        <v>5703.4469372029516</v>
      </c>
      <c r="AL459" s="186">
        <f t="shared" si="954"/>
        <v>5703.4469372029516</v>
      </c>
      <c r="AM459" s="186">
        <f t="shared" si="954"/>
        <v>5703.4469372029516</v>
      </c>
      <c r="AN459" s="186">
        <f t="shared" si="954"/>
        <v>5703.4469372029516</v>
      </c>
      <c r="AO459" s="186">
        <f t="shared" si="954"/>
        <v>5703.4469372029516</v>
      </c>
      <c r="AP459" s="186">
        <f t="shared" si="954"/>
        <v>2851.7234686014713</v>
      </c>
    </row>
    <row r="460" spans="1:42">
      <c r="A460" s="205" t="s">
        <v>319</v>
      </c>
      <c r="B460" s="212">
        <f t="shared" si="949"/>
        <v>3958532.8638062896</v>
      </c>
      <c r="C460" s="187">
        <f>P421</f>
        <v>3958532.8638062896</v>
      </c>
      <c r="D460" s="187">
        <v>0</v>
      </c>
      <c r="E460" s="187">
        <v>0</v>
      </c>
      <c r="F460" s="187">
        <v>0</v>
      </c>
      <c r="G460" s="187">
        <v>0</v>
      </c>
      <c r="H460" s="187">
        <v>0</v>
      </c>
      <c r="I460" s="187">
        <v>0</v>
      </c>
      <c r="J460" s="187">
        <v>0</v>
      </c>
      <c r="K460" s="187">
        <v>0</v>
      </c>
      <c r="L460" s="187">
        <v>0</v>
      </c>
      <c r="M460" s="187">
        <v>0</v>
      </c>
      <c r="N460" s="187">
        <v>0</v>
      </c>
      <c r="O460" s="187">
        <v>0</v>
      </c>
      <c r="P460" s="187">
        <v>0</v>
      </c>
      <c r="Q460" s="187">
        <v>0</v>
      </c>
      <c r="R460" s="187">
        <v>0</v>
      </c>
      <c r="S460" s="187">
        <v>0</v>
      </c>
      <c r="T460" s="187">
        <v>0</v>
      </c>
      <c r="U460" s="187">
        <v>0</v>
      </c>
      <c r="V460" s="187">
        <v>0</v>
      </c>
      <c r="W460" s="187">
        <v>0</v>
      </c>
      <c r="X460" s="187">
        <v>0</v>
      </c>
      <c r="Y460" s="187">
        <v>0</v>
      </c>
      <c r="Z460" s="187">
        <v>0</v>
      </c>
      <c r="AA460" s="187">
        <v>0</v>
      </c>
      <c r="AB460" s="187">
        <v>0</v>
      </c>
      <c r="AC460" s="187">
        <v>0</v>
      </c>
      <c r="AD460" s="187">
        <v>0</v>
      </c>
      <c r="AE460" s="187">
        <v>0</v>
      </c>
      <c r="AF460" s="187">
        <v>0</v>
      </c>
      <c r="AG460" s="187">
        <v>0</v>
      </c>
      <c r="AH460" s="187">
        <v>0</v>
      </c>
      <c r="AI460" s="187">
        <v>0</v>
      </c>
      <c r="AJ460" s="187">
        <v>0</v>
      </c>
      <c r="AK460" s="187">
        <v>0</v>
      </c>
      <c r="AL460" s="187">
        <v>0</v>
      </c>
      <c r="AM460" s="187">
        <v>0</v>
      </c>
      <c r="AN460" s="187">
        <v>0</v>
      </c>
      <c r="AO460" s="187">
        <v>0</v>
      </c>
      <c r="AP460" s="187">
        <v>0</v>
      </c>
    </row>
    <row r="461" spans="1:42">
      <c r="A461" s="204"/>
      <c r="B461" s="212">
        <f t="shared" si="949"/>
        <v>43144279.526877552</v>
      </c>
      <c r="C461" s="186">
        <f>SUM(C454:C460)</f>
        <v>11197916.47051556</v>
      </c>
      <c r="D461" s="186">
        <f t="shared" ref="D461:AP461" si="955">SUM(D454:D460)</f>
        <v>11625420.495678077</v>
      </c>
      <c r="E461" s="186">
        <f t="shared" si="955"/>
        <v>7058851.2553025307</v>
      </c>
      <c r="F461" s="186">
        <f t="shared" si="955"/>
        <v>4317041.2618605755</v>
      </c>
      <c r="G461" s="186">
        <f t="shared" si="955"/>
        <v>4311903.0265148496</v>
      </c>
      <c r="H461" s="186">
        <f t="shared" si="955"/>
        <v>2255128.4668761003</v>
      </c>
      <c r="I461" s="186">
        <f t="shared" si="955"/>
        <v>200822.92941646569</v>
      </c>
      <c r="J461" s="186">
        <f t="shared" si="955"/>
        <v>200689.46875813513</v>
      </c>
      <c r="K461" s="186">
        <f t="shared" si="955"/>
        <v>200889.65974563095</v>
      </c>
      <c r="L461" s="186">
        <f t="shared" si="955"/>
        <v>200689.46875813513</v>
      </c>
      <c r="M461" s="186">
        <f t="shared" si="955"/>
        <v>200889.65974563095</v>
      </c>
      <c r="N461" s="186">
        <f t="shared" si="955"/>
        <v>200689.46875813513</v>
      </c>
      <c r="O461" s="186">
        <f t="shared" si="955"/>
        <v>200889.65974563095</v>
      </c>
      <c r="P461" s="186">
        <f t="shared" si="955"/>
        <v>200689.46875813513</v>
      </c>
      <c r="Q461" s="186">
        <f t="shared" si="955"/>
        <v>200889.65974563095</v>
      </c>
      <c r="R461" s="186">
        <f t="shared" si="955"/>
        <v>136561.62243030631</v>
      </c>
      <c r="S461" s="186">
        <f t="shared" si="955"/>
        <v>72433.776102477495</v>
      </c>
      <c r="T461" s="186">
        <f t="shared" si="955"/>
        <v>72433.776102477495</v>
      </c>
      <c r="U461" s="186">
        <f t="shared" si="955"/>
        <v>72433.776102477495</v>
      </c>
      <c r="V461" s="186">
        <f t="shared" si="955"/>
        <v>72433.776102477495</v>
      </c>
      <c r="W461" s="186">
        <f t="shared" si="955"/>
        <v>39068.611519840219</v>
      </c>
      <c r="X461" s="186">
        <f t="shared" si="955"/>
        <v>5703.4469372029516</v>
      </c>
      <c r="Y461" s="186">
        <f t="shared" si="955"/>
        <v>5703.4469372029516</v>
      </c>
      <c r="Z461" s="186">
        <f t="shared" si="955"/>
        <v>5703.4469372029516</v>
      </c>
      <c r="AA461" s="186">
        <f t="shared" si="955"/>
        <v>5703.4469372029516</v>
      </c>
      <c r="AB461" s="186">
        <f t="shared" si="955"/>
        <v>5703.4469372029516</v>
      </c>
      <c r="AC461" s="186">
        <f t="shared" si="955"/>
        <v>5703.4469372029516</v>
      </c>
      <c r="AD461" s="186">
        <f t="shared" si="955"/>
        <v>5703.4469372029516</v>
      </c>
      <c r="AE461" s="186">
        <f t="shared" si="955"/>
        <v>5703.4469372029516</v>
      </c>
      <c r="AF461" s="186">
        <f t="shared" si="955"/>
        <v>5703.4469372029516</v>
      </c>
      <c r="AG461" s="186">
        <f t="shared" si="955"/>
        <v>5703.4469372029516</v>
      </c>
      <c r="AH461" s="186">
        <f t="shared" si="955"/>
        <v>5703.4469372029516</v>
      </c>
      <c r="AI461" s="186">
        <f t="shared" si="955"/>
        <v>5703.4469372029516</v>
      </c>
      <c r="AJ461" s="186">
        <f t="shared" si="955"/>
        <v>5703.4469372029516</v>
      </c>
      <c r="AK461" s="186">
        <f t="shared" si="955"/>
        <v>5703.4469372029516</v>
      </c>
      <c r="AL461" s="186">
        <f t="shared" si="955"/>
        <v>5703.4469372029516</v>
      </c>
      <c r="AM461" s="186">
        <f t="shared" si="955"/>
        <v>5703.4469372029516</v>
      </c>
      <c r="AN461" s="186">
        <f t="shared" si="955"/>
        <v>5703.4469372029516</v>
      </c>
      <c r="AO461" s="186">
        <f t="shared" si="955"/>
        <v>5703.4469372029516</v>
      </c>
      <c r="AP461" s="186">
        <f t="shared" si="955"/>
        <v>2851.7234686014713</v>
      </c>
    </row>
    <row r="462" spans="1:42">
      <c r="A462" s="204"/>
      <c r="B462" s="186"/>
      <c r="C462" s="186"/>
      <c r="D462" s="186"/>
      <c r="E462" s="186"/>
      <c r="F462" s="186"/>
      <c r="G462" s="186"/>
      <c r="H462" s="186"/>
      <c r="I462" s="186"/>
      <c r="J462" s="186"/>
      <c r="K462" s="186"/>
      <c r="L462" s="186"/>
      <c r="M462" s="186"/>
      <c r="N462" s="186"/>
      <c r="O462" s="186"/>
      <c r="P462" s="186"/>
      <c r="Q462" s="186"/>
      <c r="R462" s="186"/>
      <c r="S462" s="186"/>
      <c r="T462" s="186"/>
      <c r="U462" s="186"/>
      <c r="V462" s="186"/>
      <c r="W462" s="186"/>
      <c r="X462" s="186"/>
      <c r="Y462" s="186"/>
      <c r="Z462" s="186"/>
      <c r="AA462" s="186"/>
      <c r="AB462" s="186"/>
      <c r="AC462" s="186"/>
      <c r="AD462" s="186"/>
      <c r="AE462" s="186"/>
      <c r="AF462" s="186"/>
      <c r="AG462" s="186"/>
      <c r="AH462" s="186"/>
      <c r="AI462" s="186"/>
      <c r="AJ462" s="186"/>
      <c r="AK462" s="186"/>
      <c r="AL462" s="186"/>
      <c r="AM462" s="186"/>
      <c r="AN462" s="186"/>
      <c r="AO462" s="186"/>
      <c r="AP462" s="186"/>
    </row>
    <row r="463" spans="1:42">
      <c r="A463" s="197" t="s">
        <v>206</v>
      </c>
      <c r="C463" s="186"/>
      <c r="D463" s="186"/>
      <c r="E463" s="186"/>
      <c r="F463" s="186"/>
      <c r="G463" s="186"/>
      <c r="H463" s="186"/>
      <c r="I463" s="186"/>
      <c r="J463" s="186"/>
      <c r="K463" s="186"/>
      <c r="L463" s="186"/>
      <c r="M463" s="186"/>
      <c r="N463" s="186"/>
      <c r="O463" s="186"/>
      <c r="P463" s="186"/>
      <c r="Q463" s="186"/>
      <c r="R463" s="186"/>
      <c r="S463" s="186"/>
      <c r="T463" s="186"/>
      <c r="U463" s="186"/>
      <c r="V463" s="186"/>
      <c r="W463" s="186"/>
      <c r="X463" s="186"/>
      <c r="Y463" s="186"/>
      <c r="Z463" s="186"/>
      <c r="AA463" s="186"/>
      <c r="AB463" s="186"/>
      <c r="AC463" s="186"/>
      <c r="AD463" s="186"/>
      <c r="AE463" s="186"/>
      <c r="AF463" s="186"/>
      <c r="AG463" s="186"/>
      <c r="AH463" s="186"/>
      <c r="AI463" s="186"/>
      <c r="AJ463" s="186"/>
      <c r="AK463" s="186"/>
      <c r="AL463" s="186"/>
      <c r="AM463" s="186"/>
      <c r="AN463" s="186"/>
      <c r="AO463" s="186"/>
      <c r="AP463" s="186"/>
    </row>
    <row r="464" spans="1:42">
      <c r="A464" s="204" t="s">
        <v>208</v>
      </c>
      <c r="B464" s="219" t="str">
        <f>MMFedTaxTreatment</f>
        <v>5-yr MACRS</v>
      </c>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c r="AM464" s="186"/>
      <c r="AN464" s="186"/>
      <c r="AO464" s="186"/>
      <c r="AP464" s="186"/>
    </row>
    <row r="465" spans="1:42">
      <c r="A465" s="204" t="s">
        <v>209</v>
      </c>
      <c r="B465" s="186">
        <f t="shared" ref="B465:AP465" si="956">B2</f>
        <v>0</v>
      </c>
      <c r="C465" s="186">
        <f t="shared" si="956"/>
        <v>1</v>
      </c>
      <c r="D465" s="186">
        <f t="shared" si="956"/>
        <v>2</v>
      </c>
      <c r="E465" s="186">
        <f t="shared" si="956"/>
        <v>3</v>
      </c>
      <c r="F465" s="186">
        <f t="shared" si="956"/>
        <v>4</v>
      </c>
      <c r="G465" s="186">
        <f t="shared" si="956"/>
        <v>5</v>
      </c>
      <c r="H465" s="186">
        <f t="shared" si="956"/>
        <v>6</v>
      </c>
      <c r="I465" s="186">
        <f t="shared" si="956"/>
        <v>7</v>
      </c>
      <c r="J465" s="186">
        <f t="shared" si="956"/>
        <v>8</v>
      </c>
      <c r="K465" s="186">
        <f t="shared" si="956"/>
        <v>9</v>
      </c>
      <c r="L465" s="186">
        <f t="shared" si="956"/>
        <v>10</v>
      </c>
      <c r="M465" s="186">
        <f t="shared" si="956"/>
        <v>11</v>
      </c>
      <c r="N465" s="186">
        <f t="shared" si="956"/>
        <v>12</v>
      </c>
      <c r="O465" s="186">
        <f t="shared" si="956"/>
        <v>13</v>
      </c>
      <c r="P465" s="186">
        <f t="shared" si="956"/>
        <v>14</v>
      </c>
      <c r="Q465" s="186">
        <f t="shared" si="956"/>
        <v>15</v>
      </c>
      <c r="R465" s="186">
        <f t="shared" si="956"/>
        <v>16</v>
      </c>
      <c r="S465" s="186">
        <f t="shared" si="956"/>
        <v>17</v>
      </c>
      <c r="T465" s="186">
        <f t="shared" si="956"/>
        <v>18</v>
      </c>
      <c r="U465" s="186">
        <f t="shared" si="956"/>
        <v>19</v>
      </c>
      <c r="V465" s="186">
        <f t="shared" si="956"/>
        <v>20</v>
      </c>
      <c r="W465" s="186">
        <f t="shared" si="956"/>
        <v>21</v>
      </c>
      <c r="X465" s="186">
        <f t="shared" si="956"/>
        <v>22</v>
      </c>
      <c r="Y465" s="186">
        <f t="shared" si="956"/>
        <v>23</v>
      </c>
      <c r="Z465" s="186">
        <f t="shared" si="956"/>
        <v>24</v>
      </c>
      <c r="AA465" s="186">
        <f t="shared" si="956"/>
        <v>25</v>
      </c>
      <c r="AB465" s="186">
        <f t="shared" si="956"/>
        <v>26</v>
      </c>
      <c r="AC465" s="186">
        <f t="shared" si="956"/>
        <v>27</v>
      </c>
      <c r="AD465" s="186">
        <f t="shared" si="956"/>
        <v>28</v>
      </c>
      <c r="AE465" s="186">
        <f t="shared" si="956"/>
        <v>29</v>
      </c>
      <c r="AF465" s="186">
        <f t="shared" si="956"/>
        <v>30</v>
      </c>
      <c r="AG465" s="186">
        <f t="shared" si="956"/>
        <v>31</v>
      </c>
      <c r="AH465" s="186">
        <f t="shared" si="956"/>
        <v>32</v>
      </c>
      <c r="AI465" s="186">
        <f t="shared" si="956"/>
        <v>33</v>
      </c>
      <c r="AJ465" s="186">
        <f t="shared" si="956"/>
        <v>34</v>
      </c>
      <c r="AK465" s="186">
        <f t="shared" si="956"/>
        <v>35</v>
      </c>
      <c r="AL465" s="186">
        <f t="shared" si="956"/>
        <v>36</v>
      </c>
      <c r="AM465" s="186">
        <f t="shared" si="956"/>
        <v>37</v>
      </c>
      <c r="AN465" s="186">
        <f t="shared" si="956"/>
        <v>38</v>
      </c>
      <c r="AO465" s="186">
        <f t="shared" si="956"/>
        <v>39</v>
      </c>
      <c r="AP465" s="186">
        <f t="shared" si="956"/>
        <v>40</v>
      </c>
    </row>
    <row r="466" spans="1:42">
      <c r="A466" s="204" t="s">
        <v>210</v>
      </c>
      <c r="B466" s="220">
        <v>0</v>
      </c>
      <c r="C466" s="215">
        <f t="shared" ref="C466:AP466" si="957">IF($B$464=$A447,C447,0)+IF($B$464=$A448,C448,0)+IF($B$464=$A449,C449,0)+IF($B$464=$A450,C450,0)+IF($B$464=$A451,C451,0)+IF($B$464=$A452,C452,0)</f>
        <v>0.2</v>
      </c>
      <c r="D466" s="215">
        <f t="shared" si="957"/>
        <v>0.32</v>
      </c>
      <c r="E466" s="215">
        <f t="shared" si="957"/>
        <v>0.192</v>
      </c>
      <c r="F466" s="215">
        <f t="shared" si="957"/>
        <v>0.1152</v>
      </c>
      <c r="G466" s="215">
        <f t="shared" si="957"/>
        <v>0.1152</v>
      </c>
      <c r="H466" s="215">
        <f t="shared" si="957"/>
        <v>5.7599999999999998E-2</v>
      </c>
      <c r="I466" s="215">
        <f t="shared" si="957"/>
        <v>0</v>
      </c>
      <c r="J466" s="215">
        <f t="shared" si="957"/>
        <v>0</v>
      </c>
      <c r="K466" s="215">
        <f t="shared" si="957"/>
        <v>0</v>
      </c>
      <c r="L466" s="215">
        <f t="shared" si="957"/>
        <v>0</v>
      </c>
      <c r="M466" s="215">
        <f t="shared" si="957"/>
        <v>0</v>
      </c>
      <c r="N466" s="215">
        <f t="shared" si="957"/>
        <v>0</v>
      </c>
      <c r="O466" s="215">
        <f t="shared" si="957"/>
        <v>0</v>
      </c>
      <c r="P466" s="215">
        <f t="shared" si="957"/>
        <v>0</v>
      </c>
      <c r="Q466" s="215">
        <f t="shared" si="957"/>
        <v>0</v>
      </c>
      <c r="R466" s="215">
        <f t="shared" si="957"/>
        <v>0</v>
      </c>
      <c r="S466" s="215">
        <f t="shared" si="957"/>
        <v>0</v>
      </c>
      <c r="T466" s="215">
        <f t="shared" si="957"/>
        <v>0</v>
      </c>
      <c r="U466" s="215">
        <f t="shared" si="957"/>
        <v>0</v>
      </c>
      <c r="V466" s="215">
        <f t="shared" si="957"/>
        <v>0</v>
      </c>
      <c r="W466" s="215">
        <f t="shared" si="957"/>
        <v>0</v>
      </c>
      <c r="X466" s="215">
        <f t="shared" si="957"/>
        <v>0</v>
      </c>
      <c r="Y466" s="215">
        <f t="shared" si="957"/>
        <v>0</v>
      </c>
      <c r="Z466" s="215">
        <f t="shared" si="957"/>
        <v>0</v>
      </c>
      <c r="AA466" s="215">
        <f t="shared" si="957"/>
        <v>0</v>
      </c>
      <c r="AB466" s="215">
        <f t="shared" si="957"/>
        <v>0</v>
      </c>
      <c r="AC466" s="215">
        <f t="shared" si="957"/>
        <v>0</v>
      </c>
      <c r="AD466" s="215">
        <f t="shared" si="957"/>
        <v>0</v>
      </c>
      <c r="AE466" s="215">
        <f t="shared" si="957"/>
        <v>0</v>
      </c>
      <c r="AF466" s="215">
        <f t="shared" si="957"/>
        <v>0</v>
      </c>
      <c r="AG466" s="215">
        <f t="shared" si="957"/>
        <v>0</v>
      </c>
      <c r="AH466" s="215">
        <f t="shared" si="957"/>
        <v>0</v>
      </c>
      <c r="AI466" s="215">
        <f t="shared" si="957"/>
        <v>0</v>
      </c>
      <c r="AJ466" s="215">
        <f t="shared" si="957"/>
        <v>0</v>
      </c>
      <c r="AK466" s="215">
        <f t="shared" si="957"/>
        <v>0</v>
      </c>
      <c r="AL466" s="215">
        <f t="shared" si="957"/>
        <v>0</v>
      </c>
      <c r="AM466" s="215">
        <f t="shared" si="957"/>
        <v>0</v>
      </c>
      <c r="AN466" s="215">
        <f t="shared" si="957"/>
        <v>0</v>
      </c>
      <c r="AO466" s="215">
        <f t="shared" si="957"/>
        <v>0</v>
      </c>
      <c r="AP466" s="215">
        <f t="shared" si="957"/>
        <v>0</v>
      </c>
    </row>
    <row r="467" spans="1:42">
      <c r="A467" s="197"/>
      <c r="C467" s="186"/>
      <c r="D467" s="186"/>
      <c r="E467" s="186"/>
      <c r="F467" s="186"/>
      <c r="G467" s="186"/>
      <c r="H467" s="186"/>
      <c r="I467" s="186"/>
      <c r="J467" s="186"/>
      <c r="K467" s="186"/>
      <c r="L467" s="186"/>
      <c r="M467" s="186"/>
      <c r="N467" s="186"/>
      <c r="O467" s="186"/>
      <c r="P467" s="186"/>
      <c r="Q467" s="186"/>
      <c r="R467" s="186"/>
      <c r="S467" s="186"/>
      <c r="T467" s="186"/>
      <c r="U467" s="186"/>
      <c r="V467" s="186"/>
      <c r="W467" s="186"/>
      <c r="X467" s="186"/>
      <c r="Y467" s="186"/>
      <c r="Z467" s="186"/>
      <c r="AA467" s="186"/>
      <c r="AB467" s="186"/>
      <c r="AC467" s="186"/>
      <c r="AD467" s="186"/>
      <c r="AE467" s="186"/>
      <c r="AF467" s="186"/>
      <c r="AG467" s="186"/>
      <c r="AH467" s="186"/>
      <c r="AI467" s="186"/>
      <c r="AJ467" s="186"/>
      <c r="AK467" s="186"/>
      <c r="AL467" s="186"/>
      <c r="AM467" s="186"/>
      <c r="AN467" s="186"/>
      <c r="AO467" s="186"/>
      <c r="AP467" s="186"/>
    </row>
    <row r="468" spans="1:42">
      <c r="A468" s="197" t="s">
        <v>368</v>
      </c>
      <c r="C468" s="186"/>
      <c r="D468" s="186"/>
      <c r="E468" s="186"/>
      <c r="F468" s="186"/>
      <c r="G468" s="186"/>
      <c r="H468" s="186"/>
      <c r="I468" s="186"/>
      <c r="J468" s="186"/>
      <c r="K468" s="186"/>
      <c r="L468" s="186"/>
      <c r="M468" s="186"/>
      <c r="N468" s="186"/>
      <c r="O468" s="186"/>
      <c r="P468" s="186"/>
      <c r="Q468" s="186"/>
      <c r="R468" s="186"/>
      <c r="S468" s="186"/>
      <c r="T468" s="186"/>
      <c r="U468" s="186"/>
      <c r="V468" s="186"/>
      <c r="W468" s="186"/>
      <c r="X468" s="186"/>
      <c r="Y468" s="186"/>
      <c r="Z468" s="186"/>
      <c r="AA468" s="186"/>
      <c r="AB468" s="186"/>
      <c r="AC468" s="186"/>
      <c r="AD468" s="186"/>
      <c r="AE468" s="186"/>
      <c r="AF468" s="186"/>
      <c r="AG468" s="186"/>
      <c r="AH468" s="186"/>
      <c r="AI468" s="186"/>
      <c r="AJ468" s="186"/>
      <c r="AK468" s="186"/>
      <c r="AL468" s="186"/>
      <c r="AM468" s="186"/>
      <c r="AN468" s="186"/>
      <c r="AO468" s="186"/>
      <c r="AP468" s="186"/>
    </row>
    <row r="469" spans="1:42">
      <c r="A469" s="204" t="s">
        <v>207</v>
      </c>
      <c r="C469" s="186"/>
      <c r="D469" s="186"/>
      <c r="E469" s="186"/>
      <c r="F469" s="186"/>
      <c r="G469" s="186"/>
      <c r="H469" s="186"/>
      <c r="I469" s="186"/>
      <c r="J469" s="186"/>
      <c r="K469" s="186"/>
      <c r="L469" s="186"/>
      <c r="M469" s="186"/>
      <c r="N469" s="186"/>
      <c r="O469" s="186"/>
      <c r="P469" s="186"/>
      <c r="Q469" s="186"/>
      <c r="R469" s="186"/>
      <c r="S469" s="186"/>
      <c r="T469" s="186"/>
      <c r="U469" s="186"/>
      <c r="V469" s="186"/>
      <c r="W469" s="186"/>
      <c r="X469" s="186"/>
      <c r="Y469" s="186"/>
      <c r="Z469" s="186"/>
      <c r="AA469" s="186"/>
      <c r="AB469" s="186"/>
      <c r="AC469" s="186"/>
      <c r="AD469" s="186"/>
      <c r="AE469" s="186"/>
      <c r="AF469" s="186"/>
      <c r="AG469" s="186"/>
      <c r="AH469" s="186"/>
      <c r="AI469" s="186"/>
      <c r="AJ469" s="186"/>
      <c r="AK469" s="186"/>
      <c r="AL469" s="186"/>
      <c r="AM469" s="186"/>
      <c r="AN469" s="186"/>
      <c r="AO469" s="186"/>
      <c r="AP469" s="186"/>
    </row>
    <row r="470" spans="1:42">
      <c r="A470" s="118">
        <v>1</v>
      </c>
      <c r="C470" s="186">
        <f>C336</f>
        <v>0</v>
      </c>
      <c r="D470" s="186">
        <f t="shared" ref="D470:AP470" si="958">D336</f>
        <v>0</v>
      </c>
      <c r="E470" s="186">
        <f t="shared" si="958"/>
        <v>0</v>
      </c>
      <c r="F470" s="186">
        <f t="shared" si="958"/>
        <v>0</v>
      </c>
      <c r="G470" s="186">
        <f t="shared" si="958"/>
        <v>0</v>
      </c>
      <c r="H470" s="186">
        <f t="shared" si="958"/>
        <v>0</v>
      </c>
      <c r="I470" s="186">
        <f t="shared" si="958"/>
        <v>0</v>
      </c>
      <c r="J470" s="186">
        <f t="shared" si="958"/>
        <v>0</v>
      </c>
      <c r="K470" s="186">
        <f t="shared" si="958"/>
        <v>0</v>
      </c>
      <c r="L470" s="186">
        <f t="shared" si="958"/>
        <v>0</v>
      </c>
      <c r="M470" s="186">
        <f t="shared" si="958"/>
        <v>0</v>
      </c>
      <c r="N470" s="186">
        <f t="shared" si="958"/>
        <v>1</v>
      </c>
      <c r="O470" s="186">
        <f t="shared" si="958"/>
        <v>2</v>
      </c>
      <c r="P470" s="186">
        <f t="shared" si="958"/>
        <v>3</v>
      </c>
      <c r="Q470" s="186">
        <f t="shared" si="958"/>
        <v>4</v>
      </c>
      <c r="R470" s="186">
        <f t="shared" si="958"/>
        <v>5</v>
      </c>
      <c r="S470" s="186">
        <f t="shared" si="958"/>
        <v>6</v>
      </c>
      <c r="T470" s="186">
        <f t="shared" si="958"/>
        <v>7</v>
      </c>
      <c r="U470" s="186">
        <f t="shared" si="958"/>
        <v>8</v>
      </c>
      <c r="V470" s="186">
        <f t="shared" si="958"/>
        <v>9</v>
      </c>
      <c r="W470" s="186">
        <f t="shared" si="958"/>
        <v>10</v>
      </c>
      <c r="X470" s="186">
        <f t="shared" si="958"/>
        <v>11</v>
      </c>
      <c r="Y470" s="186">
        <f t="shared" si="958"/>
        <v>12</v>
      </c>
      <c r="Z470" s="186">
        <f t="shared" si="958"/>
        <v>13</v>
      </c>
      <c r="AA470" s="186">
        <f t="shared" si="958"/>
        <v>14</v>
      </c>
      <c r="AB470" s="186">
        <f t="shared" si="958"/>
        <v>15</v>
      </c>
      <c r="AC470" s="186">
        <f t="shared" si="958"/>
        <v>16</v>
      </c>
      <c r="AD470" s="186">
        <f t="shared" si="958"/>
        <v>17</v>
      </c>
      <c r="AE470" s="186">
        <f t="shared" si="958"/>
        <v>18</v>
      </c>
      <c r="AF470" s="186">
        <f t="shared" si="958"/>
        <v>19</v>
      </c>
      <c r="AG470" s="186">
        <f t="shared" si="958"/>
        <v>0</v>
      </c>
      <c r="AH470" s="186">
        <f t="shared" si="958"/>
        <v>0</v>
      </c>
      <c r="AI470" s="186">
        <f t="shared" si="958"/>
        <v>0</v>
      </c>
      <c r="AJ470" s="186">
        <f t="shared" si="958"/>
        <v>0</v>
      </c>
      <c r="AK470" s="186">
        <f t="shared" si="958"/>
        <v>0</v>
      </c>
      <c r="AL470" s="186">
        <f t="shared" si="958"/>
        <v>0</v>
      </c>
      <c r="AM470" s="186">
        <f t="shared" si="958"/>
        <v>0</v>
      </c>
      <c r="AN470" s="186">
        <f t="shared" si="958"/>
        <v>0</v>
      </c>
      <c r="AO470" s="186">
        <f t="shared" si="958"/>
        <v>0</v>
      </c>
      <c r="AP470" s="186">
        <f t="shared" si="958"/>
        <v>0</v>
      </c>
    </row>
    <row r="471" spans="1:42">
      <c r="A471" s="118">
        <f>A470+1</f>
        <v>2</v>
      </c>
      <c r="C471" s="186">
        <f t="shared" ref="C471:C479" si="959">C337</f>
        <v>0</v>
      </c>
      <c r="D471" s="186">
        <f t="shared" ref="D471:AP471" si="960">D337</f>
        <v>0</v>
      </c>
      <c r="E471" s="186">
        <f t="shared" si="960"/>
        <v>0</v>
      </c>
      <c r="F471" s="186">
        <f t="shared" si="960"/>
        <v>0</v>
      </c>
      <c r="G471" s="186">
        <f t="shared" si="960"/>
        <v>0</v>
      </c>
      <c r="H471" s="186">
        <f t="shared" si="960"/>
        <v>0</v>
      </c>
      <c r="I471" s="186">
        <f t="shared" si="960"/>
        <v>0</v>
      </c>
      <c r="J471" s="186">
        <f t="shared" si="960"/>
        <v>0</v>
      </c>
      <c r="K471" s="186">
        <f t="shared" si="960"/>
        <v>0</v>
      </c>
      <c r="L471" s="186">
        <f t="shared" si="960"/>
        <v>0</v>
      </c>
      <c r="M471" s="186">
        <f t="shared" si="960"/>
        <v>0</v>
      </c>
      <c r="N471" s="186">
        <f t="shared" si="960"/>
        <v>0</v>
      </c>
      <c r="O471" s="186">
        <f t="shared" si="960"/>
        <v>0</v>
      </c>
      <c r="P471" s="186">
        <f t="shared" si="960"/>
        <v>0</v>
      </c>
      <c r="Q471" s="186">
        <f t="shared" si="960"/>
        <v>0</v>
      </c>
      <c r="R471" s="186">
        <f t="shared" si="960"/>
        <v>0</v>
      </c>
      <c r="S471" s="186">
        <f t="shared" si="960"/>
        <v>0</v>
      </c>
      <c r="T471" s="186">
        <f t="shared" si="960"/>
        <v>0</v>
      </c>
      <c r="U471" s="186">
        <f t="shared" si="960"/>
        <v>0</v>
      </c>
      <c r="V471" s="186">
        <f t="shared" si="960"/>
        <v>0</v>
      </c>
      <c r="W471" s="186">
        <f t="shared" si="960"/>
        <v>0</v>
      </c>
      <c r="X471" s="186">
        <f t="shared" si="960"/>
        <v>0</v>
      </c>
      <c r="Y471" s="186">
        <f t="shared" si="960"/>
        <v>0</v>
      </c>
      <c r="Z471" s="186">
        <f t="shared" si="960"/>
        <v>1</v>
      </c>
      <c r="AA471" s="186">
        <f t="shared" si="960"/>
        <v>2</v>
      </c>
      <c r="AB471" s="186">
        <f t="shared" si="960"/>
        <v>3</v>
      </c>
      <c r="AC471" s="186">
        <f t="shared" si="960"/>
        <v>4</v>
      </c>
      <c r="AD471" s="186">
        <f t="shared" si="960"/>
        <v>5</v>
      </c>
      <c r="AE471" s="186">
        <f t="shared" si="960"/>
        <v>6</v>
      </c>
      <c r="AF471" s="186">
        <f t="shared" si="960"/>
        <v>7</v>
      </c>
      <c r="AG471" s="186">
        <f t="shared" si="960"/>
        <v>0</v>
      </c>
      <c r="AH471" s="186">
        <f t="shared" si="960"/>
        <v>0</v>
      </c>
      <c r="AI471" s="186">
        <f t="shared" si="960"/>
        <v>0</v>
      </c>
      <c r="AJ471" s="186">
        <f t="shared" si="960"/>
        <v>0</v>
      </c>
      <c r="AK471" s="186">
        <f t="shared" si="960"/>
        <v>0</v>
      </c>
      <c r="AL471" s="186">
        <f t="shared" si="960"/>
        <v>0</v>
      </c>
      <c r="AM471" s="186">
        <f t="shared" si="960"/>
        <v>0</v>
      </c>
      <c r="AN471" s="186">
        <f t="shared" si="960"/>
        <v>0</v>
      </c>
      <c r="AO471" s="186">
        <f t="shared" si="960"/>
        <v>0</v>
      </c>
      <c r="AP471" s="186">
        <f t="shared" si="960"/>
        <v>0</v>
      </c>
    </row>
    <row r="472" spans="1:42">
      <c r="A472" s="118">
        <f t="shared" ref="A472:A477" si="961">A471+1</f>
        <v>3</v>
      </c>
      <c r="C472" s="186">
        <f t="shared" si="959"/>
        <v>0</v>
      </c>
      <c r="D472" s="186">
        <f t="shared" ref="D472:AP472" si="962">D338</f>
        <v>0</v>
      </c>
      <c r="E472" s="186">
        <f t="shared" si="962"/>
        <v>0</v>
      </c>
      <c r="F472" s="186">
        <f t="shared" si="962"/>
        <v>0</v>
      </c>
      <c r="G472" s="186">
        <f t="shared" si="962"/>
        <v>0</v>
      </c>
      <c r="H472" s="186">
        <f t="shared" si="962"/>
        <v>0</v>
      </c>
      <c r="I472" s="186">
        <f t="shared" si="962"/>
        <v>0</v>
      </c>
      <c r="J472" s="186">
        <f t="shared" si="962"/>
        <v>0</v>
      </c>
      <c r="K472" s="186">
        <f t="shared" si="962"/>
        <v>0</v>
      </c>
      <c r="L472" s="186">
        <f t="shared" si="962"/>
        <v>0</v>
      </c>
      <c r="M472" s="186">
        <f t="shared" si="962"/>
        <v>0</v>
      </c>
      <c r="N472" s="186">
        <f t="shared" si="962"/>
        <v>0</v>
      </c>
      <c r="O472" s="186">
        <f t="shared" si="962"/>
        <v>0</v>
      </c>
      <c r="P472" s="186">
        <f t="shared" si="962"/>
        <v>0</v>
      </c>
      <c r="Q472" s="186">
        <f t="shared" si="962"/>
        <v>0</v>
      </c>
      <c r="R472" s="186">
        <f t="shared" si="962"/>
        <v>0</v>
      </c>
      <c r="S472" s="186">
        <f t="shared" si="962"/>
        <v>0</v>
      </c>
      <c r="T472" s="186">
        <f t="shared" si="962"/>
        <v>0</v>
      </c>
      <c r="U472" s="186">
        <f t="shared" si="962"/>
        <v>0</v>
      </c>
      <c r="V472" s="186">
        <f t="shared" si="962"/>
        <v>0</v>
      </c>
      <c r="W472" s="186">
        <f t="shared" si="962"/>
        <v>0</v>
      </c>
      <c r="X472" s="186">
        <f t="shared" si="962"/>
        <v>0</v>
      </c>
      <c r="Y472" s="186">
        <f t="shared" si="962"/>
        <v>0</v>
      </c>
      <c r="Z472" s="186">
        <f t="shared" si="962"/>
        <v>0</v>
      </c>
      <c r="AA472" s="186">
        <f t="shared" si="962"/>
        <v>0</v>
      </c>
      <c r="AB472" s="186">
        <f t="shared" si="962"/>
        <v>0</v>
      </c>
      <c r="AC472" s="186">
        <f t="shared" si="962"/>
        <v>0</v>
      </c>
      <c r="AD472" s="186">
        <f t="shared" si="962"/>
        <v>0</v>
      </c>
      <c r="AE472" s="186">
        <f t="shared" si="962"/>
        <v>0</v>
      </c>
      <c r="AF472" s="186">
        <f t="shared" si="962"/>
        <v>0</v>
      </c>
      <c r="AG472" s="186">
        <f t="shared" si="962"/>
        <v>0</v>
      </c>
      <c r="AH472" s="186">
        <f t="shared" si="962"/>
        <v>0</v>
      </c>
      <c r="AI472" s="186">
        <f t="shared" si="962"/>
        <v>0</v>
      </c>
      <c r="AJ472" s="186">
        <f t="shared" si="962"/>
        <v>0</v>
      </c>
      <c r="AK472" s="186">
        <f t="shared" si="962"/>
        <v>0</v>
      </c>
      <c r="AL472" s="186">
        <f t="shared" si="962"/>
        <v>0</v>
      </c>
      <c r="AM472" s="186">
        <f t="shared" si="962"/>
        <v>0</v>
      </c>
      <c r="AN472" s="186">
        <f t="shared" si="962"/>
        <v>0</v>
      </c>
      <c r="AO472" s="186">
        <f t="shared" si="962"/>
        <v>0</v>
      </c>
      <c r="AP472" s="186">
        <f t="shared" si="962"/>
        <v>0</v>
      </c>
    </row>
    <row r="473" spans="1:42">
      <c r="A473" s="118">
        <f t="shared" si="961"/>
        <v>4</v>
      </c>
      <c r="C473" s="186">
        <f t="shared" si="959"/>
        <v>0</v>
      </c>
      <c r="D473" s="186">
        <f t="shared" ref="D473:AP473" si="963">D339</f>
        <v>0</v>
      </c>
      <c r="E473" s="186">
        <f t="shared" si="963"/>
        <v>0</v>
      </c>
      <c r="F473" s="186">
        <f t="shared" si="963"/>
        <v>0</v>
      </c>
      <c r="G473" s="186">
        <f t="shared" si="963"/>
        <v>0</v>
      </c>
      <c r="H473" s="186">
        <f t="shared" si="963"/>
        <v>0</v>
      </c>
      <c r="I473" s="186">
        <f t="shared" si="963"/>
        <v>0</v>
      </c>
      <c r="J473" s="186">
        <f t="shared" si="963"/>
        <v>0</v>
      </c>
      <c r="K473" s="186">
        <f t="shared" si="963"/>
        <v>0</v>
      </c>
      <c r="L473" s="186">
        <f t="shared" si="963"/>
        <v>0</v>
      </c>
      <c r="M473" s="186">
        <f t="shared" si="963"/>
        <v>0</v>
      </c>
      <c r="N473" s="186">
        <f t="shared" si="963"/>
        <v>0</v>
      </c>
      <c r="O473" s="186">
        <f t="shared" si="963"/>
        <v>0</v>
      </c>
      <c r="P473" s="186">
        <f t="shared" si="963"/>
        <v>0</v>
      </c>
      <c r="Q473" s="186">
        <f t="shared" si="963"/>
        <v>0</v>
      </c>
      <c r="R473" s="186">
        <f t="shared" si="963"/>
        <v>0</v>
      </c>
      <c r="S473" s="186">
        <f t="shared" si="963"/>
        <v>0</v>
      </c>
      <c r="T473" s="186">
        <f t="shared" si="963"/>
        <v>0</v>
      </c>
      <c r="U473" s="186">
        <f t="shared" si="963"/>
        <v>0</v>
      </c>
      <c r="V473" s="186">
        <f t="shared" si="963"/>
        <v>0</v>
      </c>
      <c r="W473" s="186">
        <f t="shared" si="963"/>
        <v>0</v>
      </c>
      <c r="X473" s="186">
        <f t="shared" si="963"/>
        <v>0</v>
      </c>
      <c r="Y473" s="186">
        <f t="shared" si="963"/>
        <v>0</v>
      </c>
      <c r="Z473" s="186">
        <f t="shared" si="963"/>
        <v>0</v>
      </c>
      <c r="AA473" s="186">
        <f t="shared" si="963"/>
        <v>0</v>
      </c>
      <c r="AB473" s="186">
        <f t="shared" si="963"/>
        <v>0</v>
      </c>
      <c r="AC473" s="186">
        <f t="shared" si="963"/>
        <v>0</v>
      </c>
      <c r="AD473" s="186">
        <f t="shared" si="963"/>
        <v>0</v>
      </c>
      <c r="AE473" s="186">
        <f t="shared" si="963"/>
        <v>0</v>
      </c>
      <c r="AF473" s="186">
        <f t="shared" si="963"/>
        <v>0</v>
      </c>
      <c r="AG473" s="186">
        <f t="shared" si="963"/>
        <v>0</v>
      </c>
      <c r="AH473" s="186">
        <f t="shared" si="963"/>
        <v>0</v>
      </c>
      <c r="AI473" s="186">
        <f t="shared" si="963"/>
        <v>0</v>
      </c>
      <c r="AJ473" s="186">
        <f t="shared" si="963"/>
        <v>0</v>
      </c>
      <c r="AK473" s="186">
        <f t="shared" si="963"/>
        <v>0</v>
      </c>
      <c r="AL473" s="186">
        <f t="shared" si="963"/>
        <v>0</v>
      </c>
      <c r="AM473" s="186">
        <f t="shared" si="963"/>
        <v>0</v>
      </c>
      <c r="AN473" s="186">
        <f t="shared" si="963"/>
        <v>0</v>
      </c>
      <c r="AO473" s="186">
        <f t="shared" si="963"/>
        <v>0</v>
      </c>
      <c r="AP473" s="186">
        <f t="shared" si="963"/>
        <v>0</v>
      </c>
    </row>
    <row r="474" spans="1:42">
      <c r="A474" s="118">
        <f t="shared" si="961"/>
        <v>5</v>
      </c>
      <c r="C474" s="186">
        <f t="shared" si="959"/>
        <v>0</v>
      </c>
      <c r="D474" s="186">
        <f t="shared" ref="D474:AP474" si="964">D340</f>
        <v>0</v>
      </c>
      <c r="E474" s="186">
        <f t="shared" si="964"/>
        <v>0</v>
      </c>
      <c r="F474" s="186">
        <f t="shared" si="964"/>
        <v>0</v>
      </c>
      <c r="G474" s="186">
        <f t="shared" si="964"/>
        <v>0</v>
      </c>
      <c r="H474" s="186">
        <f t="shared" si="964"/>
        <v>0</v>
      </c>
      <c r="I474" s="186">
        <f t="shared" si="964"/>
        <v>0</v>
      </c>
      <c r="J474" s="186">
        <f t="shared" si="964"/>
        <v>0</v>
      </c>
      <c r="K474" s="186">
        <f t="shared" si="964"/>
        <v>0</v>
      </c>
      <c r="L474" s="186">
        <f t="shared" si="964"/>
        <v>0</v>
      </c>
      <c r="M474" s="186">
        <f t="shared" si="964"/>
        <v>0</v>
      </c>
      <c r="N474" s="186">
        <f t="shared" si="964"/>
        <v>0</v>
      </c>
      <c r="O474" s="186">
        <f t="shared" si="964"/>
        <v>0</v>
      </c>
      <c r="P474" s="186">
        <f t="shared" si="964"/>
        <v>0</v>
      </c>
      <c r="Q474" s="186">
        <f t="shared" si="964"/>
        <v>0</v>
      </c>
      <c r="R474" s="186">
        <f t="shared" si="964"/>
        <v>0</v>
      </c>
      <c r="S474" s="186">
        <f t="shared" si="964"/>
        <v>0</v>
      </c>
      <c r="T474" s="186">
        <f t="shared" si="964"/>
        <v>0</v>
      </c>
      <c r="U474" s="186">
        <f t="shared" si="964"/>
        <v>0</v>
      </c>
      <c r="V474" s="186">
        <f t="shared" si="964"/>
        <v>0</v>
      </c>
      <c r="W474" s="186">
        <f t="shared" si="964"/>
        <v>0</v>
      </c>
      <c r="X474" s="186">
        <f t="shared" si="964"/>
        <v>0</v>
      </c>
      <c r="Y474" s="186">
        <f t="shared" si="964"/>
        <v>0</v>
      </c>
      <c r="Z474" s="186">
        <f t="shared" si="964"/>
        <v>0</v>
      </c>
      <c r="AA474" s="186">
        <f t="shared" si="964"/>
        <v>0</v>
      </c>
      <c r="AB474" s="186">
        <f t="shared" si="964"/>
        <v>0</v>
      </c>
      <c r="AC474" s="186">
        <f t="shared" si="964"/>
        <v>0</v>
      </c>
      <c r="AD474" s="186">
        <f t="shared" si="964"/>
        <v>0</v>
      </c>
      <c r="AE474" s="186">
        <f t="shared" si="964"/>
        <v>0</v>
      </c>
      <c r="AF474" s="186">
        <f t="shared" si="964"/>
        <v>0</v>
      </c>
      <c r="AG474" s="186">
        <f t="shared" si="964"/>
        <v>0</v>
      </c>
      <c r="AH474" s="186">
        <f t="shared" si="964"/>
        <v>0</v>
      </c>
      <c r="AI474" s="186">
        <f t="shared" si="964"/>
        <v>0</v>
      </c>
      <c r="AJ474" s="186">
        <f t="shared" si="964"/>
        <v>0</v>
      </c>
      <c r="AK474" s="186">
        <f t="shared" si="964"/>
        <v>0</v>
      </c>
      <c r="AL474" s="186">
        <f t="shared" si="964"/>
        <v>0</v>
      </c>
      <c r="AM474" s="186">
        <f t="shared" si="964"/>
        <v>0</v>
      </c>
      <c r="AN474" s="186">
        <f t="shared" si="964"/>
        <v>0</v>
      </c>
      <c r="AO474" s="186">
        <f t="shared" si="964"/>
        <v>0</v>
      </c>
      <c r="AP474" s="186">
        <f t="shared" si="964"/>
        <v>0</v>
      </c>
    </row>
    <row r="475" spans="1:42">
      <c r="A475" s="118">
        <f t="shared" si="961"/>
        <v>6</v>
      </c>
      <c r="C475" s="186">
        <f t="shared" si="959"/>
        <v>0</v>
      </c>
      <c r="D475" s="186">
        <f t="shared" ref="D475:AP475" si="965">D341</f>
        <v>0</v>
      </c>
      <c r="E475" s="186">
        <f t="shared" si="965"/>
        <v>0</v>
      </c>
      <c r="F475" s="186">
        <f t="shared" si="965"/>
        <v>0</v>
      </c>
      <c r="G475" s="186">
        <f t="shared" si="965"/>
        <v>0</v>
      </c>
      <c r="H475" s="186">
        <f t="shared" si="965"/>
        <v>0</v>
      </c>
      <c r="I475" s="186">
        <f t="shared" si="965"/>
        <v>0</v>
      </c>
      <c r="J475" s="186">
        <f t="shared" si="965"/>
        <v>0</v>
      </c>
      <c r="K475" s="186">
        <f t="shared" si="965"/>
        <v>0</v>
      </c>
      <c r="L475" s="186">
        <f t="shared" si="965"/>
        <v>0</v>
      </c>
      <c r="M475" s="186">
        <f t="shared" si="965"/>
        <v>0</v>
      </c>
      <c r="N475" s="186">
        <f t="shared" si="965"/>
        <v>0</v>
      </c>
      <c r="O475" s="186">
        <f t="shared" si="965"/>
        <v>0</v>
      </c>
      <c r="P475" s="186">
        <f t="shared" si="965"/>
        <v>0</v>
      </c>
      <c r="Q475" s="186">
        <f t="shared" si="965"/>
        <v>0</v>
      </c>
      <c r="R475" s="186">
        <f t="shared" si="965"/>
        <v>0</v>
      </c>
      <c r="S475" s="186">
        <f t="shared" si="965"/>
        <v>0</v>
      </c>
      <c r="T475" s="186">
        <f t="shared" si="965"/>
        <v>0</v>
      </c>
      <c r="U475" s="186">
        <f t="shared" si="965"/>
        <v>0</v>
      </c>
      <c r="V475" s="186">
        <f t="shared" si="965"/>
        <v>0</v>
      </c>
      <c r="W475" s="186">
        <f t="shared" si="965"/>
        <v>0</v>
      </c>
      <c r="X475" s="186">
        <f t="shared" si="965"/>
        <v>0</v>
      </c>
      <c r="Y475" s="186">
        <f t="shared" si="965"/>
        <v>0</v>
      </c>
      <c r="Z475" s="186">
        <f t="shared" si="965"/>
        <v>0</v>
      </c>
      <c r="AA475" s="186">
        <f t="shared" si="965"/>
        <v>0</v>
      </c>
      <c r="AB475" s="186">
        <f t="shared" si="965"/>
        <v>0</v>
      </c>
      <c r="AC475" s="186">
        <f t="shared" si="965"/>
        <v>0</v>
      </c>
      <c r="AD475" s="186">
        <f t="shared" si="965"/>
        <v>0</v>
      </c>
      <c r="AE475" s="186">
        <f t="shared" si="965"/>
        <v>0</v>
      </c>
      <c r="AF475" s="186">
        <f t="shared" si="965"/>
        <v>0</v>
      </c>
      <c r="AG475" s="186">
        <f t="shared" si="965"/>
        <v>0</v>
      </c>
      <c r="AH475" s="186">
        <f t="shared" si="965"/>
        <v>0</v>
      </c>
      <c r="AI475" s="186">
        <f t="shared" si="965"/>
        <v>0</v>
      </c>
      <c r="AJ475" s="186">
        <f t="shared" si="965"/>
        <v>0</v>
      </c>
      <c r="AK475" s="186">
        <f t="shared" si="965"/>
        <v>0</v>
      </c>
      <c r="AL475" s="186">
        <f t="shared" si="965"/>
        <v>0</v>
      </c>
      <c r="AM475" s="186">
        <f t="shared" si="965"/>
        <v>0</v>
      </c>
      <c r="AN475" s="186">
        <f t="shared" si="965"/>
        <v>0</v>
      </c>
      <c r="AO475" s="186">
        <f t="shared" si="965"/>
        <v>0</v>
      </c>
      <c r="AP475" s="186">
        <f t="shared" si="965"/>
        <v>0</v>
      </c>
    </row>
    <row r="476" spans="1:42">
      <c r="A476" s="118">
        <f t="shared" si="961"/>
        <v>7</v>
      </c>
      <c r="C476" s="186">
        <f t="shared" si="959"/>
        <v>0</v>
      </c>
      <c r="D476" s="186">
        <f t="shared" ref="D476:AP476" si="966">D342</f>
        <v>0</v>
      </c>
      <c r="E476" s="186">
        <f t="shared" si="966"/>
        <v>0</v>
      </c>
      <c r="F476" s="186">
        <f t="shared" si="966"/>
        <v>0</v>
      </c>
      <c r="G476" s="186">
        <f t="shared" si="966"/>
        <v>0</v>
      </c>
      <c r="H476" s="186">
        <f t="shared" si="966"/>
        <v>0</v>
      </c>
      <c r="I476" s="186">
        <f t="shared" si="966"/>
        <v>0</v>
      </c>
      <c r="J476" s="186">
        <f t="shared" si="966"/>
        <v>0</v>
      </c>
      <c r="K476" s="186">
        <f t="shared" si="966"/>
        <v>0</v>
      </c>
      <c r="L476" s="186">
        <f t="shared" si="966"/>
        <v>0</v>
      </c>
      <c r="M476" s="186">
        <f t="shared" si="966"/>
        <v>0</v>
      </c>
      <c r="N476" s="186">
        <f t="shared" si="966"/>
        <v>0</v>
      </c>
      <c r="O476" s="186">
        <f t="shared" si="966"/>
        <v>0</v>
      </c>
      <c r="P476" s="186">
        <f t="shared" si="966"/>
        <v>0</v>
      </c>
      <c r="Q476" s="186">
        <f t="shared" si="966"/>
        <v>0</v>
      </c>
      <c r="R476" s="186">
        <f t="shared" si="966"/>
        <v>0</v>
      </c>
      <c r="S476" s="186">
        <f t="shared" si="966"/>
        <v>0</v>
      </c>
      <c r="T476" s="186">
        <f t="shared" si="966"/>
        <v>0</v>
      </c>
      <c r="U476" s="186">
        <f t="shared" si="966"/>
        <v>0</v>
      </c>
      <c r="V476" s="186">
        <f t="shared" si="966"/>
        <v>0</v>
      </c>
      <c r="W476" s="186">
        <f t="shared" si="966"/>
        <v>0</v>
      </c>
      <c r="X476" s="186">
        <f t="shared" si="966"/>
        <v>0</v>
      </c>
      <c r="Y476" s="186">
        <f t="shared" si="966"/>
        <v>0</v>
      </c>
      <c r="Z476" s="186">
        <f t="shared" si="966"/>
        <v>0</v>
      </c>
      <c r="AA476" s="186">
        <f t="shared" si="966"/>
        <v>0</v>
      </c>
      <c r="AB476" s="186">
        <f t="shared" si="966"/>
        <v>0</v>
      </c>
      <c r="AC476" s="186">
        <f t="shared" si="966"/>
        <v>0</v>
      </c>
      <c r="AD476" s="186">
        <f t="shared" si="966"/>
        <v>0</v>
      </c>
      <c r="AE476" s="186">
        <f t="shared" si="966"/>
        <v>0</v>
      </c>
      <c r="AF476" s="186">
        <f t="shared" si="966"/>
        <v>0</v>
      </c>
      <c r="AG476" s="186">
        <f t="shared" si="966"/>
        <v>0</v>
      </c>
      <c r="AH476" s="186">
        <f t="shared" si="966"/>
        <v>0</v>
      </c>
      <c r="AI476" s="186">
        <f t="shared" si="966"/>
        <v>0</v>
      </c>
      <c r="AJ476" s="186">
        <f t="shared" si="966"/>
        <v>0</v>
      </c>
      <c r="AK476" s="186">
        <f t="shared" si="966"/>
        <v>0</v>
      </c>
      <c r="AL476" s="186">
        <f t="shared" si="966"/>
        <v>0</v>
      </c>
      <c r="AM476" s="186">
        <f t="shared" si="966"/>
        <v>0</v>
      </c>
      <c r="AN476" s="186">
        <f t="shared" si="966"/>
        <v>0</v>
      </c>
      <c r="AO476" s="186">
        <f t="shared" si="966"/>
        <v>0</v>
      </c>
      <c r="AP476" s="186">
        <f t="shared" si="966"/>
        <v>0</v>
      </c>
    </row>
    <row r="477" spans="1:42">
      <c r="A477" s="118">
        <f t="shared" si="961"/>
        <v>8</v>
      </c>
      <c r="C477" s="186">
        <f t="shared" si="959"/>
        <v>0</v>
      </c>
      <c r="D477" s="186">
        <f t="shared" ref="D477:AP477" si="967">D343</f>
        <v>0</v>
      </c>
      <c r="E477" s="186">
        <f t="shared" si="967"/>
        <v>0</v>
      </c>
      <c r="F477" s="186">
        <f t="shared" si="967"/>
        <v>0</v>
      </c>
      <c r="G477" s="186">
        <f t="shared" si="967"/>
        <v>0</v>
      </c>
      <c r="H477" s="186">
        <f t="shared" si="967"/>
        <v>0</v>
      </c>
      <c r="I477" s="186">
        <f t="shared" si="967"/>
        <v>0</v>
      </c>
      <c r="J477" s="186">
        <f t="shared" si="967"/>
        <v>0</v>
      </c>
      <c r="K477" s="186">
        <f t="shared" si="967"/>
        <v>0</v>
      </c>
      <c r="L477" s="186">
        <f t="shared" si="967"/>
        <v>0</v>
      </c>
      <c r="M477" s="186">
        <f t="shared" si="967"/>
        <v>0</v>
      </c>
      <c r="N477" s="186">
        <f t="shared" si="967"/>
        <v>0</v>
      </c>
      <c r="O477" s="186">
        <f t="shared" si="967"/>
        <v>0</v>
      </c>
      <c r="P477" s="186">
        <f t="shared" si="967"/>
        <v>0</v>
      </c>
      <c r="Q477" s="186">
        <f t="shared" si="967"/>
        <v>0</v>
      </c>
      <c r="R477" s="186">
        <f t="shared" si="967"/>
        <v>0</v>
      </c>
      <c r="S477" s="186">
        <f t="shared" si="967"/>
        <v>0</v>
      </c>
      <c r="T477" s="186">
        <f t="shared" si="967"/>
        <v>0</v>
      </c>
      <c r="U477" s="186">
        <f t="shared" si="967"/>
        <v>0</v>
      </c>
      <c r="V477" s="186">
        <f t="shared" si="967"/>
        <v>0</v>
      </c>
      <c r="W477" s="186">
        <f t="shared" si="967"/>
        <v>0</v>
      </c>
      <c r="X477" s="186">
        <f t="shared" si="967"/>
        <v>0</v>
      </c>
      <c r="Y477" s="186">
        <f t="shared" si="967"/>
        <v>0</v>
      </c>
      <c r="Z477" s="186">
        <f t="shared" si="967"/>
        <v>0</v>
      </c>
      <c r="AA477" s="186">
        <f t="shared" si="967"/>
        <v>0</v>
      </c>
      <c r="AB477" s="186">
        <f t="shared" si="967"/>
        <v>0</v>
      </c>
      <c r="AC477" s="186">
        <f t="shared" si="967"/>
        <v>0</v>
      </c>
      <c r="AD477" s="186">
        <f t="shared" si="967"/>
        <v>0</v>
      </c>
      <c r="AE477" s="186">
        <f t="shared" si="967"/>
        <v>0</v>
      </c>
      <c r="AF477" s="186">
        <f t="shared" si="967"/>
        <v>0</v>
      </c>
      <c r="AG477" s="186">
        <f t="shared" si="967"/>
        <v>0</v>
      </c>
      <c r="AH477" s="186">
        <f t="shared" si="967"/>
        <v>0</v>
      </c>
      <c r="AI477" s="186">
        <f t="shared" si="967"/>
        <v>0</v>
      </c>
      <c r="AJ477" s="186">
        <f t="shared" si="967"/>
        <v>0</v>
      </c>
      <c r="AK477" s="186">
        <f t="shared" si="967"/>
        <v>0</v>
      </c>
      <c r="AL477" s="186">
        <f t="shared" si="967"/>
        <v>0</v>
      </c>
      <c r="AM477" s="186">
        <f t="shared" si="967"/>
        <v>0</v>
      </c>
      <c r="AN477" s="186">
        <f t="shared" si="967"/>
        <v>0</v>
      </c>
      <c r="AO477" s="186">
        <f t="shared" si="967"/>
        <v>0</v>
      </c>
      <c r="AP477" s="186">
        <f t="shared" si="967"/>
        <v>0</v>
      </c>
    </row>
    <row r="478" spans="1:42">
      <c r="A478" s="118">
        <f>A477+1</f>
        <v>9</v>
      </c>
      <c r="C478" s="186">
        <f t="shared" si="959"/>
        <v>0</v>
      </c>
      <c r="D478" s="186">
        <f t="shared" ref="D478:AP478" si="968">D344</f>
        <v>0</v>
      </c>
      <c r="E478" s="186">
        <f t="shared" si="968"/>
        <v>0</v>
      </c>
      <c r="F478" s="186">
        <f t="shared" si="968"/>
        <v>0</v>
      </c>
      <c r="G478" s="186">
        <f t="shared" si="968"/>
        <v>0</v>
      </c>
      <c r="H478" s="186">
        <f t="shared" si="968"/>
        <v>0</v>
      </c>
      <c r="I478" s="186">
        <f t="shared" si="968"/>
        <v>0</v>
      </c>
      <c r="J478" s="186">
        <f t="shared" si="968"/>
        <v>0</v>
      </c>
      <c r="K478" s="186">
        <f t="shared" si="968"/>
        <v>0</v>
      </c>
      <c r="L478" s="186">
        <f t="shared" si="968"/>
        <v>0</v>
      </c>
      <c r="M478" s="186">
        <f t="shared" si="968"/>
        <v>0</v>
      </c>
      <c r="N478" s="186">
        <f t="shared" si="968"/>
        <v>0</v>
      </c>
      <c r="O478" s="186">
        <f t="shared" si="968"/>
        <v>0</v>
      </c>
      <c r="P478" s="186">
        <f t="shared" si="968"/>
        <v>0</v>
      </c>
      <c r="Q478" s="186">
        <f t="shared" si="968"/>
        <v>0</v>
      </c>
      <c r="R478" s="186">
        <f t="shared" si="968"/>
        <v>0</v>
      </c>
      <c r="S478" s="186">
        <f t="shared" si="968"/>
        <v>0</v>
      </c>
      <c r="T478" s="186">
        <f t="shared" si="968"/>
        <v>0</v>
      </c>
      <c r="U478" s="186">
        <f t="shared" si="968"/>
        <v>0</v>
      </c>
      <c r="V478" s="186">
        <f t="shared" si="968"/>
        <v>0</v>
      </c>
      <c r="W478" s="186">
        <f t="shared" si="968"/>
        <v>0</v>
      </c>
      <c r="X478" s="186">
        <f t="shared" si="968"/>
        <v>0</v>
      </c>
      <c r="Y478" s="186">
        <f t="shared" si="968"/>
        <v>0</v>
      </c>
      <c r="Z478" s="186">
        <f t="shared" si="968"/>
        <v>0</v>
      </c>
      <c r="AA478" s="186">
        <f t="shared" si="968"/>
        <v>0</v>
      </c>
      <c r="AB478" s="186">
        <f t="shared" si="968"/>
        <v>0</v>
      </c>
      <c r="AC478" s="186">
        <f t="shared" si="968"/>
        <v>0</v>
      </c>
      <c r="AD478" s="186">
        <f t="shared" si="968"/>
        <v>0</v>
      </c>
      <c r="AE478" s="186">
        <f t="shared" si="968"/>
        <v>0</v>
      </c>
      <c r="AF478" s="186">
        <f t="shared" si="968"/>
        <v>0</v>
      </c>
      <c r="AG478" s="186">
        <f t="shared" si="968"/>
        <v>0</v>
      </c>
      <c r="AH478" s="186">
        <f t="shared" si="968"/>
        <v>0</v>
      </c>
      <c r="AI478" s="186">
        <f t="shared" si="968"/>
        <v>0</v>
      </c>
      <c r="AJ478" s="186">
        <f t="shared" si="968"/>
        <v>0</v>
      </c>
      <c r="AK478" s="186">
        <f t="shared" si="968"/>
        <v>0</v>
      </c>
      <c r="AL478" s="186">
        <f t="shared" si="968"/>
        <v>0</v>
      </c>
      <c r="AM478" s="186">
        <f t="shared" si="968"/>
        <v>0</v>
      </c>
      <c r="AN478" s="186">
        <f t="shared" si="968"/>
        <v>0</v>
      </c>
      <c r="AO478" s="186">
        <f t="shared" si="968"/>
        <v>0</v>
      </c>
      <c r="AP478" s="186">
        <f t="shared" si="968"/>
        <v>0</v>
      </c>
    </row>
    <row r="479" spans="1:42">
      <c r="A479" s="118">
        <f t="shared" ref="A479" si="969">A478+1</f>
        <v>10</v>
      </c>
      <c r="C479" s="186">
        <f t="shared" si="959"/>
        <v>0</v>
      </c>
      <c r="D479" s="186">
        <f t="shared" ref="D479:AP479" si="970">D345</f>
        <v>0</v>
      </c>
      <c r="E479" s="186">
        <f t="shared" si="970"/>
        <v>0</v>
      </c>
      <c r="F479" s="186">
        <f t="shared" si="970"/>
        <v>0</v>
      </c>
      <c r="G479" s="186">
        <f t="shared" si="970"/>
        <v>0</v>
      </c>
      <c r="H479" s="186">
        <f t="shared" si="970"/>
        <v>0</v>
      </c>
      <c r="I479" s="186">
        <f t="shared" si="970"/>
        <v>0</v>
      </c>
      <c r="J479" s="186">
        <f t="shared" si="970"/>
        <v>0</v>
      </c>
      <c r="K479" s="186">
        <f t="shared" si="970"/>
        <v>0</v>
      </c>
      <c r="L479" s="186">
        <f t="shared" si="970"/>
        <v>0</v>
      </c>
      <c r="M479" s="186">
        <f t="shared" si="970"/>
        <v>0</v>
      </c>
      <c r="N479" s="186">
        <f t="shared" si="970"/>
        <v>0</v>
      </c>
      <c r="O479" s="186">
        <f t="shared" si="970"/>
        <v>0</v>
      </c>
      <c r="P479" s="186">
        <f t="shared" si="970"/>
        <v>0</v>
      </c>
      <c r="Q479" s="186">
        <f t="shared" si="970"/>
        <v>0</v>
      </c>
      <c r="R479" s="186">
        <f t="shared" si="970"/>
        <v>0</v>
      </c>
      <c r="S479" s="186">
        <f t="shared" si="970"/>
        <v>0</v>
      </c>
      <c r="T479" s="186">
        <f t="shared" si="970"/>
        <v>0</v>
      </c>
      <c r="U479" s="186">
        <f t="shared" si="970"/>
        <v>0</v>
      </c>
      <c r="V479" s="186">
        <f t="shared" si="970"/>
        <v>0</v>
      </c>
      <c r="W479" s="186">
        <f t="shared" si="970"/>
        <v>0</v>
      </c>
      <c r="X479" s="186">
        <f t="shared" si="970"/>
        <v>0</v>
      </c>
      <c r="Y479" s="186">
        <f t="shared" si="970"/>
        <v>0</v>
      </c>
      <c r="Z479" s="186">
        <f t="shared" si="970"/>
        <v>0</v>
      </c>
      <c r="AA479" s="186">
        <f t="shared" si="970"/>
        <v>0</v>
      </c>
      <c r="AB479" s="186">
        <f t="shared" si="970"/>
        <v>0</v>
      </c>
      <c r="AC479" s="186">
        <f t="shared" si="970"/>
        <v>0</v>
      </c>
      <c r="AD479" s="186">
        <f t="shared" si="970"/>
        <v>0</v>
      </c>
      <c r="AE479" s="186">
        <f t="shared" si="970"/>
        <v>0</v>
      </c>
      <c r="AF479" s="186">
        <f t="shared" si="970"/>
        <v>0</v>
      </c>
      <c r="AG479" s="186">
        <f t="shared" si="970"/>
        <v>0</v>
      </c>
      <c r="AH479" s="186">
        <f t="shared" si="970"/>
        <v>0</v>
      </c>
      <c r="AI479" s="186">
        <f t="shared" si="970"/>
        <v>0</v>
      </c>
      <c r="AJ479" s="186">
        <f t="shared" si="970"/>
        <v>0</v>
      </c>
      <c r="AK479" s="186">
        <f t="shared" si="970"/>
        <v>0</v>
      </c>
      <c r="AL479" s="186">
        <f t="shared" si="970"/>
        <v>0</v>
      </c>
      <c r="AM479" s="186">
        <f t="shared" si="970"/>
        <v>0</v>
      </c>
      <c r="AN479" s="186">
        <f t="shared" si="970"/>
        <v>0</v>
      </c>
      <c r="AO479" s="186">
        <f t="shared" si="970"/>
        <v>0</v>
      </c>
      <c r="AP479" s="186">
        <f t="shared" si="970"/>
        <v>0</v>
      </c>
    </row>
    <row r="480" spans="1:42">
      <c r="A480" s="204"/>
      <c r="C480" s="186"/>
      <c r="D480" s="186"/>
      <c r="E480" s="186"/>
      <c r="F480" s="186"/>
      <c r="G480" s="186"/>
      <c r="H480" s="186"/>
      <c r="I480" s="186"/>
      <c r="J480" s="186"/>
      <c r="K480" s="186"/>
      <c r="L480" s="186"/>
      <c r="M480" s="186"/>
      <c r="N480" s="186"/>
      <c r="O480" s="186"/>
      <c r="P480" s="186"/>
      <c r="Q480" s="186"/>
      <c r="R480" s="186"/>
      <c r="S480" s="186"/>
      <c r="T480" s="186"/>
      <c r="U480" s="186"/>
      <c r="V480" s="186"/>
      <c r="W480" s="186"/>
      <c r="X480" s="186"/>
      <c r="Y480" s="186"/>
      <c r="Z480" s="186"/>
      <c r="AA480" s="186"/>
      <c r="AB480" s="186"/>
      <c r="AC480" s="186"/>
      <c r="AD480" s="186"/>
      <c r="AE480" s="186"/>
      <c r="AF480" s="186"/>
      <c r="AG480" s="186"/>
      <c r="AH480" s="186"/>
      <c r="AI480" s="186"/>
      <c r="AJ480" s="186"/>
      <c r="AK480" s="186"/>
      <c r="AL480" s="186"/>
      <c r="AM480" s="186"/>
      <c r="AN480" s="186"/>
      <c r="AO480" s="186"/>
      <c r="AP480" s="186"/>
    </row>
    <row r="481" spans="1:42">
      <c r="A481" s="204" t="s">
        <v>211</v>
      </c>
      <c r="C481" s="186"/>
      <c r="D481" s="186"/>
      <c r="E481" s="186"/>
      <c r="F481" s="186"/>
      <c r="G481" s="186"/>
      <c r="H481" s="186"/>
      <c r="I481" s="186"/>
      <c r="J481" s="186"/>
      <c r="K481" s="186"/>
      <c r="L481" s="186"/>
      <c r="M481" s="186"/>
      <c r="N481" s="186"/>
      <c r="O481" s="186"/>
      <c r="P481" s="186"/>
      <c r="Q481" s="186"/>
      <c r="R481" s="186"/>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row>
    <row r="482" spans="1:42">
      <c r="A482" s="118">
        <v>1</v>
      </c>
      <c r="B482" s="196">
        <f t="shared" ref="B482:B491" si="971">SUM(C482:AP482)</f>
        <v>2944872.3435013141</v>
      </c>
      <c r="C482" s="225">
        <f t="shared" ref="C482:AP482" si="972">LOOKUP(C470,$B$465:$AP$465,$B$466:$AP$466)*$B649</f>
        <v>0</v>
      </c>
      <c r="D482" s="186">
        <f t="shared" si="972"/>
        <v>0</v>
      </c>
      <c r="E482" s="186">
        <f t="shared" si="972"/>
        <v>0</v>
      </c>
      <c r="F482" s="186">
        <f t="shared" si="972"/>
        <v>0</v>
      </c>
      <c r="G482" s="186">
        <f t="shared" si="972"/>
        <v>0</v>
      </c>
      <c r="H482" s="186">
        <f t="shared" si="972"/>
        <v>0</v>
      </c>
      <c r="I482" s="186">
        <f t="shared" si="972"/>
        <v>0</v>
      </c>
      <c r="J482" s="186">
        <f t="shared" si="972"/>
        <v>0</v>
      </c>
      <c r="K482" s="186">
        <f t="shared" si="972"/>
        <v>0</v>
      </c>
      <c r="L482" s="186">
        <f t="shared" si="972"/>
        <v>0</v>
      </c>
      <c r="M482" s="186">
        <f t="shared" si="972"/>
        <v>0</v>
      </c>
      <c r="N482" s="186">
        <f t="shared" si="972"/>
        <v>588974.46870026283</v>
      </c>
      <c r="O482" s="186">
        <f t="shared" si="972"/>
        <v>942359.14992042049</v>
      </c>
      <c r="P482" s="186">
        <f t="shared" si="972"/>
        <v>565415.48995225236</v>
      </c>
      <c r="Q482" s="186">
        <f t="shared" si="972"/>
        <v>339249.29397135135</v>
      </c>
      <c r="R482" s="186">
        <f t="shared" si="972"/>
        <v>339249.29397135135</v>
      </c>
      <c r="S482" s="186">
        <f t="shared" si="972"/>
        <v>169624.64698567567</v>
      </c>
      <c r="T482" s="186">
        <f t="shared" si="972"/>
        <v>0</v>
      </c>
      <c r="U482" s="186">
        <f t="shared" si="972"/>
        <v>0</v>
      </c>
      <c r="V482" s="186">
        <f t="shared" si="972"/>
        <v>0</v>
      </c>
      <c r="W482" s="186">
        <f t="shared" si="972"/>
        <v>0</v>
      </c>
      <c r="X482" s="186">
        <f t="shared" si="972"/>
        <v>0</v>
      </c>
      <c r="Y482" s="186">
        <f t="shared" si="972"/>
        <v>0</v>
      </c>
      <c r="Z482" s="186">
        <f t="shared" si="972"/>
        <v>0</v>
      </c>
      <c r="AA482" s="186">
        <f t="shared" si="972"/>
        <v>0</v>
      </c>
      <c r="AB482" s="186">
        <f t="shared" si="972"/>
        <v>0</v>
      </c>
      <c r="AC482" s="186">
        <f t="shared" si="972"/>
        <v>0</v>
      </c>
      <c r="AD482" s="186">
        <f t="shared" si="972"/>
        <v>0</v>
      </c>
      <c r="AE482" s="186">
        <f t="shared" si="972"/>
        <v>0</v>
      </c>
      <c r="AF482" s="186">
        <f t="shared" si="972"/>
        <v>0</v>
      </c>
      <c r="AG482" s="186">
        <f t="shared" si="972"/>
        <v>0</v>
      </c>
      <c r="AH482" s="186">
        <f t="shared" si="972"/>
        <v>0</v>
      </c>
      <c r="AI482" s="186">
        <f t="shared" si="972"/>
        <v>0</v>
      </c>
      <c r="AJ482" s="186">
        <f t="shared" si="972"/>
        <v>0</v>
      </c>
      <c r="AK482" s="186">
        <f t="shared" si="972"/>
        <v>0</v>
      </c>
      <c r="AL482" s="186">
        <f t="shared" si="972"/>
        <v>0</v>
      </c>
      <c r="AM482" s="186">
        <f t="shared" si="972"/>
        <v>0</v>
      </c>
      <c r="AN482" s="186">
        <f t="shared" si="972"/>
        <v>0</v>
      </c>
      <c r="AO482" s="186">
        <f t="shared" si="972"/>
        <v>0</v>
      </c>
      <c r="AP482" s="186">
        <f t="shared" si="972"/>
        <v>0</v>
      </c>
    </row>
    <row r="483" spans="1:42">
      <c r="A483" s="118">
        <f>A482+1</f>
        <v>2</v>
      </c>
      <c r="B483" s="196">
        <f t="shared" si="971"/>
        <v>3520942.886524681</v>
      </c>
      <c r="C483" s="225">
        <f t="shared" ref="C483:AP483" si="973">LOOKUP(C471,$B$465:$AP$465,$B$466:$AP$466)*$B650</f>
        <v>0</v>
      </c>
      <c r="D483" s="186">
        <f t="shared" si="973"/>
        <v>0</v>
      </c>
      <c r="E483" s="186">
        <f t="shared" si="973"/>
        <v>0</v>
      </c>
      <c r="F483" s="186">
        <f t="shared" si="973"/>
        <v>0</v>
      </c>
      <c r="G483" s="186">
        <f t="shared" si="973"/>
        <v>0</v>
      </c>
      <c r="H483" s="186">
        <f t="shared" si="973"/>
        <v>0</v>
      </c>
      <c r="I483" s="186">
        <f t="shared" si="973"/>
        <v>0</v>
      </c>
      <c r="J483" s="186">
        <f t="shared" si="973"/>
        <v>0</v>
      </c>
      <c r="K483" s="186">
        <f t="shared" si="973"/>
        <v>0</v>
      </c>
      <c r="L483" s="186">
        <f t="shared" si="973"/>
        <v>0</v>
      </c>
      <c r="M483" s="186">
        <f t="shared" si="973"/>
        <v>0</v>
      </c>
      <c r="N483" s="186">
        <f t="shared" si="973"/>
        <v>0</v>
      </c>
      <c r="O483" s="186">
        <f t="shared" si="973"/>
        <v>0</v>
      </c>
      <c r="P483" s="186">
        <f t="shared" si="973"/>
        <v>0</v>
      </c>
      <c r="Q483" s="186">
        <f t="shared" si="973"/>
        <v>0</v>
      </c>
      <c r="R483" s="186">
        <f t="shared" si="973"/>
        <v>0</v>
      </c>
      <c r="S483" s="186">
        <f t="shared" si="973"/>
        <v>0</v>
      </c>
      <c r="T483" s="186">
        <f t="shared" si="973"/>
        <v>0</v>
      </c>
      <c r="U483" s="186">
        <f t="shared" si="973"/>
        <v>0</v>
      </c>
      <c r="V483" s="186">
        <f t="shared" si="973"/>
        <v>0</v>
      </c>
      <c r="W483" s="186">
        <f t="shared" si="973"/>
        <v>0</v>
      </c>
      <c r="X483" s="186">
        <f t="shared" si="973"/>
        <v>0</v>
      </c>
      <c r="Y483" s="186">
        <f t="shared" si="973"/>
        <v>0</v>
      </c>
      <c r="Z483" s="186">
        <f t="shared" si="973"/>
        <v>704188.57730493625</v>
      </c>
      <c r="AA483" s="186">
        <f t="shared" si="973"/>
        <v>1126701.7236878979</v>
      </c>
      <c r="AB483" s="186">
        <f t="shared" si="973"/>
        <v>676021.03421273874</v>
      </c>
      <c r="AC483" s="186">
        <f t="shared" si="973"/>
        <v>405612.62052764324</v>
      </c>
      <c r="AD483" s="186">
        <f t="shared" si="973"/>
        <v>405612.62052764324</v>
      </c>
      <c r="AE483" s="186">
        <f t="shared" si="973"/>
        <v>202806.31026382162</v>
      </c>
      <c r="AF483" s="186">
        <f t="shared" si="973"/>
        <v>0</v>
      </c>
      <c r="AG483" s="186">
        <f t="shared" si="973"/>
        <v>0</v>
      </c>
      <c r="AH483" s="186">
        <f t="shared" si="973"/>
        <v>0</v>
      </c>
      <c r="AI483" s="186">
        <f t="shared" si="973"/>
        <v>0</v>
      </c>
      <c r="AJ483" s="186">
        <f t="shared" si="973"/>
        <v>0</v>
      </c>
      <c r="AK483" s="186">
        <f t="shared" si="973"/>
        <v>0</v>
      </c>
      <c r="AL483" s="186">
        <f t="shared" si="973"/>
        <v>0</v>
      </c>
      <c r="AM483" s="186">
        <f t="shared" si="973"/>
        <v>0</v>
      </c>
      <c r="AN483" s="186">
        <f t="shared" si="973"/>
        <v>0</v>
      </c>
      <c r="AO483" s="186">
        <f t="shared" si="973"/>
        <v>0</v>
      </c>
      <c r="AP483" s="186">
        <f t="shared" si="973"/>
        <v>0</v>
      </c>
    </row>
    <row r="484" spans="1:42">
      <c r="A484" s="118">
        <f t="shared" ref="A484:A489" si="974">A483+1</f>
        <v>3</v>
      </c>
      <c r="B484" s="196">
        <f t="shared" si="971"/>
        <v>0</v>
      </c>
      <c r="C484" s="225">
        <f t="shared" ref="C484:AP484" si="975">LOOKUP(C472,$B$465:$AP$465,$B$466:$AP$466)*$B651</f>
        <v>0</v>
      </c>
      <c r="D484" s="186">
        <f t="shared" si="975"/>
        <v>0</v>
      </c>
      <c r="E484" s="186">
        <f t="shared" si="975"/>
        <v>0</v>
      </c>
      <c r="F484" s="186">
        <f t="shared" si="975"/>
        <v>0</v>
      </c>
      <c r="G484" s="186">
        <f t="shared" si="975"/>
        <v>0</v>
      </c>
      <c r="H484" s="186">
        <f t="shared" si="975"/>
        <v>0</v>
      </c>
      <c r="I484" s="186">
        <f t="shared" si="975"/>
        <v>0</v>
      </c>
      <c r="J484" s="186">
        <f t="shared" si="975"/>
        <v>0</v>
      </c>
      <c r="K484" s="186">
        <f t="shared" si="975"/>
        <v>0</v>
      </c>
      <c r="L484" s="186">
        <f t="shared" si="975"/>
        <v>0</v>
      </c>
      <c r="M484" s="186">
        <f t="shared" si="975"/>
        <v>0</v>
      </c>
      <c r="N484" s="186">
        <f t="shared" si="975"/>
        <v>0</v>
      </c>
      <c r="O484" s="186">
        <f t="shared" si="975"/>
        <v>0</v>
      </c>
      <c r="P484" s="186">
        <f t="shared" si="975"/>
        <v>0</v>
      </c>
      <c r="Q484" s="186">
        <f t="shared" si="975"/>
        <v>0</v>
      </c>
      <c r="R484" s="186">
        <f t="shared" si="975"/>
        <v>0</v>
      </c>
      <c r="S484" s="186">
        <f t="shared" si="975"/>
        <v>0</v>
      </c>
      <c r="T484" s="186">
        <f t="shared" si="975"/>
        <v>0</v>
      </c>
      <c r="U484" s="186">
        <f t="shared" si="975"/>
        <v>0</v>
      </c>
      <c r="V484" s="186">
        <f t="shared" si="975"/>
        <v>0</v>
      </c>
      <c r="W484" s="186">
        <f t="shared" si="975"/>
        <v>0</v>
      </c>
      <c r="X484" s="186">
        <f t="shared" si="975"/>
        <v>0</v>
      </c>
      <c r="Y484" s="186">
        <f t="shared" si="975"/>
        <v>0</v>
      </c>
      <c r="Z484" s="186">
        <f t="shared" si="975"/>
        <v>0</v>
      </c>
      <c r="AA484" s="186">
        <f t="shared" si="975"/>
        <v>0</v>
      </c>
      <c r="AB484" s="186">
        <f t="shared" si="975"/>
        <v>0</v>
      </c>
      <c r="AC484" s="186">
        <f t="shared" si="975"/>
        <v>0</v>
      </c>
      <c r="AD484" s="186">
        <f t="shared" si="975"/>
        <v>0</v>
      </c>
      <c r="AE484" s="186">
        <f t="shared" si="975"/>
        <v>0</v>
      </c>
      <c r="AF484" s="186">
        <f t="shared" si="975"/>
        <v>0</v>
      </c>
      <c r="AG484" s="186">
        <f t="shared" si="975"/>
        <v>0</v>
      </c>
      <c r="AH484" s="186">
        <f t="shared" si="975"/>
        <v>0</v>
      </c>
      <c r="AI484" s="186">
        <f t="shared" si="975"/>
        <v>0</v>
      </c>
      <c r="AJ484" s="186">
        <f t="shared" si="975"/>
        <v>0</v>
      </c>
      <c r="AK484" s="186">
        <f t="shared" si="975"/>
        <v>0</v>
      </c>
      <c r="AL484" s="186">
        <f t="shared" si="975"/>
        <v>0</v>
      </c>
      <c r="AM484" s="186">
        <f t="shared" si="975"/>
        <v>0</v>
      </c>
      <c r="AN484" s="186">
        <f t="shared" si="975"/>
        <v>0</v>
      </c>
      <c r="AO484" s="186">
        <f t="shared" si="975"/>
        <v>0</v>
      </c>
      <c r="AP484" s="186">
        <f t="shared" si="975"/>
        <v>0</v>
      </c>
    </row>
    <row r="485" spans="1:42">
      <c r="A485" s="118">
        <f t="shared" si="974"/>
        <v>4</v>
      </c>
      <c r="B485" s="196">
        <f t="shared" si="971"/>
        <v>0</v>
      </c>
      <c r="C485" s="225">
        <f t="shared" ref="C485:AP485" si="976">LOOKUP(C473,$B$465:$AP$465,$B$466:$AP$466)*$B652</f>
        <v>0</v>
      </c>
      <c r="D485" s="186">
        <f t="shared" si="976"/>
        <v>0</v>
      </c>
      <c r="E485" s="186">
        <f t="shared" si="976"/>
        <v>0</v>
      </c>
      <c r="F485" s="186">
        <f t="shared" si="976"/>
        <v>0</v>
      </c>
      <c r="G485" s="186">
        <f t="shared" si="976"/>
        <v>0</v>
      </c>
      <c r="H485" s="186">
        <f t="shared" si="976"/>
        <v>0</v>
      </c>
      <c r="I485" s="186">
        <f t="shared" si="976"/>
        <v>0</v>
      </c>
      <c r="J485" s="186">
        <f t="shared" si="976"/>
        <v>0</v>
      </c>
      <c r="K485" s="186">
        <f t="shared" si="976"/>
        <v>0</v>
      </c>
      <c r="L485" s="186">
        <f t="shared" si="976"/>
        <v>0</v>
      </c>
      <c r="M485" s="186">
        <f t="shared" si="976"/>
        <v>0</v>
      </c>
      <c r="N485" s="186">
        <f t="shared" si="976"/>
        <v>0</v>
      </c>
      <c r="O485" s="186">
        <f t="shared" si="976"/>
        <v>0</v>
      </c>
      <c r="P485" s="186">
        <f t="shared" si="976"/>
        <v>0</v>
      </c>
      <c r="Q485" s="186">
        <f t="shared" si="976"/>
        <v>0</v>
      </c>
      <c r="R485" s="186">
        <f t="shared" si="976"/>
        <v>0</v>
      </c>
      <c r="S485" s="186">
        <f t="shared" si="976"/>
        <v>0</v>
      </c>
      <c r="T485" s="186">
        <f t="shared" si="976"/>
        <v>0</v>
      </c>
      <c r="U485" s="186">
        <f t="shared" si="976"/>
        <v>0</v>
      </c>
      <c r="V485" s="186">
        <f t="shared" si="976"/>
        <v>0</v>
      </c>
      <c r="W485" s="186">
        <f t="shared" si="976"/>
        <v>0</v>
      </c>
      <c r="X485" s="186">
        <f t="shared" si="976"/>
        <v>0</v>
      </c>
      <c r="Y485" s="186">
        <f t="shared" si="976"/>
        <v>0</v>
      </c>
      <c r="Z485" s="186">
        <f t="shared" si="976"/>
        <v>0</v>
      </c>
      <c r="AA485" s="186">
        <f t="shared" si="976"/>
        <v>0</v>
      </c>
      <c r="AB485" s="186">
        <f t="shared" si="976"/>
        <v>0</v>
      </c>
      <c r="AC485" s="186">
        <f t="shared" si="976"/>
        <v>0</v>
      </c>
      <c r="AD485" s="186">
        <f t="shared" si="976"/>
        <v>0</v>
      </c>
      <c r="AE485" s="186">
        <f t="shared" si="976"/>
        <v>0</v>
      </c>
      <c r="AF485" s="186">
        <f t="shared" si="976"/>
        <v>0</v>
      </c>
      <c r="AG485" s="186">
        <f t="shared" si="976"/>
        <v>0</v>
      </c>
      <c r="AH485" s="186">
        <f t="shared" si="976"/>
        <v>0</v>
      </c>
      <c r="AI485" s="186">
        <f t="shared" si="976"/>
        <v>0</v>
      </c>
      <c r="AJ485" s="186">
        <f t="shared" si="976"/>
        <v>0</v>
      </c>
      <c r="AK485" s="186">
        <f t="shared" si="976"/>
        <v>0</v>
      </c>
      <c r="AL485" s="186">
        <f t="shared" si="976"/>
        <v>0</v>
      </c>
      <c r="AM485" s="186">
        <f t="shared" si="976"/>
        <v>0</v>
      </c>
      <c r="AN485" s="186">
        <f t="shared" si="976"/>
        <v>0</v>
      </c>
      <c r="AO485" s="186">
        <f t="shared" si="976"/>
        <v>0</v>
      </c>
      <c r="AP485" s="186">
        <f t="shared" si="976"/>
        <v>0</v>
      </c>
    </row>
    <row r="486" spans="1:42">
      <c r="A486" s="118">
        <f t="shared" si="974"/>
        <v>5</v>
      </c>
      <c r="B486" s="196">
        <f t="shared" si="971"/>
        <v>0</v>
      </c>
      <c r="C486" s="225">
        <f t="shared" ref="C486:AP486" si="977">LOOKUP(C474,$B$465:$AP$465,$B$466:$AP$466)*$B653</f>
        <v>0</v>
      </c>
      <c r="D486" s="186">
        <f t="shared" si="977"/>
        <v>0</v>
      </c>
      <c r="E486" s="186">
        <f t="shared" si="977"/>
        <v>0</v>
      </c>
      <c r="F486" s="186">
        <f t="shared" si="977"/>
        <v>0</v>
      </c>
      <c r="G486" s="186">
        <f t="shared" si="977"/>
        <v>0</v>
      </c>
      <c r="H486" s="186">
        <f t="shared" si="977"/>
        <v>0</v>
      </c>
      <c r="I486" s="186">
        <f t="shared" si="977"/>
        <v>0</v>
      </c>
      <c r="J486" s="186">
        <f t="shared" si="977"/>
        <v>0</v>
      </c>
      <c r="K486" s="186">
        <f t="shared" si="977"/>
        <v>0</v>
      </c>
      <c r="L486" s="186">
        <f t="shared" si="977"/>
        <v>0</v>
      </c>
      <c r="M486" s="186">
        <f t="shared" si="977"/>
        <v>0</v>
      </c>
      <c r="N486" s="186">
        <f t="shared" si="977"/>
        <v>0</v>
      </c>
      <c r="O486" s="186">
        <f t="shared" si="977"/>
        <v>0</v>
      </c>
      <c r="P486" s="186">
        <f t="shared" si="977"/>
        <v>0</v>
      </c>
      <c r="Q486" s="186">
        <f t="shared" si="977"/>
        <v>0</v>
      </c>
      <c r="R486" s="186">
        <f t="shared" si="977"/>
        <v>0</v>
      </c>
      <c r="S486" s="186">
        <f t="shared" si="977"/>
        <v>0</v>
      </c>
      <c r="T486" s="186">
        <f t="shared" si="977"/>
        <v>0</v>
      </c>
      <c r="U486" s="186">
        <f t="shared" si="977"/>
        <v>0</v>
      </c>
      <c r="V486" s="186">
        <f t="shared" si="977"/>
        <v>0</v>
      </c>
      <c r="W486" s="186">
        <f t="shared" si="977"/>
        <v>0</v>
      </c>
      <c r="X486" s="186">
        <f t="shared" si="977"/>
        <v>0</v>
      </c>
      <c r="Y486" s="186">
        <f t="shared" si="977"/>
        <v>0</v>
      </c>
      <c r="Z486" s="186">
        <f t="shared" si="977"/>
        <v>0</v>
      </c>
      <c r="AA486" s="186">
        <f t="shared" si="977"/>
        <v>0</v>
      </c>
      <c r="AB486" s="186">
        <f t="shared" si="977"/>
        <v>0</v>
      </c>
      <c r="AC486" s="186">
        <f t="shared" si="977"/>
        <v>0</v>
      </c>
      <c r="AD486" s="186">
        <f t="shared" si="977"/>
        <v>0</v>
      </c>
      <c r="AE486" s="186">
        <f t="shared" si="977"/>
        <v>0</v>
      </c>
      <c r="AF486" s="186">
        <f t="shared" si="977"/>
        <v>0</v>
      </c>
      <c r="AG486" s="186">
        <f t="shared" si="977"/>
        <v>0</v>
      </c>
      <c r="AH486" s="186">
        <f t="shared" si="977"/>
        <v>0</v>
      </c>
      <c r="AI486" s="186">
        <f t="shared" si="977"/>
        <v>0</v>
      </c>
      <c r="AJ486" s="186">
        <f t="shared" si="977"/>
        <v>0</v>
      </c>
      <c r="AK486" s="186">
        <f t="shared" si="977"/>
        <v>0</v>
      </c>
      <c r="AL486" s="186">
        <f t="shared" si="977"/>
        <v>0</v>
      </c>
      <c r="AM486" s="186">
        <f t="shared" si="977"/>
        <v>0</v>
      </c>
      <c r="AN486" s="186">
        <f t="shared" si="977"/>
        <v>0</v>
      </c>
      <c r="AO486" s="186">
        <f t="shared" si="977"/>
        <v>0</v>
      </c>
      <c r="AP486" s="186">
        <f t="shared" si="977"/>
        <v>0</v>
      </c>
    </row>
    <row r="487" spans="1:42">
      <c r="A487" s="118">
        <f t="shared" si="974"/>
        <v>6</v>
      </c>
      <c r="B487" s="196">
        <f t="shared" si="971"/>
        <v>0</v>
      </c>
      <c r="C487" s="225">
        <f t="shared" ref="C487:AP487" si="978">LOOKUP(C475,$B$465:$AP$465,$B$466:$AP$466)*$B654</f>
        <v>0</v>
      </c>
      <c r="D487" s="186">
        <f t="shared" si="978"/>
        <v>0</v>
      </c>
      <c r="E487" s="186">
        <f t="shared" si="978"/>
        <v>0</v>
      </c>
      <c r="F487" s="186">
        <f t="shared" si="978"/>
        <v>0</v>
      </c>
      <c r="G487" s="186">
        <f t="shared" si="978"/>
        <v>0</v>
      </c>
      <c r="H487" s="186">
        <f t="shared" si="978"/>
        <v>0</v>
      </c>
      <c r="I487" s="186">
        <f t="shared" si="978"/>
        <v>0</v>
      </c>
      <c r="J487" s="186">
        <f t="shared" si="978"/>
        <v>0</v>
      </c>
      <c r="K487" s="186">
        <f t="shared" si="978"/>
        <v>0</v>
      </c>
      <c r="L487" s="186">
        <f t="shared" si="978"/>
        <v>0</v>
      </c>
      <c r="M487" s="186">
        <f t="shared" si="978"/>
        <v>0</v>
      </c>
      <c r="N487" s="186">
        <f t="shared" si="978"/>
        <v>0</v>
      </c>
      <c r="O487" s="186">
        <f t="shared" si="978"/>
        <v>0</v>
      </c>
      <c r="P487" s="186">
        <f t="shared" si="978"/>
        <v>0</v>
      </c>
      <c r="Q487" s="186">
        <f t="shared" si="978"/>
        <v>0</v>
      </c>
      <c r="R487" s="186">
        <f t="shared" si="978"/>
        <v>0</v>
      </c>
      <c r="S487" s="186">
        <f t="shared" si="978"/>
        <v>0</v>
      </c>
      <c r="T487" s="186">
        <f t="shared" si="978"/>
        <v>0</v>
      </c>
      <c r="U487" s="186">
        <f t="shared" si="978"/>
        <v>0</v>
      </c>
      <c r="V487" s="186">
        <f t="shared" si="978"/>
        <v>0</v>
      </c>
      <c r="W487" s="186">
        <f t="shared" si="978"/>
        <v>0</v>
      </c>
      <c r="X487" s="186">
        <f t="shared" si="978"/>
        <v>0</v>
      </c>
      <c r="Y487" s="186">
        <f t="shared" si="978"/>
        <v>0</v>
      </c>
      <c r="Z487" s="186">
        <f t="shared" si="978"/>
        <v>0</v>
      </c>
      <c r="AA487" s="186">
        <f t="shared" si="978"/>
        <v>0</v>
      </c>
      <c r="AB487" s="186">
        <f t="shared" si="978"/>
        <v>0</v>
      </c>
      <c r="AC487" s="186">
        <f t="shared" si="978"/>
        <v>0</v>
      </c>
      <c r="AD487" s="186">
        <f t="shared" si="978"/>
        <v>0</v>
      </c>
      <c r="AE487" s="186">
        <f t="shared" si="978"/>
        <v>0</v>
      </c>
      <c r="AF487" s="186">
        <f t="shared" si="978"/>
        <v>0</v>
      </c>
      <c r="AG487" s="186">
        <f t="shared" si="978"/>
        <v>0</v>
      </c>
      <c r="AH487" s="186">
        <f t="shared" si="978"/>
        <v>0</v>
      </c>
      <c r="AI487" s="186">
        <f t="shared" si="978"/>
        <v>0</v>
      </c>
      <c r="AJ487" s="186">
        <f t="shared" si="978"/>
        <v>0</v>
      </c>
      <c r="AK487" s="186">
        <f t="shared" si="978"/>
        <v>0</v>
      </c>
      <c r="AL487" s="186">
        <f t="shared" si="978"/>
        <v>0</v>
      </c>
      <c r="AM487" s="186">
        <f t="shared" si="978"/>
        <v>0</v>
      </c>
      <c r="AN487" s="186">
        <f t="shared" si="978"/>
        <v>0</v>
      </c>
      <c r="AO487" s="186">
        <f t="shared" si="978"/>
        <v>0</v>
      </c>
      <c r="AP487" s="186">
        <f t="shared" si="978"/>
        <v>0</v>
      </c>
    </row>
    <row r="488" spans="1:42">
      <c r="A488" s="118">
        <f t="shared" si="974"/>
        <v>7</v>
      </c>
      <c r="B488" s="196">
        <f t="shared" si="971"/>
        <v>0</v>
      </c>
      <c r="C488" s="225">
        <f t="shared" ref="C488:AP488" si="979">LOOKUP(C476,$B$465:$AP$465,$B$466:$AP$466)*$B655</f>
        <v>0</v>
      </c>
      <c r="D488" s="186">
        <f t="shared" si="979"/>
        <v>0</v>
      </c>
      <c r="E488" s="186">
        <f t="shared" si="979"/>
        <v>0</v>
      </c>
      <c r="F488" s="186">
        <f t="shared" si="979"/>
        <v>0</v>
      </c>
      <c r="G488" s="186">
        <f t="shared" si="979"/>
        <v>0</v>
      </c>
      <c r="H488" s="186">
        <f t="shared" si="979"/>
        <v>0</v>
      </c>
      <c r="I488" s="186">
        <f t="shared" si="979"/>
        <v>0</v>
      </c>
      <c r="J488" s="186">
        <f t="shared" si="979"/>
        <v>0</v>
      </c>
      <c r="K488" s="186">
        <f t="shared" si="979"/>
        <v>0</v>
      </c>
      <c r="L488" s="186">
        <f t="shared" si="979"/>
        <v>0</v>
      </c>
      <c r="M488" s="186">
        <f t="shared" si="979"/>
        <v>0</v>
      </c>
      <c r="N488" s="186">
        <f t="shared" si="979"/>
        <v>0</v>
      </c>
      <c r="O488" s="186">
        <f t="shared" si="979"/>
        <v>0</v>
      </c>
      <c r="P488" s="186">
        <f t="shared" si="979"/>
        <v>0</v>
      </c>
      <c r="Q488" s="186">
        <f t="shared" si="979"/>
        <v>0</v>
      </c>
      <c r="R488" s="186">
        <f t="shared" si="979"/>
        <v>0</v>
      </c>
      <c r="S488" s="186">
        <f t="shared" si="979"/>
        <v>0</v>
      </c>
      <c r="T488" s="186">
        <f t="shared" si="979"/>
        <v>0</v>
      </c>
      <c r="U488" s="186">
        <f t="shared" si="979"/>
        <v>0</v>
      </c>
      <c r="V488" s="186">
        <f t="shared" si="979"/>
        <v>0</v>
      </c>
      <c r="W488" s="186">
        <f t="shared" si="979"/>
        <v>0</v>
      </c>
      <c r="X488" s="186">
        <f t="shared" si="979"/>
        <v>0</v>
      </c>
      <c r="Y488" s="186">
        <f t="shared" si="979"/>
        <v>0</v>
      </c>
      <c r="Z488" s="186">
        <f t="shared" si="979"/>
        <v>0</v>
      </c>
      <c r="AA488" s="186">
        <f t="shared" si="979"/>
        <v>0</v>
      </c>
      <c r="AB488" s="186">
        <f t="shared" si="979"/>
        <v>0</v>
      </c>
      <c r="AC488" s="186">
        <f t="shared" si="979"/>
        <v>0</v>
      </c>
      <c r="AD488" s="186">
        <f t="shared" si="979"/>
        <v>0</v>
      </c>
      <c r="AE488" s="186">
        <f t="shared" si="979"/>
        <v>0</v>
      </c>
      <c r="AF488" s="186">
        <f t="shared" si="979"/>
        <v>0</v>
      </c>
      <c r="AG488" s="186">
        <f t="shared" si="979"/>
        <v>0</v>
      </c>
      <c r="AH488" s="186">
        <f t="shared" si="979"/>
        <v>0</v>
      </c>
      <c r="AI488" s="186">
        <f t="shared" si="979"/>
        <v>0</v>
      </c>
      <c r="AJ488" s="186">
        <f t="shared" si="979"/>
        <v>0</v>
      </c>
      <c r="AK488" s="186">
        <f t="shared" si="979"/>
        <v>0</v>
      </c>
      <c r="AL488" s="186">
        <f t="shared" si="979"/>
        <v>0</v>
      </c>
      <c r="AM488" s="186">
        <f t="shared" si="979"/>
        <v>0</v>
      </c>
      <c r="AN488" s="186">
        <f t="shared" si="979"/>
        <v>0</v>
      </c>
      <c r="AO488" s="186">
        <f t="shared" si="979"/>
        <v>0</v>
      </c>
      <c r="AP488" s="186">
        <f t="shared" si="979"/>
        <v>0</v>
      </c>
    </row>
    <row r="489" spans="1:42">
      <c r="A489" s="118">
        <f t="shared" si="974"/>
        <v>8</v>
      </c>
      <c r="B489" s="196">
        <f t="shared" si="971"/>
        <v>0</v>
      </c>
      <c r="C489" s="225">
        <f t="shared" ref="C489:AP489" si="980">LOOKUP(C477,$B$465:$AP$465,$B$466:$AP$466)*$B656</f>
        <v>0</v>
      </c>
      <c r="D489" s="186">
        <f t="shared" si="980"/>
        <v>0</v>
      </c>
      <c r="E489" s="186">
        <f t="shared" si="980"/>
        <v>0</v>
      </c>
      <c r="F489" s="186">
        <f t="shared" si="980"/>
        <v>0</v>
      </c>
      <c r="G489" s="186">
        <f t="shared" si="980"/>
        <v>0</v>
      </c>
      <c r="H489" s="186">
        <f t="shared" si="980"/>
        <v>0</v>
      </c>
      <c r="I489" s="186">
        <f t="shared" si="980"/>
        <v>0</v>
      </c>
      <c r="J489" s="186">
        <f t="shared" si="980"/>
        <v>0</v>
      </c>
      <c r="K489" s="186">
        <f t="shared" si="980"/>
        <v>0</v>
      </c>
      <c r="L489" s="186">
        <f t="shared" si="980"/>
        <v>0</v>
      </c>
      <c r="M489" s="186">
        <f t="shared" si="980"/>
        <v>0</v>
      </c>
      <c r="N489" s="186">
        <f t="shared" si="980"/>
        <v>0</v>
      </c>
      <c r="O489" s="186">
        <f t="shared" si="980"/>
        <v>0</v>
      </c>
      <c r="P489" s="186">
        <f t="shared" si="980"/>
        <v>0</v>
      </c>
      <c r="Q489" s="186">
        <f t="shared" si="980"/>
        <v>0</v>
      </c>
      <c r="R489" s="186">
        <f t="shared" si="980"/>
        <v>0</v>
      </c>
      <c r="S489" s="186">
        <f t="shared" si="980"/>
        <v>0</v>
      </c>
      <c r="T489" s="186">
        <f t="shared" si="980"/>
        <v>0</v>
      </c>
      <c r="U489" s="186">
        <f t="shared" si="980"/>
        <v>0</v>
      </c>
      <c r="V489" s="186">
        <f t="shared" si="980"/>
        <v>0</v>
      </c>
      <c r="W489" s="186">
        <f t="shared" si="980"/>
        <v>0</v>
      </c>
      <c r="X489" s="186">
        <f t="shared" si="980"/>
        <v>0</v>
      </c>
      <c r="Y489" s="186">
        <f t="shared" si="980"/>
        <v>0</v>
      </c>
      <c r="Z489" s="186">
        <f t="shared" si="980"/>
        <v>0</v>
      </c>
      <c r="AA489" s="186">
        <f t="shared" si="980"/>
        <v>0</v>
      </c>
      <c r="AB489" s="186">
        <f t="shared" si="980"/>
        <v>0</v>
      </c>
      <c r="AC489" s="186">
        <f t="shared" si="980"/>
        <v>0</v>
      </c>
      <c r="AD489" s="186">
        <f t="shared" si="980"/>
        <v>0</v>
      </c>
      <c r="AE489" s="186">
        <f t="shared" si="980"/>
        <v>0</v>
      </c>
      <c r="AF489" s="186">
        <f t="shared" si="980"/>
        <v>0</v>
      </c>
      <c r="AG489" s="186">
        <f t="shared" si="980"/>
        <v>0</v>
      </c>
      <c r="AH489" s="186">
        <f t="shared" si="980"/>
        <v>0</v>
      </c>
      <c r="AI489" s="186">
        <f t="shared" si="980"/>
        <v>0</v>
      </c>
      <c r="AJ489" s="186">
        <f t="shared" si="980"/>
        <v>0</v>
      </c>
      <c r="AK489" s="186">
        <f t="shared" si="980"/>
        <v>0</v>
      </c>
      <c r="AL489" s="186">
        <f t="shared" si="980"/>
        <v>0</v>
      </c>
      <c r="AM489" s="186">
        <f t="shared" si="980"/>
        <v>0</v>
      </c>
      <c r="AN489" s="186">
        <f t="shared" si="980"/>
        <v>0</v>
      </c>
      <c r="AO489" s="186">
        <f t="shared" si="980"/>
        <v>0</v>
      </c>
      <c r="AP489" s="186">
        <f t="shared" si="980"/>
        <v>0</v>
      </c>
    </row>
    <row r="490" spans="1:42">
      <c r="A490" s="118">
        <f>A489+1</f>
        <v>9</v>
      </c>
      <c r="B490" s="196">
        <f t="shared" si="971"/>
        <v>0</v>
      </c>
      <c r="C490" s="225">
        <f t="shared" ref="C490:AP490" si="981">LOOKUP(C478,$B$465:$AP$465,$B$466:$AP$466)*$B657</f>
        <v>0</v>
      </c>
      <c r="D490" s="186">
        <f t="shared" si="981"/>
        <v>0</v>
      </c>
      <c r="E490" s="186">
        <f t="shared" si="981"/>
        <v>0</v>
      </c>
      <c r="F490" s="186">
        <f t="shared" si="981"/>
        <v>0</v>
      </c>
      <c r="G490" s="186">
        <f t="shared" si="981"/>
        <v>0</v>
      </c>
      <c r="H490" s="186">
        <f t="shared" si="981"/>
        <v>0</v>
      </c>
      <c r="I490" s="186">
        <f t="shared" si="981"/>
        <v>0</v>
      </c>
      <c r="J490" s="186">
        <f t="shared" si="981"/>
        <v>0</v>
      </c>
      <c r="K490" s="186">
        <f t="shared" si="981"/>
        <v>0</v>
      </c>
      <c r="L490" s="186">
        <f t="shared" si="981"/>
        <v>0</v>
      </c>
      <c r="M490" s="186">
        <f t="shared" si="981"/>
        <v>0</v>
      </c>
      <c r="N490" s="186">
        <f t="shared" si="981"/>
        <v>0</v>
      </c>
      <c r="O490" s="186">
        <f t="shared" si="981"/>
        <v>0</v>
      </c>
      <c r="P490" s="186">
        <f t="shared" si="981"/>
        <v>0</v>
      </c>
      <c r="Q490" s="186">
        <f t="shared" si="981"/>
        <v>0</v>
      </c>
      <c r="R490" s="186">
        <f t="shared" si="981"/>
        <v>0</v>
      </c>
      <c r="S490" s="186">
        <f t="shared" si="981"/>
        <v>0</v>
      </c>
      <c r="T490" s="186">
        <f t="shared" si="981"/>
        <v>0</v>
      </c>
      <c r="U490" s="186">
        <f t="shared" si="981"/>
        <v>0</v>
      </c>
      <c r="V490" s="186">
        <f t="shared" si="981"/>
        <v>0</v>
      </c>
      <c r="W490" s="186">
        <f t="shared" si="981"/>
        <v>0</v>
      </c>
      <c r="X490" s="186">
        <f t="shared" si="981"/>
        <v>0</v>
      </c>
      <c r="Y490" s="186">
        <f t="shared" si="981"/>
        <v>0</v>
      </c>
      <c r="Z490" s="186">
        <f t="shared" si="981"/>
        <v>0</v>
      </c>
      <c r="AA490" s="186">
        <f t="shared" si="981"/>
        <v>0</v>
      </c>
      <c r="AB490" s="186">
        <f t="shared" si="981"/>
        <v>0</v>
      </c>
      <c r="AC490" s="186">
        <f t="shared" si="981"/>
        <v>0</v>
      </c>
      <c r="AD490" s="186">
        <f t="shared" si="981"/>
        <v>0</v>
      </c>
      <c r="AE490" s="186">
        <f t="shared" si="981"/>
        <v>0</v>
      </c>
      <c r="AF490" s="186">
        <f t="shared" si="981"/>
        <v>0</v>
      </c>
      <c r="AG490" s="186">
        <f t="shared" si="981"/>
        <v>0</v>
      </c>
      <c r="AH490" s="186">
        <f t="shared" si="981"/>
        <v>0</v>
      </c>
      <c r="AI490" s="186">
        <f t="shared" si="981"/>
        <v>0</v>
      </c>
      <c r="AJ490" s="186">
        <f t="shared" si="981"/>
        <v>0</v>
      </c>
      <c r="AK490" s="186">
        <f t="shared" si="981"/>
        <v>0</v>
      </c>
      <c r="AL490" s="186">
        <f t="shared" si="981"/>
        <v>0</v>
      </c>
      <c r="AM490" s="186">
        <f t="shared" si="981"/>
        <v>0</v>
      </c>
      <c r="AN490" s="186">
        <f t="shared" si="981"/>
        <v>0</v>
      </c>
      <c r="AO490" s="186">
        <f t="shared" si="981"/>
        <v>0</v>
      </c>
      <c r="AP490" s="186">
        <f t="shared" si="981"/>
        <v>0</v>
      </c>
    </row>
    <row r="491" spans="1:42">
      <c r="A491" s="118">
        <f t="shared" ref="A491" si="982">A490+1</f>
        <v>10</v>
      </c>
      <c r="B491" s="196">
        <f t="shared" si="971"/>
        <v>0</v>
      </c>
      <c r="C491" s="221">
        <f t="shared" ref="C491:AP491" si="983">LOOKUP(C479,$B$465:$AP$465,$B$466:$AP$466)*$B658</f>
        <v>0</v>
      </c>
      <c r="D491" s="187">
        <f t="shared" si="983"/>
        <v>0</v>
      </c>
      <c r="E491" s="187">
        <f t="shared" si="983"/>
        <v>0</v>
      </c>
      <c r="F491" s="187">
        <f t="shared" si="983"/>
        <v>0</v>
      </c>
      <c r="G491" s="187">
        <f t="shared" si="983"/>
        <v>0</v>
      </c>
      <c r="H491" s="187">
        <f t="shared" si="983"/>
        <v>0</v>
      </c>
      <c r="I491" s="187">
        <f t="shared" si="983"/>
        <v>0</v>
      </c>
      <c r="J491" s="187">
        <f t="shared" si="983"/>
        <v>0</v>
      </c>
      <c r="K491" s="187">
        <f t="shared" si="983"/>
        <v>0</v>
      </c>
      <c r="L491" s="187">
        <f t="shared" si="983"/>
        <v>0</v>
      </c>
      <c r="M491" s="187">
        <f t="shared" si="983"/>
        <v>0</v>
      </c>
      <c r="N491" s="187">
        <f t="shared" si="983"/>
        <v>0</v>
      </c>
      <c r="O491" s="187">
        <f t="shared" si="983"/>
        <v>0</v>
      </c>
      <c r="P491" s="187">
        <f t="shared" si="983"/>
        <v>0</v>
      </c>
      <c r="Q491" s="187">
        <f t="shared" si="983"/>
        <v>0</v>
      </c>
      <c r="R491" s="187">
        <f t="shared" si="983"/>
        <v>0</v>
      </c>
      <c r="S491" s="187">
        <f t="shared" si="983"/>
        <v>0</v>
      </c>
      <c r="T491" s="187">
        <f t="shared" si="983"/>
        <v>0</v>
      </c>
      <c r="U491" s="187">
        <f t="shared" si="983"/>
        <v>0</v>
      </c>
      <c r="V491" s="187">
        <f t="shared" si="983"/>
        <v>0</v>
      </c>
      <c r="W491" s="187">
        <f t="shared" si="983"/>
        <v>0</v>
      </c>
      <c r="X491" s="187">
        <f t="shared" si="983"/>
        <v>0</v>
      </c>
      <c r="Y491" s="187">
        <f t="shared" si="983"/>
        <v>0</v>
      </c>
      <c r="Z491" s="187">
        <f t="shared" si="983"/>
        <v>0</v>
      </c>
      <c r="AA491" s="187">
        <f t="shared" si="983"/>
        <v>0</v>
      </c>
      <c r="AB491" s="187">
        <f t="shared" si="983"/>
        <v>0</v>
      </c>
      <c r="AC491" s="187">
        <f t="shared" si="983"/>
        <v>0</v>
      </c>
      <c r="AD491" s="187">
        <f t="shared" si="983"/>
        <v>0</v>
      </c>
      <c r="AE491" s="187">
        <f t="shared" si="983"/>
        <v>0</v>
      </c>
      <c r="AF491" s="187">
        <f t="shared" si="983"/>
        <v>0</v>
      </c>
      <c r="AG491" s="187">
        <f t="shared" si="983"/>
        <v>0</v>
      </c>
      <c r="AH491" s="187">
        <f t="shared" si="983"/>
        <v>0</v>
      </c>
      <c r="AI491" s="187">
        <f t="shared" si="983"/>
        <v>0</v>
      </c>
      <c r="AJ491" s="187">
        <f t="shared" si="983"/>
        <v>0</v>
      </c>
      <c r="AK491" s="187">
        <f t="shared" si="983"/>
        <v>0</v>
      </c>
      <c r="AL491" s="187">
        <f t="shared" si="983"/>
        <v>0</v>
      </c>
      <c r="AM491" s="187">
        <f t="shared" si="983"/>
        <v>0</v>
      </c>
      <c r="AN491" s="187">
        <f t="shared" si="983"/>
        <v>0</v>
      </c>
      <c r="AO491" s="187">
        <f t="shared" si="983"/>
        <v>0</v>
      </c>
      <c r="AP491" s="187">
        <f t="shared" si="983"/>
        <v>0</v>
      </c>
    </row>
    <row r="492" spans="1:42" s="118" customFormat="1">
      <c r="A492" s="222" t="s">
        <v>53</v>
      </c>
      <c r="B492" s="141"/>
      <c r="C492" s="141">
        <f>SUM(C482:C491)</f>
        <v>0</v>
      </c>
      <c r="D492" s="141">
        <f t="shared" ref="D492" si="984">SUM(D482:D491)</f>
        <v>0</v>
      </c>
      <c r="E492" s="141">
        <f t="shared" ref="E492" si="985">SUM(E482:E491)</f>
        <v>0</v>
      </c>
      <c r="F492" s="141">
        <f t="shared" ref="F492" si="986">SUM(F482:F491)</f>
        <v>0</v>
      </c>
      <c r="G492" s="141">
        <f t="shared" ref="G492" si="987">SUM(G482:G491)</f>
        <v>0</v>
      </c>
      <c r="H492" s="141">
        <f t="shared" ref="H492" si="988">SUM(H482:H491)</f>
        <v>0</v>
      </c>
      <c r="I492" s="141">
        <f t="shared" ref="I492" si="989">SUM(I482:I491)</f>
        <v>0</v>
      </c>
      <c r="J492" s="141">
        <f t="shared" ref="J492" si="990">SUM(J482:J491)</f>
        <v>0</v>
      </c>
      <c r="K492" s="141">
        <f t="shared" ref="K492" si="991">SUM(K482:K491)</f>
        <v>0</v>
      </c>
      <c r="L492" s="141">
        <f t="shared" ref="L492" si="992">SUM(L482:L491)</f>
        <v>0</v>
      </c>
      <c r="M492" s="141">
        <f t="shared" ref="M492" si="993">SUM(M482:M491)</f>
        <v>0</v>
      </c>
      <c r="N492" s="141">
        <f t="shared" ref="N492" si="994">SUM(N482:N491)</f>
        <v>588974.46870026283</v>
      </c>
      <c r="O492" s="141">
        <f t="shared" ref="O492" si="995">SUM(O482:O491)</f>
        <v>942359.14992042049</v>
      </c>
      <c r="P492" s="141">
        <f t="shared" ref="P492" si="996">SUM(P482:P491)</f>
        <v>565415.48995225236</v>
      </c>
      <c r="Q492" s="141">
        <f t="shared" ref="Q492" si="997">SUM(Q482:Q491)</f>
        <v>339249.29397135135</v>
      </c>
      <c r="R492" s="141">
        <f t="shared" ref="R492" si="998">SUM(R482:R491)</f>
        <v>339249.29397135135</v>
      </c>
      <c r="S492" s="141">
        <f t="shared" ref="S492" si="999">SUM(S482:S491)</f>
        <v>169624.64698567567</v>
      </c>
      <c r="T492" s="141">
        <f t="shared" ref="T492" si="1000">SUM(T482:T491)</f>
        <v>0</v>
      </c>
      <c r="U492" s="141">
        <f t="shared" ref="U492" si="1001">SUM(U482:U491)</f>
        <v>0</v>
      </c>
      <c r="V492" s="141">
        <f t="shared" ref="V492" si="1002">SUM(V482:V491)</f>
        <v>0</v>
      </c>
      <c r="W492" s="141">
        <f t="shared" ref="W492" si="1003">SUM(W482:W491)</f>
        <v>0</v>
      </c>
      <c r="X492" s="141">
        <f t="shared" ref="X492" si="1004">SUM(X482:X491)</f>
        <v>0</v>
      </c>
      <c r="Y492" s="141">
        <f t="shared" ref="Y492" si="1005">SUM(Y482:Y491)</f>
        <v>0</v>
      </c>
      <c r="Z492" s="141">
        <f t="shared" ref="Z492" si="1006">SUM(Z482:Z491)</f>
        <v>704188.57730493625</v>
      </c>
      <c r="AA492" s="141">
        <f t="shared" ref="AA492" si="1007">SUM(AA482:AA491)</f>
        <v>1126701.7236878979</v>
      </c>
      <c r="AB492" s="141">
        <f t="shared" ref="AB492" si="1008">SUM(AB482:AB491)</f>
        <v>676021.03421273874</v>
      </c>
      <c r="AC492" s="141">
        <f t="shared" ref="AC492" si="1009">SUM(AC482:AC491)</f>
        <v>405612.62052764324</v>
      </c>
      <c r="AD492" s="141">
        <f t="shared" ref="AD492" si="1010">SUM(AD482:AD491)</f>
        <v>405612.62052764324</v>
      </c>
      <c r="AE492" s="141">
        <f t="shared" ref="AE492" si="1011">SUM(AE482:AE491)</f>
        <v>202806.31026382162</v>
      </c>
      <c r="AF492" s="141">
        <f t="shared" ref="AF492" si="1012">SUM(AF482:AF491)</f>
        <v>0</v>
      </c>
      <c r="AG492" s="141">
        <f t="shared" ref="AG492" si="1013">SUM(AG482:AG491)</f>
        <v>0</v>
      </c>
      <c r="AH492" s="141">
        <f t="shared" ref="AH492" si="1014">SUM(AH482:AH491)</f>
        <v>0</v>
      </c>
      <c r="AI492" s="141">
        <f t="shared" ref="AI492" si="1015">SUM(AI482:AI491)</f>
        <v>0</v>
      </c>
      <c r="AJ492" s="141">
        <f t="shared" ref="AJ492" si="1016">SUM(AJ482:AJ491)</f>
        <v>0</v>
      </c>
      <c r="AK492" s="141">
        <f t="shared" ref="AK492" si="1017">SUM(AK482:AK491)</f>
        <v>0</v>
      </c>
      <c r="AL492" s="141">
        <f t="shared" ref="AL492" si="1018">SUM(AL482:AL491)</f>
        <v>0</v>
      </c>
      <c r="AM492" s="141">
        <f t="shared" ref="AM492" si="1019">SUM(AM482:AM491)</f>
        <v>0</v>
      </c>
      <c r="AN492" s="141">
        <f t="shared" ref="AN492" si="1020">SUM(AN482:AN491)</f>
        <v>0</v>
      </c>
      <c r="AO492" s="141">
        <f t="shared" ref="AO492" si="1021">SUM(AO482:AO491)</f>
        <v>0</v>
      </c>
      <c r="AP492" s="141">
        <f t="shared" ref="AP492" si="1022">SUM(AP482:AP491)</f>
        <v>0</v>
      </c>
    </row>
    <row r="493" spans="1:42" s="118" customFormat="1">
      <c r="A493" s="222"/>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c r="AA493" s="141"/>
      <c r="AB493" s="141"/>
      <c r="AC493" s="141"/>
      <c r="AD493" s="141"/>
      <c r="AE493" s="141"/>
      <c r="AF493" s="141"/>
      <c r="AG493" s="141"/>
      <c r="AH493" s="141"/>
      <c r="AI493" s="141"/>
      <c r="AJ493" s="141"/>
      <c r="AK493" s="141"/>
      <c r="AL493" s="141"/>
      <c r="AM493" s="141"/>
      <c r="AN493" s="141"/>
      <c r="AO493" s="141"/>
      <c r="AP493" s="141"/>
    </row>
    <row r="494" spans="1:42">
      <c r="A494" s="197" t="s">
        <v>371</v>
      </c>
      <c r="C494" s="186"/>
      <c r="D494" s="186"/>
      <c r="E494" s="186"/>
      <c r="F494" s="186"/>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row>
    <row r="495" spans="1:42">
      <c r="A495" s="204" t="s">
        <v>207</v>
      </c>
      <c r="C495" s="186"/>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row>
    <row r="496" spans="1:42">
      <c r="A496" s="118">
        <v>1</v>
      </c>
      <c r="C496" s="186">
        <f>C361</f>
        <v>0</v>
      </c>
      <c r="D496" s="186">
        <f t="shared" ref="D496:AP502" si="1023">D361</f>
        <v>0</v>
      </c>
      <c r="E496" s="186">
        <f t="shared" si="1023"/>
        <v>0</v>
      </c>
      <c r="F496" s="186">
        <f t="shared" si="1023"/>
        <v>0</v>
      </c>
      <c r="G496" s="186">
        <f t="shared" si="1023"/>
        <v>0</v>
      </c>
      <c r="H496" s="186">
        <f t="shared" si="1023"/>
        <v>0</v>
      </c>
      <c r="I496" s="186">
        <f t="shared" si="1023"/>
        <v>0</v>
      </c>
      <c r="J496" s="186">
        <f t="shared" si="1023"/>
        <v>0</v>
      </c>
      <c r="K496" s="186">
        <f t="shared" si="1023"/>
        <v>0</v>
      </c>
      <c r="L496" s="186">
        <f t="shared" si="1023"/>
        <v>0</v>
      </c>
      <c r="M496" s="186">
        <f t="shared" si="1023"/>
        <v>0</v>
      </c>
      <c r="N496" s="186">
        <f t="shared" si="1023"/>
        <v>0</v>
      </c>
      <c r="O496" s="186">
        <f t="shared" si="1023"/>
        <v>0</v>
      </c>
      <c r="P496" s="186">
        <f t="shared" si="1023"/>
        <v>0</v>
      </c>
      <c r="Q496" s="186">
        <f t="shared" si="1023"/>
        <v>1</v>
      </c>
      <c r="R496" s="186">
        <f t="shared" si="1023"/>
        <v>2</v>
      </c>
      <c r="S496" s="186">
        <f t="shared" si="1023"/>
        <v>3</v>
      </c>
      <c r="T496" s="186">
        <f t="shared" si="1023"/>
        <v>4</v>
      </c>
      <c r="U496" s="186">
        <f t="shared" si="1023"/>
        <v>5</v>
      </c>
      <c r="V496" s="186">
        <f t="shared" si="1023"/>
        <v>6</v>
      </c>
      <c r="W496" s="186">
        <f t="shared" si="1023"/>
        <v>7</v>
      </c>
      <c r="X496" s="186">
        <f t="shared" si="1023"/>
        <v>8</v>
      </c>
      <c r="Y496" s="186">
        <f t="shared" si="1023"/>
        <v>9</v>
      </c>
      <c r="Z496" s="186">
        <f t="shared" si="1023"/>
        <v>10</v>
      </c>
      <c r="AA496" s="186">
        <f t="shared" si="1023"/>
        <v>11</v>
      </c>
      <c r="AB496" s="186">
        <f t="shared" si="1023"/>
        <v>12</v>
      </c>
      <c r="AC496" s="186">
        <f t="shared" si="1023"/>
        <v>13</v>
      </c>
      <c r="AD496" s="186">
        <f t="shared" si="1023"/>
        <v>14</v>
      </c>
      <c r="AE496" s="186">
        <f t="shared" si="1023"/>
        <v>15</v>
      </c>
      <c r="AF496" s="186">
        <f t="shared" si="1023"/>
        <v>16</v>
      </c>
      <c r="AG496" s="186">
        <f t="shared" si="1023"/>
        <v>0</v>
      </c>
      <c r="AH496" s="186">
        <f t="shared" si="1023"/>
        <v>0</v>
      </c>
      <c r="AI496" s="186">
        <f t="shared" si="1023"/>
        <v>0</v>
      </c>
      <c r="AJ496" s="186">
        <f t="shared" si="1023"/>
        <v>0</v>
      </c>
      <c r="AK496" s="186">
        <f t="shared" si="1023"/>
        <v>0</v>
      </c>
      <c r="AL496" s="186">
        <f t="shared" si="1023"/>
        <v>0</v>
      </c>
      <c r="AM496" s="186">
        <f t="shared" si="1023"/>
        <v>0</v>
      </c>
      <c r="AN496" s="186">
        <f t="shared" si="1023"/>
        <v>0</v>
      </c>
      <c r="AO496" s="186">
        <f t="shared" si="1023"/>
        <v>0</v>
      </c>
      <c r="AP496" s="186">
        <f t="shared" si="1023"/>
        <v>0</v>
      </c>
    </row>
    <row r="497" spans="1:42">
      <c r="A497" s="118">
        <f>A496+1</f>
        <v>2</v>
      </c>
      <c r="C497" s="186">
        <f t="shared" ref="C497:R505" si="1024">C362</f>
        <v>0</v>
      </c>
      <c r="D497" s="186">
        <f t="shared" si="1024"/>
        <v>0</v>
      </c>
      <c r="E497" s="186">
        <f t="shared" si="1024"/>
        <v>0</v>
      </c>
      <c r="F497" s="186">
        <f t="shared" si="1024"/>
        <v>0</v>
      </c>
      <c r="G497" s="186">
        <f t="shared" si="1024"/>
        <v>0</v>
      </c>
      <c r="H497" s="186">
        <f t="shared" si="1024"/>
        <v>0</v>
      </c>
      <c r="I497" s="186">
        <f t="shared" si="1024"/>
        <v>0</v>
      </c>
      <c r="J497" s="186">
        <f t="shared" si="1024"/>
        <v>0</v>
      </c>
      <c r="K497" s="186">
        <f t="shared" si="1024"/>
        <v>0</v>
      </c>
      <c r="L497" s="186">
        <f t="shared" si="1024"/>
        <v>0</v>
      </c>
      <c r="M497" s="186">
        <f t="shared" si="1024"/>
        <v>0</v>
      </c>
      <c r="N497" s="186">
        <f t="shared" si="1024"/>
        <v>0</v>
      </c>
      <c r="O497" s="186">
        <f t="shared" si="1024"/>
        <v>0</v>
      </c>
      <c r="P497" s="186">
        <f t="shared" si="1024"/>
        <v>0</v>
      </c>
      <c r="Q497" s="186">
        <f t="shared" si="1024"/>
        <v>0</v>
      </c>
      <c r="R497" s="186">
        <f t="shared" si="1024"/>
        <v>0</v>
      </c>
      <c r="S497" s="186">
        <f t="shared" si="1023"/>
        <v>0</v>
      </c>
      <c r="T497" s="186">
        <f t="shared" si="1023"/>
        <v>0</v>
      </c>
      <c r="U497" s="186">
        <f t="shared" si="1023"/>
        <v>0</v>
      </c>
      <c r="V497" s="186">
        <f t="shared" si="1023"/>
        <v>0</v>
      </c>
      <c r="W497" s="186">
        <f t="shared" si="1023"/>
        <v>0</v>
      </c>
      <c r="X497" s="186">
        <f t="shared" si="1023"/>
        <v>0</v>
      </c>
      <c r="Y497" s="186">
        <f t="shared" si="1023"/>
        <v>0</v>
      </c>
      <c r="Z497" s="186">
        <f t="shared" si="1023"/>
        <v>0</v>
      </c>
      <c r="AA497" s="186">
        <f t="shared" si="1023"/>
        <v>0</v>
      </c>
      <c r="AB497" s="186">
        <f t="shared" si="1023"/>
        <v>0</v>
      </c>
      <c r="AC497" s="186">
        <f t="shared" si="1023"/>
        <v>0</v>
      </c>
      <c r="AD497" s="186">
        <f t="shared" si="1023"/>
        <v>0</v>
      </c>
      <c r="AE497" s="186">
        <f t="shared" si="1023"/>
        <v>0</v>
      </c>
      <c r="AF497" s="186">
        <f t="shared" si="1023"/>
        <v>1</v>
      </c>
      <c r="AG497" s="186">
        <f t="shared" si="1023"/>
        <v>0</v>
      </c>
      <c r="AH497" s="186">
        <f t="shared" si="1023"/>
        <v>0</v>
      </c>
      <c r="AI497" s="186">
        <f t="shared" si="1023"/>
        <v>0</v>
      </c>
      <c r="AJ497" s="186">
        <f t="shared" si="1023"/>
        <v>0</v>
      </c>
      <c r="AK497" s="186">
        <f t="shared" si="1023"/>
        <v>0</v>
      </c>
      <c r="AL497" s="186">
        <f t="shared" si="1023"/>
        <v>0</v>
      </c>
      <c r="AM497" s="186">
        <f t="shared" si="1023"/>
        <v>0</v>
      </c>
      <c r="AN497" s="186">
        <f t="shared" si="1023"/>
        <v>0</v>
      </c>
      <c r="AO497" s="186">
        <f t="shared" si="1023"/>
        <v>0</v>
      </c>
      <c r="AP497" s="186">
        <f t="shared" si="1023"/>
        <v>0</v>
      </c>
    </row>
    <row r="498" spans="1:42">
      <c r="A498" s="118">
        <f t="shared" ref="A498:A503" si="1025">A497+1</f>
        <v>3</v>
      </c>
      <c r="C498" s="186">
        <f t="shared" si="1024"/>
        <v>0</v>
      </c>
      <c r="D498" s="186">
        <f t="shared" si="1023"/>
        <v>0</v>
      </c>
      <c r="E498" s="186">
        <f t="shared" si="1023"/>
        <v>0</v>
      </c>
      <c r="F498" s="186">
        <f t="shared" si="1023"/>
        <v>0</v>
      </c>
      <c r="G498" s="186">
        <f t="shared" si="1023"/>
        <v>0</v>
      </c>
      <c r="H498" s="186">
        <f t="shared" si="1023"/>
        <v>0</v>
      </c>
      <c r="I498" s="186">
        <f t="shared" si="1023"/>
        <v>0</v>
      </c>
      <c r="J498" s="186">
        <f t="shared" si="1023"/>
        <v>0</v>
      </c>
      <c r="K498" s="186">
        <f t="shared" si="1023"/>
        <v>0</v>
      </c>
      <c r="L498" s="186">
        <f t="shared" si="1023"/>
        <v>0</v>
      </c>
      <c r="M498" s="186">
        <f t="shared" si="1023"/>
        <v>0</v>
      </c>
      <c r="N498" s="186">
        <f t="shared" si="1023"/>
        <v>0</v>
      </c>
      <c r="O498" s="186">
        <f t="shared" si="1023"/>
        <v>0</v>
      </c>
      <c r="P498" s="186">
        <f t="shared" si="1023"/>
        <v>0</v>
      </c>
      <c r="Q498" s="186">
        <f t="shared" si="1023"/>
        <v>0</v>
      </c>
      <c r="R498" s="186">
        <f t="shared" si="1023"/>
        <v>0</v>
      </c>
      <c r="S498" s="186">
        <f t="shared" si="1023"/>
        <v>0</v>
      </c>
      <c r="T498" s="186">
        <f t="shared" si="1023"/>
        <v>0</v>
      </c>
      <c r="U498" s="186">
        <f t="shared" si="1023"/>
        <v>0</v>
      </c>
      <c r="V498" s="186">
        <f t="shared" si="1023"/>
        <v>0</v>
      </c>
      <c r="W498" s="186">
        <f t="shared" si="1023"/>
        <v>0</v>
      </c>
      <c r="X498" s="186">
        <f t="shared" si="1023"/>
        <v>0</v>
      </c>
      <c r="Y498" s="186">
        <f t="shared" si="1023"/>
        <v>0</v>
      </c>
      <c r="Z498" s="186">
        <f t="shared" si="1023"/>
        <v>0</v>
      </c>
      <c r="AA498" s="186">
        <f t="shared" si="1023"/>
        <v>0</v>
      </c>
      <c r="AB498" s="186">
        <f t="shared" si="1023"/>
        <v>0</v>
      </c>
      <c r="AC498" s="186">
        <f t="shared" si="1023"/>
        <v>0</v>
      </c>
      <c r="AD498" s="186">
        <f t="shared" si="1023"/>
        <v>0</v>
      </c>
      <c r="AE498" s="186">
        <f t="shared" si="1023"/>
        <v>0</v>
      </c>
      <c r="AF498" s="186">
        <f t="shared" si="1023"/>
        <v>0</v>
      </c>
      <c r="AG498" s="186">
        <f t="shared" si="1023"/>
        <v>0</v>
      </c>
      <c r="AH498" s="186">
        <f t="shared" si="1023"/>
        <v>0</v>
      </c>
      <c r="AI498" s="186">
        <f t="shared" si="1023"/>
        <v>0</v>
      </c>
      <c r="AJ498" s="186">
        <f t="shared" si="1023"/>
        <v>0</v>
      </c>
      <c r="AK498" s="186">
        <f t="shared" si="1023"/>
        <v>0</v>
      </c>
      <c r="AL498" s="186">
        <f t="shared" si="1023"/>
        <v>0</v>
      </c>
      <c r="AM498" s="186">
        <f t="shared" si="1023"/>
        <v>0</v>
      </c>
      <c r="AN498" s="186">
        <f t="shared" si="1023"/>
        <v>0</v>
      </c>
      <c r="AO498" s="186">
        <f t="shared" si="1023"/>
        <v>0</v>
      </c>
      <c r="AP498" s="186">
        <f t="shared" si="1023"/>
        <v>0</v>
      </c>
    </row>
    <row r="499" spans="1:42">
      <c r="A499" s="118">
        <f t="shared" si="1025"/>
        <v>4</v>
      </c>
      <c r="C499" s="186">
        <f t="shared" si="1024"/>
        <v>0</v>
      </c>
      <c r="D499" s="186">
        <f t="shared" si="1023"/>
        <v>0</v>
      </c>
      <c r="E499" s="186">
        <f t="shared" si="1023"/>
        <v>0</v>
      </c>
      <c r="F499" s="186">
        <f t="shared" si="1023"/>
        <v>0</v>
      </c>
      <c r="G499" s="186">
        <f t="shared" si="1023"/>
        <v>0</v>
      </c>
      <c r="H499" s="186">
        <f t="shared" si="1023"/>
        <v>0</v>
      </c>
      <c r="I499" s="186">
        <f t="shared" si="1023"/>
        <v>0</v>
      </c>
      <c r="J499" s="186">
        <f t="shared" si="1023"/>
        <v>0</v>
      </c>
      <c r="K499" s="186">
        <f t="shared" si="1023"/>
        <v>0</v>
      </c>
      <c r="L499" s="186">
        <f t="shared" si="1023"/>
        <v>0</v>
      </c>
      <c r="M499" s="186">
        <f t="shared" si="1023"/>
        <v>0</v>
      </c>
      <c r="N499" s="186">
        <f t="shared" si="1023"/>
        <v>0</v>
      </c>
      <c r="O499" s="186">
        <f t="shared" si="1023"/>
        <v>0</v>
      </c>
      <c r="P499" s="186">
        <f t="shared" si="1023"/>
        <v>0</v>
      </c>
      <c r="Q499" s="186">
        <f t="shared" si="1023"/>
        <v>0</v>
      </c>
      <c r="R499" s="186">
        <f t="shared" si="1023"/>
        <v>0</v>
      </c>
      <c r="S499" s="186">
        <f t="shared" si="1023"/>
        <v>0</v>
      </c>
      <c r="T499" s="186">
        <f t="shared" si="1023"/>
        <v>0</v>
      </c>
      <c r="U499" s="186">
        <f t="shared" si="1023"/>
        <v>0</v>
      </c>
      <c r="V499" s="186">
        <f t="shared" si="1023"/>
        <v>0</v>
      </c>
      <c r="W499" s="186">
        <f t="shared" si="1023"/>
        <v>0</v>
      </c>
      <c r="X499" s="186">
        <f t="shared" si="1023"/>
        <v>0</v>
      </c>
      <c r="Y499" s="186">
        <f t="shared" si="1023"/>
        <v>0</v>
      </c>
      <c r="Z499" s="186">
        <f t="shared" si="1023"/>
        <v>0</v>
      </c>
      <c r="AA499" s="186">
        <f t="shared" si="1023"/>
        <v>0</v>
      </c>
      <c r="AB499" s="186">
        <f t="shared" si="1023"/>
        <v>0</v>
      </c>
      <c r="AC499" s="186">
        <f t="shared" si="1023"/>
        <v>0</v>
      </c>
      <c r="AD499" s="186">
        <f t="shared" si="1023"/>
        <v>0</v>
      </c>
      <c r="AE499" s="186">
        <f t="shared" si="1023"/>
        <v>0</v>
      </c>
      <c r="AF499" s="186">
        <f t="shared" si="1023"/>
        <v>0</v>
      </c>
      <c r="AG499" s="186">
        <f t="shared" si="1023"/>
        <v>0</v>
      </c>
      <c r="AH499" s="186">
        <f t="shared" si="1023"/>
        <v>0</v>
      </c>
      <c r="AI499" s="186">
        <f t="shared" si="1023"/>
        <v>0</v>
      </c>
      <c r="AJ499" s="186">
        <f t="shared" si="1023"/>
        <v>0</v>
      </c>
      <c r="AK499" s="186">
        <f t="shared" si="1023"/>
        <v>0</v>
      </c>
      <c r="AL499" s="186">
        <f t="shared" si="1023"/>
        <v>0</v>
      </c>
      <c r="AM499" s="186">
        <f t="shared" si="1023"/>
        <v>0</v>
      </c>
      <c r="AN499" s="186">
        <f t="shared" si="1023"/>
        <v>0</v>
      </c>
      <c r="AO499" s="186">
        <f t="shared" si="1023"/>
        <v>0</v>
      </c>
      <c r="AP499" s="186">
        <f t="shared" si="1023"/>
        <v>0</v>
      </c>
    </row>
    <row r="500" spans="1:42">
      <c r="A500" s="118">
        <f t="shared" si="1025"/>
        <v>5</v>
      </c>
      <c r="C500" s="186">
        <f t="shared" si="1024"/>
        <v>0</v>
      </c>
      <c r="D500" s="186">
        <f t="shared" si="1023"/>
        <v>0</v>
      </c>
      <c r="E500" s="186">
        <f t="shared" si="1023"/>
        <v>0</v>
      </c>
      <c r="F500" s="186">
        <f t="shared" si="1023"/>
        <v>0</v>
      </c>
      <c r="G500" s="186">
        <f t="shared" si="1023"/>
        <v>0</v>
      </c>
      <c r="H500" s="186">
        <f t="shared" si="1023"/>
        <v>0</v>
      </c>
      <c r="I500" s="186">
        <f t="shared" si="1023"/>
        <v>0</v>
      </c>
      <c r="J500" s="186">
        <f t="shared" si="1023"/>
        <v>0</v>
      </c>
      <c r="K500" s="186">
        <f t="shared" si="1023"/>
        <v>0</v>
      </c>
      <c r="L500" s="186">
        <f t="shared" si="1023"/>
        <v>0</v>
      </c>
      <c r="M500" s="186">
        <f t="shared" si="1023"/>
        <v>0</v>
      </c>
      <c r="N500" s="186">
        <f t="shared" si="1023"/>
        <v>0</v>
      </c>
      <c r="O500" s="186">
        <f t="shared" si="1023"/>
        <v>0</v>
      </c>
      <c r="P500" s="186">
        <f t="shared" si="1023"/>
        <v>0</v>
      </c>
      <c r="Q500" s="186">
        <f t="shared" si="1023"/>
        <v>0</v>
      </c>
      <c r="R500" s="186">
        <f t="shared" si="1023"/>
        <v>0</v>
      </c>
      <c r="S500" s="186">
        <f t="shared" si="1023"/>
        <v>0</v>
      </c>
      <c r="T500" s="186">
        <f t="shared" si="1023"/>
        <v>0</v>
      </c>
      <c r="U500" s="186">
        <f t="shared" si="1023"/>
        <v>0</v>
      </c>
      <c r="V500" s="186">
        <f t="shared" si="1023"/>
        <v>0</v>
      </c>
      <c r="W500" s="186">
        <f t="shared" si="1023"/>
        <v>0</v>
      </c>
      <c r="X500" s="186">
        <f t="shared" si="1023"/>
        <v>0</v>
      </c>
      <c r="Y500" s="186">
        <f t="shared" si="1023"/>
        <v>0</v>
      </c>
      <c r="Z500" s="186">
        <f t="shared" si="1023"/>
        <v>0</v>
      </c>
      <c r="AA500" s="186">
        <f t="shared" si="1023"/>
        <v>0</v>
      </c>
      <c r="AB500" s="186">
        <f t="shared" si="1023"/>
        <v>0</v>
      </c>
      <c r="AC500" s="186">
        <f t="shared" si="1023"/>
        <v>0</v>
      </c>
      <c r="AD500" s="186">
        <f t="shared" si="1023"/>
        <v>0</v>
      </c>
      <c r="AE500" s="186">
        <f t="shared" si="1023"/>
        <v>0</v>
      </c>
      <c r="AF500" s="186">
        <f t="shared" si="1023"/>
        <v>0</v>
      </c>
      <c r="AG500" s="186">
        <f t="shared" si="1023"/>
        <v>0</v>
      </c>
      <c r="AH500" s="186">
        <f t="shared" si="1023"/>
        <v>0</v>
      </c>
      <c r="AI500" s="186">
        <f t="shared" si="1023"/>
        <v>0</v>
      </c>
      <c r="AJ500" s="186">
        <f t="shared" si="1023"/>
        <v>0</v>
      </c>
      <c r="AK500" s="186">
        <f t="shared" si="1023"/>
        <v>0</v>
      </c>
      <c r="AL500" s="186">
        <f t="shared" si="1023"/>
        <v>0</v>
      </c>
      <c r="AM500" s="186">
        <f t="shared" si="1023"/>
        <v>0</v>
      </c>
      <c r="AN500" s="186">
        <f t="shared" si="1023"/>
        <v>0</v>
      </c>
      <c r="AO500" s="186">
        <f t="shared" si="1023"/>
        <v>0</v>
      </c>
      <c r="AP500" s="186">
        <f t="shared" si="1023"/>
        <v>0</v>
      </c>
    </row>
    <row r="501" spans="1:42">
      <c r="A501" s="118">
        <f t="shared" si="1025"/>
        <v>6</v>
      </c>
      <c r="C501" s="186">
        <f t="shared" si="1024"/>
        <v>0</v>
      </c>
      <c r="D501" s="186">
        <f t="shared" si="1023"/>
        <v>0</v>
      </c>
      <c r="E501" s="186">
        <f t="shared" si="1023"/>
        <v>0</v>
      </c>
      <c r="F501" s="186">
        <f t="shared" si="1023"/>
        <v>0</v>
      </c>
      <c r="G501" s="186">
        <f t="shared" si="1023"/>
        <v>0</v>
      </c>
      <c r="H501" s="186">
        <f t="shared" si="1023"/>
        <v>0</v>
      </c>
      <c r="I501" s="186">
        <f t="shared" si="1023"/>
        <v>0</v>
      </c>
      <c r="J501" s="186">
        <f t="shared" si="1023"/>
        <v>0</v>
      </c>
      <c r="K501" s="186">
        <f t="shared" si="1023"/>
        <v>0</v>
      </c>
      <c r="L501" s="186">
        <f t="shared" si="1023"/>
        <v>0</v>
      </c>
      <c r="M501" s="186">
        <f t="shared" si="1023"/>
        <v>0</v>
      </c>
      <c r="N501" s="186">
        <f t="shared" si="1023"/>
        <v>0</v>
      </c>
      <c r="O501" s="186">
        <f t="shared" si="1023"/>
        <v>0</v>
      </c>
      <c r="P501" s="186">
        <f t="shared" si="1023"/>
        <v>0</v>
      </c>
      <c r="Q501" s="186">
        <f t="shared" si="1023"/>
        <v>0</v>
      </c>
      <c r="R501" s="186">
        <f t="shared" si="1023"/>
        <v>0</v>
      </c>
      <c r="S501" s="186">
        <f t="shared" si="1023"/>
        <v>0</v>
      </c>
      <c r="T501" s="186">
        <f t="shared" si="1023"/>
        <v>0</v>
      </c>
      <c r="U501" s="186">
        <f t="shared" si="1023"/>
        <v>0</v>
      </c>
      <c r="V501" s="186">
        <f t="shared" si="1023"/>
        <v>0</v>
      </c>
      <c r="W501" s="186">
        <f t="shared" si="1023"/>
        <v>0</v>
      </c>
      <c r="X501" s="186">
        <f t="shared" si="1023"/>
        <v>0</v>
      </c>
      <c r="Y501" s="186">
        <f t="shared" si="1023"/>
        <v>0</v>
      </c>
      <c r="Z501" s="186">
        <f t="shared" si="1023"/>
        <v>0</v>
      </c>
      <c r="AA501" s="186">
        <f t="shared" si="1023"/>
        <v>0</v>
      </c>
      <c r="AB501" s="186">
        <f t="shared" si="1023"/>
        <v>0</v>
      </c>
      <c r="AC501" s="186">
        <f t="shared" si="1023"/>
        <v>0</v>
      </c>
      <c r="AD501" s="186">
        <f t="shared" si="1023"/>
        <v>0</v>
      </c>
      <c r="AE501" s="186">
        <f t="shared" si="1023"/>
        <v>0</v>
      </c>
      <c r="AF501" s="186">
        <f t="shared" si="1023"/>
        <v>0</v>
      </c>
      <c r="AG501" s="186">
        <f t="shared" si="1023"/>
        <v>0</v>
      </c>
      <c r="AH501" s="186">
        <f t="shared" si="1023"/>
        <v>0</v>
      </c>
      <c r="AI501" s="186">
        <f t="shared" si="1023"/>
        <v>0</v>
      </c>
      <c r="AJ501" s="186">
        <f t="shared" si="1023"/>
        <v>0</v>
      </c>
      <c r="AK501" s="186">
        <f t="shared" si="1023"/>
        <v>0</v>
      </c>
      <c r="AL501" s="186">
        <f t="shared" si="1023"/>
        <v>0</v>
      </c>
      <c r="AM501" s="186">
        <f t="shared" si="1023"/>
        <v>0</v>
      </c>
      <c r="AN501" s="186">
        <f t="shared" si="1023"/>
        <v>0</v>
      </c>
      <c r="AO501" s="186">
        <f t="shared" si="1023"/>
        <v>0</v>
      </c>
      <c r="AP501" s="186">
        <f t="shared" si="1023"/>
        <v>0</v>
      </c>
    </row>
    <row r="502" spans="1:42">
      <c r="A502" s="118">
        <f t="shared" si="1025"/>
        <v>7</v>
      </c>
      <c r="C502" s="186">
        <f t="shared" si="1024"/>
        <v>0</v>
      </c>
      <c r="D502" s="186">
        <f t="shared" si="1023"/>
        <v>0</v>
      </c>
      <c r="E502" s="186">
        <f t="shared" si="1023"/>
        <v>0</v>
      </c>
      <c r="F502" s="186">
        <f t="shared" si="1023"/>
        <v>0</v>
      </c>
      <c r="G502" s="186">
        <f t="shared" si="1023"/>
        <v>0</v>
      </c>
      <c r="H502" s="186">
        <f t="shared" si="1023"/>
        <v>0</v>
      </c>
      <c r="I502" s="186">
        <f t="shared" si="1023"/>
        <v>0</v>
      </c>
      <c r="J502" s="186">
        <f t="shared" si="1023"/>
        <v>0</v>
      </c>
      <c r="K502" s="186">
        <f t="shared" si="1023"/>
        <v>0</v>
      </c>
      <c r="L502" s="186">
        <f t="shared" si="1023"/>
        <v>0</v>
      </c>
      <c r="M502" s="186">
        <f t="shared" si="1023"/>
        <v>0</v>
      </c>
      <c r="N502" s="186">
        <f t="shared" si="1023"/>
        <v>0</v>
      </c>
      <c r="O502" s="186">
        <f t="shared" si="1023"/>
        <v>0</v>
      </c>
      <c r="P502" s="186">
        <f t="shared" si="1023"/>
        <v>0</v>
      </c>
      <c r="Q502" s="186">
        <f t="shared" si="1023"/>
        <v>0</v>
      </c>
      <c r="R502" s="186">
        <f t="shared" si="1023"/>
        <v>0</v>
      </c>
      <c r="S502" s="186">
        <f t="shared" si="1023"/>
        <v>0</v>
      </c>
      <c r="T502" s="186">
        <f t="shared" si="1023"/>
        <v>0</v>
      </c>
      <c r="U502" s="186">
        <f t="shared" si="1023"/>
        <v>0</v>
      </c>
      <c r="V502" s="186">
        <f t="shared" si="1023"/>
        <v>0</v>
      </c>
      <c r="W502" s="186">
        <f t="shared" si="1023"/>
        <v>0</v>
      </c>
      <c r="X502" s="186">
        <f t="shared" si="1023"/>
        <v>0</v>
      </c>
      <c r="Y502" s="186">
        <f t="shared" si="1023"/>
        <v>0</v>
      </c>
      <c r="Z502" s="186">
        <f t="shared" si="1023"/>
        <v>0</v>
      </c>
      <c r="AA502" s="186">
        <f t="shared" si="1023"/>
        <v>0</v>
      </c>
      <c r="AB502" s="186">
        <f t="shared" si="1023"/>
        <v>0</v>
      </c>
      <c r="AC502" s="186">
        <f t="shared" si="1023"/>
        <v>0</v>
      </c>
      <c r="AD502" s="186">
        <f t="shared" si="1023"/>
        <v>0</v>
      </c>
      <c r="AE502" s="186">
        <f t="shared" si="1023"/>
        <v>0</v>
      </c>
      <c r="AF502" s="186">
        <f t="shared" si="1023"/>
        <v>0</v>
      </c>
      <c r="AG502" s="186">
        <f t="shared" si="1023"/>
        <v>0</v>
      </c>
      <c r="AH502" s="186">
        <f t="shared" si="1023"/>
        <v>0</v>
      </c>
      <c r="AI502" s="186">
        <f t="shared" si="1023"/>
        <v>0</v>
      </c>
      <c r="AJ502" s="186">
        <f t="shared" si="1023"/>
        <v>0</v>
      </c>
      <c r="AK502" s="186">
        <f t="shared" si="1023"/>
        <v>0</v>
      </c>
      <c r="AL502" s="186">
        <f t="shared" si="1023"/>
        <v>0</v>
      </c>
      <c r="AM502" s="186">
        <f t="shared" si="1023"/>
        <v>0</v>
      </c>
      <c r="AN502" s="186">
        <f t="shared" ref="D502:AP505" si="1026">AN367</f>
        <v>0</v>
      </c>
      <c r="AO502" s="186">
        <f t="shared" si="1026"/>
        <v>0</v>
      </c>
      <c r="AP502" s="186">
        <f t="shared" si="1026"/>
        <v>0</v>
      </c>
    </row>
    <row r="503" spans="1:42">
      <c r="A503" s="118">
        <f t="shared" si="1025"/>
        <v>8</v>
      </c>
      <c r="C503" s="186">
        <f t="shared" si="1024"/>
        <v>0</v>
      </c>
      <c r="D503" s="186">
        <f t="shared" si="1026"/>
        <v>0</v>
      </c>
      <c r="E503" s="186">
        <f t="shared" si="1026"/>
        <v>0</v>
      </c>
      <c r="F503" s="186">
        <f t="shared" si="1026"/>
        <v>0</v>
      </c>
      <c r="G503" s="186">
        <f t="shared" si="1026"/>
        <v>0</v>
      </c>
      <c r="H503" s="186">
        <f t="shared" si="1026"/>
        <v>0</v>
      </c>
      <c r="I503" s="186">
        <f t="shared" si="1026"/>
        <v>0</v>
      </c>
      <c r="J503" s="186">
        <f t="shared" si="1026"/>
        <v>0</v>
      </c>
      <c r="K503" s="186">
        <f t="shared" si="1026"/>
        <v>0</v>
      </c>
      <c r="L503" s="186">
        <f t="shared" si="1026"/>
        <v>0</v>
      </c>
      <c r="M503" s="186">
        <f t="shared" si="1026"/>
        <v>0</v>
      </c>
      <c r="N503" s="186">
        <f t="shared" si="1026"/>
        <v>0</v>
      </c>
      <c r="O503" s="186">
        <f t="shared" si="1026"/>
        <v>0</v>
      </c>
      <c r="P503" s="186">
        <f t="shared" si="1026"/>
        <v>0</v>
      </c>
      <c r="Q503" s="186">
        <f t="shared" si="1026"/>
        <v>0</v>
      </c>
      <c r="R503" s="186">
        <f t="shared" si="1026"/>
        <v>0</v>
      </c>
      <c r="S503" s="186">
        <f t="shared" si="1026"/>
        <v>0</v>
      </c>
      <c r="T503" s="186">
        <f t="shared" si="1026"/>
        <v>0</v>
      </c>
      <c r="U503" s="186">
        <f t="shared" si="1026"/>
        <v>0</v>
      </c>
      <c r="V503" s="186">
        <f t="shared" si="1026"/>
        <v>0</v>
      </c>
      <c r="W503" s="186">
        <f t="shared" si="1026"/>
        <v>0</v>
      </c>
      <c r="X503" s="186">
        <f t="shared" si="1026"/>
        <v>0</v>
      </c>
      <c r="Y503" s="186">
        <f t="shared" si="1026"/>
        <v>0</v>
      </c>
      <c r="Z503" s="186">
        <f t="shared" si="1026"/>
        <v>0</v>
      </c>
      <c r="AA503" s="186">
        <f t="shared" si="1026"/>
        <v>0</v>
      </c>
      <c r="AB503" s="186">
        <f t="shared" si="1026"/>
        <v>0</v>
      </c>
      <c r="AC503" s="186">
        <f t="shared" si="1026"/>
        <v>0</v>
      </c>
      <c r="AD503" s="186">
        <f t="shared" si="1026"/>
        <v>0</v>
      </c>
      <c r="AE503" s="186">
        <f t="shared" si="1026"/>
        <v>0</v>
      </c>
      <c r="AF503" s="186">
        <f t="shared" si="1026"/>
        <v>0</v>
      </c>
      <c r="AG503" s="186">
        <f t="shared" si="1026"/>
        <v>0</v>
      </c>
      <c r="AH503" s="186">
        <f t="shared" si="1026"/>
        <v>0</v>
      </c>
      <c r="AI503" s="186">
        <f t="shared" si="1026"/>
        <v>0</v>
      </c>
      <c r="AJ503" s="186">
        <f t="shared" si="1026"/>
        <v>0</v>
      </c>
      <c r="AK503" s="186">
        <f t="shared" si="1026"/>
        <v>0</v>
      </c>
      <c r="AL503" s="186">
        <f t="shared" si="1026"/>
        <v>0</v>
      </c>
      <c r="AM503" s="186">
        <f t="shared" si="1026"/>
        <v>0</v>
      </c>
      <c r="AN503" s="186">
        <f t="shared" si="1026"/>
        <v>0</v>
      </c>
      <c r="AO503" s="186">
        <f t="shared" si="1026"/>
        <v>0</v>
      </c>
      <c r="AP503" s="186">
        <f t="shared" si="1026"/>
        <v>0</v>
      </c>
    </row>
    <row r="504" spans="1:42">
      <c r="A504" s="118">
        <f>A503+1</f>
        <v>9</v>
      </c>
      <c r="C504" s="186">
        <f t="shared" si="1024"/>
        <v>0</v>
      </c>
      <c r="D504" s="186">
        <f t="shared" si="1026"/>
        <v>0</v>
      </c>
      <c r="E504" s="186">
        <f t="shared" si="1026"/>
        <v>0</v>
      </c>
      <c r="F504" s="186">
        <f t="shared" si="1026"/>
        <v>0</v>
      </c>
      <c r="G504" s="186">
        <f t="shared" si="1026"/>
        <v>0</v>
      </c>
      <c r="H504" s="186">
        <f t="shared" si="1026"/>
        <v>0</v>
      </c>
      <c r="I504" s="186">
        <f t="shared" si="1026"/>
        <v>0</v>
      </c>
      <c r="J504" s="186">
        <f t="shared" si="1026"/>
        <v>0</v>
      </c>
      <c r="K504" s="186">
        <f t="shared" si="1026"/>
        <v>0</v>
      </c>
      <c r="L504" s="186">
        <f t="shared" si="1026"/>
        <v>0</v>
      </c>
      <c r="M504" s="186">
        <f t="shared" si="1026"/>
        <v>0</v>
      </c>
      <c r="N504" s="186">
        <f t="shared" si="1026"/>
        <v>0</v>
      </c>
      <c r="O504" s="186">
        <f t="shared" si="1026"/>
        <v>0</v>
      </c>
      <c r="P504" s="186">
        <f t="shared" si="1026"/>
        <v>0</v>
      </c>
      <c r="Q504" s="186">
        <f t="shared" si="1026"/>
        <v>0</v>
      </c>
      <c r="R504" s="186">
        <f t="shared" si="1026"/>
        <v>0</v>
      </c>
      <c r="S504" s="186">
        <f t="shared" si="1026"/>
        <v>0</v>
      </c>
      <c r="T504" s="186">
        <f t="shared" si="1026"/>
        <v>0</v>
      </c>
      <c r="U504" s="186">
        <f t="shared" si="1026"/>
        <v>0</v>
      </c>
      <c r="V504" s="186">
        <f t="shared" si="1026"/>
        <v>0</v>
      </c>
      <c r="W504" s="186">
        <f t="shared" si="1026"/>
        <v>0</v>
      </c>
      <c r="X504" s="186">
        <f t="shared" si="1026"/>
        <v>0</v>
      </c>
      <c r="Y504" s="186">
        <f t="shared" si="1026"/>
        <v>0</v>
      </c>
      <c r="Z504" s="186">
        <f t="shared" si="1026"/>
        <v>0</v>
      </c>
      <c r="AA504" s="186">
        <f t="shared" si="1026"/>
        <v>0</v>
      </c>
      <c r="AB504" s="186">
        <f t="shared" si="1026"/>
        <v>0</v>
      </c>
      <c r="AC504" s="186">
        <f t="shared" si="1026"/>
        <v>0</v>
      </c>
      <c r="AD504" s="186">
        <f t="shared" si="1026"/>
        <v>0</v>
      </c>
      <c r="AE504" s="186">
        <f t="shared" si="1026"/>
        <v>0</v>
      </c>
      <c r="AF504" s="186">
        <f t="shared" si="1026"/>
        <v>0</v>
      </c>
      <c r="AG504" s="186">
        <f t="shared" si="1026"/>
        <v>0</v>
      </c>
      <c r="AH504" s="186">
        <f t="shared" si="1026"/>
        <v>0</v>
      </c>
      <c r="AI504" s="186">
        <f t="shared" si="1026"/>
        <v>0</v>
      </c>
      <c r="AJ504" s="186">
        <f t="shared" si="1026"/>
        <v>0</v>
      </c>
      <c r="AK504" s="186">
        <f t="shared" si="1026"/>
        <v>0</v>
      </c>
      <c r="AL504" s="186">
        <f t="shared" si="1026"/>
        <v>0</v>
      </c>
      <c r="AM504" s="186">
        <f t="shared" si="1026"/>
        <v>0</v>
      </c>
      <c r="AN504" s="186">
        <f t="shared" si="1026"/>
        <v>0</v>
      </c>
      <c r="AO504" s="186">
        <f t="shared" si="1026"/>
        <v>0</v>
      </c>
      <c r="AP504" s="186">
        <f t="shared" si="1026"/>
        <v>0</v>
      </c>
    </row>
    <row r="505" spans="1:42">
      <c r="A505" s="118">
        <f t="shared" ref="A505" si="1027">A504+1</f>
        <v>10</v>
      </c>
      <c r="C505" s="186">
        <f t="shared" si="1024"/>
        <v>0</v>
      </c>
      <c r="D505" s="186">
        <f t="shared" si="1026"/>
        <v>0</v>
      </c>
      <c r="E505" s="186">
        <f t="shared" si="1026"/>
        <v>0</v>
      </c>
      <c r="F505" s="186">
        <f t="shared" si="1026"/>
        <v>0</v>
      </c>
      <c r="G505" s="186">
        <f t="shared" si="1026"/>
        <v>0</v>
      </c>
      <c r="H505" s="186">
        <f t="shared" si="1026"/>
        <v>0</v>
      </c>
      <c r="I505" s="186">
        <f t="shared" si="1026"/>
        <v>0</v>
      </c>
      <c r="J505" s="186">
        <f t="shared" si="1026"/>
        <v>0</v>
      </c>
      <c r="K505" s="186">
        <f t="shared" si="1026"/>
        <v>0</v>
      </c>
      <c r="L505" s="186">
        <f t="shared" si="1026"/>
        <v>0</v>
      </c>
      <c r="M505" s="186">
        <f t="shared" si="1026"/>
        <v>0</v>
      </c>
      <c r="N505" s="186">
        <f t="shared" si="1026"/>
        <v>0</v>
      </c>
      <c r="O505" s="186">
        <f t="shared" si="1026"/>
        <v>0</v>
      </c>
      <c r="P505" s="186">
        <f t="shared" si="1026"/>
        <v>0</v>
      </c>
      <c r="Q505" s="186">
        <f t="shared" si="1026"/>
        <v>0</v>
      </c>
      <c r="R505" s="186">
        <f t="shared" si="1026"/>
        <v>0</v>
      </c>
      <c r="S505" s="186">
        <f t="shared" si="1026"/>
        <v>0</v>
      </c>
      <c r="T505" s="186">
        <f t="shared" si="1026"/>
        <v>0</v>
      </c>
      <c r="U505" s="186">
        <f t="shared" si="1026"/>
        <v>0</v>
      </c>
      <c r="V505" s="186">
        <f t="shared" si="1026"/>
        <v>0</v>
      </c>
      <c r="W505" s="186">
        <f t="shared" si="1026"/>
        <v>0</v>
      </c>
      <c r="X505" s="186">
        <f t="shared" si="1026"/>
        <v>0</v>
      </c>
      <c r="Y505" s="186">
        <f t="shared" si="1026"/>
        <v>0</v>
      </c>
      <c r="Z505" s="186">
        <f t="shared" si="1026"/>
        <v>0</v>
      </c>
      <c r="AA505" s="186">
        <f t="shared" si="1026"/>
        <v>0</v>
      </c>
      <c r="AB505" s="186">
        <f t="shared" si="1026"/>
        <v>0</v>
      </c>
      <c r="AC505" s="186">
        <f t="shared" si="1026"/>
        <v>0</v>
      </c>
      <c r="AD505" s="186">
        <f t="shared" si="1026"/>
        <v>0</v>
      </c>
      <c r="AE505" s="186">
        <f t="shared" si="1026"/>
        <v>0</v>
      </c>
      <c r="AF505" s="186">
        <f t="shared" si="1026"/>
        <v>0</v>
      </c>
      <c r="AG505" s="186">
        <f t="shared" si="1026"/>
        <v>0</v>
      </c>
      <c r="AH505" s="186">
        <f t="shared" si="1026"/>
        <v>0</v>
      </c>
      <c r="AI505" s="186">
        <f t="shared" si="1026"/>
        <v>0</v>
      </c>
      <c r="AJ505" s="186">
        <f t="shared" si="1026"/>
        <v>0</v>
      </c>
      <c r="AK505" s="186">
        <f t="shared" si="1026"/>
        <v>0</v>
      </c>
      <c r="AL505" s="186">
        <f t="shared" si="1026"/>
        <v>0</v>
      </c>
      <c r="AM505" s="186">
        <f t="shared" si="1026"/>
        <v>0</v>
      </c>
      <c r="AN505" s="186">
        <f t="shared" si="1026"/>
        <v>0</v>
      </c>
      <c r="AO505" s="186">
        <f t="shared" si="1026"/>
        <v>0</v>
      </c>
      <c r="AP505" s="186">
        <f t="shared" si="1026"/>
        <v>0</v>
      </c>
    </row>
    <row r="506" spans="1:42">
      <c r="A506" s="204"/>
      <c r="C506" s="186"/>
      <c r="D506" s="186"/>
      <c r="E506" s="186"/>
      <c r="F506" s="186"/>
      <c r="G506" s="186"/>
      <c r="H506" s="186"/>
      <c r="I506" s="186"/>
      <c r="J506" s="186"/>
      <c r="K506" s="186"/>
      <c r="L506" s="186"/>
      <c r="M506" s="186"/>
      <c r="N506" s="186"/>
      <c r="O506" s="186"/>
      <c r="P506" s="186"/>
      <c r="Q506" s="186"/>
      <c r="R506" s="186"/>
      <c r="S506" s="186"/>
      <c r="T506" s="186"/>
      <c r="U506" s="186"/>
      <c r="V506" s="186"/>
      <c r="W506" s="186"/>
      <c r="X506" s="186"/>
      <c r="Y506" s="186"/>
      <c r="Z506" s="186"/>
      <c r="AA506" s="186"/>
      <c r="AB506" s="186"/>
      <c r="AC506" s="186"/>
      <c r="AD506" s="186"/>
      <c r="AE506" s="186"/>
      <c r="AF506" s="186"/>
      <c r="AG506" s="186"/>
      <c r="AH506" s="186"/>
      <c r="AI506" s="186"/>
      <c r="AJ506" s="186"/>
      <c r="AK506" s="186"/>
      <c r="AL506" s="186"/>
      <c r="AM506" s="186"/>
      <c r="AN506" s="186"/>
      <c r="AO506" s="186"/>
      <c r="AP506" s="186"/>
    </row>
    <row r="507" spans="1:42">
      <c r="A507" s="204" t="s">
        <v>211</v>
      </c>
      <c r="C507" s="186"/>
      <c r="D507" s="186"/>
      <c r="E507" s="186"/>
      <c r="F507" s="186"/>
      <c r="G507" s="186"/>
      <c r="H507" s="186"/>
      <c r="I507" s="186"/>
      <c r="J507" s="186"/>
      <c r="K507" s="186"/>
      <c r="L507" s="186"/>
      <c r="M507" s="186"/>
      <c r="N507" s="186"/>
      <c r="O507" s="186"/>
      <c r="P507" s="186"/>
      <c r="Q507" s="186"/>
      <c r="R507" s="186"/>
      <c r="S507" s="186"/>
      <c r="T507" s="186"/>
      <c r="U507" s="186"/>
      <c r="V507" s="186"/>
      <c r="W507" s="186"/>
      <c r="X507" s="186"/>
      <c r="Y507" s="186"/>
      <c r="Z507" s="186"/>
      <c r="AA507" s="186"/>
      <c r="AB507" s="186"/>
      <c r="AC507" s="186"/>
      <c r="AD507" s="186"/>
      <c r="AE507" s="186"/>
      <c r="AF507" s="186"/>
      <c r="AG507" s="186"/>
      <c r="AH507" s="186"/>
      <c r="AI507" s="186"/>
      <c r="AJ507" s="186"/>
      <c r="AK507" s="186"/>
      <c r="AL507" s="186"/>
      <c r="AM507" s="186"/>
      <c r="AN507" s="186"/>
      <c r="AO507" s="186"/>
      <c r="AP507" s="186"/>
    </row>
    <row r="508" spans="1:42">
      <c r="A508" s="118">
        <v>1</v>
      </c>
      <c r="B508" s="196">
        <f t="shared" ref="B508:B517" si="1028">SUM(C508:AP508)</f>
        <v>6158778.6534697898</v>
      </c>
      <c r="C508" s="225">
        <f t="shared" ref="C508:AP508" si="1029">LOOKUP(C496,$B$465:$AP$465,$B$466:$AP$466)*$B681</f>
        <v>0</v>
      </c>
      <c r="D508" s="186">
        <f t="shared" si="1029"/>
        <v>0</v>
      </c>
      <c r="E508" s="186">
        <f t="shared" si="1029"/>
        <v>0</v>
      </c>
      <c r="F508" s="186">
        <f t="shared" si="1029"/>
        <v>0</v>
      </c>
      <c r="G508" s="186">
        <f t="shared" si="1029"/>
        <v>0</v>
      </c>
      <c r="H508" s="186">
        <f t="shared" si="1029"/>
        <v>0</v>
      </c>
      <c r="I508" s="186">
        <f t="shared" si="1029"/>
        <v>0</v>
      </c>
      <c r="J508" s="186">
        <f t="shared" si="1029"/>
        <v>0</v>
      </c>
      <c r="K508" s="186">
        <f t="shared" si="1029"/>
        <v>0</v>
      </c>
      <c r="L508" s="186">
        <f t="shared" si="1029"/>
        <v>0</v>
      </c>
      <c r="M508" s="186">
        <f t="shared" si="1029"/>
        <v>0</v>
      </c>
      <c r="N508" s="186">
        <f t="shared" si="1029"/>
        <v>0</v>
      </c>
      <c r="O508" s="186">
        <f t="shared" si="1029"/>
        <v>0</v>
      </c>
      <c r="P508" s="186">
        <f t="shared" si="1029"/>
        <v>0</v>
      </c>
      <c r="Q508" s="186">
        <f t="shared" si="1029"/>
        <v>1231755.7306939578</v>
      </c>
      <c r="R508" s="186">
        <f t="shared" si="1029"/>
        <v>1970809.1691103324</v>
      </c>
      <c r="S508" s="186">
        <f t="shared" si="1029"/>
        <v>1182485.5014661995</v>
      </c>
      <c r="T508" s="186">
        <f t="shared" si="1029"/>
        <v>709491.30087971967</v>
      </c>
      <c r="U508" s="186">
        <f t="shared" si="1029"/>
        <v>709491.30087971967</v>
      </c>
      <c r="V508" s="186">
        <f t="shared" si="1029"/>
        <v>354745.65043985983</v>
      </c>
      <c r="W508" s="186">
        <f t="shared" si="1029"/>
        <v>0</v>
      </c>
      <c r="X508" s="186">
        <f t="shared" si="1029"/>
        <v>0</v>
      </c>
      <c r="Y508" s="186">
        <f t="shared" si="1029"/>
        <v>0</v>
      </c>
      <c r="Z508" s="186">
        <f t="shared" si="1029"/>
        <v>0</v>
      </c>
      <c r="AA508" s="186">
        <f t="shared" si="1029"/>
        <v>0</v>
      </c>
      <c r="AB508" s="186">
        <f t="shared" si="1029"/>
        <v>0</v>
      </c>
      <c r="AC508" s="186">
        <f t="shared" si="1029"/>
        <v>0</v>
      </c>
      <c r="AD508" s="186">
        <f t="shared" si="1029"/>
        <v>0</v>
      </c>
      <c r="AE508" s="186">
        <f t="shared" si="1029"/>
        <v>0</v>
      </c>
      <c r="AF508" s="186">
        <f t="shared" si="1029"/>
        <v>0</v>
      </c>
      <c r="AG508" s="186">
        <f t="shared" si="1029"/>
        <v>0</v>
      </c>
      <c r="AH508" s="186">
        <f t="shared" si="1029"/>
        <v>0</v>
      </c>
      <c r="AI508" s="186">
        <f t="shared" si="1029"/>
        <v>0</v>
      </c>
      <c r="AJ508" s="186">
        <f t="shared" si="1029"/>
        <v>0</v>
      </c>
      <c r="AK508" s="186">
        <f t="shared" si="1029"/>
        <v>0</v>
      </c>
      <c r="AL508" s="186">
        <f t="shared" si="1029"/>
        <v>0</v>
      </c>
      <c r="AM508" s="186">
        <f t="shared" si="1029"/>
        <v>0</v>
      </c>
      <c r="AN508" s="186">
        <f t="shared" si="1029"/>
        <v>0</v>
      </c>
      <c r="AO508" s="186">
        <f t="shared" si="1029"/>
        <v>0</v>
      </c>
      <c r="AP508" s="186">
        <f t="shared" si="1029"/>
        <v>0</v>
      </c>
    </row>
    <row r="509" spans="1:42">
      <c r="A509" s="118">
        <f>A508+1</f>
        <v>2</v>
      </c>
      <c r="B509" s="196">
        <f t="shared" si="1028"/>
        <v>1539980.512798867</v>
      </c>
      <c r="C509" s="225">
        <f t="shared" ref="C509:AP509" si="1030">LOOKUP(C497,$B$465:$AP$465,$B$466:$AP$466)*$B682</f>
        <v>0</v>
      </c>
      <c r="D509" s="186">
        <f t="shared" si="1030"/>
        <v>0</v>
      </c>
      <c r="E509" s="186">
        <f t="shared" si="1030"/>
        <v>0</v>
      </c>
      <c r="F509" s="186">
        <f t="shared" si="1030"/>
        <v>0</v>
      </c>
      <c r="G509" s="186">
        <f t="shared" si="1030"/>
        <v>0</v>
      </c>
      <c r="H509" s="186">
        <f t="shared" si="1030"/>
        <v>0</v>
      </c>
      <c r="I509" s="186">
        <f t="shared" si="1030"/>
        <v>0</v>
      </c>
      <c r="J509" s="186">
        <f t="shared" si="1030"/>
        <v>0</v>
      </c>
      <c r="K509" s="186">
        <f t="shared" si="1030"/>
        <v>0</v>
      </c>
      <c r="L509" s="186">
        <f t="shared" si="1030"/>
        <v>0</v>
      </c>
      <c r="M509" s="186">
        <f t="shared" si="1030"/>
        <v>0</v>
      </c>
      <c r="N509" s="186">
        <f t="shared" si="1030"/>
        <v>0</v>
      </c>
      <c r="O509" s="186">
        <f t="shared" si="1030"/>
        <v>0</v>
      </c>
      <c r="P509" s="186">
        <f t="shared" si="1030"/>
        <v>0</v>
      </c>
      <c r="Q509" s="186">
        <f t="shared" si="1030"/>
        <v>0</v>
      </c>
      <c r="R509" s="186">
        <f t="shared" si="1030"/>
        <v>0</v>
      </c>
      <c r="S509" s="186">
        <f t="shared" si="1030"/>
        <v>0</v>
      </c>
      <c r="T509" s="186">
        <f t="shared" si="1030"/>
        <v>0</v>
      </c>
      <c r="U509" s="186">
        <f t="shared" si="1030"/>
        <v>0</v>
      </c>
      <c r="V509" s="186">
        <f t="shared" si="1030"/>
        <v>0</v>
      </c>
      <c r="W509" s="186">
        <f t="shared" si="1030"/>
        <v>0</v>
      </c>
      <c r="X509" s="186">
        <f t="shared" si="1030"/>
        <v>0</v>
      </c>
      <c r="Y509" s="186">
        <f t="shared" si="1030"/>
        <v>0</v>
      </c>
      <c r="Z509" s="186">
        <f t="shared" si="1030"/>
        <v>0</v>
      </c>
      <c r="AA509" s="186">
        <f t="shared" si="1030"/>
        <v>0</v>
      </c>
      <c r="AB509" s="186">
        <f t="shared" si="1030"/>
        <v>0</v>
      </c>
      <c r="AC509" s="186">
        <f t="shared" si="1030"/>
        <v>0</v>
      </c>
      <c r="AD509" s="186">
        <f t="shared" si="1030"/>
        <v>0</v>
      </c>
      <c r="AE509" s="186">
        <f t="shared" si="1030"/>
        <v>0</v>
      </c>
      <c r="AF509" s="186">
        <f t="shared" si="1030"/>
        <v>1539980.512798867</v>
      </c>
      <c r="AG509" s="186">
        <f t="shared" si="1030"/>
        <v>0</v>
      </c>
      <c r="AH509" s="186">
        <f t="shared" si="1030"/>
        <v>0</v>
      </c>
      <c r="AI509" s="186">
        <f t="shared" si="1030"/>
        <v>0</v>
      </c>
      <c r="AJ509" s="186">
        <f t="shared" si="1030"/>
        <v>0</v>
      </c>
      <c r="AK509" s="186">
        <f t="shared" si="1030"/>
        <v>0</v>
      </c>
      <c r="AL509" s="186">
        <f t="shared" si="1030"/>
        <v>0</v>
      </c>
      <c r="AM509" s="186">
        <f t="shared" si="1030"/>
        <v>0</v>
      </c>
      <c r="AN509" s="186">
        <f t="shared" si="1030"/>
        <v>0</v>
      </c>
      <c r="AO509" s="186">
        <f t="shared" si="1030"/>
        <v>0</v>
      </c>
      <c r="AP509" s="186">
        <f t="shared" si="1030"/>
        <v>0</v>
      </c>
    </row>
    <row r="510" spans="1:42">
      <c r="A510" s="118">
        <f t="shared" ref="A510:A515" si="1031">A509+1</f>
        <v>3</v>
      </c>
      <c r="B510" s="196">
        <f t="shared" si="1028"/>
        <v>0</v>
      </c>
      <c r="C510" s="225">
        <f t="shared" ref="C510:AP510" si="1032">LOOKUP(C498,$B$465:$AP$465,$B$466:$AP$466)*$B683</f>
        <v>0</v>
      </c>
      <c r="D510" s="186">
        <f t="shared" si="1032"/>
        <v>0</v>
      </c>
      <c r="E510" s="186">
        <f t="shared" si="1032"/>
        <v>0</v>
      </c>
      <c r="F510" s="186">
        <f t="shared" si="1032"/>
        <v>0</v>
      </c>
      <c r="G510" s="186">
        <f t="shared" si="1032"/>
        <v>0</v>
      </c>
      <c r="H510" s="186">
        <f t="shared" si="1032"/>
        <v>0</v>
      </c>
      <c r="I510" s="186">
        <f t="shared" si="1032"/>
        <v>0</v>
      </c>
      <c r="J510" s="186">
        <f t="shared" si="1032"/>
        <v>0</v>
      </c>
      <c r="K510" s="186">
        <f t="shared" si="1032"/>
        <v>0</v>
      </c>
      <c r="L510" s="186">
        <f t="shared" si="1032"/>
        <v>0</v>
      </c>
      <c r="M510" s="186">
        <f t="shared" si="1032"/>
        <v>0</v>
      </c>
      <c r="N510" s="186">
        <f t="shared" si="1032"/>
        <v>0</v>
      </c>
      <c r="O510" s="186">
        <f t="shared" si="1032"/>
        <v>0</v>
      </c>
      <c r="P510" s="186">
        <f t="shared" si="1032"/>
        <v>0</v>
      </c>
      <c r="Q510" s="186">
        <f t="shared" si="1032"/>
        <v>0</v>
      </c>
      <c r="R510" s="186">
        <f t="shared" si="1032"/>
        <v>0</v>
      </c>
      <c r="S510" s="186">
        <f t="shared" si="1032"/>
        <v>0</v>
      </c>
      <c r="T510" s="186">
        <f t="shared" si="1032"/>
        <v>0</v>
      </c>
      <c r="U510" s="186">
        <f t="shared" si="1032"/>
        <v>0</v>
      </c>
      <c r="V510" s="186">
        <f t="shared" si="1032"/>
        <v>0</v>
      </c>
      <c r="W510" s="186">
        <f t="shared" si="1032"/>
        <v>0</v>
      </c>
      <c r="X510" s="186">
        <f t="shared" si="1032"/>
        <v>0</v>
      </c>
      <c r="Y510" s="186">
        <f t="shared" si="1032"/>
        <v>0</v>
      </c>
      <c r="Z510" s="186">
        <f t="shared" si="1032"/>
        <v>0</v>
      </c>
      <c r="AA510" s="186">
        <f t="shared" si="1032"/>
        <v>0</v>
      </c>
      <c r="AB510" s="186">
        <f t="shared" si="1032"/>
        <v>0</v>
      </c>
      <c r="AC510" s="186">
        <f t="shared" si="1032"/>
        <v>0</v>
      </c>
      <c r="AD510" s="186">
        <f t="shared" si="1032"/>
        <v>0</v>
      </c>
      <c r="AE510" s="186">
        <f t="shared" si="1032"/>
        <v>0</v>
      </c>
      <c r="AF510" s="186">
        <f t="shared" si="1032"/>
        <v>0</v>
      </c>
      <c r="AG510" s="186">
        <f t="shared" si="1032"/>
        <v>0</v>
      </c>
      <c r="AH510" s="186">
        <f t="shared" si="1032"/>
        <v>0</v>
      </c>
      <c r="AI510" s="186">
        <f t="shared" si="1032"/>
        <v>0</v>
      </c>
      <c r="AJ510" s="186">
        <f t="shared" si="1032"/>
        <v>0</v>
      </c>
      <c r="AK510" s="186">
        <f t="shared" si="1032"/>
        <v>0</v>
      </c>
      <c r="AL510" s="186">
        <f t="shared" si="1032"/>
        <v>0</v>
      </c>
      <c r="AM510" s="186">
        <f t="shared" si="1032"/>
        <v>0</v>
      </c>
      <c r="AN510" s="186">
        <f t="shared" si="1032"/>
        <v>0</v>
      </c>
      <c r="AO510" s="186">
        <f t="shared" si="1032"/>
        <v>0</v>
      </c>
      <c r="AP510" s="186">
        <f t="shared" si="1032"/>
        <v>0</v>
      </c>
    </row>
    <row r="511" spans="1:42">
      <c r="A511" s="118">
        <f t="shared" si="1031"/>
        <v>4</v>
      </c>
      <c r="B511" s="196">
        <f t="shared" si="1028"/>
        <v>0</v>
      </c>
      <c r="C511" s="225">
        <f t="shared" ref="C511:AP511" si="1033">LOOKUP(C499,$B$465:$AP$465,$B$466:$AP$466)*$B684</f>
        <v>0</v>
      </c>
      <c r="D511" s="186">
        <f t="shared" si="1033"/>
        <v>0</v>
      </c>
      <c r="E511" s="186">
        <f t="shared" si="1033"/>
        <v>0</v>
      </c>
      <c r="F511" s="186">
        <f t="shared" si="1033"/>
        <v>0</v>
      </c>
      <c r="G511" s="186">
        <f t="shared" si="1033"/>
        <v>0</v>
      </c>
      <c r="H511" s="186">
        <f t="shared" si="1033"/>
        <v>0</v>
      </c>
      <c r="I511" s="186">
        <f t="shared" si="1033"/>
        <v>0</v>
      </c>
      <c r="J511" s="186">
        <f t="shared" si="1033"/>
        <v>0</v>
      </c>
      <c r="K511" s="186">
        <f t="shared" si="1033"/>
        <v>0</v>
      </c>
      <c r="L511" s="186">
        <f t="shared" si="1033"/>
        <v>0</v>
      </c>
      <c r="M511" s="186">
        <f t="shared" si="1033"/>
        <v>0</v>
      </c>
      <c r="N511" s="186">
        <f t="shared" si="1033"/>
        <v>0</v>
      </c>
      <c r="O511" s="186">
        <f t="shared" si="1033"/>
        <v>0</v>
      </c>
      <c r="P511" s="186">
        <f t="shared" si="1033"/>
        <v>0</v>
      </c>
      <c r="Q511" s="186">
        <f t="shared" si="1033"/>
        <v>0</v>
      </c>
      <c r="R511" s="186">
        <f t="shared" si="1033"/>
        <v>0</v>
      </c>
      <c r="S511" s="186">
        <f t="shared" si="1033"/>
        <v>0</v>
      </c>
      <c r="T511" s="186">
        <f t="shared" si="1033"/>
        <v>0</v>
      </c>
      <c r="U511" s="186">
        <f t="shared" si="1033"/>
        <v>0</v>
      </c>
      <c r="V511" s="186">
        <f t="shared" si="1033"/>
        <v>0</v>
      </c>
      <c r="W511" s="186">
        <f t="shared" si="1033"/>
        <v>0</v>
      </c>
      <c r="X511" s="186">
        <f t="shared" si="1033"/>
        <v>0</v>
      </c>
      <c r="Y511" s="186">
        <f t="shared" si="1033"/>
        <v>0</v>
      </c>
      <c r="Z511" s="186">
        <f t="shared" si="1033"/>
        <v>0</v>
      </c>
      <c r="AA511" s="186">
        <f t="shared" si="1033"/>
        <v>0</v>
      </c>
      <c r="AB511" s="186">
        <f t="shared" si="1033"/>
        <v>0</v>
      </c>
      <c r="AC511" s="186">
        <f t="shared" si="1033"/>
        <v>0</v>
      </c>
      <c r="AD511" s="186">
        <f t="shared" si="1033"/>
        <v>0</v>
      </c>
      <c r="AE511" s="186">
        <f t="shared" si="1033"/>
        <v>0</v>
      </c>
      <c r="AF511" s="186">
        <f t="shared" si="1033"/>
        <v>0</v>
      </c>
      <c r="AG511" s="186">
        <f t="shared" si="1033"/>
        <v>0</v>
      </c>
      <c r="AH511" s="186">
        <f t="shared" si="1033"/>
        <v>0</v>
      </c>
      <c r="AI511" s="186">
        <f t="shared" si="1033"/>
        <v>0</v>
      </c>
      <c r="AJ511" s="186">
        <f t="shared" si="1033"/>
        <v>0</v>
      </c>
      <c r="AK511" s="186">
        <f t="shared" si="1033"/>
        <v>0</v>
      </c>
      <c r="AL511" s="186">
        <f t="shared" si="1033"/>
        <v>0</v>
      </c>
      <c r="AM511" s="186">
        <f t="shared" si="1033"/>
        <v>0</v>
      </c>
      <c r="AN511" s="186">
        <f t="shared" si="1033"/>
        <v>0</v>
      </c>
      <c r="AO511" s="186">
        <f t="shared" si="1033"/>
        <v>0</v>
      </c>
      <c r="AP511" s="186">
        <f t="shared" si="1033"/>
        <v>0</v>
      </c>
    </row>
    <row r="512" spans="1:42">
      <c r="A512" s="118">
        <f t="shared" si="1031"/>
        <v>5</v>
      </c>
      <c r="B512" s="196">
        <f t="shared" si="1028"/>
        <v>0</v>
      </c>
      <c r="C512" s="225">
        <f t="shared" ref="C512:AP512" si="1034">LOOKUP(C500,$B$465:$AP$465,$B$466:$AP$466)*$B685</f>
        <v>0</v>
      </c>
      <c r="D512" s="186">
        <f t="shared" si="1034"/>
        <v>0</v>
      </c>
      <c r="E512" s="186">
        <f t="shared" si="1034"/>
        <v>0</v>
      </c>
      <c r="F512" s="186">
        <f t="shared" si="1034"/>
        <v>0</v>
      </c>
      <c r="G512" s="186">
        <f t="shared" si="1034"/>
        <v>0</v>
      </c>
      <c r="H512" s="186">
        <f t="shared" si="1034"/>
        <v>0</v>
      </c>
      <c r="I512" s="186">
        <f t="shared" si="1034"/>
        <v>0</v>
      </c>
      <c r="J512" s="186">
        <f t="shared" si="1034"/>
        <v>0</v>
      </c>
      <c r="K512" s="186">
        <f t="shared" si="1034"/>
        <v>0</v>
      </c>
      <c r="L512" s="186">
        <f t="shared" si="1034"/>
        <v>0</v>
      </c>
      <c r="M512" s="186">
        <f t="shared" si="1034"/>
        <v>0</v>
      </c>
      <c r="N512" s="186">
        <f t="shared" si="1034"/>
        <v>0</v>
      </c>
      <c r="O512" s="186">
        <f t="shared" si="1034"/>
        <v>0</v>
      </c>
      <c r="P512" s="186">
        <f t="shared" si="1034"/>
        <v>0</v>
      </c>
      <c r="Q512" s="186">
        <f t="shared" si="1034"/>
        <v>0</v>
      </c>
      <c r="R512" s="186">
        <f t="shared" si="1034"/>
        <v>0</v>
      </c>
      <c r="S512" s="186">
        <f t="shared" si="1034"/>
        <v>0</v>
      </c>
      <c r="T512" s="186">
        <f t="shared" si="1034"/>
        <v>0</v>
      </c>
      <c r="U512" s="186">
        <f t="shared" si="1034"/>
        <v>0</v>
      </c>
      <c r="V512" s="186">
        <f t="shared" si="1034"/>
        <v>0</v>
      </c>
      <c r="W512" s="186">
        <f t="shared" si="1034"/>
        <v>0</v>
      </c>
      <c r="X512" s="186">
        <f t="shared" si="1034"/>
        <v>0</v>
      </c>
      <c r="Y512" s="186">
        <f t="shared" si="1034"/>
        <v>0</v>
      </c>
      <c r="Z512" s="186">
        <f t="shared" si="1034"/>
        <v>0</v>
      </c>
      <c r="AA512" s="186">
        <f t="shared" si="1034"/>
        <v>0</v>
      </c>
      <c r="AB512" s="186">
        <f t="shared" si="1034"/>
        <v>0</v>
      </c>
      <c r="AC512" s="186">
        <f t="shared" si="1034"/>
        <v>0</v>
      </c>
      <c r="AD512" s="186">
        <f t="shared" si="1034"/>
        <v>0</v>
      </c>
      <c r="AE512" s="186">
        <f t="shared" si="1034"/>
        <v>0</v>
      </c>
      <c r="AF512" s="186">
        <f t="shared" si="1034"/>
        <v>0</v>
      </c>
      <c r="AG512" s="186">
        <f t="shared" si="1034"/>
        <v>0</v>
      </c>
      <c r="AH512" s="186">
        <f t="shared" si="1034"/>
        <v>0</v>
      </c>
      <c r="AI512" s="186">
        <f t="shared" si="1034"/>
        <v>0</v>
      </c>
      <c r="AJ512" s="186">
        <f t="shared" si="1034"/>
        <v>0</v>
      </c>
      <c r="AK512" s="186">
        <f t="shared" si="1034"/>
        <v>0</v>
      </c>
      <c r="AL512" s="186">
        <f t="shared" si="1034"/>
        <v>0</v>
      </c>
      <c r="AM512" s="186">
        <f t="shared" si="1034"/>
        <v>0</v>
      </c>
      <c r="AN512" s="186">
        <f t="shared" si="1034"/>
        <v>0</v>
      </c>
      <c r="AO512" s="186">
        <f t="shared" si="1034"/>
        <v>0</v>
      </c>
      <c r="AP512" s="186">
        <f t="shared" si="1034"/>
        <v>0</v>
      </c>
    </row>
    <row r="513" spans="1:42">
      <c r="A513" s="118">
        <f t="shared" si="1031"/>
        <v>6</v>
      </c>
      <c r="B513" s="196">
        <f t="shared" si="1028"/>
        <v>0</v>
      </c>
      <c r="C513" s="225">
        <f t="shared" ref="C513:AP513" si="1035">LOOKUP(C501,$B$465:$AP$465,$B$466:$AP$466)*$B686</f>
        <v>0</v>
      </c>
      <c r="D513" s="186">
        <f t="shared" si="1035"/>
        <v>0</v>
      </c>
      <c r="E513" s="186">
        <f t="shared" si="1035"/>
        <v>0</v>
      </c>
      <c r="F513" s="186">
        <f t="shared" si="1035"/>
        <v>0</v>
      </c>
      <c r="G513" s="186">
        <f t="shared" si="1035"/>
        <v>0</v>
      </c>
      <c r="H513" s="186">
        <f t="shared" si="1035"/>
        <v>0</v>
      </c>
      <c r="I513" s="186">
        <f t="shared" si="1035"/>
        <v>0</v>
      </c>
      <c r="J513" s="186">
        <f t="shared" si="1035"/>
        <v>0</v>
      </c>
      <c r="K513" s="186">
        <f t="shared" si="1035"/>
        <v>0</v>
      </c>
      <c r="L513" s="186">
        <f t="shared" si="1035"/>
        <v>0</v>
      </c>
      <c r="M513" s="186">
        <f t="shared" si="1035"/>
        <v>0</v>
      </c>
      <c r="N513" s="186">
        <f t="shared" si="1035"/>
        <v>0</v>
      </c>
      <c r="O513" s="186">
        <f t="shared" si="1035"/>
        <v>0</v>
      </c>
      <c r="P513" s="186">
        <f t="shared" si="1035"/>
        <v>0</v>
      </c>
      <c r="Q513" s="186">
        <f t="shared" si="1035"/>
        <v>0</v>
      </c>
      <c r="R513" s="186">
        <f t="shared" si="1035"/>
        <v>0</v>
      </c>
      <c r="S513" s="186">
        <f t="shared" si="1035"/>
        <v>0</v>
      </c>
      <c r="T513" s="186">
        <f t="shared" si="1035"/>
        <v>0</v>
      </c>
      <c r="U513" s="186">
        <f t="shared" si="1035"/>
        <v>0</v>
      </c>
      <c r="V513" s="186">
        <f t="shared" si="1035"/>
        <v>0</v>
      </c>
      <c r="W513" s="186">
        <f t="shared" si="1035"/>
        <v>0</v>
      </c>
      <c r="X513" s="186">
        <f t="shared" si="1035"/>
        <v>0</v>
      </c>
      <c r="Y513" s="186">
        <f t="shared" si="1035"/>
        <v>0</v>
      </c>
      <c r="Z513" s="186">
        <f t="shared" si="1035"/>
        <v>0</v>
      </c>
      <c r="AA513" s="186">
        <f t="shared" si="1035"/>
        <v>0</v>
      </c>
      <c r="AB513" s="186">
        <f t="shared" si="1035"/>
        <v>0</v>
      </c>
      <c r="AC513" s="186">
        <f t="shared" si="1035"/>
        <v>0</v>
      </c>
      <c r="AD513" s="186">
        <f t="shared" si="1035"/>
        <v>0</v>
      </c>
      <c r="AE513" s="186">
        <f t="shared" si="1035"/>
        <v>0</v>
      </c>
      <c r="AF513" s="186">
        <f t="shared" si="1035"/>
        <v>0</v>
      </c>
      <c r="AG513" s="186">
        <f t="shared" si="1035"/>
        <v>0</v>
      </c>
      <c r="AH513" s="186">
        <f t="shared" si="1035"/>
        <v>0</v>
      </c>
      <c r="AI513" s="186">
        <f t="shared" si="1035"/>
        <v>0</v>
      </c>
      <c r="AJ513" s="186">
        <f t="shared" si="1035"/>
        <v>0</v>
      </c>
      <c r="AK513" s="186">
        <f t="shared" si="1035"/>
        <v>0</v>
      </c>
      <c r="AL513" s="186">
        <f t="shared" si="1035"/>
        <v>0</v>
      </c>
      <c r="AM513" s="186">
        <f t="shared" si="1035"/>
        <v>0</v>
      </c>
      <c r="AN513" s="186">
        <f t="shared" si="1035"/>
        <v>0</v>
      </c>
      <c r="AO513" s="186">
        <f t="shared" si="1035"/>
        <v>0</v>
      </c>
      <c r="AP513" s="186">
        <f t="shared" si="1035"/>
        <v>0</v>
      </c>
    </row>
    <row r="514" spans="1:42">
      <c r="A514" s="118">
        <f t="shared" si="1031"/>
        <v>7</v>
      </c>
      <c r="B514" s="196">
        <f t="shared" si="1028"/>
        <v>0</v>
      </c>
      <c r="C514" s="225">
        <f t="shared" ref="C514:AP514" si="1036">LOOKUP(C502,$B$465:$AP$465,$B$466:$AP$466)*$B687</f>
        <v>0</v>
      </c>
      <c r="D514" s="186">
        <f t="shared" si="1036"/>
        <v>0</v>
      </c>
      <c r="E514" s="186">
        <f t="shared" si="1036"/>
        <v>0</v>
      </c>
      <c r="F514" s="186">
        <f t="shared" si="1036"/>
        <v>0</v>
      </c>
      <c r="G514" s="186">
        <f t="shared" si="1036"/>
        <v>0</v>
      </c>
      <c r="H514" s="186">
        <f t="shared" si="1036"/>
        <v>0</v>
      </c>
      <c r="I514" s="186">
        <f t="shared" si="1036"/>
        <v>0</v>
      </c>
      <c r="J514" s="186">
        <f t="shared" si="1036"/>
        <v>0</v>
      </c>
      <c r="K514" s="186">
        <f t="shared" si="1036"/>
        <v>0</v>
      </c>
      <c r="L514" s="186">
        <f t="shared" si="1036"/>
        <v>0</v>
      </c>
      <c r="M514" s="186">
        <f t="shared" si="1036"/>
        <v>0</v>
      </c>
      <c r="N514" s="186">
        <f t="shared" si="1036"/>
        <v>0</v>
      </c>
      <c r="O514" s="186">
        <f t="shared" si="1036"/>
        <v>0</v>
      </c>
      <c r="P514" s="186">
        <f t="shared" si="1036"/>
        <v>0</v>
      </c>
      <c r="Q514" s="186">
        <f t="shared" si="1036"/>
        <v>0</v>
      </c>
      <c r="R514" s="186">
        <f t="shared" si="1036"/>
        <v>0</v>
      </c>
      <c r="S514" s="186">
        <f t="shared" si="1036"/>
        <v>0</v>
      </c>
      <c r="T514" s="186">
        <f t="shared" si="1036"/>
        <v>0</v>
      </c>
      <c r="U514" s="186">
        <f t="shared" si="1036"/>
        <v>0</v>
      </c>
      <c r="V514" s="186">
        <f t="shared" si="1036"/>
        <v>0</v>
      </c>
      <c r="W514" s="186">
        <f t="shared" si="1036"/>
        <v>0</v>
      </c>
      <c r="X514" s="186">
        <f t="shared" si="1036"/>
        <v>0</v>
      </c>
      <c r="Y514" s="186">
        <f t="shared" si="1036"/>
        <v>0</v>
      </c>
      <c r="Z514" s="186">
        <f t="shared" si="1036"/>
        <v>0</v>
      </c>
      <c r="AA514" s="186">
        <f t="shared" si="1036"/>
        <v>0</v>
      </c>
      <c r="AB514" s="186">
        <f t="shared" si="1036"/>
        <v>0</v>
      </c>
      <c r="AC514" s="186">
        <f t="shared" si="1036"/>
        <v>0</v>
      </c>
      <c r="AD514" s="186">
        <f t="shared" si="1036"/>
        <v>0</v>
      </c>
      <c r="AE514" s="186">
        <f t="shared" si="1036"/>
        <v>0</v>
      </c>
      <c r="AF514" s="186">
        <f t="shared" si="1036"/>
        <v>0</v>
      </c>
      <c r="AG514" s="186">
        <f t="shared" si="1036"/>
        <v>0</v>
      </c>
      <c r="AH514" s="186">
        <f t="shared" si="1036"/>
        <v>0</v>
      </c>
      <c r="AI514" s="186">
        <f t="shared" si="1036"/>
        <v>0</v>
      </c>
      <c r="AJ514" s="186">
        <f t="shared" si="1036"/>
        <v>0</v>
      </c>
      <c r="AK514" s="186">
        <f t="shared" si="1036"/>
        <v>0</v>
      </c>
      <c r="AL514" s="186">
        <f t="shared" si="1036"/>
        <v>0</v>
      </c>
      <c r="AM514" s="186">
        <f t="shared" si="1036"/>
        <v>0</v>
      </c>
      <c r="AN514" s="186">
        <f t="shared" si="1036"/>
        <v>0</v>
      </c>
      <c r="AO514" s="186">
        <f t="shared" si="1036"/>
        <v>0</v>
      </c>
      <c r="AP514" s="186">
        <f t="shared" si="1036"/>
        <v>0</v>
      </c>
    </row>
    <row r="515" spans="1:42">
      <c r="A515" s="118">
        <f t="shared" si="1031"/>
        <v>8</v>
      </c>
      <c r="B515" s="196">
        <f t="shared" si="1028"/>
        <v>0</v>
      </c>
      <c r="C515" s="225">
        <f t="shared" ref="C515:AP515" si="1037">LOOKUP(C503,$B$465:$AP$465,$B$466:$AP$466)*$B688</f>
        <v>0</v>
      </c>
      <c r="D515" s="186">
        <f t="shared" si="1037"/>
        <v>0</v>
      </c>
      <c r="E515" s="186">
        <f t="shared" si="1037"/>
        <v>0</v>
      </c>
      <c r="F515" s="186">
        <f t="shared" si="1037"/>
        <v>0</v>
      </c>
      <c r="G515" s="186">
        <f t="shared" si="1037"/>
        <v>0</v>
      </c>
      <c r="H515" s="186">
        <f t="shared" si="1037"/>
        <v>0</v>
      </c>
      <c r="I515" s="186">
        <f t="shared" si="1037"/>
        <v>0</v>
      </c>
      <c r="J515" s="186">
        <f t="shared" si="1037"/>
        <v>0</v>
      </c>
      <c r="K515" s="186">
        <f t="shared" si="1037"/>
        <v>0</v>
      </c>
      <c r="L515" s="186">
        <f t="shared" si="1037"/>
        <v>0</v>
      </c>
      <c r="M515" s="186">
        <f t="shared" si="1037"/>
        <v>0</v>
      </c>
      <c r="N515" s="186">
        <f t="shared" si="1037"/>
        <v>0</v>
      </c>
      <c r="O515" s="186">
        <f t="shared" si="1037"/>
        <v>0</v>
      </c>
      <c r="P515" s="186">
        <f t="shared" si="1037"/>
        <v>0</v>
      </c>
      <c r="Q515" s="186">
        <f t="shared" si="1037"/>
        <v>0</v>
      </c>
      <c r="R515" s="186">
        <f t="shared" si="1037"/>
        <v>0</v>
      </c>
      <c r="S515" s="186">
        <f t="shared" si="1037"/>
        <v>0</v>
      </c>
      <c r="T515" s="186">
        <f t="shared" si="1037"/>
        <v>0</v>
      </c>
      <c r="U515" s="186">
        <f t="shared" si="1037"/>
        <v>0</v>
      </c>
      <c r="V515" s="186">
        <f t="shared" si="1037"/>
        <v>0</v>
      </c>
      <c r="W515" s="186">
        <f t="shared" si="1037"/>
        <v>0</v>
      </c>
      <c r="X515" s="186">
        <f t="shared" si="1037"/>
        <v>0</v>
      </c>
      <c r="Y515" s="186">
        <f t="shared" si="1037"/>
        <v>0</v>
      </c>
      <c r="Z515" s="186">
        <f t="shared" si="1037"/>
        <v>0</v>
      </c>
      <c r="AA515" s="186">
        <f t="shared" si="1037"/>
        <v>0</v>
      </c>
      <c r="AB515" s="186">
        <f t="shared" si="1037"/>
        <v>0</v>
      </c>
      <c r="AC515" s="186">
        <f t="shared" si="1037"/>
        <v>0</v>
      </c>
      <c r="AD515" s="186">
        <f t="shared" si="1037"/>
        <v>0</v>
      </c>
      <c r="AE515" s="186">
        <f t="shared" si="1037"/>
        <v>0</v>
      </c>
      <c r="AF515" s="186">
        <f t="shared" si="1037"/>
        <v>0</v>
      </c>
      <c r="AG515" s="186">
        <f t="shared" si="1037"/>
        <v>0</v>
      </c>
      <c r="AH515" s="186">
        <f t="shared" si="1037"/>
        <v>0</v>
      </c>
      <c r="AI515" s="186">
        <f t="shared" si="1037"/>
        <v>0</v>
      </c>
      <c r="AJ515" s="186">
        <f t="shared" si="1037"/>
        <v>0</v>
      </c>
      <c r="AK515" s="186">
        <f t="shared" si="1037"/>
        <v>0</v>
      </c>
      <c r="AL515" s="186">
        <f t="shared" si="1037"/>
        <v>0</v>
      </c>
      <c r="AM515" s="186">
        <f t="shared" si="1037"/>
        <v>0</v>
      </c>
      <c r="AN515" s="186">
        <f t="shared" si="1037"/>
        <v>0</v>
      </c>
      <c r="AO515" s="186">
        <f t="shared" si="1037"/>
        <v>0</v>
      </c>
      <c r="AP515" s="186">
        <f t="shared" si="1037"/>
        <v>0</v>
      </c>
    </row>
    <row r="516" spans="1:42">
      <c r="A516" s="118">
        <f>A515+1</f>
        <v>9</v>
      </c>
      <c r="B516" s="196">
        <f t="shared" si="1028"/>
        <v>0</v>
      </c>
      <c r="C516" s="225">
        <f t="shared" ref="C516:AP516" si="1038">LOOKUP(C504,$B$465:$AP$465,$B$466:$AP$466)*$B689</f>
        <v>0</v>
      </c>
      <c r="D516" s="186">
        <f t="shared" si="1038"/>
        <v>0</v>
      </c>
      <c r="E516" s="186">
        <f t="shared" si="1038"/>
        <v>0</v>
      </c>
      <c r="F516" s="186">
        <f t="shared" si="1038"/>
        <v>0</v>
      </c>
      <c r="G516" s="186">
        <f t="shared" si="1038"/>
        <v>0</v>
      </c>
      <c r="H516" s="186">
        <f t="shared" si="1038"/>
        <v>0</v>
      </c>
      <c r="I516" s="186">
        <f t="shared" si="1038"/>
        <v>0</v>
      </c>
      <c r="J516" s="186">
        <f t="shared" si="1038"/>
        <v>0</v>
      </c>
      <c r="K516" s="186">
        <f t="shared" si="1038"/>
        <v>0</v>
      </c>
      <c r="L516" s="186">
        <f t="shared" si="1038"/>
        <v>0</v>
      </c>
      <c r="M516" s="186">
        <f t="shared" si="1038"/>
        <v>0</v>
      </c>
      <c r="N516" s="186">
        <f t="shared" si="1038"/>
        <v>0</v>
      </c>
      <c r="O516" s="186">
        <f t="shared" si="1038"/>
        <v>0</v>
      </c>
      <c r="P516" s="186">
        <f t="shared" si="1038"/>
        <v>0</v>
      </c>
      <c r="Q516" s="186">
        <f t="shared" si="1038"/>
        <v>0</v>
      </c>
      <c r="R516" s="186">
        <f t="shared" si="1038"/>
        <v>0</v>
      </c>
      <c r="S516" s="186">
        <f t="shared" si="1038"/>
        <v>0</v>
      </c>
      <c r="T516" s="186">
        <f t="shared" si="1038"/>
        <v>0</v>
      </c>
      <c r="U516" s="186">
        <f t="shared" si="1038"/>
        <v>0</v>
      </c>
      <c r="V516" s="186">
        <f t="shared" si="1038"/>
        <v>0</v>
      </c>
      <c r="W516" s="186">
        <f t="shared" si="1038"/>
        <v>0</v>
      </c>
      <c r="X516" s="186">
        <f t="shared" si="1038"/>
        <v>0</v>
      </c>
      <c r="Y516" s="186">
        <f t="shared" si="1038"/>
        <v>0</v>
      </c>
      <c r="Z516" s="186">
        <f t="shared" si="1038"/>
        <v>0</v>
      </c>
      <c r="AA516" s="186">
        <f t="shared" si="1038"/>
        <v>0</v>
      </c>
      <c r="AB516" s="186">
        <f t="shared" si="1038"/>
        <v>0</v>
      </c>
      <c r="AC516" s="186">
        <f t="shared" si="1038"/>
        <v>0</v>
      </c>
      <c r="AD516" s="186">
        <f t="shared" si="1038"/>
        <v>0</v>
      </c>
      <c r="AE516" s="186">
        <f t="shared" si="1038"/>
        <v>0</v>
      </c>
      <c r="AF516" s="186">
        <f t="shared" si="1038"/>
        <v>0</v>
      </c>
      <c r="AG516" s="186">
        <f t="shared" si="1038"/>
        <v>0</v>
      </c>
      <c r="AH516" s="186">
        <f t="shared" si="1038"/>
        <v>0</v>
      </c>
      <c r="AI516" s="186">
        <f t="shared" si="1038"/>
        <v>0</v>
      </c>
      <c r="AJ516" s="186">
        <f t="shared" si="1038"/>
        <v>0</v>
      </c>
      <c r="AK516" s="186">
        <f t="shared" si="1038"/>
        <v>0</v>
      </c>
      <c r="AL516" s="186">
        <f t="shared" si="1038"/>
        <v>0</v>
      </c>
      <c r="AM516" s="186">
        <f t="shared" si="1038"/>
        <v>0</v>
      </c>
      <c r="AN516" s="186">
        <f t="shared" si="1038"/>
        <v>0</v>
      </c>
      <c r="AO516" s="186">
        <f t="shared" si="1038"/>
        <v>0</v>
      </c>
      <c r="AP516" s="186">
        <f t="shared" si="1038"/>
        <v>0</v>
      </c>
    </row>
    <row r="517" spans="1:42">
      <c r="A517" s="118">
        <f t="shared" ref="A517" si="1039">A516+1</f>
        <v>10</v>
      </c>
      <c r="B517" s="196">
        <f t="shared" si="1028"/>
        <v>0</v>
      </c>
      <c r="C517" s="221">
        <f t="shared" ref="C517:AP517" si="1040">LOOKUP(C505,$B$465:$AP$465,$B$466:$AP$466)*$B690</f>
        <v>0</v>
      </c>
      <c r="D517" s="187">
        <f t="shared" si="1040"/>
        <v>0</v>
      </c>
      <c r="E517" s="187">
        <f t="shared" si="1040"/>
        <v>0</v>
      </c>
      <c r="F517" s="187">
        <f t="shared" si="1040"/>
        <v>0</v>
      </c>
      <c r="G517" s="187">
        <f t="shared" si="1040"/>
        <v>0</v>
      </c>
      <c r="H517" s="187">
        <f t="shared" si="1040"/>
        <v>0</v>
      </c>
      <c r="I517" s="187">
        <f t="shared" si="1040"/>
        <v>0</v>
      </c>
      <c r="J517" s="187">
        <f t="shared" si="1040"/>
        <v>0</v>
      </c>
      <c r="K517" s="187">
        <f t="shared" si="1040"/>
        <v>0</v>
      </c>
      <c r="L517" s="187">
        <f t="shared" si="1040"/>
        <v>0</v>
      </c>
      <c r="M517" s="187">
        <f t="shared" si="1040"/>
        <v>0</v>
      </c>
      <c r="N517" s="187">
        <f t="shared" si="1040"/>
        <v>0</v>
      </c>
      <c r="O517" s="187">
        <f t="shared" si="1040"/>
        <v>0</v>
      </c>
      <c r="P517" s="187">
        <f t="shared" si="1040"/>
        <v>0</v>
      </c>
      <c r="Q517" s="187">
        <f t="shared" si="1040"/>
        <v>0</v>
      </c>
      <c r="R517" s="187">
        <f t="shared" si="1040"/>
        <v>0</v>
      </c>
      <c r="S517" s="187">
        <f t="shared" si="1040"/>
        <v>0</v>
      </c>
      <c r="T517" s="187">
        <f t="shared" si="1040"/>
        <v>0</v>
      </c>
      <c r="U517" s="187">
        <f t="shared" si="1040"/>
        <v>0</v>
      </c>
      <c r="V517" s="187">
        <f t="shared" si="1040"/>
        <v>0</v>
      </c>
      <c r="W517" s="187">
        <f t="shared" si="1040"/>
        <v>0</v>
      </c>
      <c r="X517" s="187">
        <f t="shared" si="1040"/>
        <v>0</v>
      </c>
      <c r="Y517" s="187">
        <f t="shared" si="1040"/>
        <v>0</v>
      </c>
      <c r="Z517" s="187">
        <f t="shared" si="1040"/>
        <v>0</v>
      </c>
      <c r="AA517" s="187">
        <f t="shared" si="1040"/>
        <v>0</v>
      </c>
      <c r="AB517" s="187">
        <f t="shared" si="1040"/>
        <v>0</v>
      </c>
      <c r="AC517" s="187">
        <f t="shared" si="1040"/>
        <v>0</v>
      </c>
      <c r="AD517" s="187">
        <f t="shared" si="1040"/>
        <v>0</v>
      </c>
      <c r="AE517" s="187">
        <f t="shared" si="1040"/>
        <v>0</v>
      </c>
      <c r="AF517" s="187">
        <f t="shared" si="1040"/>
        <v>0</v>
      </c>
      <c r="AG517" s="187">
        <f t="shared" si="1040"/>
        <v>0</v>
      </c>
      <c r="AH517" s="187">
        <f t="shared" si="1040"/>
        <v>0</v>
      </c>
      <c r="AI517" s="187">
        <f t="shared" si="1040"/>
        <v>0</v>
      </c>
      <c r="AJ517" s="187">
        <f t="shared" si="1040"/>
        <v>0</v>
      </c>
      <c r="AK517" s="187">
        <f t="shared" si="1040"/>
        <v>0</v>
      </c>
      <c r="AL517" s="187">
        <f t="shared" si="1040"/>
        <v>0</v>
      </c>
      <c r="AM517" s="187">
        <f t="shared" si="1040"/>
        <v>0</v>
      </c>
      <c r="AN517" s="187">
        <f t="shared" si="1040"/>
        <v>0</v>
      </c>
      <c r="AO517" s="187">
        <f t="shared" si="1040"/>
        <v>0</v>
      </c>
      <c r="AP517" s="187">
        <f t="shared" si="1040"/>
        <v>0</v>
      </c>
    </row>
    <row r="518" spans="1:42" s="118" customFormat="1">
      <c r="A518" s="222" t="s">
        <v>53</v>
      </c>
      <c r="B518" s="141"/>
      <c r="C518" s="141">
        <f>SUM(C508:C517)</f>
        <v>0</v>
      </c>
      <c r="D518" s="141">
        <f t="shared" ref="D518:AP518" si="1041">SUM(D508:D517)</f>
        <v>0</v>
      </c>
      <c r="E518" s="141">
        <f t="shared" si="1041"/>
        <v>0</v>
      </c>
      <c r="F518" s="141">
        <f t="shared" si="1041"/>
        <v>0</v>
      </c>
      <c r="G518" s="141">
        <f t="shared" si="1041"/>
        <v>0</v>
      </c>
      <c r="H518" s="141">
        <f t="shared" si="1041"/>
        <v>0</v>
      </c>
      <c r="I518" s="141">
        <f t="shared" si="1041"/>
        <v>0</v>
      </c>
      <c r="J518" s="141">
        <f t="shared" si="1041"/>
        <v>0</v>
      </c>
      <c r="K518" s="141">
        <f t="shared" si="1041"/>
        <v>0</v>
      </c>
      <c r="L518" s="141">
        <f t="shared" si="1041"/>
        <v>0</v>
      </c>
      <c r="M518" s="141">
        <f t="shared" si="1041"/>
        <v>0</v>
      </c>
      <c r="N518" s="141">
        <f t="shared" si="1041"/>
        <v>0</v>
      </c>
      <c r="O518" s="141">
        <f t="shared" si="1041"/>
        <v>0</v>
      </c>
      <c r="P518" s="141">
        <f t="shared" si="1041"/>
        <v>0</v>
      </c>
      <c r="Q518" s="141">
        <f t="shared" si="1041"/>
        <v>1231755.7306939578</v>
      </c>
      <c r="R518" s="141">
        <f t="shared" si="1041"/>
        <v>1970809.1691103324</v>
      </c>
      <c r="S518" s="141">
        <f t="shared" si="1041"/>
        <v>1182485.5014661995</v>
      </c>
      <c r="T518" s="141">
        <f t="shared" si="1041"/>
        <v>709491.30087971967</v>
      </c>
      <c r="U518" s="141">
        <f t="shared" si="1041"/>
        <v>709491.30087971967</v>
      </c>
      <c r="V518" s="141">
        <f t="shared" si="1041"/>
        <v>354745.65043985983</v>
      </c>
      <c r="W518" s="141">
        <f t="shared" si="1041"/>
        <v>0</v>
      </c>
      <c r="X518" s="141">
        <f t="shared" si="1041"/>
        <v>0</v>
      </c>
      <c r="Y518" s="141">
        <f t="shared" si="1041"/>
        <v>0</v>
      </c>
      <c r="Z518" s="141">
        <f t="shared" si="1041"/>
        <v>0</v>
      </c>
      <c r="AA518" s="141">
        <f t="shared" si="1041"/>
        <v>0</v>
      </c>
      <c r="AB518" s="141">
        <f t="shared" si="1041"/>
        <v>0</v>
      </c>
      <c r="AC518" s="141">
        <f t="shared" si="1041"/>
        <v>0</v>
      </c>
      <c r="AD518" s="141">
        <f t="shared" si="1041"/>
        <v>0</v>
      </c>
      <c r="AE518" s="141">
        <f t="shared" si="1041"/>
        <v>0</v>
      </c>
      <c r="AF518" s="141">
        <f t="shared" si="1041"/>
        <v>1539980.512798867</v>
      </c>
      <c r="AG518" s="141">
        <f t="shared" si="1041"/>
        <v>0</v>
      </c>
      <c r="AH518" s="141">
        <f t="shared" si="1041"/>
        <v>0</v>
      </c>
      <c r="AI518" s="141">
        <f t="shared" si="1041"/>
        <v>0</v>
      </c>
      <c r="AJ518" s="141">
        <f t="shared" si="1041"/>
        <v>0</v>
      </c>
      <c r="AK518" s="141">
        <f t="shared" si="1041"/>
        <v>0</v>
      </c>
      <c r="AL518" s="141">
        <f t="shared" si="1041"/>
        <v>0</v>
      </c>
      <c r="AM518" s="141">
        <f t="shared" si="1041"/>
        <v>0</v>
      </c>
      <c r="AN518" s="141">
        <f t="shared" si="1041"/>
        <v>0</v>
      </c>
      <c r="AO518" s="141">
        <f t="shared" si="1041"/>
        <v>0</v>
      </c>
      <c r="AP518" s="141">
        <f t="shared" si="1041"/>
        <v>0</v>
      </c>
    </row>
    <row r="519" spans="1:42" s="118" customFormat="1">
      <c r="A519" s="222"/>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c r="AA519" s="141"/>
      <c r="AB519" s="141"/>
      <c r="AC519" s="141"/>
      <c r="AD519" s="141"/>
      <c r="AE519" s="141"/>
      <c r="AF519" s="141"/>
      <c r="AG519" s="141"/>
      <c r="AH519" s="141"/>
      <c r="AI519" s="141"/>
      <c r="AJ519" s="141"/>
      <c r="AK519" s="141"/>
      <c r="AL519" s="141"/>
      <c r="AM519" s="141"/>
      <c r="AN519" s="141"/>
      <c r="AO519" s="141"/>
      <c r="AP519" s="141"/>
    </row>
    <row r="520" spans="1:42">
      <c r="A520" s="197" t="s">
        <v>372</v>
      </c>
      <c r="C520" s="186"/>
      <c r="D520" s="186"/>
      <c r="E520" s="186"/>
      <c r="F520" s="186"/>
      <c r="G520" s="186"/>
      <c r="H520" s="186"/>
      <c r="I520" s="186"/>
      <c r="J520" s="186"/>
      <c r="K520" s="186"/>
      <c r="L520" s="186"/>
      <c r="M520" s="186"/>
      <c r="N520" s="186"/>
      <c r="O520" s="186"/>
      <c r="P520" s="186"/>
      <c r="Q520" s="186"/>
      <c r="R520" s="186"/>
      <c r="S520" s="186"/>
      <c r="T520" s="186"/>
      <c r="U520" s="186"/>
      <c r="V520" s="186"/>
      <c r="W520" s="186"/>
      <c r="X520" s="186"/>
      <c r="Y520" s="186"/>
      <c r="Z520" s="186"/>
      <c r="AA520" s="186"/>
      <c r="AB520" s="186"/>
      <c r="AC520" s="186"/>
      <c r="AD520" s="186"/>
      <c r="AE520" s="186"/>
      <c r="AF520" s="186"/>
      <c r="AG520" s="186"/>
      <c r="AH520" s="186"/>
      <c r="AI520" s="186"/>
      <c r="AJ520" s="186"/>
      <c r="AK520" s="186"/>
      <c r="AL520" s="186"/>
      <c r="AM520" s="186"/>
      <c r="AN520" s="186"/>
      <c r="AO520" s="186"/>
      <c r="AP520" s="186"/>
    </row>
    <row r="521" spans="1:42">
      <c r="A521" s="204" t="s">
        <v>207</v>
      </c>
      <c r="C521" s="186"/>
      <c r="D521" s="186"/>
      <c r="E521" s="186"/>
      <c r="F521" s="186"/>
      <c r="G521" s="186"/>
      <c r="H521" s="186"/>
      <c r="I521" s="186"/>
      <c r="J521" s="186"/>
      <c r="K521" s="186"/>
      <c r="L521" s="186"/>
      <c r="M521" s="186"/>
      <c r="N521" s="186"/>
      <c r="O521" s="186"/>
      <c r="P521" s="186"/>
      <c r="Q521" s="186"/>
      <c r="R521" s="186"/>
      <c r="S521" s="186"/>
      <c r="T521" s="186"/>
      <c r="U521" s="186"/>
      <c r="V521" s="186"/>
      <c r="W521" s="186"/>
      <c r="X521" s="186"/>
      <c r="Y521" s="186"/>
      <c r="Z521" s="186"/>
      <c r="AA521" s="186"/>
      <c r="AB521" s="186"/>
      <c r="AC521" s="186"/>
      <c r="AD521" s="186"/>
      <c r="AE521" s="186"/>
      <c r="AF521" s="186"/>
      <c r="AG521" s="186"/>
      <c r="AH521" s="186"/>
      <c r="AI521" s="186"/>
      <c r="AJ521" s="186"/>
      <c r="AK521" s="186"/>
      <c r="AL521" s="186"/>
      <c r="AM521" s="186"/>
      <c r="AN521" s="186"/>
      <c r="AO521" s="186"/>
      <c r="AP521" s="186"/>
    </row>
    <row r="522" spans="1:42">
      <c r="A522" s="37">
        <v>1</v>
      </c>
      <c r="C522" s="186">
        <f>C387</f>
        <v>0</v>
      </c>
      <c r="D522" s="186">
        <f t="shared" ref="D522:AP528" si="1042">D387</f>
        <v>0</v>
      </c>
      <c r="E522" s="186">
        <f t="shared" si="1042"/>
        <v>1</v>
      </c>
      <c r="F522" s="186">
        <f t="shared" si="1042"/>
        <v>2</v>
      </c>
      <c r="G522" s="186">
        <f t="shared" si="1042"/>
        <v>3</v>
      </c>
      <c r="H522" s="186">
        <f t="shared" si="1042"/>
        <v>4</v>
      </c>
      <c r="I522" s="186">
        <f t="shared" si="1042"/>
        <v>5</v>
      </c>
      <c r="J522" s="186">
        <f t="shared" si="1042"/>
        <v>6</v>
      </c>
      <c r="K522" s="186">
        <f t="shared" si="1042"/>
        <v>7</v>
      </c>
      <c r="L522" s="186">
        <f t="shared" si="1042"/>
        <v>8</v>
      </c>
      <c r="M522" s="186">
        <f t="shared" si="1042"/>
        <v>9</v>
      </c>
      <c r="N522" s="186">
        <f t="shared" si="1042"/>
        <v>10</v>
      </c>
      <c r="O522" s="186">
        <f t="shared" si="1042"/>
        <v>11</v>
      </c>
      <c r="P522" s="186">
        <f t="shared" si="1042"/>
        <v>12</v>
      </c>
      <c r="Q522" s="186">
        <f t="shared" si="1042"/>
        <v>13</v>
      </c>
      <c r="R522" s="186">
        <f t="shared" si="1042"/>
        <v>14</v>
      </c>
      <c r="S522" s="186">
        <f t="shared" si="1042"/>
        <v>15</v>
      </c>
      <c r="T522" s="186">
        <f t="shared" si="1042"/>
        <v>16</v>
      </c>
      <c r="U522" s="186">
        <f t="shared" si="1042"/>
        <v>17</v>
      </c>
      <c r="V522" s="186">
        <f t="shared" si="1042"/>
        <v>18</v>
      </c>
      <c r="W522" s="186">
        <f t="shared" si="1042"/>
        <v>19</v>
      </c>
      <c r="X522" s="186">
        <f t="shared" si="1042"/>
        <v>20</v>
      </c>
      <c r="Y522" s="186">
        <f t="shared" si="1042"/>
        <v>21</v>
      </c>
      <c r="Z522" s="186">
        <f t="shared" si="1042"/>
        <v>22</v>
      </c>
      <c r="AA522" s="186">
        <f t="shared" si="1042"/>
        <v>23</v>
      </c>
      <c r="AB522" s="186">
        <f t="shared" si="1042"/>
        <v>24</v>
      </c>
      <c r="AC522" s="186">
        <f t="shared" si="1042"/>
        <v>25</v>
      </c>
      <c r="AD522" s="186">
        <f t="shared" si="1042"/>
        <v>26</v>
      </c>
      <c r="AE522" s="186">
        <f t="shared" si="1042"/>
        <v>27</v>
      </c>
      <c r="AF522" s="186">
        <f t="shared" si="1042"/>
        <v>28</v>
      </c>
      <c r="AG522" s="186">
        <f t="shared" si="1042"/>
        <v>0</v>
      </c>
      <c r="AH522" s="186">
        <f t="shared" si="1042"/>
        <v>0</v>
      </c>
      <c r="AI522" s="186">
        <f t="shared" si="1042"/>
        <v>0</v>
      </c>
      <c r="AJ522" s="186">
        <f t="shared" si="1042"/>
        <v>0</v>
      </c>
      <c r="AK522" s="186">
        <f t="shared" si="1042"/>
        <v>0</v>
      </c>
      <c r="AL522" s="186">
        <f t="shared" si="1042"/>
        <v>0</v>
      </c>
      <c r="AM522" s="186">
        <f t="shared" si="1042"/>
        <v>0</v>
      </c>
      <c r="AN522" s="186">
        <f t="shared" si="1042"/>
        <v>0</v>
      </c>
      <c r="AO522" s="186">
        <f t="shared" si="1042"/>
        <v>0</v>
      </c>
      <c r="AP522" s="186">
        <f t="shared" si="1042"/>
        <v>0</v>
      </c>
    </row>
    <row r="523" spans="1:42">
      <c r="A523" s="37">
        <f>A522+1</f>
        <v>2</v>
      </c>
      <c r="C523" s="186">
        <f t="shared" ref="C523:R523" si="1043">C388</f>
        <v>0</v>
      </c>
      <c r="D523" s="186">
        <f t="shared" si="1043"/>
        <v>0</v>
      </c>
      <c r="E523" s="186">
        <f t="shared" si="1043"/>
        <v>0</v>
      </c>
      <c r="F523" s="186">
        <f t="shared" si="1043"/>
        <v>0</v>
      </c>
      <c r="G523" s="186">
        <f t="shared" si="1043"/>
        <v>0</v>
      </c>
      <c r="H523" s="186">
        <f t="shared" si="1043"/>
        <v>1</v>
      </c>
      <c r="I523" s="186">
        <f t="shared" si="1043"/>
        <v>2</v>
      </c>
      <c r="J523" s="186">
        <f t="shared" si="1043"/>
        <v>3</v>
      </c>
      <c r="K523" s="186">
        <f t="shared" si="1043"/>
        <v>4</v>
      </c>
      <c r="L523" s="186">
        <f t="shared" si="1043"/>
        <v>5</v>
      </c>
      <c r="M523" s="186">
        <f t="shared" si="1043"/>
        <v>6</v>
      </c>
      <c r="N523" s="186">
        <f t="shared" si="1043"/>
        <v>7</v>
      </c>
      <c r="O523" s="186">
        <f t="shared" si="1043"/>
        <v>8</v>
      </c>
      <c r="P523" s="186">
        <f t="shared" si="1043"/>
        <v>9</v>
      </c>
      <c r="Q523" s="186">
        <f t="shared" si="1043"/>
        <v>10</v>
      </c>
      <c r="R523" s="186">
        <f t="shared" si="1043"/>
        <v>11</v>
      </c>
      <c r="S523" s="186">
        <f t="shared" si="1042"/>
        <v>12</v>
      </c>
      <c r="T523" s="186">
        <f t="shared" si="1042"/>
        <v>13</v>
      </c>
      <c r="U523" s="186">
        <f t="shared" si="1042"/>
        <v>14</v>
      </c>
      <c r="V523" s="186">
        <f t="shared" si="1042"/>
        <v>15</v>
      </c>
      <c r="W523" s="186">
        <f t="shared" si="1042"/>
        <v>16</v>
      </c>
      <c r="X523" s="186">
        <f t="shared" si="1042"/>
        <v>17</v>
      </c>
      <c r="Y523" s="186">
        <f t="shared" si="1042"/>
        <v>18</v>
      </c>
      <c r="Z523" s="186">
        <f t="shared" si="1042"/>
        <v>19</v>
      </c>
      <c r="AA523" s="186">
        <f t="shared" si="1042"/>
        <v>20</v>
      </c>
      <c r="AB523" s="186">
        <f t="shared" si="1042"/>
        <v>21</v>
      </c>
      <c r="AC523" s="186">
        <f t="shared" si="1042"/>
        <v>22</v>
      </c>
      <c r="AD523" s="186">
        <f t="shared" si="1042"/>
        <v>23</v>
      </c>
      <c r="AE523" s="186">
        <f t="shared" si="1042"/>
        <v>24</v>
      </c>
      <c r="AF523" s="186">
        <f t="shared" si="1042"/>
        <v>25</v>
      </c>
      <c r="AG523" s="186">
        <f t="shared" si="1042"/>
        <v>0</v>
      </c>
      <c r="AH523" s="186">
        <f t="shared" si="1042"/>
        <v>0</v>
      </c>
      <c r="AI523" s="186">
        <f t="shared" si="1042"/>
        <v>0</v>
      </c>
      <c r="AJ523" s="186">
        <f t="shared" si="1042"/>
        <v>0</v>
      </c>
      <c r="AK523" s="186">
        <f t="shared" si="1042"/>
        <v>0</v>
      </c>
      <c r="AL523" s="186">
        <f t="shared" si="1042"/>
        <v>0</v>
      </c>
      <c r="AM523" s="186">
        <f t="shared" si="1042"/>
        <v>0</v>
      </c>
      <c r="AN523" s="186">
        <f t="shared" si="1042"/>
        <v>0</v>
      </c>
      <c r="AO523" s="186">
        <f t="shared" si="1042"/>
        <v>0</v>
      </c>
      <c r="AP523" s="186">
        <f t="shared" si="1042"/>
        <v>0</v>
      </c>
    </row>
    <row r="524" spans="1:42">
      <c r="A524" s="37">
        <f t="shared" ref="A524:A529" si="1044">A523+1</f>
        <v>3</v>
      </c>
      <c r="C524" s="186">
        <f t="shared" ref="C524" si="1045">C389</f>
        <v>0</v>
      </c>
      <c r="D524" s="186">
        <f t="shared" si="1042"/>
        <v>0</v>
      </c>
      <c r="E524" s="186">
        <f t="shared" si="1042"/>
        <v>0</v>
      </c>
      <c r="F524" s="186">
        <f t="shared" si="1042"/>
        <v>0</v>
      </c>
      <c r="G524" s="186">
        <f t="shared" si="1042"/>
        <v>0</v>
      </c>
      <c r="H524" s="186">
        <f t="shared" si="1042"/>
        <v>0</v>
      </c>
      <c r="I524" s="186">
        <f t="shared" si="1042"/>
        <v>0</v>
      </c>
      <c r="J524" s="186">
        <f t="shared" si="1042"/>
        <v>0</v>
      </c>
      <c r="K524" s="186">
        <f t="shared" si="1042"/>
        <v>1</v>
      </c>
      <c r="L524" s="186">
        <f t="shared" si="1042"/>
        <v>2</v>
      </c>
      <c r="M524" s="186">
        <f t="shared" si="1042"/>
        <v>3</v>
      </c>
      <c r="N524" s="186">
        <f t="shared" si="1042"/>
        <v>4</v>
      </c>
      <c r="O524" s="186">
        <f t="shared" si="1042"/>
        <v>5</v>
      </c>
      <c r="P524" s="186">
        <f t="shared" si="1042"/>
        <v>6</v>
      </c>
      <c r="Q524" s="186">
        <f t="shared" si="1042"/>
        <v>7</v>
      </c>
      <c r="R524" s="186">
        <f t="shared" si="1042"/>
        <v>8</v>
      </c>
      <c r="S524" s="186">
        <f t="shared" si="1042"/>
        <v>9</v>
      </c>
      <c r="T524" s="186">
        <f t="shared" si="1042"/>
        <v>10</v>
      </c>
      <c r="U524" s="186">
        <f t="shared" si="1042"/>
        <v>11</v>
      </c>
      <c r="V524" s="186">
        <f t="shared" si="1042"/>
        <v>12</v>
      </c>
      <c r="W524" s="186">
        <f t="shared" si="1042"/>
        <v>13</v>
      </c>
      <c r="X524" s="186">
        <f t="shared" si="1042"/>
        <v>14</v>
      </c>
      <c r="Y524" s="186">
        <f t="shared" si="1042"/>
        <v>15</v>
      </c>
      <c r="Z524" s="186">
        <f t="shared" si="1042"/>
        <v>16</v>
      </c>
      <c r="AA524" s="186">
        <f t="shared" si="1042"/>
        <v>17</v>
      </c>
      <c r="AB524" s="186">
        <f t="shared" si="1042"/>
        <v>18</v>
      </c>
      <c r="AC524" s="186">
        <f t="shared" si="1042"/>
        <v>19</v>
      </c>
      <c r="AD524" s="186">
        <f t="shared" si="1042"/>
        <v>20</v>
      </c>
      <c r="AE524" s="186">
        <f t="shared" si="1042"/>
        <v>21</v>
      </c>
      <c r="AF524" s="186">
        <f t="shared" si="1042"/>
        <v>22</v>
      </c>
      <c r="AG524" s="186">
        <f t="shared" si="1042"/>
        <v>0</v>
      </c>
      <c r="AH524" s="186">
        <f t="shared" si="1042"/>
        <v>0</v>
      </c>
      <c r="AI524" s="186">
        <f t="shared" si="1042"/>
        <v>0</v>
      </c>
      <c r="AJ524" s="186">
        <f t="shared" si="1042"/>
        <v>0</v>
      </c>
      <c r="AK524" s="186">
        <f t="shared" si="1042"/>
        <v>0</v>
      </c>
      <c r="AL524" s="186">
        <f t="shared" si="1042"/>
        <v>0</v>
      </c>
      <c r="AM524" s="186">
        <f t="shared" si="1042"/>
        <v>0</v>
      </c>
      <c r="AN524" s="186">
        <f t="shared" si="1042"/>
        <v>0</v>
      </c>
      <c r="AO524" s="186">
        <f t="shared" si="1042"/>
        <v>0</v>
      </c>
      <c r="AP524" s="186">
        <f t="shared" si="1042"/>
        <v>0</v>
      </c>
    </row>
    <row r="525" spans="1:42">
      <c r="A525" s="37">
        <f t="shared" si="1044"/>
        <v>4</v>
      </c>
      <c r="C525" s="186">
        <f t="shared" ref="C525" si="1046">C390</f>
        <v>0</v>
      </c>
      <c r="D525" s="186">
        <f t="shared" si="1042"/>
        <v>0</v>
      </c>
      <c r="E525" s="186">
        <f t="shared" si="1042"/>
        <v>0</v>
      </c>
      <c r="F525" s="186">
        <f t="shared" si="1042"/>
        <v>0</v>
      </c>
      <c r="G525" s="186">
        <f t="shared" si="1042"/>
        <v>0</v>
      </c>
      <c r="H525" s="186">
        <f t="shared" si="1042"/>
        <v>0</v>
      </c>
      <c r="I525" s="186">
        <f t="shared" si="1042"/>
        <v>0</v>
      </c>
      <c r="J525" s="186">
        <f t="shared" si="1042"/>
        <v>0</v>
      </c>
      <c r="K525" s="186">
        <f t="shared" si="1042"/>
        <v>0</v>
      </c>
      <c r="L525" s="186">
        <f t="shared" si="1042"/>
        <v>0</v>
      </c>
      <c r="M525" s="186">
        <f t="shared" si="1042"/>
        <v>0</v>
      </c>
      <c r="N525" s="186">
        <f t="shared" si="1042"/>
        <v>1</v>
      </c>
      <c r="O525" s="186">
        <f t="shared" si="1042"/>
        <v>2</v>
      </c>
      <c r="P525" s="186">
        <f t="shared" si="1042"/>
        <v>3</v>
      </c>
      <c r="Q525" s="186">
        <f t="shared" si="1042"/>
        <v>4</v>
      </c>
      <c r="R525" s="186">
        <f t="shared" si="1042"/>
        <v>5</v>
      </c>
      <c r="S525" s="186">
        <f t="shared" si="1042"/>
        <v>6</v>
      </c>
      <c r="T525" s="186">
        <f t="shared" si="1042"/>
        <v>7</v>
      </c>
      <c r="U525" s="186">
        <f t="shared" si="1042"/>
        <v>8</v>
      </c>
      <c r="V525" s="186">
        <f t="shared" si="1042"/>
        <v>9</v>
      </c>
      <c r="W525" s="186">
        <f t="shared" si="1042"/>
        <v>10</v>
      </c>
      <c r="X525" s="186">
        <f t="shared" si="1042"/>
        <v>11</v>
      </c>
      <c r="Y525" s="186">
        <f t="shared" si="1042"/>
        <v>12</v>
      </c>
      <c r="Z525" s="186">
        <f t="shared" si="1042"/>
        <v>13</v>
      </c>
      <c r="AA525" s="186">
        <f t="shared" si="1042"/>
        <v>14</v>
      </c>
      <c r="AB525" s="186">
        <f t="shared" si="1042"/>
        <v>15</v>
      </c>
      <c r="AC525" s="186">
        <f t="shared" si="1042"/>
        <v>16</v>
      </c>
      <c r="AD525" s="186">
        <f t="shared" si="1042"/>
        <v>17</v>
      </c>
      <c r="AE525" s="186">
        <f t="shared" si="1042"/>
        <v>18</v>
      </c>
      <c r="AF525" s="186">
        <f t="shared" si="1042"/>
        <v>19</v>
      </c>
      <c r="AG525" s="186">
        <f t="shared" si="1042"/>
        <v>0</v>
      </c>
      <c r="AH525" s="186">
        <f t="shared" si="1042"/>
        <v>0</v>
      </c>
      <c r="AI525" s="186">
        <f t="shared" si="1042"/>
        <v>0</v>
      </c>
      <c r="AJ525" s="186">
        <f t="shared" si="1042"/>
        <v>0</v>
      </c>
      <c r="AK525" s="186">
        <f t="shared" si="1042"/>
        <v>0</v>
      </c>
      <c r="AL525" s="186">
        <f t="shared" si="1042"/>
        <v>0</v>
      </c>
      <c r="AM525" s="186">
        <f t="shared" si="1042"/>
        <v>0</v>
      </c>
      <c r="AN525" s="186">
        <f t="shared" si="1042"/>
        <v>0</v>
      </c>
      <c r="AO525" s="186">
        <f t="shared" si="1042"/>
        <v>0</v>
      </c>
      <c r="AP525" s="186">
        <f t="shared" si="1042"/>
        <v>0</v>
      </c>
    </row>
    <row r="526" spans="1:42">
      <c r="A526" s="37">
        <f t="shared" si="1044"/>
        <v>5</v>
      </c>
      <c r="C526" s="186">
        <f t="shared" ref="C526" si="1047">C391</f>
        <v>0</v>
      </c>
      <c r="D526" s="186">
        <f t="shared" si="1042"/>
        <v>0</v>
      </c>
      <c r="E526" s="186">
        <f t="shared" si="1042"/>
        <v>0</v>
      </c>
      <c r="F526" s="186">
        <f t="shared" si="1042"/>
        <v>0</v>
      </c>
      <c r="G526" s="186">
        <f t="shared" si="1042"/>
        <v>0</v>
      </c>
      <c r="H526" s="186">
        <f t="shared" si="1042"/>
        <v>0</v>
      </c>
      <c r="I526" s="186">
        <f t="shared" si="1042"/>
        <v>0</v>
      </c>
      <c r="J526" s="186">
        <f t="shared" si="1042"/>
        <v>0</v>
      </c>
      <c r="K526" s="186">
        <f t="shared" si="1042"/>
        <v>0</v>
      </c>
      <c r="L526" s="186">
        <f t="shared" si="1042"/>
        <v>0</v>
      </c>
      <c r="M526" s="186">
        <f t="shared" si="1042"/>
        <v>0</v>
      </c>
      <c r="N526" s="186">
        <f t="shared" si="1042"/>
        <v>0</v>
      </c>
      <c r="O526" s="186">
        <f t="shared" si="1042"/>
        <v>0</v>
      </c>
      <c r="P526" s="186">
        <f t="shared" si="1042"/>
        <v>0</v>
      </c>
      <c r="Q526" s="186">
        <f t="shared" si="1042"/>
        <v>1</v>
      </c>
      <c r="R526" s="186">
        <f t="shared" si="1042"/>
        <v>2</v>
      </c>
      <c r="S526" s="186">
        <f t="shared" si="1042"/>
        <v>3</v>
      </c>
      <c r="T526" s="186">
        <f t="shared" si="1042"/>
        <v>4</v>
      </c>
      <c r="U526" s="186">
        <f t="shared" si="1042"/>
        <v>5</v>
      </c>
      <c r="V526" s="186">
        <f t="shared" si="1042"/>
        <v>6</v>
      </c>
      <c r="W526" s="186">
        <f t="shared" si="1042"/>
        <v>7</v>
      </c>
      <c r="X526" s="186">
        <f t="shared" si="1042"/>
        <v>8</v>
      </c>
      <c r="Y526" s="186">
        <f t="shared" si="1042"/>
        <v>9</v>
      </c>
      <c r="Z526" s="186">
        <f t="shared" si="1042"/>
        <v>10</v>
      </c>
      <c r="AA526" s="186">
        <f t="shared" si="1042"/>
        <v>11</v>
      </c>
      <c r="AB526" s="186">
        <f t="shared" si="1042"/>
        <v>12</v>
      </c>
      <c r="AC526" s="186">
        <f t="shared" si="1042"/>
        <v>13</v>
      </c>
      <c r="AD526" s="186">
        <f t="shared" si="1042"/>
        <v>14</v>
      </c>
      <c r="AE526" s="186">
        <f t="shared" si="1042"/>
        <v>15</v>
      </c>
      <c r="AF526" s="186">
        <f t="shared" si="1042"/>
        <v>16</v>
      </c>
      <c r="AG526" s="186">
        <f t="shared" si="1042"/>
        <v>0</v>
      </c>
      <c r="AH526" s="186">
        <f t="shared" si="1042"/>
        <v>0</v>
      </c>
      <c r="AI526" s="186">
        <f t="shared" si="1042"/>
        <v>0</v>
      </c>
      <c r="AJ526" s="186">
        <f t="shared" si="1042"/>
        <v>0</v>
      </c>
      <c r="AK526" s="186">
        <f t="shared" si="1042"/>
        <v>0</v>
      </c>
      <c r="AL526" s="186">
        <f t="shared" si="1042"/>
        <v>0</v>
      </c>
      <c r="AM526" s="186">
        <f t="shared" si="1042"/>
        <v>0</v>
      </c>
      <c r="AN526" s="186">
        <f t="shared" si="1042"/>
        <v>0</v>
      </c>
      <c r="AO526" s="186">
        <f t="shared" si="1042"/>
        <v>0</v>
      </c>
      <c r="AP526" s="186">
        <f t="shared" si="1042"/>
        <v>0</v>
      </c>
    </row>
    <row r="527" spans="1:42">
      <c r="A527" s="37">
        <f t="shared" si="1044"/>
        <v>6</v>
      </c>
      <c r="C527" s="186">
        <f t="shared" ref="C527" si="1048">C392</f>
        <v>0</v>
      </c>
      <c r="D527" s="186">
        <f t="shared" si="1042"/>
        <v>0</v>
      </c>
      <c r="E527" s="186">
        <f t="shared" si="1042"/>
        <v>0</v>
      </c>
      <c r="F527" s="186">
        <f t="shared" si="1042"/>
        <v>0</v>
      </c>
      <c r="G527" s="186">
        <f t="shared" si="1042"/>
        <v>0</v>
      </c>
      <c r="H527" s="186">
        <f t="shared" si="1042"/>
        <v>0</v>
      </c>
      <c r="I527" s="186">
        <f t="shared" si="1042"/>
        <v>0</v>
      </c>
      <c r="J527" s="186">
        <f t="shared" si="1042"/>
        <v>0</v>
      </c>
      <c r="K527" s="186">
        <f t="shared" si="1042"/>
        <v>0</v>
      </c>
      <c r="L527" s="186">
        <f t="shared" si="1042"/>
        <v>0</v>
      </c>
      <c r="M527" s="186">
        <f t="shared" si="1042"/>
        <v>0</v>
      </c>
      <c r="N527" s="186">
        <f t="shared" si="1042"/>
        <v>0</v>
      </c>
      <c r="O527" s="186">
        <f t="shared" si="1042"/>
        <v>0</v>
      </c>
      <c r="P527" s="186">
        <f t="shared" si="1042"/>
        <v>0</v>
      </c>
      <c r="Q527" s="186">
        <f t="shared" si="1042"/>
        <v>0</v>
      </c>
      <c r="R527" s="186">
        <f t="shared" si="1042"/>
        <v>0</v>
      </c>
      <c r="S527" s="186">
        <f t="shared" si="1042"/>
        <v>0</v>
      </c>
      <c r="T527" s="186">
        <f t="shared" si="1042"/>
        <v>1</v>
      </c>
      <c r="U527" s="186">
        <f t="shared" si="1042"/>
        <v>2</v>
      </c>
      <c r="V527" s="186">
        <f t="shared" si="1042"/>
        <v>3</v>
      </c>
      <c r="W527" s="186">
        <f t="shared" si="1042"/>
        <v>4</v>
      </c>
      <c r="X527" s="186">
        <f t="shared" si="1042"/>
        <v>5</v>
      </c>
      <c r="Y527" s="186">
        <f t="shared" si="1042"/>
        <v>6</v>
      </c>
      <c r="Z527" s="186">
        <f t="shared" si="1042"/>
        <v>7</v>
      </c>
      <c r="AA527" s="186">
        <f t="shared" si="1042"/>
        <v>8</v>
      </c>
      <c r="AB527" s="186">
        <f t="shared" si="1042"/>
        <v>9</v>
      </c>
      <c r="AC527" s="186">
        <f t="shared" si="1042"/>
        <v>10</v>
      </c>
      <c r="AD527" s="186">
        <f t="shared" si="1042"/>
        <v>11</v>
      </c>
      <c r="AE527" s="186">
        <f t="shared" si="1042"/>
        <v>12</v>
      </c>
      <c r="AF527" s="186">
        <f t="shared" si="1042"/>
        <v>13</v>
      </c>
      <c r="AG527" s="186">
        <f t="shared" si="1042"/>
        <v>0</v>
      </c>
      <c r="AH527" s="186">
        <f t="shared" si="1042"/>
        <v>0</v>
      </c>
      <c r="AI527" s="186">
        <f t="shared" si="1042"/>
        <v>0</v>
      </c>
      <c r="AJ527" s="186">
        <f t="shared" si="1042"/>
        <v>0</v>
      </c>
      <c r="AK527" s="186">
        <f t="shared" si="1042"/>
        <v>0</v>
      </c>
      <c r="AL527" s="186">
        <f t="shared" si="1042"/>
        <v>0</v>
      </c>
      <c r="AM527" s="186">
        <f t="shared" si="1042"/>
        <v>0</v>
      </c>
      <c r="AN527" s="186">
        <f t="shared" si="1042"/>
        <v>0</v>
      </c>
      <c r="AO527" s="186">
        <f t="shared" si="1042"/>
        <v>0</v>
      </c>
      <c r="AP527" s="186">
        <f t="shared" si="1042"/>
        <v>0</v>
      </c>
    </row>
    <row r="528" spans="1:42">
      <c r="A528" s="37">
        <f t="shared" si="1044"/>
        <v>7</v>
      </c>
      <c r="C528" s="186">
        <f t="shared" ref="C528" si="1049">C393</f>
        <v>0</v>
      </c>
      <c r="D528" s="186">
        <f t="shared" si="1042"/>
        <v>0</v>
      </c>
      <c r="E528" s="186">
        <f t="shared" si="1042"/>
        <v>0</v>
      </c>
      <c r="F528" s="186">
        <f t="shared" si="1042"/>
        <v>0</v>
      </c>
      <c r="G528" s="186">
        <f t="shared" si="1042"/>
        <v>0</v>
      </c>
      <c r="H528" s="186">
        <f t="shared" si="1042"/>
        <v>0</v>
      </c>
      <c r="I528" s="186">
        <f t="shared" si="1042"/>
        <v>0</v>
      </c>
      <c r="J528" s="186">
        <f t="shared" si="1042"/>
        <v>0</v>
      </c>
      <c r="K528" s="186">
        <f t="shared" si="1042"/>
        <v>0</v>
      </c>
      <c r="L528" s="186">
        <f t="shared" si="1042"/>
        <v>0</v>
      </c>
      <c r="M528" s="186">
        <f t="shared" si="1042"/>
        <v>0</v>
      </c>
      <c r="N528" s="186">
        <f t="shared" si="1042"/>
        <v>0</v>
      </c>
      <c r="O528" s="186">
        <f t="shared" si="1042"/>
        <v>0</v>
      </c>
      <c r="P528" s="186">
        <f t="shared" si="1042"/>
        <v>0</v>
      </c>
      <c r="Q528" s="186">
        <f t="shared" si="1042"/>
        <v>0</v>
      </c>
      <c r="R528" s="186">
        <f t="shared" si="1042"/>
        <v>0</v>
      </c>
      <c r="S528" s="186">
        <f t="shared" si="1042"/>
        <v>0</v>
      </c>
      <c r="T528" s="186">
        <f t="shared" si="1042"/>
        <v>0</v>
      </c>
      <c r="U528" s="186">
        <f t="shared" si="1042"/>
        <v>0</v>
      </c>
      <c r="V528" s="186">
        <f t="shared" si="1042"/>
        <v>0</v>
      </c>
      <c r="W528" s="186">
        <f t="shared" si="1042"/>
        <v>1</v>
      </c>
      <c r="X528" s="186">
        <f t="shared" si="1042"/>
        <v>2</v>
      </c>
      <c r="Y528" s="186">
        <f t="shared" si="1042"/>
        <v>3</v>
      </c>
      <c r="Z528" s="186">
        <f t="shared" si="1042"/>
        <v>4</v>
      </c>
      <c r="AA528" s="186">
        <f t="shared" si="1042"/>
        <v>5</v>
      </c>
      <c r="AB528" s="186">
        <f t="shared" si="1042"/>
        <v>6</v>
      </c>
      <c r="AC528" s="186">
        <f t="shared" si="1042"/>
        <v>7</v>
      </c>
      <c r="AD528" s="186">
        <f t="shared" si="1042"/>
        <v>8</v>
      </c>
      <c r="AE528" s="186">
        <f t="shared" si="1042"/>
        <v>9</v>
      </c>
      <c r="AF528" s="186">
        <f t="shared" si="1042"/>
        <v>10</v>
      </c>
      <c r="AG528" s="186">
        <f t="shared" si="1042"/>
        <v>0</v>
      </c>
      <c r="AH528" s="186">
        <f t="shared" si="1042"/>
        <v>0</v>
      </c>
      <c r="AI528" s="186">
        <f t="shared" si="1042"/>
        <v>0</v>
      </c>
      <c r="AJ528" s="186">
        <f t="shared" si="1042"/>
        <v>0</v>
      </c>
      <c r="AK528" s="186">
        <f t="shared" si="1042"/>
        <v>0</v>
      </c>
      <c r="AL528" s="186">
        <f t="shared" si="1042"/>
        <v>0</v>
      </c>
      <c r="AM528" s="186">
        <f t="shared" si="1042"/>
        <v>0</v>
      </c>
      <c r="AN528" s="186">
        <f t="shared" ref="AN528:AP528" si="1050">AN393</f>
        <v>0</v>
      </c>
      <c r="AO528" s="186">
        <f t="shared" si="1050"/>
        <v>0</v>
      </c>
      <c r="AP528" s="186">
        <f t="shared" si="1050"/>
        <v>0</v>
      </c>
    </row>
    <row r="529" spans="1:42">
      <c r="A529" s="37">
        <f t="shared" si="1044"/>
        <v>8</v>
      </c>
      <c r="C529" s="186">
        <f t="shared" ref="C529:AP529" si="1051">C394</f>
        <v>0</v>
      </c>
      <c r="D529" s="186">
        <f t="shared" si="1051"/>
        <v>0</v>
      </c>
      <c r="E529" s="186">
        <f t="shared" si="1051"/>
        <v>0</v>
      </c>
      <c r="F529" s="186">
        <f t="shared" si="1051"/>
        <v>0</v>
      </c>
      <c r="G529" s="186">
        <f t="shared" si="1051"/>
        <v>0</v>
      </c>
      <c r="H529" s="186">
        <f t="shared" si="1051"/>
        <v>0</v>
      </c>
      <c r="I529" s="186">
        <f t="shared" si="1051"/>
        <v>0</v>
      </c>
      <c r="J529" s="186">
        <f t="shared" si="1051"/>
        <v>0</v>
      </c>
      <c r="K529" s="186">
        <f t="shared" si="1051"/>
        <v>0</v>
      </c>
      <c r="L529" s="186">
        <f t="shared" si="1051"/>
        <v>0</v>
      </c>
      <c r="M529" s="186">
        <f t="shared" si="1051"/>
        <v>0</v>
      </c>
      <c r="N529" s="186">
        <f t="shared" si="1051"/>
        <v>0</v>
      </c>
      <c r="O529" s="186">
        <f t="shared" si="1051"/>
        <v>0</v>
      </c>
      <c r="P529" s="186">
        <f t="shared" si="1051"/>
        <v>0</v>
      </c>
      <c r="Q529" s="186">
        <f t="shared" si="1051"/>
        <v>0</v>
      </c>
      <c r="R529" s="186">
        <f t="shared" si="1051"/>
        <v>0</v>
      </c>
      <c r="S529" s="186">
        <f t="shared" si="1051"/>
        <v>0</v>
      </c>
      <c r="T529" s="186">
        <f t="shared" si="1051"/>
        <v>0</v>
      </c>
      <c r="U529" s="186">
        <f t="shared" si="1051"/>
        <v>0</v>
      </c>
      <c r="V529" s="186">
        <f t="shared" si="1051"/>
        <v>0</v>
      </c>
      <c r="W529" s="186">
        <f t="shared" si="1051"/>
        <v>0</v>
      </c>
      <c r="X529" s="186">
        <f t="shared" si="1051"/>
        <v>0</v>
      </c>
      <c r="Y529" s="186">
        <f t="shared" si="1051"/>
        <v>0</v>
      </c>
      <c r="Z529" s="186">
        <f t="shared" si="1051"/>
        <v>1</v>
      </c>
      <c r="AA529" s="186">
        <f t="shared" si="1051"/>
        <v>2</v>
      </c>
      <c r="AB529" s="186">
        <f t="shared" si="1051"/>
        <v>3</v>
      </c>
      <c r="AC529" s="186">
        <f t="shared" si="1051"/>
        <v>4</v>
      </c>
      <c r="AD529" s="186">
        <f t="shared" si="1051"/>
        <v>5</v>
      </c>
      <c r="AE529" s="186">
        <f t="shared" si="1051"/>
        <v>6</v>
      </c>
      <c r="AF529" s="186">
        <f t="shared" si="1051"/>
        <v>7</v>
      </c>
      <c r="AG529" s="186">
        <f t="shared" si="1051"/>
        <v>0</v>
      </c>
      <c r="AH529" s="186">
        <f t="shared" si="1051"/>
        <v>0</v>
      </c>
      <c r="AI529" s="186">
        <f t="shared" si="1051"/>
        <v>0</v>
      </c>
      <c r="AJ529" s="186">
        <f t="shared" si="1051"/>
        <v>0</v>
      </c>
      <c r="AK529" s="186">
        <f t="shared" si="1051"/>
        <v>0</v>
      </c>
      <c r="AL529" s="186">
        <f t="shared" si="1051"/>
        <v>0</v>
      </c>
      <c r="AM529" s="186">
        <f t="shared" si="1051"/>
        <v>0</v>
      </c>
      <c r="AN529" s="186">
        <f t="shared" si="1051"/>
        <v>0</v>
      </c>
      <c r="AO529" s="186">
        <f t="shared" si="1051"/>
        <v>0</v>
      </c>
      <c r="AP529" s="186">
        <f t="shared" si="1051"/>
        <v>0</v>
      </c>
    </row>
    <row r="530" spans="1:42">
      <c r="A530" s="37">
        <f>A529+1</f>
        <v>9</v>
      </c>
      <c r="C530" s="186">
        <f t="shared" ref="C530:AP530" si="1052">C395</f>
        <v>0</v>
      </c>
      <c r="D530" s="186">
        <f t="shared" si="1052"/>
        <v>0</v>
      </c>
      <c r="E530" s="186">
        <f t="shared" si="1052"/>
        <v>0</v>
      </c>
      <c r="F530" s="186">
        <f t="shared" si="1052"/>
        <v>0</v>
      </c>
      <c r="G530" s="186">
        <f t="shared" si="1052"/>
        <v>0</v>
      </c>
      <c r="H530" s="186">
        <f t="shared" si="1052"/>
        <v>0</v>
      </c>
      <c r="I530" s="186">
        <f t="shared" si="1052"/>
        <v>0</v>
      </c>
      <c r="J530" s="186">
        <f t="shared" si="1052"/>
        <v>0</v>
      </c>
      <c r="K530" s="186">
        <f t="shared" si="1052"/>
        <v>0</v>
      </c>
      <c r="L530" s="186">
        <f t="shared" si="1052"/>
        <v>0</v>
      </c>
      <c r="M530" s="186">
        <f t="shared" si="1052"/>
        <v>0</v>
      </c>
      <c r="N530" s="186">
        <f t="shared" si="1052"/>
        <v>0</v>
      </c>
      <c r="O530" s="186">
        <f t="shared" si="1052"/>
        <v>0</v>
      </c>
      <c r="P530" s="186">
        <f t="shared" si="1052"/>
        <v>0</v>
      </c>
      <c r="Q530" s="186">
        <f t="shared" si="1052"/>
        <v>0</v>
      </c>
      <c r="R530" s="186">
        <f t="shared" si="1052"/>
        <v>0</v>
      </c>
      <c r="S530" s="186">
        <f t="shared" si="1052"/>
        <v>0</v>
      </c>
      <c r="T530" s="186">
        <f t="shared" si="1052"/>
        <v>0</v>
      </c>
      <c r="U530" s="186">
        <f t="shared" si="1052"/>
        <v>0</v>
      </c>
      <c r="V530" s="186">
        <f t="shared" si="1052"/>
        <v>0</v>
      </c>
      <c r="W530" s="186">
        <f t="shared" si="1052"/>
        <v>0</v>
      </c>
      <c r="X530" s="186">
        <f t="shared" si="1052"/>
        <v>0</v>
      </c>
      <c r="Y530" s="186">
        <f t="shared" si="1052"/>
        <v>0</v>
      </c>
      <c r="Z530" s="186">
        <f t="shared" si="1052"/>
        <v>0</v>
      </c>
      <c r="AA530" s="186">
        <f t="shared" si="1052"/>
        <v>0</v>
      </c>
      <c r="AB530" s="186">
        <f t="shared" si="1052"/>
        <v>0</v>
      </c>
      <c r="AC530" s="186">
        <f t="shared" si="1052"/>
        <v>1</v>
      </c>
      <c r="AD530" s="186">
        <f t="shared" si="1052"/>
        <v>2</v>
      </c>
      <c r="AE530" s="186">
        <f t="shared" si="1052"/>
        <v>3</v>
      </c>
      <c r="AF530" s="186">
        <f t="shared" si="1052"/>
        <v>4</v>
      </c>
      <c r="AG530" s="186">
        <f t="shared" si="1052"/>
        <v>0</v>
      </c>
      <c r="AH530" s="186">
        <f t="shared" si="1052"/>
        <v>0</v>
      </c>
      <c r="AI530" s="186">
        <f t="shared" si="1052"/>
        <v>0</v>
      </c>
      <c r="AJ530" s="186">
        <f t="shared" si="1052"/>
        <v>0</v>
      </c>
      <c r="AK530" s="186">
        <f t="shared" si="1052"/>
        <v>0</v>
      </c>
      <c r="AL530" s="186">
        <f t="shared" si="1052"/>
        <v>0</v>
      </c>
      <c r="AM530" s="186">
        <f t="shared" si="1052"/>
        <v>0</v>
      </c>
      <c r="AN530" s="186">
        <f t="shared" si="1052"/>
        <v>0</v>
      </c>
      <c r="AO530" s="186">
        <f t="shared" si="1052"/>
        <v>0</v>
      </c>
      <c r="AP530" s="186">
        <f t="shared" si="1052"/>
        <v>0</v>
      </c>
    </row>
    <row r="531" spans="1:42">
      <c r="A531" s="37">
        <f t="shared" ref="A531" si="1053">A530+1</f>
        <v>10</v>
      </c>
      <c r="C531" s="186">
        <f t="shared" ref="C531:AP531" si="1054">C396</f>
        <v>0</v>
      </c>
      <c r="D531" s="186">
        <f t="shared" si="1054"/>
        <v>0</v>
      </c>
      <c r="E531" s="186">
        <f t="shared" si="1054"/>
        <v>0</v>
      </c>
      <c r="F531" s="186">
        <f t="shared" si="1054"/>
        <v>0</v>
      </c>
      <c r="G531" s="186">
        <f t="shared" si="1054"/>
        <v>0</v>
      </c>
      <c r="H531" s="186">
        <f t="shared" si="1054"/>
        <v>0</v>
      </c>
      <c r="I531" s="186">
        <f t="shared" si="1054"/>
        <v>0</v>
      </c>
      <c r="J531" s="186">
        <f t="shared" si="1054"/>
        <v>0</v>
      </c>
      <c r="K531" s="186">
        <f t="shared" si="1054"/>
        <v>0</v>
      </c>
      <c r="L531" s="186">
        <f t="shared" si="1054"/>
        <v>0</v>
      </c>
      <c r="M531" s="186">
        <f t="shared" si="1054"/>
        <v>0</v>
      </c>
      <c r="N531" s="186">
        <f t="shared" si="1054"/>
        <v>0</v>
      </c>
      <c r="O531" s="186">
        <f t="shared" si="1054"/>
        <v>0</v>
      </c>
      <c r="P531" s="186">
        <f t="shared" si="1054"/>
        <v>0</v>
      </c>
      <c r="Q531" s="186">
        <f t="shared" si="1054"/>
        <v>0</v>
      </c>
      <c r="R531" s="186">
        <f t="shared" si="1054"/>
        <v>0</v>
      </c>
      <c r="S531" s="186">
        <f t="shared" si="1054"/>
        <v>0</v>
      </c>
      <c r="T531" s="186">
        <f t="shared" si="1054"/>
        <v>0</v>
      </c>
      <c r="U531" s="186">
        <f t="shared" si="1054"/>
        <v>0</v>
      </c>
      <c r="V531" s="186">
        <f t="shared" si="1054"/>
        <v>0</v>
      </c>
      <c r="W531" s="186">
        <f t="shared" si="1054"/>
        <v>0</v>
      </c>
      <c r="X531" s="186">
        <f t="shared" si="1054"/>
        <v>0</v>
      </c>
      <c r="Y531" s="186">
        <f t="shared" si="1054"/>
        <v>0</v>
      </c>
      <c r="Z531" s="186">
        <f t="shared" si="1054"/>
        <v>0</v>
      </c>
      <c r="AA531" s="186">
        <f t="shared" si="1054"/>
        <v>0</v>
      </c>
      <c r="AB531" s="186">
        <f t="shared" si="1054"/>
        <v>0</v>
      </c>
      <c r="AC531" s="186">
        <f t="shared" si="1054"/>
        <v>0</v>
      </c>
      <c r="AD531" s="186">
        <f t="shared" si="1054"/>
        <v>0</v>
      </c>
      <c r="AE531" s="186">
        <f t="shared" si="1054"/>
        <v>0</v>
      </c>
      <c r="AF531" s="186">
        <f t="shared" si="1054"/>
        <v>1</v>
      </c>
      <c r="AG531" s="186">
        <f t="shared" si="1054"/>
        <v>0</v>
      </c>
      <c r="AH531" s="186">
        <f t="shared" si="1054"/>
        <v>0</v>
      </c>
      <c r="AI531" s="186">
        <f t="shared" si="1054"/>
        <v>0</v>
      </c>
      <c r="AJ531" s="186">
        <f t="shared" si="1054"/>
        <v>0</v>
      </c>
      <c r="AK531" s="186">
        <f t="shared" si="1054"/>
        <v>0</v>
      </c>
      <c r="AL531" s="186">
        <f t="shared" si="1054"/>
        <v>0</v>
      </c>
      <c r="AM531" s="186">
        <f t="shared" si="1054"/>
        <v>0</v>
      </c>
      <c r="AN531" s="186">
        <f t="shared" si="1054"/>
        <v>0</v>
      </c>
      <c r="AO531" s="186">
        <f t="shared" si="1054"/>
        <v>0</v>
      </c>
      <c r="AP531" s="186">
        <f t="shared" si="1054"/>
        <v>0</v>
      </c>
    </row>
    <row r="532" spans="1:42">
      <c r="A532" s="204"/>
      <c r="C532" s="186"/>
      <c r="D532" s="186"/>
      <c r="E532" s="186"/>
      <c r="F532" s="186"/>
      <c r="G532" s="186"/>
      <c r="H532" s="186"/>
      <c r="I532" s="186"/>
      <c r="J532" s="186"/>
      <c r="K532" s="186"/>
      <c r="L532" s="186"/>
      <c r="M532" s="186"/>
      <c r="N532" s="186"/>
      <c r="O532" s="186"/>
      <c r="P532" s="186"/>
      <c r="Q532" s="186"/>
      <c r="R532" s="186"/>
      <c r="S532" s="186"/>
      <c r="T532" s="186"/>
      <c r="U532" s="186"/>
      <c r="V532" s="186"/>
      <c r="W532" s="186"/>
      <c r="X532" s="186"/>
      <c r="Y532" s="186"/>
      <c r="Z532" s="186"/>
      <c r="AA532" s="186"/>
      <c r="AB532" s="186"/>
      <c r="AC532" s="186"/>
      <c r="AD532" s="186"/>
      <c r="AE532" s="186"/>
      <c r="AF532" s="186"/>
      <c r="AG532" s="186"/>
      <c r="AH532" s="186"/>
      <c r="AI532" s="186"/>
      <c r="AJ532" s="186"/>
      <c r="AK532" s="186"/>
      <c r="AL532" s="186"/>
      <c r="AM532" s="186"/>
      <c r="AN532" s="186"/>
      <c r="AO532" s="186"/>
      <c r="AP532" s="186"/>
    </row>
    <row r="533" spans="1:42">
      <c r="A533" s="204" t="s">
        <v>211</v>
      </c>
      <c r="C533" s="186"/>
      <c r="D533" s="186"/>
      <c r="E533" s="186"/>
      <c r="F533" s="186"/>
      <c r="G533" s="186"/>
      <c r="H533" s="186"/>
      <c r="I533" s="186"/>
      <c r="J533" s="186"/>
      <c r="K533" s="186"/>
      <c r="L533" s="186"/>
      <c r="M533" s="186"/>
      <c r="N533" s="186"/>
      <c r="O533" s="186"/>
      <c r="P533" s="186"/>
      <c r="Q533" s="186"/>
      <c r="R533" s="186"/>
      <c r="S533" s="186"/>
      <c r="T533" s="186"/>
      <c r="U533" s="186"/>
      <c r="V533" s="186"/>
      <c r="W533" s="186"/>
      <c r="X533" s="186"/>
      <c r="Y533" s="186"/>
      <c r="Z533" s="186"/>
      <c r="AA533" s="186"/>
      <c r="AB533" s="186"/>
      <c r="AC533" s="186"/>
      <c r="AD533" s="186"/>
      <c r="AE533" s="186"/>
      <c r="AF533" s="186"/>
      <c r="AG533" s="186"/>
      <c r="AH533" s="186"/>
      <c r="AI533" s="186"/>
      <c r="AJ533" s="186"/>
      <c r="AK533" s="186"/>
      <c r="AL533" s="186"/>
      <c r="AM533" s="186"/>
      <c r="AN533" s="186"/>
      <c r="AO533" s="186"/>
      <c r="AP533" s="186"/>
    </row>
    <row r="534" spans="1:42">
      <c r="A534" s="37">
        <v>1</v>
      </c>
      <c r="B534" s="196">
        <f t="shared" ref="B534:B543" si="1055">SUM(C534:AP534)</f>
        <v>103022.49999999997</v>
      </c>
      <c r="C534" s="225">
        <f t="shared" ref="C534:AP534" si="1056">LOOKUP(C522,$B$465:$AP$465,$B$466:$AP$466)*$B713</f>
        <v>0</v>
      </c>
      <c r="D534" s="186">
        <f t="shared" si="1056"/>
        <v>0</v>
      </c>
      <c r="E534" s="186">
        <f t="shared" si="1056"/>
        <v>20604.499999999996</v>
      </c>
      <c r="F534" s="186">
        <f t="shared" si="1056"/>
        <v>32967.19999999999</v>
      </c>
      <c r="G534" s="186">
        <f t="shared" si="1056"/>
        <v>19780.319999999996</v>
      </c>
      <c r="H534" s="186">
        <f t="shared" si="1056"/>
        <v>11868.191999999995</v>
      </c>
      <c r="I534" s="186">
        <f t="shared" si="1056"/>
        <v>11868.191999999995</v>
      </c>
      <c r="J534" s="186">
        <f t="shared" si="1056"/>
        <v>5934.0959999999977</v>
      </c>
      <c r="K534" s="186">
        <f t="shared" si="1056"/>
        <v>0</v>
      </c>
      <c r="L534" s="186">
        <f t="shared" si="1056"/>
        <v>0</v>
      </c>
      <c r="M534" s="186">
        <f t="shared" si="1056"/>
        <v>0</v>
      </c>
      <c r="N534" s="186">
        <f t="shared" si="1056"/>
        <v>0</v>
      </c>
      <c r="O534" s="186">
        <f t="shared" si="1056"/>
        <v>0</v>
      </c>
      <c r="P534" s="186">
        <f t="shared" si="1056"/>
        <v>0</v>
      </c>
      <c r="Q534" s="186">
        <f t="shared" si="1056"/>
        <v>0</v>
      </c>
      <c r="R534" s="186">
        <f t="shared" si="1056"/>
        <v>0</v>
      </c>
      <c r="S534" s="186">
        <f t="shared" si="1056"/>
        <v>0</v>
      </c>
      <c r="T534" s="186">
        <f t="shared" si="1056"/>
        <v>0</v>
      </c>
      <c r="U534" s="186">
        <f t="shared" si="1056"/>
        <v>0</v>
      </c>
      <c r="V534" s="186">
        <f t="shared" si="1056"/>
        <v>0</v>
      </c>
      <c r="W534" s="186">
        <f t="shared" si="1056"/>
        <v>0</v>
      </c>
      <c r="X534" s="186">
        <f t="shared" si="1056"/>
        <v>0</v>
      </c>
      <c r="Y534" s="186">
        <f t="shared" si="1056"/>
        <v>0</v>
      </c>
      <c r="Z534" s="186">
        <f t="shared" si="1056"/>
        <v>0</v>
      </c>
      <c r="AA534" s="186">
        <f t="shared" si="1056"/>
        <v>0</v>
      </c>
      <c r="AB534" s="186">
        <f t="shared" si="1056"/>
        <v>0</v>
      </c>
      <c r="AC534" s="186">
        <f t="shared" si="1056"/>
        <v>0</v>
      </c>
      <c r="AD534" s="186">
        <f t="shared" si="1056"/>
        <v>0</v>
      </c>
      <c r="AE534" s="186">
        <f t="shared" si="1056"/>
        <v>0</v>
      </c>
      <c r="AF534" s="186">
        <f t="shared" si="1056"/>
        <v>0</v>
      </c>
      <c r="AG534" s="186">
        <f t="shared" si="1056"/>
        <v>0</v>
      </c>
      <c r="AH534" s="186">
        <f t="shared" si="1056"/>
        <v>0</v>
      </c>
      <c r="AI534" s="186">
        <f t="shared" si="1056"/>
        <v>0</v>
      </c>
      <c r="AJ534" s="186">
        <f t="shared" si="1056"/>
        <v>0</v>
      </c>
      <c r="AK534" s="186">
        <f t="shared" si="1056"/>
        <v>0</v>
      </c>
      <c r="AL534" s="186">
        <f t="shared" si="1056"/>
        <v>0</v>
      </c>
      <c r="AM534" s="186">
        <f t="shared" si="1056"/>
        <v>0</v>
      </c>
      <c r="AN534" s="186">
        <f t="shared" si="1056"/>
        <v>0</v>
      </c>
      <c r="AO534" s="186">
        <f t="shared" si="1056"/>
        <v>0</v>
      </c>
      <c r="AP534" s="186">
        <f t="shared" si="1056"/>
        <v>0</v>
      </c>
    </row>
    <row r="535" spans="1:42">
      <c r="A535" s="37">
        <f>A534+1</f>
        <v>2</v>
      </c>
      <c r="B535" s="196">
        <f t="shared" si="1055"/>
        <v>107728.40038843744</v>
      </c>
      <c r="C535" s="225">
        <f t="shared" ref="C535:AP535" si="1057">LOOKUP(C523,$B$465:$AP$465,$B$466:$AP$466)*$B714</f>
        <v>0</v>
      </c>
      <c r="D535" s="186">
        <f t="shared" si="1057"/>
        <v>0</v>
      </c>
      <c r="E535" s="186">
        <f t="shared" si="1057"/>
        <v>0</v>
      </c>
      <c r="F535" s="186">
        <f t="shared" si="1057"/>
        <v>0</v>
      </c>
      <c r="G535" s="186">
        <f t="shared" si="1057"/>
        <v>0</v>
      </c>
      <c r="H535" s="186">
        <f t="shared" si="1057"/>
        <v>21545.680077687488</v>
      </c>
      <c r="I535" s="186">
        <f t="shared" si="1057"/>
        <v>34473.088124299975</v>
      </c>
      <c r="J535" s="186">
        <f t="shared" si="1057"/>
        <v>20683.852874579985</v>
      </c>
      <c r="K535" s="186">
        <f t="shared" si="1057"/>
        <v>12410.311724747991</v>
      </c>
      <c r="L535" s="186">
        <f t="shared" si="1057"/>
        <v>12410.311724747991</v>
      </c>
      <c r="M535" s="186">
        <f t="shared" si="1057"/>
        <v>6205.1558623739957</v>
      </c>
      <c r="N535" s="186">
        <f t="shared" si="1057"/>
        <v>0</v>
      </c>
      <c r="O535" s="186">
        <f t="shared" si="1057"/>
        <v>0</v>
      </c>
      <c r="P535" s="186">
        <f t="shared" si="1057"/>
        <v>0</v>
      </c>
      <c r="Q535" s="186">
        <f t="shared" si="1057"/>
        <v>0</v>
      </c>
      <c r="R535" s="186">
        <f t="shared" si="1057"/>
        <v>0</v>
      </c>
      <c r="S535" s="186">
        <f t="shared" si="1057"/>
        <v>0</v>
      </c>
      <c r="T535" s="186">
        <f t="shared" si="1057"/>
        <v>0</v>
      </c>
      <c r="U535" s="186">
        <f t="shared" si="1057"/>
        <v>0</v>
      </c>
      <c r="V535" s="186">
        <f t="shared" si="1057"/>
        <v>0</v>
      </c>
      <c r="W535" s="186">
        <f t="shared" si="1057"/>
        <v>0</v>
      </c>
      <c r="X535" s="186">
        <f t="shared" si="1057"/>
        <v>0</v>
      </c>
      <c r="Y535" s="186">
        <f t="shared" si="1057"/>
        <v>0</v>
      </c>
      <c r="Z535" s="186">
        <f t="shared" si="1057"/>
        <v>0</v>
      </c>
      <c r="AA535" s="186">
        <f t="shared" si="1057"/>
        <v>0</v>
      </c>
      <c r="AB535" s="186">
        <f t="shared" si="1057"/>
        <v>0</v>
      </c>
      <c r="AC535" s="186">
        <f t="shared" si="1057"/>
        <v>0</v>
      </c>
      <c r="AD535" s="186">
        <f t="shared" si="1057"/>
        <v>0</v>
      </c>
      <c r="AE535" s="186">
        <f t="shared" si="1057"/>
        <v>0</v>
      </c>
      <c r="AF535" s="186">
        <f t="shared" si="1057"/>
        <v>0</v>
      </c>
      <c r="AG535" s="186">
        <f t="shared" si="1057"/>
        <v>0</v>
      </c>
      <c r="AH535" s="186">
        <f t="shared" si="1057"/>
        <v>0</v>
      </c>
      <c r="AI535" s="186">
        <f t="shared" si="1057"/>
        <v>0</v>
      </c>
      <c r="AJ535" s="186">
        <f t="shared" si="1057"/>
        <v>0</v>
      </c>
      <c r="AK535" s="186">
        <f t="shared" si="1057"/>
        <v>0</v>
      </c>
      <c r="AL535" s="186">
        <f t="shared" si="1057"/>
        <v>0</v>
      </c>
      <c r="AM535" s="186">
        <f t="shared" si="1057"/>
        <v>0</v>
      </c>
      <c r="AN535" s="186">
        <f t="shared" si="1057"/>
        <v>0</v>
      </c>
      <c r="AO535" s="186">
        <f t="shared" si="1057"/>
        <v>0</v>
      </c>
      <c r="AP535" s="186">
        <f t="shared" si="1057"/>
        <v>0</v>
      </c>
    </row>
    <row r="536" spans="1:42">
      <c r="A536" s="37">
        <f t="shared" ref="A536:A541" si="1058">A535+1</f>
        <v>3</v>
      </c>
      <c r="B536" s="196">
        <f t="shared" si="1055"/>
        <v>112649.25865953058</v>
      </c>
      <c r="C536" s="225">
        <f t="shared" ref="C536:AP536" si="1059">LOOKUP(C524,$B$465:$AP$465,$B$466:$AP$466)*$B715</f>
        <v>0</v>
      </c>
      <c r="D536" s="186">
        <f t="shared" si="1059"/>
        <v>0</v>
      </c>
      <c r="E536" s="186">
        <f t="shared" si="1059"/>
        <v>0</v>
      </c>
      <c r="F536" s="186">
        <f t="shared" si="1059"/>
        <v>0</v>
      </c>
      <c r="G536" s="186">
        <f t="shared" si="1059"/>
        <v>0</v>
      </c>
      <c r="H536" s="186">
        <f t="shared" si="1059"/>
        <v>0</v>
      </c>
      <c r="I536" s="186">
        <f t="shared" si="1059"/>
        <v>0</v>
      </c>
      <c r="J536" s="186">
        <f t="shared" si="1059"/>
        <v>0</v>
      </c>
      <c r="K536" s="186">
        <f t="shared" si="1059"/>
        <v>22529.851731906117</v>
      </c>
      <c r="L536" s="186">
        <f t="shared" si="1059"/>
        <v>36047.762771049784</v>
      </c>
      <c r="M536" s="186">
        <f t="shared" si="1059"/>
        <v>21628.65766262987</v>
      </c>
      <c r="N536" s="186">
        <f t="shared" si="1059"/>
        <v>12977.194597577922</v>
      </c>
      <c r="O536" s="186">
        <f t="shared" si="1059"/>
        <v>12977.194597577922</v>
      </c>
      <c r="P536" s="186">
        <f t="shared" si="1059"/>
        <v>6488.5972987889609</v>
      </c>
      <c r="Q536" s="186">
        <f t="shared" si="1059"/>
        <v>0</v>
      </c>
      <c r="R536" s="186">
        <f t="shared" si="1059"/>
        <v>0</v>
      </c>
      <c r="S536" s="186">
        <f t="shared" si="1059"/>
        <v>0</v>
      </c>
      <c r="T536" s="186">
        <f t="shared" si="1059"/>
        <v>0</v>
      </c>
      <c r="U536" s="186">
        <f t="shared" si="1059"/>
        <v>0</v>
      </c>
      <c r="V536" s="186">
        <f t="shared" si="1059"/>
        <v>0</v>
      </c>
      <c r="W536" s="186">
        <f t="shared" si="1059"/>
        <v>0</v>
      </c>
      <c r="X536" s="186">
        <f t="shared" si="1059"/>
        <v>0</v>
      </c>
      <c r="Y536" s="186">
        <f t="shared" si="1059"/>
        <v>0</v>
      </c>
      <c r="Z536" s="186">
        <f t="shared" si="1059"/>
        <v>0</v>
      </c>
      <c r="AA536" s="186">
        <f t="shared" si="1059"/>
        <v>0</v>
      </c>
      <c r="AB536" s="186">
        <f t="shared" si="1059"/>
        <v>0</v>
      </c>
      <c r="AC536" s="186">
        <f t="shared" si="1059"/>
        <v>0</v>
      </c>
      <c r="AD536" s="186">
        <f t="shared" si="1059"/>
        <v>0</v>
      </c>
      <c r="AE536" s="186">
        <f t="shared" si="1059"/>
        <v>0</v>
      </c>
      <c r="AF536" s="186">
        <f t="shared" si="1059"/>
        <v>0</v>
      </c>
      <c r="AG536" s="186">
        <f t="shared" si="1059"/>
        <v>0</v>
      </c>
      <c r="AH536" s="186">
        <f t="shared" si="1059"/>
        <v>0</v>
      </c>
      <c r="AI536" s="186">
        <f t="shared" si="1059"/>
        <v>0</v>
      </c>
      <c r="AJ536" s="186">
        <f t="shared" si="1059"/>
        <v>0</v>
      </c>
      <c r="AK536" s="186">
        <f t="shared" si="1059"/>
        <v>0</v>
      </c>
      <c r="AL536" s="186">
        <f t="shared" si="1059"/>
        <v>0</v>
      </c>
      <c r="AM536" s="186">
        <f t="shared" si="1059"/>
        <v>0</v>
      </c>
      <c r="AN536" s="186">
        <f t="shared" si="1059"/>
        <v>0</v>
      </c>
      <c r="AO536" s="186">
        <f t="shared" si="1059"/>
        <v>0</v>
      </c>
      <c r="AP536" s="186">
        <f t="shared" si="1059"/>
        <v>0</v>
      </c>
    </row>
    <row r="537" spans="1:42">
      <c r="A537" s="37">
        <f t="shared" si="1058"/>
        <v>4</v>
      </c>
      <c r="B537" s="196">
        <f t="shared" si="1055"/>
        <v>117794.89374005256</v>
      </c>
      <c r="C537" s="225">
        <f t="shared" ref="C537:AP537" si="1060">LOOKUP(C525,$B$465:$AP$465,$B$466:$AP$466)*$B716</f>
        <v>0</v>
      </c>
      <c r="D537" s="186">
        <f t="shared" si="1060"/>
        <v>0</v>
      </c>
      <c r="E537" s="186">
        <f t="shared" si="1060"/>
        <v>0</v>
      </c>
      <c r="F537" s="186">
        <f t="shared" si="1060"/>
        <v>0</v>
      </c>
      <c r="G537" s="186">
        <f t="shared" si="1060"/>
        <v>0</v>
      </c>
      <c r="H537" s="186">
        <f t="shared" si="1060"/>
        <v>0</v>
      </c>
      <c r="I537" s="186">
        <f t="shared" si="1060"/>
        <v>0</v>
      </c>
      <c r="J537" s="186">
        <f t="shared" si="1060"/>
        <v>0</v>
      </c>
      <c r="K537" s="186">
        <f t="shared" si="1060"/>
        <v>0</v>
      </c>
      <c r="L537" s="186">
        <f t="shared" si="1060"/>
        <v>0</v>
      </c>
      <c r="M537" s="186">
        <f t="shared" si="1060"/>
        <v>0</v>
      </c>
      <c r="N537" s="186">
        <f t="shared" si="1060"/>
        <v>23558.978748010515</v>
      </c>
      <c r="O537" s="186">
        <f t="shared" si="1060"/>
        <v>37694.365996816821</v>
      </c>
      <c r="P537" s="186">
        <f t="shared" si="1060"/>
        <v>22616.619598090092</v>
      </c>
      <c r="Q537" s="186">
        <f t="shared" si="1060"/>
        <v>13569.971758854055</v>
      </c>
      <c r="R537" s="186">
        <f t="shared" si="1060"/>
        <v>13569.971758854055</v>
      </c>
      <c r="S537" s="186">
        <f t="shared" si="1060"/>
        <v>6784.9858794270276</v>
      </c>
      <c r="T537" s="186">
        <f t="shared" si="1060"/>
        <v>0</v>
      </c>
      <c r="U537" s="186">
        <f t="shared" si="1060"/>
        <v>0</v>
      </c>
      <c r="V537" s="186">
        <f t="shared" si="1060"/>
        <v>0</v>
      </c>
      <c r="W537" s="186">
        <f t="shared" si="1060"/>
        <v>0</v>
      </c>
      <c r="X537" s="186">
        <f t="shared" si="1060"/>
        <v>0</v>
      </c>
      <c r="Y537" s="186">
        <f t="shared" si="1060"/>
        <v>0</v>
      </c>
      <c r="Z537" s="186">
        <f t="shared" si="1060"/>
        <v>0</v>
      </c>
      <c r="AA537" s="186">
        <f t="shared" si="1060"/>
        <v>0</v>
      </c>
      <c r="AB537" s="186">
        <f t="shared" si="1060"/>
        <v>0</v>
      </c>
      <c r="AC537" s="186">
        <f t="shared" si="1060"/>
        <v>0</v>
      </c>
      <c r="AD537" s="186">
        <f t="shared" si="1060"/>
        <v>0</v>
      </c>
      <c r="AE537" s="186">
        <f t="shared" si="1060"/>
        <v>0</v>
      </c>
      <c r="AF537" s="186">
        <f t="shared" si="1060"/>
        <v>0</v>
      </c>
      <c r="AG537" s="186">
        <f t="shared" si="1060"/>
        <v>0</v>
      </c>
      <c r="AH537" s="186">
        <f t="shared" si="1060"/>
        <v>0</v>
      </c>
      <c r="AI537" s="186">
        <f t="shared" si="1060"/>
        <v>0</v>
      </c>
      <c r="AJ537" s="186">
        <f t="shared" si="1060"/>
        <v>0</v>
      </c>
      <c r="AK537" s="186">
        <f t="shared" si="1060"/>
        <v>0</v>
      </c>
      <c r="AL537" s="186">
        <f t="shared" si="1060"/>
        <v>0</v>
      </c>
      <c r="AM537" s="186">
        <f t="shared" si="1060"/>
        <v>0</v>
      </c>
      <c r="AN537" s="186">
        <f t="shared" si="1060"/>
        <v>0</v>
      </c>
      <c r="AO537" s="186">
        <f t="shared" si="1060"/>
        <v>0</v>
      </c>
      <c r="AP537" s="186">
        <f t="shared" si="1060"/>
        <v>0</v>
      </c>
    </row>
    <row r="538" spans="1:42">
      <c r="A538" s="37">
        <f t="shared" si="1058"/>
        <v>5</v>
      </c>
      <c r="B538" s="196">
        <f t="shared" si="1055"/>
        <v>123175.57306939577</v>
      </c>
      <c r="C538" s="225">
        <f t="shared" ref="C538:AP538" si="1061">LOOKUP(C526,$B$465:$AP$465,$B$466:$AP$466)*$B717</f>
        <v>0</v>
      </c>
      <c r="D538" s="186">
        <f t="shared" si="1061"/>
        <v>0</v>
      </c>
      <c r="E538" s="186">
        <f t="shared" si="1061"/>
        <v>0</v>
      </c>
      <c r="F538" s="186">
        <f t="shared" si="1061"/>
        <v>0</v>
      </c>
      <c r="G538" s="186">
        <f t="shared" si="1061"/>
        <v>0</v>
      </c>
      <c r="H538" s="186">
        <f t="shared" si="1061"/>
        <v>0</v>
      </c>
      <c r="I538" s="186">
        <f t="shared" si="1061"/>
        <v>0</v>
      </c>
      <c r="J538" s="186">
        <f t="shared" si="1061"/>
        <v>0</v>
      </c>
      <c r="K538" s="186">
        <f t="shared" si="1061"/>
        <v>0</v>
      </c>
      <c r="L538" s="186">
        <f t="shared" si="1061"/>
        <v>0</v>
      </c>
      <c r="M538" s="186">
        <f t="shared" si="1061"/>
        <v>0</v>
      </c>
      <c r="N538" s="186">
        <f t="shared" si="1061"/>
        <v>0</v>
      </c>
      <c r="O538" s="186">
        <f t="shared" si="1061"/>
        <v>0</v>
      </c>
      <c r="P538" s="186">
        <f t="shared" si="1061"/>
        <v>0</v>
      </c>
      <c r="Q538" s="186">
        <f t="shared" si="1061"/>
        <v>24635.114613879156</v>
      </c>
      <c r="R538" s="186">
        <f t="shared" si="1061"/>
        <v>39416.183382206647</v>
      </c>
      <c r="S538" s="186">
        <f t="shared" si="1061"/>
        <v>23649.710029323989</v>
      </c>
      <c r="T538" s="186">
        <f t="shared" si="1061"/>
        <v>14189.826017594392</v>
      </c>
      <c r="U538" s="186">
        <f t="shared" si="1061"/>
        <v>14189.826017594392</v>
      </c>
      <c r="V538" s="186">
        <f t="shared" si="1061"/>
        <v>7094.9130087971962</v>
      </c>
      <c r="W538" s="186">
        <f t="shared" si="1061"/>
        <v>0</v>
      </c>
      <c r="X538" s="186">
        <f t="shared" si="1061"/>
        <v>0</v>
      </c>
      <c r="Y538" s="186">
        <f t="shared" si="1061"/>
        <v>0</v>
      </c>
      <c r="Z538" s="186">
        <f t="shared" si="1061"/>
        <v>0</v>
      </c>
      <c r="AA538" s="186">
        <f t="shared" si="1061"/>
        <v>0</v>
      </c>
      <c r="AB538" s="186">
        <f t="shared" si="1061"/>
        <v>0</v>
      </c>
      <c r="AC538" s="186">
        <f t="shared" si="1061"/>
        <v>0</v>
      </c>
      <c r="AD538" s="186">
        <f t="shared" si="1061"/>
        <v>0</v>
      </c>
      <c r="AE538" s="186">
        <f t="shared" si="1061"/>
        <v>0</v>
      </c>
      <c r="AF538" s="186">
        <f t="shared" si="1061"/>
        <v>0</v>
      </c>
      <c r="AG538" s="186">
        <f t="shared" si="1061"/>
        <v>0</v>
      </c>
      <c r="AH538" s="186">
        <f t="shared" si="1061"/>
        <v>0</v>
      </c>
      <c r="AI538" s="186">
        <f t="shared" si="1061"/>
        <v>0</v>
      </c>
      <c r="AJ538" s="186">
        <f t="shared" si="1061"/>
        <v>0</v>
      </c>
      <c r="AK538" s="186">
        <f t="shared" si="1061"/>
        <v>0</v>
      </c>
      <c r="AL538" s="186">
        <f t="shared" si="1061"/>
        <v>0</v>
      </c>
      <c r="AM538" s="186">
        <f t="shared" si="1061"/>
        <v>0</v>
      </c>
      <c r="AN538" s="186">
        <f t="shared" si="1061"/>
        <v>0</v>
      </c>
      <c r="AO538" s="186">
        <f t="shared" si="1061"/>
        <v>0</v>
      </c>
      <c r="AP538" s="186">
        <f t="shared" si="1061"/>
        <v>0</v>
      </c>
    </row>
    <row r="539" spans="1:42">
      <c r="A539" s="37">
        <f t="shared" si="1058"/>
        <v>6</v>
      </c>
      <c r="B539" s="196">
        <f t="shared" si="1055"/>
        <v>128802.03308689946</v>
      </c>
      <c r="C539" s="225">
        <f t="shared" ref="C539:AP539" si="1062">LOOKUP(C527,$B$465:$AP$465,$B$466:$AP$466)*$B718</f>
        <v>0</v>
      </c>
      <c r="D539" s="186">
        <f t="shared" si="1062"/>
        <v>0</v>
      </c>
      <c r="E539" s="186">
        <f t="shared" si="1062"/>
        <v>0</v>
      </c>
      <c r="F539" s="186">
        <f t="shared" si="1062"/>
        <v>0</v>
      </c>
      <c r="G539" s="186">
        <f t="shared" si="1062"/>
        <v>0</v>
      </c>
      <c r="H539" s="186">
        <f t="shared" si="1062"/>
        <v>0</v>
      </c>
      <c r="I539" s="186">
        <f t="shared" si="1062"/>
        <v>0</v>
      </c>
      <c r="J539" s="186">
        <f t="shared" si="1062"/>
        <v>0</v>
      </c>
      <c r="K539" s="186">
        <f t="shared" si="1062"/>
        <v>0</v>
      </c>
      <c r="L539" s="186">
        <f t="shared" si="1062"/>
        <v>0</v>
      </c>
      <c r="M539" s="186">
        <f t="shared" si="1062"/>
        <v>0</v>
      </c>
      <c r="N539" s="186">
        <f t="shared" si="1062"/>
        <v>0</v>
      </c>
      <c r="O539" s="186">
        <f t="shared" si="1062"/>
        <v>0</v>
      </c>
      <c r="P539" s="186">
        <f t="shared" si="1062"/>
        <v>0</v>
      </c>
      <c r="Q539" s="186">
        <f t="shared" si="1062"/>
        <v>0</v>
      </c>
      <c r="R539" s="186">
        <f t="shared" si="1062"/>
        <v>0</v>
      </c>
      <c r="S539" s="186">
        <f t="shared" si="1062"/>
        <v>0</v>
      </c>
      <c r="T539" s="186">
        <f t="shared" si="1062"/>
        <v>25760.406617379896</v>
      </c>
      <c r="U539" s="186">
        <f t="shared" si="1062"/>
        <v>41216.650587807831</v>
      </c>
      <c r="V539" s="186">
        <f t="shared" si="1062"/>
        <v>24729.990352684701</v>
      </c>
      <c r="W539" s="186">
        <f t="shared" si="1062"/>
        <v>14837.99421161082</v>
      </c>
      <c r="X539" s="186">
        <f t="shared" si="1062"/>
        <v>14837.99421161082</v>
      </c>
      <c r="Y539" s="186">
        <f t="shared" si="1062"/>
        <v>7418.9971058054098</v>
      </c>
      <c r="Z539" s="186">
        <f t="shared" si="1062"/>
        <v>0</v>
      </c>
      <c r="AA539" s="186">
        <f t="shared" si="1062"/>
        <v>0</v>
      </c>
      <c r="AB539" s="186">
        <f t="shared" si="1062"/>
        <v>0</v>
      </c>
      <c r="AC539" s="186">
        <f t="shared" si="1062"/>
        <v>0</v>
      </c>
      <c r="AD539" s="186">
        <f t="shared" si="1062"/>
        <v>0</v>
      </c>
      <c r="AE539" s="186">
        <f t="shared" si="1062"/>
        <v>0</v>
      </c>
      <c r="AF539" s="186">
        <f t="shared" si="1062"/>
        <v>0</v>
      </c>
      <c r="AG539" s="186">
        <f t="shared" si="1062"/>
        <v>0</v>
      </c>
      <c r="AH539" s="186">
        <f t="shared" si="1062"/>
        <v>0</v>
      </c>
      <c r="AI539" s="186">
        <f t="shared" si="1062"/>
        <v>0</v>
      </c>
      <c r="AJ539" s="186">
        <f t="shared" si="1062"/>
        <v>0</v>
      </c>
      <c r="AK539" s="186">
        <f t="shared" si="1062"/>
        <v>0</v>
      </c>
      <c r="AL539" s="186">
        <f t="shared" si="1062"/>
        <v>0</v>
      </c>
      <c r="AM539" s="186">
        <f t="shared" si="1062"/>
        <v>0</v>
      </c>
      <c r="AN539" s="186">
        <f t="shared" si="1062"/>
        <v>0</v>
      </c>
      <c r="AO539" s="186">
        <f t="shared" si="1062"/>
        <v>0</v>
      </c>
      <c r="AP539" s="186">
        <f t="shared" si="1062"/>
        <v>0</v>
      </c>
    </row>
    <row r="540" spans="1:42">
      <c r="A540" s="37">
        <f t="shared" si="1058"/>
        <v>7</v>
      </c>
      <c r="B540" s="196">
        <f t="shared" si="1055"/>
        <v>134685.50065500522</v>
      </c>
      <c r="C540" s="225">
        <f t="shared" ref="C540:AP540" si="1063">LOOKUP(C528,$B$465:$AP$465,$B$466:$AP$466)*$B719</f>
        <v>0</v>
      </c>
      <c r="D540" s="186">
        <f t="shared" si="1063"/>
        <v>0</v>
      </c>
      <c r="E540" s="186">
        <f t="shared" si="1063"/>
        <v>0</v>
      </c>
      <c r="F540" s="186">
        <f t="shared" si="1063"/>
        <v>0</v>
      </c>
      <c r="G540" s="186">
        <f t="shared" si="1063"/>
        <v>0</v>
      </c>
      <c r="H540" s="186">
        <f t="shared" si="1063"/>
        <v>0</v>
      </c>
      <c r="I540" s="186">
        <f t="shared" si="1063"/>
        <v>0</v>
      </c>
      <c r="J540" s="186">
        <f t="shared" si="1063"/>
        <v>0</v>
      </c>
      <c r="K540" s="186">
        <f t="shared" si="1063"/>
        <v>0</v>
      </c>
      <c r="L540" s="186">
        <f t="shared" si="1063"/>
        <v>0</v>
      </c>
      <c r="M540" s="186">
        <f t="shared" si="1063"/>
        <v>0</v>
      </c>
      <c r="N540" s="186">
        <f t="shared" si="1063"/>
        <v>0</v>
      </c>
      <c r="O540" s="186">
        <f t="shared" si="1063"/>
        <v>0</v>
      </c>
      <c r="P540" s="186">
        <f t="shared" si="1063"/>
        <v>0</v>
      </c>
      <c r="Q540" s="186">
        <f t="shared" si="1063"/>
        <v>0</v>
      </c>
      <c r="R540" s="186">
        <f t="shared" si="1063"/>
        <v>0</v>
      </c>
      <c r="S540" s="186">
        <f t="shared" si="1063"/>
        <v>0</v>
      </c>
      <c r="T540" s="186">
        <f t="shared" si="1063"/>
        <v>0</v>
      </c>
      <c r="U540" s="186">
        <f t="shared" si="1063"/>
        <v>0</v>
      </c>
      <c r="V540" s="186">
        <f t="shared" si="1063"/>
        <v>0</v>
      </c>
      <c r="W540" s="186">
        <f t="shared" si="1063"/>
        <v>26937.100131001047</v>
      </c>
      <c r="X540" s="186">
        <f t="shared" si="1063"/>
        <v>43099.360209601669</v>
      </c>
      <c r="Y540" s="186">
        <f t="shared" si="1063"/>
        <v>25859.616125761004</v>
      </c>
      <c r="Z540" s="186">
        <f t="shared" si="1063"/>
        <v>15515.7696754566</v>
      </c>
      <c r="AA540" s="186">
        <f t="shared" si="1063"/>
        <v>15515.7696754566</v>
      </c>
      <c r="AB540" s="186">
        <f t="shared" si="1063"/>
        <v>7757.8848377283002</v>
      </c>
      <c r="AC540" s="186">
        <f t="shared" si="1063"/>
        <v>0</v>
      </c>
      <c r="AD540" s="186">
        <f t="shared" si="1063"/>
        <v>0</v>
      </c>
      <c r="AE540" s="186">
        <f t="shared" si="1063"/>
        <v>0</v>
      </c>
      <c r="AF540" s="186">
        <f t="shared" si="1063"/>
        <v>0</v>
      </c>
      <c r="AG540" s="186">
        <f t="shared" si="1063"/>
        <v>0</v>
      </c>
      <c r="AH540" s="186">
        <f t="shared" si="1063"/>
        <v>0</v>
      </c>
      <c r="AI540" s="186">
        <f t="shared" si="1063"/>
        <v>0</v>
      </c>
      <c r="AJ540" s="186">
        <f t="shared" si="1063"/>
        <v>0</v>
      </c>
      <c r="AK540" s="186">
        <f t="shared" si="1063"/>
        <v>0</v>
      </c>
      <c r="AL540" s="186">
        <f t="shared" si="1063"/>
        <v>0</v>
      </c>
      <c r="AM540" s="186">
        <f t="shared" si="1063"/>
        <v>0</v>
      </c>
      <c r="AN540" s="186">
        <f t="shared" si="1063"/>
        <v>0</v>
      </c>
      <c r="AO540" s="186">
        <f t="shared" si="1063"/>
        <v>0</v>
      </c>
      <c r="AP540" s="186">
        <f t="shared" si="1063"/>
        <v>0</v>
      </c>
    </row>
    <row r="541" spans="1:42">
      <c r="A541" s="37">
        <f t="shared" si="1058"/>
        <v>8</v>
      </c>
      <c r="B541" s="196">
        <f t="shared" si="1055"/>
        <v>140837.71546098724</v>
      </c>
      <c r="C541" s="225">
        <f t="shared" ref="C541:AP541" si="1064">LOOKUP(C529,$B$465:$AP$465,$B$466:$AP$466)*$B720</f>
        <v>0</v>
      </c>
      <c r="D541" s="186">
        <f t="shared" si="1064"/>
        <v>0</v>
      </c>
      <c r="E541" s="186">
        <f t="shared" si="1064"/>
        <v>0</v>
      </c>
      <c r="F541" s="186">
        <f t="shared" si="1064"/>
        <v>0</v>
      </c>
      <c r="G541" s="186">
        <f t="shared" si="1064"/>
        <v>0</v>
      </c>
      <c r="H541" s="186">
        <f t="shared" si="1064"/>
        <v>0</v>
      </c>
      <c r="I541" s="186">
        <f t="shared" si="1064"/>
        <v>0</v>
      </c>
      <c r="J541" s="186">
        <f t="shared" si="1064"/>
        <v>0</v>
      </c>
      <c r="K541" s="186">
        <f t="shared" si="1064"/>
        <v>0</v>
      </c>
      <c r="L541" s="186">
        <f t="shared" si="1064"/>
        <v>0</v>
      </c>
      <c r="M541" s="186">
        <f t="shared" si="1064"/>
        <v>0</v>
      </c>
      <c r="N541" s="186">
        <f t="shared" si="1064"/>
        <v>0</v>
      </c>
      <c r="O541" s="186">
        <f t="shared" si="1064"/>
        <v>0</v>
      </c>
      <c r="P541" s="186">
        <f t="shared" si="1064"/>
        <v>0</v>
      </c>
      <c r="Q541" s="186">
        <f t="shared" si="1064"/>
        <v>0</v>
      </c>
      <c r="R541" s="186">
        <f t="shared" si="1064"/>
        <v>0</v>
      </c>
      <c r="S541" s="186">
        <f t="shared" si="1064"/>
        <v>0</v>
      </c>
      <c r="T541" s="186">
        <f t="shared" si="1064"/>
        <v>0</v>
      </c>
      <c r="U541" s="186">
        <f t="shared" si="1064"/>
        <v>0</v>
      </c>
      <c r="V541" s="186">
        <f t="shared" si="1064"/>
        <v>0</v>
      </c>
      <c r="W541" s="186">
        <f t="shared" si="1064"/>
        <v>0</v>
      </c>
      <c r="X541" s="186">
        <f t="shared" si="1064"/>
        <v>0</v>
      </c>
      <c r="Y541" s="186">
        <f t="shared" si="1064"/>
        <v>0</v>
      </c>
      <c r="Z541" s="186">
        <f t="shared" si="1064"/>
        <v>28167.543092197448</v>
      </c>
      <c r="AA541" s="186">
        <f t="shared" si="1064"/>
        <v>45068.068947515916</v>
      </c>
      <c r="AB541" s="186">
        <f t="shared" si="1064"/>
        <v>27040.841368509551</v>
      </c>
      <c r="AC541" s="186">
        <f t="shared" si="1064"/>
        <v>16224.504821105729</v>
      </c>
      <c r="AD541" s="186">
        <f t="shared" si="1064"/>
        <v>16224.504821105729</v>
      </c>
      <c r="AE541" s="186">
        <f t="shared" si="1064"/>
        <v>8112.2524105528646</v>
      </c>
      <c r="AF541" s="186">
        <f t="shared" si="1064"/>
        <v>0</v>
      </c>
      <c r="AG541" s="186">
        <f t="shared" si="1064"/>
        <v>0</v>
      </c>
      <c r="AH541" s="186">
        <f t="shared" si="1064"/>
        <v>0</v>
      </c>
      <c r="AI541" s="186">
        <f t="shared" si="1064"/>
        <v>0</v>
      </c>
      <c r="AJ541" s="186">
        <f t="shared" si="1064"/>
        <v>0</v>
      </c>
      <c r="AK541" s="186">
        <f t="shared" si="1064"/>
        <v>0</v>
      </c>
      <c r="AL541" s="186">
        <f t="shared" si="1064"/>
        <v>0</v>
      </c>
      <c r="AM541" s="186">
        <f t="shared" si="1064"/>
        <v>0</v>
      </c>
      <c r="AN541" s="186">
        <f t="shared" si="1064"/>
        <v>0</v>
      </c>
      <c r="AO541" s="186">
        <f t="shared" si="1064"/>
        <v>0</v>
      </c>
      <c r="AP541" s="186">
        <f t="shared" si="1064"/>
        <v>0</v>
      </c>
    </row>
    <row r="542" spans="1:42">
      <c r="A542" s="37">
        <f>A541+1</f>
        <v>9</v>
      </c>
      <c r="B542" s="196">
        <f t="shared" si="1055"/>
        <v>121822.53268718722</v>
      </c>
      <c r="C542" s="225">
        <f t="shared" ref="C542:AP542" si="1065">LOOKUP(C530,$B$465:$AP$465,$B$466:$AP$466)*$B721</f>
        <v>0</v>
      </c>
      <c r="D542" s="186">
        <f t="shared" si="1065"/>
        <v>0</v>
      </c>
      <c r="E542" s="186">
        <f t="shared" si="1065"/>
        <v>0</v>
      </c>
      <c r="F542" s="186">
        <f t="shared" si="1065"/>
        <v>0</v>
      </c>
      <c r="G542" s="186">
        <f t="shared" si="1065"/>
        <v>0</v>
      </c>
      <c r="H542" s="186">
        <f t="shared" si="1065"/>
        <v>0</v>
      </c>
      <c r="I542" s="186">
        <f t="shared" si="1065"/>
        <v>0</v>
      </c>
      <c r="J542" s="186">
        <f t="shared" si="1065"/>
        <v>0</v>
      </c>
      <c r="K542" s="186">
        <f t="shared" si="1065"/>
        <v>0</v>
      </c>
      <c r="L542" s="186">
        <f t="shared" si="1065"/>
        <v>0</v>
      </c>
      <c r="M542" s="186">
        <f t="shared" si="1065"/>
        <v>0</v>
      </c>
      <c r="N542" s="186">
        <f t="shared" si="1065"/>
        <v>0</v>
      </c>
      <c r="O542" s="186">
        <f t="shared" si="1065"/>
        <v>0</v>
      </c>
      <c r="P542" s="186">
        <f t="shared" si="1065"/>
        <v>0</v>
      </c>
      <c r="Q542" s="186">
        <f t="shared" si="1065"/>
        <v>0</v>
      </c>
      <c r="R542" s="186">
        <f t="shared" si="1065"/>
        <v>0</v>
      </c>
      <c r="S542" s="186">
        <f t="shared" si="1065"/>
        <v>0</v>
      </c>
      <c r="T542" s="186">
        <f t="shared" si="1065"/>
        <v>0</v>
      </c>
      <c r="U542" s="186">
        <f t="shared" si="1065"/>
        <v>0</v>
      </c>
      <c r="V542" s="186">
        <f t="shared" si="1065"/>
        <v>0</v>
      </c>
      <c r="W542" s="186">
        <f t="shared" si="1065"/>
        <v>0</v>
      </c>
      <c r="X542" s="186">
        <f t="shared" si="1065"/>
        <v>0</v>
      </c>
      <c r="Y542" s="186">
        <f t="shared" si="1065"/>
        <v>0</v>
      </c>
      <c r="Z542" s="186">
        <f t="shared" si="1065"/>
        <v>0</v>
      </c>
      <c r="AA542" s="186">
        <f t="shared" si="1065"/>
        <v>0</v>
      </c>
      <c r="AB542" s="186">
        <f t="shared" si="1065"/>
        <v>0</v>
      </c>
      <c r="AC542" s="186">
        <f t="shared" si="1065"/>
        <v>29454.190688391496</v>
      </c>
      <c r="AD542" s="186">
        <f t="shared" si="1065"/>
        <v>47126.705101426393</v>
      </c>
      <c r="AE542" s="186">
        <f t="shared" si="1065"/>
        <v>28276.023060855838</v>
      </c>
      <c r="AF542" s="186">
        <f t="shared" si="1065"/>
        <v>16965.613836513501</v>
      </c>
      <c r="AG542" s="186">
        <f t="shared" si="1065"/>
        <v>0</v>
      </c>
      <c r="AH542" s="186">
        <f t="shared" si="1065"/>
        <v>0</v>
      </c>
      <c r="AI542" s="186">
        <f t="shared" si="1065"/>
        <v>0</v>
      </c>
      <c r="AJ542" s="186">
        <f t="shared" si="1065"/>
        <v>0</v>
      </c>
      <c r="AK542" s="186">
        <f t="shared" si="1065"/>
        <v>0</v>
      </c>
      <c r="AL542" s="186">
        <f t="shared" si="1065"/>
        <v>0</v>
      </c>
      <c r="AM542" s="186">
        <f t="shared" si="1065"/>
        <v>0</v>
      </c>
      <c r="AN542" s="186">
        <f t="shared" si="1065"/>
        <v>0</v>
      </c>
      <c r="AO542" s="186">
        <f t="shared" si="1065"/>
        <v>0</v>
      </c>
      <c r="AP542" s="186">
        <f t="shared" si="1065"/>
        <v>0</v>
      </c>
    </row>
    <row r="543" spans="1:42">
      <c r="A543" s="37">
        <f t="shared" ref="A543" si="1066">A542+1</f>
        <v>10</v>
      </c>
      <c r="B543" s="196">
        <f t="shared" si="1055"/>
        <v>30799.610255977339</v>
      </c>
      <c r="C543" s="221">
        <f t="shared" ref="C543:AP543" si="1067">LOOKUP(C531,$B$465:$AP$465,$B$466:$AP$466)*$B722</f>
        <v>0</v>
      </c>
      <c r="D543" s="187">
        <f t="shared" si="1067"/>
        <v>0</v>
      </c>
      <c r="E543" s="187">
        <f t="shared" si="1067"/>
        <v>0</v>
      </c>
      <c r="F543" s="187">
        <f t="shared" si="1067"/>
        <v>0</v>
      </c>
      <c r="G543" s="187">
        <f t="shared" si="1067"/>
        <v>0</v>
      </c>
      <c r="H543" s="187">
        <f t="shared" si="1067"/>
        <v>0</v>
      </c>
      <c r="I543" s="187">
        <f t="shared" si="1067"/>
        <v>0</v>
      </c>
      <c r="J543" s="187">
        <f t="shared" si="1067"/>
        <v>0</v>
      </c>
      <c r="K543" s="187">
        <f t="shared" si="1067"/>
        <v>0</v>
      </c>
      <c r="L543" s="187">
        <f t="shared" si="1067"/>
        <v>0</v>
      </c>
      <c r="M543" s="187">
        <f t="shared" si="1067"/>
        <v>0</v>
      </c>
      <c r="N543" s="187">
        <f t="shared" si="1067"/>
        <v>0</v>
      </c>
      <c r="O543" s="187">
        <f t="shared" si="1067"/>
        <v>0</v>
      </c>
      <c r="P543" s="187">
        <f t="shared" si="1067"/>
        <v>0</v>
      </c>
      <c r="Q543" s="187">
        <f t="shared" si="1067"/>
        <v>0</v>
      </c>
      <c r="R543" s="187">
        <f t="shared" si="1067"/>
        <v>0</v>
      </c>
      <c r="S543" s="187">
        <f t="shared" si="1067"/>
        <v>0</v>
      </c>
      <c r="T543" s="187">
        <f t="shared" si="1067"/>
        <v>0</v>
      </c>
      <c r="U543" s="187">
        <f t="shared" si="1067"/>
        <v>0</v>
      </c>
      <c r="V543" s="187">
        <f t="shared" si="1067"/>
        <v>0</v>
      </c>
      <c r="W543" s="187">
        <f t="shared" si="1067"/>
        <v>0</v>
      </c>
      <c r="X543" s="187">
        <f t="shared" si="1067"/>
        <v>0</v>
      </c>
      <c r="Y543" s="187">
        <f t="shared" si="1067"/>
        <v>0</v>
      </c>
      <c r="Z543" s="187">
        <f t="shared" si="1067"/>
        <v>0</v>
      </c>
      <c r="AA543" s="187">
        <f t="shared" si="1067"/>
        <v>0</v>
      </c>
      <c r="AB543" s="187">
        <f t="shared" si="1067"/>
        <v>0</v>
      </c>
      <c r="AC543" s="187">
        <f t="shared" si="1067"/>
        <v>0</v>
      </c>
      <c r="AD543" s="187">
        <f t="shared" si="1067"/>
        <v>0</v>
      </c>
      <c r="AE543" s="187">
        <f t="shared" si="1067"/>
        <v>0</v>
      </c>
      <c r="AF543" s="187">
        <f t="shared" si="1067"/>
        <v>30799.610255977339</v>
      </c>
      <c r="AG543" s="187">
        <f t="shared" si="1067"/>
        <v>0</v>
      </c>
      <c r="AH543" s="187">
        <f t="shared" si="1067"/>
        <v>0</v>
      </c>
      <c r="AI543" s="187">
        <f t="shared" si="1067"/>
        <v>0</v>
      </c>
      <c r="AJ543" s="187">
        <f t="shared" si="1067"/>
        <v>0</v>
      </c>
      <c r="AK543" s="187">
        <f t="shared" si="1067"/>
        <v>0</v>
      </c>
      <c r="AL543" s="187">
        <f t="shared" si="1067"/>
        <v>0</v>
      </c>
      <c r="AM543" s="187">
        <f t="shared" si="1067"/>
        <v>0</v>
      </c>
      <c r="AN543" s="187">
        <f t="shared" si="1067"/>
        <v>0</v>
      </c>
      <c r="AO543" s="187">
        <f t="shared" si="1067"/>
        <v>0</v>
      </c>
      <c r="AP543" s="187">
        <f t="shared" si="1067"/>
        <v>0</v>
      </c>
    </row>
    <row r="544" spans="1:42" s="118" customFormat="1">
      <c r="A544" s="222" t="s">
        <v>53</v>
      </c>
      <c r="B544" s="141"/>
      <c r="C544" s="141">
        <f>SUM(C534:C543)</f>
        <v>0</v>
      </c>
      <c r="D544" s="141">
        <f t="shared" ref="D544:AP544" si="1068">SUM(D534:D543)</f>
        <v>0</v>
      </c>
      <c r="E544" s="141">
        <f t="shared" si="1068"/>
        <v>20604.499999999996</v>
      </c>
      <c r="F544" s="141">
        <f t="shared" si="1068"/>
        <v>32967.19999999999</v>
      </c>
      <c r="G544" s="141">
        <f t="shared" si="1068"/>
        <v>19780.319999999996</v>
      </c>
      <c r="H544" s="141">
        <f t="shared" si="1068"/>
        <v>33413.872077687483</v>
      </c>
      <c r="I544" s="141">
        <f t="shared" si="1068"/>
        <v>46341.28012429997</v>
      </c>
      <c r="J544" s="141">
        <f t="shared" si="1068"/>
        <v>26617.948874579983</v>
      </c>
      <c r="K544" s="141">
        <f t="shared" si="1068"/>
        <v>34940.163456654111</v>
      </c>
      <c r="L544" s="141">
        <f t="shared" si="1068"/>
        <v>48458.074495797773</v>
      </c>
      <c r="M544" s="141">
        <f t="shared" si="1068"/>
        <v>27833.813525003865</v>
      </c>
      <c r="N544" s="141">
        <f t="shared" si="1068"/>
        <v>36536.173345588439</v>
      </c>
      <c r="O544" s="141">
        <f t="shared" si="1068"/>
        <v>50671.560594394745</v>
      </c>
      <c r="P544" s="141">
        <f t="shared" si="1068"/>
        <v>29105.216896879054</v>
      </c>
      <c r="Q544" s="141">
        <f t="shared" si="1068"/>
        <v>38205.086372733211</v>
      </c>
      <c r="R544" s="141">
        <f t="shared" si="1068"/>
        <v>52986.155141060706</v>
      </c>
      <c r="S544" s="141">
        <f t="shared" si="1068"/>
        <v>30434.695908751019</v>
      </c>
      <c r="T544" s="141">
        <f t="shared" si="1068"/>
        <v>39950.232634974287</v>
      </c>
      <c r="U544" s="141">
        <f t="shared" si="1068"/>
        <v>55406.476605402226</v>
      </c>
      <c r="V544" s="141">
        <f t="shared" si="1068"/>
        <v>31824.903361481898</v>
      </c>
      <c r="W544" s="141">
        <f t="shared" si="1068"/>
        <v>41775.094342611868</v>
      </c>
      <c r="X544" s="141">
        <f t="shared" si="1068"/>
        <v>57937.354421212491</v>
      </c>
      <c r="Y544" s="141">
        <f t="shared" si="1068"/>
        <v>33278.613231566414</v>
      </c>
      <c r="Z544" s="141">
        <f t="shared" si="1068"/>
        <v>43683.312767654046</v>
      </c>
      <c r="AA544" s="141">
        <f t="shared" si="1068"/>
        <v>60583.838622972515</v>
      </c>
      <c r="AB544" s="141">
        <f t="shared" si="1068"/>
        <v>34798.72620623785</v>
      </c>
      <c r="AC544" s="141">
        <f t="shared" si="1068"/>
        <v>45678.695509497222</v>
      </c>
      <c r="AD544" s="141">
        <f t="shared" si="1068"/>
        <v>63351.209922532122</v>
      </c>
      <c r="AE544" s="141">
        <f t="shared" si="1068"/>
        <v>36388.275471408706</v>
      </c>
      <c r="AF544" s="141">
        <f t="shared" si="1068"/>
        <v>47765.22409249084</v>
      </c>
      <c r="AG544" s="141">
        <f t="shared" si="1068"/>
        <v>0</v>
      </c>
      <c r="AH544" s="141">
        <f t="shared" si="1068"/>
        <v>0</v>
      </c>
      <c r="AI544" s="141">
        <f t="shared" si="1068"/>
        <v>0</v>
      </c>
      <c r="AJ544" s="141">
        <f t="shared" si="1068"/>
        <v>0</v>
      </c>
      <c r="AK544" s="141">
        <f t="shared" si="1068"/>
        <v>0</v>
      </c>
      <c r="AL544" s="141">
        <f t="shared" si="1068"/>
        <v>0</v>
      </c>
      <c r="AM544" s="141">
        <f t="shared" si="1068"/>
        <v>0</v>
      </c>
      <c r="AN544" s="141">
        <f t="shared" si="1068"/>
        <v>0</v>
      </c>
      <c r="AO544" s="141">
        <f t="shared" si="1068"/>
        <v>0</v>
      </c>
      <c r="AP544" s="141">
        <f t="shared" si="1068"/>
        <v>0</v>
      </c>
    </row>
    <row r="545" spans="1:42" s="118" customFormat="1">
      <c r="A545" s="222"/>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c r="AA545" s="141"/>
      <c r="AB545" s="141"/>
      <c r="AC545" s="141"/>
      <c r="AD545" s="141"/>
      <c r="AE545" s="141"/>
      <c r="AF545" s="141"/>
      <c r="AG545" s="141"/>
      <c r="AH545" s="141"/>
      <c r="AI545" s="141"/>
      <c r="AJ545" s="141"/>
      <c r="AK545" s="141"/>
      <c r="AL545" s="141"/>
      <c r="AM545" s="141"/>
      <c r="AN545" s="141"/>
      <c r="AO545" s="141"/>
      <c r="AP545" s="141"/>
    </row>
    <row r="546" spans="1:42" s="118" customFormat="1">
      <c r="A546" s="179" t="s">
        <v>171</v>
      </c>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c r="AA546" s="141"/>
      <c r="AB546" s="141"/>
      <c r="AC546" s="141"/>
      <c r="AD546" s="141"/>
      <c r="AE546" s="141"/>
      <c r="AF546" s="141"/>
      <c r="AG546" s="141"/>
      <c r="AH546" s="141"/>
      <c r="AI546" s="141"/>
      <c r="AJ546" s="141"/>
      <c r="AK546" s="141"/>
      <c r="AL546" s="141"/>
      <c r="AM546" s="141"/>
      <c r="AN546" s="141"/>
      <c r="AO546" s="141"/>
      <c r="AP546" s="141"/>
    </row>
    <row r="547" spans="1:42" s="118" customFormat="1">
      <c r="A547" s="197" t="s">
        <v>37</v>
      </c>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141"/>
      <c r="AD547" s="141"/>
      <c r="AE547" s="141"/>
      <c r="AF547" s="141"/>
      <c r="AG547" s="141"/>
      <c r="AH547" s="141"/>
      <c r="AI547" s="141"/>
      <c r="AJ547" s="141"/>
      <c r="AK547" s="141"/>
      <c r="AL547" s="141"/>
      <c r="AM547" s="141"/>
      <c r="AN547" s="141"/>
      <c r="AO547" s="141"/>
      <c r="AP547" s="141"/>
    </row>
    <row r="548" spans="1:42" s="118" customFormat="1">
      <c r="A548" s="204" t="s">
        <v>173</v>
      </c>
      <c r="C548" s="232">
        <f t="shared" ref="C548:AP548" si="1069">IF(C$2&lt;=StatePTCTerm,StatePTCAmount*(1+Inflation)^B$2,0)</f>
        <v>0</v>
      </c>
      <c r="D548" s="232">
        <f t="shared" si="1069"/>
        <v>0</v>
      </c>
      <c r="E548" s="232">
        <f t="shared" si="1069"/>
        <v>0</v>
      </c>
      <c r="F548" s="232">
        <f t="shared" si="1069"/>
        <v>0</v>
      </c>
      <c r="G548" s="232">
        <f t="shared" si="1069"/>
        <v>0</v>
      </c>
      <c r="H548" s="232">
        <f t="shared" si="1069"/>
        <v>0</v>
      </c>
      <c r="I548" s="232">
        <f t="shared" si="1069"/>
        <v>0</v>
      </c>
      <c r="J548" s="232">
        <f t="shared" si="1069"/>
        <v>0</v>
      </c>
      <c r="K548" s="232">
        <f t="shared" si="1069"/>
        <v>0</v>
      </c>
      <c r="L548" s="232">
        <f t="shared" si="1069"/>
        <v>0</v>
      </c>
      <c r="M548" s="232">
        <f t="shared" si="1069"/>
        <v>0</v>
      </c>
      <c r="N548" s="232">
        <f t="shared" si="1069"/>
        <v>0</v>
      </c>
      <c r="O548" s="232">
        <f t="shared" si="1069"/>
        <v>0</v>
      </c>
      <c r="P548" s="232">
        <f t="shared" si="1069"/>
        <v>0</v>
      </c>
      <c r="Q548" s="232">
        <f t="shared" si="1069"/>
        <v>0</v>
      </c>
      <c r="R548" s="232">
        <f t="shared" si="1069"/>
        <v>0</v>
      </c>
      <c r="S548" s="232">
        <f t="shared" si="1069"/>
        <v>0</v>
      </c>
      <c r="T548" s="232">
        <f t="shared" si="1069"/>
        <v>0</v>
      </c>
      <c r="U548" s="232">
        <f t="shared" si="1069"/>
        <v>0</v>
      </c>
      <c r="V548" s="232">
        <f t="shared" si="1069"/>
        <v>0</v>
      </c>
      <c r="W548" s="232">
        <f t="shared" si="1069"/>
        <v>0</v>
      </c>
      <c r="X548" s="232">
        <f t="shared" si="1069"/>
        <v>0</v>
      </c>
      <c r="Y548" s="232">
        <f t="shared" si="1069"/>
        <v>0</v>
      </c>
      <c r="Z548" s="232">
        <f t="shared" si="1069"/>
        <v>0</v>
      </c>
      <c r="AA548" s="232">
        <f t="shared" si="1069"/>
        <v>0</v>
      </c>
      <c r="AB548" s="232">
        <f t="shared" si="1069"/>
        <v>0</v>
      </c>
      <c r="AC548" s="232">
        <f t="shared" si="1069"/>
        <v>0</v>
      </c>
      <c r="AD548" s="232">
        <f t="shared" si="1069"/>
        <v>0</v>
      </c>
      <c r="AE548" s="232">
        <f t="shared" si="1069"/>
        <v>0</v>
      </c>
      <c r="AF548" s="232">
        <f t="shared" si="1069"/>
        <v>0</v>
      </c>
      <c r="AG548" s="232">
        <f t="shared" si="1069"/>
        <v>0</v>
      </c>
      <c r="AH548" s="232">
        <f t="shared" si="1069"/>
        <v>0</v>
      </c>
      <c r="AI548" s="232">
        <f t="shared" si="1069"/>
        <v>0</v>
      </c>
      <c r="AJ548" s="232">
        <f t="shared" si="1069"/>
        <v>0</v>
      </c>
      <c r="AK548" s="232">
        <f t="shared" si="1069"/>
        <v>0</v>
      </c>
      <c r="AL548" s="232">
        <f t="shared" si="1069"/>
        <v>0</v>
      </c>
      <c r="AM548" s="232">
        <f t="shared" si="1069"/>
        <v>0</v>
      </c>
      <c r="AN548" s="232">
        <f t="shared" si="1069"/>
        <v>0</v>
      </c>
      <c r="AO548" s="232">
        <f t="shared" si="1069"/>
        <v>0</v>
      </c>
      <c r="AP548" s="232">
        <f t="shared" si="1069"/>
        <v>0</v>
      </c>
    </row>
    <row r="549" spans="1:42" s="118" customFormat="1">
      <c r="A549" s="204" t="s">
        <v>174</v>
      </c>
      <c r="C549" s="233">
        <f>ROUND(C548*1000,0)</f>
        <v>0</v>
      </c>
      <c r="D549" s="233">
        <f>ROUND(D548*1000,0)</f>
        <v>0</v>
      </c>
      <c r="E549" s="233">
        <f t="shared" ref="E549:AP549" si="1070">ROUND(E548*1000,0)</f>
        <v>0</v>
      </c>
      <c r="F549" s="233">
        <f t="shared" si="1070"/>
        <v>0</v>
      </c>
      <c r="G549" s="233">
        <f t="shared" si="1070"/>
        <v>0</v>
      </c>
      <c r="H549" s="233">
        <f t="shared" si="1070"/>
        <v>0</v>
      </c>
      <c r="I549" s="233">
        <f t="shared" si="1070"/>
        <v>0</v>
      </c>
      <c r="J549" s="233">
        <f t="shared" si="1070"/>
        <v>0</v>
      </c>
      <c r="K549" s="233">
        <f t="shared" si="1070"/>
        <v>0</v>
      </c>
      <c r="L549" s="233">
        <f t="shared" si="1070"/>
        <v>0</v>
      </c>
      <c r="M549" s="233">
        <f t="shared" si="1070"/>
        <v>0</v>
      </c>
      <c r="N549" s="233">
        <f t="shared" si="1070"/>
        <v>0</v>
      </c>
      <c r="O549" s="233">
        <f t="shared" si="1070"/>
        <v>0</v>
      </c>
      <c r="P549" s="233">
        <f t="shared" si="1070"/>
        <v>0</v>
      </c>
      <c r="Q549" s="233">
        <f t="shared" si="1070"/>
        <v>0</v>
      </c>
      <c r="R549" s="233">
        <f t="shared" si="1070"/>
        <v>0</v>
      </c>
      <c r="S549" s="233">
        <f t="shared" si="1070"/>
        <v>0</v>
      </c>
      <c r="T549" s="233">
        <f t="shared" si="1070"/>
        <v>0</v>
      </c>
      <c r="U549" s="233">
        <f t="shared" si="1070"/>
        <v>0</v>
      </c>
      <c r="V549" s="233">
        <f t="shared" si="1070"/>
        <v>0</v>
      </c>
      <c r="W549" s="233">
        <f t="shared" si="1070"/>
        <v>0</v>
      </c>
      <c r="X549" s="233">
        <f t="shared" si="1070"/>
        <v>0</v>
      </c>
      <c r="Y549" s="233">
        <f t="shared" si="1070"/>
        <v>0</v>
      </c>
      <c r="Z549" s="233">
        <f t="shared" si="1070"/>
        <v>0</v>
      </c>
      <c r="AA549" s="233">
        <f t="shared" si="1070"/>
        <v>0</v>
      </c>
      <c r="AB549" s="233">
        <f t="shared" si="1070"/>
        <v>0</v>
      </c>
      <c r="AC549" s="233">
        <f t="shared" si="1070"/>
        <v>0</v>
      </c>
      <c r="AD549" s="233">
        <f t="shared" si="1070"/>
        <v>0</v>
      </c>
      <c r="AE549" s="233">
        <f t="shared" si="1070"/>
        <v>0</v>
      </c>
      <c r="AF549" s="233">
        <f t="shared" si="1070"/>
        <v>0</v>
      </c>
      <c r="AG549" s="233">
        <f t="shared" si="1070"/>
        <v>0</v>
      </c>
      <c r="AH549" s="233">
        <f t="shared" si="1070"/>
        <v>0</v>
      </c>
      <c r="AI549" s="233">
        <f t="shared" si="1070"/>
        <v>0</v>
      </c>
      <c r="AJ549" s="233">
        <f t="shared" si="1070"/>
        <v>0</v>
      </c>
      <c r="AK549" s="233">
        <f t="shared" si="1070"/>
        <v>0</v>
      </c>
      <c r="AL549" s="233">
        <f t="shared" si="1070"/>
        <v>0</v>
      </c>
      <c r="AM549" s="233">
        <f t="shared" si="1070"/>
        <v>0</v>
      </c>
      <c r="AN549" s="233">
        <f t="shared" si="1070"/>
        <v>0</v>
      </c>
      <c r="AO549" s="233">
        <f t="shared" si="1070"/>
        <v>0</v>
      </c>
      <c r="AP549" s="233">
        <f t="shared" si="1070"/>
        <v>0</v>
      </c>
    </row>
    <row r="550" spans="1:42" s="118" customFormat="1">
      <c r="A550" s="204" t="s">
        <v>175</v>
      </c>
      <c r="C550" s="203">
        <f>C$5/1000</f>
        <v>17000</v>
      </c>
      <c r="D550" s="203">
        <f>D$5/1000</f>
        <v>16915</v>
      </c>
      <c r="E550" s="203">
        <f t="shared" ref="E550:AP550" si="1071">E$5/1000</f>
        <v>16830.424999999999</v>
      </c>
      <c r="F550" s="203">
        <f t="shared" si="1071"/>
        <v>16746.272874999999</v>
      </c>
      <c r="G550" s="203">
        <f t="shared" si="1071"/>
        <v>16662.541510625</v>
      </c>
      <c r="H550" s="203">
        <f t="shared" si="1071"/>
        <v>16579.228803071874</v>
      </c>
      <c r="I550" s="203">
        <f t="shared" si="1071"/>
        <v>16496.332659056516</v>
      </c>
      <c r="J550" s="203">
        <f t="shared" si="1071"/>
        <v>16413.850995761233</v>
      </c>
      <c r="K550" s="203">
        <f t="shared" si="1071"/>
        <v>16331.781740782426</v>
      </c>
      <c r="L550" s="203">
        <f t="shared" si="1071"/>
        <v>16250.122832078514</v>
      </c>
      <c r="M550" s="203">
        <f t="shared" si="1071"/>
        <v>16168.872217918122</v>
      </c>
      <c r="N550" s="203">
        <f t="shared" si="1071"/>
        <v>16088.027856828532</v>
      </c>
      <c r="O550" s="203">
        <f t="shared" si="1071"/>
        <v>16007.587717544387</v>
      </c>
      <c r="P550" s="203">
        <f t="shared" si="1071"/>
        <v>15927.549778956667</v>
      </c>
      <c r="Q550" s="203">
        <f t="shared" si="1071"/>
        <v>15847.912030061883</v>
      </c>
      <c r="R550" s="203">
        <f t="shared" si="1071"/>
        <v>15768.672469911573</v>
      </c>
      <c r="S550" s="203">
        <f t="shared" si="1071"/>
        <v>15689.829107562015</v>
      </c>
      <c r="T550" s="203">
        <f t="shared" si="1071"/>
        <v>15611.379962024204</v>
      </c>
      <c r="U550" s="203">
        <f t="shared" si="1071"/>
        <v>15533.323062214084</v>
      </c>
      <c r="V550" s="203">
        <f t="shared" si="1071"/>
        <v>15455.656446903013</v>
      </c>
      <c r="W550" s="203">
        <f t="shared" si="1071"/>
        <v>15378.378164668497</v>
      </c>
      <c r="X550" s="203">
        <f t="shared" si="1071"/>
        <v>15301.486273845156</v>
      </c>
      <c r="Y550" s="203">
        <f t="shared" si="1071"/>
        <v>15224.978842475928</v>
      </c>
      <c r="Z550" s="203">
        <f t="shared" si="1071"/>
        <v>15148.853948263548</v>
      </c>
      <c r="AA550" s="203">
        <f t="shared" si="1071"/>
        <v>15073.109678522231</v>
      </c>
      <c r="AB550" s="203">
        <f t="shared" si="1071"/>
        <v>14997.74413012962</v>
      </c>
      <c r="AC550" s="203">
        <f t="shared" si="1071"/>
        <v>14922.755409478972</v>
      </c>
      <c r="AD550" s="203">
        <f t="shared" si="1071"/>
        <v>14848.141632431576</v>
      </c>
      <c r="AE550" s="203">
        <f t="shared" si="1071"/>
        <v>14773.900924269417</v>
      </c>
      <c r="AF550" s="203">
        <f t="shared" si="1071"/>
        <v>14700.03141964807</v>
      </c>
      <c r="AG550" s="203">
        <f t="shared" si="1071"/>
        <v>0</v>
      </c>
      <c r="AH550" s="203">
        <f t="shared" si="1071"/>
        <v>0</v>
      </c>
      <c r="AI550" s="203">
        <f t="shared" si="1071"/>
        <v>0</v>
      </c>
      <c r="AJ550" s="203">
        <f t="shared" si="1071"/>
        <v>0</v>
      </c>
      <c r="AK550" s="203">
        <f t="shared" si="1071"/>
        <v>0</v>
      </c>
      <c r="AL550" s="203">
        <f t="shared" si="1071"/>
        <v>0</v>
      </c>
      <c r="AM550" s="203">
        <f t="shared" si="1071"/>
        <v>0</v>
      </c>
      <c r="AN550" s="203">
        <f t="shared" si="1071"/>
        <v>0</v>
      </c>
      <c r="AO550" s="203">
        <f t="shared" si="1071"/>
        <v>0</v>
      </c>
      <c r="AP550" s="203">
        <f t="shared" si="1071"/>
        <v>0</v>
      </c>
    </row>
    <row r="551" spans="1:42" s="118" customFormat="1">
      <c r="A551" s="204" t="s">
        <v>53</v>
      </c>
      <c r="C551" s="141">
        <f>C549*C550</f>
        <v>0</v>
      </c>
      <c r="D551" s="141">
        <f>D549*D550</f>
        <v>0</v>
      </c>
      <c r="E551" s="141">
        <f t="shared" ref="E551:AP551" si="1072">E549*E550</f>
        <v>0</v>
      </c>
      <c r="F551" s="141">
        <f t="shared" si="1072"/>
        <v>0</v>
      </c>
      <c r="G551" s="141">
        <f t="shared" si="1072"/>
        <v>0</v>
      </c>
      <c r="H551" s="141">
        <f t="shared" si="1072"/>
        <v>0</v>
      </c>
      <c r="I551" s="141">
        <f t="shared" si="1072"/>
        <v>0</v>
      </c>
      <c r="J551" s="141">
        <f t="shared" si="1072"/>
        <v>0</v>
      </c>
      <c r="K551" s="141">
        <f t="shared" si="1072"/>
        <v>0</v>
      </c>
      <c r="L551" s="141">
        <f t="shared" si="1072"/>
        <v>0</v>
      </c>
      <c r="M551" s="141">
        <f t="shared" si="1072"/>
        <v>0</v>
      </c>
      <c r="N551" s="141">
        <f t="shared" si="1072"/>
        <v>0</v>
      </c>
      <c r="O551" s="141">
        <f t="shared" si="1072"/>
        <v>0</v>
      </c>
      <c r="P551" s="141">
        <f t="shared" si="1072"/>
        <v>0</v>
      </c>
      <c r="Q551" s="141">
        <f t="shared" si="1072"/>
        <v>0</v>
      </c>
      <c r="R551" s="141">
        <f t="shared" si="1072"/>
        <v>0</v>
      </c>
      <c r="S551" s="141">
        <f t="shared" si="1072"/>
        <v>0</v>
      </c>
      <c r="T551" s="141">
        <f t="shared" si="1072"/>
        <v>0</v>
      </c>
      <c r="U551" s="141">
        <f t="shared" si="1072"/>
        <v>0</v>
      </c>
      <c r="V551" s="141">
        <f t="shared" si="1072"/>
        <v>0</v>
      </c>
      <c r="W551" s="141">
        <f t="shared" si="1072"/>
        <v>0</v>
      </c>
      <c r="X551" s="141">
        <f t="shared" si="1072"/>
        <v>0</v>
      </c>
      <c r="Y551" s="141">
        <f t="shared" si="1072"/>
        <v>0</v>
      </c>
      <c r="Z551" s="141">
        <f t="shared" si="1072"/>
        <v>0</v>
      </c>
      <c r="AA551" s="141">
        <f t="shared" si="1072"/>
        <v>0</v>
      </c>
      <c r="AB551" s="141">
        <f t="shared" si="1072"/>
        <v>0</v>
      </c>
      <c r="AC551" s="141">
        <f t="shared" si="1072"/>
        <v>0</v>
      </c>
      <c r="AD551" s="141">
        <f t="shared" si="1072"/>
        <v>0</v>
      </c>
      <c r="AE551" s="141">
        <f t="shared" si="1072"/>
        <v>0</v>
      </c>
      <c r="AF551" s="141">
        <f t="shared" si="1072"/>
        <v>0</v>
      </c>
      <c r="AG551" s="141">
        <f t="shared" si="1072"/>
        <v>0</v>
      </c>
      <c r="AH551" s="141">
        <f t="shared" si="1072"/>
        <v>0</v>
      </c>
      <c r="AI551" s="141">
        <f t="shared" si="1072"/>
        <v>0</v>
      </c>
      <c r="AJ551" s="141">
        <f t="shared" si="1072"/>
        <v>0</v>
      </c>
      <c r="AK551" s="141">
        <f t="shared" si="1072"/>
        <v>0</v>
      </c>
      <c r="AL551" s="141">
        <f t="shared" si="1072"/>
        <v>0</v>
      </c>
      <c r="AM551" s="141">
        <f t="shared" si="1072"/>
        <v>0</v>
      </c>
      <c r="AN551" s="141">
        <f t="shared" si="1072"/>
        <v>0</v>
      </c>
      <c r="AO551" s="141">
        <f t="shared" si="1072"/>
        <v>0</v>
      </c>
      <c r="AP551" s="141">
        <f t="shared" si="1072"/>
        <v>0</v>
      </c>
    </row>
    <row r="552" spans="1:42" s="118" customFormat="1">
      <c r="A552" s="197"/>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c r="AA552" s="141"/>
      <c r="AB552" s="141"/>
      <c r="AC552" s="141"/>
      <c r="AD552" s="141"/>
      <c r="AE552" s="141"/>
      <c r="AF552" s="141"/>
      <c r="AG552" s="141"/>
      <c r="AH552" s="141"/>
      <c r="AI552" s="141"/>
      <c r="AJ552" s="141"/>
      <c r="AK552" s="141"/>
      <c r="AL552" s="141"/>
      <c r="AM552" s="141"/>
      <c r="AN552" s="141"/>
      <c r="AO552" s="141"/>
      <c r="AP552" s="141"/>
    </row>
    <row r="553" spans="1:42" s="118" customFormat="1">
      <c r="A553" s="197" t="s">
        <v>36</v>
      </c>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c r="AA553" s="141"/>
      <c r="AB553" s="141"/>
      <c r="AC553" s="141"/>
      <c r="AD553" s="141"/>
      <c r="AE553" s="141"/>
      <c r="AF553" s="141"/>
      <c r="AG553" s="141"/>
      <c r="AH553" s="141"/>
      <c r="AI553" s="141"/>
      <c r="AJ553" s="141"/>
      <c r="AK553" s="141"/>
      <c r="AL553" s="141"/>
      <c r="AM553" s="141"/>
      <c r="AN553" s="141"/>
      <c r="AO553" s="141"/>
      <c r="AP553" s="141"/>
    </row>
    <row r="554" spans="1:42" s="118" customFormat="1">
      <c r="A554" s="204" t="s">
        <v>173</v>
      </c>
      <c r="C554" s="232">
        <f t="shared" ref="C554:AP554" si="1073">IF(C$2&lt;=FedPTCTerm,FedPTCAmount*(1+Inflation)^B$2,0)</f>
        <v>0</v>
      </c>
      <c r="D554" s="232">
        <f t="shared" si="1073"/>
        <v>0</v>
      </c>
      <c r="E554" s="232">
        <f t="shared" si="1073"/>
        <v>0</v>
      </c>
      <c r="F554" s="232">
        <f t="shared" si="1073"/>
        <v>0</v>
      </c>
      <c r="G554" s="232">
        <f t="shared" si="1073"/>
        <v>0</v>
      </c>
      <c r="H554" s="232">
        <f t="shared" si="1073"/>
        <v>0</v>
      </c>
      <c r="I554" s="232">
        <f t="shared" si="1073"/>
        <v>0</v>
      </c>
      <c r="J554" s="232">
        <f t="shared" si="1073"/>
        <v>0</v>
      </c>
      <c r="K554" s="232">
        <f t="shared" si="1073"/>
        <v>0</v>
      </c>
      <c r="L554" s="232">
        <f t="shared" si="1073"/>
        <v>0</v>
      </c>
      <c r="M554" s="232">
        <f t="shared" si="1073"/>
        <v>0</v>
      </c>
      <c r="N554" s="232">
        <f t="shared" si="1073"/>
        <v>0</v>
      </c>
      <c r="O554" s="232">
        <f t="shared" si="1073"/>
        <v>0</v>
      </c>
      <c r="P554" s="232">
        <f t="shared" si="1073"/>
        <v>0</v>
      </c>
      <c r="Q554" s="232">
        <f t="shared" si="1073"/>
        <v>0</v>
      </c>
      <c r="R554" s="232">
        <f t="shared" si="1073"/>
        <v>0</v>
      </c>
      <c r="S554" s="232">
        <f t="shared" si="1073"/>
        <v>0</v>
      </c>
      <c r="T554" s="232">
        <f t="shared" si="1073"/>
        <v>0</v>
      </c>
      <c r="U554" s="232">
        <f t="shared" si="1073"/>
        <v>0</v>
      </c>
      <c r="V554" s="232">
        <f t="shared" si="1073"/>
        <v>0</v>
      </c>
      <c r="W554" s="232">
        <f t="shared" si="1073"/>
        <v>0</v>
      </c>
      <c r="X554" s="232">
        <f t="shared" si="1073"/>
        <v>0</v>
      </c>
      <c r="Y554" s="232">
        <f t="shared" si="1073"/>
        <v>0</v>
      </c>
      <c r="Z554" s="232">
        <f t="shared" si="1073"/>
        <v>0</v>
      </c>
      <c r="AA554" s="232">
        <f t="shared" si="1073"/>
        <v>0</v>
      </c>
      <c r="AB554" s="232">
        <f t="shared" si="1073"/>
        <v>0</v>
      </c>
      <c r="AC554" s="232">
        <f t="shared" si="1073"/>
        <v>0</v>
      </c>
      <c r="AD554" s="232">
        <f t="shared" si="1073"/>
        <v>0</v>
      </c>
      <c r="AE554" s="232">
        <f t="shared" si="1073"/>
        <v>0</v>
      </c>
      <c r="AF554" s="232">
        <f t="shared" si="1073"/>
        <v>0</v>
      </c>
      <c r="AG554" s="232">
        <f t="shared" si="1073"/>
        <v>0</v>
      </c>
      <c r="AH554" s="232">
        <f t="shared" si="1073"/>
        <v>0</v>
      </c>
      <c r="AI554" s="232">
        <f t="shared" si="1073"/>
        <v>0</v>
      </c>
      <c r="AJ554" s="232">
        <f t="shared" si="1073"/>
        <v>0</v>
      </c>
      <c r="AK554" s="232">
        <f t="shared" si="1073"/>
        <v>0</v>
      </c>
      <c r="AL554" s="232">
        <f t="shared" si="1073"/>
        <v>0</v>
      </c>
      <c r="AM554" s="232">
        <f t="shared" si="1073"/>
        <v>0</v>
      </c>
      <c r="AN554" s="232">
        <f t="shared" si="1073"/>
        <v>0</v>
      </c>
      <c r="AO554" s="232">
        <f t="shared" si="1073"/>
        <v>0</v>
      </c>
      <c r="AP554" s="232">
        <f t="shared" si="1073"/>
        <v>0</v>
      </c>
    </row>
    <row r="555" spans="1:42" s="118" customFormat="1">
      <c r="A555" s="204" t="s">
        <v>174</v>
      </c>
      <c r="C555" s="233">
        <f>ROUND(C554*1000,0)</f>
        <v>0</v>
      </c>
      <c r="D555" s="233">
        <f>ROUND(D554*1000,0)</f>
        <v>0</v>
      </c>
      <c r="E555" s="233">
        <f t="shared" ref="E555:AP555" si="1074">ROUND(E554*1000,0)</f>
        <v>0</v>
      </c>
      <c r="F555" s="233">
        <f t="shared" si="1074"/>
        <v>0</v>
      </c>
      <c r="G555" s="233">
        <f t="shared" si="1074"/>
        <v>0</v>
      </c>
      <c r="H555" s="233">
        <f t="shared" si="1074"/>
        <v>0</v>
      </c>
      <c r="I555" s="233">
        <f t="shared" si="1074"/>
        <v>0</v>
      </c>
      <c r="J555" s="233">
        <f t="shared" si="1074"/>
        <v>0</v>
      </c>
      <c r="K555" s="233">
        <f t="shared" si="1074"/>
        <v>0</v>
      </c>
      <c r="L555" s="233">
        <f t="shared" si="1074"/>
        <v>0</v>
      </c>
      <c r="M555" s="233">
        <f t="shared" si="1074"/>
        <v>0</v>
      </c>
      <c r="N555" s="233">
        <f t="shared" si="1074"/>
        <v>0</v>
      </c>
      <c r="O555" s="233">
        <f t="shared" si="1074"/>
        <v>0</v>
      </c>
      <c r="P555" s="233">
        <f t="shared" si="1074"/>
        <v>0</v>
      </c>
      <c r="Q555" s="233">
        <f t="shared" si="1074"/>
        <v>0</v>
      </c>
      <c r="R555" s="233">
        <f t="shared" si="1074"/>
        <v>0</v>
      </c>
      <c r="S555" s="233">
        <f t="shared" si="1074"/>
        <v>0</v>
      </c>
      <c r="T555" s="233">
        <f t="shared" si="1074"/>
        <v>0</v>
      </c>
      <c r="U555" s="233">
        <f t="shared" si="1074"/>
        <v>0</v>
      </c>
      <c r="V555" s="233">
        <f t="shared" si="1074"/>
        <v>0</v>
      </c>
      <c r="W555" s="233">
        <f t="shared" si="1074"/>
        <v>0</v>
      </c>
      <c r="X555" s="233">
        <f t="shared" si="1074"/>
        <v>0</v>
      </c>
      <c r="Y555" s="233">
        <f t="shared" si="1074"/>
        <v>0</v>
      </c>
      <c r="Z555" s="233">
        <f t="shared" si="1074"/>
        <v>0</v>
      </c>
      <c r="AA555" s="233">
        <f t="shared" si="1074"/>
        <v>0</v>
      </c>
      <c r="AB555" s="233">
        <f t="shared" si="1074"/>
        <v>0</v>
      </c>
      <c r="AC555" s="233">
        <f t="shared" si="1074"/>
        <v>0</v>
      </c>
      <c r="AD555" s="233">
        <f t="shared" si="1074"/>
        <v>0</v>
      </c>
      <c r="AE555" s="233">
        <f t="shared" si="1074"/>
        <v>0</v>
      </c>
      <c r="AF555" s="233">
        <f t="shared" si="1074"/>
        <v>0</v>
      </c>
      <c r="AG555" s="233">
        <f t="shared" si="1074"/>
        <v>0</v>
      </c>
      <c r="AH555" s="233">
        <f t="shared" si="1074"/>
        <v>0</v>
      </c>
      <c r="AI555" s="233">
        <f t="shared" si="1074"/>
        <v>0</v>
      </c>
      <c r="AJ555" s="233">
        <f t="shared" si="1074"/>
        <v>0</v>
      </c>
      <c r="AK555" s="233">
        <f t="shared" si="1074"/>
        <v>0</v>
      </c>
      <c r="AL555" s="233">
        <f t="shared" si="1074"/>
        <v>0</v>
      </c>
      <c r="AM555" s="233">
        <f t="shared" si="1074"/>
        <v>0</v>
      </c>
      <c r="AN555" s="233">
        <f t="shared" si="1074"/>
        <v>0</v>
      </c>
      <c r="AO555" s="233">
        <f t="shared" si="1074"/>
        <v>0</v>
      </c>
      <c r="AP555" s="233">
        <f t="shared" si="1074"/>
        <v>0</v>
      </c>
    </row>
    <row r="556" spans="1:42" s="118" customFormat="1">
      <c r="A556" s="204" t="s">
        <v>175</v>
      </c>
      <c r="C556" s="203">
        <f>C$5/1000</f>
        <v>17000</v>
      </c>
      <c r="D556" s="203">
        <f>D$5/1000</f>
        <v>16915</v>
      </c>
      <c r="E556" s="203">
        <f t="shared" ref="E556:AP556" si="1075">E$5/1000</f>
        <v>16830.424999999999</v>
      </c>
      <c r="F556" s="203">
        <f t="shared" si="1075"/>
        <v>16746.272874999999</v>
      </c>
      <c r="G556" s="203">
        <f t="shared" si="1075"/>
        <v>16662.541510625</v>
      </c>
      <c r="H556" s="203">
        <f t="shared" si="1075"/>
        <v>16579.228803071874</v>
      </c>
      <c r="I556" s="203">
        <f t="shared" si="1075"/>
        <v>16496.332659056516</v>
      </c>
      <c r="J556" s="203">
        <f t="shared" si="1075"/>
        <v>16413.850995761233</v>
      </c>
      <c r="K556" s="203">
        <f t="shared" si="1075"/>
        <v>16331.781740782426</v>
      </c>
      <c r="L556" s="203">
        <f t="shared" si="1075"/>
        <v>16250.122832078514</v>
      </c>
      <c r="M556" s="203">
        <f t="shared" si="1075"/>
        <v>16168.872217918122</v>
      </c>
      <c r="N556" s="203">
        <f t="shared" si="1075"/>
        <v>16088.027856828532</v>
      </c>
      <c r="O556" s="203">
        <f t="shared" si="1075"/>
        <v>16007.587717544387</v>
      </c>
      <c r="P556" s="203">
        <f t="shared" si="1075"/>
        <v>15927.549778956667</v>
      </c>
      <c r="Q556" s="203">
        <f t="shared" si="1075"/>
        <v>15847.912030061883</v>
      </c>
      <c r="R556" s="203">
        <f t="shared" si="1075"/>
        <v>15768.672469911573</v>
      </c>
      <c r="S556" s="203">
        <f t="shared" si="1075"/>
        <v>15689.829107562015</v>
      </c>
      <c r="T556" s="203">
        <f t="shared" si="1075"/>
        <v>15611.379962024204</v>
      </c>
      <c r="U556" s="203">
        <f t="shared" si="1075"/>
        <v>15533.323062214084</v>
      </c>
      <c r="V556" s="203">
        <f t="shared" si="1075"/>
        <v>15455.656446903013</v>
      </c>
      <c r="W556" s="203">
        <f t="shared" si="1075"/>
        <v>15378.378164668497</v>
      </c>
      <c r="X556" s="203">
        <f t="shared" si="1075"/>
        <v>15301.486273845156</v>
      </c>
      <c r="Y556" s="203">
        <f t="shared" si="1075"/>
        <v>15224.978842475928</v>
      </c>
      <c r="Z556" s="203">
        <f t="shared" si="1075"/>
        <v>15148.853948263548</v>
      </c>
      <c r="AA556" s="203">
        <f t="shared" si="1075"/>
        <v>15073.109678522231</v>
      </c>
      <c r="AB556" s="203">
        <f t="shared" si="1075"/>
        <v>14997.74413012962</v>
      </c>
      <c r="AC556" s="203">
        <f t="shared" si="1075"/>
        <v>14922.755409478972</v>
      </c>
      <c r="AD556" s="203">
        <f t="shared" si="1075"/>
        <v>14848.141632431576</v>
      </c>
      <c r="AE556" s="203">
        <f t="shared" si="1075"/>
        <v>14773.900924269417</v>
      </c>
      <c r="AF556" s="203">
        <f t="shared" si="1075"/>
        <v>14700.03141964807</v>
      </c>
      <c r="AG556" s="203">
        <f t="shared" si="1075"/>
        <v>0</v>
      </c>
      <c r="AH556" s="203">
        <f t="shared" si="1075"/>
        <v>0</v>
      </c>
      <c r="AI556" s="203">
        <f t="shared" si="1075"/>
        <v>0</v>
      </c>
      <c r="AJ556" s="203">
        <f t="shared" si="1075"/>
        <v>0</v>
      </c>
      <c r="AK556" s="203">
        <f t="shared" si="1075"/>
        <v>0</v>
      </c>
      <c r="AL556" s="203">
        <f t="shared" si="1075"/>
        <v>0</v>
      </c>
      <c r="AM556" s="203">
        <f t="shared" si="1075"/>
        <v>0</v>
      </c>
      <c r="AN556" s="203">
        <f t="shared" si="1075"/>
        <v>0</v>
      </c>
      <c r="AO556" s="203">
        <f t="shared" si="1075"/>
        <v>0</v>
      </c>
      <c r="AP556" s="203">
        <f t="shared" si="1075"/>
        <v>0</v>
      </c>
    </row>
    <row r="557" spans="1:42" s="118" customFormat="1">
      <c r="A557" s="204" t="s">
        <v>53</v>
      </c>
      <c r="C557" s="141">
        <f>C555*C556</f>
        <v>0</v>
      </c>
      <c r="D557" s="141">
        <f>D555*D556</f>
        <v>0</v>
      </c>
      <c r="E557" s="141">
        <f t="shared" ref="E557:AP557" si="1076">E555*E556</f>
        <v>0</v>
      </c>
      <c r="F557" s="141">
        <f t="shared" si="1076"/>
        <v>0</v>
      </c>
      <c r="G557" s="141">
        <f t="shared" si="1076"/>
        <v>0</v>
      </c>
      <c r="H557" s="141">
        <f t="shared" si="1076"/>
        <v>0</v>
      </c>
      <c r="I557" s="141">
        <f t="shared" si="1076"/>
        <v>0</v>
      </c>
      <c r="J557" s="141">
        <f t="shared" si="1076"/>
        <v>0</v>
      </c>
      <c r="K557" s="141">
        <f t="shared" si="1076"/>
        <v>0</v>
      </c>
      <c r="L557" s="141">
        <f t="shared" si="1076"/>
        <v>0</v>
      </c>
      <c r="M557" s="141">
        <f t="shared" si="1076"/>
        <v>0</v>
      </c>
      <c r="N557" s="141">
        <f t="shared" si="1076"/>
        <v>0</v>
      </c>
      <c r="O557" s="141">
        <f t="shared" si="1076"/>
        <v>0</v>
      </c>
      <c r="P557" s="141">
        <f t="shared" si="1076"/>
        <v>0</v>
      </c>
      <c r="Q557" s="141">
        <f t="shared" si="1076"/>
        <v>0</v>
      </c>
      <c r="R557" s="141">
        <f t="shared" si="1076"/>
        <v>0</v>
      </c>
      <c r="S557" s="141">
        <f t="shared" si="1076"/>
        <v>0</v>
      </c>
      <c r="T557" s="141">
        <f t="shared" si="1076"/>
        <v>0</v>
      </c>
      <c r="U557" s="141">
        <f t="shared" si="1076"/>
        <v>0</v>
      </c>
      <c r="V557" s="141">
        <f t="shared" si="1076"/>
        <v>0</v>
      </c>
      <c r="W557" s="141">
        <f t="shared" si="1076"/>
        <v>0</v>
      </c>
      <c r="X557" s="141">
        <f t="shared" si="1076"/>
        <v>0</v>
      </c>
      <c r="Y557" s="141">
        <f t="shared" si="1076"/>
        <v>0</v>
      </c>
      <c r="Z557" s="141">
        <f t="shared" si="1076"/>
        <v>0</v>
      </c>
      <c r="AA557" s="141">
        <f t="shared" si="1076"/>
        <v>0</v>
      </c>
      <c r="AB557" s="141">
        <f t="shared" si="1076"/>
        <v>0</v>
      </c>
      <c r="AC557" s="141">
        <f t="shared" si="1076"/>
        <v>0</v>
      </c>
      <c r="AD557" s="141">
        <f t="shared" si="1076"/>
        <v>0</v>
      </c>
      <c r="AE557" s="141">
        <f t="shared" si="1076"/>
        <v>0</v>
      </c>
      <c r="AF557" s="141">
        <f t="shared" si="1076"/>
        <v>0</v>
      </c>
      <c r="AG557" s="141">
        <f t="shared" si="1076"/>
        <v>0</v>
      </c>
      <c r="AH557" s="141">
        <f t="shared" si="1076"/>
        <v>0</v>
      </c>
      <c r="AI557" s="141">
        <f t="shared" si="1076"/>
        <v>0</v>
      </c>
      <c r="AJ557" s="141">
        <f t="shared" si="1076"/>
        <v>0</v>
      </c>
      <c r="AK557" s="141">
        <f t="shared" si="1076"/>
        <v>0</v>
      </c>
      <c r="AL557" s="141">
        <f t="shared" si="1076"/>
        <v>0</v>
      </c>
      <c r="AM557" s="141">
        <f t="shared" si="1076"/>
        <v>0</v>
      </c>
      <c r="AN557" s="141">
        <f t="shared" si="1076"/>
        <v>0</v>
      </c>
      <c r="AO557" s="141">
        <f t="shared" si="1076"/>
        <v>0</v>
      </c>
      <c r="AP557" s="141">
        <f t="shared" si="1076"/>
        <v>0</v>
      </c>
    </row>
    <row r="558" spans="1:42" s="118" customFormat="1">
      <c r="A558" s="204"/>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c r="AA558" s="141"/>
      <c r="AB558" s="141"/>
      <c r="AC558" s="141"/>
      <c r="AD558" s="141"/>
      <c r="AE558" s="141"/>
      <c r="AF558" s="141"/>
      <c r="AG558" s="141"/>
      <c r="AH558" s="141"/>
      <c r="AI558" s="141"/>
      <c r="AJ558" s="141"/>
      <c r="AK558" s="141"/>
      <c r="AL558" s="141"/>
      <c r="AM558" s="141"/>
      <c r="AN558" s="141"/>
      <c r="AO558" s="141"/>
      <c r="AP558" s="141"/>
    </row>
    <row r="559" spans="1:42">
      <c r="A559" s="179" t="s">
        <v>58</v>
      </c>
      <c r="C559" s="186"/>
      <c r="D559" s="186"/>
      <c r="E559" s="186"/>
      <c r="F559" s="186"/>
      <c r="G559" s="186"/>
      <c r="H559" s="186"/>
      <c r="I559" s="186"/>
      <c r="J559" s="186"/>
      <c r="K559" s="186"/>
      <c r="L559" s="186"/>
      <c r="M559" s="186"/>
      <c r="N559" s="186"/>
      <c r="O559" s="186"/>
      <c r="P559" s="186"/>
      <c r="Q559" s="186"/>
      <c r="R559" s="186"/>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row>
    <row r="560" spans="1:42">
      <c r="A560" s="197" t="str">
        <f>'Inputs &amp; Results'!A49</f>
        <v>Fixed Amount ($)</v>
      </c>
      <c r="B560" s="118"/>
      <c r="C560" s="118"/>
      <c r="D560" s="186"/>
      <c r="E560" s="186"/>
      <c r="F560" s="186"/>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204" t="str">
        <f>'Inputs &amp; Results'!A50</f>
        <v>Federal</v>
      </c>
      <c r="B561" s="118"/>
      <c r="C561" s="198">
        <f>IBIFedFixed</f>
        <v>1000</v>
      </c>
      <c r="D561" s="186"/>
      <c r="E561" s="186"/>
      <c r="F561" s="186"/>
      <c r="G561" s="186"/>
      <c r="H561" s="186"/>
      <c r="I561" s="186"/>
      <c r="J561" s="186"/>
      <c r="K561" s="186"/>
      <c r="L561" s="186"/>
      <c r="M561" s="186"/>
      <c r="N561" s="186"/>
      <c r="O561" s="186"/>
      <c r="P561" s="186"/>
      <c r="Q561" s="186"/>
      <c r="R561" s="186"/>
      <c r="S561" s="186"/>
      <c r="T561" s="186"/>
      <c r="U561" s="186"/>
      <c r="V561" s="186"/>
      <c r="W561" s="186"/>
      <c r="X561" s="186"/>
      <c r="Y561" s="186"/>
      <c r="Z561" s="186"/>
      <c r="AA561" s="186"/>
      <c r="AB561" s="186"/>
      <c r="AC561" s="186"/>
      <c r="AD561" s="186"/>
      <c r="AE561" s="186"/>
      <c r="AF561" s="186"/>
      <c r="AG561" s="186"/>
      <c r="AH561" s="186"/>
      <c r="AI561" s="186"/>
      <c r="AJ561" s="186"/>
      <c r="AK561" s="186"/>
      <c r="AL561" s="186"/>
      <c r="AM561" s="186"/>
      <c r="AN561" s="186"/>
      <c r="AO561" s="186"/>
      <c r="AP561" s="186"/>
    </row>
    <row r="562" spans="1:42">
      <c r="A562" s="204" t="str">
        <f>'Inputs &amp; Results'!A51</f>
        <v>State</v>
      </c>
      <c r="B562" s="118"/>
      <c r="C562" s="198">
        <f>IBIStateFixed</f>
        <v>2000</v>
      </c>
      <c r="D562" s="186"/>
      <c r="E562" s="186"/>
      <c r="F562" s="186"/>
      <c r="G562" s="186"/>
      <c r="H562" s="186"/>
      <c r="I562" s="186"/>
      <c r="J562" s="186"/>
      <c r="K562" s="186"/>
      <c r="L562" s="186"/>
      <c r="M562" s="186"/>
      <c r="N562" s="186"/>
      <c r="O562" s="186"/>
      <c r="P562" s="186"/>
      <c r="Q562" s="186"/>
      <c r="R562" s="186"/>
      <c r="S562" s="186"/>
      <c r="T562" s="186"/>
      <c r="U562" s="186"/>
      <c r="V562" s="186"/>
      <c r="W562" s="186"/>
      <c r="X562" s="186"/>
      <c r="Y562" s="186"/>
      <c r="Z562" s="186"/>
      <c r="AA562" s="186"/>
      <c r="AB562" s="186"/>
      <c r="AC562" s="186"/>
      <c r="AD562" s="186"/>
      <c r="AE562" s="186"/>
      <c r="AF562" s="186"/>
      <c r="AG562" s="186"/>
      <c r="AH562" s="186"/>
      <c r="AI562" s="186"/>
      <c r="AJ562" s="186"/>
      <c r="AK562" s="186"/>
      <c r="AL562" s="186"/>
      <c r="AM562" s="186"/>
      <c r="AN562" s="186"/>
      <c r="AO562" s="186"/>
      <c r="AP562" s="186"/>
    </row>
    <row r="563" spans="1:42">
      <c r="A563" s="204" t="str">
        <f>'Inputs &amp; Results'!A52</f>
        <v>Utility</v>
      </c>
      <c r="B563" s="118"/>
      <c r="C563" s="198">
        <f>IBIUtilityFixed</f>
        <v>500</v>
      </c>
      <c r="D563" s="186"/>
      <c r="E563" s="186"/>
      <c r="F563" s="186"/>
      <c r="G563" s="186"/>
      <c r="H563" s="186"/>
      <c r="I563" s="186"/>
      <c r="J563" s="186"/>
      <c r="K563" s="186"/>
      <c r="L563" s="186"/>
      <c r="M563" s="186"/>
      <c r="N563" s="186"/>
      <c r="O563" s="186"/>
      <c r="P563" s="186"/>
      <c r="Q563" s="186"/>
      <c r="R563" s="186"/>
      <c r="S563" s="186"/>
      <c r="T563" s="186"/>
      <c r="U563" s="186"/>
      <c r="V563" s="186"/>
      <c r="W563" s="186"/>
      <c r="X563" s="186"/>
      <c r="Y563" s="186"/>
      <c r="Z563" s="186"/>
      <c r="AA563" s="186"/>
      <c r="AB563" s="186"/>
      <c r="AC563" s="186"/>
      <c r="AD563" s="186"/>
      <c r="AE563" s="186"/>
      <c r="AF563" s="186"/>
      <c r="AG563" s="186"/>
      <c r="AH563" s="186"/>
      <c r="AI563" s="186"/>
      <c r="AJ563" s="186"/>
      <c r="AK563" s="186"/>
      <c r="AL563" s="186"/>
      <c r="AM563" s="186"/>
      <c r="AN563" s="186"/>
      <c r="AO563" s="186"/>
      <c r="AP563" s="186"/>
    </row>
    <row r="564" spans="1:42">
      <c r="A564" s="204" t="str">
        <f>'Inputs &amp; Results'!A53</f>
        <v>Other</v>
      </c>
      <c r="C564" s="203">
        <f>IBIOtherFixed</f>
        <v>250</v>
      </c>
      <c r="D564" s="186"/>
      <c r="E564" s="186"/>
      <c r="F564" s="186"/>
      <c r="G564" s="186"/>
      <c r="H564" s="186"/>
      <c r="I564" s="186"/>
      <c r="J564" s="186"/>
      <c r="K564" s="186"/>
      <c r="L564" s="186"/>
      <c r="M564" s="186"/>
      <c r="N564" s="186"/>
      <c r="O564" s="186"/>
      <c r="P564" s="186"/>
      <c r="Q564" s="186"/>
      <c r="R564" s="186"/>
      <c r="S564" s="186"/>
      <c r="T564" s="186"/>
      <c r="U564" s="186"/>
      <c r="V564" s="186"/>
      <c r="W564" s="186"/>
      <c r="X564" s="186"/>
      <c r="Y564" s="186"/>
      <c r="Z564" s="186"/>
      <c r="AA564" s="186"/>
      <c r="AB564" s="186"/>
      <c r="AC564" s="186"/>
      <c r="AD564" s="186"/>
      <c r="AE564" s="186"/>
      <c r="AF564" s="186"/>
      <c r="AG564" s="186"/>
      <c r="AH564" s="186"/>
      <c r="AI564" s="186"/>
      <c r="AJ564" s="186"/>
      <c r="AK564" s="186"/>
      <c r="AL564" s="186"/>
      <c r="AM564" s="186"/>
      <c r="AN564" s="186"/>
      <c r="AO564" s="186"/>
      <c r="AP564" s="186"/>
    </row>
    <row r="565" spans="1:42">
      <c r="A565" s="184" t="s">
        <v>53</v>
      </c>
      <c r="C565" s="186">
        <f>SUM(C561:C564)</f>
        <v>3750</v>
      </c>
      <c r="D565" s="186"/>
      <c r="E565" s="186"/>
      <c r="F565" s="186"/>
      <c r="G565" s="186"/>
      <c r="H565" s="186"/>
      <c r="I565" s="186"/>
      <c r="J565" s="186"/>
      <c r="K565" s="186"/>
      <c r="L565" s="186"/>
      <c r="M565" s="186"/>
      <c r="N565" s="186"/>
      <c r="O565" s="186"/>
      <c r="P565" s="186"/>
      <c r="Q565" s="186"/>
      <c r="R565" s="186"/>
      <c r="S565" s="186"/>
      <c r="T565" s="186"/>
      <c r="U565" s="186"/>
      <c r="V565" s="186"/>
      <c r="W565" s="186"/>
      <c r="X565" s="186"/>
      <c r="Y565" s="186"/>
      <c r="Z565" s="186"/>
      <c r="AA565" s="186"/>
      <c r="AB565" s="186"/>
      <c r="AC565" s="186"/>
      <c r="AD565" s="186"/>
      <c r="AE565" s="186"/>
      <c r="AF565" s="186"/>
      <c r="AG565" s="186"/>
      <c r="AH565" s="186"/>
      <c r="AI565" s="186"/>
      <c r="AJ565" s="186"/>
      <c r="AK565" s="186"/>
      <c r="AL565" s="186"/>
      <c r="AM565" s="186"/>
      <c r="AN565" s="186"/>
      <c r="AO565" s="186"/>
      <c r="AP565" s="186"/>
    </row>
    <row r="566" spans="1:42">
      <c r="A566" s="197" t="str">
        <f>'Inputs &amp; Results'!A54</f>
        <v>Percentage of Pre-Financing Costs</v>
      </c>
      <c r="C566" s="186"/>
      <c r="D566" s="186"/>
      <c r="E566" s="186"/>
      <c r="F566" s="186"/>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204" t="str">
        <f>'Inputs &amp; Results'!A55</f>
        <v>Federal</v>
      </c>
      <c r="C567" s="198">
        <f>IBIFedPercent</f>
        <v>2011357.5</v>
      </c>
      <c r="D567" s="186"/>
      <c r="E567" s="186"/>
      <c r="F567" s="186"/>
      <c r="G567" s="186"/>
      <c r="H567" s="186"/>
      <c r="I567" s="186"/>
      <c r="J567" s="186"/>
      <c r="K567" s="186"/>
      <c r="L567" s="186"/>
      <c r="M567" s="186"/>
      <c r="N567" s="186"/>
      <c r="O567" s="186"/>
      <c r="P567" s="186"/>
      <c r="Q567" s="186"/>
      <c r="R567" s="186"/>
      <c r="S567" s="186"/>
      <c r="T567" s="186"/>
      <c r="U567" s="186"/>
      <c r="V567" s="186"/>
      <c r="W567" s="186"/>
      <c r="X567" s="186"/>
      <c r="Y567" s="186"/>
      <c r="Z567" s="186"/>
      <c r="AA567" s="186"/>
      <c r="AB567" s="186"/>
      <c r="AC567" s="186"/>
      <c r="AD567" s="186"/>
      <c r="AE567" s="186"/>
      <c r="AF567" s="186"/>
      <c r="AG567" s="186"/>
      <c r="AH567" s="186"/>
      <c r="AI567" s="186"/>
      <c r="AJ567" s="186"/>
      <c r="AK567" s="186"/>
      <c r="AL567" s="186"/>
      <c r="AM567" s="186"/>
      <c r="AN567" s="186"/>
      <c r="AO567" s="186"/>
      <c r="AP567" s="186"/>
    </row>
    <row r="568" spans="1:42">
      <c r="A568" s="204" t="str">
        <f>'Inputs &amp; Results'!A56</f>
        <v>State</v>
      </c>
      <c r="C568" s="198">
        <f>IBIStatePercent</f>
        <v>4022715</v>
      </c>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204" t="str">
        <f>'Inputs &amp; Results'!A57</f>
        <v>Utility</v>
      </c>
      <c r="C569" s="198">
        <f>IBIUtilityPercent</f>
        <v>402271.5</v>
      </c>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204" t="str">
        <f>'Inputs &amp; Results'!A58</f>
        <v>Other</v>
      </c>
      <c r="C570" s="203">
        <f>IBIOtherPercent</f>
        <v>201135.75</v>
      </c>
      <c r="D570" s="186"/>
      <c r="E570" s="186"/>
      <c r="F570" s="186"/>
      <c r="G570" s="186"/>
      <c r="H570" s="186"/>
      <c r="I570" s="186"/>
      <c r="J570" s="186"/>
      <c r="K570" s="186"/>
      <c r="L570" s="186"/>
      <c r="M570" s="186"/>
      <c r="N570" s="186"/>
      <c r="O570" s="186"/>
      <c r="P570" s="186"/>
      <c r="Q570" s="186"/>
      <c r="R570" s="186"/>
      <c r="S570" s="186"/>
      <c r="T570" s="186"/>
      <c r="U570" s="186"/>
      <c r="V570" s="186"/>
      <c r="W570" s="186"/>
      <c r="X570" s="186"/>
      <c r="Y570" s="186"/>
      <c r="Z570" s="186"/>
      <c r="AA570" s="186"/>
      <c r="AB570" s="186"/>
      <c r="AC570" s="186"/>
      <c r="AD570" s="186"/>
      <c r="AE570" s="186"/>
      <c r="AF570" s="186"/>
      <c r="AG570" s="186"/>
      <c r="AH570" s="186"/>
      <c r="AI570" s="186"/>
      <c r="AJ570" s="186"/>
      <c r="AK570" s="186"/>
      <c r="AL570" s="186"/>
      <c r="AM570" s="186"/>
      <c r="AN570" s="186"/>
      <c r="AO570" s="186"/>
      <c r="AP570" s="186"/>
    </row>
    <row r="571" spans="1:42">
      <c r="A571" s="204" t="s">
        <v>53</v>
      </c>
      <c r="C571" s="186">
        <f>SUM(C567:C570)</f>
        <v>6637479.75</v>
      </c>
      <c r="D571" s="186"/>
      <c r="E571" s="186"/>
      <c r="F571" s="186"/>
      <c r="G571" s="186"/>
      <c r="H571" s="186"/>
      <c r="I571" s="186"/>
      <c r="J571" s="186"/>
      <c r="K571" s="186"/>
      <c r="L571" s="186"/>
      <c r="M571" s="186"/>
      <c r="N571" s="186"/>
      <c r="O571" s="186"/>
      <c r="P571" s="186"/>
      <c r="Q571" s="186"/>
      <c r="R571" s="186"/>
      <c r="S571" s="186"/>
      <c r="T571" s="186"/>
      <c r="U571" s="186"/>
      <c r="V571" s="186"/>
      <c r="W571" s="186"/>
      <c r="X571" s="186"/>
      <c r="Y571" s="186"/>
      <c r="Z571" s="186"/>
      <c r="AA571" s="186"/>
      <c r="AB571" s="186"/>
      <c r="AC571" s="186"/>
      <c r="AD571" s="186"/>
      <c r="AE571" s="186"/>
      <c r="AF571" s="186"/>
      <c r="AG571" s="186"/>
      <c r="AH571" s="186"/>
      <c r="AI571" s="186"/>
      <c r="AJ571" s="186"/>
      <c r="AK571" s="186"/>
      <c r="AL571" s="186"/>
      <c r="AM571" s="186"/>
      <c r="AN571" s="186"/>
      <c r="AO571" s="186"/>
      <c r="AP571" s="186"/>
    </row>
    <row r="572" spans="1:42">
      <c r="A572" s="179" t="s">
        <v>128</v>
      </c>
      <c r="C572" s="186"/>
      <c r="D572" s="186"/>
      <c r="E572" s="186"/>
      <c r="F572" s="186"/>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197" t="str">
        <f>'Inputs &amp; Results'!A60</f>
        <v>Federal</v>
      </c>
      <c r="B573" s="118"/>
      <c r="C573" s="198">
        <f>CBIFed</f>
        <v>5000000</v>
      </c>
      <c r="D573" s="186"/>
      <c r="E573" s="186"/>
      <c r="F573" s="186"/>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197" t="str">
        <f>'Inputs &amp; Results'!A61</f>
        <v>State</v>
      </c>
      <c r="B574" s="118"/>
      <c r="C574" s="198">
        <f>CBIState</f>
        <v>2000000</v>
      </c>
      <c r="D574" s="186"/>
      <c r="E574" s="186"/>
      <c r="F574" s="186"/>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A575" s="197" t="str">
        <f>'Inputs &amp; Results'!A62</f>
        <v>Utility</v>
      </c>
      <c r="B575" s="118"/>
      <c r="C575" s="198">
        <f>CBIUtility</f>
        <v>100000</v>
      </c>
      <c r="D575" s="186"/>
      <c r="E575" s="186"/>
      <c r="F575" s="186"/>
      <c r="G575" s="186"/>
      <c r="H575" s="186"/>
      <c r="I575" s="186"/>
      <c r="J575" s="186"/>
      <c r="K575" s="186"/>
      <c r="L575" s="186"/>
      <c r="M575" s="186"/>
      <c r="N575" s="186"/>
      <c r="O575" s="186"/>
      <c r="P575" s="186"/>
      <c r="Q575" s="186"/>
      <c r="R575" s="186"/>
      <c r="S575" s="186"/>
      <c r="T575" s="186"/>
      <c r="U575" s="186"/>
      <c r="V575" s="186"/>
      <c r="W575" s="186"/>
      <c r="X575" s="186"/>
      <c r="Y575" s="186"/>
      <c r="Z575" s="186"/>
      <c r="AA575" s="186"/>
      <c r="AB575" s="186"/>
      <c r="AC575" s="186"/>
      <c r="AD575" s="186"/>
      <c r="AE575" s="186"/>
      <c r="AF575" s="186"/>
      <c r="AG575" s="186"/>
      <c r="AH575" s="186"/>
      <c r="AI575" s="186"/>
      <c r="AJ575" s="186"/>
      <c r="AK575" s="186"/>
      <c r="AL575" s="186"/>
      <c r="AM575" s="186"/>
      <c r="AN575" s="186"/>
      <c r="AO575" s="186"/>
      <c r="AP575" s="186"/>
    </row>
    <row r="576" spans="1:42">
      <c r="A576" s="197" t="str">
        <f>'Inputs &amp; Results'!A63</f>
        <v>Other</v>
      </c>
      <c r="C576" s="203">
        <f>CBIOther</f>
        <v>50000</v>
      </c>
      <c r="D576" s="186"/>
      <c r="E576" s="186"/>
      <c r="F576" s="186"/>
      <c r="G576" s="186"/>
      <c r="H576" s="186"/>
      <c r="I576" s="186"/>
      <c r="J576" s="186"/>
      <c r="K576" s="186"/>
      <c r="L576" s="186"/>
      <c r="M576" s="186"/>
      <c r="N576" s="186"/>
      <c r="O576" s="186"/>
      <c r="P576" s="186"/>
      <c r="Q576" s="186"/>
      <c r="R576" s="186"/>
      <c r="S576" s="186"/>
      <c r="T576" s="186"/>
      <c r="U576" s="186"/>
      <c r="V576" s="186"/>
      <c r="W576" s="186"/>
      <c r="X576" s="186"/>
      <c r="Y576" s="186"/>
      <c r="Z576" s="186"/>
      <c r="AA576" s="186"/>
      <c r="AB576" s="186"/>
      <c r="AC576" s="186"/>
      <c r="AD576" s="186"/>
      <c r="AE576" s="186"/>
      <c r="AF576" s="186"/>
      <c r="AG576" s="186"/>
      <c r="AH576" s="186"/>
      <c r="AI576" s="186"/>
      <c r="AJ576" s="186"/>
      <c r="AK576" s="186"/>
      <c r="AL576" s="186"/>
      <c r="AM576" s="186"/>
      <c r="AN576" s="186"/>
      <c r="AO576" s="186"/>
      <c r="AP576" s="186"/>
    </row>
    <row r="577" spans="1:42">
      <c r="A577" s="180" t="s">
        <v>53</v>
      </c>
      <c r="C577" s="186">
        <f>SUM(C573:C576)</f>
        <v>7150000</v>
      </c>
      <c r="D577" s="186"/>
      <c r="E577" s="186"/>
      <c r="F577" s="186"/>
      <c r="G577" s="186"/>
      <c r="H577" s="186"/>
      <c r="I577" s="186"/>
      <c r="J577" s="186"/>
      <c r="K577" s="186"/>
      <c r="L577" s="186"/>
      <c r="M577" s="186"/>
      <c r="N577" s="186"/>
      <c r="O577" s="186"/>
      <c r="P577" s="186"/>
      <c r="Q577" s="186"/>
      <c r="R577" s="186"/>
      <c r="S577" s="186"/>
      <c r="T577" s="186"/>
      <c r="U577" s="186"/>
      <c r="V577" s="186"/>
      <c r="W577" s="186"/>
      <c r="X577" s="186"/>
      <c r="Y577" s="186"/>
      <c r="Z577" s="186"/>
      <c r="AA577" s="186"/>
      <c r="AB577" s="186"/>
      <c r="AC577" s="186"/>
      <c r="AD577" s="186"/>
      <c r="AE577" s="186"/>
      <c r="AF577" s="186"/>
      <c r="AG577" s="186"/>
      <c r="AH577" s="186"/>
      <c r="AI577" s="186"/>
      <c r="AJ577" s="186"/>
      <c r="AK577" s="186"/>
      <c r="AL577" s="186"/>
      <c r="AM577" s="186"/>
      <c r="AN577" s="186"/>
      <c r="AO577" s="186"/>
      <c r="AP577" s="186"/>
    </row>
    <row r="578" spans="1:42">
      <c r="C578" s="186"/>
      <c r="D578" s="186"/>
      <c r="E578" s="186"/>
      <c r="F578" s="186"/>
      <c r="G578" s="186"/>
      <c r="H578" s="186"/>
      <c r="I578" s="186"/>
      <c r="J578" s="186"/>
      <c r="K578" s="186"/>
      <c r="L578" s="186"/>
      <c r="M578" s="186"/>
      <c r="N578" s="186"/>
      <c r="O578" s="186"/>
      <c r="P578" s="186"/>
      <c r="Q578" s="186"/>
      <c r="R578" s="186"/>
      <c r="S578" s="186"/>
      <c r="T578" s="186"/>
      <c r="U578" s="186"/>
      <c r="V578" s="186"/>
      <c r="W578" s="186"/>
      <c r="X578" s="186"/>
      <c r="Y578" s="186"/>
      <c r="Z578" s="186"/>
      <c r="AA578" s="186"/>
      <c r="AB578" s="186"/>
      <c r="AC578" s="186"/>
      <c r="AD578" s="186"/>
      <c r="AE578" s="186"/>
      <c r="AF578" s="186"/>
      <c r="AG578" s="186"/>
      <c r="AH578" s="186"/>
      <c r="AI578" s="186"/>
      <c r="AJ578" s="186"/>
      <c r="AK578" s="186"/>
      <c r="AL578" s="186"/>
      <c r="AM578" s="186"/>
      <c r="AN578" s="186"/>
      <c r="AO578" s="186"/>
      <c r="AP578" s="186"/>
    </row>
    <row r="579" spans="1:42">
      <c r="A579" s="179" t="s">
        <v>125</v>
      </c>
    </row>
    <row r="580" spans="1:42">
      <c r="A580" s="180" t="str">
        <f>'Inputs &amp; Results'!A67</f>
        <v>Federal</v>
      </c>
    </row>
    <row r="581" spans="1:42">
      <c r="A581" s="184" t="s">
        <v>126</v>
      </c>
      <c r="C581" s="232">
        <f t="shared" ref="C581:AP581" si="1077">IF(AND(C$2&lt;=PBIFedTerm,C$2&lt;=AnalysisPeriod),PBIFed*(1+PBIFedEsc)^B$2,0)</f>
        <v>0</v>
      </c>
      <c r="D581" s="232">
        <f t="shared" si="1077"/>
        <v>0</v>
      </c>
      <c r="E581" s="232">
        <f t="shared" si="1077"/>
        <v>0</v>
      </c>
      <c r="F581" s="232">
        <f t="shared" si="1077"/>
        <v>0</v>
      </c>
      <c r="G581" s="232">
        <f t="shared" si="1077"/>
        <v>0</v>
      </c>
      <c r="H581" s="232">
        <f t="shared" si="1077"/>
        <v>0</v>
      </c>
      <c r="I581" s="232">
        <f t="shared" si="1077"/>
        <v>0</v>
      </c>
      <c r="J581" s="232">
        <f t="shared" si="1077"/>
        <v>0</v>
      </c>
      <c r="K581" s="232">
        <f t="shared" si="1077"/>
        <v>0</v>
      </c>
      <c r="L581" s="232">
        <f t="shared" si="1077"/>
        <v>0</v>
      </c>
      <c r="M581" s="232">
        <f t="shared" si="1077"/>
        <v>0</v>
      </c>
      <c r="N581" s="232">
        <f t="shared" si="1077"/>
        <v>0</v>
      </c>
      <c r="O581" s="232">
        <f t="shared" si="1077"/>
        <v>0</v>
      </c>
      <c r="P581" s="232">
        <f t="shared" si="1077"/>
        <v>0</v>
      </c>
      <c r="Q581" s="232">
        <f t="shared" si="1077"/>
        <v>0</v>
      </c>
      <c r="R581" s="232">
        <f t="shared" si="1077"/>
        <v>0</v>
      </c>
      <c r="S581" s="232">
        <f t="shared" si="1077"/>
        <v>0</v>
      </c>
      <c r="T581" s="232">
        <f t="shared" si="1077"/>
        <v>0</v>
      </c>
      <c r="U581" s="232">
        <f t="shared" si="1077"/>
        <v>0</v>
      </c>
      <c r="V581" s="232">
        <f t="shared" si="1077"/>
        <v>0</v>
      </c>
      <c r="W581" s="232">
        <f t="shared" si="1077"/>
        <v>0</v>
      </c>
      <c r="X581" s="232">
        <f t="shared" si="1077"/>
        <v>0</v>
      </c>
      <c r="Y581" s="232">
        <f t="shared" si="1077"/>
        <v>0</v>
      </c>
      <c r="Z581" s="232">
        <f t="shared" si="1077"/>
        <v>0</v>
      </c>
      <c r="AA581" s="232">
        <f t="shared" si="1077"/>
        <v>0</v>
      </c>
      <c r="AB581" s="232">
        <f t="shared" si="1077"/>
        <v>0</v>
      </c>
      <c r="AC581" s="232">
        <f t="shared" si="1077"/>
        <v>0</v>
      </c>
      <c r="AD581" s="232">
        <f t="shared" si="1077"/>
        <v>0</v>
      </c>
      <c r="AE581" s="232">
        <f t="shared" si="1077"/>
        <v>0</v>
      </c>
      <c r="AF581" s="232">
        <f t="shared" si="1077"/>
        <v>0</v>
      </c>
      <c r="AG581" s="232">
        <f t="shared" si="1077"/>
        <v>0</v>
      </c>
      <c r="AH581" s="232">
        <f t="shared" si="1077"/>
        <v>0</v>
      </c>
      <c r="AI581" s="232">
        <f t="shared" si="1077"/>
        <v>0</v>
      </c>
      <c r="AJ581" s="232">
        <f t="shared" si="1077"/>
        <v>0</v>
      </c>
      <c r="AK581" s="232">
        <f t="shared" si="1077"/>
        <v>0</v>
      </c>
      <c r="AL581" s="232">
        <f t="shared" si="1077"/>
        <v>0</v>
      </c>
      <c r="AM581" s="232">
        <f t="shared" si="1077"/>
        <v>0</v>
      </c>
      <c r="AN581" s="232">
        <f t="shared" si="1077"/>
        <v>0</v>
      </c>
      <c r="AO581" s="232">
        <f t="shared" si="1077"/>
        <v>0</v>
      </c>
      <c r="AP581" s="232">
        <f t="shared" si="1077"/>
        <v>0</v>
      </c>
    </row>
    <row r="582" spans="1:42">
      <c r="A582" s="184" t="s">
        <v>127</v>
      </c>
      <c r="C582" s="203">
        <f>C$5</f>
        <v>17000000</v>
      </c>
      <c r="D582" s="203">
        <f t="shared" ref="D582:AP582" si="1078">D$5</f>
        <v>16915000</v>
      </c>
      <c r="E582" s="203">
        <f t="shared" si="1078"/>
        <v>16830425</v>
      </c>
      <c r="F582" s="203">
        <f t="shared" si="1078"/>
        <v>16746272.875</v>
      </c>
      <c r="G582" s="203">
        <f t="shared" si="1078"/>
        <v>16662541.510624999</v>
      </c>
      <c r="H582" s="203">
        <f t="shared" si="1078"/>
        <v>16579228.803071873</v>
      </c>
      <c r="I582" s="203">
        <f t="shared" si="1078"/>
        <v>16496332.659056515</v>
      </c>
      <c r="J582" s="203">
        <f t="shared" si="1078"/>
        <v>16413850.995761232</v>
      </c>
      <c r="K582" s="203">
        <f t="shared" si="1078"/>
        <v>16331781.740782427</v>
      </c>
      <c r="L582" s="203">
        <f t="shared" si="1078"/>
        <v>16250122.832078515</v>
      </c>
      <c r="M582" s="203">
        <f t="shared" si="1078"/>
        <v>16168872.217918122</v>
      </c>
      <c r="N582" s="203">
        <f t="shared" si="1078"/>
        <v>16088027.856828531</v>
      </c>
      <c r="O582" s="203">
        <f t="shared" si="1078"/>
        <v>16007587.717544388</v>
      </c>
      <c r="P582" s="203">
        <f t="shared" si="1078"/>
        <v>15927549.778956667</v>
      </c>
      <c r="Q582" s="203">
        <f t="shared" si="1078"/>
        <v>15847912.030061884</v>
      </c>
      <c r="R582" s="203">
        <f t="shared" si="1078"/>
        <v>15768672.469911573</v>
      </c>
      <c r="S582" s="203">
        <f t="shared" si="1078"/>
        <v>15689829.107562015</v>
      </c>
      <c r="T582" s="203">
        <f t="shared" si="1078"/>
        <v>15611379.962024204</v>
      </c>
      <c r="U582" s="203">
        <f t="shared" si="1078"/>
        <v>15533323.062214084</v>
      </c>
      <c r="V582" s="203">
        <f t="shared" si="1078"/>
        <v>15455656.446903013</v>
      </c>
      <c r="W582" s="203">
        <f t="shared" si="1078"/>
        <v>15378378.164668497</v>
      </c>
      <c r="X582" s="203">
        <f t="shared" si="1078"/>
        <v>15301486.273845155</v>
      </c>
      <c r="Y582" s="203">
        <f t="shared" si="1078"/>
        <v>15224978.842475928</v>
      </c>
      <c r="Z582" s="203">
        <f t="shared" si="1078"/>
        <v>15148853.948263548</v>
      </c>
      <c r="AA582" s="203">
        <f t="shared" si="1078"/>
        <v>15073109.678522231</v>
      </c>
      <c r="AB582" s="203">
        <f t="shared" si="1078"/>
        <v>14997744.13012962</v>
      </c>
      <c r="AC582" s="203">
        <f t="shared" si="1078"/>
        <v>14922755.409478972</v>
      </c>
      <c r="AD582" s="203">
        <f t="shared" si="1078"/>
        <v>14848141.632431576</v>
      </c>
      <c r="AE582" s="203">
        <f t="shared" si="1078"/>
        <v>14773900.924269417</v>
      </c>
      <c r="AF582" s="203">
        <f t="shared" si="1078"/>
        <v>14700031.41964807</v>
      </c>
      <c r="AG582" s="203">
        <f t="shared" si="1078"/>
        <v>0</v>
      </c>
      <c r="AH582" s="203">
        <f t="shared" si="1078"/>
        <v>0</v>
      </c>
      <c r="AI582" s="203">
        <f t="shared" si="1078"/>
        <v>0</v>
      </c>
      <c r="AJ582" s="203">
        <f t="shared" si="1078"/>
        <v>0</v>
      </c>
      <c r="AK582" s="203">
        <f t="shared" si="1078"/>
        <v>0</v>
      </c>
      <c r="AL582" s="203">
        <f t="shared" si="1078"/>
        <v>0</v>
      </c>
      <c r="AM582" s="203">
        <f t="shared" si="1078"/>
        <v>0</v>
      </c>
      <c r="AN582" s="203">
        <f t="shared" si="1078"/>
        <v>0</v>
      </c>
      <c r="AO582" s="203">
        <f t="shared" si="1078"/>
        <v>0</v>
      </c>
      <c r="AP582" s="203">
        <f t="shared" si="1078"/>
        <v>0</v>
      </c>
    </row>
    <row r="583" spans="1:42">
      <c r="A583" s="184" t="s">
        <v>53</v>
      </c>
      <c r="C583" s="198">
        <f>C581*C582</f>
        <v>0</v>
      </c>
      <c r="D583" s="198">
        <f t="shared" ref="D583:AP583" si="1079">D581*D582</f>
        <v>0</v>
      </c>
      <c r="E583" s="198">
        <f t="shared" si="1079"/>
        <v>0</v>
      </c>
      <c r="F583" s="198">
        <f t="shared" si="1079"/>
        <v>0</v>
      </c>
      <c r="G583" s="198">
        <f t="shared" si="1079"/>
        <v>0</v>
      </c>
      <c r="H583" s="198">
        <f t="shared" si="1079"/>
        <v>0</v>
      </c>
      <c r="I583" s="198">
        <f t="shared" si="1079"/>
        <v>0</v>
      </c>
      <c r="J583" s="198">
        <f t="shared" si="1079"/>
        <v>0</v>
      </c>
      <c r="K583" s="198">
        <f t="shared" si="1079"/>
        <v>0</v>
      </c>
      <c r="L583" s="198">
        <f t="shared" si="1079"/>
        <v>0</v>
      </c>
      <c r="M583" s="198">
        <f t="shared" si="1079"/>
        <v>0</v>
      </c>
      <c r="N583" s="198">
        <f t="shared" si="1079"/>
        <v>0</v>
      </c>
      <c r="O583" s="198">
        <f t="shared" si="1079"/>
        <v>0</v>
      </c>
      <c r="P583" s="198">
        <f t="shared" si="1079"/>
        <v>0</v>
      </c>
      <c r="Q583" s="198">
        <f t="shared" si="1079"/>
        <v>0</v>
      </c>
      <c r="R583" s="198">
        <f t="shared" si="1079"/>
        <v>0</v>
      </c>
      <c r="S583" s="198">
        <f t="shared" si="1079"/>
        <v>0</v>
      </c>
      <c r="T583" s="198">
        <f t="shared" si="1079"/>
        <v>0</v>
      </c>
      <c r="U583" s="198">
        <f t="shared" si="1079"/>
        <v>0</v>
      </c>
      <c r="V583" s="198">
        <f t="shared" si="1079"/>
        <v>0</v>
      </c>
      <c r="W583" s="198">
        <f t="shared" si="1079"/>
        <v>0</v>
      </c>
      <c r="X583" s="198">
        <f t="shared" si="1079"/>
        <v>0</v>
      </c>
      <c r="Y583" s="198">
        <f t="shared" si="1079"/>
        <v>0</v>
      </c>
      <c r="Z583" s="198">
        <f t="shared" si="1079"/>
        <v>0</v>
      </c>
      <c r="AA583" s="198">
        <f t="shared" si="1079"/>
        <v>0</v>
      </c>
      <c r="AB583" s="198">
        <f t="shared" si="1079"/>
        <v>0</v>
      </c>
      <c r="AC583" s="198">
        <f t="shared" si="1079"/>
        <v>0</v>
      </c>
      <c r="AD583" s="198">
        <f t="shared" si="1079"/>
        <v>0</v>
      </c>
      <c r="AE583" s="198">
        <f t="shared" si="1079"/>
        <v>0</v>
      </c>
      <c r="AF583" s="198">
        <f t="shared" si="1079"/>
        <v>0</v>
      </c>
      <c r="AG583" s="198">
        <f t="shared" si="1079"/>
        <v>0</v>
      </c>
      <c r="AH583" s="198">
        <f t="shared" si="1079"/>
        <v>0</v>
      </c>
      <c r="AI583" s="198">
        <f t="shared" si="1079"/>
        <v>0</v>
      </c>
      <c r="AJ583" s="198">
        <f t="shared" si="1079"/>
        <v>0</v>
      </c>
      <c r="AK583" s="198">
        <f t="shared" si="1079"/>
        <v>0</v>
      </c>
      <c r="AL583" s="198">
        <f t="shared" si="1079"/>
        <v>0</v>
      </c>
      <c r="AM583" s="198">
        <f t="shared" si="1079"/>
        <v>0</v>
      </c>
      <c r="AN583" s="198">
        <f t="shared" si="1079"/>
        <v>0</v>
      </c>
      <c r="AO583" s="198">
        <f t="shared" si="1079"/>
        <v>0</v>
      </c>
      <c r="AP583" s="198">
        <f t="shared" si="1079"/>
        <v>0</v>
      </c>
    </row>
    <row r="584" spans="1:42">
      <c r="A584" s="180" t="str">
        <f>'Inputs &amp; Results'!A68</f>
        <v>State</v>
      </c>
    </row>
    <row r="585" spans="1:42">
      <c r="A585" s="184" t="s">
        <v>126</v>
      </c>
      <c r="C585" s="232">
        <f t="shared" ref="C585:AP585" si="1080">IF(AND(C$2&lt;=PBIStateTerm,C$2&lt;=AnalysisPeriod),PBIState*(1+PBIStateEsc)^B$2,0)</f>
        <v>0</v>
      </c>
      <c r="D585" s="232">
        <f t="shared" si="1080"/>
        <v>0</v>
      </c>
      <c r="E585" s="232">
        <f t="shared" si="1080"/>
        <v>0</v>
      </c>
      <c r="F585" s="232">
        <f t="shared" si="1080"/>
        <v>0</v>
      </c>
      <c r="G585" s="232">
        <f t="shared" si="1080"/>
        <v>0</v>
      </c>
      <c r="H585" s="232">
        <f t="shared" si="1080"/>
        <v>0</v>
      </c>
      <c r="I585" s="232">
        <f t="shared" si="1080"/>
        <v>0</v>
      </c>
      <c r="J585" s="232">
        <f t="shared" si="1080"/>
        <v>0</v>
      </c>
      <c r="K585" s="232">
        <f t="shared" si="1080"/>
        <v>0</v>
      </c>
      <c r="L585" s="232">
        <f t="shared" si="1080"/>
        <v>0</v>
      </c>
      <c r="M585" s="232">
        <f t="shared" si="1080"/>
        <v>0</v>
      </c>
      <c r="N585" s="232">
        <f t="shared" si="1080"/>
        <v>0</v>
      </c>
      <c r="O585" s="232">
        <f t="shared" si="1080"/>
        <v>0</v>
      </c>
      <c r="P585" s="232">
        <f t="shared" si="1080"/>
        <v>0</v>
      </c>
      <c r="Q585" s="232">
        <f t="shared" si="1080"/>
        <v>0</v>
      </c>
      <c r="R585" s="232">
        <f t="shared" si="1080"/>
        <v>0</v>
      </c>
      <c r="S585" s="232">
        <f t="shared" si="1080"/>
        <v>0</v>
      </c>
      <c r="T585" s="232">
        <f t="shared" si="1080"/>
        <v>0</v>
      </c>
      <c r="U585" s="232">
        <f t="shared" si="1080"/>
        <v>0</v>
      </c>
      <c r="V585" s="232">
        <f t="shared" si="1080"/>
        <v>0</v>
      </c>
      <c r="W585" s="232">
        <f t="shared" si="1080"/>
        <v>0</v>
      </c>
      <c r="X585" s="232">
        <f t="shared" si="1080"/>
        <v>0</v>
      </c>
      <c r="Y585" s="232">
        <f t="shared" si="1080"/>
        <v>0</v>
      </c>
      <c r="Z585" s="232">
        <f t="shared" si="1080"/>
        <v>0</v>
      </c>
      <c r="AA585" s="232">
        <f t="shared" si="1080"/>
        <v>0</v>
      </c>
      <c r="AB585" s="232">
        <f t="shared" si="1080"/>
        <v>0</v>
      </c>
      <c r="AC585" s="232">
        <f t="shared" si="1080"/>
        <v>0</v>
      </c>
      <c r="AD585" s="232">
        <f t="shared" si="1080"/>
        <v>0</v>
      </c>
      <c r="AE585" s="232">
        <f t="shared" si="1080"/>
        <v>0</v>
      </c>
      <c r="AF585" s="232">
        <f t="shared" si="1080"/>
        <v>0</v>
      </c>
      <c r="AG585" s="232">
        <f t="shared" si="1080"/>
        <v>0</v>
      </c>
      <c r="AH585" s="232">
        <f t="shared" si="1080"/>
        <v>0</v>
      </c>
      <c r="AI585" s="232">
        <f t="shared" si="1080"/>
        <v>0</v>
      </c>
      <c r="AJ585" s="232">
        <f t="shared" si="1080"/>
        <v>0</v>
      </c>
      <c r="AK585" s="232">
        <f t="shared" si="1080"/>
        <v>0</v>
      </c>
      <c r="AL585" s="232">
        <f t="shared" si="1080"/>
        <v>0</v>
      </c>
      <c r="AM585" s="232">
        <f t="shared" si="1080"/>
        <v>0</v>
      </c>
      <c r="AN585" s="232">
        <f t="shared" si="1080"/>
        <v>0</v>
      </c>
      <c r="AO585" s="232">
        <f t="shared" si="1080"/>
        <v>0</v>
      </c>
      <c r="AP585" s="232">
        <f t="shared" si="1080"/>
        <v>0</v>
      </c>
    </row>
    <row r="586" spans="1:42">
      <c r="A586" s="184" t="s">
        <v>127</v>
      </c>
      <c r="C586" s="203">
        <f>C$5</f>
        <v>17000000</v>
      </c>
      <c r="D586" s="203">
        <f t="shared" ref="D586:AP586" si="1081">D$5</f>
        <v>16915000</v>
      </c>
      <c r="E586" s="203">
        <f t="shared" si="1081"/>
        <v>16830425</v>
      </c>
      <c r="F586" s="203">
        <f t="shared" si="1081"/>
        <v>16746272.875</v>
      </c>
      <c r="G586" s="203">
        <f t="shared" si="1081"/>
        <v>16662541.510624999</v>
      </c>
      <c r="H586" s="203">
        <f t="shared" si="1081"/>
        <v>16579228.803071873</v>
      </c>
      <c r="I586" s="203">
        <f t="shared" si="1081"/>
        <v>16496332.659056515</v>
      </c>
      <c r="J586" s="203">
        <f t="shared" si="1081"/>
        <v>16413850.995761232</v>
      </c>
      <c r="K586" s="203">
        <f t="shared" si="1081"/>
        <v>16331781.740782427</v>
      </c>
      <c r="L586" s="203">
        <f t="shared" si="1081"/>
        <v>16250122.832078515</v>
      </c>
      <c r="M586" s="203">
        <f t="shared" si="1081"/>
        <v>16168872.217918122</v>
      </c>
      <c r="N586" s="203">
        <f t="shared" si="1081"/>
        <v>16088027.856828531</v>
      </c>
      <c r="O586" s="203">
        <f t="shared" si="1081"/>
        <v>16007587.717544388</v>
      </c>
      <c r="P586" s="203">
        <f t="shared" si="1081"/>
        <v>15927549.778956667</v>
      </c>
      <c r="Q586" s="203">
        <f t="shared" si="1081"/>
        <v>15847912.030061884</v>
      </c>
      <c r="R586" s="203">
        <f t="shared" si="1081"/>
        <v>15768672.469911573</v>
      </c>
      <c r="S586" s="203">
        <f t="shared" si="1081"/>
        <v>15689829.107562015</v>
      </c>
      <c r="T586" s="203">
        <f t="shared" si="1081"/>
        <v>15611379.962024204</v>
      </c>
      <c r="U586" s="203">
        <f t="shared" si="1081"/>
        <v>15533323.062214084</v>
      </c>
      <c r="V586" s="203">
        <f t="shared" si="1081"/>
        <v>15455656.446903013</v>
      </c>
      <c r="W586" s="203">
        <f t="shared" si="1081"/>
        <v>15378378.164668497</v>
      </c>
      <c r="X586" s="203">
        <f t="shared" si="1081"/>
        <v>15301486.273845155</v>
      </c>
      <c r="Y586" s="203">
        <f t="shared" si="1081"/>
        <v>15224978.842475928</v>
      </c>
      <c r="Z586" s="203">
        <f t="shared" si="1081"/>
        <v>15148853.948263548</v>
      </c>
      <c r="AA586" s="203">
        <f t="shared" si="1081"/>
        <v>15073109.678522231</v>
      </c>
      <c r="AB586" s="203">
        <f t="shared" si="1081"/>
        <v>14997744.13012962</v>
      </c>
      <c r="AC586" s="203">
        <f t="shared" si="1081"/>
        <v>14922755.409478972</v>
      </c>
      <c r="AD586" s="203">
        <f t="shared" si="1081"/>
        <v>14848141.632431576</v>
      </c>
      <c r="AE586" s="203">
        <f t="shared" si="1081"/>
        <v>14773900.924269417</v>
      </c>
      <c r="AF586" s="203">
        <f t="shared" si="1081"/>
        <v>14700031.41964807</v>
      </c>
      <c r="AG586" s="203">
        <f t="shared" si="1081"/>
        <v>0</v>
      </c>
      <c r="AH586" s="203">
        <f t="shared" si="1081"/>
        <v>0</v>
      </c>
      <c r="AI586" s="203">
        <f t="shared" si="1081"/>
        <v>0</v>
      </c>
      <c r="AJ586" s="203">
        <f t="shared" si="1081"/>
        <v>0</v>
      </c>
      <c r="AK586" s="203">
        <f t="shared" si="1081"/>
        <v>0</v>
      </c>
      <c r="AL586" s="203">
        <f t="shared" si="1081"/>
        <v>0</v>
      </c>
      <c r="AM586" s="203">
        <f t="shared" si="1081"/>
        <v>0</v>
      </c>
      <c r="AN586" s="203">
        <f t="shared" si="1081"/>
        <v>0</v>
      </c>
      <c r="AO586" s="203">
        <f t="shared" si="1081"/>
        <v>0</v>
      </c>
      <c r="AP586" s="203">
        <f t="shared" si="1081"/>
        <v>0</v>
      </c>
    </row>
    <row r="587" spans="1:42">
      <c r="A587" s="184" t="s">
        <v>53</v>
      </c>
      <c r="C587" s="198">
        <f>C585*C586</f>
        <v>0</v>
      </c>
      <c r="D587" s="198">
        <f t="shared" ref="D587" si="1082">D585*D586</f>
        <v>0</v>
      </c>
      <c r="E587" s="198">
        <f t="shared" ref="E587" si="1083">E585*E586</f>
        <v>0</v>
      </c>
      <c r="F587" s="198">
        <f t="shared" ref="F587" si="1084">F585*F586</f>
        <v>0</v>
      </c>
      <c r="G587" s="198">
        <f t="shared" ref="G587" si="1085">G585*G586</f>
        <v>0</v>
      </c>
      <c r="H587" s="198">
        <f t="shared" ref="H587" si="1086">H585*H586</f>
        <v>0</v>
      </c>
      <c r="I587" s="198">
        <f t="shared" ref="I587" si="1087">I585*I586</f>
        <v>0</v>
      </c>
      <c r="J587" s="198">
        <f t="shared" ref="J587" si="1088">J585*J586</f>
        <v>0</v>
      </c>
      <c r="K587" s="198">
        <f t="shared" ref="K587" si="1089">K585*K586</f>
        <v>0</v>
      </c>
      <c r="L587" s="198">
        <f t="shared" ref="L587" si="1090">L585*L586</f>
        <v>0</v>
      </c>
      <c r="M587" s="198">
        <f t="shared" ref="M587" si="1091">M585*M586</f>
        <v>0</v>
      </c>
      <c r="N587" s="198">
        <f t="shared" ref="N587" si="1092">N585*N586</f>
        <v>0</v>
      </c>
      <c r="O587" s="198">
        <f t="shared" ref="O587" si="1093">O585*O586</f>
        <v>0</v>
      </c>
      <c r="P587" s="198">
        <f t="shared" ref="P587" si="1094">P585*P586</f>
        <v>0</v>
      </c>
      <c r="Q587" s="198">
        <f t="shared" ref="Q587" si="1095">Q585*Q586</f>
        <v>0</v>
      </c>
      <c r="R587" s="198">
        <f t="shared" ref="R587" si="1096">R585*R586</f>
        <v>0</v>
      </c>
      <c r="S587" s="198">
        <f t="shared" ref="S587" si="1097">S585*S586</f>
        <v>0</v>
      </c>
      <c r="T587" s="198">
        <f t="shared" ref="T587" si="1098">T585*T586</f>
        <v>0</v>
      </c>
      <c r="U587" s="198">
        <f t="shared" ref="U587" si="1099">U585*U586</f>
        <v>0</v>
      </c>
      <c r="V587" s="198">
        <f t="shared" ref="V587" si="1100">V585*V586</f>
        <v>0</v>
      </c>
      <c r="W587" s="198">
        <f t="shared" ref="W587" si="1101">W585*W586</f>
        <v>0</v>
      </c>
      <c r="X587" s="198">
        <f t="shared" ref="X587" si="1102">X585*X586</f>
        <v>0</v>
      </c>
      <c r="Y587" s="198">
        <f t="shared" ref="Y587" si="1103">Y585*Y586</f>
        <v>0</v>
      </c>
      <c r="Z587" s="198">
        <f t="shared" ref="Z587" si="1104">Z585*Z586</f>
        <v>0</v>
      </c>
      <c r="AA587" s="198">
        <f t="shared" ref="AA587" si="1105">AA585*AA586</f>
        <v>0</v>
      </c>
      <c r="AB587" s="198">
        <f t="shared" ref="AB587" si="1106">AB585*AB586</f>
        <v>0</v>
      </c>
      <c r="AC587" s="198">
        <f t="shared" ref="AC587" si="1107">AC585*AC586</f>
        <v>0</v>
      </c>
      <c r="AD587" s="198">
        <f t="shared" ref="AD587" si="1108">AD585*AD586</f>
        <v>0</v>
      </c>
      <c r="AE587" s="198">
        <f t="shared" ref="AE587" si="1109">AE585*AE586</f>
        <v>0</v>
      </c>
      <c r="AF587" s="198">
        <f t="shared" ref="AF587" si="1110">AF585*AF586</f>
        <v>0</v>
      </c>
      <c r="AG587" s="198">
        <f t="shared" ref="AG587" si="1111">AG585*AG586</f>
        <v>0</v>
      </c>
      <c r="AH587" s="198">
        <f t="shared" ref="AH587" si="1112">AH585*AH586</f>
        <v>0</v>
      </c>
      <c r="AI587" s="198">
        <f t="shared" ref="AI587" si="1113">AI585*AI586</f>
        <v>0</v>
      </c>
      <c r="AJ587" s="198">
        <f t="shared" ref="AJ587" si="1114">AJ585*AJ586</f>
        <v>0</v>
      </c>
      <c r="AK587" s="198">
        <f t="shared" ref="AK587" si="1115">AK585*AK586</f>
        <v>0</v>
      </c>
      <c r="AL587" s="198">
        <f t="shared" ref="AL587" si="1116">AL585*AL586</f>
        <v>0</v>
      </c>
      <c r="AM587" s="198">
        <f t="shared" ref="AM587" si="1117">AM585*AM586</f>
        <v>0</v>
      </c>
      <c r="AN587" s="198">
        <f t="shared" ref="AN587" si="1118">AN585*AN586</f>
        <v>0</v>
      </c>
      <c r="AO587" s="198">
        <f t="shared" ref="AO587" si="1119">AO585*AO586</f>
        <v>0</v>
      </c>
      <c r="AP587" s="198">
        <f t="shared" ref="AP587" si="1120">AP585*AP586</f>
        <v>0</v>
      </c>
    </row>
    <row r="588" spans="1:42">
      <c r="A588" s="180" t="str">
        <f>'Inputs &amp; Results'!A69</f>
        <v>Utility</v>
      </c>
    </row>
    <row r="589" spans="1:42">
      <c r="A589" s="184" t="s">
        <v>126</v>
      </c>
      <c r="C589" s="232">
        <f t="shared" ref="C589:AP589" si="1121">IF(AND(C$2&lt;=PBIUtilityTerm,C$2&lt;=AnalysisPeriod),PBIUtility*(1+PBIUtilityEsc)^B$2,0)</f>
        <v>0</v>
      </c>
      <c r="D589" s="232">
        <f t="shared" si="1121"/>
        <v>0</v>
      </c>
      <c r="E589" s="232">
        <f t="shared" si="1121"/>
        <v>0</v>
      </c>
      <c r="F589" s="232">
        <f t="shared" si="1121"/>
        <v>0</v>
      </c>
      <c r="G589" s="232">
        <f t="shared" si="1121"/>
        <v>0</v>
      </c>
      <c r="H589" s="232">
        <f t="shared" si="1121"/>
        <v>0</v>
      </c>
      <c r="I589" s="232">
        <f t="shared" si="1121"/>
        <v>0</v>
      </c>
      <c r="J589" s="232">
        <f t="shared" si="1121"/>
        <v>0</v>
      </c>
      <c r="K589" s="232">
        <f t="shared" si="1121"/>
        <v>0</v>
      </c>
      <c r="L589" s="232">
        <f t="shared" si="1121"/>
        <v>0</v>
      </c>
      <c r="M589" s="232">
        <f t="shared" si="1121"/>
        <v>0</v>
      </c>
      <c r="N589" s="232">
        <f t="shared" si="1121"/>
        <v>0</v>
      </c>
      <c r="O589" s="232">
        <f t="shared" si="1121"/>
        <v>0</v>
      </c>
      <c r="P589" s="232">
        <f t="shared" si="1121"/>
        <v>0</v>
      </c>
      <c r="Q589" s="232">
        <f t="shared" si="1121"/>
        <v>0</v>
      </c>
      <c r="R589" s="232">
        <f t="shared" si="1121"/>
        <v>0</v>
      </c>
      <c r="S589" s="232">
        <f t="shared" si="1121"/>
        <v>0</v>
      </c>
      <c r="T589" s="232">
        <f t="shared" si="1121"/>
        <v>0</v>
      </c>
      <c r="U589" s="232">
        <f t="shared" si="1121"/>
        <v>0</v>
      </c>
      <c r="V589" s="232">
        <f t="shared" si="1121"/>
        <v>0</v>
      </c>
      <c r="W589" s="232">
        <f t="shared" si="1121"/>
        <v>0</v>
      </c>
      <c r="X589" s="232">
        <f t="shared" si="1121"/>
        <v>0</v>
      </c>
      <c r="Y589" s="232">
        <f t="shared" si="1121"/>
        <v>0</v>
      </c>
      <c r="Z589" s="232">
        <f t="shared" si="1121"/>
        <v>0</v>
      </c>
      <c r="AA589" s="232">
        <f t="shared" si="1121"/>
        <v>0</v>
      </c>
      <c r="AB589" s="232">
        <f t="shared" si="1121"/>
        <v>0</v>
      </c>
      <c r="AC589" s="232">
        <f t="shared" si="1121"/>
        <v>0</v>
      </c>
      <c r="AD589" s="232">
        <f t="shared" si="1121"/>
        <v>0</v>
      </c>
      <c r="AE589" s="232">
        <f t="shared" si="1121"/>
        <v>0</v>
      </c>
      <c r="AF589" s="232">
        <f t="shared" si="1121"/>
        <v>0</v>
      </c>
      <c r="AG589" s="232">
        <f t="shared" si="1121"/>
        <v>0</v>
      </c>
      <c r="AH589" s="232">
        <f t="shared" si="1121"/>
        <v>0</v>
      </c>
      <c r="AI589" s="232">
        <f t="shared" si="1121"/>
        <v>0</v>
      </c>
      <c r="AJ589" s="232">
        <f t="shared" si="1121"/>
        <v>0</v>
      </c>
      <c r="AK589" s="232">
        <f t="shared" si="1121"/>
        <v>0</v>
      </c>
      <c r="AL589" s="232">
        <f t="shared" si="1121"/>
        <v>0</v>
      </c>
      <c r="AM589" s="232">
        <f t="shared" si="1121"/>
        <v>0</v>
      </c>
      <c r="AN589" s="232">
        <f t="shared" si="1121"/>
        <v>0</v>
      </c>
      <c r="AO589" s="232">
        <f t="shared" si="1121"/>
        <v>0</v>
      </c>
      <c r="AP589" s="232">
        <f t="shared" si="1121"/>
        <v>0</v>
      </c>
    </row>
    <row r="590" spans="1:42">
      <c r="A590" s="184" t="s">
        <v>127</v>
      </c>
      <c r="C590" s="203">
        <f>C$5</f>
        <v>17000000</v>
      </c>
      <c r="D590" s="203">
        <f t="shared" ref="D590:AP590" si="1122">D$5</f>
        <v>16915000</v>
      </c>
      <c r="E590" s="203">
        <f t="shared" si="1122"/>
        <v>16830425</v>
      </c>
      <c r="F590" s="203">
        <f t="shared" si="1122"/>
        <v>16746272.875</v>
      </c>
      <c r="G590" s="203">
        <f t="shared" si="1122"/>
        <v>16662541.510624999</v>
      </c>
      <c r="H590" s="203">
        <f t="shared" si="1122"/>
        <v>16579228.803071873</v>
      </c>
      <c r="I590" s="203">
        <f t="shared" si="1122"/>
        <v>16496332.659056515</v>
      </c>
      <c r="J590" s="203">
        <f t="shared" si="1122"/>
        <v>16413850.995761232</v>
      </c>
      <c r="K590" s="203">
        <f t="shared" si="1122"/>
        <v>16331781.740782427</v>
      </c>
      <c r="L590" s="203">
        <f t="shared" si="1122"/>
        <v>16250122.832078515</v>
      </c>
      <c r="M590" s="203">
        <f t="shared" si="1122"/>
        <v>16168872.217918122</v>
      </c>
      <c r="N590" s="203">
        <f t="shared" si="1122"/>
        <v>16088027.856828531</v>
      </c>
      <c r="O590" s="203">
        <f t="shared" si="1122"/>
        <v>16007587.717544388</v>
      </c>
      <c r="P590" s="203">
        <f t="shared" si="1122"/>
        <v>15927549.778956667</v>
      </c>
      <c r="Q590" s="203">
        <f t="shared" si="1122"/>
        <v>15847912.030061884</v>
      </c>
      <c r="R590" s="203">
        <f t="shared" si="1122"/>
        <v>15768672.469911573</v>
      </c>
      <c r="S590" s="203">
        <f t="shared" si="1122"/>
        <v>15689829.107562015</v>
      </c>
      <c r="T590" s="203">
        <f t="shared" si="1122"/>
        <v>15611379.962024204</v>
      </c>
      <c r="U590" s="203">
        <f t="shared" si="1122"/>
        <v>15533323.062214084</v>
      </c>
      <c r="V590" s="203">
        <f t="shared" si="1122"/>
        <v>15455656.446903013</v>
      </c>
      <c r="W590" s="203">
        <f t="shared" si="1122"/>
        <v>15378378.164668497</v>
      </c>
      <c r="X590" s="203">
        <f t="shared" si="1122"/>
        <v>15301486.273845155</v>
      </c>
      <c r="Y590" s="203">
        <f t="shared" si="1122"/>
        <v>15224978.842475928</v>
      </c>
      <c r="Z590" s="203">
        <f t="shared" si="1122"/>
        <v>15148853.948263548</v>
      </c>
      <c r="AA590" s="203">
        <f t="shared" si="1122"/>
        <v>15073109.678522231</v>
      </c>
      <c r="AB590" s="203">
        <f t="shared" si="1122"/>
        <v>14997744.13012962</v>
      </c>
      <c r="AC590" s="203">
        <f t="shared" si="1122"/>
        <v>14922755.409478972</v>
      </c>
      <c r="AD590" s="203">
        <f t="shared" si="1122"/>
        <v>14848141.632431576</v>
      </c>
      <c r="AE590" s="203">
        <f t="shared" si="1122"/>
        <v>14773900.924269417</v>
      </c>
      <c r="AF590" s="203">
        <f t="shared" si="1122"/>
        <v>14700031.41964807</v>
      </c>
      <c r="AG590" s="203">
        <f t="shared" si="1122"/>
        <v>0</v>
      </c>
      <c r="AH590" s="203">
        <f t="shared" si="1122"/>
        <v>0</v>
      </c>
      <c r="AI590" s="203">
        <f t="shared" si="1122"/>
        <v>0</v>
      </c>
      <c r="AJ590" s="203">
        <f t="shared" si="1122"/>
        <v>0</v>
      </c>
      <c r="AK590" s="203">
        <f t="shared" si="1122"/>
        <v>0</v>
      </c>
      <c r="AL590" s="203">
        <f t="shared" si="1122"/>
        <v>0</v>
      </c>
      <c r="AM590" s="203">
        <f t="shared" si="1122"/>
        <v>0</v>
      </c>
      <c r="AN590" s="203">
        <f t="shared" si="1122"/>
        <v>0</v>
      </c>
      <c r="AO590" s="203">
        <f t="shared" si="1122"/>
        <v>0</v>
      </c>
      <c r="AP590" s="203">
        <f t="shared" si="1122"/>
        <v>0</v>
      </c>
    </row>
    <row r="591" spans="1:42">
      <c r="A591" s="184" t="s">
        <v>53</v>
      </c>
      <c r="C591" s="198">
        <f>C589*C590</f>
        <v>0</v>
      </c>
      <c r="D591" s="198">
        <f t="shared" ref="D591" si="1123">D589*D590</f>
        <v>0</v>
      </c>
      <c r="E591" s="198">
        <f t="shared" ref="E591" si="1124">E589*E590</f>
        <v>0</v>
      </c>
      <c r="F591" s="198">
        <f t="shared" ref="F591" si="1125">F589*F590</f>
        <v>0</v>
      </c>
      <c r="G591" s="198">
        <f t="shared" ref="G591" si="1126">G589*G590</f>
        <v>0</v>
      </c>
      <c r="H591" s="198">
        <f t="shared" ref="H591" si="1127">H589*H590</f>
        <v>0</v>
      </c>
      <c r="I591" s="198">
        <f t="shared" ref="I591" si="1128">I589*I590</f>
        <v>0</v>
      </c>
      <c r="J591" s="198">
        <f t="shared" ref="J591" si="1129">J589*J590</f>
        <v>0</v>
      </c>
      <c r="K591" s="198">
        <f t="shared" ref="K591" si="1130">K589*K590</f>
        <v>0</v>
      </c>
      <c r="L591" s="198">
        <f t="shared" ref="L591" si="1131">L589*L590</f>
        <v>0</v>
      </c>
      <c r="M591" s="198">
        <f t="shared" ref="M591" si="1132">M589*M590</f>
        <v>0</v>
      </c>
      <c r="N591" s="198">
        <f t="shared" ref="N591" si="1133">N589*N590</f>
        <v>0</v>
      </c>
      <c r="O591" s="198">
        <f t="shared" ref="O591" si="1134">O589*O590</f>
        <v>0</v>
      </c>
      <c r="P591" s="198">
        <f t="shared" ref="P591" si="1135">P589*P590</f>
        <v>0</v>
      </c>
      <c r="Q591" s="198">
        <f t="shared" ref="Q591" si="1136">Q589*Q590</f>
        <v>0</v>
      </c>
      <c r="R591" s="198">
        <f t="shared" ref="R591" si="1137">R589*R590</f>
        <v>0</v>
      </c>
      <c r="S591" s="198">
        <f t="shared" ref="S591" si="1138">S589*S590</f>
        <v>0</v>
      </c>
      <c r="T591" s="198">
        <f t="shared" ref="T591" si="1139">T589*T590</f>
        <v>0</v>
      </c>
      <c r="U591" s="198">
        <f t="shared" ref="U591" si="1140">U589*U590</f>
        <v>0</v>
      </c>
      <c r="V591" s="198">
        <f t="shared" ref="V591" si="1141">V589*V590</f>
        <v>0</v>
      </c>
      <c r="W591" s="198">
        <f t="shared" ref="W591" si="1142">W589*W590</f>
        <v>0</v>
      </c>
      <c r="X591" s="198">
        <f t="shared" ref="X591" si="1143">X589*X590</f>
        <v>0</v>
      </c>
      <c r="Y591" s="198">
        <f t="shared" ref="Y591" si="1144">Y589*Y590</f>
        <v>0</v>
      </c>
      <c r="Z591" s="198">
        <f t="shared" ref="Z591" si="1145">Z589*Z590</f>
        <v>0</v>
      </c>
      <c r="AA591" s="198">
        <f t="shared" ref="AA591" si="1146">AA589*AA590</f>
        <v>0</v>
      </c>
      <c r="AB591" s="198">
        <f t="shared" ref="AB591" si="1147">AB589*AB590</f>
        <v>0</v>
      </c>
      <c r="AC591" s="198">
        <f t="shared" ref="AC591" si="1148">AC589*AC590</f>
        <v>0</v>
      </c>
      <c r="AD591" s="198">
        <f t="shared" ref="AD591" si="1149">AD589*AD590</f>
        <v>0</v>
      </c>
      <c r="AE591" s="198">
        <f t="shared" ref="AE591" si="1150">AE589*AE590</f>
        <v>0</v>
      </c>
      <c r="AF591" s="198">
        <f t="shared" ref="AF591" si="1151">AF589*AF590</f>
        <v>0</v>
      </c>
      <c r="AG591" s="198">
        <f t="shared" ref="AG591" si="1152">AG589*AG590</f>
        <v>0</v>
      </c>
      <c r="AH591" s="198">
        <f t="shared" ref="AH591" si="1153">AH589*AH590</f>
        <v>0</v>
      </c>
      <c r="AI591" s="198">
        <f t="shared" ref="AI591" si="1154">AI589*AI590</f>
        <v>0</v>
      </c>
      <c r="AJ591" s="198">
        <f t="shared" ref="AJ591" si="1155">AJ589*AJ590</f>
        <v>0</v>
      </c>
      <c r="AK591" s="198">
        <f t="shared" ref="AK591" si="1156">AK589*AK590</f>
        <v>0</v>
      </c>
      <c r="AL591" s="198">
        <f t="shared" ref="AL591" si="1157">AL589*AL590</f>
        <v>0</v>
      </c>
      <c r="AM591" s="198">
        <f t="shared" ref="AM591" si="1158">AM589*AM590</f>
        <v>0</v>
      </c>
      <c r="AN591" s="198">
        <f t="shared" ref="AN591" si="1159">AN589*AN590</f>
        <v>0</v>
      </c>
      <c r="AO591" s="198">
        <f t="shared" ref="AO591" si="1160">AO589*AO590</f>
        <v>0</v>
      </c>
      <c r="AP591" s="198">
        <f t="shared" ref="AP591" si="1161">AP589*AP590</f>
        <v>0</v>
      </c>
    </row>
    <row r="592" spans="1:42">
      <c r="A592" s="180" t="str">
        <f>'Inputs &amp; Results'!A70</f>
        <v>Other</v>
      </c>
    </row>
    <row r="593" spans="1:42">
      <c r="A593" s="184" t="s">
        <v>126</v>
      </c>
      <c r="C593" s="234">
        <f t="shared" ref="C593:AP593" si="1162">IF(AND(C$2&lt;=PBIOtherTerm,C$2&lt;=AnalysisPeriod),PBIOther*(1+PBIOtherEsc)^B$2,0)</f>
        <v>0</v>
      </c>
      <c r="D593" s="234">
        <f t="shared" si="1162"/>
        <v>0</v>
      </c>
      <c r="E593" s="234">
        <f t="shared" si="1162"/>
        <v>0</v>
      </c>
      <c r="F593" s="234">
        <f t="shared" si="1162"/>
        <v>0</v>
      </c>
      <c r="G593" s="234">
        <f t="shared" si="1162"/>
        <v>0</v>
      </c>
      <c r="H593" s="234">
        <f t="shared" si="1162"/>
        <v>0</v>
      </c>
      <c r="I593" s="234">
        <f t="shared" si="1162"/>
        <v>0</v>
      </c>
      <c r="J593" s="234">
        <f t="shared" si="1162"/>
        <v>0</v>
      </c>
      <c r="K593" s="234">
        <f t="shared" si="1162"/>
        <v>0</v>
      </c>
      <c r="L593" s="234">
        <f t="shared" si="1162"/>
        <v>0</v>
      </c>
      <c r="M593" s="234">
        <f t="shared" si="1162"/>
        <v>0</v>
      </c>
      <c r="N593" s="234">
        <f t="shared" si="1162"/>
        <v>0</v>
      </c>
      <c r="O593" s="234">
        <f t="shared" si="1162"/>
        <v>0</v>
      </c>
      <c r="P593" s="234">
        <f t="shared" si="1162"/>
        <v>0</v>
      </c>
      <c r="Q593" s="234">
        <f t="shared" si="1162"/>
        <v>0</v>
      </c>
      <c r="R593" s="234">
        <f t="shared" si="1162"/>
        <v>0</v>
      </c>
      <c r="S593" s="234">
        <f t="shared" si="1162"/>
        <v>0</v>
      </c>
      <c r="T593" s="234">
        <f t="shared" si="1162"/>
        <v>0</v>
      </c>
      <c r="U593" s="234">
        <f t="shared" si="1162"/>
        <v>0</v>
      </c>
      <c r="V593" s="234">
        <f t="shared" si="1162"/>
        <v>0</v>
      </c>
      <c r="W593" s="234">
        <f t="shared" si="1162"/>
        <v>0</v>
      </c>
      <c r="X593" s="234">
        <f t="shared" si="1162"/>
        <v>0</v>
      </c>
      <c r="Y593" s="234">
        <f t="shared" si="1162"/>
        <v>0</v>
      </c>
      <c r="Z593" s="234">
        <f t="shared" si="1162"/>
        <v>0</v>
      </c>
      <c r="AA593" s="234">
        <f t="shared" si="1162"/>
        <v>0</v>
      </c>
      <c r="AB593" s="234">
        <f t="shared" si="1162"/>
        <v>0</v>
      </c>
      <c r="AC593" s="234">
        <f t="shared" si="1162"/>
        <v>0</v>
      </c>
      <c r="AD593" s="234">
        <f t="shared" si="1162"/>
        <v>0</v>
      </c>
      <c r="AE593" s="234">
        <f t="shared" si="1162"/>
        <v>0</v>
      </c>
      <c r="AF593" s="234">
        <f t="shared" si="1162"/>
        <v>0</v>
      </c>
      <c r="AG593" s="234">
        <f t="shared" si="1162"/>
        <v>0</v>
      </c>
      <c r="AH593" s="234">
        <f t="shared" si="1162"/>
        <v>0</v>
      </c>
      <c r="AI593" s="234">
        <f t="shared" si="1162"/>
        <v>0</v>
      </c>
      <c r="AJ593" s="234">
        <f t="shared" si="1162"/>
        <v>0</v>
      </c>
      <c r="AK593" s="234">
        <f t="shared" si="1162"/>
        <v>0</v>
      </c>
      <c r="AL593" s="234">
        <f t="shared" si="1162"/>
        <v>0</v>
      </c>
      <c r="AM593" s="234">
        <f t="shared" si="1162"/>
        <v>0</v>
      </c>
      <c r="AN593" s="234">
        <f t="shared" si="1162"/>
        <v>0</v>
      </c>
      <c r="AO593" s="234">
        <f t="shared" si="1162"/>
        <v>0</v>
      </c>
      <c r="AP593" s="234">
        <f t="shared" si="1162"/>
        <v>0</v>
      </c>
    </row>
    <row r="594" spans="1:42">
      <c r="A594" s="184" t="s">
        <v>127</v>
      </c>
      <c r="C594" s="203">
        <f>C$5</f>
        <v>17000000</v>
      </c>
      <c r="D594" s="203">
        <f t="shared" ref="D594:AP594" si="1163">D$5</f>
        <v>16915000</v>
      </c>
      <c r="E594" s="203">
        <f t="shared" si="1163"/>
        <v>16830425</v>
      </c>
      <c r="F594" s="203">
        <f t="shared" si="1163"/>
        <v>16746272.875</v>
      </c>
      <c r="G594" s="203">
        <f t="shared" si="1163"/>
        <v>16662541.510624999</v>
      </c>
      <c r="H594" s="203">
        <f t="shared" si="1163"/>
        <v>16579228.803071873</v>
      </c>
      <c r="I594" s="203">
        <f t="shared" si="1163"/>
        <v>16496332.659056515</v>
      </c>
      <c r="J594" s="203">
        <f t="shared" si="1163"/>
        <v>16413850.995761232</v>
      </c>
      <c r="K594" s="203">
        <f t="shared" si="1163"/>
        <v>16331781.740782427</v>
      </c>
      <c r="L594" s="203">
        <f t="shared" si="1163"/>
        <v>16250122.832078515</v>
      </c>
      <c r="M594" s="203">
        <f t="shared" si="1163"/>
        <v>16168872.217918122</v>
      </c>
      <c r="N594" s="203">
        <f t="shared" si="1163"/>
        <v>16088027.856828531</v>
      </c>
      <c r="O594" s="203">
        <f t="shared" si="1163"/>
        <v>16007587.717544388</v>
      </c>
      <c r="P594" s="203">
        <f t="shared" si="1163"/>
        <v>15927549.778956667</v>
      </c>
      <c r="Q594" s="203">
        <f t="shared" si="1163"/>
        <v>15847912.030061884</v>
      </c>
      <c r="R594" s="203">
        <f t="shared" si="1163"/>
        <v>15768672.469911573</v>
      </c>
      <c r="S594" s="203">
        <f t="shared" si="1163"/>
        <v>15689829.107562015</v>
      </c>
      <c r="T594" s="203">
        <f t="shared" si="1163"/>
        <v>15611379.962024204</v>
      </c>
      <c r="U594" s="203">
        <f t="shared" si="1163"/>
        <v>15533323.062214084</v>
      </c>
      <c r="V594" s="203">
        <f t="shared" si="1163"/>
        <v>15455656.446903013</v>
      </c>
      <c r="W594" s="203">
        <f t="shared" si="1163"/>
        <v>15378378.164668497</v>
      </c>
      <c r="X594" s="203">
        <f t="shared" si="1163"/>
        <v>15301486.273845155</v>
      </c>
      <c r="Y594" s="203">
        <f t="shared" si="1163"/>
        <v>15224978.842475928</v>
      </c>
      <c r="Z594" s="203">
        <f t="shared" si="1163"/>
        <v>15148853.948263548</v>
      </c>
      <c r="AA594" s="203">
        <f t="shared" si="1163"/>
        <v>15073109.678522231</v>
      </c>
      <c r="AB594" s="203">
        <f t="shared" si="1163"/>
        <v>14997744.13012962</v>
      </c>
      <c r="AC594" s="203">
        <f t="shared" si="1163"/>
        <v>14922755.409478972</v>
      </c>
      <c r="AD594" s="203">
        <f t="shared" si="1163"/>
        <v>14848141.632431576</v>
      </c>
      <c r="AE594" s="203">
        <f t="shared" si="1163"/>
        <v>14773900.924269417</v>
      </c>
      <c r="AF594" s="203">
        <f t="shared" si="1163"/>
        <v>14700031.41964807</v>
      </c>
      <c r="AG594" s="203">
        <f t="shared" si="1163"/>
        <v>0</v>
      </c>
      <c r="AH594" s="203">
        <f t="shared" si="1163"/>
        <v>0</v>
      </c>
      <c r="AI594" s="203">
        <f t="shared" si="1163"/>
        <v>0</v>
      </c>
      <c r="AJ594" s="203">
        <f t="shared" si="1163"/>
        <v>0</v>
      </c>
      <c r="AK594" s="203">
        <f t="shared" si="1163"/>
        <v>0</v>
      </c>
      <c r="AL594" s="203">
        <f t="shared" si="1163"/>
        <v>0</v>
      </c>
      <c r="AM594" s="203">
        <f t="shared" si="1163"/>
        <v>0</v>
      </c>
      <c r="AN594" s="203">
        <f t="shared" si="1163"/>
        <v>0</v>
      </c>
      <c r="AO594" s="203">
        <f t="shared" si="1163"/>
        <v>0</v>
      </c>
      <c r="AP594" s="203">
        <f t="shared" si="1163"/>
        <v>0</v>
      </c>
    </row>
    <row r="595" spans="1:42">
      <c r="A595" s="184" t="s">
        <v>53</v>
      </c>
      <c r="C595" s="198">
        <f>C593*C594</f>
        <v>0</v>
      </c>
      <c r="D595" s="198">
        <f t="shared" ref="D595" si="1164">D593*D594</f>
        <v>0</v>
      </c>
      <c r="E595" s="198">
        <f t="shared" ref="E595" si="1165">E593*E594</f>
        <v>0</v>
      </c>
      <c r="F595" s="198">
        <f t="shared" ref="F595" si="1166">F593*F594</f>
        <v>0</v>
      </c>
      <c r="G595" s="198">
        <f t="shared" ref="G595" si="1167">G593*G594</f>
        <v>0</v>
      </c>
      <c r="H595" s="198">
        <f t="shared" ref="H595" si="1168">H593*H594</f>
        <v>0</v>
      </c>
      <c r="I595" s="198">
        <f t="shared" ref="I595" si="1169">I593*I594</f>
        <v>0</v>
      </c>
      <c r="J595" s="198">
        <f t="shared" ref="J595" si="1170">J593*J594</f>
        <v>0</v>
      </c>
      <c r="K595" s="198">
        <f t="shared" ref="K595" si="1171">K593*K594</f>
        <v>0</v>
      </c>
      <c r="L595" s="198">
        <f t="shared" ref="L595" si="1172">L593*L594</f>
        <v>0</v>
      </c>
      <c r="M595" s="198">
        <f t="shared" ref="M595" si="1173">M593*M594</f>
        <v>0</v>
      </c>
      <c r="N595" s="198">
        <f t="shared" ref="N595" si="1174">N593*N594</f>
        <v>0</v>
      </c>
      <c r="O595" s="198">
        <f t="shared" ref="O595" si="1175">O593*O594</f>
        <v>0</v>
      </c>
      <c r="P595" s="198">
        <f t="shared" ref="P595" si="1176">P593*P594</f>
        <v>0</v>
      </c>
      <c r="Q595" s="198">
        <f t="shared" ref="Q595" si="1177">Q593*Q594</f>
        <v>0</v>
      </c>
      <c r="R595" s="198">
        <f t="shared" ref="R595" si="1178">R593*R594</f>
        <v>0</v>
      </c>
      <c r="S595" s="198">
        <f t="shared" ref="S595" si="1179">S593*S594</f>
        <v>0</v>
      </c>
      <c r="T595" s="198">
        <f t="shared" ref="T595" si="1180">T593*T594</f>
        <v>0</v>
      </c>
      <c r="U595" s="198">
        <f t="shared" ref="U595" si="1181">U593*U594</f>
        <v>0</v>
      </c>
      <c r="V595" s="198">
        <f t="shared" ref="V595" si="1182">V593*V594</f>
        <v>0</v>
      </c>
      <c r="W595" s="198">
        <f t="shared" ref="W595" si="1183">W593*W594</f>
        <v>0</v>
      </c>
      <c r="X595" s="198">
        <f t="shared" ref="X595" si="1184">X593*X594</f>
        <v>0</v>
      </c>
      <c r="Y595" s="198">
        <f t="shared" ref="Y595" si="1185">Y593*Y594</f>
        <v>0</v>
      </c>
      <c r="Z595" s="198">
        <f t="shared" ref="Z595" si="1186">Z593*Z594</f>
        <v>0</v>
      </c>
      <c r="AA595" s="198">
        <f t="shared" ref="AA595" si="1187">AA593*AA594</f>
        <v>0</v>
      </c>
      <c r="AB595" s="198">
        <f t="shared" ref="AB595" si="1188">AB593*AB594</f>
        <v>0</v>
      </c>
      <c r="AC595" s="198">
        <f t="shared" ref="AC595" si="1189">AC593*AC594</f>
        <v>0</v>
      </c>
      <c r="AD595" s="198">
        <f t="shared" ref="AD595" si="1190">AD593*AD594</f>
        <v>0</v>
      </c>
      <c r="AE595" s="198">
        <f t="shared" ref="AE595" si="1191">AE593*AE594</f>
        <v>0</v>
      </c>
      <c r="AF595" s="198">
        <f t="shared" ref="AF595" si="1192">AF593*AF594</f>
        <v>0</v>
      </c>
      <c r="AG595" s="198">
        <f t="shared" ref="AG595" si="1193">AG593*AG594</f>
        <v>0</v>
      </c>
      <c r="AH595" s="198">
        <f t="shared" ref="AH595" si="1194">AH593*AH594</f>
        <v>0</v>
      </c>
      <c r="AI595" s="198">
        <f t="shared" ref="AI595" si="1195">AI593*AI594</f>
        <v>0</v>
      </c>
      <c r="AJ595" s="198">
        <f t="shared" ref="AJ595" si="1196">AJ593*AJ594</f>
        <v>0</v>
      </c>
      <c r="AK595" s="198">
        <f t="shared" ref="AK595" si="1197">AK593*AK594</f>
        <v>0</v>
      </c>
      <c r="AL595" s="198">
        <f t="shared" ref="AL595" si="1198">AL593*AL594</f>
        <v>0</v>
      </c>
      <c r="AM595" s="198">
        <f t="shared" ref="AM595" si="1199">AM593*AM594</f>
        <v>0</v>
      </c>
      <c r="AN595" s="198">
        <f t="shared" ref="AN595" si="1200">AN593*AN594</f>
        <v>0</v>
      </c>
      <c r="AO595" s="198">
        <f t="shared" ref="AO595" si="1201">AO593*AO594</f>
        <v>0</v>
      </c>
      <c r="AP595" s="198">
        <f t="shared" ref="AP595" si="1202">AP593*AP594</f>
        <v>0</v>
      </c>
    </row>
    <row r="596" spans="1:42">
      <c r="C596" s="186"/>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37" t="s">
        <v>53</v>
      </c>
      <c r="C597" s="194">
        <f>C583+C587+C591+C595</f>
        <v>0</v>
      </c>
      <c r="D597" s="194">
        <f t="shared" ref="D597:AP597" si="1203">D583+D587+D591+D595</f>
        <v>0</v>
      </c>
      <c r="E597" s="194">
        <f t="shared" si="1203"/>
        <v>0</v>
      </c>
      <c r="F597" s="194">
        <f t="shared" si="1203"/>
        <v>0</v>
      </c>
      <c r="G597" s="194">
        <f t="shared" si="1203"/>
        <v>0</v>
      </c>
      <c r="H597" s="194">
        <f t="shared" si="1203"/>
        <v>0</v>
      </c>
      <c r="I597" s="194">
        <f t="shared" si="1203"/>
        <v>0</v>
      </c>
      <c r="J597" s="194">
        <f t="shared" si="1203"/>
        <v>0</v>
      </c>
      <c r="K597" s="194">
        <f t="shared" si="1203"/>
        <v>0</v>
      </c>
      <c r="L597" s="194">
        <f t="shared" si="1203"/>
        <v>0</v>
      </c>
      <c r="M597" s="194">
        <f t="shared" si="1203"/>
        <v>0</v>
      </c>
      <c r="N597" s="194">
        <f t="shared" si="1203"/>
        <v>0</v>
      </c>
      <c r="O597" s="194">
        <f t="shared" si="1203"/>
        <v>0</v>
      </c>
      <c r="P597" s="194">
        <f t="shared" si="1203"/>
        <v>0</v>
      </c>
      <c r="Q597" s="194">
        <f t="shared" si="1203"/>
        <v>0</v>
      </c>
      <c r="R597" s="194">
        <f t="shared" si="1203"/>
        <v>0</v>
      </c>
      <c r="S597" s="194">
        <f t="shared" si="1203"/>
        <v>0</v>
      </c>
      <c r="T597" s="194">
        <f t="shared" si="1203"/>
        <v>0</v>
      </c>
      <c r="U597" s="194">
        <f t="shared" si="1203"/>
        <v>0</v>
      </c>
      <c r="V597" s="194">
        <f t="shared" si="1203"/>
        <v>0</v>
      </c>
      <c r="W597" s="194">
        <f t="shared" si="1203"/>
        <v>0</v>
      </c>
      <c r="X597" s="194">
        <f t="shared" si="1203"/>
        <v>0</v>
      </c>
      <c r="Y597" s="194">
        <f t="shared" si="1203"/>
        <v>0</v>
      </c>
      <c r="Z597" s="194">
        <f t="shared" si="1203"/>
        <v>0</v>
      </c>
      <c r="AA597" s="194">
        <f t="shared" si="1203"/>
        <v>0</v>
      </c>
      <c r="AB597" s="194">
        <f t="shared" si="1203"/>
        <v>0</v>
      </c>
      <c r="AC597" s="194">
        <f t="shared" si="1203"/>
        <v>0</v>
      </c>
      <c r="AD597" s="194">
        <f t="shared" si="1203"/>
        <v>0</v>
      </c>
      <c r="AE597" s="194">
        <f t="shared" si="1203"/>
        <v>0</v>
      </c>
      <c r="AF597" s="194">
        <f t="shared" si="1203"/>
        <v>0</v>
      </c>
      <c r="AG597" s="194">
        <f t="shared" si="1203"/>
        <v>0</v>
      </c>
      <c r="AH597" s="194">
        <f t="shared" si="1203"/>
        <v>0</v>
      </c>
      <c r="AI597" s="194">
        <f t="shared" si="1203"/>
        <v>0</v>
      </c>
      <c r="AJ597" s="194">
        <f t="shared" si="1203"/>
        <v>0</v>
      </c>
      <c r="AK597" s="194">
        <f t="shared" si="1203"/>
        <v>0</v>
      </c>
      <c r="AL597" s="194">
        <f t="shared" si="1203"/>
        <v>0</v>
      </c>
      <c r="AM597" s="194">
        <f t="shared" si="1203"/>
        <v>0</v>
      </c>
      <c r="AN597" s="194">
        <f t="shared" si="1203"/>
        <v>0</v>
      </c>
      <c r="AO597" s="194">
        <f t="shared" si="1203"/>
        <v>0</v>
      </c>
      <c r="AP597" s="194">
        <f t="shared" si="1203"/>
        <v>0</v>
      </c>
    </row>
    <row r="599" spans="1:42">
      <c r="A599" s="179" t="s">
        <v>98</v>
      </c>
    </row>
    <row r="600" spans="1:42" s="118" customFormat="1">
      <c r="A600" s="182" t="s">
        <v>298</v>
      </c>
    </row>
    <row r="601" spans="1:42" s="118" customFormat="1">
      <c r="A601" s="37" t="s">
        <v>299</v>
      </c>
      <c r="C601" s="235">
        <f t="shared" ref="C601:AP601" si="1204">IF(AND(C$2&lt;=LPFDebtTerm,C$2&lt;=AnalysisPeriod),LPFDebtRate,0)</f>
        <v>8.5000000000000006E-2</v>
      </c>
      <c r="D601" s="143">
        <f t="shared" si="1204"/>
        <v>8.5000000000000006E-2</v>
      </c>
      <c r="E601" s="143">
        <f t="shared" si="1204"/>
        <v>8.5000000000000006E-2</v>
      </c>
      <c r="F601" s="143">
        <f t="shared" si="1204"/>
        <v>8.5000000000000006E-2</v>
      </c>
      <c r="G601" s="143">
        <f t="shared" si="1204"/>
        <v>8.5000000000000006E-2</v>
      </c>
      <c r="H601" s="143">
        <f t="shared" si="1204"/>
        <v>8.5000000000000006E-2</v>
      </c>
      <c r="I601" s="143">
        <f t="shared" si="1204"/>
        <v>8.5000000000000006E-2</v>
      </c>
      <c r="J601" s="143">
        <f t="shared" si="1204"/>
        <v>8.5000000000000006E-2</v>
      </c>
      <c r="K601" s="143">
        <f t="shared" si="1204"/>
        <v>8.5000000000000006E-2</v>
      </c>
      <c r="L601" s="143">
        <f t="shared" si="1204"/>
        <v>8.5000000000000006E-2</v>
      </c>
      <c r="M601" s="143">
        <f t="shared" si="1204"/>
        <v>0</v>
      </c>
      <c r="N601" s="143">
        <f t="shared" si="1204"/>
        <v>0</v>
      </c>
      <c r="O601" s="143">
        <f t="shared" si="1204"/>
        <v>0</v>
      </c>
      <c r="P601" s="143">
        <f t="shared" si="1204"/>
        <v>0</v>
      </c>
      <c r="Q601" s="143">
        <f t="shared" si="1204"/>
        <v>0</v>
      </c>
      <c r="R601" s="143">
        <f t="shared" si="1204"/>
        <v>0</v>
      </c>
      <c r="S601" s="143">
        <f t="shared" si="1204"/>
        <v>0</v>
      </c>
      <c r="T601" s="143">
        <f t="shared" si="1204"/>
        <v>0</v>
      </c>
      <c r="U601" s="143">
        <f t="shared" si="1204"/>
        <v>0</v>
      </c>
      <c r="V601" s="143">
        <f t="shared" si="1204"/>
        <v>0</v>
      </c>
      <c r="W601" s="143">
        <f t="shared" si="1204"/>
        <v>0</v>
      </c>
      <c r="X601" s="143">
        <f t="shared" si="1204"/>
        <v>0</v>
      </c>
      <c r="Y601" s="143">
        <f t="shared" si="1204"/>
        <v>0</v>
      </c>
      <c r="Z601" s="143">
        <f t="shared" si="1204"/>
        <v>0</v>
      </c>
      <c r="AA601" s="143">
        <f t="shared" si="1204"/>
        <v>0</v>
      </c>
      <c r="AB601" s="143">
        <f t="shared" si="1204"/>
        <v>0</v>
      </c>
      <c r="AC601" s="143">
        <f t="shared" si="1204"/>
        <v>0</v>
      </c>
      <c r="AD601" s="143">
        <f t="shared" si="1204"/>
        <v>0</v>
      </c>
      <c r="AE601" s="143">
        <f t="shared" si="1204"/>
        <v>0</v>
      </c>
      <c r="AF601" s="143">
        <f t="shared" si="1204"/>
        <v>0</v>
      </c>
      <c r="AG601" s="143">
        <f t="shared" si="1204"/>
        <v>0</v>
      </c>
      <c r="AH601" s="143">
        <f t="shared" si="1204"/>
        <v>0</v>
      </c>
      <c r="AI601" s="143">
        <f t="shared" si="1204"/>
        <v>0</v>
      </c>
      <c r="AJ601" s="143">
        <f t="shared" si="1204"/>
        <v>0</v>
      </c>
      <c r="AK601" s="143">
        <f t="shared" si="1204"/>
        <v>0</v>
      </c>
      <c r="AL601" s="143">
        <f t="shared" si="1204"/>
        <v>0</v>
      </c>
      <c r="AM601" s="143">
        <f t="shared" si="1204"/>
        <v>0</v>
      </c>
      <c r="AN601" s="143">
        <f t="shared" si="1204"/>
        <v>0</v>
      </c>
      <c r="AO601" s="143">
        <f t="shared" si="1204"/>
        <v>0</v>
      </c>
      <c r="AP601" s="143">
        <f t="shared" si="1204"/>
        <v>0</v>
      </c>
    </row>
    <row r="602" spans="1:42" s="118" customFormat="1">
      <c r="A602" s="37" t="s">
        <v>300</v>
      </c>
      <c r="C602" s="236">
        <f>IF(AND(C$2&lt;=LPFDebtTerm,C$2&lt;=AnalysisPeriod),1/(1+C601),0)</f>
        <v>0.92165898617511521</v>
      </c>
      <c r="D602" s="237">
        <f t="shared" ref="D602:AP602" si="1205">IF(AND(D$2&lt;=LPFDebtTerm,D$2&lt;=AnalysisPeriod),C602/(1+D601),0)</f>
        <v>0.84945528679734128</v>
      </c>
      <c r="E602" s="237">
        <f t="shared" si="1205"/>
        <v>0.78290809843072928</v>
      </c>
      <c r="F602" s="237">
        <f t="shared" si="1205"/>
        <v>0.72157428426795323</v>
      </c>
      <c r="G602" s="237">
        <f t="shared" si="1205"/>
        <v>0.66504542328843619</v>
      </c>
      <c r="H602" s="237">
        <f t="shared" si="1205"/>
        <v>0.6129450905884205</v>
      </c>
      <c r="I602" s="237">
        <f t="shared" si="1205"/>
        <v>0.56492635077273778</v>
      </c>
      <c r="J602" s="237">
        <f t="shared" si="1205"/>
        <v>0.52066944771680901</v>
      </c>
      <c r="K602" s="237">
        <f t="shared" si="1205"/>
        <v>0.47987967531503134</v>
      </c>
      <c r="L602" s="237">
        <f t="shared" si="1205"/>
        <v>0.44228541503689528</v>
      </c>
      <c r="M602" s="237">
        <f t="shared" si="1205"/>
        <v>0</v>
      </c>
      <c r="N602" s="237">
        <f t="shared" si="1205"/>
        <v>0</v>
      </c>
      <c r="O602" s="237">
        <f t="shared" si="1205"/>
        <v>0</v>
      </c>
      <c r="P602" s="237">
        <f t="shared" si="1205"/>
        <v>0</v>
      </c>
      <c r="Q602" s="237">
        <f t="shared" si="1205"/>
        <v>0</v>
      </c>
      <c r="R602" s="237">
        <f t="shared" si="1205"/>
        <v>0</v>
      </c>
      <c r="S602" s="237">
        <f t="shared" si="1205"/>
        <v>0</v>
      </c>
      <c r="T602" s="237">
        <f t="shared" si="1205"/>
        <v>0</v>
      </c>
      <c r="U602" s="237">
        <f t="shared" si="1205"/>
        <v>0</v>
      </c>
      <c r="V602" s="237">
        <f t="shared" si="1205"/>
        <v>0</v>
      </c>
      <c r="W602" s="237">
        <f t="shared" si="1205"/>
        <v>0</v>
      </c>
      <c r="X602" s="237">
        <f t="shared" si="1205"/>
        <v>0</v>
      </c>
      <c r="Y602" s="237">
        <f t="shared" si="1205"/>
        <v>0</v>
      </c>
      <c r="Z602" s="237">
        <f t="shared" si="1205"/>
        <v>0</v>
      </c>
      <c r="AA602" s="237">
        <f t="shared" si="1205"/>
        <v>0</v>
      </c>
      <c r="AB602" s="237">
        <f t="shared" si="1205"/>
        <v>0</v>
      </c>
      <c r="AC602" s="237">
        <f t="shared" si="1205"/>
        <v>0</v>
      </c>
      <c r="AD602" s="237">
        <f t="shared" si="1205"/>
        <v>0</v>
      </c>
      <c r="AE602" s="237">
        <f t="shared" si="1205"/>
        <v>0</v>
      </c>
      <c r="AF602" s="237">
        <f t="shared" si="1205"/>
        <v>0</v>
      </c>
      <c r="AG602" s="237">
        <f t="shared" si="1205"/>
        <v>0</v>
      </c>
      <c r="AH602" s="237">
        <f t="shared" si="1205"/>
        <v>0</v>
      </c>
      <c r="AI602" s="237">
        <f t="shared" si="1205"/>
        <v>0</v>
      </c>
      <c r="AJ602" s="237">
        <f t="shared" si="1205"/>
        <v>0</v>
      </c>
      <c r="AK602" s="237">
        <f t="shared" si="1205"/>
        <v>0</v>
      </c>
      <c r="AL602" s="237">
        <f t="shared" si="1205"/>
        <v>0</v>
      </c>
      <c r="AM602" s="237">
        <f t="shared" si="1205"/>
        <v>0</v>
      </c>
      <c r="AN602" s="237">
        <f t="shared" si="1205"/>
        <v>0</v>
      </c>
      <c r="AO602" s="237">
        <f t="shared" si="1205"/>
        <v>0</v>
      </c>
      <c r="AP602" s="237">
        <f t="shared" si="1205"/>
        <v>0</v>
      </c>
    </row>
    <row r="603" spans="1:42" s="118" customFormat="1">
      <c r="A603" s="37" t="s">
        <v>109</v>
      </c>
      <c r="C603" s="236"/>
      <c r="D603" s="237"/>
      <c r="E603" s="237"/>
      <c r="F603" s="237"/>
      <c r="G603" s="237"/>
      <c r="H603" s="237"/>
      <c r="I603" s="237"/>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c r="AI603" s="237"/>
      <c r="AJ603" s="237"/>
      <c r="AK603" s="237"/>
      <c r="AL603" s="237"/>
      <c r="AM603" s="237"/>
      <c r="AN603" s="237"/>
      <c r="AO603" s="237"/>
      <c r="AP603" s="237"/>
    </row>
    <row r="604" spans="1:42" s="118" customFormat="1">
      <c r="A604" s="184" t="s">
        <v>116</v>
      </c>
      <c r="B604" s="238">
        <f>SUM(C604:AP604)</f>
        <v>55659832.607544564</v>
      </c>
      <c r="C604" s="186">
        <f t="shared" ref="C604:AP604" si="1206">IF(AND(C$2&lt;=LPFDebtTerm,C$2&lt;=AnalysisPeriod),C43,0)</f>
        <v>5130924.9360721735</v>
      </c>
      <c r="D604" s="186">
        <f t="shared" si="1206"/>
        <v>5224480.1535440227</v>
      </c>
      <c r="E604" s="186">
        <f t="shared" si="1206"/>
        <v>5319178.3042360479</v>
      </c>
      <c r="F604" s="186">
        <f t="shared" si="1206"/>
        <v>5415035.5329115689</v>
      </c>
      <c r="G604" s="186">
        <f t="shared" si="1206"/>
        <v>5512068.2044891519</v>
      </c>
      <c r="H604" s="186">
        <f t="shared" si="1206"/>
        <v>5610292.9068568042</v>
      </c>
      <c r="I604" s="186">
        <f t="shared" si="1206"/>
        <v>5709726.4537174851</v>
      </c>
      <c r="J604" s="186">
        <f t="shared" si="1206"/>
        <v>5810385.8874661699</v>
      </c>
      <c r="K604" s="186">
        <f t="shared" si="1206"/>
        <v>5912288.4820986763</v>
      </c>
      <c r="L604" s="186">
        <f t="shared" si="1206"/>
        <v>6015451.7461524587</v>
      </c>
      <c r="M604" s="186">
        <f t="shared" si="1206"/>
        <v>0</v>
      </c>
      <c r="N604" s="186">
        <f t="shared" si="1206"/>
        <v>0</v>
      </c>
      <c r="O604" s="186">
        <f t="shared" si="1206"/>
        <v>0</v>
      </c>
      <c r="P604" s="186">
        <f t="shared" si="1206"/>
        <v>0</v>
      </c>
      <c r="Q604" s="186">
        <f t="shared" si="1206"/>
        <v>0</v>
      </c>
      <c r="R604" s="186">
        <f t="shared" si="1206"/>
        <v>0</v>
      </c>
      <c r="S604" s="186">
        <f t="shared" si="1206"/>
        <v>0</v>
      </c>
      <c r="T604" s="186">
        <f t="shared" si="1206"/>
        <v>0</v>
      </c>
      <c r="U604" s="186">
        <f t="shared" si="1206"/>
        <v>0</v>
      </c>
      <c r="V604" s="186">
        <f t="shared" si="1206"/>
        <v>0</v>
      </c>
      <c r="W604" s="186">
        <f t="shared" si="1206"/>
        <v>0</v>
      </c>
      <c r="X604" s="186">
        <f t="shared" si="1206"/>
        <v>0</v>
      </c>
      <c r="Y604" s="186">
        <f t="shared" si="1206"/>
        <v>0</v>
      </c>
      <c r="Z604" s="186">
        <f t="shared" si="1206"/>
        <v>0</v>
      </c>
      <c r="AA604" s="186">
        <f t="shared" si="1206"/>
        <v>0</v>
      </c>
      <c r="AB604" s="186">
        <f t="shared" si="1206"/>
        <v>0</v>
      </c>
      <c r="AC604" s="186">
        <f t="shared" si="1206"/>
        <v>0</v>
      </c>
      <c r="AD604" s="186">
        <f t="shared" si="1206"/>
        <v>0</v>
      </c>
      <c r="AE604" s="186">
        <f t="shared" si="1206"/>
        <v>0</v>
      </c>
      <c r="AF604" s="186">
        <f t="shared" si="1206"/>
        <v>0</v>
      </c>
      <c r="AG604" s="186">
        <f t="shared" si="1206"/>
        <v>0</v>
      </c>
      <c r="AH604" s="186">
        <f t="shared" si="1206"/>
        <v>0</v>
      </c>
      <c r="AI604" s="186">
        <f t="shared" si="1206"/>
        <v>0</v>
      </c>
      <c r="AJ604" s="186">
        <f t="shared" si="1206"/>
        <v>0</v>
      </c>
      <c r="AK604" s="186">
        <f t="shared" si="1206"/>
        <v>0</v>
      </c>
      <c r="AL604" s="186">
        <f t="shared" si="1206"/>
        <v>0</v>
      </c>
      <c r="AM604" s="186">
        <f t="shared" si="1206"/>
        <v>0</v>
      </c>
      <c r="AN604" s="186">
        <f t="shared" si="1206"/>
        <v>0</v>
      </c>
      <c r="AO604" s="186">
        <f t="shared" si="1206"/>
        <v>0</v>
      </c>
      <c r="AP604" s="186">
        <f t="shared" si="1206"/>
        <v>0</v>
      </c>
    </row>
    <row r="605" spans="1:42" s="118" customFormat="1">
      <c r="A605" s="257" t="s">
        <v>486</v>
      </c>
      <c r="B605" s="359">
        <f>SUM(C605:AP605)</f>
        <v>-6922577.8455256056</v>
      </c>
      <c r="C605" s="203">
        <f t="shared" ref="C605:AP605" si="1207">IF(AND(C$2&lt;=LPFDebtTerm,C$2&lt;=AnalysisPeriod),-C643-C675-C707,0)</f>
        <v>-690332.10552309547</v>
      </c>
      <c r="D605" s="141">
        <f t="shared" si="1207"/>
        <v>-690332.10552309547</v>
      </c>
      <c r="E605" s="141">
        <f t="shared" si="1207"/>
        <v>-690332.10552309547</v>
      </c>
      <c r="F605" s="141">
        <f t="shared" si="1207"/>
        <v>-691900.73898590787</v>
      </c>
      <c r="G605" s="141">
        <f t="shared" si="1207"/>
        <v>-691900.73898590787</v>
      </c>
      <c r="H605" s="141">
        <f t="shared" si="1207"/>
        <v>-691900.73898590787</v>
      </c>
      <c r="I605" s="141">
        <f t="shared" si="1207"/>
        <v>-693541.02507627232</v>
      </c>
      <c r="J605" s="141">
        <f t="shared" si="1207"/>
        <v>-693541.02507627232</v>
      </c>
      <c r="K605" s="141">
        <f t="shared" si="1207"/>
        <v>-693541.02507627232</v>
      </c>
      <c r="L605" s="141">
        <f t="shared" si="1207"/>
        <v>-695256.23676977959</v>
      </c>
      <c r="M605" s="141">
        <f t="shared" si="1207"/>
        <v>0</v>
      </c>
      <c r="N605" s="141">
        <f t="shared" si="1207"/>
        <v>0</v>
      </c>
      <c r="O605" s="141">
        <f t="shared" si="1207"/>
        <v>0</v>
      </c>
      <c r="P605" s="141">
        <f t="shared" si="1207"/>
        <v>0</v>
      </c>
      <c r="Q605" s="141">
        <f t="shared" si="1207"/>
        <v>0</v>
      </c>
      <c r="R605" s="141">
        <f t="shared" si="1207"/>
        <v>0</v>
      </c>
      <c r="S605" s="141">
        <f t="shared" si="1207"/>
        <v>0</v>
      </c>
      <c r="T605" s="141">
        <f t="shared" si="1207"/>
        <v>0</v>
      </c>
      <c r="U605" s="141">
        <f t="shared" si="1207"/>
        <v>0</v>
      </c>
      <c r="V605" s="141">
        <f t="shared" si="1207"/>
        <v>0</v>
      </c>
      <c r="W605" s="141">
        <f t="shared" si="1207"/>
        <v>0</v>
      </c>
      <c r="X605" s="141">
        <f t="shared" si="1207"/>
        <v>0</v>
      </c>
      <c r="Y605" s="141">
        <f t="shared" si="1207"/>
        <v>0</v>
      </c>
      <c r="Z605" s="141">
        <f t="shared" si="1207"/>
        <v>0</v>
      </c>
      <c r="AA605" s="141">
        <f t="shared" si="1207"/>
        <v>0</v>
      </c>
      <c r="AB605" s="141">
        <f t="shared" si="1207"/>
        <v>0</v>
      </c>
      <c r="AC605" s="141">
        <f t="shared" si="1207"/>
        <v>0</v>
      </c>
      <c r="AD605" s="141">
        <f t="shared" si="1207"/>
        <v>0</v>
      </c>
      <c r="AE605" s="141">
        <f t="shared" si="1207"/>
        <v>0</v>
      </c>
      <c r="AF605" s="141">
        <f t="shared" si="1207"/>
        <v>0</v>
      </c>
      <c r="AG605" s="141">
        <f t="shared" si="1207"/>
        <v>0</v>
      </c>
      <c r="AH605" s="141">
        <f t="shared" si="1207"/>
        <v>0</v>
      </c>
      <c r="AI605" s="141">
        <f t="shared" si="1207"/>
        <v>0</v>
      </c>
      <c r="AJ605" s="141">
        <f t="shared" si="1207"/>
        <v>0</v>
      </c>
      <c r="AK605" s="141">
        <f t="shared" si="1207"/>
        <v>0</v>
      </c>
      <c r="AL605" s="141">
        <f t="shared" si="1207"/>
        <v>0</v>
      </c>
      <c r="AM605" s="141">
        <f t="shared" si="1207"/>
        <v>0</v>
      </c>
      <c r="AN605" s="141">
        <f t="shared" si="1207"/>
        <v>0</v>
      </c>
      <c r="AO605" s="141">
        <f t="shared" si="1207"/>
        <v>0</v>
      </c>
      <c r="AP605" s="141">
        <f t="shared" si="1207"/>
        <v>0</v>
      </c>
    </row>
    <row r="606" spans="1:42" s="118" customFormat="1">
      <c r="A606" s="184" t="s">
        <v>109</v>
      </c>
      <c r="B606" s="238">
        <f>SUM(C606:AP606)</f>
        <v>48737254.762018956</v>
      </c>
      <c r="C606" s="221">
        <f>SUM(C604:C605)</f>
        <v>4440592.8305490781</v>
      </c>
      <c r="D606" s="251">
        <f>SUM(D604:D605)</f>
        <v>4534148.0480209272</v>
      </c>
      <c r="E606" s="251">
        <f>SUM(E604:E605)</f>
        <v>4628846.1987129524</v>
      </c>
      <c r="F606" s="251">
        <f t="shared" ref="F606:AP606" si="1208">SUM(F604:F605)</f>
        <v>4723134.7939256607</v>
      </c>
      <c r="G606" s="251">
        <f t="shared" si="1208"/>
        <v>4820167.4655032437</v>
      </c>
      <c r="H606" s="251">
        <f t="shared" si="1208"/>
        <v>4918392.1678708959</v>
      </c>
      <c r="I606" s="251">
        <f t="shared" si="1208"/>
        <v>5016185.4286412131</v>
      </c>
      <c r="J606" s="251">
        <f t="shared" si="1208"/>
        <v>5116844.8623898979</v>
      </c>
      <c r="K606" s="251">
        <f t="shared" si="1208"/>
        <v>5218747.4570224043</v>
      </c>
      <c r="L606" s="251">
        <f t="shared" si="1208"/>
        <v>5320195.5093826791</v>
      </c>
      <c r="M606" s="251">
        <f t="shared" si="1208"/>
        <v>0</v>
      </c>
      <c r="N606" s="251">
        <f t="shared" si="1208"/>
        <v>0</v>
      </c>
      <c r="O606" s="251">
        <f t="shared" si="1208"/>
        <v>0</v>
      </c>
      <c r="P606" s="251">
        <f t="shared" si="1208"/>
        <v>0</v>
      </c>
      <c r="Q606" s="251">
        <f t="shared" si="1208"/>
        <v>0</v>
      </c>
      <c r="R606" s="251">
        <f t="shared" si="1208"/>
        <v>0</v>
      </c>
      <c r="S606" s="251">
        <f t="shared" si="1208"/>
        <v>0</v>
      </c>
      <c r="T606" s="251">
        <f t="shared" si="1208"/>
        <v>0</v>
      </c>
      <c r="U606" s="251">
        <f t="shared" si="1208"/>
        <v>0</v>
      </c>
      <c r="V606" s="251">
        <f t="shared" si="1208"/>
        <v>0</v>
      </c>
      <c r="W606" s="251">
        <f t="shared" si="1208"/>
        <v>0</v>
      </c>
      <c r="X606" s="251">
        <f t="shared" si="1208"/>
        <v>0</v>
      </c>
      <c r="Y606" s="251">
        <f t="shared" si="1208"/>
        <v>0</v>
      </c>
      <c r="Z606" s="251">
        <f t="shared" si="1208"/>
        <v>0</v>
      </c>
      <c r="AA606" s="251">
        <f t="shared" si="1208"/>
        <v>0</v>
      </c>
      <c r="AB606" s="251">
        <f t="shared" si="1208"/>
        <v>0</v>
      </c>
      <c r="AC606" s="251">
        <f t="shared" si="1208"/>
        <v>0</v>
      </c>
      <c r="AD606" s="251">
        <f t="shared" si="1208"/>
        <v>0</v>
      </c>
      <c r="AE606" s="251">
        <f t="shared" si="1208"/>
        <v>0</v>
      </c>
      <c r="AF606" s="251">
        <f t="shared" si="1208"/>
        <v>0</v>
      </c>
      <c r="AG606" s="251">
        <f t="shared" si="1208"/>
        <v>0</v>
      </c>
      <c r="AH606" s="251">
        <f t="shared" si="1208"/>
        <v>0</v>
      </c>
      <c r="AI606" s="251">
        <f t="shared" si="1208"/>
        <v>0</v>
      </c>
      <c r="AJ606" s="251">
        <f t="shared" si="1208"/>
        <v>0</v>
      </c>
      <c r="AK606" s="251">
        <f t="shared" si="1208"/>
        <v>0</v>
      </c>
      <c r="AL606" s="251">
        <f t="shared" si="1208"/>
        <v>0</v>
      </c>
      <c r="AM606" s="251">
        <f t="shared" si="1208"/>
        <v>0</v>
      </c>
      <c r="AN606" s="251">
        <f t="shared" si="1208"/>
        <v>0</v>
      </c>
      <c r="AO606" s="251">
        <f t="shared" si="1208"/>
        <v>0</v>
      </c>
      <c r="AP606" s="251">
        <f t="shared" si="1208"/>
        <v>0</v>
      </c>
    </row>
    <row r="607" spans="1:42" s="118" customFormat="1">
      <c r="A607" s="37" t="s">
        <v>301</v>
      </c>
      <c r="B607" s="238">
        <f>SUM(C607:AP607)</f>
        <v>31552032.577552576</v>
      </c>
      <c r="C607" s="152">
        <f t="shared" ref="C607:AP607" si="1209">C602*C606</f>
        <v>4092712.2862203484</v>
      </c>
      <c r="D607" s="152">
        <f t="shared" si="1209"/>
        <v>3851556.0305132219</v>
      </c>
      <c r="E607" s="152">
        <f t="shared" si="1209"/>
        <v>3623961.1753626671</v>
      </c>
      <c r="F607" s="152">
        <f t="shared" si="1209"/>
        <v>3408092.6084279753</v>
      </c>
      <c r="G607" s="152">
        <f t="shared" si="1209"/>
        <v>3205630.3124167533</v>
      </c>
      <c r="H607" s="152">
        <f t="shared" si="1209"/>
        <v>3014704.3328850041</v>
      </c>
      <c r="I607" s="152">
        <f t="shared" si="1209"/>
        <v>2833775.3290016619</v>
      </c>
      <c r="J607" s="152">
        <f t="shared" si="1209"/>
        <v>2664184.7885531397</v>
      </c>
      <c r="K607" s="152">
        <f t="shared" si="1209"/>
        <v>2504370.8352270569</v>
      </c>
      <c r="L607" s="152">
        <f t="shared" si="1209"/>
        <v>2353044.8789447448</v>
      </c>
      <c r="M607" s="152">
        <f t="shared" si="1209"/>
        <v>0</v>
      </c>
      <c r="N607" s="152">
        <f t="shared" si="1209"/>
        <v>0</v>
      </c>
      <c r="O607" s="152">
        <f t="shared" si="1209"/>
        <v>0</v>
      </c>
      <c r="P607" s="152">
        <f t="shared" si="1209"/>
        <v>0</v>
      </c>
      <c r="Q607" s="152">
        <f t="shared" si="1209"/>
        <v>0</v>
      </c>
      <c r="R607" s="152">
        <f t="shared" si="1209"/>
        <v>0</v>
      </c>
      <c r="S607" s="152">
        <f t="shared" si="1209"/>
        <v>0</v>
      </c>
      <c r="T607" s="152">
        <f t="shared" si="1209"/>
        <v>0</v>
      </c>
      <c r="U607" s="152">
        <f t="shared" si="1209"/>
        <v>0</v>
      </c>
      <c r="V607" s="152">
        <f t="shared" si="1209"/>
        <v>0</v>
      </c>
      <c r="W607" s="152">
        <f t="shared" si="1209"/>
        <v>0</v>
      </c>
      <c r="X607" s="152">
        <f t="shared" si="1209"/>
        <v>0</v>
      </c>
      <c r="Y607" s="152">
        <f t="shared" si="1209"/>
        <v>0</v>
      </c>
      <c r="Z607" s="152">
        <f t="shared" si="1209"/>
        <v>0</v>
      </c>
      <c r="AA607" s="152">
        <f t="shared" si="1209"/>
        <v>0</v>
      </c>
      <c r="AB607" s="152">
        <f t="shared" si="1209"/>
        <v>0</v>
      </c>
      <c r="AC607" s="152">
        <f t="shared" si="1209"/>
        <v>0</v>
      </c>
      <c r="AD607" s="152">
        <f t="shared" si="1209"/>
        <v>0</v>
      </c>
      <c r="AE607" s="152">
        <f t="shared" si="1209"/>
        <v>0</v>
      </c>
      <c r="AF607" s="152">
        <f t="shared" si="1209"/>
        <v>0</v>
      </c>
      <c r="AG607" s="152">
        <f t="shared" si="1209"/>
        <v>0</v>
      </c>
      <c r="AH607" s="152">
        <f t="shared" si="1209"/>
        <v>0</v>
      </c>
      <c r="AI607" s="152">
        <f t="shared" si="1209"/>
        <v>0</v>
      </c>
      <c r="AJ607" s="152">
        <f t="shared" si="1209"/>
        <v>0</v>
      </c>
      <c r="AK607" s="152">
        <f t="shared" si="1209"/>
        <v>0</v>
      </c>
      <c r="AL607" s="152">
        <f t="shared" si="1209"/>
        <v>0</v>
      </c>
      <c r="AM607" s="152">
        <f t="shared" si="1209"/>
        <v>0</v>
      </c>
      <c r="AN607" s="152">
        <f t="shared" si="1209"/>
        <v>0</v>
      </c>
      <c r="AO607" s="152">
        <f t="shared" si="1209"/>
        <v>0</v>
      </c>
      <c r="AP607" s="152">
        <f t="shared" si="1209"/>
        <v>0</v>
      </c>
    </row>
    <row r="608" spans="1:42" s="118" customFormat="1">
      <c r="A608" s="37" t="s">
        <v>108</v>
      </c>
      <c r="C608" s="239">
        <f t="shared" ref="C608:AP608" si="1210">IF(AND(C$2&lt;=LPFDebtTerm,C$2&lt;=AnalysisPeriod),LPFDSCR,0)</f>
        <v>1.5</v>
      </c>
      <c r="D608" s="239">
        <f t="shared" si="1210"/>
        <v>1.5</v>
      </c>
      <c r="E608" s="239">
        <f t="shared" si="1210"/>
        <v>1.5</v>
      </c>
      <c r="F608" s="239">
        <f t="shared" si="1210"/>
        <v>1.5</v>
      </c>
      <c r="G608" s="239">
        <f t="shared" si="1210"/>
        <v>1.5</v>
      </c>
      <c r="H608" s="239">
        <f t="shared" si="1210"/>
        <v>1.5</v>
      </c>
      <c r="I608" s="239">
        <f t="shared" si="1210"/>
        <v>1.5</v>
      </c>
      <c r="J608" s="239">
        <f t="shared" si="1210"/>
        <v>1.5</v>
      </c>
      <c r="K608" s="239">
        <f t="shared" si="1210"/>
        <v>1.5</v>
      </c>
      <c r="L608" s="239">
        <f t="shared" si="1210"/>
        <v>1.5</v>
      </c>
      <c r="M608" s="239">
        <f t="shared" si="1210"/>
        <v>0</v>
      </c>
      <c r="N608" s="239">
        <f t="shared" si="1210"/>
        <v>0</v>
      </c>
      <c r="O608" s="239">
        <f t="shared" si="1210"/>
        <v>0</v>
      </c>
      <c r="P608" s="239">
        <f t="shared" si="1210"/>
        <v>0</v>
      </c>
      <c r="Q608" s="239">
        <f t="shared" si="1210"/>
        <v>0</v>
      </c>
      <c r="R608" s="239">
        <f t="shared" si="1210"/>
        <v>0</v>
      </c>
      <c r="S608" s="239">
        <f t="shared" si="1210"/>
        <v>0</v>
      </c>
      <c r="T608" s="239">
        <f t="shared" si="1210"/>
        <v>0</v>
      </c>
      <c r="U608" s="239">
        <f t="shared" si="1210"/>
        <v>0</v>
      </c>
      <c r="V608" s="239">
        <f t="shared" si="1210"/>
        <v>0</v>
      </c>
      <c r="W608" s="239">
        <f t="shared" si="1210"/>
        <v>0</v>
      </c>
      <c r="X608" s="239">
        <f t="shared" si="1210"/>
        <v>0</v>
      </c>
      <c r="Y608" s="239">
        <f t="shared" si="1210"/>
        <v>0</v>
      </c>
      <c r="Z608" s="239">
        <f t="shared" si="1210"/>
        <v>0</v>
      </c>
      <c r="AA608" s="239">
        <f t="shared" si="1210"/>
        <v>0</v>
      </c>
      <c r="AB608" s="239">
        <f t="shared" si="1210"/>
        <v>0</v>
      </c>
      <c r="AC608" s="239">
        <f t="shared" si="1210"/>
        <v>0</v>
      </c>
      <c r="AD608" s="239">
        <f t="shared" si="1210"/>
        <v>0</v>
      </c>
      <c r="AE608" s="239">
        <f t="shared" si="1210"/>
        <v>0</v>
      </c>
      <c r="AF608" s="239">
        <f t="shared" si="1210"/>
        <v>0</v>
      </c>
      <c r="AG608" s="239">
        <f t="shared" si="1210"/>
        <v>0</v>
      </c>
      <c r="AH608" s="239">
        <f t="shared" si="1210"/>
        <v>0</v>
      </c>
      <c r="AI608" s="239">
        <f t="shared" si="1210"/>
        <v>0</v>
      </c>
      <c r="AJ608" s="239">
        <f t="shared" si="1210"/>
        <v>0</v>
      </c>
      <c r="AK608" s="239">
        <f t="shared" si="1210"/>
        <v>0</v>
      </c>
      <c r="AL608" s="239">
        <f t="shared" si="1210"/>
        <v>0</v>
      </c>
      <c r="AM608" s="239">
        <f t="shared" si="1210"/>
        <v>0</v>
      </c>
      <c r="AN608" s="239">
        <f t="shared" si="1210"/>
        <v>0</v>
      </c>
      <c r="AO608" s="239">
        <f t="shared" si="1210"/>
        <v>0</v>
      </c>
      <c r="AP608" s="239">
        <f t="shared" si="1210"/>
        <v>0</v>
      </c>
    </row>
    <row r="609" spans="1:42" s="118" customFormat="1">
      <c r="A609" s="37" t="s">
        <v>302</v>
      </c>
      <c r="B609" s="238">
        <f>SUM(C609:AP609)</f>
        <v>21034688.385035049</v>
      </c>
      <c r="C609" s="152">
        <f t="shared" ref="C609:AP609" si="1211">IF(AND(C$2&lt;=LPFDebtTerm,C$2&lt;=AnalysisPeriod),C607/C608,0)</f>
        <v>2728474.8574802321</v>
      </c>
      <c r="D609" s="152">
        <f t="shared" si="1211"/>
        <v>2567704.0203421479</v>
      </c>
      <c r="E609" s="152">
        <f t="shared" si="1211"/>
        <v>2415974.1169084446</v>
      </c>
      <c r="F609" s="152">
        <f t="shared" si="1211"/>
        <v>2272061.7389519834</v>
      </c>
      <c r="G609" s="152">
        <f t="shared" si="1211"/>
        <v>2137086.874944502</v>
      </c>
      <c r="H609" s="152">
        <f t="shared" si="1211"/>
        <v>2009802.8885900027</v>
      </c>
      <c r="I609" s="152">
        <f t="shared" si="1211"/>
        <v>1889183.5526677745</v>
      </c>
      <c r="J609" s="152">
        <f t="shared" si="1211"/>
        <v>1776123.1923687598</v>
      </c>
      <c r="K609" s="152">
        <f t="shared" si="1211"/>
        <v>1669580.556818038</v>
      </c>
      <c r="L609" s="152">
        <f t="shared" si="1211"/>
        <v>1568696.5859631633</v>
      </c>
      <c r="M609" s="152">
        <f t="shared" si="1211"/>
        <v>0</v>
      </c>
      <c r="N609" s="152">
        <f t="shared" si="1211"/>
        <v>0</v>
      </c>
      <c r="O609" s="152">
        <f t="shared" si="1211"/>
        <v>0</v>
      </c>
      <c r="P609" s="152">
        <f t="shared" si="1211"/>
        <v>0</v>
      </c>
      <c r="Q609" s="152">
        <f t="shared" si="1211"/>
        <v>0</v>
      </c>
      <c r="R609" s="152">
        <f t="shared" si="1211"/>
        <v>0</v>
      </c>
      <c r="S609" s="152">
        <f t="shared" si="1211"/>
        <v>0</v>
      </c>
      <c r="T609" s="152">
        <f t="shared" si="1211"/>
        <v>0</v>
      </c>
      <c r="U609" s="152">
        <f t="shared" si="1211"/>
        <v>0</v>
      </c>
      <c r="V609" s="152">
        <f t="shared" si="1211"/>
        <v>0</v>
      </c>
      <c r="W609" s="152">
        <f t="shared" si="1211"/>
        <v>0</v>
      </c>
      <c r="X609" s="152">
        <f t="shared" si="1211"/>
        <v>0</v>
      </c>
      <c r="Y609" s="152">
        <f t="shared" si="1211"/>
        <v>0</v>
      </c>
      <c r="Z609" s="152">
        <f t="shared" si="1211"/>
        <v>0</v>
      </c>
      <c r="AA609" s="152">
        <f t="shared" si="1211"/>
        <v>0</v>
      </c>
      <c r="AB609" s="152">
        <f t="shared" si="1211"/>
        <v>0</v>
      </c>
      <c r="AC609" s="152">
        <f t="shared" si="1211"/>
        <v>0</v>
      </c>
      <c r="AD609" s="152">
        <f t="shared" si="1211"/>
        <v>0</v>
      </c>
      <c r="AE609" s="152">
        <f t="shared" si="1211"/>
        <v>0</v>
      </c>
      <c r="AF609" s="152">
        <f t="shared" si="1211"/>
        <v>0</v>
      </c>
      <c r="AG609" s="152">
        <f t="shared" si="1211"/>
        <v>0</v>
      </c>
      <c r="AH609" s="152">
        <f t="shared" si="1211"/>
        <v>0</v>
      </c>
      <c r="AI609" s="152">
        <f t="shared" si="1211"/>
        <v>0</v>
      </c>
      <c r="AJ609" s="152">
        <f t="shared" si="1211"/>
        <v>0</v>
      </c>
      <c r="AK609" s="152">
        <f t="shared" si="1211"/>
        <v>0</v>
      </c>
      <c r="AL609" s="152">
        <f t="shared" si="1211"/>
        <v>0</v>
      </c>
      <c r="AM609" s="152">
        <f t="shared" si="1211"/>
        <v>0</v>
      </c>
      <c r="AN609" s="152">
        <f t="shared" si="1211"/>
        <v>0</v>
      </c>
      <c r="AO609" s="152">
        <f t="shared" si="1211"/>
        <v>0</v>
      </c>
      <c r="AP609" s="152">
        <f t="shared" si="1211"/>
        <v>0</v>
      </c>
    </row>
    <row r="610" spans="1:42" s="118" customFormat="1">
      <c r="A610" s="240"/>
    </row>
    <row r="611" spans="1:42">
      <c r="A611" s="182" t="s">
        <v>101</v>
      </c>
      <c r="C611" s="152"/>
      <c r="D611" s="152"/>
      <c r="E611" s="152"/>
      <c r="F611" s="152"/>
      <c r="G611" s="152"/>
      <c r="H611" s="152"/>
      <c r="I611" s="152"/>
      <c r="J611" s="152"/>
      <c r="K611" s="152"/>
      <c r="L611" s="152"/>
      <c r="M611" s="152"/>
      <c r="N611" s="152"/>
      <c r="O611" s="152"/>
      <c r="P611" s="152"/>
      <c r="Q611" s="152"/>
      <c r="R611" s="152"/>
      <c r="S611" s="152"/>
      <c r="T611" s="152"/>
      <c r="U611" s="152"/>
      <c r="V611" s="152"/>
      <c r="W611" s="152"/>
      <c r="X611" s="152"/>
      <c r="Y611" s="152"/>
      <c r="Z611" s="152"/>
      <c r="AA611" s="152"/>
      <c r="AB611" s="152"/>
      <c r="AC611" s="152"/>
      <c r="AD611" s="152"/>
      <c r="AE611" s="152"/>
      <c r="AF611" s="152"/>
      <c r="AG611" s="152"/>
      <c r="AH611" s="152"/>
      <c r="AI611" s="152"/>
      <c r="AJ611" s="152"/>
      <c r="AK611" s="152"/>
      <c r="AL611" s="152"/>
      <c r="AM611" s="152"/>
      <c r="AN611" s="152"/>
      <c r="AO611" s="152"/>
      <c r="AP611" s="152"/>
    </row>
    <row r="612" spans="1:42">
      <c r="A612" s="37" t="s">
        <v>99</v>
      </c>
      <c r="B612" s="152">
        <v>0</v>
      </c>
      <c r="C612" s="152">
        <f>B615</f>
        <v>21034688.385035049</v>
      </c>
      <c r="D612" s="152">
        <f t="shared" ref="D612:J612" si="1212">C615</f>
        <v>19862241.677396975</v>
      </c>
      <c r="E612" s="152">
        <f t="shared" si="1212"/>
        <v>18527766.854628433</v>
      </c>
      <c r="F612" s="152">
        <f t="shared" si="1212"/>
        <v>17016729.571463212</v>
      </c>
      <c r="G612" s="152">
        <f t="shared" si="1212"/>
        <v>15314395.055753812</v>
      </c>
      <c r="H612" s="152">
        <f t="shared" si="1212"/>
        <v>13402673.658490725</v>
      </c>
      <c r="I612" s="152">
        <f t="shared" si="1212"/>
        <v>11262972.807548506</v>
      </c>
      <c r="J612" s="152">
        <f t="shared" si="1212"/>
        <v>8876201.8770959862</v>
      </c>
      <c r="K612" s="152">
        <f t="shared" ref="K612:AP612" si="1213">J615</f>
        <v>6219449.1283892132</v>
      </c>
      <c r="L612" s="152">
        <f t="shared" si="1213"/>
        <v>3268937.3329540268</v>
      </c>
      <c r="M612" s="152">
        <f t="shared" si="1213"/>
        <v>0</v>
      </c>
      <c r="N612" s="152">
        <f t="shared" si="1213"/>
        <v>0</v>
      </c>
      <c r="O612" s="152">
        <f t="shared" si="1213"/>
        <v>0</v>
      </c>
      <c r="P612" s="152">
        <f t="shared" si="1213"/>
        <v>0</v>
      </c>
      <c r="Q612" s="152">
        <f t="shared" si="1213"/>
        <v>0</v>
      </c>
      <c r="R612" s="152">
        <f t="shared" si="1213"/>
        <v>0</v>
      </c>
      <c r="S612" s="152">
        <f t="shared" si="1213"/>
        <v>0</v>
      </c>
      <c r="T612" s="152">
        <f t="shared" si="1213"/>
        <v>0</v>
      </c>
      <c r="U612" s="152">
        <f t="shared" si="1213"/>
        <v>0</v>
      </c>
      <c r="V612" s="152">
        <f t="shared" si="1213"/>
        <v>0</v>
      </c>
      <c r="W612" s="152">
        <f t="shared" si="1213"/>
        <v>0</v>
      </c>
      <c r="X612" s="152">
        <f t="shared" si="1213"/>
        <v>0</v>
      </c>
      <c r="Y612" s="152">
        <f t="shared" si="1213"/>
        <v>0</v>
      </c>
      <c r="Z612" s="152">
        <f t="shared" si="1213"/>
        <v>0</v>
      </c>
      <c r="AA612" s="152">
        <f t="shared" si="1213"/>
        <v>0</v>
      </c>
      <c r="AB612" s="152">
        <f t="shared" si="1213"/>
        <v>0</v>
      </c>
      <c r="AC612" s="152">
        <f t="shared" si="1213"/>
        <v>0</v>
      </c>
      <c r="AD612" s="152">
        <f t="shared" si="1213"/>
        <v>0</v>
      </c>
      <c r="AE612" s="152">
        <f t="shared" si="1213"/>
        <v>0</v>
      </c>
      <c r="AF612" s="152">
        <f t="shared" si="1213"/>
        <v>0</v>
      </c>
      <c r="AG612" s="152">
        <f t="shared" si="1213"/>
        <v>0</v>
      </c>
      <c r="AH612" s="152">
        <f t="shared" si="1213"/>
        <v>0</v>
      </c>
      <c r="AI612" s="152">
        <f t="shared" si="1213"/>
        <v>0</v>
      </c>
      <c r="AJ612" s="152">
        <f t="shared" si="1213"/>
        <v>0</v>
      </c>
      <c r="AK612" s="152">
        <f t="shared" si="1213"/>
        <v>0</v>
      </c>
      <c r="AL612" s="152">
        <f t="shared" si="1213"/>
        <v>0</v>
      </c>
      <c r="AM612" s="152">
        <f t="shared" si="1213"/>
        <v>0</v>
      </c>
      <c r="AN612" s="152">
        <f t="shared" si="1213"/>
        <v>0</v>
      </c>
      <c r="AO612" s="152">
        <f t="shared" si="1213"/>
        <v>0</v>
      </c>
      <c r="AP612" s="152">
        <f t="shared" si="1213"/>
        <v>0</v>
      </c>
    </row>
    <row r="613" spans="1:42">
      <c r="A613" s="37" t="s">
        <v>100</v>
      </c>
      <c r="B613" s="152">
        <f>B609</f>
        <v>21034688.385035049</v>
      </c>
      <c r="C613" s="152">
        <v>0</v>
      </c>
      <c r="D613" s="152">
        <v>0</v>
      </c>
      <c r="E613" s="152">
        <v>0</v>
      </c>
      <c r="F613" s="152">
        <v>0</v>
      </c>
      <c r="G613" s="152">
        <v>0</v>
      </c>
      <c r="H613" s="152">
        <v>0</v>
      </c>
      <c r="I613" s="152">
        <v>0</v>
      </c>
      <c r="J613" s="152">
        <v>0</v>
      </c>
      <c r="K613" s="152">
        <v>0</v>
      </c>
      <c r="L613" s="152">
        <v>0</v>
      </c>
      <c r="M613" s="152">
        <v>0</v>
      </c>
      <c r="N613" s="152">
        <v>0</v>
      </c>
      <c r="O613" s="152">
        <v>0</v>
      </c>
      <c r="P613" s="152">
        <v>0</v>
      </c>
      <c r="Q613" s="152">
        <v>0</v>
      </c>
      <c r="R613" s="152">
        <v>0</v>
      </c>
      <c r="S613" s="152">
        <v>0</v>
      </c>
      <c r="T613" s="152">
        <v>0</v>
      </c>
      <c r="U613" s="152">
        <v>0</v>
      </c>
      <c r="V613" s="152">
        <v>0</v>
      </c>
      <c r="W613" s="152">
        <v>0</v>
      </c>
      <c r="X613" s="152">
        <v>0</v>
      </c>
      <c r="Y613" s="152">
        <v>0</v>
      </c>
      <c r="Z613" s="152">
        <v>0</v>
      </c>
      <c r="AA613" s="152">
        <v>0</v>
      </c>
      <c r="AB613" s="152">
        <v>0</v>
      </c>
      <c r="AC613" s="152">
        <v>0</v>
      </c>
      <c r="AD613" s="152">
        <v>0</v>
      </c>
      <c r="AE613" s="152">
        <v>0</v>
      </c>
      <c r="AF613" s="152">
        <v>0</v>
      </c>
      <c r="AG613" s="152">
        <v>0</v>
      </c>
      <c r="AH613" s="152">
        <v>0</v>
      </c>
      <c r="AI613" s="152">
        <v>0</v>
      </c>
      <c r="AJ613" s="152">
        <v>0</v>
      </c>
      <c r="AK613" s="152">
        <v>0</v>
      </c>
      <c r="AL613" s="152">
        <v>0</v>
      </c>
      <c r="AM613" s="152">
        <v>0</v>
      </c>
      <c r="AN613" s="152">
        <v>0</v>
      </c>
      <c r="AO613" s="152">
        <v>0</v>
      </c>
      <c r="AP613" s="152">
        <v>0</v>
      </c>
    </row>
    <row r="614" spans="1:42">
      <c r="A614" s="37" t="s">
        <v>101</v>
      </c>
      <c r="B614" s="187">
        <v>0</v>
      </c>
      <c r="C614" s="187">
        <f>-C617</f>
        <v>-1172446.7076380725</v>
      </c>
      <c r="D614" s="187">
        <f t="shared" ref="D614:J614" si="1214">-D617</f>
        <v>-1334474.8227685418</v>
      </c>
      <c r="E614" s="187">
        <f t="shared" si="1214"/>
        <v>-1511037.2831652183</v>
      </c>
      <c r="F614" s="187">
        <f t="shared" si="1214"/>
        <v>-1702334.5157094004</v>
      </c>
      <c r="G614" s="187">
        <f t="shared" si="1214"/>
        <v>-1911721.3972630883</v>
      </c>
      <c r="H614" s="187">
        <f t="shared" si="1214"/>
        <v>-2139700.8509422187</v>
      </c>
      <c r="I614" s="187">
        <f t="shared" si="1214"/>
        <v>-2386770.9304525191</v>
      </c>
      <c r="J614" s="187">
        <f t="shared" si="1214"/>
        <v>-2656752.7487067729</v>
      </c>
      <c r="K614" s="187">
        <f t="shared" ref="K614:AP614" si="1215">-K617</f>
        <v>-2950511.7954351865</v>
      </c>
      <c r="L614" s="187">
        <f t="shared" si="1215"/>
        <v>-3268937.3329540272</v>
      </c>
      <c r="M614" s="187">
        <f t="shared" si="1215"/>
        <v>0</v>
      </c>
      <c r="N614" s="187">
        <f t="shared" si="1215"/>
        <v>0</v>
      </c>
      <c r="O614" s="187">
        <f t="shared" si="1215"/>
        <v>0</v>
      </c>
      <c r="P614" s="187">
        <f t="shared" si="1215"/>
        <v>0</v>
      </c>
      <c r="Q614" s="187">
        <f t="shared" si="1215"/>
        <v>0</v>
      </c>
      <c r="R614" s="187">
        <f t="shared" si="1215"/>
        <v>0</v>
      </c>
      <c r="S614" s="187">
        <f t="shared" si="1215"/>
        <v>0</v>
      </c>
      <c r="T614" s="187">
        <f t="shared" si="1215"/>
        <v>0</v>
      </c>
      <c r="U614" s="187">
        <f t="shared" si="1215"/>
        <v>0</v>
      </c>
      <c r="V614" s="187">
        <f t="shared" si="1215"/>
        <v>0</v>
      </c>
      <c r="W614" s="187">
        <f t="shared" si="1215"/>
        <v>0</v>
      </c>
      <c r="X614" s="187">
        <f t="shared" si="1215"/>
        <v>0</v>
      </c>
      <c r="Y614" s="187">
        <f t="shared" si="1215"/>
        <v>0</v>
      </c>
      <c r="Z614" s="187">
        <f t="shared" si="1215"/>
        <v>0</v>
      </c>
      <c r="AA614" s="187">
        <f t="shared" si="1215"/>
        <v>0</v>
      </c>
      <c r="AB614" s="187">
        <f t="shared" si="1215"/>
        <v>0</v>
      </c>
      <c r="AC614" s="187">
        <f t="shared" si="1215"/>
        <v>0</v>
      </c>
      <c r="AD614" s="187">
        <f t="shared" si="1215"/>
        <v>0</v>
      </c>
      <c r="AE614" s="187">
        <f t="shared" si="1215"/>
        <v>0</v>
      </c>
      <c r="AF614" s="187">
        <f t="shared" si="1215"/>
        <v>0</v>
      </c>
      <c r="AG614" s="187">
        <f t="shared" si="1215"/>
        <v>0</v>
      </c>
      <c r="AH614" s="187">
        <f t="shared" si="1215"/>
        <v>0</v>
      </c>
      <c r="AI614" s="187">
        <f t="shared" si="1215"/>
        <v>0</v>
      </c>
      <c r="AJ614" s="187">
        <f t="shared" si="1215"/>
        <v>0</v>
      </c>
      <c r="AK614" s="187">
        <f t="shared" si="1215"/>
        <v>0</v>
      </c>
      <c r="AL614" s="187">
        <f t="shared" si="1215"/>
        <v>0</v>
      </c>
      <c r="AM614" s="187">
        <f t="shared" si="1215"/>
        <v>0</v>
      </c>
      <c r="AN614" s="187">
        <f t="shared" si="1215"/>
        <v>0</v>
      </c>
      <c r="AO614" s="187">
        <f t="shared" si="1215"/>
        <v>0</v>
      </c>
      <c r="AP614" s="187">
        <f t="shared" si="1215"/>
        <v>0</v>
      </c>
    </row>
    <row r="615" spans="1:42">
      <c r="A615" s="37" t="s">
        <v>102</v>
      </c>
      <c r="B615" s="152">
        <f>SUM(B612:B614)</f>
        <v>21034688.385035049</v>
      </c>
      <c r="C615" s="152">
        <f>SUM(C612:C614)</f>
        <v>19862241.677396975</v>
      </c>
      <c r="D615" s="152">
        <f t="shared" ref="D615:J615" si="1216">SUM(D612:D614)</f>
        <v>18527766.854628433</v>
      </c>
      <c r="E615" s="152">
        <f t="shared" si="1216"/>
        <v>17016729.571463212</v>
      </c>
      <c r="F615" s="152">
        <f t="shared" si="1216"/>
        <v>15314395.055753812</v>
      </c>
      <c r="G615" s="152">
        <f t="shared" si="1216"/>
        <v>13402673.658490725</v>
      </c>
      <c r="H615" s="152">
        <f t="shared" si="1216"/>
        <v>11262972.807548506</v>
      </c>
      <c r="I615" s="152">
        <f t="shared" si="1216"/>
        <v>8876201.8770959862</v>
      </c>
      <c r="J615" s="152">
        <f t="shared" si="1216"/>
        <v>6219449.1283892132</v>
      </c>
      <c r="K615" s="152">
        <f t="shared" ref="K615" si="1217">SUM(K612:K614)</f>
        <v>3268937.3329540268</v>
      </c>
      <c r="L615" s="152">
        <f t="shared" ref="L615" si="1218">SUM(L612:L614)</f>
        <v>0</v>
      </c>
      <c r="M615" s="152">
        <f t="shared" ref="M615" si="1219">SUM(M612:M614)</f>
        <v>0</v>
      </c>
      <c r="N615" s="152">
        <f t="shared" ref="N615" si="1220">SUM(N612:N614)</f>
        <v>0</v>
      </c>
      <c r="O615" s="152">
        <f t="shared" ref="O615" si="1221">SUM(O612:O614)</f>
        <v>0</v>
      </c>
      <c r="P615" s="152">
        <f t="shared" ref="P615:Q615" si="1222">SUM(P612:P614)</f>
        <v>0</v>
      </c>
      <c r="Q615" s="152">
        <f t="shared" si="1222"/>
        <v>0</v>
      </c>
      <c r="R615" s="152">
        <f t="shared" ref="R615" si="1223">SUM(R612:R614)</f>
        <v>0</v>
      </c>
      <c r="S615" s="152">
        <f t="shared" ref="S615" si="1224">SUM(S612:S614)</f>
        <v>0</v>
      </c>
      <c r="T615" s="152">
        <f t="shared" ref="T615" si="1225">SUM(T612:T614)</f>
        <v>0</v>
      </c>
      <c r="U615" s="152">
        <f t="shared" ref="U615" si="1226">SUM(U612:U614)</f>
        <v>0</v>
      </c>
      <c r="V615" s="152">
        <f t="shared" ref="V615" si="1227">SUM(V612:V614)</f>
        <v>0</v>
      </c>
      <c r="W615" s="152">
        <f t="shared" ref="W615:X615" si="1228">SUM(W612:W614)</f>
        <v>0</v>
      </c>
      <c r="X615" s="152">
        <f t="shared" si="1228"/>
        <v>0</v>
      </c>
      <c r="Y615" s="152">
        <f t="shared" ref="Y615" si="1229">SUM(Y612:Y614)</f>
        <v>0</v>
      </c>
      <c r="Z615" s="152">
        <f t="shared" ref="Z615" si="1230">SUM(Z612:Z614)</f>
        <v>0</v>
      </c>
      <c r="AA615" s="152">
        <f t="shared" ref="AA615" si="1231">SUM(AA612:AA614)</f>
        <v>0</v>
      </c>
      <c r="AB615" s="152">
        <f t="shared" ref="AB615" si="1232">SUM(AB612:AB614)</f>
        <v>0</v>
      </c>
      <c r="AC615" s="152">
        <f t="shared" ref="AC615" si="1233">SUM(AC612:AC614)</f>
        <v>0</v>
      </c>
      <c r="AD615" s="152">
        <f t="shared" ref="AD615:AE615" si="1234">SUM(AD612:AD614)</f>
        <v>0</v>
      </c>
      <c r="AE615" s="152">
        <f t="shared" si="1234"/>
        <v>0</v>
      </c>
      <c r="AF615" s="152">
        <f t="shared" ref="AF615" si="1235">SUM(AF612:AF614)</f>
        <v>0</v>
      </c>
      <c r="AG615" s="152">
        <f t="shared" ref="AG615" si="1236">SUM(AG612:AG614)</f>
        <v>0</v>
      </c>
      <c r="AH615" s="152">
        <f t="shared" ref="AH615" si="1237">SUM(AH612:AH614)</f>
        <v>0</v>
      </c>
      <c r="AI615" s="152">
        <f t="shared" ref="AI615" si="1238">SUM(AI612:AI614)</f>
        <v>0</v>
      </c>
      <c r="AJ615" s="152">
        <f t="shared" ref="AJ615" si="1239">SUM(AJ612:AJ614)</f>
        <v>0</v>
      </c>
      <c r="AK615" s="152">
        <f t="shared" ref="AK615:AL615" si="1240">SUM(AK612:AK614)</f>
        <v>0</v>
      </c>
      <c r="AL615" s="152">
        <f t="shared" si="1240"/>
        <v>0</v>
      </c>
      <c r="AM615" s="152">
        <f t="shared" ref="AM615" si="1241">SUM(AM612:AM614)</f>
        <v>0</v>
      </c>
      <c r="AN615" s="152">
        <f t="shared" ref="AN615" si="1242">SUM(AN612:AN614)</f>
        <v>0</v>
      </c>
      <c r="AO615" s="152">
        <f t="shared" ref="AO615" si="1243">SUM(AO612:AO614)</f>
        <v>0</v>
      </c>
      <c r="AP615" s="152">
        <f t="shared" ref="AP615" si="1244">SUM(AP612:AP614)</f>
        <v>0</v>
      </c>
    </row>
    <row r="616" spans="1:42">
      <c r="B616" s="152"/>
      <c r="C616" s="152"/>
      <c r="D616" s="152"/>
      <c r="E616" s="152"/>
      <c r="F616" s="152"/>
      <c r="G616" s="152"/>
      <c r="H616" s="152"/>
      <c r="I616" s="152"/>
      <c r="J616" s="152"/>
      <c r="K616" s="152"/>
      <c r="L616" s="152"/>
      <c r="M616" s="152"/>
      <c r="N616" s="152"/>
      <c r="O616" s="152"/>
      <c r="P616" s="152"/>
      <c r="Q616" s="152"/>
      <c r="R616" s="152"/>
      <c r="S616" s="152"/>
      <c r="T616" s="152"/>
      <c r="U616" s="152"/>
      <c r="V616" s="152"/>
      <c r="W616" s="152"/>
      <c r="X616" s="152"/>
      <c r="Y616" s="152"/>
      <c r="Z616" s="152"/>
      <c r="AA616" s="152"/>
      <c r="AB616" s="152"/>
      <c r="AC616" s="152"/>
      <c r="AD616" s="152"/>
      <c r="AE616" s="152"/>
      <c r="AF616" s="152"/>
      <c r="AG616" s="152"/>
      <c r="AH616" s="152"/>
      <c r="AI616" s="152"/>
      <c r="AJ616" s="152"/>
      <c r="AK616" s="152"/>
      <c r="AL616" s="152"/>
      <c r="AM616" s="152"/>
      <c r="AN616" s="152"/>
      <c r="AO616" s="152"/>
      <c r="AP616" s="152"/>
    </row>
    <row r="617" spans="1:42">
      <c r="A617" s="37" t="s">
        <v>103</v>
      </c>
      <c r="B617" s="196">
        <f>SUM(C617:AP617)</f>
        <v>21034688.385035045</v>
      </c>
      <c r="C617" s="152">
        <f>C619-C618</f>
        <v>1172446.7076380725</v>
      </c>
      <c r="D617" s="152">
        <f t="shared" ref="D617:J617" si="1245">D619-D618</f>
        <v>1334474.8227685418</v>
      </c>
      <c r="E617" s="152">
        <f t="shared" si="1245"/>
        <v>1511037.2831652183</v>
      </c>
      <c r="F617" s="152">
        <f t="shared" si="1245"/>
        <v>1702334.5157094004</v>
      </c>
      <c r="G617" s="152">
        <f t="shared" si="1245"/>
        <v>1911721.3972630883</v>
      </c>
      <c r="H617" s="152">
        <f t="shared" si="1245"/>
        <v>2139700.8509422187</v>
      </c>
      <c r="I617" s="152">
        <f t="shared" si="1245"/>
        <v>2386770.9304525191</v>
      </c>
      <c r="J617" s="152">
        <f t="shared" si="1245"/>
        <v>2656752.7487067729</v>
      </c>
      <c r="K617" s="152">
        <f t="shared" ref="K617" si="1246">K619-K618</f>
        <v>2950511.7954351865</v>
      </c>
      <c r="L617" s="152">
        <f t="shared" ref="L617" si="1247">L619-L618</f>
        <v>3268937.3329540272</v>
      </c>
      <c r="M617" s="152">
        <f t="shared" ref="M617" si="1248">M619-M618</f>
        <v>0</v>
      </c>
      <c r="N617" s="152">
        <f t="shared" ref="N617" si="1249">N619-N618</f>
        <v>0</v>
      </c>
      <c r="O617" s="152">
        <f t="shared" ref="O617" si="1250">O619-O618</f>
        <v>0</v>
      </c>
      <c r="P617" s="152">
        <f t="shared" ref="P617:Q617" si="1251">P619-P618</f>
        <v>0</v>
      </c>
      <c r="Q617" s="152">
        <f t="shared" si="1251"/>
        <v>0</v>
      </c>
      <c r="R617" s="152">
        <f t="shared" ref="R617" si="1252">R619-R618</f>
        <v>0</v>
      </c>
      <c r="S617" s="152">
        <f t="shared" ref="S617" si="1253">S619-S618</f>
        <v>0</v>
      </c>
      <c r="T617" s="152">
        <f t="shared" ref="T617" si="1254">T619-T618</f>
        <v>0</v>
      </c>
      <c r="U617" s="152">
        <f t="shared" ref="U617" si="1255">U619-U618</f>
        <v>0</v>
      </c>
      <c r="V617" s="152">
        <f t="shared" ref="V617" si="1256">V619-V618</f>
        <v>0</v>
      </c>
      <c r="W617" s="152">
        <f t="shared" ref="W617:X617" si="1257">W619-W618</f>
        <v>0</v>
      </c>
      <c r="X617" s="152">
        <f t="shared" si="1257"/>
        <v>0</v>
      </c>
      <c r="Y617" s="152">
        <f t="shared" ref="Y617" si="1258">Y619-Y618</f>
        <v>0</v>
      </c>
      <c r="Z617" s="152">
        <f t="shared" ref="Z617" si="1259">Z619-Z618</f>
        <v>0</v>
      </c>
      <c r="AA617" s="152">
        <f t="shared" ref="AA617" si="1260">AA619-AA618</f>
        <v>0</v>
      </c>
      <c r="AB617" s="152">
        <f t="shared" ref="AB617" si="1261">AB619-AB618</f>
        <v>0</v>
      </c>
      <c r="AC617" s="152">
        <f t="shared" ref="AC617" si="1262">AC619-AC618</f>
        <v>0</v>
      </c>
      <c r="AD617" s="152">
        <f t="shared" ref="AD617:AE617" si="1263">AD619-AD618</f>
        <v>0</v>
      </c>
      <c r="AE617" s="152">
        <f t="shared" si="1263"/>
        <v>0</v>
      </c>
      <c r="AF617" s="152">
        <f t="shared" ref="AF617" si="1264">AF619-AF618</f>
        <v>0</v>
      </c>
      <c r="AG617" s="152">
        <f t="shared" ref="AG617" si="1265">AG619-AG618</f>
        <v>0</v>
      </c>
      <c r="AH617" s="152">
        <f t="shared" ref="AH617" si="1266">AH619-AH618</f>
        <v>0</v>
      </c>
      <c r="AI617" s="152">
        <f t="shared" ref="AI617" si="1267">AI619-AI618</f>
        <v>0</v>
      </c>
      <c r="AJ617" s="152">
        <f t="shared" ref="AJ617" si="1268">AJ619-AJ618</f>
        <v>0</v>
      </c>
      <c r="AK617" s="152">
        <f t="shared" ref="AK617:AL617" si="1269">AK619-AK618</f>
        <v>0</v>
      </c>
      <c r="AL617" s="152">
        <f t="shared" si="1269"/>
        <v>0</v>
      </c>
      <c r="AM617" s="152">
        <f t="shared" ref="AM617" si="1270">AM619-AM618</f>
        <v>0</v>
      </c>
      <c r="AN617" s="152">
        <f t="shared" ref="AN617" si="1271">AN619-AN618</f>
        <v>0</v>
      </c>
      <c r="AO617" s="152">
        <f t="shared" ref="AO617" si="1272">AO619-AO618</f>
        <v>0</v>
      </c>
      <c r="AP617" s="152">
        <f t="shared" ref="AP617" si="1273">AP619-AP618</f>
        <v>0</v>
      </c>
    </row>
    <row r="618" spans="1:42">
      <c r="A618" s="37" t="s">
        <v>104</v>
      </c>
      <c r="B618" s="196">
        <f>SUM(C618:AP618)</f>
        <v>11456814.789644253</v>
      </c>
      <c r="C618" s="187">
        <f t="shared" ref="C618:AP618" si="1274">IF(AND(C$2&lt;=LPFDebtTerm,C$2&lt;=AnalysisPeriod),B615*C601,0)</f>
        <v>1787948.5127279793</v>
      </c>
      <c r="D618" s="187">
        <f t="shared" si="1274"/>
        <v>1688290.5425787431</v>
      </c>
      <c r="E618" s="187">
        <f t="shared" si="1274"/>
        <v>1574860.1826434168</v>
      </c>
      <c r="F618" s="187">
        <f t="shared" si="1274"/>
        <v>1446422.0135743732</v>
      </c>
      <c r="G618" s="187">
        <f t="shared" si="1274"/>
        <v>1301723.5797390742</v>
      </c>
      <c r="H618" s="187">
        <f t="shared" si="1274"/>
        <v>1139227.2609717117</v>
      </c>
      <c r="I618" s="187">
        <f t="shared" si="1274"/>
        <v>957352.68864162313</v>
      </c>
      <c r="J618" s="187">
        <f t="shared" si="1274"/>
        <v>754477.15955315891</v>
      </c>
      <c r="K618" s="187">
        <f t="shared" si="1274"/>
        <v>528653.17591308313</v>
      </c>
      <c r="L618" s="187">
        <f t="shared" si="1274"/>
        <v>277859.67330109229</v>
      </c>
      <c r="M618" s="187">
        <f t="shared" si="1274"/>
        <v>0</v>
      </c>
      <c r="N618" s="187">
        <f t="shared" si="1274"/>
        <v>0</v>
      </c>
      <c r="O618" s="187">
        <f t="shared" si="1274"/>
        <v>0</v>
      </c>
      <c r="P618" s="187">
        <f t="shared" si="1274"/>
        <v>0</v>
      </c>
      <c r="Q618" s="187">
        <f t="shared" si="1274"/>
        <v>0</v>
      </c>
      <c r="R618" s="187">
        <f t="shared" si="1274"/>
        <v>0</v>
      </c>
      <c r="S618" s="187">
        <f t="shared" si="1274"/>
        <v>0</v>
      </c>
      <c r="T618" s="187">
        <f t="shared" si="1274"/>
        <v>0</v>
      </c>
      <c r="U618" s="187">
        <f t="shared" si="1274"/>
        <v>0</v>
      </c>
      <c r="V618" s="187">
        <f t="shared" si="1274"/>
        <v>0</v>
      </c>
      <c r="W618" s="187">
        <f t="shared" si="1274"/>
        <v>0</v>
      </c>
      <c r="X618" s="187">
        <f t="shared" si="1274"/>
        <v>0</v>
      </c>
      <c r="Y618" s="187">
        <f t="shared" si="1274"/>
        <v>0</v>
      </c>
      <c r="Z618" s="187">
        <f t="shared" si="1274"/>
        <v>0</v>
      </c>
      <c r="AA618" s="187">
        <f t="shared" si="1274"/>
        <v>0</v>
      </c>
      <c r="AB618" s="187">
        <f t="shared" si="1274"/>
        <v>0</v>
      </c>
      <c r="AC618" s="187">
        <f t="shared" si="1274"/>
        <v>0</v>
      </c>
      <c r="AD618" s="187">
        <f t="shared" si="1274"/>
        <v>0</v>
      </c>
      <c r="AE618" s="187">
        <f t="shared" si="1274"/>
        <v>0</v>
      </c>
      <c r="AF618" s="187">
        <f t="shared" si="1274"/>
        <v>0</v>
      </c>
      <c r="AG618" s="187">
        <f t="shared" si="1274"/>
        <v>0</v>
      </c>
      <c r="AH618" s="187">
        <f t="shared" si="1274"/>
        <v>0</v>
      </c>
      <c r="AI618" s="187">
        <f t="shared" si="1274"/>
        <v>0</v>
      </c>
      <c r="AJ618" s="187">
        <f t="shared" si="1274"/>
        <v>0</v>
      </c>
      <c r="AK618" s="187">
        <f t="shared" si="1274"/>
        <v>0</v>
      </c>
      <c r="AL618" s="187">
        <f t="shared" si="1274"/>
        <v>0</v>
      </c>
      <c r="AM618" s="187">
        <f t="shared" si="1274"/>
        <v>0</v>
      </c>
      <c r="AN618" s="187">
        <f t="shared" si="1274"/>
        <v>0</v>
      </c>
      <c r="AO618" s="187">
        <f t="shared" si="1274"/>
        <v>0</v>
      </c>
      <c r="AP618" s="187">
        <f t="shared" si="1274"/>
        <v>0</v>
      </c>
    </row>
    <row r="619" spans="1:42">
      <c r="A619" s="37" t="s">
        <v>105</v>
      </c>
      <c r="B619" s="196">
        <f>SUM(C619:AP619)</f>
        <v>32491503.174679302</v>
      </c>
      <c r="C619" s="152">
        <f>IF(C608&gt;0,C606/C608,0)</f>
        <v>2960395.2203660519</v>
      </c>
      <c r="D619" s="152">
        <f>IF(D608&gt;0,D606/D608,0)</f>
        <v>3022765.3653472848</v>
      </c>
      <c r="E619" s="152">
        <f t="shared" ref="E619:AP619" si="1275">IF(E608&gt;0,E606/E608,0)</f>
        <v>3085897.4658086351</v>
      </c>
      <c r="F619" s="152">
        <f t="shared" si="1275"/>
        <v>3148756.5292837736</v>
      </c>
      <c r="G619" s="152">
        <f t="shared" si="1275"/>
        <v>3213444.9770021625</v>
      </c>
      <c r="H619" s="152">
        <f t="shared" si="1275"/>
        <v>3278928.1119139306</v>
      </c>
      <c r="I619" s="152">
        <f t="shared" si="1275"/>
        <v>3344123.6190941422</v>
      </c>
      <c r="J619" s="152">
        <f t="shared" si="1275"/>
        <v>3411229.908259932</v>
      </c>
      <c r="K619" s="152">
        <f t="shared" si="1275"/>
        <v>3479164.9713482694</v>
      </c>
      <c r="L619" s="152">
        <f t="shared" si="1275"/>
        <v>3546797.0062551196</v>
      </c>
      <c r="M619" s="152">
        <f t="shared" si="1275"/>
        <v>0</v>
      </c>
      <c r="N619" s="152">
        <f t="shared" si="1275"/>
        <v>0</v>
      </c>
      <c r="O619" s="152">
        <f t="shared" si="1275"/>
        <v>0</v>
      </c>
      <c r="P619" s="152">
        <f t="shared" si="1275"/>
        <v>0</v>
      </c>
      <c r="Q619" s="152">
        <f t="shared" si="1275"/>
        <v>0</v>
      </c>
      <c r="R619" s="152">
        <f t="shared" si="1275"/>
        <v>0</v>
      </c>
      <c r="S619" s="152">
        <f t="shared" si="1275"/>
        <v>0</v>
      </c>
      <c r="T619" s="152">
        <f t="shared" si="1275"/>
        <v>0</v>
      </c>
      <c r="U619" s="152">
        <f t="shared" si="1275"/>
        <v>0</v>
      </c>
      <c r="V619" s="152">
        <f t="shared" si="1275"/>
        <v>0</v>
      </c>
      <c r="W619" s="152">
        <f t="shared" si="1275"/>
        <v>0</v>
      </c>
      <c r="X619" s="152">
        <f t="shared" si="1275"/>
        <v>0</v>
      </c>
      <c r="Y619" s="152">
        <f t="shared" si="1275"/>
        <v>0</v>
      </c>
      <c r="Z619" s="152">
        <f t="shared" si="1275"/>
        <v>0</v>
      </c>
      <c r="AA619" s="152">
        <f t="shared" si="1275"/>
        <v>0</v>
      </c>
      <c r="AB619" s="152">
        <f t="shared" si="1275"/>
        <v>0</v>
      </c>
      <c r="AC619" s="152">
        <f t="shared" si="1275"/>
        <v>0</v>
      </c>
      <c r="AD619" s="152">
        <f t="shared" si="1275"/>
        <v>0</v>
      </c>
      <c r="AE619" s="152">
        <f t="shared" si="1275"/>
        <v>0</v>
      </c>
      <c r="AF619" s="152">
        <f t="shared" si="1275"/>
        <v>0</v>
      </c>
      <c r="AG619" s="152">
        <f t="shared" si="1275"/>
        <v>0</v>
      </c>
      <c r="AH619" s="152">
        <f t="shared" si="1275"/>
        <v>0</v>
      </c>
      <c r="AI619" s="152">
        <f t="shared" si="1275"/>
        <v>0</v>
      </c>
      <c r="AJ619" s="152">
        <f t="shared" si="1275"/>
        <v>0</v>
      </c>
      <c r="AK619" s="152">
        <f t="shared" si="1275"/>
        <v>0</v>
      </c>
      <c r="AL619" s="152">
        <f t="shared" si="1275"/>
        <v>0</v>
      </c>
      <c r="AM619" s="152">
        <f t="shared" si="1275"/>
        <v>0</v>
      </c>
      <c r="AN619" s="152">
        <f t="shared" si="1275"/>
        <v>0</v>
      </c>
      <c r="AO619" s="152">
        <f t="shared" si="1275"/>
        <v>0</v>
      </c>
      <c r="AP619" s="152">
        <f t="shared" si="1275"/>
        <v>0</v>
      </c>
    </row>
    <row r="621" spans="1:42">
      <c r="A621" s="182" t="s">
        <v>108</v>
      </c>
    </row>
    <row r="622" spans="1:42">
      <c r="A622" s="37" t="s">
        <v>109</v>
      </c>
      <c r="B622" s="196">
        <f>SUM(C622:AP622)</f>
        <v>55659832.607544564</v>
      </c>
      <c r="C622" s="152">
        <f t="shared" ref="C622:AP622" si="1276">IF(C$2&lt;=LPFDebtTerm,C43,0)</f>
        <v>5130924.9360721735</v>
      </c>
      <c r="D622" s="152">
        <f t="shared" si="1276"/>
        <v>5224480.1535440227</v>
      </c>
      <c r="E622" s="152">
        <f t="shared" si="1276"/>
        <v>5319178.3042360479</v>
      </c>
      <c r="F622" s="152">
        <f t="shared" si="1276"/>
        <v>5415035.5329115689</v>
      </c>
      <c r="G622" s="152">
        <f t="shared" si="1276"/>
        <v>5512068.2044891519</v>
      </c>
      <c r="H622" s="152">
        <f t="shared" si="1276"/>
        <v>5610292.9068568042</v>
      </c>
      <c r="I622" s="152">
        <f t="shared" si="1276"/>
        <v>5709726.4537174851</v>
      </c>
      <c r="J622" s="152">
        <f t="shared" si="1276"/>
        <v>5810385.8874661699</v>
      </c>
      <c r="K622" s="152">
        <f t="shared" si="1276"/>
        <v>5912288.4820986763</v>
      </c>
      <c r="L622" s="152">
        <f t="shared" si="1276"/>
        <v>6015451.7461524587</v>
      </c>
      <c r="M622" s="152">
        <f t="shared" si="1276"/>
        <v>0</v>
      </c>
      <c r="N622" s="152">
        <f t="shared" si="1276"/>
        <v>0</v>
      </c>
      <c r="O622" s="152">
        <f t="shared" si="1276"/>
        <v>0</v>
      </c>
      <c r="P622" s="152">
        <f t="shared" si="1276"/>
        <v>0</v>
      </c>
      <c r="Q622" s="152">
        <f t="shared" si="1276"/>
        <v>0</v>
      </c>
      <c r="R622" s="152">
        <f t="shared" si="1276"/>
        <v>0</v>
      </c>
      <c r="S622" s="152">
        <f t="shared" si="1276"/>
        <v>0</v>
      </c>
      <c r="T622" s="152">
        <f t="shared" si="1276"/>
        <v>0</v>
      </c>
      <c r="U622" s="152">
        <f t="shared" si="1276"/>
        <v>0</v>
      </c>
      <c r="V622" s="152">
        <f t="shared" si="1276"/>
        <v>0</v>
      </c>
      <c r="W622" s="152">
        <f t="shared" si="1276"/>
        <v>0</v>
      </c>
      <c r="X622" s="152">
        <f t="shared" si="1276"/>
        <v>0</v>
      </c>
      <c r="Y622" s="152">
        <f t="shared" si="1276"/>
        <v>0</v>
      </c>
      <c r="Z622" s="152">
        <f t="shared" si="1276"/>
        <v>0</v>
      </c>
      <c r="AA622" s="152">
        <f t="shared" si="1276"/>
        <v>0</v>
      </c>
      <c r="AB622" s="152">
        <f t="shared" si="1276"/>
        <v>0</v>
      </c>
      <c r="AC622" s="152">
        <f t="shared" si="1276"/>
        <v>0</v>
      </c>
      <c r="AD622" s="152">
        <f t="shared" si="1276"/>
        <v>0</v>
      </c>
      <c r="AE622" s="152">
        <f t="shared" si="1276"/>
        <v>0</v>
      </c>
      <c r="AF622" s="152">
        <f t="shared" si="1276"/>
        <v>0</v>
      </c>
      <c r="AG622" s="152">
        <f t="shared" si="1276"/>
        <v>0</v>
      </c>
      <c r="AH622" s="152">
        <f t="shared" si="1276"/>
        <v>0</v>
      </c>
      <c r="AI622" s="152">
        <f t="shared" si="1276"/>
        <v>0</v>
      </c>
      <c r="AJ622" s="152">
        <f t="shared" si="1276"/>
        <v>0</v>
      </c>
      <c r="AK622" s="152">
        <f t="shared" si="1276"/>
        <v>0</v>
      </c>
      <c r="AL622" s="152">
        <f t="shared" si="1276"/>
        <v>0</v>
      </c>
      <c r="AM622" s="152">
        <f t="shared" si="1276"/>
        <v>0</v>
      </c>
      <c r="AN622" s="152">
        <f t="shared" si="1276"/>
        <v>0</v>
      </c>
      <c r="AO622" s="152">
        <f t="shared" si="1276"/>
        <v>0</v>
      </c>
      <c r="AP622" s="152">
        <f t="shared" si="1276"/>
        <v>0</v>
      </c>
    </row>
    <row r="623" spans="1:42">
      <c r="A623" s="37" t="s">
        <v>110</v>
      </c>
      <c r="B623" s="196">
        <f>SUM(C623:AP623)</f>
        <v>32491503.174679302</v>
      </c>
      <c r="C623" s="152">
        <f>C619</f>
        <v>2960395.2203660519</v>
      </c>
      <c r="D623" s="152">
        <f t="shared" ref="D623:AP623" si="1277">D619</f>
        <v>3022765.3653472848</v>
      </c>
      <c r="E623" s="152">
        <f t="shared" si="1277"/>
        <v>3085897.4658086351</v>
      </c>
      <c r="F623" s="152">
        <f t="shared" si="1277"/>
        <v>3148756.5292837736</v>
      </c>
      <c r="G623" s="152">
        <f t="shared" si="1277"/>
        <v>3213444.9770021625</v>
      </c>
      <c r="H623" s="152">
        <f t="shared" si="1277"/>
        <v>3278928.1119139306</v>
      </c>
      <c r="I623" s="152">
        <f t="shared" si="1277"/>
        <v>3344123.6190941422</v>
      </c>
      <c r="J623" s="152">
        <f t="shared" si="1277"/>
        <v>3411229.908259932</v>
      </c>
      <c r="K623" s="152">
        <f t="shared" si="1277"/>
        <v>3479164.9713482694</v>
      </c>
      <c r="L623" s="152">
        <f t="shared" si="1277"/>
        <v>3546797.0062551196</v>
      </c>
      <c r="M623" s="152">
        <f t="shared" si="1277"/>
        <v>0</v>
      </c>
      <c r="N623" s="152">
        <f t="shared" si="1277"/>
        <v>0</v>
      </c>
      <c r="O623" s="152">
        <f t="shared" si="1277"/>
        <v>0</v>
      </c>
      <c r="P623" s="152">
        <f t="shared" si="1277"/>
        <v>0</v>
      </c>
      <c r="Q623" s="152">
        <f t="shared" si="1277"/>
        <v>0</v>
      </c>
      <c r="R623" s="152">
        <f t="shared" si="1277"/>
        <v>0</v>
      </c>
      <c r="S623" s="152">
        <f t="shared" si="1277"/>
        <v>0</v>
      </c>
      <c r="T623" s="152">
        <f t="shared" si="1277"/>
        <v>0</v>
      </c>
      <c r="U623" s="152">
        <f t="shared" si="1277"/>
        <v>0</v>
      </c>
      <c r="V623" s="152">
        <f t="shared" si="1277"/>
        <v>0</v>
      </c>
      <c r="W623" s="152">
        <f t="shared" si="1277"/>
        <v>0</v>
      </c>
      <c r="X623" s="152">
        <f t="shared" si="1277"/>
        <v>0</v>
      </c>
      <c r="Y623" s="152">
        <f t="shared" si="1277"/>
        <v>0</v>
      </c>
      <c r="Z623" s="152">
        <f t="shared" si="1277"/>
        <v>0</v>
      </c>
      <c r="AA623" s="152">
        <f t="shared" si="1277"/>
        <v>0</v>
      </c>
      <c r="AB623" s="152">
        <f t="shared" si="1277"/>
        <v>0</v>
      </c>
      <c r="AC623" s="152">
        <f t="shared" si="1277"/>
        <v>0</v>
      </c>
      <c r="AD623" s="152">
        <f t="shared" si="1277"/>
        <v>0</v>
      </c>
      <c r="AE623" s="152">
        <f t="shared" si="1277"/>
        <v>0</v>
      </c>
      <c r="AF623" s="152">
        <f t="shared" si="1277"/>
        <v>0</v>
      </c>
      <c r="AG623" s="152">
        <f t="shared" si="1277"/>
        <v>0</v>
      </c>
      <c r="AH623" s="152">
        <f t="shared" si="1277"/>
        <v>0</v>
      </c>
      <c r="AI623" s="152">
        <f t="shared" si="1277"/>
        <v>0</v>
      </c>
      <c r="AJ623" s="152">
        <f t="shared" si="1277"/>
        <v>0</v>
      </c>
      <c r="AK623" s="152">
        <f t="shared" si="1277"/>
        <v>0</v>
      </c>
      <c r="AL623" s="152">
        <f t="shared" si="1277"/>
        <v>0</v>
      </c>
      <c r="AM623" s="152">
        <f t="shared" si="1277"/>
        <v>0</v>
      </c>
      <c r="AN623" s="152">
        <f t="shared" si="1277"/>
        <v>0</v>
      </c>
      <c r="AO623" s="152">
        <f t="shared" si="1277"/>
        <v>0</v>
      </c>
      <c r="AP623" s="152">
        <f t="shared" si="1277"/>
        <v>0</v>
      </c>
    </row>
    <row r="624" spans="1:42">
      <c r="A624" s="37" t="s">
        <v>108</v>
      </c>
      <c r="C624" s="241">
        <f t="shared" ref="C624:AP624" si="1278">IF(ISERROR(IF(C$2&lt;=LPFDebtTerm,C622/C623,"")),0,IF(C$2&lt;=LPFDebtTerm,C622/C623,""))</f>
        <v>1.7331891704100699</v>
      </c>
      <c r="D624" s="241">
        <f t="shared" si="1278"/>
        <v>1.7283776681567817</v>
      </c>
      <c r="E624" s="241">
        <f t="shared" si="1278"/>
        <v>1.7237054578682183</v>
      </c>
      <c r="F624" s="241">
        <f t="shared" si="1278"/>
        <v>1.7197377703074712</v>
      </c>
      <c r="G624" s="241">
        <f t="shared" si="1278"/>
        <v>1.7153143258831789</v>
      </c>
      <c r="H624" s="241">
        <f t="shared" si="1278"/>
        <v>1.7110143057031042</v>
      </c>
      <c r="I624" s="241">
        <f t="shared" si="1278"/>
        <v>1.7073909651893007</v>
      </c>
      <c r="J624" s="241">
        <f t="shared" si="1278"/>
        <v>1.7033111351999277</v>
      </c>
      <c r="K624" s="241">
        <f t="shared" si="1278"/>
        <v>1.6993412300904795</v>
      </c>
      <c r="L624" s="241">
        <f t="shared" si="1278"/>
        <v>1.6960236899782051</v>
      </c>
      <c r="M624" s="241" t="str">
        <f t="shared" si="1278"/>
        <v/>
      </c>
      <c r="N624" s="241" t="str">
        <f t="shared" si="1278"/>
        <v/>
      </c>
      <c r="O624" s="241" t="str">
        <f t="shared" si="1278"/>
        <v/>
      </c>
      <c r="P624" s="241" t="str">
        <f t="shared" si="1278"/>
        <v/>
      </c>
      <c r="Q624" s="241" t="str">
        <f t="shared" si="1278"/>
        <v/>
      </c>
      <c r="R624" s="241" t="str">
        <f t="shared" si="1278"/>
        <v/>
      </c>
      <c r="S624" s="241" t="str">
        <f t="shared" si="1278"/>
        <v/>
      </c>
      <c r="T624" s="241" t="str">
        <f t="shared" si="1278"/>
        <v/>
      </c>
      <c r="U624" s="241" t="str">
        <f t="shared" si="1278"/>
        <v/>
      </c>
      <c r="V624" s="241" t="str">
        <f t="shared" si="1278"/>
        <v/>
      </c>
      <c r="W624" s="241" t="str">
        <f t="shared" si="1278"/>
        <v/>
      </c>
      <c r="X624" s="241" t="str">
        <f t="shared" si="1278"/>
        <v/>
      </c>
      <c r="Y624" s="241" t="str">
        <f t="shared" si="1278"/>
        <v/>
      </c>
      <c r="Z624" s="241" t="str">
        <f t="shared" si="1278"/>
        <v/>
      </c>
      <c r="AA624" s="241" t="str">
        <f t="shared" si="1278"/>
        <v/>
      </c>
      <c r="AB624" s="241" t="str">
        <f t="shared" si="1278"/>
        <v/>
      </c>
      <c r="AC624" s="241" t="str">
        <f t="shared" si="1278"/>
        <v/>
      </c>
      <c r="AD624" s="241" t="str">
        <f t="shared" si="1278"/>
        <v/>
      </c>
      <c r="AE624" s="241" t="str">
        <f t="shared" si="1278"/>
        <v/>
      </c>
      <c r="AF624" s="241" t="str">
        <f t="shared" si="1278"/>
        <v/>
      </c>
      <c r="AG624" s="241" t="str">
        <f t="shared" si="1278"/>
        <v/>
      </c>
      <c r="AH624" s="241" t="str">
        <f t="shared" si="1278"/>
        <v/>
      </c>
      <c r="AI624" s="241" t="str">
        <f t="shared" si="1278"/>
        <v/>
      </c>
      <c r="AJ624" s="241" t="str">
        <f t="shared" si="1278"/>
        <v/>
      </c>
      <c r="AK624" s="241" t="str">
        <f t="shared" si="1278"/>
        <v/>
      </c>
      <c r="AL624" s="241" t="str">
        <f t="shared" si="1278"/>
        <v/>
      </c>
      <c r="AM624" s="241" t="str">
        <f t="shared" si="1278"/>
        <v/>
      </c>
      <c r="AN624" s="241" t="str">
        <f t="shared" si="1278"/>
        <v/>
      </c>
      <c r="AO624" s="241" t="str">
        <f t="shared" si="1278"/>
        <v/>
      </c>
      <c r="AP624" s="241" t="str">
        <f t="shared" si="1278"/>
        <v/>
      </c>
    </row>
    <row r="625" spans="1:42">
      <c r="A625" s="37" t="s">
        <v>111</v>
      </c>
      <c r="B625" s="199">
        <f>IF(ISERROR(B622/B623),0,B622/B623)</f>
        <v>1.713058097321899</v>
      </c>
    </row>
    <row r="626" spans="1:42">
      <c r="A626" s="37" t="s">
        <v>112</v>
      </c>
      <c r="B626" s="199">
        <f>MIN(C624:AP624)</f>
        <v>1.6960236899782051</v>
      </c>
    </row>
    <row r="628" spans="1:42">
      <c r="A628" s="179" t="s">
        <v>192</v>
      </c>
      <c r="B628" s="152"/>
      <c r="C628" s="152"/>
      <c r="D628" s="152"/>
      <c r="E628" s="152"/>
      <c r="F628" s="152"/>
      <c r="G628" s="186"/>
      <c r="H628" s="186"/>
      <c r="I628" s="186"/>
      <c r="J628" s="186"/>
      <c r="K628" s="186"/>
      <c r="L628" s="186"/>
      <c r="M628" s="186"/>
      <c r="N628" s="186"/>
      <c r="O628" s="186"/>
      <c r="P628" s="186"/>
      <c r="Q628" s="186"/>
      <c r="R628" s="186"/>
      <c r="S628" s="186"/>
      <c r="T628" s="186"/>
      <c r="U628" s="186"/>
      <c r="V628" s="186"/>
      <c r="W628" s="186"/>
      <c r="X628" s="186"/>
      <c r="Y628" s="186"/>
      <c r="Z628" s="186"/>
      <c r="AA628" s="186"/>
      <c r="AB628" s="186"/>
      <c r="AC628" s="186"/>
      <c r="AD628" s="186"/>
      <c r="AE628" s="186"/>
      <c r="AF628" s="186"/>
      <c r="AG628" s="186"/>
      <c r="AH628" s="186"/>
      <c r="AI628" s="186"/>
      <c r="AJ628" s="186"/>
      <c r="AK628" s="186"/>
      <c r="AL628" s="186"/>
      <c r="AM628" s="186"/>
      <c r="AN628" s="186"/>
      <c r="AO628" s="186"/>
      <c r="AP628" s="186"/>
    </row>
    <row r="629" spans="1:42">
      <c r="A629" s="182" t="s">
        <v>84</v>
      </c>
      <c r="C629" s="152"/>
      <c r="D629" s="152"/>
      <c r="E629" s="152"/>
      <c r="F629" s="152"/>
      <c r="G629" s="152"/>
      <c r="H629" s="152"/>
      <c r="I629" s="152"/>
      <c r="J629" s="152"/>
      <c r="K629" s="152"/>
      <c r="L629" s="152"/>
      <c r="M629" s="152"/>
      <c r="N629" s="152"/>
      <c r="O629" s="152"/>
      <c r="P629" s="152"/>
      <c r="Q629" s="152"/>
      <c r="R629" s="152"/>
      <c r="S629" s="152"/>
      <c r="T629" s="152"/>
      <c r="U629" s="152"/>
      <c r="V629" s="152"/>
      <c r="W629" s="152"/>
      <c r="X629" s="152"/>
      <c r="Y629" s="152"/>
      <c r="Z629" s="152"/>
      <c r="AA629" s="152"/>
      <c r="AB629" s="152"/>
      <c r="AC629" s="152"/>
      <c r="AD629" s="152"/>
      <c r="AE629" s="152"/>
      <c r="AF629" s="152"/>
      <c r="AG629" s="152"/>
      <c r="AH629" s="152"/>
      <c r="AI629" s="152"/>
      <c r="AJ629" s="152"/>
      <c r="AK629" s="152"/>
      <c r="AL629" s="152"/>
      <c r="AM629" s="152"/>
      <c r="AN629" s="152"/>
      <c r="AO629" s="152"/>
      <c r="AP629" s="152"/>
    </row>
    <row r="630" spans="1:42">
      <c r="A630" s="37" t="s">
        <v>99</v>
      </c>
      <c r="B630" s="152">
        <v>0</v>
      </c>
      <c r="C630" s="152">
        <f>B633</f>
        <v>1480197.6101830259</v>
      </c>
      <c r="D630" s="152">
        <f t="shared" ref="D630:AP630" si="1279">C633</f>
        <v>1511382.6826736424</v>
      </c>
      <c r="E630" s="152">
        <f t="shared" si="1279"/>
        <v>1542948.7329043176</v>
      </c>
      <c r="F630" s="152">
        <f t="shared" si="1279"/>
        <v>1574378.2646418868</v>
      </c>
      <c r="G630" s="152">
        <f t="shared" si="1279"/>
        <v>1606722.4885010812</v>
      </c>
      <c r="H630" s="152">
        <f t="shared" si="1279"/>
        <v>1639464.0559569653</v>
      </c>
      <c r="I630" s="152">
        <f t="shared" si="1279"/>
        <v>1672061.8095470711</v>
      </c>
      <c r="J630" s="152">
        <f t="shared" si="1279"/>
        <v>1705614.954129966</v>
      </c>
      <c r="K630" s="152">
        <f t="shared" si="1279"/>
        <v>1739582.4856741347</v>
      </c>
      <c r="L630" s="152">
        <f t="shared" si="1279"/>
        <v>1773398.5031275598</v>
      </c>
      <c r="M630" s="152">
        <f t="shared" si="1279"/>
        <v>0</v>
      </c>
      <c r="N630" s="152">
        <f t="shared" si="1279"/>
        <v>0</v>
      </c>
      <c r="O630" s="152">
        <f t="shared" si="1279"/>
        <v>0</v>
      </c>
      <c r="P630" s="152">
        <f t="shared" si="1279"/>
        <v>0</v>
      </c>
      <c r="Q630" s="152">
        <f t="shared" si="1279"/>
        <v>0</v>
      </c>
      <c r="R630" s="152">
        <f t="shared" si="1279"/>
        <v>0</v>
      </c>
      <c r="S630" s="152">
        <f t="shared" si="1279"/>
        <v>0</v>
      </c>
      <c r="T630" s="152">
        <f t="shared" si="1279"/>
        <v>0</v>
      </c>
      <c r="U630" s="152">
        <f t="shared" si="1279"/>
        <v>0</v>
      </c>
      <c r="V630" s="152">
        <f t="shared" si="1279"/>
        <v>0</v>
      </c>
      <c r="W630" s="152">
        <f t="shared" si="1279"/>
        <v>0</v>
      </c>
      <c r="X630" s="152">
        <f t="shared" si="1279"/>
        <v>0</v>
      </c>
      <c r="Y630" s="152">
        <f t="shared" si="1279"/>
        <v>0</v>
      </c>
      <c r="Z630" s="152">
        <f t="shared" si="1279"/>
        <v>0</v>
      </c>
      <c r="AA630" s="152">
        <f t="shared" si="1279"/>
        <v>0</v>
      </c>
      <c r="AB630" s="152">
        <f t="shared" si="1279"/>
        <v>0</v>
      </c>
      <c r="AC630" s="152">
        <f t="shared" si="1279"/>
        <v>0</v>
      </c>
      <c r="AD630" s="152">
        <f t="shared" si="1279"/>
        <v>0</v>
      </c>
      <c r="AE630" s="152">
        <f t="shared" si="1279"/>
        <v>0</v>
      </c>
      <c r="AF630" s="152">
        <f t="shared" si="1279"/>
        <v>0</v>
      </c>
      <c r="AG630" s="152">
        <f t="shared" si="1279"/>
        <v>0</v>
      </c>
      <c r="AH630" s="152">
        <f t="shared" si="1279"/>
        <v>0</v>
      </c>
      <c r="AI630" s="152">
        <f t="shared" si="1279"/>
        <v>0</v>
      </c>
      <c r="AJ630" s="152">
        <f t="shared" si="1279"/>
        <v>0</v>
      </c>
      <c r="AK630" s="152">
        <f t="shared" si="1279"/>
        <v>0</v>
      </c>
      <c r="AL630" s="152">
        <f t="shared" si="1279"/>
        <v>0</v>
      </c>
      <c r="AM630" s="152">
        <f t="shared" si="1279"/>
        <v>0</v>
      </c>
      <c r="AN630" s="152">
        <f t="shared" si="1279"/>
        <v>0</v>
      </c>
      <c r="AO630" s="152">
        <f t="shared" si="1279"/>
        <v>0</v>
      </c>
      <c r="AP630" s="152">
        <f t="shared" si="1279"/>
        <v>0</v>
      </c>
    </row>
    <row r="631" spans="1:42">
      <c r="A631" s="37" t="s">
        <v>100</v>
      </c>
      <c r="B631" s="152">
        <f t="shared" ref="B631:AP631" si="1280">IF(B2&lt;MIN(LPFDebtTerm,AnalysisPeriod),B633-B630,0)</f>
        <v>1480197.6101830259</v>
      </c>
      <c r="C631" s="152">
        <f t="shared" si="1280"/>
        <v>31185.072490616469</v>
      </c>
      <c r="D631" s="152">
        <f t="shared" si="1280"/>
        <v>31566.050230675144</v>
      </c>
      <c r="E631" s="152">
        <f t="shared" si="1280"/>
        <v>31429.531737569254</v>
      </c>
      <c r="F631" s="152">
        <f t="shared" si="1280"/>
        <v>32344.223859194433</v>
      </c>
      <c r="G631" s="152">
        <f t="shared" si="1280"/>
        <v>32741.567455884069</v>
      </c>
      <c r="H631" s="152">
        <f t="shared" si="1280"/>
        <v>32597.7535901058</v>
      </c>
      <c r="I631" s="152">
        <f t="shared" si="1280"/>
        <v>33553.144582894864</v>
      </c>
      <c r="J631" s="152">
        <f t="shared" si="1280"/>
        <v>33967.531544168713</v>
      </c>
      <c r="K631" s="152">
        <f t="shared" si="1280"/>
        <v>33816.017453425098</v>
      </c>
      <c r="L631" s="152">
        <f t="shared" si="1280"/>
        <v>0</v>
      </c>
      <c r="M631" s="152">
        <f t="shared" si="1280"/>
        <v>0</v>
      </c>
      <c r="N631" s="152">
        <f t="shared" si="1280"/>
        <v>0</v>
      </c>
      <c r="O631" s="152">
        <f t="shared" si="1280"/>
        <v>0</v>
      </c>
      <c r="P631" s="152">
        <f t="shared" si="1280"/>
        <v>0</v>
      </c>
      <c r="Q631" s="152">
        <f t="shared" si="1280"/>
        <v>0</v>
      </c>
      <c r="R631" s="152">
        <f t="shared" si="1280"/>
        <v>0</v>
      </c>
      <c r="S631" s="152">
        <f t="shared" si="1280"/>
        <v>0</v>
      </c>
      <c r="T631" s="152">
        <f t="shared" si="1280"/>
        <v>0</v>
      </c>
      <c r="U631" s="152">
        <f t="shared" si="1280"/>
        <v>0</v>
      </c>
      <c r="V631" s="152">
        <f t="shared" si="1280"/>
        <v>0</v>
      </c>
      <c r="W631" s="152">
        <f t="shared" si="1280"/>
        <v>0</v>
      </c>
      <c r="X631" s="152">
        <f t="shared" si="1280"/>
        <v>0</v>
      </c>
      <c r="Y631" s="152">
        <f t="shared" si="1280"/>
        <v>0</v>
      </c>
      <c r="Z631" s="152">
        <f t="shared" si="1280"/>
        <v>0</v>
      </c>
      <c r="AA631" s="152">
        <f t="shared" si="1280"/>
        <v>0</v>
      </c>
      <c r="AB631" s="152">
        <f t="shared" si="1280"/>
        <v>0</v>
      </c>
      <c r="AC631" s="152">
        <f t="shared" si="1280"/>
        <v>0</v>
      </c>
      <c r="AD631" s="152">
        <f t="shared" si="1280"/>
        <v>0</v>
      </c>
      <c r="AE631" s="152">
        <f t="shared" si="1280"/>
        <v>0</v>
      </c>
      <c r="AF631" s="152">
        <f t="shared" si="1280"/>
        <v>0</v>
      </c>
      <c r="AG631" s="152">
        <f t="shared" si="1280"/>
        <v>0</v>
      </c>
      <c r="AH631" s="152">
        <f t="shared" si="1280"/>
        <v>0</v>
      </c>
      <c r="AI631" s="152">
        <f t="shared" si="1280"/>
        <v>0</v>
      </c>
      <c r="AJ631" s="152">
        <f t="shared" si="1280"/>
        <v>0</v>
      </c>
      <c r="AK631" s="152">
        <f t="shared" si="1280"/>
        <v>0</v>
      </c>
      <c r="AL631" s="152">
        <f t="shared" si="1280"/>
        <v>0</v>
      </c>
      <c r="AM631" s="152">
        <f t="shared" si="1280"/>
        <v>0</v>
      </c>
      <c r="AN631" s="152">
        <f t="shared" si="1280"/>
        <v>0</v>
      </c>
      <c r="AO631" s="152">
        <f t="shared" si="1280"/>
        <v>0</v>
      </c>
      <c r="AP631" s="152">
        <f t="shared" si="1280"/>
        <v>0</v>
      </c>
    </row>
    <row r="632" spans="1:42">
      <c r="A632" s="37" t="s">
        <v>106</v>
      </c>
      <c r="B632" s="187">
        <v>0</v>
      </c>
      <c r="C632" s="187">
        <f t="shared" ref="C632:AP632" si="1281">IF(C$2=LPFDebtTerm,-C630,0)</f>
        <v>0</v>
      </c>
      <c r="D632" s="187">
        <f t="shared" si="1281"/>
        <v>0</v>
      </c>
      <c r="E632" s="187">
        <f t="shared" si="1281"/>
        <v>0</v>
      </c>
      <c r="F632" s="187">
        <f t="shared" si="1281"/>
        <v>0</v>
      </c>
      <c r="G632" s="187">
        <f t="shared" si="1281"/>
        <v>0</v>
      </c>
      <c r="H632" s="187">
        <f t="shared" si="1281"/>
        <v>0</v>
      </c>
      <c r="I632" s="187">
        <f t="shared" si="1281"/>
        <v>0</v>
      </c>
      <c r="J632" s="187">
        <f t="shared" si="1281"/>
        <v>0</v>
      </c>
      <c r="K632" s="187">
        <f t="shared" si="1281"/>
        <v>0</v>
      </c>
      <c r="L632" s="187">
        <f t="shared" si="1281"/>
        <v>-1773398.5031275598</v>
      </c>
      <c r="M632" s="187">
        <f t="shared" si="1281"/>
        <v>0</v>
      </c>
      <c r="N632" s="187">
        <f t="shared" si="1281"/>
        <v>0</v>
      </c>
      <c r="O632" s="187">
        <f t="shared" si="1281"/>
        <v>0</v>
      </c>
      <c r="P632" s="187">
        <f t="shared" si="1281"/>
        <v>0</v>
      </c>
      <c r="Q632" s="187">
        <f t="shared" si="1281"/>
        <v>0</v>
      </c>
      <c r="R632" s="187">
        <f t="shared" si="1281"/>
        <v>0</v>
      </c>
      <c r="S632" s="187">
        <f t="shared" si="1281"/>
        <v>0</v>
      </c>
      <c r="T632" s="187">
        <f t="shared" si="1281"/>
        <v>0</v>
      </c>
      <c r="U632" s="187">
        <f t="shared" si="1281"/>
        <v>0</v>
      </c>
      <c r="V632" s="187">
        <f t="shared" si="1281"/>
        <v>0</v>
      </c>
      <c r="W632" s="187">
        <f t="shared" si="1281"/>
        <v>0</v>
      </c>
      <c r="X632" s="187">
        <f t="shared" si="1281"/>
        <v>0</v>
      </c>
      <c r="Y632" s="187">
        <f t="shared" si="1281"/>
        <v>0</v>
      </c>
      <c r="Z632" s="187">
        <f t="shared" si="1281"/>
        <v>0</v>
      </c>
      <c r="AA632" s="187">
        <f t="shared" si="1281"/>
        <v>0</v>
      </c>
      <c r="AB632" s="187">
        <f t="shared" si="1281"/>
        <v>0</v>
      </c>
      <c r="AC632" s="187">
        <f t="shared" si="1281"/>
        <v>0</v>
      </c>
      <c r="AD632" s="187">
        <f t="shared" si="1281"/>
        <v>0</v>
      </c>
      <c r="AE632" s="187">
        <f t="shared" si="1281"/>
        <v>0</v>
      </c>
      <c r="AF632" s="187">
        <f t="shared" si="1281"/>
        <v>0</v>
      </c>
      <c r="AG632" s="187">
        <f t="shared" si="1281"/>
        <v>0</v>
      </c>
      <c r="AH632" s="187">
        <f t="shared" si="1281"/>
        <v>0</v>
      </c>
      <c r="AI632" s="187">
        <f t="shared" si="1281"/>
        <v>0</v>
      </c>
      <c r="AJ632" s="187">
        <f t="shared" si="1281"/>
        <v>0</v>
      </c>
      <c r="AK632" s="187">
        <f t="shared" si="1281"/>
        <v>0</v>
      </c>
      <c r="AL632" s="187">
        <f t="shared" si="1281"/>
        <v>0</v>
      </c>
      <c r="AM632" s="187">
        <f t="shared" si="1281"/>
        <v>0</v>
      </c>
      <c r="AN632" s="187">
        <f t="shared" si="1281"/>
        <v>0</v>
      </c>
      <c r="AO632" s="187">
        <f t="shared" si="1281"/>
        <v>0</v>
      </c>
      <c r="AP632" s="187">
        <f t="shared" si="1281"/>
        <v>0</v>
      </c>
    </row>
    <row r="633" spans="1:42">
      <c r="A633" s="37" t="s">
        <v>102</v>
      </c>
      <c r="B633" s="152">
        <f t="shared" ref="B633:AP633" si="1282">IF(B2&lt;=MIN(LPFDebtTerm,AnalysisPeriod),(LPFDSRASize/12)*C619,0)</f>
        <v>1480197.6101830259</v>
      </c>
      <c r="C633" s="152">
        <f t="shared" si="1282"/>
        <v>1511382.6826736424</v>
      </c>
      <c r="D633" s="152">
        <f t="shared" si="1282"/>
        <v>1542948.7329043176</v>
      </c>
      <c r="E633" s="152">
        <f t="shared" si="1282"/>
        <v>1574378.2646418868</v>
      </c>
      <c r="F633" s="152">
        <f t="shared" si="1282"/>
        <v>1606722.4885010812</v>
      </c>
      <c r="G633" s="152">
        <f t="shared" si="1282"/>
        <v>1639464.0559569653</v>
      </c>
      <c r="H633" s="152">
        <f t="shared" si="1282"/>
        <v>1672061.8095470711</v>
      </c>
      <c r="I633" s="152">
        <f t="shared" si="1282"/>
        <v>1705614.954129966</v>
      </c>
      <c r="J633" s="152">
        <f t="shared" si="1282"/>
        <v>1739582.4856741347</v>
      </c>
      <c r="K633" s="152">
        <f t="shared" si="1282"/>
        <v>1773398.5031275598</v>
      </c>
      <c r="L633" s="152">
        <f t="shared" si="1282"/>
        <v>0</v>
      </c>
      <c r="M633" s="152">
        <f t="shared" si="1282"/>
        <v>0</v>
      </c>
      <c r="N633" s="152">
        <f t="shared" si="1282"/>
        <v>0</v>
      </c>
      <c r="O633" s="152">
        <f t="shared" si="1282"/>
        <v>0</v>
      </c>
      <c r="P633" s="152">
        <f t="shared" si="1282"/>
        <v>0</v>
      </c>
      <c r="Q633" s="152">
        <f t="shared" si="1282"/>
        <v>0</v>
      </c>
      <c r="R633" s="152">
        <f t="shared" si="1282"/>
        <v>0</v>
      </c>
      <c r="S633" s="152">
        <f t="shared" si="1282"/>
        <v>0</v>
      </c>
      <c r="T633" s="152">
        <f t="shared" si="1282"/>
        <v>0</v>
      </c>
      <c r="U633" s="152">
        <f t="shared" si="1282"/>
        <v>0</v>
      </c>
      <c r="V633" s="152">
        <f t="shared" si="1282"/>
        <v>0</v>
      </c>
      <c r="W633" s="152">
        <f t="shared" si="1282"/>
        <v>0</v>
      </c>
      <c r="X633" s="152">
        <f t="shared" si="1282"/>
        <v>0</v>
      </c>
      <c r="Y633" s="152">
        <f t="shared" si="1282"/>
        <v>0</v>
      </c>
      <c r="Z633" s="152">
        <f t="shared" si="1282"/>
        <v>0</v>
      </c>
      <c r="AA633" s="152">
        <f t="shared" si="1282"/>
        <v>0</v>
      </c>
      <c r="AB633" s="152">
        <f t="shared" si="1282"/>
        <v>0</v>
      </c>
      <c r="AC633" s="152">
        <f t="shared" si="1282"/>
        <v>0</v>
      </c>
      <c r="AD633" s="152">
        <f t="shared" si="1282"/>
        <v>0</v>
      </c>
      <c r="AE633" s="152">
        <f t="shared" si="1282"/>
        <v>0</v>
      </c>
      <c r="AF633" s="152">
        <f t="shared" si="1282"/>
        <v>0</v>
      </c>
      <c r="AG633" s="152">
        <f t="shared" si="1282"/>
        <v>0</v>
      </c>
      <c r="AH633" s="152">
        <f t="shared" si="1282"/>
        <v>0</v>
      </c>
      <c r="AI633" s="152">
        <f t="shared" si="1282"/>
        <v>0</v>
      </c>
      <c r="AJ633" s="152">
        <f t="shared" si="1282"/>
        <v>0</v>
      </c>
      <c r="AK633" s="152">
        <f t="shared" si="1282"/>
        <v>0</v>
      </c>
      <c r="AL633" s="152">
        <f t="shared" si="1282"/>
        <v>0</v>
      </c>
      <c r="AM633" s="152">
        <f t="shared" si="1282"/>
        <v>0</v>
      </c>
      <c r="AN633" s="152">
        <f t="shared" si="1282"/>
        <v>0</v>
      </c>
      <c r="AO633" s="152">
        <f t="shared" si="1282"/>
        <v>0</v>
      </c>
      <c r="AP633" s="152">
        <f t="shared" si="1282"/>
        <v>0</v>
      </c>
    </row>
    <row r="634" spans="1:42">
      <c r="B634" s="152"/>
      <c r="C634" s="152"/>
      <c r="D634" s="152"/>
      <c r="E634" s="152"/>
      <c r="F634" s="152"/>
      <c r="G634" s="186"/>
      <c r="H634" s="186"/>
      <c r="I634" s="186"/>
      <c r="J634" s="186"/>
      <c r="K634" s="186"/>
      <c r="L634" s="186"/>
      <c r="M634" s="186"/>
      <c r="N634" s="186"/>
      <c r="O634" s="186"/>
      <c r="P634" s="186"/>
      <c r="Q634" s="186"/>
      <c r="R634" s="186"/>
      <c r="S634" s="186"/>
      <c r="T634" s="186"/>
      <c r="U634" s="186"/>
      <c r="V634" s="186"/>
      <c r="W634" s="186"/>
      <c r="X634" s="186"/>
      <c r="Y634" s="186"/>
      <c r="Z634" s="186"/>
      <c r="AA634" s="186"/>
      <c r="AB634" s="186"/>
      <c r="AC634" s="186"/>
      <c r="AD634" s="186"/>
      <c r="AE634" s="186"/>
      <c r="AF634" s="186"/>
      <c r="AG634" s="186"/>
      <c r="AH634" s="186"/>
      <c r="AI634" s="186"/>
      <c r="AJ634" s="186"/>
      <c r="AK634" s="186"/>
      <c r="AL634" s="186"/>
      <c r="AM634" s="186"/>
      <c r="AN634" s="186"/>
      <c r="AO634" s="186"/>
      <c r="AP634" s="186"/>
    </row>
    <row r="635" spans="1:42">
      <c r="A635" s="182" t="str">
        <f>'Inputs &amp; Results'!A152</f>
        <v>Working Capital Reserve</v>
      </c>
      <c r="C635" s="152"/>
      <c r="D635" s="152"/>
      <c r="E635" s="152"/>
      <c r="F635" s="152"/>
      <c r="G635" s="152"/>
      <c r="H635" s="152"/>
      <c r="I635" s="152"/>
      <c r="J635" s="152"/>
      <c r="K635" s="152"/>
      <c r="L635" s="152"/>
      <c r="M635" s="152"/>
      <c r="N635" s="152"/>
      <c r="O635" s="152"/>
      <c r="P635" s="152"/>
      <c r="Q635" s="152"/>
      <c r="R635" s="152"/>
      <c r="S635" s="152"/>
      <c r="T635" s="152"/>
      <c r="U635" s="152"/>
      <c r="V635" s="152"/>
      <c r="W635" s="152"/>
      <c r="X635" s="152"/>
      <c r="Y635" s="152"/>
      <c r="Z635" s="152"/>
      <c r="AA635" s="152"/>
      <c r="AB635" s="152"/>
      <c r="AC635" s="152"/>
      <c r="AD635" s="152"/>
      <c r="AE635" s="152"/>
      <c r="AF635" s="152"/>
      <c r="AG635" s="152"/>
      <c r="AH635" s="152"/>
      <c r="AI635" s="152"/>
      <c r="AJ635" s="152"/>
      <c r="AK635" s="152"/>
      <c r="AL635" s="152"/>
      <c r="AM635" s="152"/>
      <c r="AN635" s="152"/>
      <c r="AO635" s="152"/>
      <c r="AP635" s="152"/>
    </row>
    <row r="636" spans="1:42">
      <c r="A636" s="37" t="s">
        <v>99</v>
      </c>
      <c r="B636" s="152">
        <v>0</v>
      </c>
      <c r="C636" s="152">
        <f>B639</f>
        <v>150000</v>
      </c>
      <c r="D636" s="152">
        <f t="shared" ref="D636" si="1283">C639</f>
        <v>150000</v>
      </c>
      <c r="E636" s="152">
        <f t="shared" ref="E636" si="1284">D639</f>
        <v>150000</v>
      </c>
      <c r="F636" s="152">
        <f t="shared" ref="F636" si="1285">E639</f>
        <v>150000</v>
      </c>
      <c r="G636" s="152">
        <f t="shared" ref="G636" si="1286">F639</f>
        <v>150000</v>
      </c>
      <c r="H636" s="152">
        <f t="shared" ref="H636" si="1287">G639</f>
        <v>150000</v>
      </c>
      <c r="I636" s="152">
        <f t="shared" ref="I636" si="1288">H639</f>
        <v>150000</v>
      </c>
      <c r="J636" s="152">
        <f t="shared" ref="J636" si="1289">I639</f>
        <v>150000</v>
      </c>
      <c r="K636" s="152">
        <f t="shared" ref="K636" si="1290">J639</f>
        <v>150000</v>
      </c>
      <c r="L636" s="152">
        <f t="shared" ref="L636" si="1291">K639</f>
        <v>150000</v>
      </c>
      <c r="M636" s="152">
        <f t="shared" ref="M636" si="1292">L639</f>
        <v>150000</v>
      </c>
      <c r="N636" s="152">
        <f t="shared" ref="N636" si="1293">M639</f>
        <v>150000</v>
      </c>
      <c r="O636" s="152">
        <f t="shared" ref="O636" si="1294">N639</f>
        <v>150000</v>
      </c>
      <c r="P636" s="152">
        <f t="shared" ref="P636" si="1295">O639</f>
        <v>150000</v>
      </c>
      <c r="Q636" s="152">
        <f t="shared" ref="Q636" si="1296">P639</f>
        <v>150000</v>
      </c>
      <c r="R636" s="152">
        <f t="shared" ref="R636" si="1297">Q639</f>
        <v>150000</v>
      </c>
      <c r="S636" s="152">
        <f t="shared" ref="S636" si="1298">R639</f>
        <v>150000</v>
      </c>
      <c r="T636" s="152">
        <f t="shared" ref="T636" si="1299">S639</f>
        <v>150000</v>
      </c>
      <c r="U636" s="152">
        <f t="shared" ref="U636" si="1300">T639</f>
        <v>150000</v>
      </c>
      <c r="V636" s="152">
        <f t="shared" ref="V636" si="1301">U639</f>
        <v>150000</v>
      </c>
      <c r="W636" s="152">
        <f t="shared" ref="W636" si="1302">V639</f>
        <v>150000</v>
      </c>
      <c r="X636" s="152">
        <f t="shared" ref="X636" si="1303">W639</f>
        <v>150000</v>
      </c>
      <c r="Y636" s="152">
        <f t="shared" ref="Y636" si="1304">X639</f>
        <v>150000</v>
      </c>
      <c r="Z636" s="152">
        <f t="shared" ref="Z636" si="1305">Y639</f>
        <v>150000</v>
      </c>
      <c r="AA636" s="152">
        <f t="shared" ref="AA636" si="1306">Z639</f>
        <v>150000</v>
      </c>
      <c r="AB636" s="152">
        <f t="shared" ref="AB636" si="1307">AA639</f>
        <v>150000</v>
      </c>
      <c r="AC636" s="152">
        <f t="shared" ref="AC636" si="1308">AB639</f>
        <v>150000</v>
      </c>
      <c r="AD636" s="152">
        <f t="shared" ref="AD636" si="1309">AC639</f>
        <v>150000</v>
      </c>
      <c r="AE636" s="152">
        <f t="shared" ref="AE636" si="1310">AD639</f>
        <v>150000</v>
      </c>
      <c r="AF636" s="152">
        <f t="shared" ref="AF636" si="1311">AE639</f>
        <v>150000</v>
      </c>
      <c r="AG636" s="152">
        <f t="shared" ref="AG636" si="1312">AF639</f>
        <v>0</v>
      </c>
      <c r="AH636" s="152">
        <f t="shared" ref="AH636" si="1313">AG639</f>
        <v>0</v>
      </c>
      <c r="AI636" s="152">
        <f t="shared" ref="AI636" si="1314">AH639</f>
        <v>0</v>
      </c>
      <c r="AJ636" s="152">
        <f t="shared" ref="AJ636" si="1315">AI639</f>
        <v>0</v>
      </c>
      <c r="AK636" s="152">
        <f t="shared" ref="AK636" si="1316">AJ639</f>
        <v>0</v>
      </c>
      <c r="AL636" s="152">
        <f t="shared" ref="AL636" si="1317">AK639</f>
        <v>0</v>
      </c>
      <c r="AM636" s="152">
        <f t="shared" ref="AM636" si="1318">AL639</f>
        <v>0</v>
      </c>
      <c r="AN636" s="152">
        <f t="shared" ref="AN636" si="1319">AM639</f>
        <v>0</v>
      </c>
      <c r="AO636" s="152">
        <f t="shared" ref="AO636" si="1320">AN639</f>
        <v>0</v>
      </c>
      <c r="AP636" s="152">
        <f t="shared" ref="AP636" si="1321">AO639</f>
        <v>0</v>
      </c>
    </row>
    <row r="637" spans="1:42">
      <c r="A637" s="37" t="s">
        <v>100</v>
      </c>
      <c r="B637" s="152">
        <f>'Inputs &amp; Results'!$C$152</f>
        <v>150000</v>
      </c>
      <c r="C637" s="152"/>
      <c r="D637" s="152"/>
      <c r="E637" s="152"/>
      <c r="F637" s="152"/>
      <c r="G637" s="152"/>
      <c r="H637" s="152"/>
      <c r="I637" s="152"/>
      <c r="J637" s="152"/>
      <c r="K637" s="152"/>
      <c r="L637" s="152"/>
      <c r="M637" s="152"/>
      <c r="N637" s="152"/>
      <c r="O637" s="152"/>
      <c r="P637" s="152"/>
      <c r="Q637" s="152"/>
      <c r="R637" s="152"/>
      <c r="S637" s="152"/>
      <c r="T637" s="152"/>
      <c r="U637" s="152"/>
      <c r="V637" s="152"/>
      <c r="W637" s="152"/>
      <c r="X637" s="152"/>
      <c r="Y637" s="152"/>
      <c r="Z637" s="152"/>
      <c r="AA637" s="152"/>
      <c r="AB637" s="152"/>
      <c r="AC637" s="152"/>
      <c r="AD637" s="152"/>
      <c r="AE637" s="152"/>
      <c r="AF637" s="152"/>
      <c r="AG637" s="152"/>
      <c r="AH637" s="152"/>
      <c r="AI637" s="152"/>
      <c r="AJ637" s="152"/>
      <c r="AK637" s="152"/>
      <c r="AL637" s="152"/>
      <c r="AM637" s="152"/>
      <c r="AN637" s="152"/>
      <c r="AO637" s="152"/>
      <c r="AP637" s="152"/>
    </row>
    <row r="638" spans="1:42">
      <c r="A638" s="37" t="s">
        <v>106</v>
      </c>
      <c r="B638" s="187">
        <v>0</v>
      </c>
      <c r="C638" s="187">
        <f t="shared" ref="C638:AP638" si="1322">IF(C$2=AnalysisPeriod,-C636,0)</f>
        <v>0</v>
      </c>
      <c r="D638" s="187">
        <f t="shared" si="1322"/>
        <v>0</v>
      </c>
      <c r="E638" s="187">
        <f t="shared" si="1322"/>
        <v>0</v>
      </c>
      <c r="F638" s="187">
        <f t="shared" si="1322"/>
        <v>0</v>
      </c>
      <c r="G638" s="187">
        <f t="shared" si="1322"/>
        <v>0</v>
      </c>
      <c r="H638" s="187">
        <f t="shared" si="1322"/>
        <v>0</v>
      </c>
      <c r="I638" s="187">
        <f t="shared" si="1322"/>
        <v>0</v>
      </c>
      <c r="J638" s="187">
        <f t="shared" si="1322"/>
        <v>0</v>
      </c>
      <c r="K638" s="187">
        <f t="shared" si="1322"/>
        <v>0</v>
      </c>
      <c r="L638" s="187">
        <f t="shared" si="1322"/>
        <v>0</v>
      </c>
      <c r="M638" s="187">
        <f t="shared" si="1322"/>
        <v>0</v>
      </c>
      <c r="N638" s="187">
        <f t="shared" si="1322"/>
        <v>0</v>
      </c>
      <c r="O638" s="187">
        <f t="shared" si="1322"/>
        <v>0</v>
      </c>
      <c r="P638" s="187">
        <f t="shared" si="1322"/>
        <v>0</v>
      </c>
      <c r="Q638" s="187">
        <f t="shared" si="1322"/>
        <v>0</v>
      </c>
      <c r="R638" s="187">
        <f t="shared" si="1322"/>
        <v>0</v>
      </c>
      <c r="S638" s="187">
        <f t="shared" si="1322"/>
        <v>0</v>
      </c>
      <c r="T638" s="187">
        <f t="shared" si="1322"/>
        <v>0</v>
      </c>
      <c r="U638" s="187">
        <f t="shared" si="1322"/>
        <v>0</v>
      </c>
      <c r="V638" s="187">
        <f t="shared" si="1322"/>
        <v>0</v>
      </c>
      <c r="W638" s="187">
        <f t="shared" si="1322"/>
        <v>0</v>
      </c>
      <c r="X638" s="187">
        <f t="shared" si="1322"/>
        <v>0</v>
      </c>
      <c r="Y638" s="187">
        <f t="shared" si="1322"/>
        <v>0</v>
      </c>
      <c r="Z638" s="187">
        <f t="shared" si="1322"/>
        <v>0</v>
      </c>
      <c r="AA638" s="187">
        <f t="shared" si="1322"/>
        <v>0</v>
      </c>
      <c r="AB638" s="187">
        <f t="shared" si="1322"/>
        <v>0</v>
      </c>
      <c r="AC638" s="187">
        <f t="shared" si="1322"/>
        <v>0</v>
      </c>
      <c r="AD638" s="187">
        <f t="shared" si="1322"/>
        <v>0</v>
      </c>
      <c r="AE638" s="187">
        <f t="shared" si="1322"/>
        <v>0</v>
      </c>
      <c r="AF638" s="187">
        <f t="shared" si="1322"/>
        <v>-150000</v>
      </c>
      <c r="AG638" s="187">
        <f t="shared" si="1322"/>
        <v>0</v>
      </c>
      <c r="AH638" s="187">
        <f t="shared" si="1322"/>
        <v>0</v>
      </c>
      <c r="AI638" s="187">
        <f t="shared" si="1322"/>
        <v>0</v>
      </c>
      <c r="AJ638" s="187">
        <f t="shared" si="1322"/>
        <v>0</v>
      </c>
      <c r="AK638" s="187">
        <f t="shared" si="1322"/>
        <v>0</v>
      </c>
      <c r="AL638" s="187">
        <f t="shared" si="1322"/>
        <v>0</v>
      </c>
      <c r="AM638" s="187">
        <f t="shared" si="1322"/>
        <v>0</v>
      </c>
      <c r="AN638" s="187">
        <f t="shared" si="1322"/>
        <v>0</v>
      </c>
      <c r="AO638" s="187">
        <f t="shared" si="1322"/>
        <v>0</v>
      </c>
      <c r="AP638" s="187">
        <f t="shared" si="1322"/>
        <v>0</v>
      </c>
    </row>
    <row r="639" spans="1:42">
      <c r="A639" s="37" t="s">
        <v>102</v>
      </c>
      <c r="B639" s="152">
        <f>SUM(B636:B638)</f>
        <v>150000</v>
      </c>
      <c r="C639" s="152">
        <f>SUM(C636:C638)</f>
        <v>150000</v>
      </c>
      <c r="D639" s="152">
        <f t="shared" ref="D639:AP639" si="1323">SUM(D636:D638)</f>
        <v>150000</v>
      </c>
      <c r="E639" s="152">
        <f t="shared" si="1323"/>
        <v>150000</v>
      </c>
      <c r="F639" s="152">
        <f t="shared" si="1323"/>
        <v>150000</v>
      </c>
      <c r="G639" s="152">
        <f t="shared" si="1323"/>
        <v>150000</v>
      </c>
      <c r="H639" s="152">
        <f t="shared" si="1323"/>
        <v>150000</v>
      </c>
      <c r="I639" s="152">
        <f t="shared" si="1323"/>
        <v>150000</v>
      </c>
      <c r="J639" s="152">
        <f t="shared" si="1323"/>
        <v>150000</v>
      </c>
      <c r="K639" s="152">
        <f t="shared" si="1323"/>
        <v>150000</v>
      </c>
      <c r="L639" s="152">
        <f t="shared" si="1323"/>
        <v>150000</v>
      </c>
      <c r="M639" s="152">
        <f t="shared" si="1323"/>
        <v>150000</v>
      </c>
      <c r="N639" s="152">
        <f t="shared" si="1323"/>
        <v>150000</v>
      </c>
      <c r="O639" s="152">
        <f t="shared" si="1323"/>
        <v>150000</v>
      </c>
      <c r="P639" s="152">
        <f t="shared" si="1323"/>
        <v>150000</v>
      </c>
      <c r="Q639" s="152">
        <f t="shared" si="1323"/>
        <v>150000</v>
      </c>
      <c r="R639" s="152">
        <f t="shared" si="1323"/>
        <v>150000</v>
      </c>
      <c r="S639" s="152">
        <f t="shared" si="1323"/>
        <v>150000</v>
      </c>
      <c r="T639" s="152">
        <f t="shared" si="1323"/>
        <v>150000</v>
      </c>
      <c r="U639" s="152">
        <f t="shared" si="1323"/>
        <v>150000</v>
      </c>
      <c r="V639" s="152">
        <f t="shared" si="1323"/>
        <v>150000</v>
      </c>
      <c r="W639" s="152">
        <f t="shared" si="1323"/>
        <v>150000</v>
      </c>
      <c r="X639" s="152">
        <f t="shared" si="1323"/>
        <v>150000</v>
      </c>
      <c r="Y639" s="152">
        <f t="shared" si="1323"/>
        <v>150000</v>
      </c>
      <c r="Z639" s="152">
        <f t="shared" si="1323"/>
        <v>150000</v>
      </c>
      <c r="AA639" s="152">
        <f t="shared" si="1323"/>
        <v>150000</v>
      </c>
      <c r="AB639" s="152">
        <f t="shared" si="1323"/>
        <v>150000</v>
      </c>
      <c r="AC639" s="152">
        <f t="shared" si="1323"/>
        <v>150000</v>
      </c>
      <c r="AD639" s="152">
        <f t="shared" si="1323"/>
        <v>150000</v>
      </c>
      <c r="AE639" s="152">
        <f t="shared" si="1323"/>
        <v>150000</v>
      </c>
      <c r="AF639" s="152">
        <f t="shared" si="1323"/>
        <v>0</v>
      </c>
      <c r="AG639" s="152">
        <f t="shared" si="1323"/>
        <v>0</v>
      </c>
      <c r="AH639" s="152">
        <f t="shared" si="1323"/>
        <v>0</v>
      </c>
      <c r="AI639" s="152">
        <f t="shared" si="1323"/>
        <v>0</v>
      </c>
      <c r="AJ639" s="152">
        <f t="shared" si="1323"/>
        <v>0</v>
      </c>
      <c r="AK639" s="152">
        <f t="shared" si="1323"/>
        <v>0</v>
      </c>
      <c r="AL639" s="152">
        <f t="shared" si="1323"/>
        <v>0</v>
      </c>
      <c r="AM639" s="152">
        <f t="shared" si="1323"/>
        <v>0</v>
      </c>
      <c r="AN639" s="152">
        <f t="shared" si="1323"/>
        <v>0</v>
      </c>
      <c r="AO639" s="152">
        <f t="shared" si="1323"/>
        <v>0</v>
      </c>
      <c r="AP639" s="152">
        <f t="shared" si="1323"/>
        <v>0</v>
      </c>
    </row>
    <row r="640" spans="1:42">
      <c r="B640" s="152"/>
      <c r="C640" s="152"/>
      <c r="D640" s="152"/>
      <c r="E640" s="152"/>
      <c r="F640" s="152"/>
      <c r="G640" s="186"/>
      <c r="H640" s="186"/>
      <c r="I640" s="186"/>
      <c r="J640" s="186"/>
      <c r="K640" s="186"/>
      <c r="L640" s="186"/>
      <c r="M640" s="186"/>
      <c r="N640" s="186"/>
      <c r="O640" s="186"/>
      <c r="P640" s="186"/>
      <c r="Q640" s="186"/>
      <c r="R640" s="186"/>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row>
    <row r="641" spans="1:42">
      <c r="A641" s="182" t="s">
        <v>360</v>
      </c>
      <c r="C641" s="152"/>
      <c r="D641" s="152"/>
      <c r="E641" s="152"/>
      <c r="F641" s="152"/>
      <c r="G641" s="152"/>
      <c r="H641" s="152"/>
      <c r="I641" s="152"/>
      <c r="J641" s="152"/>
      <c r="K641" s="152"/>
      <c r="L641" s="152"/>
      <c r="M641" s="152"/>
      <c r="N641" s="152"/>
      <c r="O641" s="152"/>
      <c r="P641" s="152"/>
      <c r="Q641" s="152"/>
      <c r="R641" s="152"/>
      <c r="S641" s="152"/>
      <c r="T641" s="152"/>
      <c r="U641" s="152"/>
      <c r="V641" s="152"/>
      <c r="W641" s="152"/>
      <c r="X641" s="152"/>
      <c r="Y641" s="152"/>
      <c r="Z641" s="152"/>
      <c r="AA641" s="152"/>
      <c r="AB641" s="152"/>
      <c r="AC641" s="152"/>
      <c r="AD641" s="152"/>
      <c r="AE641" s="152"/>
      <c r="AF641" s="152"/>
      <c r="AG641" s="152"/>
      <c r="AH641" s="152"/>
      <c r="AI641" s="152"/>
      <c r="AJ641" s="152"/>
      <c r="AK641" s="152"/>
      <c r="AL641" s="152"/>
      <c r="AM641" s="152"/>
      <c r="AN641" s="152"/>
      <c r="AO641" s="152"/>
      <c r="AP641" s="152"/>
    </row>
    <row r="642" spans="1:42">
      <c r="A642" s="37" t="s">
        <v>99</v>
      </c>
      <c r="B642" s="152">
        <v>0</v>
      </c>
      <c r="C642" s="152">
        <f>B645</f>
        <v>0</v>
      </c>
      <c r="D642" s="152">
        <f t="shared" ref="D642" si="1324">C645</f>
        <v>245406.02862510949</v>
      </c>
      <c r="E642" s="152">
        <f t="shared" ref="E642" si="1325">D645</f>
        <v>490812.05725021899</v>
      </c>
      <c r="F642" s="152">
        <f t="shared" ref="F642" si="1326">E645</f>
        <v>736218.08587532851</v>
      </c>
      <c r="G642" s="152">
        <f t="shared" ref="G642" si="1327">F645</f>
        <v>981624.11450043798</v>
      </c>
      <c r="H642" s="152">
        <f t="shared" ref="H642" si="1328">G645</f>
        <v>1227030.1431255476</v>
      </c>
      <c r="I642" s="152">
        <f t="shared" ref="I642" si="1329">H645</f>
        <v>1472436.171750657</v>
      </c>
      <c r="J642" s="152">
        <f t="shared" ref="J642" si="1330">I645</f>
        <v>1717842.2003757665</v>
      </c>
      <c r="K642" s="152">
        <f t="shared" ref="K642" si="1331">J645</f>
        <v>1963248.229000876</v>
      </c>
      <c r="L642" s="152">
        <f t="shared" ref="L642" si="1332">K645</f>
        <v>2208654.2576259854</v>
      </c>
      <c r="M642" s="152">
        <f t="shared" ref="M642" si="1333">L645</f>
        <v>2454060.2862510951</v>
      </c>
      <c r="N642" s="152">
        <f t="shared" ref="N642" si="1334">M645</f>
        <v>2699466.3148762048</v>
      </c>
      <c r="O642" s="152">
        <f t="shared" ref="O642" si="1335">N645</f>
        <v>0</v>
      </c>
      <c r="P642" s="152">
        <f t="shared" ref="P642" si="1336">O645</f>
        <v>293411.90721039008</v>
      </c>
      <c r="Q642" s="152">
        <f t="shared" ref="Q642" si="1337">P645</f>
        <v>586823.81442078017</v>
      </c>
      <c r="R642" s="152">
        <f t="shared" ref="R642" si="1338">Q645</f>
        <v>880235.72163117025</v>
      </c>
      <c r="S642" s="152">
        <f t="shared" ref="S642" si="1339">R645</f>
        <v>1173647.6288415603</v>
      </c>
      <c r="T642" s="152">
        <f t="shared" ref="T642" si="1340">S645</f>
        <v>1467059.5360519504</v>
      </c>
      <c r="U642" s="152">
        <f t="shared" ref="U642" si="1341">T645</f>
        <v>1760471.4432623405</v>
      </c>
      <c r="V642" s="152">
        <f t="shared" ref="V642" si="1342">U645</f>
        <v>2053883.3504727306</v>
      </c>
      <c r="W642" s="152">
        <f t="shared" ref="W642" si="1343">V645</f>
        <v>2347295.2576831207</v>
      </c>
      <c r="X642" s="152">
        <f t="shared" ref="X642" si="1344">W645</f>
        <v>2640707.1648935108</v>
      </c>
      <c r="Y642" s="152">
        <f t="shared" ref="Y642" si="1345">X645</f>
        <v>2934119.0721039008</v>
      </c>
      <c r="Z642" s="152">
        <f t="shared" ref="Z642" si="1346">Y645</f>
        <v>3227530.9793142909</v>
      </c>
      <c r="AA642" s="152">
        <f t="shared" ref="AA642" si="1347">Z645</f>
        <v>0</v>
      </c>
      <c r="AB642" s="152">
        <f t="shared" ref="AB642" si="1348">AA645</f>
        <v>0</v>
      </c>
      <c r="AC642" s="152">
        <f t="shared" ref="AC642" si="1349">AB645</f>
        <v>0</v>
      </c>
      <c r="AD642" s="152">
        <f t="shared" ref="AD642" si="1350">AC645</f>
        <v>0</v>
      </c>
      <c r="AE642" s="152">
        <f t="shared" ref="AE642" si="1351">AD645</f>
        <v>0</v>
      </c>
      <c r="AF642" s="152">
        <f t="shared" ref="AF642" si="1352">AE645</f>
        <v>0</v>
      </c>
      <c r="AG642" s="152">
        <f t="shared" ref="AG642" si="1353">AF645</f>
        <v>0</v>
      </c>
      <c r="AH642" s="152">
        <f t="shared" ref="AH642" si="1354">AG645</f>
        <v>0</v>
      </c>
      <c r="AI642" s="152">
        <f t="shared" ref="AI642" si="1355">AH645</f>
        <v>0</v>
      </c>
      <c r="AJ642" s="152">
        <f t="shared" ref="AJ642" si="1356">AI645</f>
        <v>0</v>
      </c>
      <c r="AK642" s="152">
        <f t="shared" ref="AK642" si="1357">AJ645</f>
        <v>0</v>
      </c>
      <c r="AL642" s="152">
        <f t="shared" ref="AL642" si="1358">AK645</f>
        <v>0</v>
      </c>
      <c r="AM642" s="152">
        <f t="shared" ref="AM642" si="1359">AL645</f>
        <v>0</v>
      </c>
      <c r="AN642" s="152">
        <f t="shared" ref="AN642" si="1360">AM645</f>
        <v>0</v>
      </c>
      <c r="AO642" s="152">
        <f t="shared" ref="AO642" si="1361">AN645</f>
        <v>0</v>
      </c>
      <c r="AP642" s="152">
        <f t="shared" ref="AP642" si="1362">AO645</f>
        <v>0</v>
      </c>
    </row>
    <row r="643" spans="1:42">
      <c r="A643" s="37" t="s">
        <v>198</v>
      </c>
      <c r="B643" s="152">
        <v>0</v>
      </c>
      <c r="C643" s="152">
        <f>C671</f>
        <v>245406.02862510949</v>
      </c>
      <c r="D643" s="152">
        <f t="shared" ref="D643:K643" si="1363">D671</f>
        <v>245406.02862510949</v>
      </c>
      <c r="E643" s="152">
        <f t="shared" si="1363"/>
        <v>245406.02862510949</v>
      </c>
      <c r="F643" s="152">
        <f t="shared" si="1363"/>
        <v>245406.02862510949</v>
      </c>
      <c r="G643" s="152">
        <f t="shared" si="1363"/>
        <v>245406.02862510949</v>
      </c>
      <c r="H643" s="152">
        <f t="shared" si="1363"/>
        <v>245406.02862510949</v>
      </c>
      <c r="I643" s="152">
        <f t="shared" si="1363"/>
        <v>245406.02862510949</v>
      </c>
      <c r="J643" s="152">
        <f t="shared" si="1363"/>
        <v>245406.02862510949</v>
      </c>
      <c r="K643" s="152">
        <f t="shared" si="1363"/>
        <v>245406.02862510949</v>
      </c>
      <c r="L643" s="152">
        <f t="shared" ref="L643:AP643" si="1364">L671</f>
        <v>245406.02862510949</v>
      </c>
      <c r="M643" s="152">
        <f t="shared" si="1364"/>
        <v>245406.02862510949</v>
      </c>
      <c r="N643" s="152">
        <f t="shared" si="1364"/>
        <v>245406.02862510949</v>
      </c>
      <c r="O643" s="152">
        <f t="shared" si="1364"/>
        <v>293411.90721039008</v>
      </c>
      <c r="P643" s="152">
        <f t="shared" si="1364"/>
        <v>293411.90721039008</v>
      </c>
      <c r="Q643" s="152">
        <f t="shared" si="1364"/>
        <v>293411.90721039008</v>
      </c>
      <c r="R643" s="152">
        <f t="shared" si="1364"/>
        <v>293411.90721039008</v>
      </c>
      <c r="S643" s="152">
        <f t="shared" si="1364"/>
        <v>293411.90721039008</v>
      </c>
      <c r="T643" s="152">
        <f t="shared" si="1364"/>
        <v>293411.90721039008</v>
      </c>
      <c r="U643" s="152">
        <f t="shared" si="1364"/>
        <v>293411.90721039008</v>
      </c>
      <c r="V643" s="152">
        <f t="shared" si="1364"/>
        <v>293411.90721039008</v>
      </c>
      <c r="W643" s="152">
        <f t="shared" si="1364"/>
        <v>293411.90721039008</v>
      </c>
      <c r="X643" s="152">
        <f t="shared" si="1364"/>
        <v>293411.90721039008</v>
      </c>
      <c r="Y643" s="152">
        <f t="shared" si="1364"/>
        <v>293411.90721039008</v>
      </c>
      <c r="Z643" s="152">
        <f t="shared" si="1364"/>
        <v>293411.90721039008</v>
      </c>
      <c r="AA643" s="152">
        <f t="shared" si="1364"/>
        <v>0</v>
      </c>
      <c r="AB643" s="152">
        <f t="shared" si="1364"/>
        <v>0</v>
      </c>
      <c r="AC643" s="152">
        <f t="shared" si="1364"/>
        <v>0</v>
      </c>
      <c r="AD643" s="152">
        <f t="shared" si="1364"/>
        <v>0</v>
      </c>
      <c r="AE643" s="152">
        <f t="shared" si="1364"/>
        <v>0</v>
      </c>
      <c r="AF643" s="152">
        <f t="shared" si="1364"/>
        <v>0</v>
      </c>
      <c r="AG643" s="152">
        <f t="shared" si="1364"/>
        <v>0</v>
      </c>
      <c r="AH643" s="152">
        <f t="shared" si="1364"/>
        <v>0</v>
      </c>
      <c r="AI643" s="152">
        <f t="shared" si="1364"/>
        <v>0</v>
      </c>
      <c r="AJ643" s="152">
        <f t="shared" si="1364"/>
        <v>0</v>
      </c>
      <c r="AK643" s="152">
        <f t="shared" si="1364"/>
        <v>0</v>
      </c>
      <c r="AL643" s="152">
        <f t="shared" si="1364"/>
        <v>0</v>
      </c>
      <c r="AM643" s="152">
        <f t="shared" si="1364"/>
        <v>0</v>
      </c>
      <c r="AN643" s="152">
        <f t="shared" si="1364"/>
        <v>0</v>
      </c>
      <c r="AO643" s="152">
        <f t="shared" si="1364"/>
        <v>0</v>
      </c>
      <c r="AP643" s="152">
        <f t="shared" si="1364"/>
        <v>0</v>
      </c>
    </row>
    <row r="644" spans="1:42">
      <c r="A644" s="37" t="s">
        <v>106</v>
      </c>
      <c r="B644" s="187">
        <v>0</v>
      </c>
      <c r="C644" s="187">
        <f>-C659</f>
        <v>0</v>
      </c>
      <c r="D644" s="187">
        <f t="shared" ref="D644:K644" si="1365">-D659</f>
        <v>0</v>
      </c>
      <c r="E644" s="187">
        <f t="shared" si="1365"/>
        <v>0</v>
      </c>
      <c r="F644" s="187">
        <f t="shared" si="1365"/>
        <v>0</v>
      </c>
      <c r="G644" s="187">
        <f t="shared" si="1365"/>
        <v>0</v>
      </c>
      <c r="H644" s="187">
        <f t="shared" si="1365"/>
        <v>0</v>
      </c>
      <c r="I644" s="187">
        <f t="shared" si="1365"/>
        <v>0</v>
      </c>
      <c r="J644" s="187">
        <f t="shared" si="1365"/>
        <v>0</v>
      </c>
      <c r="K644" s="187">
        <f t="shared" si="1365"/>
        <v>0</v>
      </c>
      <c r="L644" s="187">
        <f t="shared" ref="L644:AP644" si="1366">-L659</f>
        <v>0</v>
      </c>
      <c r="M644" s="187">
        <f t="shared" si="1366"/>
        <v>0</v>
      </c>
      <c r="N644" s="187">
        <f t="shared" si="1366"/>
        <v>-2944872.3435013141</v>
      </c>
      <c r="O644" s="187">
        <f t="shared" si="1366"/>
        <v>0</v>
      </c>
      <c r="P644" s="187">
        <f t="shared" si="1366"/>
        <v>0</v>
      </c>
      <c r="Q644" s="187">
        <f t="shared" si="1366"/>
        <v>0</v>
      </c>
      <c r="R644" s="187">
        <f t="shared" si="1366"/>
        <v>0</v>
      </c>
      <c r="S644" s="187">
        <f t="shared" si="1366"/>
        <v>0</v>
      </c>
      <c r="T644" s="187">
        <f t="shared" si="1366"/>
        <v>0</v>
      </c>
      <c r="U644" s="187">
        <f t="shared" si="1366"/>
        <v>0</v>
      </c>
      <c r="V644" s="187">
        <f t="shared" si="1366"/>
        <v>0</v>
      </c>
      <c r="W644" s="187">
        <f t="shared" si="1366"/>
        <v>0</v>
      </c>
      <c r="X644" s="187">
        <f t="shared" si="1366"/>
        <v>0</v>
      </c>
      <c r="Y644" s="187">
        <f t="shared" si="1366"/>
        <v>0</v>
      </c>
      <c r="Z644" s="187">
        <f t="shared" si="1366"/>
        <v>-3520942.886524681</v>
      </c>
      <c r="AA644" s="187">
        <f t="shared" si="1366"/>
        <v>0</v>
      </c>
      <c r="AB644" s="187">
        <f t="shared" si="1366"/>
        <v>0</v>
      </c>
      <c r="AC644" s="187">
        <f t="shared" si="1366"/>
        <v>0</v>
      </c>
      <c r="AD644" s="187">
        <f t="shared" si="1366"/>
        <v>0</v>
      </c>
      <c r="AE644" s="187">
        <f t="shared" si="1366"/>
        <v>0</v>
      </c>
      <c r="AF644" s="187">
        <f t="shared" si="1366"/>
        <v>0</v>
      </c>
      <c r="AG644" s="187">
        <f t="shared" si="1366"/>
        <v>0</v>
      </c>
      <c r="AH644" s="187">
        <f t="shared" si="1366"/>
        <v>0</v>
      </c>
      <c r="AI644" s="187">
        <f t="shared" si="1366"/>
        <v>0</v>
      </c>
      <c r="AJ644" s="187">
        <f t="shared" si="1366"/>
        <v>0</v>
      </c>
      <c r="AK644" s="187">
        <f t="shared" si="1366"/>
        <v>0</v>
      </c>
      <c r="AL644" s="187">
        <f t="shared" si="1366"/>
        <v>0</v>
      </c>
      <c r="AM644" s="187">
        <f t="shared" si="1366"/>
        <v>0</v>
      </c>
      <c r="AN644" s="187">
        <f t="shared" si="1366"/>
        <v>0</v>
      </c>
      <c r="AO644" s="187">
        <f t="shared" si="1366"/>
        <v>0</v>
      </c>
      <c r="AP644" s="187">
        <f t="shared" si="1366"/>
        <v>0</v>
      </c>
    </row>
    <row r="645" spans="1:42">
      <c r="A645" s="37" t="s">
        <v>102</v>
      </c>
      <c r="B645" s="152">
        <f>SUM(B642:B644)</f>
        <v>0</v>
      </c>
      <c r="C645" s="152">
        <f>SUM(C642:C644)</f>
        <v>245406.02862510949</v>
      </c>
      <c r="D645" s="152">
        <f t="shared" ref="D645:AP645" si="1367">SUM(D642:D644)</f>
        <v>490812.05725021899</v>
      </c>
      <c r="E645" s="152">
        <f t="shared" si="1367"/>
        <v>736218.08587532851</v>
      </c>
      <c r="F645" s="152">
        <f t="shared" si="1367"/>
        <v>981624.11450043798</v>
      </c>
      <c r="G645" s="152">
        <f t="shared" si="1367"/>
        <v>1227030.1431255476</v>
      </c>
      <c r="H645" s="152">
        <f t="shared" si="1367"/>
        <v>1472436.171750657</v>
      </c>
      <c r="I645" s="152">
        <f t="shared" si="1367"/>
        <v>1717842.2003757665</v>
      </c>
      <c r="J645" s="152">
        <f t="shared" si="1367"/>
        <v>1963248.229000876</v>
      </c>
      <c r="K645" s="152">
        <f t="shared" si="1367"/>
        <v>2208654.2576259854</v>
      </c>
      <c r="L645" s="152">
        <f t="shared" si="1367"/>
        <v>2454060.2862510951</v>
      </c>
      <c r="M645" s="152">
        <f t="shared" si="1367"/>
        <v>2699466.3148762048</v>
      </c>
      <c r="N645" s="152">
        <f t="shared" si="1367"/>
        <v>0</v>
      </c>
      <c r="O645" s="152">
        <f t="shared" si="1367"/>
        <v>293411.90721039008</v>
      </c>
      <c r="P645" s="152">
        <f t="shared" si="1367"/>
        <v>586823.81442078017</v>
      </c>
      <c r="Q645" s="152">
        <f t="shared" si="1367"/>
        <v>880235.72163117025</v>
      </c>
      <c r="R645" s="152">
        <f t="shared" si="1367"/>
        <v>1173647.6288415603</v>
      </c>
      <c r="S645" s="152">
        <f t="shared" si="1367"/>
        <v>1467059.5360519504</v>
      </c>
      <c r="T645" s="152">
        <f t="shared" si="1367"/>
        <v>1760471.4432623405</v>
      </c>
      <c r="U645" s="152">
        <f t="shared" si="1367"/>
        <v>2053883.3504727306</v>
      </c>
      <c r="V645" s="152">
        <f t="shared" si="1367"/>
        <v>2347295.2576831207</v>
      </c>
      <c r="W645" s="152">
        <f t="shared" si="1367"/>
        <v>2640707.1648935108</v>
      </c>
      <c r="X645" s="152">
        <f t="shared" si="1367"/>
        <v>2934119.0721039008</v>
      </c>
      <c r="Y645" s="152">
        <f t="shared" si="1367"/>
        <v>3227530.9793142909</v>
      </c>
      <c r="Z645" s="152">
        <f t="shared" si="1367"/>
        <v>0</v>
      </c>
      <c r="AA645" s="152">
        <f t="shared" si="1367"/>
        <v>0</v>
      </c>
      <c r="AB645" s="152">
        <f t="shared" si="1367"/>
        <v>0</v>
      </c>
      <c r="AC645" s="152">
        <f t="shared" si="1367"/>
        <v>0</v>
      </c>
      <c r="AD645" s="152">
        <f t="shared" si="1367"/>
        <v>0</v>
      </c>
      <c r="AE645" s="152">
        <f t="shared" si="1367"/>
        <v>0</v>
      </c>
      <c r="AF645" s="152">
        <f t="shared" si="1367"/>
        <v>0</v>
      </c>
      <c r="AG645" s="152">
        <f t="shared" si="1367"/>
        <v>0</v>
      </c>
      <c r="AH645" s="152">
        <f t="shared" si="1367"/>
        <v>0</v>
      </c>
      <c r="AI645" s="152">
        <f t="shared" si="1367"/>
        <v>0</v>
      </c>
      <c r="AJ645" s="152">
        <f t="shared" si="1367"/>
        <v>0</v>
      </c>
      <c r="AK645" s="152">
        <f t="shared" si="1367"/>
        <v>0</v>
      </c>
      <c r="AL645" s="152">
        <f t="shared" si="1367"/>
        <v>0</v>
      </c>
      <c r="AM645" s="152">
        <f t="shared" si="1367"/>
        <v>0</v>
      </c>
      <c r="AN645" s="152">
        <f t="shared" si="1367"/>
        <v>0</v>
      </c>
      <c r="AO645" s="152">
        <f t="shared" si="1367"/>
        <v>0</v>
      </c>
      <c r="AP645" s="152">
        <f t="shared" si="1367"/>
        <v>0</v>
      </c>
    </row>
    <row r="646" spans="1:42">
      <c r="B646" s="152"/>
      <c r="C646" s="152"/>
      <c r="D646" s="152"/>
      <c r="E646" s="152"/>
      <c r="F646" s="152"/>
      <c r="G646" s="186"/>
      <c r="H646" s="186"/>
      <c r="I646" s="186"/>
      <c r="J646" s="186"/>
      <c r="K646" s="186"/>
      <c r="L646" s="186"/>
      <c r="M646" s="186"/>
      <c r="N646" s="186"/>
      <c r="O646" s="186"/>
      <c r="P646" s="186"/>
      <c r="Q646" s="186"/>
      <c r="R646" s="186"/>
      <c r="S646" s="186"/>
      <c r="T646" s="186"/>
      <c r="U646" s="186"/>
      <c r="V646" s="186"/>
      <c r="W646" s="186"/>
      <c r="X646" s="186"/>
      <c r="Y646" s="186"/>
      <c r="Z646" s="186"/>
      <c r="AA646" s="186"/>
      <c r="AB646" s="186"/>
      <c r="AC646" s="186"/>
      <c r="AD646" s="186"/>
      <c r="AE646" s="186"/>
      <c r="AF646" s="186"/>
      <c r="AG646" s="186"/>
      <c r="AH646" s="186"/>
      <c r="AI646" s="186"/>
      <c r="AJ646" s="186"/>
      <c r="AK646" s="186"/>
      <c r="AL646" s="186"/>
      <c r="AM646" s="186"/>
      <c r="AN646" s="186"/>
      <c r="AO646" s="186"/>
      <c r="AP646" s="186"/>
    </row>
    <row r="647" spans="1:42">
      <c r="A647" s="37" t="s">
        <v>196</v>
      </c>
      <c r="B647" s="152"/>
      <c r="C647" s="152"/>
      <c r="D647" s="152"/>
      <c r="E647" s="152"/>
      <c r="F647" s="152"/>
      <c r="G647" s="186"/>
      <c r="H647" s="186"/>
      <c r="I647" s="186"/>
      <c r="J647" s="186"/>
      <c r="K647" s="186"/>
      <c r="L647" s="186"/>
      <c r="M647" s="186"/>
      <c r="N647" s="186"/>
      <c r="O647" s="186"/>
      <c r="P647" s="186"/>
      <c r="Q647" s="186"/>
      <c r="R647" s="186"/>
      <c r="S647" s="186"/>
      <c r="T647" s="186"/>
      <c r="U647" s="186"/>
      <c r="V647" s="186"/>
      <c r="W647" s="186"/>
      <c r="X647" s="186"/>
      <c r="Y647" s="186"/>
      <c r="Z647" s="186"/>
      <c r="AA647" s="186"/>
      <c r="AB647" s="186"/>
      <c r="AC647" s="186"/>
      <c r="AD647" s="186"/>
      <c r="AE647" s="186"/>
      <c r="AF647" s="186"/>
      <c r="AG647" s="186"/>
      <c r="AH647" s="186"/>
      <c r="AI647" s="186"/>
      <c r="AJ647" s="186"/>
      <c r="AK647" s="186"/>
      <c r="AL647" s="186"/>
      <c r="AM647" s="186"/>
      <c r="AN647" s="186"/>
      <c r="AO647" s="186"/>
      <c r="AP647" s="186"/>
    </row>
    <row r="648" spans="1:42">
      <c r="A648" s="37" t="s">
        <v>197</v>
      </c>
      <c r="B648" s="152"/>
      <c r="C648" s="152"/>
      <c r="D648" s="152"/>
      <c r="E648" s="152"/>
      <c r="F648" s="152"/>
      <c r="G648" s="186"/>
      <c r="H648" s="186"/>
      <c r="I648" s="186"/>
      <c r="J648" s="186"/>
      <c r="K648" s="186"/>
      <c r="L648" s="186"/>
      <c r="M648" s="186"/>
      <c r="N648" s="186"/>
      <c r="O648" s="186"/>
      <c r="P648" s="186"/>
      <c r="Q648" s="186"/>
      <c r="R648" s="186"/>
      <c r="S648" s="186"/>
      <c r="T648" s="186"/>
      <c r="U648" s="186"/>
      <c r="V648" s="186"/>
      <c r="W648" s="186"/>
      <c r="X648" s="186"/>
      <c r="Y648" s="186"/>
      <c r="Z648" s="186"/>
      <c r="AA648" s="186"/>
      <c r="AB648" s="186"/>
      <c r="AC648" s="186"/>
      <c r="AD648" s="186"/>
      <c r="AE648" s="186"/>
      <c r="AF648" s="186"/>
      <c r="AG648" s="186"/>
      <c r="AH648" s="186"/>
      <c r="AI648" s="186"/>
      <c r="AJ648" s="186"/>
      <c r="AK648" s="186"/>
      <c r="AL648" s="186"/>
      <c r="AM648" s="186"/>
      <c r="AN648" s="186"/>
      <c r="AO648" s="186"/>
      <c r="AP648" s="186"/>
    </row>
    <row r="649" spans="1:42">
      <c r="A649" s="37">
        <v>1</v>
      </c>
      <c r="B649" s="196">
        <f t="shared" ref="B649:B658" si="1368">SUM(C649:AP649)</f>
        <v>2944872.3435013141</v>
      </c>
      <c r="C649" s="186">
        <f t="shared" ref="C649:AP649" si="1369">IF(C$2&gt;AnalysisPeriod,0,IF(C$2=MMFrequency*$A649,MMCost*CapacityDC*1000*(1+Inflation)^B$2,0))</f>
        <v>0</v>
      </c>
      <c r="D649" s="186">
        <f t="shared" si="1369"/>
        <v>0</v>
      </c>
      <c r="E649" s="186">
        <f t="shared" si="1369"/>
        <v>0</v>
      </c>
      <c r="F649" s="186">
        <f t="shared" si="1369"/>
        <v>0</v>
      </c>
      <c r="G649" s="186">
        <f t="shared" si="1369"/>
        <v>0</v>
      </c>
      <c r="H649" s="186">
        <f t="shared" si="1369"/>
        <v>0</v>
      </c>
      <c r="I649" s="186">
        <f t="shared" si="1369"/>
        <v>0</v>
      </c>
      <c r="J649" s="186">
        <f t="shared" si="1369"/>
        <v>0</v>
      </c>
      <c r="K649" s="186">
        <f t="shared" si="1369"/>
        <v>0</v>
      </c>
      <c r="L649" s="186">
        <f t="shared" si="1369"/>
        <v>0</v>
      </c>
      <c r="M649" s="186">
        <f t="shared" si="1369"/>
        <v>0</v>
      </c>
      <c r="N649" s="186">
        <f t="shared" si="1369"/>
        <v>2944872.3435013141</v>
      </c>
      <c r="O649" s="186">
        <f t="shared" si="1369"/>
        <v>0</v>
      </c>
      <c r="P649" s="186">
        <f t="shared" si="1369"/>
        <v>0</v>
      </c>
      <c r="Q649" s="186">
        <f t="shared" si="1369"/>
        <v>0</v>
      </c>
      <c r="R649" s="186">
        <f t="shared" si="1369"/>
        <v>0</v>
      </c>
      <c r="S649" s="186">
        <f t="shared" si="1369"/>
        <v>0</v>
      </c>
      <c r="T649" s="186">
        <f t="shared" si="1369"/>
        <v>0</v>
      </c>
      <c r="U649" s="186">
        <f t="shared" si="1369"/>
        <v>0</v>
      </c>
      <c r="V649" s="186">
        <f t="shared" si="1369"/>
        <v>0</v>
      </c>
      <c r="W649" s="186">
        <f t="shared" si="1369"/>
        <v>0</v>
      </c>
      <c r="X649" s="186">
        <f t="shared" si="1369"/>
        <v>0</v>
      </c>
      <c r="Y649" s="186">
        <f t="shared" si="1369"/>
        <v>0</v>
      </c>
      <c r="Z649" s="186">
        <f t="shared" si="1369"/>
        <v>0</v>
      </c>
      <c r="AA649" s="186">
        <f t="shared" si="1369"/>
        <v>0</v>
      </c>
      <c r="AB649" s="186">
        <f t="shared" si="1369"/>
        <v>0</v>
      </c>
      <c r="AC649" s="186">
        <f t="shared" si="1369"/>
        <v>0</v>
      </c>
      <c r="AD649" s="186">
        <f t="shared" si="1369"/>
        <v>0</v>
      </c>
      <c r="AE649" s="186">
        <f t="shared" si="1369"/>
        <v>0</v>
      </c>
      <c r="AF649" s="186">
        <f t="shared" si="1369"/>
        <v>0</v>
      </c>
      <c r="AG649" s="186">
        <f t="shared" si="1369"/>
        <v>0</v>
      </c>
      <c r="AH649" s="186">
        <f t="shared" si="1369"/>
        <v>0</v>
      </c>
      <c r="AI649" s="186">
        <f t="shared" si="1369"/>
        <v>0</v>
      </c>
      <c r="AJ649" s="186">
        <f t="shared" si="1369"/>
        <v>0</v>
      </c>
      <c r="AK649" s="186">
        <f t="shared" si="1369"/>
        <v>0</v>
      </c>
      <c r="AL649" s="186">
        <f t="shared" si="1369"/>
        <v>0</v>
      </c>
      <c r="AM649" s="186">
        <f t="shared" si="1369"/>
        <v>0</v>
      </c>
      <c r="AN649" s="186">
        <f t="shared" si="1369"/>
        <v>0</v>
      </c>
      <c r="AO649" s="186">
        <f t="shared" si="1369"/>
        <v>0</v>
      </c>
      <c r="AP649" s="186">
        <f t="shared" si="1369"/>
        <v>0</v>
      </c>
    </row>
    <row r="650" spans="1:42">
      <c r="A650" s="37">
        <f>A649+1</f>
        <v>2</v>
      </c>
      <c r="B650" s="196">
        <f t="shared" si="1368"/>
        <v>3520942.886524681</v>
      </c>
      <c r="C650" s="186">
        <f t="shared" ref="C650:AP650" si="1370">IF(C$2&gt;AnalysisPeriod,0,IF(C$2=MMFrequency*$A650,MMCost*CapacityDC*1000*(1+Inflation)^B$2,0))</f>
        <v>0</v>
      </c>
      <c r="D650" s="186">
        <f t="shared" si="1370"/>
        <v>0</v>
      </c>
      <c r="E650" s="186">
        <f t="shared" si="1370"/>
        <v>0</v>
      </c>
      <c r="F650" s="186">
        <f t="shared" si="1370"/>
        <v>0</v>
      </c>
      <c r="G650" s="186">
        <f t="shared" si="1370"/>
        <v>0</v>
      </c>
      <c r="H650" s="186">
        <f t="shared" si="1370"/>
        <v>0</v>
      </c>
      <c r="I650" s="186">
        <f t="shared" si="1370"/>
        <v>0</v>
      </c>
      <c r="J650" s="186">
        <f t="shared" si="1370"/>
        <v>0</v>
      </c>
      <c r="K650" s="186">
        <f t="shared" si="1370"/>
        <v>0</v>
      </c>
      <c r="L650" s="186">
        <f t="shared" si="1370"/>
        <v>0</v>
      </c>
      <c r="M650" s="186">
        <f t="shared" si="1370"/>
        <v>0</v>
      </c>
      <c r="N650" s="186">
        <f t="shared" si="1370"/>
        <v>0</v>
      </c>
      <c r="O650" s="186">
        <f t="shared" si="1370"/>
        <v>0</v>
      </c>
      <c r="P650" s="186">
        <f t="shared" si="1370"/>
        <v>0</v>
      </c>
      <c r="Q650" s="186">
        <f t="shared" si="1370"/>
        <v>0</v>
      </c>
      <c r="R650" s="186">
        <f t="shared" si="1370"/>
        <v>0</v>
      </c>
      <c r="S650" s="186">
        <f t="shared" si="1370"/>
        <v>0</v>
      </c>
      <c r="T650" s="186">
        <f t="shared" si="1370"/>
        <v>0</v>
      </c>
      <c r="U650" s="186">
        <f t="shared" si="1370"/>
        <v>0</v>
      </c>
      <c r="V650" s="186">
        <f t="shared" si="1370"/>
        <v>0</v>
      </c>
      <c r="W650" s="186">
        <f t="shared" si="1370"/>
        <v>0</v>
      </c>
      <c r="X650" s="186">
        <f t="shared" si="1370"/>
        <v>0</v>
      </c>
      <c r="Y650" s="186">
        <f t="shared" si="1370"/>
        <v>0</v>
      </c>
      <c r="Z650" s="186">
        <f t="shared" si="1370"/>
        <v>3520942.886524681</v>
      </c>
      <c r="AA650" s="186">
        <f t="shared" si="1370"/>
        <v>0</v>
      </c>
      <c r="AB650" s="186">
        <f t="shared" si="1370"/>
        <v>0</v>
      </c>
      <c r="AC650" s="186">
        <f t="shared" si="1370"/>
        <v>0</v>
      </c>
      <c r="AD650" s="186">
        <f t="shared" si="1370"/>
        <v>0</v>
      </c>
      <c r="AE650" s="186">
        <f t="shared" si="1370"/>
        <v>0</v>
      </c>
      <c r="AF650" s="186">
        <f t="shared" si="1370"/>
        <v>0</v>
      </c>
      <c r="AG650" s="186">
        <f t="shared" si="1370"/>
        <v>0</v>
      </c>
      <c r="AH650" s="186">
        <f t="shared" si="1370"/>
        <v>0</v>
      </c>
      <c r="AI650" s="186">
        <f t="shared" si="1370"/>
        <v>0</v>
      </c>
      <c r="AJ650" s="186">
        <f t="shared" si="1370"/>
        <v>0</v>
      </c>
      <c r="AK650" s="186">
        <f t="shared" si="1370"/>
        <v>0</v>
      </c>
      <c r="AL650" s="186">
        <f t="shared" si="1370"/>
        <v>0</v>
      </c>
      <c r="AM650" s="186">
        <f t="shared" si="1370"/>
        <v>0</v>
      </c>
      <c r="AN650" s="186">
        <f t="shared" si="1370"/>
        <v>0</v>
      </c>
      <c r="AO650" s="186">
        <f t="shared" si="1370"/>
        <v>0</v>
      </c>
      <c r="AP650" s="186">
        <f t="shared" si="1370"/>
        <v>0</v>
      </c>
    </row>
    <row r="651" spans="1:42">
      <c r="A651" s="37">
        <f t="shared" ref="A651:A658" si="1371">A650+1</f>
        <v>3</v>
      </c>
      <c r="B651" s="196">
        <f t="shared" si="1368"/>
        <v>0</v>
      </c>
      <c r="C651" s="186">
        <f t="shared" ref="C651:AP651" si="1372">IF(C$2&gt;AnalysisPeriod,0,IF(C$2=MMFrequency*$A651,MMCost*CapacityDC*1000*(1+Inflation)^B$2,0))</f>
        <v>0</v>
      </c>
      <c r="D651" s="186">
        <f t="shared" si="1372"/>
        <v>0</v>
      </c>
      <c r="E651" s="186">
        <f t="shared" si="1372"/>
        <v>0</v>
      </c>
      <c r="F651" s="186">
        <f t="shared" si="1372"/>
        <v>0</v>
      </c>
      <c r="G651" s="186">
        <f t="shared" si="1372"/>
        <v>0</v>
      </c>
      <c r="H651" s="186">
        <f t="shared" si="1372"/>
        <v>0</v>
      </c>
      <c r="I651" s="186">
        <f t="shared" si="1372"/>
        <v>0</v>
      </c>
      <c r="J651" s="186">
        <f t="shared" si="1372"/>
        <v>0</v>
      </c>
      <c r="K651" s="186">
        <f t="shared" si="1372"/>
        <v>0</v>
      </c>
      <c r="L651" s="186">
        <f t="shared" si="1372"/>
        <v>0</v>
      </c>
      <c r="M651" s="186">
        <f t="shared" si="1372"/>
        <v>0</v>
      </c>
      <c r="N651" s="186">
        <f t="shared" si="1372"/>
        <v>0</v>
      </c>
      <c r="O651" s="186">
        <f t="shared" si="1372"/>
        <v>0</v>
      </c>
      <c r="P651" s="186">
        <f t="shared" si="1372"/>
        <v>0</v>
      </c>
      <c r="Q651" s="186">
        <f t="shared" si="1372"/>
        <v>0</v>
      </c>
      <c r="R651" s="186">
        <f t="shared" si="1372"/>
        <v>0</v>
      </c>
      <c r="S651" s="186">
        <f t="shared" si="1372"/>
        <v>0</v>
      </c>
      <c r="T651" s="186">
        <f t="shared" si="1372"/>
        <v>0</v>
      </c>
      <c r="U651" s="186">
        <f t="shared" si="1372"/>
        <v>0</v>
      </c>
      <c r="V651" s="186">
        <f t="shared" si="1372"/>
        <v>0</v>
      </c>
      <c r="W651" s="186">
        <f t="shared" si="1372"/>
        <v>0</v>
      </c>
      <c r="X651" s="186">
        <f t="shared" si="1372"/>
        <v>0</v>
      </c>
      <c r="Y651" s="186">
        <f t="shared" si="1372"/>
        <v>0</v>
      </c>
      <c r="Z651" s="186">
        <f t="shared" si="1372"/>
        <v>0</v>
      </c>
      <c r="AA651" s="186">
        <f t="shared" si="1372"/>
        <v>0</v>
      </c>
      <c r="AB651" s="186">
        <f t="shared" si="1372"/>
        <v>0</v>
      </c>
      <c r="AC651" s="186">
        <f t="shared" si="1372"/>
        <v>0</v>
      </c>
      <c r="AD651" s="186">
        <f t="shared" si="1372"/>
        <v>0</v>
      </c>
      <c r="AE651" s="186">
        <f t="shared" si="1372"/>
        <v>0</v>
      </c>
      <c r="AF651" s="186">
        <f t="shared" si="1372"/>
        <v>0</v>
      </c>
      <c r="AG651" s="186">
        <f t="shared" si="1372"/>
        <v>0</v>
      </c>
      <c r="AH651" s="186">
        <f t="shared" si="1372"/>
        <v>0</v>
      </c>
      <c r="AI651" s="186">
        <f t="shared" si="1372"/>
        <v>0</v>
      </c>
      <c r="AJ651" s="186">
        <f t="shared" si="1372"/>
        <v>0</v>
      </c>
      <c r="AK651" s="186">
        <f t="shared" si="1372"/>
        <v>0</v>
      </c>
      <c r="AL651" s="186">
        <f t="shared" si="1372"/>
        <v>0</v>
      </c>
      <c r="AM651" s="186">
        <f t="shared" si="1372"/>
        <v>0</v>
      </c>
      <c r="AN651" s="186">
        <f t="shared" si="1372"/>
        <v>0</v>
      </c>
      <c r="AO651" s="186">
        <f t="shared" si="1372"/>
        <v>0</v>
      </c>
      <c r="AP651" s="186">
        <f t="shared" si="1372"/>
        <v>0</v>
      </c>
    </row>
    <row r="652" spans="1:42">
      <c r="A652" s="37">
        <f t="shared" si="1371"/>
        <v>4</v>
      </c>
      <c r="B652" s="196">
        <f t="shared" si="1368"/>
        <v>0</v>
      </c>
      <c r="C652" s="186">
        <f t="shared" ref="C652:AP652" si="1373">IF(C$2&gt;AnalysisPeriod,0,IF(C$2=MMFrequency*$A652,MMCost*CapacityDC*1000*(1+Inflation)^B$2,0))</f>
        <v>0</v>
      </c>
      <c r="D652" s="186">
        <f t="shared" si="1373"/>
        <v>0</v>
      </c>
      <c r="E652" s="186">
        <f t="shared" si="1373"/>
        <v>0</v>
      </c>
      <c r="F652" s="186">
        <f t="shared" si="1373"/>
        <v>0</v>
      </c>
      <c r="G652" s="186">
        <f t="shared" si="1373"/>
        <v>0</v>
      </c>
      <c r="H652" s="186">
        <f t="shared" si="1373"/>
        <v>0</v>
      </c>
      <c r="I652" s="186">
        <f t="shared" si="1373"/>
        <v>0</v>
      </c>
      <c r="J652" s="186">
        <f t="shared" si="1373"/>
        <v>0</v>
      </c>
      <c r="K652" s="186">
        <f t="shared" si="1373"/>
        <v>0</v>
      </c>
      <c r="L652" s="186">
        <f t="shared" si="1373"/>
        <v>0</v>
      </c>
      <c r="M652" s="186">
        <f t="shared" si="1373"/>
        <v>0</v>
      </c>
      <c r="N652" s="186">
        <f t="shared" si="1373"/>
        <v>0</v>
      </c>
      <c r="O652" s="186">
        <f t="shared" si="1373"/>
        <v>0</v>
      </c>
      <c r="P652" s="186">
        <f t="shared" si="1373"/>
        <v>0</v>
      </c>
      <c r="Q652" s="186">
        <f t="shared" si="1373"/>
        <v>0</v>
      </c>
      <c r="R652" s="186">
        <f t="shared" si="1373"/>
        <v>0</v>
      </c>
      <c r="S652" s="186">
        <f t="shared" si="1373"/>
        <v>0</v>
      </c>
      <c r="T652" s="186">
        <f t="shared" si="1373"/>
        <v>0</v>
      </c>
      <c r="U652" s="186">
        <f t="shared" si="1373"/>
        <v>0</v>
      </c>
      <c r="V652" s="186">
        <f t="shared" si="1373"/>
        <v>0</v>
      </c>
      <c r="W652" s="186">
        <f t="shared" si="1373"/>
        <v>0</v>
      </c>
      <c r="X652" s="186">
        <f t="shared" si="1373"/>
        <v>0</v>
      </c>
      <c r="Y652" s="186">
        <f t="shared" si="1373"/>
        <v>0</v>
      </c>
      <c r="Z652" s="186">
        <f t="shared" si="1373"/>
        <v>0</v>
      </c>
      <c r="AA652" s="186">
        <f t="shared" si="1373"/>
        <v>0</v>
      </c>
      <c r="AB652" s="186">
        <f t="shared" si="1373"/>
        <v>0</v>
      </c>
      <c r="AC652" s="186">
        <f t="shared" si="1373"/>
        <v>0</v>
      </c>
      <c r="AD652" s="186">
        <f t="shared" si="1373"/>
        <v>0</v>
      </c>
      <c r="AE652" s="186">
        <f t="shared" si="1373"/>
        <v>0</v>
      </c>
      <c r="AF652" s="186">
        <f t="shared" si="1373"/>
        <v>0</v>
      </c>
      <c r="AG652" s="186">
        <f t="shared" si="1373"/>
        <v>0</v>
      </c>
      <c r="AH652" s="186">
        <f t="shared" si="1373"/>
        <v>0</v>
      </c>
      <c r="AI652" s="186">
        <f t="shared" si="1373"/>
        <v>0</v>
      </c>
      <c r="AJ652" s="186">
        <f t="shared" si="1373"/>
        <v>0</v>
      </c>
      <c r="AK652" s="186">
        <f t="shared" si="1373"/>
        <v>0</v>
      </c>
      <c r="AL652" s="186">
        <f t="shared" si="1373"/>
        <v>0</v>
      </c>
      <c r="AM652" s="186">
        <f t="shared" si="1373"/>
        <v>0</v>
      </c>
      <c r="AN652" s="186">
        <f t="shared" si="1373"/>
        <v>0</v>
      </c>
      <c r="AO652" s="186">
        <f t="shared" si="1373"/>
        <v>0</v>
      </c>
      <c r="AP652" s="186">
        <f t="shared" si="1373"/>
        <v>0</v>
      </c>
    </row>
    <row r="653" spans="1:42">
      <c r="A653" s="37">
        <f t="shared" si="1371"/>
        <v>5</v>
      </c>
      <c r="B653" s="196">
        <f t="shared" si="1368"/>
        <v>0</v>
      </c>
      <c r="C653" s="186">
        <f t="shared" ref="C653:AP653" si="1374">IF(C$2&gt;AnalysisPeriod,0,IF(C$2=MMFrequency*$A653,MMCost*CapacityDC*1000*(1+Inflation)^B$2,0))</f>
        <v>0</v>
      </c>
      <c r="D653" s="186">
        <f t="shared" si="1374"/>
        <v>0</v>
      </c>
      <c r="E653" s="186">
        <f t="shared" si="1374"/>
        <v>0</v>
      </c>
      <c r="F653" s="186">
        <f t="shared" si="1374"/>
        <v>0</v>
      </c>
      <c r="G653" s="186">
        <f t="shared" si="1374"/>
        <v>0</v>
      </c>
      <c r="H653" s="186">
        <f t="shared" si="1374"/>
        <v>0</v>
      </c>
      <c r="I653" s="186">
        <f t="shared" si="1374"/>
        <v>0</v>
      </c>
      <c r="J653" s="186">
        <f t="shared" si="1374"/>
        <v>0</v>
      </c>
      <c r="K653" s="186">
        <f t="shared" si="1374"/>
        <v>0</v>
      </c>
      <c r="L653" s="186">
        <f t="shared" si="1374"/>
        <v>0</v>
      </c>
      <c r="M653" s="186">
        <f t="shared" si="1374"/>
        <v>0</v>
      </c>
      <c r="N653" s="186">
        <f t="shared" si="1374"/>
        <v>0</v>
      </c>
      <c r="O653" s="186">
        <f t="shared" si="1374"/>
        <v>0</v>
      </c>
      <c r="P653" s="186">
        <f t="shared" si="1374"/>
        <v>0</v>
      </c>
      <c r="Q653" s="186">
        <f t="shared" si="1374"/>
        <v>0</v>
      </c>
      <c r="R653" s="186">
        <f t="shared" si="1374"/>
        <v>0</v>
      </c>
      <c r="S653" s="186">
        <f t="shared" si="1374"/>
        <v>0</v>
      </c>
      <c r="T653" s="186">
        <f t="shared" si="1374"/>
        <v>0</v>
      </c>
      <c r="U653" s="186">
        <f t="shared" si="1374"/>
        <v>0</v>
      </c>
      <c r="V653" s="186">
        <f t="shared" si="1374"/>
        <v>0</v>
      </c>
      <c r="W653" s="186">
        <f t="shared" si="1374"/>
        <v>0</v>
      </c>
      <c r="X653" s="186">
        <f t="shared" si="1374"/>
        <v>0</v>
      </c>
      <c r="Y653" s="186">
        <f t="shared" si="1374"/>
        <v>0</v>
      </c>
      <c r="Z653" s="186">
        <f t="shared" si="1374"/>
        <v>0</v>
      </c>
      <c r="AA653" s="186">
        <f t="shared" si="1374"/>
        <v>0</v>
      </c>
      <c r="AB653" s="186">
        <f t="shared" si="1374"/>
        <v>0</v>
      </c>
      <c r="AC653" s="186">
        <f t="shared" si="1374"/>
        <v>0</v>
      </c>
      <c r="AD653" s="186">
        <f t="shared" si="1374"/>
        <v>0</v>
      </c>
      <c r="AE653" s="186">
        <f t="shared" si="1374"/>
        <v>0</v>
      </c>
      <c r="AF653" s="186">
        <f t="shared" si="1374"/>
        <v>0</v>
      </c>
      <c r="AG653" s="186">
        <f t="shared" si="1374"/>
        <v>0</v>
      </c>
      <c r="AH653" s="186">
        <f t="shared" si="1374"/>
        <v>0</v>
      </c>
      <c r="AI653" s="186">
        <f t="shared" si="1374"/>
        <v>0</v>
      </c>
      <c r="AJ653" s="186">
        <f t="shared" si="1374"/>
        <v>0</v>
      </c>
      <c r="AK653" s="186">
        <f t="shared" si="1374"/>
        <v>0</v>
      </c>
      <c r="AL653" s="186">
        <f t="shared" si="1374"/>
        <v>0</v>
      </c>
      <c r="AM653" s="186">
        <f t="shared" si="1374"/>
        <v>0</v>
      </c>
      <c r="AN653" s="186">
        <f t="shared" si="1374"/>
        <v>0</v>
      </c>
      <c r="AO653" s="186">
        <f t="shared" si="1374"/>
        <v>0</v>
      </c>
      <c r="AP653" s="186">
        <f t="shared" si="1374"/>
        <v>0</v>
      </c>
    </row>
    <row r="654" spans="1:42">
      <c r="A654" s="37">
        <f t="shared" si="1371"/>
        <v>6</v>
      </c>
      <c r="B654" s="196">
        <f t="shared" si="1368"/>
        <v>0</v>
      </c>
      <c r="C654" s="186">
        <f t="shared" ref="C654:AP654" si="1375">IF(C$2&gt;AnalysisPeriod,0,IF(C$2=MMFrequency*$A654,MMCost*CapacityDC*1000*(1+Inflation)^B$2,0))</f>
        <v>0</v>
      </c>
      <c r="D654" s="186">
        <f t="shared" si="1375"/>
        <v>0</v>
      </c>
      <c r="E654" s="186">
        <f t="shared" si="1375"/>
        <v>0</v>
      </c>
      <c r="F654" s="186">
        <f t="shared" si="1375"/>
        <v>0</v>
      </c>
      <c r="G654" s="186">
        <f t="shared" si="1375"/>
        <v>0</v>
      </c>
      <c r="H654" s="186">
        <f t="shared" si="1375"/>
        <v>0</v>
      </c>
      <c r="I654" s="186">
        <f t="shared" si="1375"/>
        <v>0</v>
      </c>
      <c r="J654" s="186">
        <f t="shared" si="1375"/>
        <v>0</v>
      </c>
      <c r="K654" s="186">
        <f t="shared" si="1375"/>
        <v>0</v>
      </c>
      <c r="L654" s="186">
        <f t="shared" si="1375"/>
        <v>0</v>
      </c>
      <c r="M654" s="186">
        <f t="shared" si="1375"/>
        <v>0</v>
      </c>
      <c r="N654" s="186">
        <f t="shared" si="1375"/>
        <v>0</v>
      </c>
      <c r="O654" s="186">
        <f t="shared" si="1375"/>
        <v>0</v>
      </c>
      <c r="P654" s="186">
        <f t="shared" si="1375"/>
        <v>0</v>
      </c>
      <c r="Q654" s="186">
        <f t="shared" si="1375"/>
        <v>0</v>
      </c>
      <c r="R654" s="186">
        <f t="shared" si="1375"/>
        <v>0</v>
      </c>
      <c r="S654" s="186">
        <f t="shared" si="1375"/>
        <v>0</v>
      </c>
      <c r="T654" s="186">
        <f t="shared" si="1375"/>
        <v>0</v>
      </c>
      <c r="U654" s="186">
        <f t="shared" si="1375"/>
        <v>0</v>
      </c>
      <c r="V654" s="186">
        <f t="shared" si="1375"/>
        <v>0</v>
      </c>
      <c r="W654" s="186">
        <f t="shared" si="1375"/>
        <v>0</v>
      </c>
      <c r="X654" s="186">
        <f t="shared" si="1375"/>
        <v>0</v>
      </c>
      <c r="Y654" s="186">
        <f t="shared" si="1375"/>
        <v>0</v>
      </c>
      <c r="Z654" s="186">
        <f t="shared" si="1375"/>
        <v>0</v>
      </c>
      <c r="AA654" s="186">
        <f t="shared" si="1375"/>
        <v>0</v>
      </c>
      <c r="AB654" s="186">
        <f t="shared" si="1375"/>
        <v>0</v>
      </c>
      <c r="AC654" s="186">
        <f t="shared" si="1375"/>
        <v>0</v>
      </c>
      <c r="AD654" s="186">
        <f t="shared" si="1375"/>
        <v>0</v>
      </c>
      <c r="AE654" s="186">
        <f t="shared" si="1375"/>
        <v>0</v>
      </c>
      <c r="AF654" s="186">
        <f t="shared" si="1375"/>
        <v>0</v>
      </c>
      <c r="AG654" s="186">
        <f t="shared" si="1375"/>
        <v>0</v>
      </c>
      <c r="AH654" s="186">
        <f t="shared" si="1375"/>
        <v>0</v>
      </c>
      <c r="AI654" s="186">
        <f t="shared" si="1375"/>
        <v>0</v>
      </c>
      <c r="AJ654" s="186">
        <f t="shared" si="1375"/>
        <v>0</v>
      </c>
      <c r="AK654" s="186">
        <f t="shared" si="1375"/>
        <v>0</v>
      </c>
      <c r="AL654" s="186">
        <f t="shared" si="1375"/>
        <v>0</v>
      </c>
      <c r="AM654" s="186">
        <f t="shared" si="1375"/>
        <v>0</v>
      </c>
      <c r="AN654" s="186">
        <f t="shared" si="1375"/>
        <v>0</v>
      </c>
      <c r="AO654" s="186">
        <f t="shared" si="1375"/>
        <v>0</v>
      </c>
      <c r="AP654" s="186">
        <f t="shared" si="1375"/>
        <v>0</v>
      </c>
    </row>
    <row r="655" spans="1:42">
      <c r="A655" s="37">
        <f t="shared" si="1371"/>
        <v>7</v>
      </c>
      <c r="B655" s="196">
        <f t="shared" si="1368"/>
        <v>0</v>
      </c>
      <c r="C655" s="186">
        <f t="shared" ref="C655:AP655" si="1376">IF(C$2&gt;AnalysisPeriod,0,IF(C$2=MMFrequency*$A655,MMCost*CapacityDC*1000*(1+Inflation)^B$2,0))</f>
        <v>0</v>
      </c>
      <c r="D655" s="186">
        <f t="shared" si="1376"/>
        <v>0</v>
      </c>
      <c r="E655" s="186">
        <f t="shared" si="1376"/>
        <v>0</v>
      </c>
      <c r="F655" s="186">
        <f t="shared" si="1376"/>
        <v>0</v>
      </c>
      <c r="G655" s="186">
        <f t="shared" si="1376"/>
        <v>0</v>
      </c>
      <c r="H655" s="186">
        <f t="shared" si="1376"/>
        <v>0</v>
      </c>
      <c r="I655" s="186">
        <f t="shared" si="1376"/>
        <v>0</v>
      </c>
      <c r="J655" s="186">
        <f t="shared" si="1376"/>
        <v>0</v>
      </c>
      <c r="K655" s="186">
        <f t="shared" si="1376"/>
        <v>0</v>
      </c>
      <c r="L655" s="186">
        <f t="shared" si="1376"/>
        <v>0</v>
      </c>
      <c r="M655" s="186">
        <f t="shared" si="1376"/>
        <v>0</v>
      </c>
      <c r="N655" s="186">
        <f t="shared" si="1376"/>
        <v>0</v>
      </c>
      <c r="O655" s="186">
        <f t="shared" si="1376"/>
        <v>0</v>
      </c>
      <c r="P655" s="186">
        <f t="shared" si="1376"/>
        <v>0</v>
      </c>
      <c r="Q655" s="186">
        <f t="shared" si="1376"/>
        <v>0</v>
      </c>
      <c r="R655" s="186">
        <f t="shared" si="1376"/>
        <v>0</v>
      </c>
      <c r="S655" s="186">
        <f t="shared" si="1376"/>
        <v>0</v>
      </c>
      <c r="T655" s="186">
        <f t="shared" si="1376"/>
        <v>0</v>
      </c>
      <c r="U655" s="186">
        <f t="shared" si="1376"/>
        <v>0</v>
      </c>
      <c r="V655" s="186">
        <f t="shared" si="1376"/>
        <v>0</v>
      </c>
      <c r="W655" s="186">
        <f t="shared" si="1376"/>
        <v>0</v>
      </c>
      <c r="X655" s="186">
        <f t="shared" si="1376"/>
        <v>0</v>
      </c>
      <c r="Y655" s="186">
        <f t="shared" si="1376"/>
        <v>0</v>
      </c>
      <c r="Z655" s="186">
        <f t="shared" si="1376"/>
        <v>0</v>
      </c>
      <c r="AA655" s="186">
        <f t="shared" si="1376"/>
        <v>0</v>
      </c>
      <c r="AB655" s="186">
        <f t="shared" si="1376"/>
        <v>0</v>
      </c>
      <c r="AC655" s="186">
        <f t="shared" si="1376"/>
        <v>0</v>
      </c>
      <c r="AD655" s="186">
        <f t="shared" si="1376"/>
        <v>0</v>
      </c>
      <c r="AE655" s="186">
        <f t="shared" si="1376"/>
        <v>0</v>
      </c>
      <c r="AF655" s="186">
        <f t="shared" si="1376"/>
        <v>0</v>
      </c>
      <c r="AG655" s="186">
        <f t="shared" si="1376"/>
        <v>0</v>
      </c>
      <c r="AH655" s="186">
        <f t="shared" si="1376"/>
        <v>0</v>
      </c>
      <c r="AI655" s="186">
        <f t="shared" si="1376"/>
        <v>0</v>
      </c>
      <c r="AJ655" s="186">
        <f t="shared" si="1376"/>
        <v>0</v>
      </c>
      <c r="AK655" s="186">
        <f t="shared" si="1376"/>
        <v>0</v>
      </c>
      <c r="AL655" s="186">
        <f t="shared" si="1376"/>
        <v>0</v>
      </c>
      <c r="AM655" s="186">
        <f t="shared" si="1376"/>
        <v>0</v>
      </c>
      <c r="AN655" s="186">
        <f t="shared" si="1376"/>
        <v>0</v>
      </c>
      <c r="AO655" s="186">
        <f t="shared" si="1376"/>
        <v>0</v>
      </c>
      <c r="AP655" s="186">
        <f t="shared" si="1376"/>
        <v>0</v>
      </c>
    </row>
    <row r="656" spans="1:42">
      <c r="A656" s="37">
        <f t="shared" si="1371"/>
        <v>8</v>
      </c>
      <c r="B656" s="196">
        <f t="shared" si="1368"/>
        <v>0</v>
      </c>
      <c r="C656" s="186">
        <f t="shared" ref="C656:AP656" si="1377">IF(C$2&gt;AnalysisPeriod,0,IF(C$2=MMFrequency*$A656,MMCost*CapacityDC*1000*(1+Inflation)^B$2,0))</f>
        <v>0</v>
      </c>
      <c r="D656" s="186">
        <f t="shared" si="1377"/>
        <v>0</v>
      </c>
      <c r="E656" s="186">
        <f t="shared" si="1377"/>
        <v>0</v>
      </c>
      <c r="F656" s="186">
        <f t="shared" si="1377"/>
        <v>0</v>
      </c>
      <c r="G656" s="186">
        <f t="shared" si="1377"/>
        <v>0</v>
      </c>
      <c r="H656" s="186">
        <f t="shared" si="1377"/>
        <v>0</v>
      </c>
      <c r="I656" s="186">
        <f t="shared" si="1377"/>
        <v>0</v>
      </c>
      <c r="J656" s="186">
        <f t="shared" si="1377"/>
        <v>0</v>
      </c>
      <c r="K656" s="186">
        <f t="shared" si="1377"/>
        <v>0</v>
      </c>
      <c r="L656" s="186">
        <f t="shared" si="1377"/>
        <v>0</v>
      </c>
      <c r="M656" s="186">
        <f t="shared" si="1377"/>
        <v>0</v>
      </c>
      <c r="N656" s="186">
        <f t="shared" si="1377"/>
        <v>0</v>
      </c>
      <c r="O656" s="186">
        <f t="shared" si="1377"/>
        <v>0</v>
      </c>
      <c r="P656" s="186">
        <f t="shared" si="1377"/>
        <v>0</v>
      </c>
      <c r="Q656" s="186">
        <f t="shared" si="1377"/>
        <v>0</v>
      </c>
      <c r="R656" s="186">
        <f t="shared" si="1377"/>
        <v>0</v>
      </c>
      <c r="S656" s="186">
        <f t="shared" si="1377"/>
        <v>0</v>
      </c>
      <c r="T656" s="186">
        <f t="shared" si="1377"/>
        <v>0</v>
      </c>
      <c r="U656" s="186">
        <f t="shared" si="1377"/>
        <v>0</v>
      </c>
      <c r="V656" s="186">
        <f t="shared" si="1377"/>
        <v>0</v>
      </c>
      <c r="W656" s="186">
        <f t="shared" si="1377"/>
        <v>0</v>
      </c>
      <c r="X656" s="186">
        <f t="shared" si="1377"/>
        <v>0</v>
      </c>
      <c r="Y656" s="186">
        <f t="shared" si="1377"/>
        <v>0</v>
      </c>
      <c r="Z656" s="186">
        <f t="shared" si="1377"/>
        <v>0</v>
      </c>
      <c r="AA656" s="186">
        <f t="shared" si="1377"/>
        <v>0</v>
      </c>
      <c r="AB656" s="186">
        <f t="shared" si="1377"/>
        <v>0</v>
      </c>
      <c r="AC656" s="186">
        <f t="shared" si="1377"/>
        <v>0</v>
      </c>
      <c r="AD656" s="186">
        <f t="shared" si="1377"/>
        <v>0</v>
      </c>
      <c r="AE656" s="186">
        <f t="shared" si="1377"/>
        <v>0</v>
      </c>
      <c r="AF656" s="186">
        <f t="shared" si="1377"/>
        <v>0</v>
      </c>
      <c r="AG656" s="186">
        <f t="shared" si="1377"/>
        <v>0</v>
      </c>
      <c r="AH656" s="186">
        <f t="shared" si="1377"/>
        <v>0</v>
      </c>
      <c r="AI656" s="186">
        <f t="shared" si="1377"/>
        <v>0</v>
      </c>
      <c r="AJ656" s="186">
        <f t="shared" si="1377"/>
        <v>0</v>
      </c>
      <c r="AK656" s="186">
        <f t="shared" si="1377"/>
        <v>0</v>
      </c>
      <c r="AL656" s="186">
        <f t="shared" si="1377"/>
        <v>0</v>
      </c>
      <c r="AM656" s="186">
        <f t="shared" si="1377"/>
        <v>0</v>
      </c>
      <c r="AN656" s="186">
        <f t="shared" si="1377"/>
        <v>0</v>
      </c>
      <c r="AO656" s="186">
        <f t="shared" si="1377"/>
        <v>0</v>
      </c>
      <c r="AP656" s="186">
        <f t="shared" si="1377"/>
        <v>0</v>
      </c>
    </row>
    <row r="657" spans="1:42">
      <c r="A657" s="37">
        <f>A656+1</f>
        <v>9</v>
      </c>
      <c r="B657" s="196">
        <f t="shared" si="1368"/>
        <v>0</v>
      </c>
      <c r="C657" s="186">
        <f t="shared" ref="C657:AP657" si="1378">IF(C$2&gt;AnalysisPeriod,0,IF(C$2=MMFrequency*$A657,MMCost*CapacityDC*1000*(1+Inflation)^B$2,0))</f>
        <v>0</v>
      </c>
      <c r="D657" s="186">
        <f t="shared" si="1378"/>
        <v>0</v>
      </c>
      <c r="E657" s="186">
        <f t="shared" si="1378"/>
        <v>0</v>
      </c>
      <c r="F657" s="186">
        <f t="shared" si="1378"/>
        <v>0</v>
      </c>
      <c r="G657" s="186">
        <f t="shared" si="1378"/>
        <v>0</v>
      </c>
      <c r="H657" s="186">
        <f t="shared" si="1378"/>
        <v>0</v>
      </c>
      <c r="I657" s="186">
        <f t="shared" si="1378"/>
        <v>0</v>
      </c>
      <c r="J657" s="186">
        <f t="shared" si="1378"/>
        <v>0</v>
      </c>
      <c r="K657" s="186">
        <f t="shared" si="1378"/>
        <v>0</v>
      </c>
      <c r="L657" s="186">
        <f t="shared" si="1378"/>
        <v>0</v>
      </c>
      <c r="M657" s="186">
        <f t="shared" si="1378"/>
        <v>0</v>
      </c>
      <c r="N657" s="186">
        <f t="shared" si="1378"/>
        <v>0</v>
      </c>
      <c r="O657" s="186">
        <f t="shared" si="1378"/>
        <v>0</v>
      </c>
      <c r="P657" s="186">
        <f t="shared" si="1378"/>
        <v>0</v>
      </c>
      <c r="Q657" s="186">
        <f t="shared" si="1378"/>
        <v>0</v>
      </c>
      <c r="R657" s="186">
        <f t="shared" si="1378"/>
        <v>0</v>
      </c>
      <c r="S657" s="186">
        <f t="shared" si="1378"/>
        <v>0</v>
      </c>
      <c r="T657" s="186">
        <f t="shared" si="1378"/>
        <v>0</v>
      </c>
      <c r="U657" s="186">
        <f t="shared" si="1378"/>
        <v>0</v>
      </c>
      <c r="V657" s="186">
        <f t="shared" si="1378"/>
        <v>0</v>
      </c>
      <c r="W657" s="186">
        <f t="shared" si="1378"/>
        <v>0</v>
      </c>
      <c r="X657" s="186">
        <f t="shared" si="1378"/>
        <v>0</v>
      </c>
      <c r="Y657" s="186">
        <f t="shared" si="1378"/>
        <v>0</v>
      </c>
      <c r="Z657" s="186">
        <f t="shared" si="1378"/>
        <v>0</v>
      </c>
      <c r="AA657" s="186">
        <f t="shared" si="1378"/>
        <v>0</v>
      </c>
      <c r="AB657" s="186">
        <f t="shared" si="1378"/>
        <v>0</v>
      </c>
      <c r="AC657" s="186">
        <f t="shared" si="1378"/>
        <v>0</v>
      </c>
      <c r="AD657" s="186">
        <f t="shared" si="1378"/>
        <v>0</v>
      </c>
      <c r="AE657" s="186">
        <f t="shared" si="1378"/>
        <v>0</v>
      </c>
      <c r="AF657" s="186">
        <f t="shared" si="1378"/>
        <v>0</v>
      </c>
      <c r="AG657" s="186">
        <f t="shared" si="1378"/>
        <v>0</v>
      </c>
      <c r="AH657" s="186">
        <f t="shared" si="1378"/>
        <v>0</v>
      </c>
      <c r="AI657" s="186">
        <f t="shared" si="1378"/>
        <v>0</v>
      </c>
      <c r="AJ657" s="186">
        <f t="shared" si="1378"/>
        <v>0</v>
      </c>
      <c r="AK657" s="186">
        <f t="shared" si="1378"/>
        <v>0</v>
      </c>
      <c r="AL657" s="186">
        <f t="shared" si="1378"/>
        <v>0</v>
      </c>
      <c r="AM657" s="186">
        <f t="shared" si="1378"/>
        <v>0</v>
      </c>
      <c r="AN657" s="186">
        <f t="shared" si="1378"/>
        <v>0</v>
      </c>
      <c r="AO657" s="186">
        <f t="shared" si="1378"/>
        <v>0</v>
      </c>
      <c r="AP657" s="186">
        <f t="shared" si="1378"/>
        <v>0</v>
      </c>
    </row>
    <row r="658" spans="1:42">
      <c r="A658" s="37">
        <f t="shared" si="1371"/>
        <v>10</v>
      </c>
      <c r="B658" s="196">
        <f t="shared" si="1368"/>
        <v>0</v>
      </c>
      <c r="C658" s="187">
        <f t="shared" ref="C658:AP658" si="1379">IF(C$2&gt;AnalysisPeriod,0,IF(C$2=MMFrequency*$A658,MMCost*CapacityDC*1000*(1+Inflation)^B$2,0))</f>
        <v>0</v>
      </c>
      <c r="D658" s="187">
        <f t="shared" si="1379"/>
        <v>0</v>
      </c>
      <c r="E658" s="187">
        <f t="shared" si="1379"/>
        <v>0</v>
      </c>
      <c r="F658" s="187">
        <f t="shared" si="1379"/>
        <v>0</v>
      </c>
      <c r="G658" s="187">
        <f t="shared" si="1379"/>
        <v>0</v>
      </c>
      <c r="H658" s="187">
        <f t="shared" si="1379"/>
        <v>0</v>
      </c>
      <c r="I658" s="187">
        <f t="shared" si="1379"/>
        <v>0</v>
      </c>
      <c r="J658" s="187">
        <f t="shared" si="1379"/>
        <v>0</v>
      </c>
      <c r="K658" s="187">
        <f t="shared" si="1379"/>
        <v>0</v>
      </c>
      <c r="L658" s="187">
        <f t="shared" si="1379"/>
        <v>0</v>
      </c>
      <c r="M658" s="187">
        <f t="shared" si="1379"/>
        <v>0</v>
      </c>
      <c r="N658" s="187">
        <f t="shared" si="1379"/>
        <v>0</v>
      </c>
      <c r="O658" s="187">
        <f t="shared" si="1379"/>
        <v>0</v>
      </c>
      <c r="P658" s="187">
        <f t="shared" si="1379"/>
        <v>0</v>
      </c>
      <c r="Q658" s="187">
        <f t="shared" si="1379"/>
        <v>0</v>
      </c>
      <c r="R658" s="187">
        <f t="shared" si="1379"/>
        <v>0</v>
      </c>
      <c r="S658" s="187">
        <f t="shared" si="1379"/>
        <v>0</v>
      </c>
      <c r="T658" s="187">
        <f t="shared" si="1379"/>
        <v>0</v>
      </c>
      <c r="U658" s="187">
        <f t="shared" si="1379"/>
        <v>0</v>
      </c>
      <c r="V658" s="187">
        <f t="shared" si="1379"/>
        <v>0</v>
      </c>
      <c r="W658" s="187">
        <f t="shared" si="1379"/>
        <v>0</v>
      </c>
      <c r="X658" s="187">
        <f t="shared" si="1379"/>
        <v>0</v>
      </c>
      <c r="Y658" s="187">
        <f t="shared" si="1379"/>
        <v>0</v>
      </c>
      <c r="Z658" s="187">
        <f t="shared" si="1379"/>
        <v>0</v>
      </c>
      <c r="AA658" s="187">
        <f t="shared" si="1379"/>
        <v>0</v>
      </c>
      <c r="AB658" s="187">
        <f t="shared" si="1379"/>
        <v>0</v>
      </c>
      <c r="AC658" s="187">
        <f t="shared" si="1379"/>
        <v>0</v>
      </c>
      <c r="AD658" s="187">
        <f t="shared" si="1379"/>
        <v>0</v>
      </c>
      <c r="AE658" s="187">
        <f t="shared" si="1379"/>
        <v>0</v>
      </c>
      <c r="AF658" s="187">
        <f t="shared" si="1379"/>
        <v>0</v>
      </c>
      <c r="AG658" s="187">
        <f t="shared" si="1379"/>
        <v>0</v>
      </c>
      <c r="AH658" s="187">
        <f t="shared" si="1379"/>
        <v>0</v>
      </c>
      <c r="AI658" s="187">
        <f t="shared" si="1379"/>
        <v>0</v>
      </c>
      <c r="AJ658" s="187">
        <f t="shared" si="1379"/>
        <v>0</v>
      </c>
      <c r="AK658" s="187">
        <f t="shared" si="1379"/>
        <v>0</v>
      </c>
      <c r="AL658" s="187">
        <f t="shared" si="1379"/>
        <v>0</v>
      </c>
      <c r="AM658" s="187">
        <f t="shared" si="1379"/>
        <v>0</v>
      </c>
      <c r="AN658" s="187">
        <f t="shared" si="1379"/>
        <v>0</v>
      </c>
      <c r="AO658" s="187">
        <f t="shared" si="1379"/>
        <v>0</v>
      </c>
      <c r="AP658" s="187">
        <f t="shared" si="1379"/>
        <v>0</v>
      </c>
    </row>
    <row r="659" spans="1:42">
      <c r="A659" s="219" t="s">
        <v>53</v>
      </c>
      <c r="B659" s="186"/>
      <c r="C659" s="152">
        <f>SUM(C649:C658)</f>
        <v>0</v>
      </c>
      <c r="D659" s="152">
        <f t="shared" ref="D659" si="1380">SUM(D649:D658)</f>
        <v>0</v>
      </c>
      <c r="E659" s="152">
        <f t="shared" ref="E659" si="1381">SUM(E649:E658)</f>
        <v>0</v>
      </c>
      <c r="F659" s="152">
        <f t="shared" ref="F659" si="1382">SUM(F649:F658)</f>
        <v>0</v>
      </c>
      <c r="G659" s="152">
        <f t="shared" ref="G659" si="1383">SUM(G649:G658)</f>
        <v>0</v>
      </c>
      <c r="H659" s="152">
        <f t="shared" ref="H659" si="1384">SUM(H649:H658)</f>
        <v>0</v>
      </c>
      <c r="I659" s="152">
        <f t="shared" ref="I659" si="1385">SUM(I649:I658)</f>
        <v>0</v>
      </c>
      <c r="J659" s="152">
        <f t="shared" ref="J659" si="1386">SUM(J649:J658)</f>
        <v>0</v>
      </c>
      <c r="K659" s="152">
        <f t="shared" ref="K659" si="1387">SUM(K649:K658)</f>
        <v>0</v>
      </c>
      <c r="L659" s="152">
        <f t="shared" ref="L659" si="1388">SUM(L649:L658)</f>
        <v>0</v>
      </c>
      <c r="M659" s="152">
        <f t="shared" ref="M659" si="1389">SUM(M649:M658)</f>
        <v>0</v>
      </c>
      <c r="N659" s="152">
        <f t="shared" ref="N659" si="1390">SUM(N649:N658)</f>
        <v>2944872.3435013141</v>
      </c>
      <c r="O659" s="152">
        <f t="shared" ref="O659" si="1391">SUM(O649:O658)</f>
        <v>0</v>
      </c>
      <c r="P659" s="152">
        <f t="shared" ref="P659" si="1392">SUM(P649:P658)</f>
        <v>0</v>
      </c>
      <c r="Q659" s="152">
        <f t="shared" ref="Q659" si="1393">SUM(Q649:Q658)</f>
        <v>0</v>
      </c>
      <c r="R659" s="152">
        <f t="shared" ref="R659" si="1394">SUM(R649:R658)</f>
        <v>0</v>
      </c>
      <c r="S659" s="152">
        <f t="shared" ref="S659" si="1395">SUM(S649:S658)</f>
        <v>0</v>
      </c>
      <c r="T659" s="152">
        <f t="shared" ref="T659" si="1396">SUM(T649:T658)</f>
        <v>0</v>
      </c>
      <c r="U659" s="152">
        <f t="shared" ref="U659" si="1397">SUM(U649:U658)</f>
        <v>0</v>
      </c>
      <c r="V659" s="152">
        <f t="shared" ref="V659" si="1398">SUM(V649:V658)</f>
        <v>0</v>
      </c>
      <c r="W659" s="152">
        <f t="shared" ref="W659" si="1399">SUM(W649:W658)</f>
        <v>0</v>
      </c>
      <c r="X659" s="152">
        <f t="shared" ref="X659" si="1400">SUM(X649:X658)</f>
        <v>0</v>
      </c>
      <c r="Y659" s="152">
        <f t="shared" ref="Y659" si="1401">SUM(Y649:Y658)</f>
        <v>0</v>
      </c>
      <c r="Z659" s="152">
        <f t="shared" ref="Z659" si="1402">SUM(Z649:Z658)</f>
        <v>3520942.886524681</v>
      </c>
      <c r="AA659" s="152">
        <f t="shared" ref="AA659" si="1403">SUM(AA649:AA658)</f>
        <v>0</v>
      </c>
      <c r="AB659" s="152">
        <f t="shared" ref="AB659" si="1404">SUM(AB649:AB658)</f>
        <v>0</v>
      </c>
      <c r="AC659" s="152">
        <f t="shared" ref="AC659" si="1405">SUM(AC649:AC658)</f>
        <v>0</v>
      </c>
      <c r="AD659" s="152">
        <f t="shared" ref="AD659" si="1406">SUM(AD649:AD658)</f>
        <v>0</v>
      </c>
      <c r="AE659" s="152">
        <f t="shared" ref="AE659" si="1407">SUM(AE649:AE658)</f>
        <v>0</v>
      </c>
      <c r="AF659" s="152">
        <f t="shared" ref="AF659" si="1408">SUM(AF649:AF658)</f>
        <v>0</v>
      </c>
      <c r="AG659" s="152">
        <f t="shared" ref="AG659" si="1409">SUM(AG649:AG658)</f>
        <v>0</v>
      </c>
      <c r="AH659" s="152">
        <f t="shared" ref="AH659" si="1410">SUM(AH649:AH658)</f>
        <v>0</v>
      </c>
      <c r="AI659" s="152">
        <f t="shared" ref="AI659" si="1411">SUM(AI649:AI658)</f>
        <v>0</v>
      </c>
      <c r="AJ659" s="152">
        <f t="shared" ref="AJ659" si="1412">SUM(AJ649:AJ658)</f>
        <v>0</v>
      </c>
      <c r="AK659" s="152">
        <f t="shared" ref="AK659" si="1413">SUM(AK649:AK658)</f>
        <v>0</v>
      </c>
      <c r="AL659" s="152">
        <f t="shared" ref="AL659" si="1414">SUM(AL649:AL658)</f>
        <v>0</v>
      </c>
      <c r="AM659" s="152">
        <f t="shared" ref="AM659" si="1415">SUM(AM649:AM658)</f>
        <v>0</v>
      </c>
      <c r="AN659" s="152">
        <f t="shared" ref="AN659" si="1416">SUM(AN649:AN658)</f>
        <v>0</v>
      </c>
      <c r="AO659" s="152">
        <f t="shared" ref="AO659" si="1417">SUM(AO649:AO658)</f>
        <v>0</v>
      </c>
      <c r="AP659" s="152">
        <f t="shared" ref="AP659" si="1418">SUM(AP649:AP658)</f>
        <v>0</v>
      </c>
    </row>
    <row r="660" spans="1:42">
      <c r="A660" s="37" t="s">
        <v>199</v>
      </c>
      <c r="B660" s="152"/>
      <c r="C660" s="152"/>
      <c r="D660" s="152"/>
      <c r="E660" s="152"/>
      <c r="F660" s="152"/>
      <c r="G660" s="186"/>
      <c r="H660" s="186"/>
      <c r="I660" s="186"/>
      <c r="J660" s="186"/>
      <c r="K660" s="186"/>
      <c r="L660" s="186"/>
      <c r="M660" s="186"/>
      <c r="N660" s="186"/>
      <c r="O660" s="186"/>
      <c r="P660" s="186"/>
      <c r="Q660" s="186"/>
      <c r="R660" s="186"/>
      <c r="S660" s="186"/>
      <c r="T660" s="186"/>
      <c r="U660" s="186"/>
      <c r="V660" s="186"/>
      <c r="W660" s="186"/>
      <c r="X660" s="186"/>
      <c r="Y660" s="186"/>
      <c r="Z660" s="186"/>
      <c r="AA660" s="186"/>
      <c r="AB660" s="186"/>
      <c r="AC660" s="186"/>
      <c r="AD660" s="186"/>
      <c r="AE660" s="186"/>
      <c r="AF660" s="186"/>
      <c r="AG660" s="186"/>
      <c r="AH660" s="186"/>
      <c r="AI660" s="186"/>
      <c r="AJ660" s="186"/>
      <c r="AK660" s="186"/>
      <c r="AL660" s="186"/>
      <c r="AM660" s="186"/>
      <c r="AN660" s="186"/>
      <c r="AO660" s="186"/>
      <c r="AP660" s="186"/>
    </row>
    <row r="661" spans="1:42">
      <c r="A661" s="37">
        <v>1</v>
      </c>
      <c r="B661" s="196">
        <f t="shared" ref="B661:B670" si="1419">SUM(C661:AP661)</f>
        <v>2944872.3435013145</v>
      </c>
      <c r="C661" s="152">
        <f t="shared" ref="C661:AP661" si="1420">IF(C$2&lt;=MMFrequency*$A$649,$B$649/(MMFrequency),0)</f>
        <v>245406.02862510949</v>
      </c>
      <c r="D661" s="152">
        <f t="shared" si="1420"/>
        <v>245406.02862510949</v>
      </c>
      <c r="E661" s="152">
        <f t="shared" si="1420"/>
        <v>245406.02862510949</v>
      </c>
      <c r="F661" s="152">
        <f t="shared" si="1420"/>
        <v>245406.02862510949</v>
      </c>
      <c r="G661" s="152">
        <f t="shared" si="1420"/>
        <v>245406.02862510949</v>
      </c>
      <c r="H661" s="152">
        <f t="shared" si="1420"/>
        <v>245406.02862510949</v>
      </c>
      <c r="I661" s="152">
        <f t="shared" si="1420"/>
        <v>245406.02862510949</v>
      </c>
      <c r="J661" s="152">
        <f t="shared" si="1420"/>
        <v>245406.02862510949</v>
      </c>
      <c r="K661" s="152">
        <f t="shared" si="1420"/>
        <v>245406.02862510949</v>
      </c>
      <c r="L661" s="152">
        <f t="shared" si="1420"/>
        <v>245406.02862510949</v>
      </c>
      <c r="M661" s="152">
        <f t="shared" si="1420"/>
        <v>245406.02862510949</v>
      </c>
      <c r="N661" s="152">
        <f t="shared" si="1420"/>
        <v>245406.02862510949</v>
      </c>
      <c r="O661" s="152">
        <f t="shared" si="1420"/>
        <v>0</v>
      </c>
      <c r="P661" s="152">
        <f t="shared" si="1420"/>
        <v>0</v>
      </c>
      <c r="Q661" s="152">
        <f t="shared" si="1420"/>
        <v>0</v>
      </c>
      <c r="R661" s="152">
        <f t="shared" si="1420"/>
        <v>0</v>
      </c>
      <c r="S661" s="152">
        <f t="shared" si="1420"/>
        <v>0</v>
      </c>
      <c r="T661" s="152">
        <f t="shared" si="1420"/>
        <v>0</v>
      </c>
      <c r="U661" s="152">
        <f t="shared" si="1420"/>
        <v>0</v>
      </c>
      <c r="V661" s="152">
        <f t="shared" si="1420"/>
        <v>0</v>
      </c>
      <c r="W661" s="152">
        <f t="shared" si="1420"/>
        <v>0</v>
      </c>
      <c r="X661" s="152">
        <f t="shared" si="1420"/>
        <v>0</v>
      </c>
      <c r="Y661" s="152">
        <f t="shared" si="1420"/>
        <v>0</v>
      </c>
      <c r="Z661" s="152">
        <f t="shared" si="1420"/>
        <v>0</v>
      </c>
      <c r="AA661" s="152">
        <f t="shared" si="1420"/>
        <v>0</v>
      </c>
      <c r="AB661" s="152">
        <f t="shared" si="1420"/>
        <v>0</v>
      </c>
      <c r="AC661" s="152">
        <f t="shared" si="1420"/>
        <v>0</v>
      </c>
      <c r="AD661" s="152">
        <f t="shared" si="1420"/>
        <v>0</v>
      </c>
      <c r="AE661" s="152">
        <f t="shared" si="1420"/>
        <v>0</v>
      </c>
      <c r="AF661" s="152">
        <f t="shared" si="1420"/>
        <v>0</v>
      </c>
      <c r="AG661" s="152">
        <f t="shared" si="1420"/>
        <v>0</v>
      </c>
      <c r="AH661" s="152">
        <f t="shared" si="1420"/>
        <v>0</v>
      </c>
      <c r="AI661" s="152">
        <f t="shared" si="1420"/>
        <v>0</v>
      </c>
      <c r="AJ661" s="152">
        <f t="shared" si="1420"/>
        <v>0</v>
      </c>
      <c r="AK661" s="152">
        <f t="shared" si="1420"/>
        <v>0</v>
      </c>
      <c r="AL661" s="152">
        <f t="shared" si="1420"/>
        <v>0</v>
      </c>
      <c r="AM661" s="152">
        <f t="shared" si="1420"/>
        <v>0</v>
      </c>
      <c r="AN661" s="152">
        <f t="shared" si="1420"/>
        <v>0</v>
      </c>
      <c r="AO661" s="152">
        <f t="shared" si="1420"/>
        <v>0</v>
      </c>
      <c r="AP661" s="152">
        <f t="shared" si="1420"/>
        <v>0</v>
      </c>
    </row>
    <row r="662" spans="1:42">
      <c r="A662" s="37">
        <f>A661+1</f>
        <v>2</v>
      </c>
      <c r="B662" s="196">
        <f t="shared" si="1419"/>
        <v>3520942.886524681</v>
      </c>
      <c r="C662" s="225">
        <f t="shared" ref="C662:AP662" si="1421">IF(AND(C$2&gt;MMFrequency*$A649,C$2&lt;=MMFrequency*$A650),$B650/(MMFrequency),0)</f>
        <v>0</v>
      </c>
      <c r="D662" s="186">
        <f t="shared" si="1421"/>
        <v>0</v>
      </c>
      <c r="E662" s="186">
        <f t="shared" si="1421"/>
        <v>0</v>
      </c>
      <c r="F662" s="186">
        <f t="shared" si="1421"/>
        <v>0</v>
      </c>
      <c r="G662" s="186">
        <f t="shared" si="1421"/>
        <v>0</v>
      </c>
      <c r="H662" s="186">
        <f t="shared" si="1421"/>
        <v>0</v>
      </c>
      <c r="I662" s="186">
        <f t="shared" si="1421"/>
        <v>0</v>
      </c>
      <c r="J662" s="186">
        <f t="shared" si="1421"/>
        <v>0</v>
      </c>
      <c r="K662" s="186">
        <f t="shared" si="1421"/>
        <v>0</v>
      </c>
      <c r="L662" s="186">
        <f t="shared" si="1421"/>
        <v>0</v>
      </c>
      <c r="M662" s="186">
        <f t="shared" si="1421"/>
        <v>0</v>
      </c>
      <c r="N662" s="186">
        <f t="shared" si="1421"/>
        <v>0</v>
      </c>
      <c r="O662" s="186">
        <f t="shared" si="1421"/>
        <v>293411.90721039008</v>
      </c>
      <c r="P662" s="186">
        <f t="shared" si="1421"/>
        <v>293411.90721039008</v>
      </c>
      <c r="Q662" s="186">
        <f t="shared" si="1421"/>
        <v>293411.90721039008</v>
      </c>
      <c r="R662" s="186">
        <f t="shared" si="1421"/>
        <v>293411.90721039008</v>
      </c>
      <c r="S662" s="186">
        <f t="shared" si="1421"/>
        <v>293411.90721039008</v>
      </c>
      <c r="T662" s="186">
        <f t="shared" si="1421"/>
        <v>293411.90721039008</v>
      </c>
      <c r="U662" s="186">
        <f t="shared" si="1421"/>
        <v>293411.90721039008</v>
      </c>
      <c r="V662" s="186">
        <f t="shared" si="1421"/>
        <v>293411.90721039008</v>
      </c>
      <c r="W662" s="186">
        <f t="shared" si="1421"/>
        <v>293411.90721039008</v>
      </c>
      <c r="X662" s="186">
        <f t="shared" si="1421"/>
        <v>293411.90721039008</v>
      </c>
      <c r="Y662" s="186">
        <f t="shared" si="1421"/>
        <v>293411.90721039008</v>
      </c>
      <c r="Z662" s="186">
        <f t="shared" si="1421"/>
        <v>293411.90721039008</v>
      </c>
      <c r="AA662" s="186">
        <f t="shared" si="1421"/>
        <v>0</v>
      </c>
      <c r="AB662" s="186">
        <f t="shared" si="1421"/>
        <v>0</v>
      </c>
      <c r="AC662" s="186">
        <f t="shared" si="1421"/>
        <v>0</v>
      </c>
      <c r="AD662" s="186">
        <f t="shared" si="1421"/>
        <v>0</v>
      </c>
      <c r="AE662" s="186">
        <f t="shared" si="1421"/>
        <v>0</v>
      </c>
      <c r="AF662" s="186">
        <f t="shared" si="1421"/>
        <v>0</v>
      </c>
      <c r="AG662" s="186">
        <f t="shared" si="1421"/>
        <v>0</v>
      </c>
      <c r="AH662" s="186">
        <f t="shared" si="1421"/>
        <v>0</v>
      </c>
      <c r="AI662" s="186">
        <f t="shared" si="1421"/>
        <v>0</v>
      </c>
      <c r="AJ662" s="186">
        <f t="shared" si="1421"/>
        <v>0</v>
      </c>
      <c r="AK662" s="186">
        <f t="shared" si="1421"/>
        <v>0</v>
      </c>
      <c r="AL662" s="186">
        <f t="shared" si="1421"/>
        <v>0</v>
      </c>
      <c r="AM662" s="186">
        <f t="shared" si="1421"/>
        <v>0</v>
      </c>
      <c r="AN662" s="186">
        <f t="shared" si="1421"/>
        <v>0</v>
      </c>
      <c r="AO662" s="186">
        <f t="shared" si="1421"/>
        <v>0</v>
      </c>
      <c r="AP662" s="186">
        <f t="shared" si="1421"/>
        <v>0</v>
      </c>
    </row>
    <row r="663" spans="1:42">
      <c r="A663" s="37">
        <f t="shared" ref="A663:A668" si="1422">A662+1</f>
        <v>3</v>
      </c>
      <c r="B663" s="196">
        <f t="shared" si="1419"/>
        <v>0</v>
      </c>
      <c r="C663" s="225">
        <f t="shared" ref="C663:AP663" si="1423">IF(AND(C$2&gt;MMFrequency*$A650,C$2&lt;=MMFrequency*$A651),$B651/(MMFrequency),0)</f>
        <v>0</v>
      </c>
      <c r="D663" s="186">
        <f t="shared" si="1423"/>
        <v>0</v>
      </c>
      <c r="E663" s="186">
        <f t="shared" si="1423"/>
        <v>0</v>
      </c>
      <c r="F663" s="186">
        <f t="shared" si="1423"/>
        <v>0</v>
      </c>
      <c r="G663" s="186">
        <f t="shared" si="1423"/>
        <v>0</v>
      </c>
      <c r="H663" s="186">
        <f t="shared" si="1423"/>
        <v>0</v>
      </c>
      <c r="I663" s="186">
        <f t="shared" si="1423"/>
        <v>0</v>
      </c>
      <c r="J663" s="186">
        <f t="shared" si="1423"/>
        <v>0</v>
      </c>
      <c r="K663" s="186">
        <f t="shared" si="1423"/>
        <v>0</v>
      </c>
      <c r="L663" s="186">
        <f t="shared" si="1423"/>
        <v>0</v>
      </c>
      <c r="M663" s="186">
        <f t="shared" si="1423"/>
        <v>0</v>
      </c>
      <c r="N663" s="186">
        <f t="shared" si="1423"/>
        <v>0</v>
      </c>
      <c r="O663" s="186">
        <f t="shared" si="1423"/>
        <v>0</v>
      </c>
      <c r="P663" s="186">
        <f t="shared" si="1423"/>
        <v>0</v>
      </c>
      <c r="Q663" s="186">
        <f t="shared" si="1423"/>
        <v>0</v>
      </c>
      <c r="R663" s="186">
        <f t="shared" si="1423"/>
        <v>0</v>
      </c>
      <c r="S663" s="186">
        <f t="shared" si="1423"/>
        <v>0</v>
      </c>
      <c r="T663" s="186">
        <f t="shared" si="1423"/>
        <v>0</v>
      </c>
      <c r="U663" s="186">
        <f t="shared" si="1423"/>
        <v>0</v>
      </c>
      <c r="V663" s="186">
        <f t="shared" si="1423"/>
        <v>0</v>
      </c>
      <c r="W663" s="186">
        <f t="shared" si="1423"/>
        <v>0</v>
      </c>
      <c r="X663" s="186">
        <f t="shared" si="1423"/>
        <v>0</v>
      </c>
      <c r="Y663" s="186">
        <f t="shared" si="1423"/>
        <v>0</v>
      </c>
      <c r="Z663" s="186">
        <f t="shared" si="1423"/>
        <v>0</v>
      </c>
      <c r="AA663" s="186">
        <f t="shared" si="1423"/>
        <v>0</v>
      </c>
      <c r="AB663" s="186">
        <f t="shared" si="1423"/>
        <v>0</v>
      </c>
      <c r="AC663" s="186">
        <f t="shared" si="1423"/>
        <v>0</v>
      </c>
      <c r="AD663" s="186">
        <f t="shared" si="1423"/>
        <v>0</v>
      </c>
      <c r="AE663" s="186">
        <f t="shared" si="1423"/>
        <v>0</v>
      </c>
      <c r="AF663" s="186">
        <f t="shared" si="1423"/>
        <v>0</v>
      </c>
      <c r="AG663" s="186">
        <f t="shared" si="1423"/>
        <v>0</v>
      </c>
      <c r="AH663" s="186">
        <f t="shared" si="1423"/>
        <v>0</v>
      </c>
      <c r="AI663" s="186">
        <f t="shared" si="1423"/>
        <v>0</v>
      </c>
      <c r="AJ663" s="186">
        <f t="shared" si="1423"/>
        <v>0</v>
      </c>
      <c r="AK663" s="186">
        <f t="shared" si="1423"/>
        <v>0</v>
      </c>
      <c r="AL663" s="186">
        <f t="shared" si="1423"/>
        <v>0</v>
      </c>
      <c r="AM663" s="186">
        <f t="shared" si="1423"/>
        <v>0</v>
      </c>
      <c r="AN663" s="186">
        <f t="shared" si="1423"/>
        <v>0</v>
      </c>
      <c r="AO663" s="186">
        <f t="shared" si="1423"/>
        <v>0</v>
      </c>
      <c r="AP663" s="186">
        <f t="shared" si="1423"/>
        <v>0</v>
      </c>
    </row>
    <row r="664" spans="1:42">
      <c r="A664" s="37">
        <f t="shared" si="1422"/>
        <v>4</v>
      </c>
      <c r="B664" s="196">
        <f t="shared" si="1419"/>
        <v>0</v>
      </c>
      <c r="C664" s="225">
        <f t="shared" ref="C664:AP664" si="1424">IF(AND(C$2&gt;MMFrequency*$A651,C$2&lt;=MMFrequency*$A652),$B652/(MMFrequency),0)</f>
        <v>0</v>
      </c>
      <c r="D664" s="186">
        <f t="shared" si="1424"/>
        <v>0</v>
      </c>
      <c r="E664" s="186">
        <f t="shared" si="1424"/>
        <v>0</v>
      </c>
      <c r="F664" s="186">
        <f t="shared" si="1424"/>
        <v>0</v>
      </c>
      <c r="G664" s="186">
        <f t="shared" si="1424"/>
        <v>0</v>
      </c>
      <c r="H664" s="186">
        <f t="shared" si="1424"/>
        <v>0</v>
      </c>
      <c r="I664" s="186">
        <f t="shared" si="1424"/>
        <v>0</v>
      </c>
      <c r="J664" s="186">
        <f t="shared" si="1424"/>
        <v>0</v>
      </c>
      <c r="K664" s="186">
        <f t="shared" si="1424"/>
        <v>0</v>
      </c>
      <c r="L664" s="186">
        <f t="shared" si="1424"/>
        <v>0</v>
      </c>
      <c r="M664" s="186">
        <f t="shared" si="1424"/>
        <v>0</v>
      </c>
      <c r="N664" s="186">
        <f t="shared" si="1424"/>
        <v>0</v>
      </c>
      <c r="O664" s="186">
        <f t="shared" si="1424"/>
        <v>0</v>
      </c>
      <c r="P664" s="186">
        <f t="shared" si="1424"/>
        <v>0</v>
      </c>
      <c r="Q664" s="186">
        <f t="shared" si="1424"/>
        <v>0</v>
      </c>
      <c r="R664" s="186">
        <f t="shared" si="1424"/>
        <v>0</v>
      </c>
      <c r="S664" s="186">
        <f t="shared" si="1424"/>
        <v>0</v>
      </c>
      <c r="T664" s="186">
        <f t="shared" si="1424"/>
        <v>0</v>
      </c>
      <c r="U664" s="186">
        <f t="shared" si="1424"/>
        <v>0</v>
      </c>
      <c r="V664" s="186">
        <f t="shared" si="1424"/>
        <v>0</v>
      </c>
      <c r="W664" s="186">
        <f t="shared" si="1424"/>
        <v>0</v>
      </c>
      <c r="X664" s="186">
        <f t="shared" si="1424"/>
        <v>0</v>
      </c>
      <c r="Y664" s="186">
        <f t="shared" si="1424"/>
        <v>0</v>
      </c>
      <c r="Z664" s="186">
        <f t="shared" si="1424"/>
        <v>0</v>
      </c>
      <c r="AA664" s="186">
        <f t="shared" si="1424"/>
        <v>0</v>
      </c>
      <c r="AB664" s="186">
        <f t="shared" si="1424"/>
        <v>0</v>
      </c>
      <c r="AC664" s="186">
        <f t="shared" si="1424"/>
        <v>0</v>
      </c>
      <c r="AD664" s="186">
        <f t="shared" si="1424"/>
        <v>0</v>
      </c>
      <c r="AE664" s="186">
        <f t="shared" si="1424"/>
        <v>0</v>
      </c>
      <c r="AF664" s="186">
        <f t="shared" si="1424"/>
        <v>0</v>
      </c>
      <c r="AG664" s="186">
        <f t="shared" si="1424"/>
        <v>0</v>
      </c>
      <c r="AH664" s="186">
        <f t="shared" si="1424"/>
        <v>0</v>
      </c>
      <c r="AI664" s="186">
        <f t="shared" si="1424"/>
        <v>0</v>
      </c>
      <c r="AJ664" s="186">
        <f t="shared" si="1424"/>
        <v>0</v>
      </c>
      <c r="AK664" s="186">
        <f t="shared" si="1424"/>
        <v>0</v>
      </c>
      <c r="AL664" s="186">
        <f t="shared" si="1424"/>
        <v>0</v>
      </c>
      <c r="AM664" s="186">
        <f t="shared" si="1424"/>
        <v>0</v>
      </c>
      <c r="AN664" s="186">
        <f t="shared" si="1424"/>
        <v>0</v>
      </c>
      <c r="AO664" s="186">
        <f t="shared" si="1424"/>
        <v>0</v>
      </c>
      <c r="AP664" s="186">
        <f t="shared" si="1424"/>
        <v>0</v>
      </c>
    </row>
    <row r="665" spans="1:42">
      <c r="A665" s="37">
        <f t="shared" si="1422"/>
        <v>5</v>
      </c>
      <c r="B665" s="196">
        <f t="shared" si="1419"/>
        <v>0</v>
      </c>
      <c r="C665" s="225">
        <f t="shared" ref="C665:AP665" si="1425">IF(AND(C$2&gt;MMFrequency*$A652,C$2&lt;=MMFrequency*$A653),$B653/(MMFrequency),0)</f>
        <v>0</v>
      </c>
      <c r="D665" s="186">
        <f t="shared" si="1425"/>
        <v>0</v>
      </c>
      <c r="E665" s="186">
        <f t="shared" si="1425"/>
        <v>0</v>
      </c>
      <c r="F665" s="186">
        <f t="shared" si="1425"/>
        <v>0</v>
      </c>
      <c r="G665" s="186">
        <f t="shared" si="1425"/>
        <v>0</v>
      </c>
      <c r="H665" s="186">
        <f t="shared" si="1425"/>
        <v>0</v>
      </c>
      <c r="I665" s="186">
        <f t="shared" si="1425"/>
        <v>0</v>
      </c>
      <c r="J665" s="186">
        <f t="shared" si="1425"/>
        <v>0</v>
      </c>
      <c r="K665" s="186">
        <f t="shared" si="1425"/>
        <v>0</v>
      </c>
      <c r="L665" s="186">
        <f t="shared" si="1425"/>
        <v>0</v>
      </c>
      <c r="M665" s="186">
        <f t="shared" si="1425"/>
        <v>0</v>
      </c>
      <c r="N665" s="186">
        <f t="shared" si="1425"/>
        <v>0</v>
      </c>
      <c r="O665" s="186">
        <f t="shared" si="1425"/>
        <v>0</v>
      </c>
      <c r="P665" s="186">
        <f t="shared" si="1425"/>
        <v>0</v>
      </c>
      <c r="Q665" s="186">
        <f t="shared" si="1425"/>
        <v>0</v>
      </c>
      <c r="R665" s="186">
        <f t="shared" si="1425"/>
        <v>0</v>
      </c>
      <c r="S665" s="186">
        <f t="shared" si="1425"/>
        <v>0</v>
      </c>
      <c r="T665" s="186">
        <f t="shared" si="1425"/>
        <v>0</v>
      </c>
      <c r="U665" s="186">
        <f t="shared" si="1425"/>
        <v>0</v>
      </c>
      <c r="V665" s="186">
        <f t="shared" si="1425"/>
        <v>0</v>
      </c>
      <c r="W665" s="186">
        <f t="shared" si="1425"/>
        <v>0</v>
      </c>
      <c r="X665" s="186">
        <f t="shared" si="1425"/>
        <v>0</v>
      </c>
      <c r="Y665" s="186">
        <f t="shared" si="1425"/>
        <v>0</v>
      </c>
      <c r="Z665" s="186">
        <f t="shared" si="1425"/>
        <v>0</v>
      </c>
      <c r="AA665" s="186">
        <f t="shared" si="1425"/>
        <v>0</v>
      </c>
      <c r="AB665" s="186">
        <f t="shared" si="1425"/>
        <v>0</v>
      </c>
      <c r="AC665" s="186">
        <f t="shared" si="1425"/>
        <v>0</v>
      </c>
      <c r="AD665" s="186">
        <f t="shared" si="1425"/>
        <v>0</v>
      </c>
      <c r="AE665" s="186">
        <f t="shared" si="1425"/>
        <v>0</v>
      </c>
      <c r="AF665" s="186">
        <f t="shared" si="1425"/>
        <v>0</v>
      </c>
      <c r="AG665" s="186">
        <f t="shared" si="1425"/>
        <v>0</v>
      </c>
      <c r="AH665" s="186">
        <f t="shared" si="1425"/>
        <v>0</v>
      </c>
      <c r="AI665" s="186">
        <f t="shared" si="1425"/>
        <v>0</v>
      </c>
      <c r="AJ665" s="186">
        <f t="shared" si="1425"/>
        <v>0</v>
      </c>
      <c r="AK665" s="186">
        <f t="shared" si="1425"/>
        <v>0</v>
      </c>
      <c r="AL665" s="186">
        <f t="shared" si="1425"/>
        <v>0</v>
      </c>
      <c r="AM665" s="186">
        <f t="shared" si="1425"/>
        <v>0</v>
      </c>
      <c r="AN665" s="186">
        <f t="shared" si="1425"/>
        <v>0</v>
      </c>
      <c r="AO665" s="186">
        <f t="shared" si="1425"/>
        <v>0</v>
      </c>
      <c r="AP665" s="186">
        <f t="shared" si="1425"/>
        <v>0</v>
      </c>
    </row>
    <row r="666" spans="1:42">
      <c r="A666" s="37">
        <f t="shared" si="1422"/>
        <v>6</v>
      </c>
      <c r="B666" s="196">
        <f t="shared" si="1419"/>
        <v>0</v>
      </c>
      <c r="C666" s="225">
        <f t="shared" ref="C666:AP666" si="1426">IF(AND(C$2&gt;MMFrequency*$A653,C$2&lt;=MMFrequency*$A654),$B654/(MMFrequency),0)</f>
        <v>0</v>
      </c>
      <c r="D666" s="186">
        <f t="shared" si="1426"/>
        <v>0</v>
      </c>
      <c r="E666" s="186">
        <f t="shared" si="1426"/>
        <v>0</v>
      </c>
      <c r="F666" s="186">
        <f t="shared" si="1426"/>
        <v>0</v>
      </c>
      <c r="G666" s="186">
        <f t="shared" si="1426"/>
        <v>0</v>
      </c>
      <c r="H666" s="186">
        <f t="shared" si="1426"/>
        <v>0</v>
      </c>
      <c r="I666" s="186">
        <f t="shared" si="1426"/>
        <v>0</v>
      </c>
      <c r="J666" s="186">
        <f t="shared" si="1426"/>
        <v>0</v>
      </c>
      <c r="K666" s="186">
        <f t="shared" si="1426"/>
        <v>0</v>
      </c>
      <c r="L666" s="186">
        <f t="shared" si="1426"/>
        <v>0</v>
      </c>
      <c r="M666" s="186">
        <f t="shared" si="1426"/>
        <v>0</v>
      </c>
      <c r="N666" s="186">
        <f t="shared" si="1426"/>
        <v>0</v>
      </c>
      <c r="O666" s="186">
        <f t="shared" si="1426"/>
        <v>0</v>
      </c>
      <c r="P666" s="186">
        <f t="shared" si="1426"/>
        <v>0</v>
      </c>
      <c r="Q666" s="186">
        <f t="shared" si="1426"/>
        <v>0</v>
      </c>
      <c r="R666" s="186">
        <f t="shared" si="1426"/>
        <v>0</v>
      </c>
      <c r="S666" s="186">
        <f t="shared" si="1426"/>
        <v>0</v>
      </c>
      <c r="T666" s="186">
        <f t="shared" si="1426"/>
        <v>0</v>
      </c>
      <c r="U666" s="186">
        <f t="shared" si="1426"/>
        <v>0</v>
      </c>
      <c r="V666" s="186">
        <f t="shared" si="1426"/>
        <v>0</v>
      </c>
      <c r="W666" s="186">
        <f t="shared" si="1426"/>
        <v>0</v>
      </c>
      <c r="X666" s="186">
        <f t="shared" si="1426"/>
        <v>0</v>
      </c>
      <c r="Y666" s="186">
        <f t="shared" si="1426"/>
        <v>0</v>
      </c>
      <c r="Z666" s="186">
        <f t="shared" si="1426"/>
        <v>0</v>
      </c>
      <c r="AA666" s="186">
        <f t="shared" si="1426"/>
        <v>0</v>
      </c>
      <c r="AB666" s="186">
        <f t="shared" si="1426"/>
        <v>0</v>
      </c>
      <c r="AC666" s="186">
        <f t="shared" si="1426"/>
        <v>0</v>
      </c>
      <c r="AD666" s="186">
        <f t="shared" si="1426"/>
        <v>0</v>
      </c>
      <c r="AE666" s="186">
        <f t="shared" si="1426"/>
        <v>0</v>
      </c>
      <c r="AF666" s="186">
        <f t="shared" si="1426"/>
        <v>0</v>
      </c>
      <c r="AG666" s="186">
        <f t="shared" si="1426"/>
        <v>0</v>
      </c>
      <c r="AH666" s="186">
        <f t="shared" si="1426"/>
        <v>0</v>
      </c>
      <c r="AI666" s="186">
        <f t="shared" si="1426"/>
        <v>0</v>
      </c>
      <c r="AJ666" s="186">
        <f t="shared" si="1426"/>
        <v>0</v>
      </c>
      <c r="AK666" s="186">
        <f t="shared" si="1426"/>
        <v>0</v>
      </c>
      <c r="AL666" s="186">
        <f t="shared" si="1426"/>
        <v>0</v>
      </c>
      <c r="AM666" s="186">
        <f t="shared" si="1426"/>
        <v>0</v>
      </c>
      <c r="AN666" s="186">
        <f t="shared" si="1426"/>
        <v>0</v>
      </c>
      <c r="AO666" s="186">
        <f t="shared" si="1426"/>
        <v>0</v>
      </c>
      <c r="AP666" s="186">
        <f t="shared" si="1426"/>
        <v>0</v>
      </c>
    </row>
    <row r="667" spans="1:42">
      <c r="A667" s="37">
        <f t="shared" si="1422"/>
        <v>7</v>
      </c>
      <c r="B667" s="196">
        <f t="shared" si="1419"/>
        <v>0</v>
      </c>
      <c r="C667" s="225">
        <f t="shared" ref="C667:AP667" si="1427">IF(AND(C$2&gt;MMFrequency*$A654,C$2&lt;=MMFrequency*$A655),$B655/(MMFrequency),0)</f>
        <v>0</v>
      </c>
      <c r="D667" s="186">
        <f t="shared" si="1427"/>
        <v>0</v>
      </c>
      <c r="E667" s="186">
        <f t="shared" si="1427"/>
        <v>0</v>
      </c>
      <c r="F667" s="186">
        <f t="shared" si="1427"/>
        <v>0</v>
      </c>
      <c r="G667" s="186">
        <f t="shared" si="1427"/>
        <v>0</v>
      </c>
      <c r="H667" s="186">
        <f t="shared" si="1427"/>
        <v>0</v>
      </c>
      <c r="I667" s="186">
        <f t="shared" si="1427"/>
        <v>0</v>
      </c>
      <c r="J667" s="186">
        <f t="shared" si="1427"/>
        <v>0</v>
      </c>
      <c r="K667" s="186">
        <f t="shared" si="1427"/>
        <v>0</v>
      </c>
      <c r="L667" s="186">
        <f t="shared" si="1427"/>
        <v>0</v>
      </c>
      <c r="M667" s="186">
        <f t="shared" si="1427"/>
        <v>0</v>
      </c>
      <c r="N667" s="186">
        <f t="shared" si="1427"/>
        <v>0</v>
      </c>
      <c r="O667" s="186">
        <f t="shared" si="1427"/>
        <v>0</v>
      </c>
      <c r="P667" s="186">
        <f t="shared" si="1427"/>
        <v>0</v>
      </c>
      <c r="Q667" s="186">
        <f t="shared" si="1427"/>
        <v>0</v>
      </c>
      <c r="R667" s="186">
        <f t="shared" si="1427"/>
        <v>0</v>
      </c>
      <c r="S667" s="186">
        <f t="shared" si="1427"/>
        <v>0</v>
      </c>
      <c r="T667" s="186">
        <f t="shared" si="1427"/>
        <v>0</v>
      </c>
      <c r="U667" s="186">
        <f t="shared" si="1427"/>
        <v>0</v>
      </c>
      <c r="V667" s="186">
        <f t="shared" si="1427"/>
        <v>0</v>
      </c>
      <c r="W667" s="186">
        <f t="shared" si="1427"/>
        <v>0</v>
      </c>
      <c r="X667" s="186">
        <f t="shared" si="1427"/>
        <v>0</v>
      </c>
      <c r="Y667" s="186">
        <f t="shared" si="1427"/>
        <v>0</v>
      </c>
      <c r="Z667" s="186">
        <f t="shared" si="1427"/>
        <v>0</v>
      </c>
      <c r="AA667" s="186">
        <f t="shared" si="1427"/>
        <v>0</v>
      </c>
      <c r="AB667" s="186">
        <f t="shared" si="1427"/>
        <v>0</v>
      </c>
      <c r="AC667" s="186">
        <f t="shared" si="1427"/>
        <v>0</v>
      </c>
      <c r="AD667" s="186">
        <f t="shared" si="1427"/>
        <v>0</v>
      </c>
      <c r="AE667" s="186">
        <f t="shared" si="1427"/>
        <v>0</v>
      </c>
      <c r="AF667" s="186">
        <f t="shared" si="1427"/>
        <v>0</v>
      </c>
      <c r="AG667" s="186">
        <f t="shared" si="1427"/>
        <v>0</v>
      </c>
      <c r="AH667" s="186">
        <f t="shared" si="1427"/>
        <v>0</v>
      </c>
      <c r="AI667" s="186">
        <f t="shared" si="1427"/>
        <v>0</v>
      </c>
      <c r="AJ667" s="186">
        <f t="shared" si="1427"/>
        <v>0</v>
      </c>
      <c r="AK667" s="186">
        <f t="shared" si="1427"/>
        <v>0</v>
      </c>
      <c r="AL667" s="186">
        <f t="shared" si="1427"/>
        <v>0</v>
      </c>
      <c r="AM667" s="186">
        <f t="shared" si="1427"/>
        <v>0</v>
      </c>
      <c r="AN667" s="186">
        <f t="shared" si="1427"/>
        <v>0</v>
      </c>
      <c r="AO667" s="186">
        <f t="shared" si="1427"/>
        <v>0</v>
      </c>
      <c r="AP667" s="186">
        <f t="shared" si="1427"/>
        <v>0</v>
      </c>
    </row>
    <row r="668" spans="1:42">
      <c r="A668" s="37">
        <f t="shared" si="1422"/>
        <v>8</v>
      </c>
      <c r="B668" s="196">
        <f t="shared" si="1419"/>
        <v>0</v>
      </c>
      <c r="C668" s="225">
        <f t="shared" ref="C668:AP668" si="1428">IF(AND(C$2&gt;MMFrequency*$A655,C$2&lt;=MMFrequency*$A656),$B656/(MMFrequency),0)</f>
        <v>0</v>
      </c>
      <c r="D668" s="186">
        <f t="shared" si="1428"/>
        <v>0</v>
      </c>
      <c r="E668" s="186">
        <f t="shared" si="1428"/>
        <v>0</v>
      </c>
      <c r="F668" s="186">
        <f t="shared" si="1428"/>
        <v>0</v>
      </c>
      <c r="G668" s="186">
        <f t="shared" si="1428"/>
        <v>0</v>
      </c>
      <c r="H668" s="186">
        <f t="shared" si="1428"/>
        <v>0</v>
      </c>
      <c r="I668" s="186">
        <f t="shared" si="1428"/>
        <v>0</v>
      </c>
      <c r="J668" s="186">
        <f t="shared" si="1428"/>
        <v>0</v>
      </c>
      <c r="K668" s="186">
        <f t="shared" si="1428"/>
        <v>0</v>
      </c>
      <c r="L668" s="186">
        <f t="shared" si="1428"/>
        <v>0</v>
      </c>
      <c r="M668" s="186">
        <f t="shared" si="1428"/>
        <v>0</v>
      </c>
      <c r="N668" s="186">
        <f t="shared" si="1428"/>
        <v>0</v>
      </c>
      <c r="O668" s="186">
        <f t="shared" si="1428"/>
        <v>0</v>
      </c>
      <c r="P668" s="186">
        <f t="shared" si="1428"/>
        <v>0</v>
      </c>
      <c r="Q668" s="186">
        <f t="shared" si="1428"/>
        <v>0</v>
      </c>
      <c r="R668" s="186">
        <f t="shared" si="1428"/>
        <v>0</v>
      </c>
      <c r="S668" s="186">
        <f t="shared" si="1428"/>
        <v>0</v>
      </c>
      <c r="T668" s="186">
        <f t="shared" si="1428"/>
        <v>0</v>
      </c>
      <c r="U668" s="186">
        <f t="shared" si="1428"/>
        <v>0</v>
      </c>
      <c r="V668" s="186">
        <f t="shared" si="1428"/>
        <v>0</v>
      </c>
      <c r="W668" s="186">
        <f t="shared" si="1428"/>
        <v>0</v>
      </c>
      <c r="X668" s="186">
        <f t="shared" si="1428"/>
        <v>0</v>
      </c>
      <c r="Y668" s="186">
        <f t="shared" si="1428"/>
        <v>0</v>
      </c>
      <c r="Z668" s="186">
        <f t="shared" si="1428"/>
        <v>0</v>
      </c>
      <c r="AA668" s="186">
        <f t="shared" si="1428"/>
        <v>0</v>
      </c>
      <c r="AB668" s="186">
        <f t="shared" si="1428"/>
        <v>0</v>
      </c>
      <c r="AC668" s="186">
        <f t="shared" si="1428"/>
        <v>0</v>
      </c>
      <c r="AD668" s="186">
        <f t="shared" si="1428"/>
        <v>0</v>
      </c>
      <c r="AE668" s="186">
        <f t="shared" si="1428"/>
        <v>0</v>
      </c>
      <c r="AF668" s="186">
        <f t="shared" si="1428"/>
        <v>0</v>
      </c>
      <c r="AG668" s="186">
        <f t="shared" si="1428"/>
        <v>0</v>
      </c>
      <c r="AH668" s="186">
        <f t="shared" si="1428"/>
        <v>0</v>
      </c>
      <c r="AI668" s="186">
        <f t="shared" si="1428"/>
        <v>0</v>
      </c>
      <c r="AJ668" s="186">
        <f t="shared" si="1428"/>
        <v>0</v>
      </c>
      <c r="AK668" s="186">
        <f t="shared" si="1428"/>
        <v>0</v>
      </c>
      <c r="AL668" s="186">
        <f t="shared" si="1428"/>
        <v>0</v>
      </c>
      <c r="AM668" s="186">
        <f t="shared" si="1428"/>
        <v>0</v>
      </c>
      <c r="AN668" s="186">
        <f t="shared" si="1428"/>
        <v>0</v>
      </c>
      <c r="AO668" s="186">
        <f t="shared" si="1428"/>
        <v>0</v>
      </c>
      <c r="AP668" s="186">
        <f t="shared" si="1428"/>
        <v>0</v>
      </c>
    </row>
    <row r="669" spans="1:42">
      <c r="A669" s="37">
        <f>A668+1</f>
        <v>9</v>
      </c>
      <c r="B669" s="196">
        <f t="shared" si="1419"/>
        <v>0</v>
      </c>
      <c r="C669" s="225">
        <f t="shared" ref="C669:AP669" si="1429">IF(AND(C$2&gt;MMFrequency*$A656,C$2&lt;=MMFrequency*$A657),$B657/(MMFrequency),0)</f>
        <v>0</v>
      </c>
      <c r="D669" s="186">
        <f t="shared" si="1429"/>
        <v>0</v>
      </c>
      <c r="E669" s="186">
        <f t="shared" si="1429"/>
        <v>0</v>
      </c>
      <c r="F669" s="186">
        <f t="shared" si="1429"/>
        <v>0</v>
      </c>
      <c r="G669" s="186">
        <f t="shared" si="1429"/>
        <v>0</v>
      </c>
      <c r="H669" s="186">
        <f t="shared" si="1429"/>
        <v>0</v>
      </c>
      <c r="I669" s="186">
        <f t="shared" si="1429"/>
        <v>0</v>
      </c>
      <c r="J669" s="186">
        <f t="shared" si="1429"/>
        <v>0</v>
      </c>
      <c r="K669" s="186">
        <f t="shared" si="1429"/>
        <v>0</v>
      </c>
      <c r="L669" s="186">
        <f t="shared" si="1429"/>
        <v>0</v>
      </c>
      <c r="M669" s="186">
        <f t="shared" si="1429"/>
        <v>0</v>
      </c>
      <c r="N669" s="186">
        <f t="shared" si="1429"/>
        <v>0</v>
      </c>
      <c r="O669" s="186">
        <f t="shared" si="1429"/>
        <v>0</v>
      </c>
      <c r="P669" s="186">
        <f t="shared" si="1429"/>
        <v>0</v>
      </c>
      <c r="Q669" s="186">
        <f t="shared" si="1429"/>
        <v>0</v>
      </c>
      <c r="R669" s="186">
        <f t="shared" si="1429"/>
        <v>0</v>
      </c>
      <c r="S669" s="186">
        <f t="shared" si="1429"/>
        <v>0</v>
      </c>
      <c r="T669" s="186">
        <f t="shared" si="1429"/>
        <v>0</v>
      </c>
      <c r="U669" s="186">
        <f t="shared" si="1429"/>
        <v>0</v>
      </c>
      <c r="V669" s="186">
        <f t="shared" si="1429"/>
        <v>0</v>
      </c>
      <c r="W669" s="186">
        <f t="shared" si="1429"/>
        <v>0</v>
      </c>
      <c r="X669" s="186">
        <f t="shared" si="1429"/>
        <v>0</v>
      </c>
      <c r="Y669" s="186">
        <f t="shared" si="1429"/>
        <v>0</v>
      </c>
      <c r="Z669" s="186">
        <f t="shared" si="1429"/>
        <v>0</v>
      </c>
      <c r="AA669" s="186">
        <f t="shared" si="1429"/>
        <v>0</v>
      </c>
      <c r="AB669" s="186">
        <f t="shared" si="1429"/>
        <v>0</v>
      </c>
      <c r="AC669" s="186">
        <f t="shared" si="1429"/>
        <v>0</v>
      </c>
      <c r="AD669" s="186">
        <f t="shared" si="1429"/>
        <v>0</v>
      </c>
      <c r="AE669" s="186">
        <f t="shared" si="1429"/>
        <v>0</v>
      </c>
      <c r="AF669" s="186">
        <f t="shared" si="1429"/>
        <v>0</v>
      </c>
      <c r="AG669" s="186">
        <f t="shared" si="1429"/>
        <v>0</v>
      </c>
      <c r="AH669" s="186">
        <f t="shared" si="1429"/>
        <v>0</v>
      </c>
      <c r="AI669" s="186">
        <f t="shared" si="1429"/>
        <v>0</v>
      </c>
      <c r="AJ669" s="186">
        <f t="shared" si="1429"/>
        <v>0</v>
      </c>
      <c r="AK669" s="186">
        <f t="shared" si="1429"/>
        <v>0</v>
      </c>
      <c r="AL669" s="186">
        <f t="shared" si="1429"/>
        <v>0</v>
      </c>
      <c r="AM669" s="186">
        <f t="shared" si="1429"/>
        <v>0</v>
      </c>
      <c r="AN669" s="186">
        <f t="shared" si="1429"/>
        <v>0</v>
      </c>
      <c r="AO669" s="186">
        <f t="shared" si="1429"/>
        <v>0</v>
      </c>
      <c r="AP669" s="186">
        <f t="shared" si="1429"/>
        <v>0</v>
      </c>
    </row>
    <row r="670" spans="1:42">
      <c r="A670" s="37">
        <f t="shared" ref="A670" si="1430">A669+1</f>
        <v>10</v>
      </c>
      <c r="B670" s="196">
        <f t="shared" si="1419"/>
        <v>0</v>
      </c>
      <c r="C670" s="221">
        <f t="shared" ref="C670:AP670" si="1431">IF(AND(C$2&gt;MMFrequency*$A657,C$2&lt;=MMFrequency*$A658),$B658/(MMFrequency),0)</f>
        <v>0</v>
      </c>
      <c r="D670" s="187">
        <f t="shared" si="1431"/>
        <v>0</v>
      </c>
      <c r="E670" s="187">
        <f t="shared" si="1431"/>
        <v>0</v>
      </c>
      <c r="F670" s="187">
        <f t="shared" si="1431"/>
        <v>0</v>
      </c>
      <c r="G670" s="187">
        <f t="shared" si="1431"/>
        <v>0</v>
      </c>
      <c r="H670" s="187">
        <f t="shared" si="1431"/>
        <v>0</v>
      </c>
      <c r="I670" s="187">
        <f t="shared" si="1431"/>
        <v>0</v>
      </c>
      <c r="J670" s="187">
        <f t="shared" si="1431"/>
        <v>0</v>
      </c>
      <c r="K670" s="187">
        <f t="shared" si="1431"/>
        <v>0</v>
      </c>
      <c r="L670" s="187">
        <f t="shared" si="1431"/>
        <v>0</v>
      </c>
      <c r="M670" s="187">
        <f t="shared" si="1431"/>
        <v>0</v>
      </c>
      <c r="N670" s="187">
        <f t="shared" si="1431"/>
        <v>0</v>
      </c>
      <c r="O670" s="187">
        <f t="shared" si="1431"/>
        <v>0</v>
      </c>
      <c r="P670" s="187">
        <f t="shared" si="1431"/>
        <v>0</v>
      </c>
      <c r="Q670" s="187">
        <f t="shared" si="1431"/>
        <v>0</v>
      </c>
      <c r="R670" s="187">
        <f t="shared" si="1431"/>
        <v>0</v>
      </c>
      <c r="S670" s="187">
        <f t="shared" si="1431"/>
        <v>0</v>
      </c>
      <c r="T670" s="187">
        <f t="shared" si="1431"/>
        <v>0</v>
      </c>
      <c r="U670" s="187">
        <f t="shared" si="1431"/>
        <v>0</v>
      </c>
      <c r="V670" s="187">
        <f t="shared" si="1431"/>
        <v>0</v>
      </c>
      <c r="W670" s="187">
        <f t="shared" si="1431"/>
        <v>0</v>
      </c>
      <c r="X670" s="187">
        <f t="shared" si="1431"/>
        <v>0</v>
      </c>
      <c r="Y670" s="187">
        <f t="shared" si="1431"/>
        <v>0</v>
      </c>
      <c r="Z670" s="187">
        <f t="shared" si="1431"/>
        <v>0</v>
      </c>
      <c r="AA670" s="187">
        <f t="shared" si="1431"/>
        <v>0</v>
      </c>
      <c r="AB670" s="187">
        <f t="shared" si="1431"/>
        <v>0</v>
      </c>
      <c r="AC670" s="187">
        <f t="shared" si="1431"/>
        <v>0</v>
      </c>
      <c r="AD670" s="187">
        <f t="shared" si="1431"/>
        <v>0</v>
      </c>
      <c r="AE670" s="187">
        <f t="shared" si="1431"/>
        <v>0</v>
      </c>
      <c r="AF670" s="187">
        <f t="shared" si="1431"/>
        <v>0</v>
      </c>
      <c r="AG670" s="187">
        <f t="shared" si="1431"/>
        <v>0</v>
      </c>
      <c r="AH670" s="187">
        <f t="shared" si="1431"/>
        <v>0</v>
      </c>
      <c r="AI670" s="187">
        <f t="shared" si="1431"/>
        <v>0</v>
      </c>
      <c r="AJ670" s="187">
        <f t="shared" si="1431"/>
        <v>0</v>
      </c>
      <c r="AK670" s="187">
        <f t="shared" si="1431"/>
        <v>0</v>
      </c>
      <c r="AL670" s="187">
        <f t="shared" si="1431"/>
        <v>0</v>
      </c>
      <c r="AM670" s="187">
        <f t="shared" si="1431"/>
        <v>0</v>
      </c>
      <c r="AN670" s="187">
        <f t="shared" si="1431"/>
        <v>0</v>
      </c>
      <c r="AO670" s="187">
        <f t="shared" si="1431"/>
        <v>0</v>
      </c>
      <c r="AP670" s="187">
        <f t="shared" si="1431"/>
        <v>0</v>
      </c>
    </row>
    <row r="671" spans="1:42">
      <c r="A671" s="219" t="s">
        <v>53</v>
      </c>
      <c r="B671" s="186"/>
      <c r="C671" s="152">
        <f>SUM(C661:C670)</f>
        <v>245406.02862510949</v>
      </c>
      <c r="D671" s="152">
        <f t="shared" ref="D671:AP671" si="1432">SUM(D661:D670)</f>
        <v>245406.02862510949</v>
      </c>
      <c r="E671" s="152">
        <f t="shared" si="1432"/>
        <v>245406.02862510949</v>
      </c>
      <c r="F671" s="152">
        <f t="shared" si="1432"/>
        <v>245406.02862510949</v>
      </c>
      <c r="G671" s="152">
        <f t="shared" si="1432"/>
        <v>245406.02862510949</v>
      </c>
      <c r="H671" s="152">
        <f t="shared" si="1432"/>
        <v>245406.02862510949</v>
      </c>
      <c r="I671" s="152">
        <f t="shared" si="1432"/>
        <v>245406.02862510949</v>
      </c>
      <c r="J671" s="152">
        <f t="shared" si="1432"/>
        <v>245406.02862510949</v>
      </c>
      <c r="K671" s="152">
        <f t="shared" si="1432"/>
        <v>245406.02862510949</v>
      </c>
      <c r="L671" s="152">
        <f t="shared" si="1432"/>
        <v>245406.02862510949</v>
      </c>
      <c r="M671" s="152">
        <f t="shared" si="1432"/>
        <v>245406.02862510949</v>
      </c>
      <c r="N671" s="152">
        <f t="shared" si="1432"/>
        <v>245406.02862510949</v>
      </c>
      <c r="O671" s="152">
        <f t="shared" si="1432"/>
        <v>293411.90721039008</v>
      </c>
      <c r="P671" s="152">
        <f t="shared" si="1432"/>
        <v>293411.90721039008</v>
      </c>
      <c r="Q671" s="152">
        <f t="shared" si="1432"/>
        <v>293411.90721039008</v>
      </c>
      <c r="R671" s="152">
        <f t="shared" si="1432"/>
        <v>293411.90721039008</v>
      </c>
      <c r="S671" s="152">
        <f t="shared" si="1432"/>
        <v>293411.90721039008</v>
      </c>
      <c r="T671" s="152">
        <f t="shared" si="1432"/>
        <v>293411.90721039008</v>
      </c>
      <c r="U671" s="152">
        <f t="shared" si="1432"/>
        <v>293411.90721039008</v>
      </c>
      <c r="V671" s="152">
        <f t="shared" si="1432"/>
        <v>293411.90721039008</v>
      </c>
      <c r="W671" s="152">
        <f t="shared" si="1432"/>
        <v>293411.90721039008</v>
      </c>
      <c r="X671" s="152">
        <f t="shared" si="1432"/>
        <v>293411.90721039008</v>
      </c>
      <c r="Y671" s="152">
        <f t="shared" si="1432"/>
        <v>293411.90721039008</v>
      </c>
      <c r="Z671" s="152">
        <f t="shared" si="1432"/>
        <v>293411.90721039008</v>
      </c>
      <c r="AA671" s="152">
        <f t="shared" si="1432"/>
        <v>0</v>
      </c>
      <c r="AB671" s="152">
        <f t="shared" si="1432"/>
        <v>0</v>
      </c>
      <c r="AC671" s="152">
        <f t="shared" si="1432"/>
        <v>0</v>
      </c>
      <c r="AD671" s="152">
        <f t="shared" si="1432"/>
        <v>0</v>
      </c>
      <c r="AE671" s="152">
        <f t="shared" si="1432"/>
        <v>0</v>
      </c>
      <c r="AF671" s="152">
        <f t="shared" si="1432"/>
        <v>0</v>
      </c>
      <c r="AG671" s="152">
        <f t="shared" si="1432"/>
        <v>0</v>
      </c>
      <c r="AH671" s="152">
        <f t="shared" si="1432"/>
        <v>0</v>
      </c>
      <c r="AI671" s="152">
        <f t="shared" si="1432"/>
        <v>0</v>
      </c>
      <c r="AJ671" s="152">
        <f t="shared" si="1432"/>
        <v>0</v>
      </c>
      <c r="AK671" s="152">
        <f t="shared" si="1432"/>
        <v>0</v>
      </c>
      <c r="AL671" s="152">
        <f t="shared" si="1432"/>
        <v>0</v>
      </c>
      <c r="AM671" s="152">
        <f t="shared" si="1432"/>
        <v>0</v>
      </c>
      <c r="AN671" s="152">
        <f t="shared" si="1432"/>
        <v>0</v>
      </c>
      <c r="AO671" s="152">
        <f t="shared" si="1432"/>
        <v>0</v>
      </c>
      <c r="AP671" s="152">
        <f t="shared" si="1432"/>
        <v>0</v>
      </c>
    </row>
    <row r="672" spans="1:42">
      <c r="B672" s="186"/>
      <c r="C672" s="152"/>
      <c r="D672" s="152"/>
      <c r="E672" s="152"/>
      <c r="F672" s="152"/>
      <c r="G672" s="152"/>
      <c r="H672" s="152"/>
      <c r="I672" s="152"/>
      <c r="J672" s="152"/>
      <c r="K672" s="152"/>
      <c r="L672" s="152"/>
      <c r="M672" s="152"/>
      <c r="N672" s="152"/>
      <c r="O672" s="152"/>
      <c r="P672" s="152"/>
      <c r="Q672" s="152"/>
      <c r="R672" s="152"/>
      <c r="S672" s="152"/>
      <c r="T672" s="152"/>
      <c r="U672" s="152"/>
      <c r="V672" s="152"/>
      <c r="W672" s="152"/>
      <c r="X672" s="152"/>
      <c r="Y672" s="152"/>
      <c r="Z672" s="152"/>
      <c r="AA672" s="152"/>
      <c r="AB672" s="152"/>
      <c r="AC672" s="152"/>
      <c r="AD672" s="152"/>
      <c r="AE672" s="152"/>
      <c r="AF672" s="152"/>
      <c r="AG672" s="152"/>
      <c r="AH672" s="152"/>
      <c r="AI672" s="152"/>
      <c r="AJ672" s="152"/>
      <c r="AK672" s="152"/>
      <c r="AL672" s="152"/>
      <c r="AM672" s="152"/>
      <c r="AN672" s="152"/>
      <c r="AO672" s="152"/>
      <c r="AP672" s="152"/>
    </row>
    <row r="673" spans="1:42">
      <c r="A673" s="182" t="s">
        <v>361</v>
      </c>
      <c r="C673" s="152"/>
      <c r="D673" s="152"/>
      <c r="E673" s="152"/>
      <c r="F673" s="152"/>
      <c r="G673" s="152"/>
      <c r="H673" s="152"/>
      <c r="I673" s="152"/>
      <c r="J673" s="152"/>
      <c r="K673" s="152"/>
      <c r="L673" s="152"/>
      <c r="M673" s="152"/>
      <c r="N673" s="152"/>
      <c r="O673" s="152"/>
      <c r="P673" s="152"/>
      <c r="Q673" s="152"/>
      <c r="R673" s="152"/>
      <c r="S673" s="152"/>
      <c r="T673" s="152"/>
      <c r="U673" s="152"/>
      <c r="V673" s="152"/>
      <c r="W673" s="152"/>
      <c r="X673" s="152"/>
      <c r="Y673" s="152"/>
      <c r="Z673" s="152"/>
      <c r="AA673" s="152"/>
      <c r="AB673" s="152"/>
      <c r="AC673" s="152"/>
      <c r="AD673" s="152"/>
      <c r="AE673" s="152"/>
      <c r="AF673" s="152"/>
      <c r="AG673" s="152"/>
      <c r="AH673" s="152"/>
      <c r="AI673" s="152"/>
      <c r="AJ673" s="152"/>
      <c r="AK673" s="152"/>
      <c r="AL673" s="152"/>
      <c r="AM673" s="152"/>
      <c r="AN673" s="152"/>
      <c r="AO673" s="152"/>
      <c r="AP673" s="152"/>
    </row>
    <row r="674" spans="1:42">
      <c r="A674" s="37" t="s">
        <v>99</v>
      </c>
      <c r="B674" s="152">
        <v>0</v>
      </c>
      <c r="C674" s="152">
        <f>B677</f>
        <v>0</v>
      </c>
      <c r="D674" s="152">
        <f t="shared" ref="D674" si="1433">C677</f>
        <v>410585.24356465257</v>
      </c>
      <c r="E674" s="152">
        <f t="shared" ref="E674" si="1434">D677</f>
        <v>821170.48712930514</v>
      </c>
      <c r="F674" s="152">
        <f t="shared" ref="F674" si="1435">E677</f>
        <v>1231755.7306939578</v>
      </c>
      <c r="G674" s="152">
        <f t="shared" ref="G674" si="1436">F677</f>
        <v>1642340.9742586103</v>
      </c>
      <c r="H674" s="152">
        <f t="shared" ref="H674" si="1437">G677</f>
        <v>2052926.2178232628</v>
      </c>
      <c r="I674" s="152">
        <f t="shared" ref="I674" si="1438">H677</f>
        <v>2463511.4613879155</v>
      </c>
      <c r="J674" s="152">
        <f t="shared" ref="J674" si="1439">I677</f>
        <v>2874096.7049525683</v>
      </c>
      <c r="K674" s="152">
        <f t="shared" ref="K674" si="1440">J677</f>
        <v>3284681.948517221</v>
      </c>
      <c r="L674" s="152">
        <f t="shared" ref="L674" si="1441">K677</f>
        <v>3695267.1920818738</v>
      </c>
      <c r="M674" s="152">
        <f t="shared" ref="M674" si="1442">L677</f>
        <v>4105852.4356465265</v>
      </c>
      <c r="N674" s="152">
        <f t="shared" ref="N674" si="1443">M677</f>
        <v>4516437.6792111788</v>
      </c>
      <c r="O674" s="152">
        <f t="shared" ref="O674" si="1444">N677</f>
        <v>4927022.9227758311</v>
      </c>
      <c r="P674" s="152">
        <f t="shared" ref="P674" si="1445">O677</f>
        <v>5337608.1663404834</v>
      </c>
      <c r="Q674" s="152">
        <f t="shared" ref="Q674" si="1446">P677</f>
        <v>5748193.4099051356</v>
      </c>
      <c r="R674" s="152">
        <f t="shared" ref="R674" si="1447">Q677</f>
        <v>0</v>
      </c>
      <c r="S674" s="152">
        <f t="shared" ref="S674" si="1448">R677</f>
        <v>513326.83759962226</v>
      </c>
      <c r="T674" s="152">
        <f t="shared" ref="T674" si="1449">S677</f>
        <v>1026653.6751992445</v>
      </c>
      <c r="U674" s="152">
        <f t="shared" ref="U674" si="1450">T677</f>
        <v>1539980.5127988667</v>
      </c>
      <c r="V674" s="152">
        <f t="shared" ref="V674" si="1451">U677</f>
        <v>2053307.350398489</v>
      </c>
      <c r="W674" s="152">
        <f t="shared" ref="W674" si="1452">V677</f>
        <v>2566634.1879981114</v>
      </c>
      <c r="X674" s="152">
        <f t="shared" ref="X674" si="1453">W677</f>
        <v>3079961.0255977334</v>
      </c>
      <c r="Y674" s="152">
        <f t="shared" ref="Y674" si="1454">X677</f>
        <v>3593287.8631973555</v>
      </c>
      <c r="Z674" s="152">
        <f t="shared" ref="Z674" si="1455">Y677</f>
        <v>4106614.7007969776</v>
      </c>
      <c r="AA674" s="152">
        <f t="shared" ref="AA674" si="1456">Z677</f>
        <v>4619941.5383965997</v>
      </c>
      <c r="AB674" s="152">
        <f t="shared" ref="AB674" si="1457">AA677</f>
        <v>5133268.3759962218</v>
      </c>
      <c r="AC674" s="152">
        <f t="shared" ref="AC674" si="1458">AB677</f>
        <v>5646595.2135958439</v>
      </c>
      <c r="AD674" s="152">
        <f t="shared" ref="AD674" si="1459">AC677</f>
        <v>6159922.051195466</v>
      </c>
      <c r="AE674" s="152">
        <f t="shared" ref="AE674" si="1460">AD677</f>
        <v>6673248.888795088</v>
      </c>
      <c r="AF674" s="152">
        <f t="shared" ref="AF674" si="1461">AE677</f>
        <v>7186575.7263947101</v>
      </c>
      <c r="AG674" s="152">
        <f t="shared" ref="AG674" si="1462">AF677</f>
        <v>0</v>
      </c>
      <c r="AH674" s="152">
        <f t="shared" ref="AH674" si="1463">AG677</f>
        <v>0</v>
      </c>
      <c r="AI674" s="152">
        <f t="shared" ref="AI674" si="1464">AH677</f>
        <v>0</v>
      </c>
      <c r="AJ674" s="152">
        <f t="shared" ref="AJ674" si="1465">AI677</f>
        <v>0</v>
      </c>
      <c r="AK674" s="152">
        <f t="shared" ref="AK674" si="1466">AJ677</f>
        <v>0</v>
      </c>
      <c r="AL674" s="152">
        <f t="shared" ref="AL674" si="1467">AK677</f>
        <v>0</v>
      </c>
      <c r="AM674" s="152">
        <f t="shared" ref="AM674" si="1468">AL677</f>
        <v>0</v>
      </c>
      <c r="AN674" s="152">
        <f t="shared" ref="AN674" si="1469">AM677</f>
        <v>0</v>
      </c>
      <c r="AO674" s="152">
        <f t="shared" ref="AO674" si="1470">AN677</f>
        <v>0</v>
      </c>
      <c r="AP674" s="152">
        <f t="shared" ref="AP674" si="1471">AO677</f>
        <v>0</v>
      </c>
    </row>
    <row r="675" spans="1:42">
      <c r="A675" s="37" t="s">
        <v>198</v>
      </c>
      <c r="B675" s="152">
        <v>0</v>
      </c>
      <c r="C675" s="152">
        <f>C703</f>
        <v>410585.24356465257</v>
      </c>
      <c r="D675" s="152">
        <f t="shared" ref="D675:AP675" si="1472">D703</f>
        <v>410585.24356465257</v>
      </c>
      <c r="E675" s="152">
        <f t="shared" si="1472"/>
        <v>410585.24356465257</v>
      </c>
      <c r="F675" s="152">
        <f t="shared" si="1472"/>
        <v>410585.24356465257</v>
      </c>
      <c r="G675" s="152">
        <f t="shared" si="1472"/>
        <v>410585.24356465257</v>
      </c>
      <c r="H675" s="152">
        <f t="shared" si="1472"/>
        <v>410585.24356465257</v>
      </c>
      <c r="I675" s="152">
        <f t="shared" si="1472"/>
        <v>410585.24356465257</v>
      </c>
      <c r="J675" s="152">
        <f t="shared" si="1472"/>
        <v>410585.24356465257</v>
      </c>
      <c r="K675" s="152">
        <f t="shared" si="1472"/>
        <v>410585.24356465257</v>
      </c>
      <c r="L675" s="152">
        <f t="shared" si="1472"/>
        <v>410585.24356465257</v>
      </c>
      <c r="M675" s="152">
        <f t="shared" si="1472"/>
        <v>410585.24356465257</v>
      </c>
      <c r="N675" s="152">
        <f t="shared" si="1472"/>
        <v>410585.24356465257</v>
      </c>
      <c r="O675" s="152">
        <f t="shared" si="1472"/>
        <v>410585.24356465257</v>
      </c>
      <c r="P675" s="152">
        <f t="shared" si="1472"/>
        <v>410585.24356465257</v>
      </c>
      <c r="Q675" s="152">
        <f t="shared" si="1472"/>
        <v>410585.24356465257</v>
      </c>
      <c r="R675" s="152">
        <f t="shared" si="1472"/>
        <v>513326.83759962226</v>
      </c>
      <c r="S675" s="152">
        <f t="shared" si="1472"/>
        <v>513326.83759962226</v>
      </c>
      <c r="T675" s="152">
        <f t="shared" si="1472"/>
        <v>513326.83759962226</v>
      </c>
      <c r="U675" s="152">
        <f t="shared" si="1472"/>
        <v>513326.83759962226</v>
      </c>
      <c r="V675" s="152">
        <f t="shared" si="1472"/>
        <v>513326.83759962226</v>
      </c>
      <c r="W675" s="152">
        <f t="shared" si="1472"/>
        <v>513326.83759962226</v>
      </c>
      <c r="X675" s="152">
        <f t="shared" si="1472"/>
        <v>513326.83759962226</v>
      </c>
      <c r="Y675" s="152">
        <f t="shared" si="1472"/>
        <v>513326.83759962226</v>
      </c>
      <c r="Z675" s="152">
        <f t="shared" si="1472"/>
        <v>513326.83759962226</v>
      </c>
      <c r="AA675" s="152">
        <f t="shared" si="1472"/>
        <v>513326.83759962226</v>
      </c>
      <c r="AB675" s="152">
        <f t="shared" si="1472"/>
        <v>513326.83759962226</v>
      </c>
      <c r="AC675" s="152">
        <f t="shared" si="1472"/>
        <v>513326.83759962226</v>
      </c>
      <c r="AD675" s="152">
        <f t="shared" si="1472"/>
        <v>513326.83759962226</v>
      </c>
      <c r="AE675" s="152">
        <f t="shared" si="1472"/>
        <v>513326.83759962226</v>
      </c>
      <c r="AF675" s="152">
        <f t="shared" si="1472"/>
        <v>513326.83759962226</v>
      </c>
      <c r="AG675" s="152">
        <f t="shared" si="1472"/>
        <v>0</v>
      </c>
      <c r="AH675" s="152">
        <f t="shared" si="1472"/>
        <v>0</v>
      </c>
      <c r="AI675" s="152">
        <f t="shared" si="1472"/>
        <v>0</v>
      </c>
      <c r="AJ675" s="152">
        <f t="shared" si="1472"/>
        <v>0</v>
      </c>
      <c r="AK675" s="152">
        <f t="shared" si="1472"/>
        <v>0</v>
      </c>
      <c r="AL675" s="152">
        <f t="shared" si="1472"/>
        <v>0</v>
      </c>
      <c r="AM675" s="152">
        <f t="shared" si="1472"/>
        <v>0</v>
      </c>
      <c r="AN675" s="152">
        <f t="shared" si="1472"/>
        <v>0</v>
      </c>
      <c r="AO675" s="152">
        <f t="shared" si="1472"/>
        <v>0</v>
      </c>
      <c r="AP675" s="152">
        <f t="shared" si="1472"/>
        <v>0</v>
      </c>
    </row>
    <row r="676" spans="1:42">
      <c r="A676" s="37" t="s">
        <v>106</v>
      </c>
      <c r="B676" s="187">
        <v>0</v>
      </c>
      <c r="C676" s="187">
        <f>-C691</f>
        <v>0</v>
      </c>
      <c r="D676" s="187">
        <f t="shared" ref="D676:AP676" si="1473">-D691</f>
        <v>0</v>
      </c>
      <c r="E676" s="187">
        <f t="shared" si="1473"/>
        <v>0</v>
      </c>
      <c r="F676" s="187">
        <f t="shared" si="1473"/>
        <v>0</v>
      </c>
      <c r="G676" s="187">
        <f t="shared" si="1473"/>
        <v>0</v>
      </c>
      <c r="H676" s="187">
        <f t="shared" si="1473"/>
        <v>0</v>
      </c>
      <c r="I676" s="187">
        <f t="shared" si="1473"/>
        <v>0</v>
      </c>
      <c r="J676" s="187">
        <f t="shared" si="1473"/>
        <v>0</v>
      </c>
      <c r="K676" s="187">
        <f t="shared" si="1473"/>
        <v>0</v>
      </c>
      <c r="L676" s="187">
        <f t="shared" si="1473"/>
        <v>0</v>
      </c>
      <c r="M676" s="187">
        <f t="shared" si="1473"/>
        <v>0</v>
      </c>
      <c r="N676" s="187">
        <f t="shared" si="1473"/>
        <v>0</v>
      </c>
      <c r="O676" s="187">
        <f t="shared" si="1473"/>
        <v>0</v>
      </c>
      <c r="P676" s="187">
        <f t="shared" si="1473"/>
        <v>0</v>
      </c>
      <c r="Q676" s="187">
        <f t="shared" si="1473"/>
        <v>-6158778.6534697888</v>
      </c>
      <c r="R676" s="187">
        <f t="shared" si="1473"/>
        <v>0</v>
      </c>
      <c r="S676" s="187">
        <f t="shared" si="1473"/>
        <v>0</v>
      </c>
      <c r="T676" s="187">
        <f t="shared" si="1473"/>
        <v>0</v>
      </c>
      <c r="U676" s="187">
        <f t="shared" si="1473"/>
        <v>0</v>
      </c>
      <c r="V676" s="187">
        <f t="shared" si="1473"/>
        <v>0</v>
      </c>
      <c r="W676" s="187">
        <f t="shared" si="1473"/>
        <v>0</v>
      </c>
      <c r="X676" s="187">
        <f t="shared" si="1473"/>
        <v>0</v>
      </c>
      <c r="Y676" s="187">
        <f t="shared" si="1473"/>
        <v>0</v>
      </c>
      <c r="Z676" s="187">
        <f t="shared" si="1473"/>
        <v>0</v>
      </c>
      <c r="AA676" s="187">
        <f t="shared" si="1473"/>
        <v>0</v>
      </c>
      <c r="AB676" s="187">
        <f t="shared" si="1473"/>
        <v>0</v>
      </c>
      <c r="AC676" s="187">
        <f t="shared" si="1473"/>
        <v>0</v>
      </c>
      <c r="AD676" s="187">
        <f t="shared" si="1473"/>
        <v>0</v>
      </c>
      <c r="AE676" s="187">
        <f t="shared" si="1473"/>
        <v>0</v>
      </c>
      <c r="AF676" s="187">
        <f t="shared" si="1473"/>
        <v>-7699902.5639943341</v>
      </c>
      <c r="AG676" s="187">
        <f t="shared" si="1473"/>
        <v>0</v>
      </c>
      <c r="AH676" s="187">
        <f t="shared" si="1473"/>
        <v>0</v>
      </c>
      <c r="AI676" s="187">
        <f t="shared" si="1473"/>
        <v>0</v>
      </c>
      <c r="AJ676" s="187">
        <f t="shared" si="1473"/>
        <v>0</v>
      </c>
      <c r="AK676" s="187">
        <f t="shared" si="1473"/>
        <v>0</v>
      </c>
      <c r="AL676" s="187">
        <f t="shared" si="1473"/>
        <v>0</v>
      </c>
      <c r="AM676" s="187">
        <f t="shared" si="1473"/>
        <v>0</v>
      </c>
      <c r="AN676" s="187">
        <f t="shared" si="1473"/>
        <v>0</v>
      </c>
      <c r="AO676" s="187">
        <f t="shared" si="1473"/>
        <v>0</v>
      </c>
      <c r="AP676" s="187">
        <f t="shared" si="1473"/>
        <v>0</v>
      </c>
    </row>
    <row r="677" spans="1:42">
      <c r="A677" s="37" t="s">
        <v>102</v>
      </c>
      <c r="B677" s="152">
        <f>SUM(B674:B676)</f>
        <v>0</v>
      </c>
      <c r="C677" s="152">
        <f>SUM(C674:C676)</f>
        <v>410585.24356465257</v>
      </c>
      <c r="D677" s="152">
        <f t="shared" ref="D677:AP677" si="1474">SUM(D674:D676)</f>
        <v>821170.48712930514</v>
      </c>
      <c r="E677" s="152">
        <f t="shared" si="1474"/>
        <v>1231755.7306939578</v>
      </c>
      <c r="F677" s="152">
        <f t="shared" si="1474"/>
        <v>1642340.9742586103</v>
      </c>
      <c r="G677" s="152">
        <f t="shared" si="1474"/>
        <v>2052926.2178232628</v>
      </c>
      <c r="H677" s="152">
        <f t="shared" si="1474"/>
        <v>2463511.4613879155</v>
      </c>
      <c r="I677" s="152">
        <f t="shared" si="1474"/>
        <v>2874096.7049525683</v>
      </c>
      <c r="J677" s="152">
        <f t="shared" si="1474"/>
        <v>3284681.948517221</v>
      </c>
      <c r="K677" s="152">
        <f t="shared" si="1474"/>
        <v>3695267.1920818738</v>
      </c>
      <c r="L677" s="152">
        <f t="shared" si="1474"/>
        <v>4105852.4356465265</v>
      </c>
      <c r="M677" s="152">
        <f t="shared" si="1474"/>
        <v>4516437.6792111788</v>
      </c>
      <c r="N677" s="152">
        <f t="shared" si="1474"/>
        <v>4927022.9227758311</v>
      </c>
      <c r="O677" s="152">
        <f t="shared" si="1474"/>
        <v>5337608.1663404834</v>
      </c>
      <c r="P677" s="152">
        <f t="shared" si="1474"/>
        <v>5748193.4099051356</v>
      </c>
      <c r="Q677" s="152">
        <f t="shared" si="1474"/>
        <v>0</v>
      </c>
      <c r="R677" s="152">
        <f t="shared" si="1474"/>
        <v>513326.83759962226</v>
      </c>
      <c r="S677" s="152">
        <f t="shared" si="1474"/>
        <v>1026653.6751992445</v>
      </c>
      <c r="T677" s="152">
        <f t="shared" si="1474"/>
        <v>1539980.5127988667</v>
      </c>
      <c r="U677" s="152">
        <f t="shared" si="1474"/>
        <v>2053307.350398489</v>
      </c>
      <c r="V677" s="152">
        <f t="shared" si="1474"/>
        <v>2566634.1879981114</v>
      </c>
      <c r="W677" s="152">
        <f t="shared" si="1474"/>
        <v>3079961.0255977334</v>
      </c>
      <c r="X677" s="152">
        <f t="shared" si="1474"/>
        <v>3593287.8631973555</v>
      </c>
      <c r="Y677" s="152">
        <f t="shared" si="1474"/>
        <v>4106614.7007969776</v>
      </c>
      <c r="Z677" s="152">
        <f t="shared" si="1474"/>
        <v>4619941.5383965997</v>
      </c>
      <c r="AA677" s="152">
        <f t="shared" si="1474"/>
        <v>5133268.3759962218</v>
      </c>
      <c r="AB677" s="152">
        <f t="shared" si="1474"/>
        <v>5646595.2135958439</v>
      </c>
      <c r="AC677" s="152">
        <f t="shared" si="1474"/>
        <v>6159922.051195466</v>
      </c>
      <c r="AD677" s="152">
        <f t="shared" si="1474"/>
        <v>6673248.888795088</v>
      </c>
      <c r="AE677" s="152">
        <f t="shared" si="1474"/>
        <v>7186575.7263947101</v>
      </c>
      <c r="AF677" s="152">
        <f t="shared" si="1474"/>
        <v>0</v>
      </c>
      <c r="AG677" s="152">
        <f t="shared" si="1474"/>
        <v>0</v>
      </c>
      <c r="AH677" s="152">
        <f t="shared" si="1474"/>
        <v>0</v>
      </c>
      <c r="AI677" s="152">
        <f t="shared" si="1474"/>
        <v>0</v>
      </c>
      <c r="AJ677" s="152">
        <f t="shared" si="1474"/>
        <v>0</v>
      </c>
      <c r="AK677" s="152">
        <f t="shared" si="1474"/>
        <v>0</v>
      </c>
      <c r="AL677" s="152">
        <f t="shared" si="1474"/>
        <v>0</v>
      </c>
      <c r="AM677" s="152">
        <f t="shared" si="1474"/>
        <v>0</v>
      </c>
      <c r="AN677" s="152">
        <f t="shared" si="1474"/>
        <v>0</v>
      </c>
      <c r="AO677" s="152">
        <f t="shared" si="1474"/>
        <v>0</v>
      </c>
      <c r="AP677" s="152">
        <f t="shared" si="1474"/>
        <v>0</v>
      </c>
    </row>
    <row r="678" spans="1:42">
      <c r="B678" s="152"/>
      <c r="C678" s="152"/>
      <c r="D678" s="152"/>
      <c r="E678" s="152"/>
      <c r="F678" s="152"/>
      <c r="G678" s="186"/>
      <c r="H678" s="186"/>
      <c r="I678" s="186"/>
      <c r="J678" s="186"/>
      <c r="K678" s="186"/>
      <c r="L678" s="186"/>
      <c r="M678" s="186"/>
      <c r="N678" s="186"/>
      <c r="O678" s="186"/>
      <c r="P678" s="186"/>
      <c r="Q678" s="186"/>
      <c r="R678" s="186"/>
      <c r="S678" s="186"/>
      <c r="T678" s="186"/>
      <c r="U678" s="186"/>
      <c r="V678" s="186"/>
      <c r="W678" s="186"/>
      <c r="X678" s="186"/>
      <c r="Y678" s="186"/>
      <c r="Z678" s="186"/>
      <c r="AA678" s="186"/>
      <c r="AB678" s="186"/>
      <c r="AC678" s="186"/>
      <c r="AD678" s="186"/>
      <c r="AE678" s="186"/>
      <c r="AF678" s="186"/>
      <c r="AG678" s="186"/>
      <c r="AH678" s="186"/>
      <c r="AI678" s="186"/>
      <c r="AJ678" s="186"/>
      <c r="AK678" s="186"/>
      <c r="AL678" s="186"/>
      <c r="AM678" s="186"/>
      <c r="AN678" s="186"/>
      <c r="AO678" s="186"/>
      <c r="AP678" s="186"/>
    </row>
    <row r="679" spans="1:42">
      <c r="A679" s="37" t="s">
        <v>196</v>
      </c>
      <c r="B679" s="152"/>
      <c r="C679" s="152"/>
      <c r="D679" s="152"/>
      <c r="E679" s="152"/>
      <c r="F679" s="152"/>
      <c r="G679" s="186"/>
      <c r="H679" s="186"/>
      <c r="I679" s="186"/>
      <c r="J679" s="186"/>
      <c r="K679" s="186"/>
      <c r="L679" s="186"/>
      <c r="M679" s="186"/>
      <c r="N679" s="186"/>
      <c r="O679" s="186"/>
      <c r="P679" s="186"/>
      <c r="Q679" s="186"/>
      <c r="R679" s="186"/>
      <c r="S679" s="186"/>
      <c r="T679" s="186"/>
      <c r="U679" s="186"/>
      <c r="V679" s="186"/>
      <c r="W679" s="186"/>
      <c r="X679" s="186"/>
      <c r="Y679" s="186"/>
      <c r="Z679" s="186"/>
      <c r="AA679" s="186"/>
      <c r="AB679" s="186"/>
      <c r="AC679" s="186"/>
      <c r="AD679" s="186"/>
      <c r="AE679" s="186"/>
      <c r="AF679" s="186"/>
      <c r="AG679" s="186"/>
      <c r="AH679" s="186"/>
      <c r="AI679" s="186"/>
      <c r="AJ679" s="186"/>
      <c r="AK679" s="186"/>
      <c r="AL679" s="186"/>
      <c r="AM679" s="186"/>
      <c r="AN679" s="186"/>
      <c r="AO679" s="186"/>
      <c r="AP679" s="186"/>
    </row>
    <row r="680" spans="1:42">
      <c r="A680" s="37" t="s">
        <v>197</v>
      </c>
      <c r="B680" s="152"/>
      <c r="C680" s="152"/>
      <c r="D680" s="152"/>
      <c r="E680" s="152"/>
      <c r="F680" s="152"/>
      <c r="G680" s="186"/>
      <c r="H680" s="186"/>
      <c r="I680" s="186"/>
      <c r="J680" s="186"/>
      <c r="K680" s="186"/>
      <c r="L680" s="186"/>
      <c r="M680" s="186"/>
      <c r="N680" s="186"/>
      <c r="O680" s="186"/>
      <c r="P680" s="186"/>
      <c r="Q680" s="186"/>
      <c r="R680" s="186"/>
      <c r="S680" s="186"/>
      <c r="T680" s="186"/>
      <c r="U680" s="186"/>
      <c r="V680" s="186"/>
      <c r="W680" s="186"/>
      <c r="X680" s="186"/>
      <c r="Y680" s="186"/>
      <c r="Z680" s="186"/>
      <c r="AA680" s="186"/>
      <c r="AB680" s="186"/>
      <c r="AC680" s="186"/>
      <c r="AD680" s="186"/>
      <c r="AE680" s="186"/>
      <c r="AF680" s="186"/>
      <c r="AG680" s="186"/>
      <c r="AH680" s="186"/>
      <c r="AI680" s="186"/>
      <c r="AJ680" s="186"/>
      <c r="AK680" s="186"/>
      <c r="AL680" s="186"/>
      <c r="AM680" s="186"/>
      <c r="AN680" s="186"/>
      <c r="AO680" s="186"/>
      <c r="AP680" s="186"/>
    </row>
    <row r="681" spans="1:42">
      <c r="A681" s="37">
        <v>1</v>
      </c>
      <c r="B681" s="196">
        <f t="shared" ref="B681:B690" si="1475">SUM(C681:AP681)</f>
        <v>6158778.6534697888</v>
      </c>
      <c r="C681" s="186">
        <f t="shared" ref="C681:AP681" si="1476">IF(C$2&gt;AnalysisPeriod,0,IF(C$2=MMFrequency2*$A681,MMCost2*CapacityDC*1000*(1+Inflation)^B$2,0))</f>
        <v>0</v>
      </c>
      <c r="D681" s="186">
        <f t="shared" si="1476"/>
        <v>0</v>
      </c>
      <c r="E681" s="186">
        <f t="shared" si="1476"/>
        <v>0</v>
      </c>
      <c r="F681" s="186">
        <f t="shared" si="1476"/>
        <v>0</v>
      </c>
      <c r="G681" s="186">
        <f t="shared" si="1476"/>
        <v>0</v>
      </c>
      <c r="H681" s="186">
        <f t="shared" si="1476"/>
        <v>0</v>
      </c>
      <c r="I681" s="186">
        <f t="shared" si="1476"/>
        <v>0</v>
      </c>
      <c r="J681" s="186">
        <f t="shared" si="1476"/>
        <v>0</v>
      </c>
      <c r="K681" s="186">
        <f t="shared" si="1476"/>
        <v>0</v>
      </c>
      <c r="L681" s="186">
        <f t="shared" si="1476"/>
        <v>0</v>
      </c>
      <c r="M681" s="186">
        <f t="shared" si="1476"/>
        <v>0</v>
      </c>
      <c r="N681" s="186">
        <f t="shared" si="1476"/>
        <v>0</v>
      </c>
      <c r="O681" s="186">
        <f t="shared" si="1476"/>
        <v>0</v>
      </c>
      <c r="P681" s="186">
        <f t="shared" si="1476"/>
        <v>0</v>
      </c>
      <c r="Q681" s="186">
        <f t="shared" si="1476"/>
        <v>6158778.6534697888</v>
      </c>
      <c r="R681" s="186">
        <f t="shared" si="1476"/>
        <v>0</v>
      </c>
      <c r="S681" s="186">
        <f t="shared" si="1476"/>
        <v>0</v>
      </c>
      <c r="T681" s="186">
        <f t="shared" si="1476"/>
        <v>0</v>
      </c>
      <c r="U681" s="186">
        <f t="shared" si="1476"/>
        <v>0</v>
      </c>
      <c r="V681" s="186">
        <f t="shared" si="1476"/>
        <v>0</v>
      </c>
      <c r="W681" s="186">
        <f t="shared" si="1476"/>
        <v>0</v>
      </c>
      <c r="X681" s="186">
        <f t="shared" si="1476"/>
        <v>0</v>
      </c>
      <c r="Y681" s="186">
        <f t="shared" si="1476"/>
        <v>0</v>
      </c>
      <c r="Z681" s="186">
        <f t="shared" si="1476"/>
        <v>0</v>
      </c>
      <c r="AA681" s="186">
        <f t="shared" si="1476"/>
        <v>0</v>
      </c>
      <c r="AB681" s="186">
        <f t="shared" si="1476"/>
        <v>0</v>
      </c>
      <c r="AC681" s="186">
        <f t="shared" si="1476"/>
        <v>0</v>
      </c>
      <c r="AD681" s="186">
        <f t="shared" si="1476"/>
        <v>0</v>
      </c>
      <c r="AE681" s="186">
        <f t="shared" si="1476"/>
        <v>0</v>
      </c>
      <c r="AF681" s="186">
        <f t="shared" si="1476"/>
        <v>0</v>
      </c>
      <c r="AG681" s="186">
        <f t="shared" si="1476"/>
        <v>0</v>
      </c>
      <c r="AH681" s="186">
        <f t="shared" si="1476"/>
        <v>0</v>
      </c>
      <c r="AI681" s="186">
        <f t="shared" si="1476"/>
        <v>0</v>
      </c>
      <c r="AJ681" s="186">
        <f t="shared" si="1476"/>
        <v>0</v>
      </c>
      <c r="AK681" s="186">
        <f t="shared" si="1476"/>
        <v>0</v>
      </c>
      <c r="AL681" s="186">
        <f t="shared" si="1476"/>
        <v>0</v>
      </c>
      <c r="AM681" s="186">
        <f t="shared" si="1476"/>
        <v>0</v>
      </c>
      <c r="AN681" s="186">
        <f t="shared" si="1476"/>
        <v>0</v>
      </c>
      <c r="AO681" s="186">
        <f t="shared" si="1476"/>
        <v>0</v>
      </c>
      <c r="AP681" s="186">
        <f t="shared" si="1476"/>
        <v>0</v>
      </c>
    </row>
    <row r="682" spans="1:42">
      <c r="A682" s="37">
        <f>A681+1</f>
        <v>2</v>
      </c>
      <c r="B682" s="196">
        <f t="shared" si="1475"/>
        <v>7699902.5639943341</v>
      </c>
      <c r="C682" s="186">
        <f t="shared" ref="C682:AP682" si="1477">IF(C$2&gt;AnalysisPeriod,0,IF(C$2=MMFrequency2*$A682,MMCost2*CapacityDC*1000*(1+Inflation)^B$2,0))</f>
        <v>0</v>
      </c>
      <c r="D682" s="186">
        <f t="shared" si="1477"/>
        <v>0</v>
      </c>
      <c r="E682" s="186">
        <f t="shared" si="1477"/>
        <v>0</v>
      </c>
      <c r="F682" s="186">
        <f t="shared" si="1477"/>
        <v>0</v>
      </c>
      <c r="G682" s="186">
        <f t="shared" si="1477"/>
        <v>0</v>
      </c>
      <c r="H682" s="186">
        <f t="shared" si="1477"/>
        <v>0</v>
      </c>
      <c r="I682" s="186">
        <f t="shared" si="1477"/>
        <v>0</v>
      </c>
      <c r="J682" s="186">
        <f t="shared" si="1477"/>
        <v>0</v>
      </c>
      <c r="K682" s="186">
        <f t="shared" si="1477"/>
        <v>0</v>
      </c>
      <c r="L682" s="186">
        <f t="shared" si="1477"/>
        <v>0</v>
      </c>
      <c r="M682" s="186">
        <f t="shared" si="1477"/>
        <v>0</v>
      </c>
      <c r="N682" s="186">
        <f t="shared" si="1477"/>
        <v>0</v>
      </c>
      <c r="O682" s="186">
        <f t="shared" si="1477"/>
        <v>0</v>
      </c>
      <c r="P682" s="186">
        <f t="shared" si="1477"/>
        <v>0</v>
      </c>
      <c r="Q682" s="186">
        <f t="shared" si="1477"/>
        <v>0</v>
      </c>
      <c r="R682" s="186">
        <f t="shared" si="1477"/>
        <v>0</v>
      </c>
      <c r="S682" s="186">
        <f t="shared" si="1477"/>
        <v>0</v>
      </c>
      <c r="T682" s="186">
        <f t="shared" si="1477"/>
        <v>0</v>
      </c>
      <c r="U682" s="186">
        <f t="shared" si="1477"/>
        <v>0</v>
      </c>
      <c r="V682" s="186">
        <f t="shared" si="1477"/>
        <v>0</v>
      </c>
      <c r="W682" s="186">
        <f t="shared" si="1477"/>
        <v>0</v>
      </c>
      <c r="X682" s="186">
        <f t="shared" si="1477"/>
        <v>0</v>
      </c>
      <c r="Y682" s="186">
        <f t="shared" si="1477"/>
        <v>0</v>
      </c>
      <c r="Z682" s="186">
        <f t="shared" si="1477"/>
        <v>0</v>
      </c>
      <c r="AA682" s="186">
        <f t="shared" si="1477"/>
        <v>0</v>
      </c>
      <c r="AB682" s="186">
        <f t="shared" si="1477"/>
        <v>0</v>
      </c>
      <c r="AC682" s="186">
        <f t="shared" si="1477"/>
        <v>0</v>
      </c>
      <c r="AD682" s="186">
        <f t="shared" si="1477"/>
        <v>0</v>
      </c>
      <c r="AE682" s="186">
        <f t="shared" si="1477"/>
        <v>0</v>
      </c>
      <c r="AF682" s="186">
        <f t="shared" si="1477"/>
        <v>7699902.5639943341</v>
      </c>
      <c r="AG682" s="186">
        <f t="shared" si="1477"/>
        <v>0</v>
      </c>
      <c r="AH682" s="186">
        <f t="shared" si="1477"/>
        <v>0</v>
      </c>
      <c r="AI682" s="186">
        <f t="shared" si="1477"/>
        <v>0</v>
      </c>
      <c r="AJ682" s="186">
        <f t="shared" si="1477"/>
        <v>0</v>
      </c>
      <c r="AK682" s="186">
        <f t="shared" si="1477"/>
        <v>0</v>
      </c>
      <c r="AL682" s="186">
        <f t="shared" si="1477"/>
        <v>0</v>
      </c>
      <c r="AM682" s="186">
        <f t="shared" si="1477"/>
        <v>0</v>
      </c>
      <c r="AN682" s="186">
        <f t="shared" si="1477"/>
        <v>0</v>
      </c>
      <c r="AO682" s="186">
        <f t="shared" si="1477"/>
        <v>0</v>
      </c>
      <c r="AP682" s="186">
        <f t="shared" si="1477"/>
        <v>0</v>
      </c>
    </row>
    <row r="683" spans="1:42">
      <c r="A683" s="37">
        <f t="shared" ref="A683:A690" si="1478">A682+1</f>
        <v>3</v>
      </c>
      <c r="B683" s="196">
        <f t="shared" si="1475"/>
        <v>0</v>
      </c>
      <c r="C683" s="186">
        <f t="shared" ref="C683:AP683" si="1479">IF(C$2&gt;AnalysisPeriod,0,IF(C$2=MMFrequency2*$A683,MMCost2*CapacityDC*1000*(1+Inflation)^B$2,0))</f>
        <v>0</v>
      </c>
      <c r="D683" s="186">
        <f t="shared" si="1479"/>
        <v>0</v>
      </c>
      <c r="E683" s="186">
        <f t="shared" si="1479"/>
        <v>0</v>
      </c>
      <c r="F683" s="186">
        <f t="shared" si="1479"/>
        <v>0</v>
      </c>
      <c r="G683" s="186">
        <f t="shared" si="1479"/>
        <v>0</v>
      </c>
      <c r="H683" s="186">
        <f t="shared" si="1479"/>
        <v>0</v>
      </c>
      <c r="I683" s="186">
        <f t="shared" si="1479"/>
        <v>0</v>
      </c>
      <c r="J683" s="186">
        <f t="shared" si="1479"/>
        <v>0</v>
      </c>
      <c r="K683" s="186">
        <f t="shared" si="1479"/>
        <v>0</v>
      </c>
      <c r="L683" s="186">
        <f t="shared" si="1479"/>
        <v>0</v>
      </c>
      <c r="M683" s="186">
        <f t="shared" si="1479"/>
        <v>0</v>
      </c>
      <c r="N683" s="186">
        <f t="shared" si="1479"/>
        <v>0</v>
      </c>
      <c r="O683" s="186">
        <f t="shared" si="1479"/>
        <v>0</v>
      </c>
      <c r="P683" s="186">
        <f t="shared" si="1479"/>
        <v>0</v>
      </c>
      <c r="Q683" s="186">
        <f t="shared" si="1479"/>
        <v>0</v>
      </c>
      <c r="R683" s="186">
        <f t="shared" si="1479"/>
        <v>0</v>
      </c>
      <c r="S683" s="186">
        <f t="shared" si="1479"/>
        <v>0</v>
      </c>
      <c r="T683" s="186">
        <f t="shared" si="1479"/>
        <v>0</v>
      </c>
      <c r="U683" s="186">
        <f t="shared" si="1479"/>
        <v>0</v>
      </c>
      <c r="V683" s="186">
        <f t="shared" si="1479"/>
        <v>0</v>
      </c>
      <c r="W683" s="186">
        <f t="shared" si="1479"/>
        <v>0</v>
      </c>
      <c r="X683" s="186">
        <f t="shared" si="1479"/>
        <v>0</v>
      </c>
      <c r="Y683" s="186">
        <f t="shared" si="1479"/>
        <v>0</v>
      </c>
      <c r="Z683" s="186">
        <f t="shared" si="1479"/>
        <v>0</v>
      </c>
      <c r="AA683" s="186">
        <f t="shared" si="1479"/>
        <v>0</v>
      </c>
      <c r="AB683" s="186">
        <f t="shared" si="1479"/>
        <v>0</v>
      </c>
      <c r="AC683" s="186">
        <f t="shared" si="1479"/>
        <v>0</v>
      </c>
      <c r="AD683" s="186">
        <f t="shared" si="1479"/>
        <v>0</v>
      </c>
      <c r="AE683" s="186">
        <f t="shared" si="1479"/>
        <v>0</v>
      </c>
      <c r="AF683" s="186">
        <f t="shared" si="1479"/>
        <v>0</v>
      </c>
      <c r="AG683" s="186">
        <f t="shared" si="1479"/>
        <v>0</v>
      </c>
      <c r="AH683" s="186">
        <f t="shared" si="1479"/>
        <v>0</v>
      </c>
      <c r="AI683" s="186">
        <f t="shared" si="1479"/>
        <v>0</v>
      </c>
      <c r="AJ683" s="186">
        <f t="shared" si="1479"/>
        <v>0</v>
      </c>
      <c r="AK683" s="186">
        <f t="shared" si="1479"/>
        <v>0</v>
      </c>
      <c r="AL683" s="186">
        <f t="shared" si="1479"/>
        <v>0</v>
      </c>
      <c r="AM683" s="186">
        <f t="shared" si="1479"/>
        <v>0</v>
      </c>
      <c r="AN683" s="186">
        <f t="shared" si="1479"/>
        <v>0</v>
      </c>
      <c r="AO683" s="186">
        <f t="shared" si="1479"/>
        <v>0</v>
      </c>
      <c r="AP683" s="186">
        <f t="shared" si="1479"/>
        <v>0</v>
      </c>
    </row>
    <row r="684" spans="1:42">
      <c r="A684" s="37">
        <f t="shared" si="1478"/>
        <v>4</v>
      </c>
      <c r="B684" s="196">
        <f t="shared" si="1475"/>
        <v>0</v>
      </c>
      <c r="C684" s="186">
        <f t="shared" ref="C684:AP684" si="1480">IF(C$2&gt;AnalysisPeriod,0,IF(C$2=MMFrequency2*$A684,MMCost2*CapacityDC*1000*(1+Inflation)^B$2,0))</f>
        <v>0</v>
      </c>
      <c r="D684" s="186">
        <f t="shared" si="1480"/>
        <v>0</v>
      </c>
      <c r="E684" s="186">
        <f t="shared" si="1480"/>
        <v>0</v>
      </c>
      <c r="F684" s="186">
        <f t="shared" si="1480"/>
        <v>0</v>
      </c>
      <c r="G684" s="186">
        <f t="shared" si="1480"/>
        <v>0</v>
      </c>
      <c r="H684" s="186">
        <f t="shared" si="1480"/>
        <v>0</v>
      </c>
      <c r="I684" s="186">
        <f t="shared" si="1480"/>
        <v>0</v>
      </c>
      <c r="J684" s="186">
        <f t="shared" si="1480"/>
        <v>0</v>
      </c>
      <c r="K684" s="186">
        <f t="shared" si="1480"/>
        <v>0</v>
      </c>
      <c r="L684" s="186">
        <f t="shared" si="1480"/>
        <v>0</v>
      </c>
      <c r="M684" s="186">
        <f t="shared" si="1480"/>
        <v>0</v>
      </c>
      <c r="N684" s="186">
        <f t="shared" si="1480"/>
        <v>0</v>
      </c>
      <c r="O684" s="186">
        <f t="shared" si="1480"/>
        <v>0</v>
      </c>
      <c r="P684" s="186">
        <f t="shared" si="1480"/>
        <v>0</v>
      </c>
      <c r="Q684" s="186">
        <f t="shared" si="1480"/>
        <v>0</v>
      </c>
      <c r="R684" s="186">
        <f t="shared" si="1480"/>
        <v>0</v>
      </c>
      <c r="S684" s="186">
        <f t="shared" si="1480"/>
        <v>0</v>
      </c>
      <c r="T684" s="186">
        <f t="shared" si="1480"/>
        <v>0</v>
      </c>
      <c r="U684" s="186">
        <f t="shared" si="1480"/>
        <v>0</v>
      </c>
      <c r="V684" s="186">
        <f t="shared" si="1480"/>
        <v>0</v>
      </c>
      <c r="W684" s="186">
        <f t="shared" si="1480"/>
        <v>0</v>
      </c>
      <c r="X684" s="186">
        <f t="shared" si="1480"/>
        <v>0</v>
      </c>
      <c r="Y684" s="186">
        <f t="shared" si="1480"/>
        <v>0</v>
      </c>
      <c r="Z684" s="186">
        <f t="shared" si="1480"/>
        <v>0</v>
      </c>
      <c r="AA684" s="186">
        <f t="shared" si="1480"/>
        <v>0</v>
      </c>
      <c r="AB684" s="186">
        <f t="shared" si="1480"/>
        <v>0</v>
      </c>
      <c r="AC684" s="186">
        <f t="shared" si="1480"/>
        <v>0</v>
      </c>
      <c r="AD684" s="186">
        <f t="shared" si="1480"/>
        <v>0</v>
      </c>
      <c r="AE684" s="186">
        <f t="shared" si="1480"/>
        <v>0</v>
      </c>
      <c r="AF684" s="186">
        <f t="shared" si="1480"/>
        <v>0</v>
      </c>
      <c r="AG684" s="186">
        <f t="shared" si="1480"/>
        <v>0</v>
      </c>
      <c r="AH684" s="186">
        <f t="shared" si="1480"/>
        <v>0</v>
      </c>
      <c r="AI684" s="186">
        <f t="shared" si="1480"/>
        <v>0</v>
      </c>
      <c r="AJ684" s="186">
        <f t="shared" si="1480"/>
        <v>0</v>
      </c>
      <c r="AK684" s="186">
        <f t="shared" si="1480"/>
        <v>0</v>
      </c>
      <c r="AL684" s="186">
        <f t="shared" si="1480"/>
        <v>0</v>
      </c>
      <c r="AM684" s="186">
        <f t="shared" si="1480"/>
        <v>0</v>
      </c>
      <c r="AN684" s="186">
        <f t="shared" si="1480"/>
        <v>0</v>
      </c>
      <c r="AO684" s="186">
        <f t="shared" si="1480"/>
        <v>0</v>
      </c>
      <c r="AP684" s="186">
        <f t="shared" si="1480"/>
        <v>0</v>
      </c>
    </row>
    <row r="685" spans="1:42">
      <c r="A685" s="37">
        <f t="shared" si="1478"/>
        <v>5</v>
      </c>
      <c r="B685" s="196">
        <f t="shared" si="1475"/>
        <v>0</v>
      </c>
      <c r="C685" s="186">
        <f t="shared" ref="C685:AP685" si="1481">IF(C$2&gt;AnalysisPeriod,0,IF(C$2=MMFrequency2*$A685,MMCost2*CapacityDC*1000*(1+Inflation)^B$2,0))</f>
        <v>0</v>
      </c>
      <c r="D685" s="186">
        <f t="shared" si="1481"/>
        <v>0</v>
      </c>
      <c r="E685" s="186">
        <f t="shared" si="1481"/>
        <v>0</v>
      </c>
      <c r="F685" s="186">
        <f t="shared" si="1481"/>
        <v>0</v>
      </c>
      <c r="G685" s="186">
        <f t="shared" si="1481"/>
        <v>0</v>
      </c>
      <c r="H685" s="186">
        <f t="shared" si="1481"/>
        <v>0</v>
      </c>
      <c r="I685" s="186">
        <f t="shared" si="1481"/>
        <v>0</v>
      </c>
      <c r="J685" s="186">
        <f t="shared" si="1481"/>
        <v>0</v>
      </c>
      <c r="K685" s="186">
        <f t="shared" si="1481"/>
        <v>0</v>
      </c>
      <c r="L685" s="186">
        <f t="shared" si="1481"/>
        <v>0</v>
      </c>
      <c r="M685" s="186">
        <f t="shared" si="1481"/>
        <v>0</v>
      </c>
      <c r="N685" s="186">
        <f t="shared" si="1481"/>
        <v>0</v>
      </c>
      <c r="O685" s="186">
        <f t="shared" si="1481"/>
        <v>0</v>
      </c>
      <c r="P685" s="186">
        <f t="shared" si="1481"/>
        <v>0</v>
      </c>
      <c r="Q685" s="186">
        <f t="shared" si="1481"/>
        <v>0</v>
      </c>
      <c r="R685" s="186">
        <f t="shared" si="1481"/>
        <v>0</v>
      </c>
      <c r="S685" s="186">
        <f t="shared" si="1481"/>
        <v>0</v>
      </c>
      <c r="T685" s="186">
        <f t="shared" si="1481"/>
        <v>0</v>
      </c>
      <c r="U685" s="186">
        <f t="shared" si="1481"/>
        <v>0</v>
      </c>
      <c r="V685" s="186">
        <f t="shared" si="1481"/>
        <v>0</v>
      </c>
      <c r="W685" s="186">
        <f t="shared" si="1481"/>
        <v>0</v>
      </c>
      <c r="X685" s="186">
        <f t="shared" si="1481"/>
        <v>0</v>
      </c>
      <c r="Y685" s="186">
        <f t="shared" si="1481"/>
        <v>0</v>
      </c>
      <c r="Z685" s="186">
        <f t="shared" si="1481"/>
        <v>0</v>
      </c>
      <c r="AA685" s="186">
        <f t="shared" si="1481"/>
        <v>0</v>
      </c>
      <c r="AB685" s="186">
        <f t="shared" si="1481"/>
        <v>0</v>
      </c>
      <c r="AC685" s="186">
        <f t="shared" si="1481"/>
        <v>0</v>
      </c>
      <c r="AD685" s="186">
        <f t="shared" si="1481"/>
        <v>0</v>
      </c>
      <c r="AE685" s="186">
        <f t="shared" si="1481"/>
        <v>0</v>
      </c>
      <c r="AF685" s="186">
        <f t="shared" si="1481"/>
        <v>0</v>
      </c>
      <c r="AG685" s="186">
        <f t="shared" si="1481"/>
        <v>0</v>
      </c>
      <c r="AH685" s="186">
        <f t="shared" si="1481"/>
        <v>0</v>
      </c>
      <c r="AI685" s="186">
        <f t="shared" si="1481"/>
        <v>0</v>
      </c>
      <c r="AJ685" s="186">
        <f t="shared" si="1481"/>
        <v>0</v>
      </c>
      <c r="AK685" s="186">
        <f t="shared" si="1481"/>
        <v>0</v>
      </c>
      <c r="AL685" s="186">
        <f t="shared" si="1481"/>
        <v>0</v>
      </c>
      <c r="AM685" s="186">
        <f t="shared" si="1481"/>
        <v>0</v>
      </c>
      <c r="AN685" s="186">
        <f t="shared" si="1481"/>
        <v>0</v>
      </c>
      <c r="AO685" s="186">
        <f t="shared" si="1481"/>
        <v>0</v>
      </c>
      <c r="AP685" s="186">
        <f t="shared" si="1481"/>
        <v>0</v>
      </c>
    </row>
    <row r="686" spans="1:42">
      <c r="A686" s="37">
        <f t="shared" si="1478"/>
        <v>6</v>
      </c>
      <c r="B686" s="196">
        <f t="shared" si="1475"/>
        <v>0</v>
      </c>
      <c r="C686" s="186">
        <f t="shared" ref="C686:AP686" si="1482">IF(C$2&gt;AnalysisPeriod,0,IF(C$2=MMFrequency2*$A686,MMCost2*CapacityDC*1000*(1+Inflation)^B$2,0))</f>
        <v>0</v>
      </c>
      <c r="D686" s="186">
        <f t="shared" si="1482"/>
        <v>0</v>
      </c>
      <c r="E686" s="186">
        <f t="shared" si="1482"/>
        <v>0</v>
      </c>
      <c r="F686" s="186">
        <f t="shared" si="1482"/>
        <v>0</v>
      </c>
      <c r="G686" s="186">
        <f t="shared" si="1482"/>
        <v>0</v>
      </c>
      <c r="H686" s="186">
        <f t="shared" si="1482"/>
        <v>0</v>
      </c>
      <c r="I686" s="186">
        <f t="shared" si="1482"/>
        <v>0</v>
      </c>
      <c r="J686" s="186">
        <f t="shared" si="1482"/>
        <v>0</v>
      </c>
      <c r="K686" s="186">
        <f t="shared" si="1482"/>
        <v>0</v>
      </c>
      <c r="L686" s="186">
        <f t="shared" si="1482"/>
        <v>0</v>
      </c>
      <c r="M686" s="186">
        <f t="shared" si="1482"/>
        <v>0</v>
      </c>
      <c r="N686" s="186">
        <f t="shared" si="1482"/>
        <v>0</v>
      </c>
      <c r="O686" s="186">
        <f t="shared" si="1482"/>
        <v>0</v>
      </c>
      <c r="P686" s="186">
        <f t="shared" si="1482"/>
        <v>0</v>
      </c>
      <c r="Q686" s="186">
        <f t="shared" si="1482"/>
        <v>0</v>
      </c>
      <c r="R686" s="186">
        <f t="shared" si="1482"/>
        <v>0</v>
      </c>
      <c r="S686" s="186">
        <f t="shared" si="1482"/>
        <v>0</v>
      </c>
      <c r="T686" s="186">
        <f t="shared" si="1482"/>
        <v>0</v>
      </c>
      <c r="U686" s="186">
        <f t="shared" si="1482"/>
        <v>0</v>
      </c>
      <c r="V686" s="186">
        <f t="shared" si="1482"/>
        <v>0</v>
      </c>
      <c r="W686" s="186">
        <f t="shared" si="1482"/>
        <v>0</v>
      </c>
      <c r="X686" s="186">
        <f t="shared" si="1482"/>
        <v>0</v>
      </c>
      <c r="Y686" s="186">
        <f t="shared" si="1482"/>
        <v>0</v>
      </c>
      <c r="Z686" s="186">
        <f t="shared" si="1482"/>
        <v>0</v>
      </c>
      <c r="AA686" s="186">
        <f t="shared" si="1482"/>
        <v>0</v>
      </c>
      <c r="AB686" s="186">
        <f t="shared" si="1482"/>
        <v>0</v>
      </c>
      <c r="AC686" s="186">
        <f t="shared" si="1482"/>
        <v>0</v>
      </c>
      <c r="AD686" s="186">
        <f t="shared" si="1482"/>
        <v>0</v>
      </c>
      <c r="AE686" s="186">
        <f t="shared" si="1482"/>
        <v>0</v>
      </c>
      <c r="AF686" s="186">
        <f t="shared" si="1482"/>
        <v>0</v>
      </c>
      <c r="AG686" s="186">
        <f t="shared" si="1482"/>
        <v>0</v>
      </c>
      <c r="AH686" s="186">
        <f t="shared" si="1482"/>
        <v>0</v>
      </c>
      <c r="AI686" s="186">
        <f t="shared" si="1482"/>
        <v>0</v>
      </c>
      <c r="AJ686" s="186">
        <f t="shared" si="1482"/>
        <v>0</v>
      </c>
      <c r="AK686" s="186">
        <f t="shared" si="1482"/>
        <v>0</v>
      </c>
      <c r="AL686" s="186">
        <f t="shared" si="1482"/>
        <v>0</v>
      </c>
      <c r="AM686" s="186">
        <f t="shared" si="1482"/>
        <v>0</v>
      </c>
      <c r="AN686" s="186">
        <f t="shared" si="1482"/>
        <v>0</v>
      </c>
      <c r="AO686" s="186">
        <f t="shared" si="1482"/>
        <v>0</v>
      </c>
      <c r="AP686" s="186">
        <f t="shared" si="1482"/>
        <v>0</v>
      </c>
    </row>
    <row r="687" spans="1:42">
      <c r="A687" s="37">
        <f t="shared" si="1478"/>
        <v>7</v>
      </c>
      <c r="B687" s="196">
        <f t="shared" si="1475"/>
        <v>0</v>
      </c>
      <c r="C687" s="186">
        <f t="shared" ref="C687:AP687" si="1483">IF(C$2&gt;AnalysisPeriod,0,IF(C$2=MMFrequency2*$A687,MMCost2*CapacityDC*1000*(1+Inflation)^B$2,0))</f>
        <v>0</v>
      </c>
      <c r="D687" s="186">
        <f t="shared" si="1483"/>
        <v>0</v>
      </c>
      <c r="E687" s="186">
        <f t="shared" si="1483"/>
        <v>0</v>
      </c>
      <c r="F687" s="186">
        <f t="shared" si="1483"/>
        <v>0</v>
      </c>
      <c r="G687" s="186">
        <f t="shared" si="1483"/>
        <v>0</v>
      </c>
      <c r="H687" s="186">
        <f t="shared" si="1483"/>
        <v>0</v>
      </c>
      <c r="I687" s="186">
        <f t="shared" si="1483"/>
        <v>0</v>
      </c>
      <c r="J687" s="186">
        <f t="shared" si="1483"/>
        <v>0</v>
      </c>
      <c r="K687" s="186">
        <f t="shared" si="1483"/>
        <v>0</v>
      </c>
      <c r="L687" s="186">
        <f t="shared" si="1483"/>
        <v>0</v>
      </c>
      <c r="M687" s="186">
        <f t="shared" si="1483"/>
        <v>0</v>
      </c>
      <c r="N687" s="186">
        <f t="shared" si="1483"/>
        <v>0</v>
      </c>
      <c r="O687" s="186">
        <f t="shared" si="1483"/>
        <v>0</v>
      </c>
      <c r="P687" s="186">
        <f t="shared" si="1483"/>
        <v>0</v>
      </c>
      <c r="Q687" s="186">
        <f t="shared" si="1483"/>
        <v>0</v>
      </c>
      <c r="R687" s="186">
        <f t="shared" si="1483"/>
        <v>0</v>
      </c>
      <c r="S687" s="186">
        <f t="shared" si="1483"/>
        <v>0</v>
      </c>
      <c r="T687" s="186">
        <f t="shared" si="1483"/>
        <v>0</v>
      </c>
      <c r="U687" s="186">
        <f t="shared" si="1483"/>
        <v>0</v>
      </c>
      <c r="V687" s="186">
        <f t="shared" si="1483"/>
        <v>0</v>
      </c>
      <c r="W687" s="186">
        <f t="shared" si="1483"/>
        <v>0</v>
      </c>
      <c r="X687" s="186">
        <f t="shared" si="1483"/>
        <v>0</v>
      </c>
      <c r="Y687" s="186">
        <f t="shared" si="1483"/>
        <v>0</v>
      </c>
      <c r="Z687" s="186">
        <f t="shared" si="1483"/>
        <v>0</v>
      </c>
      <c r="AA687" s="186">
        <f t="shared" si="1483"/>
        <v>0</v>
      </c>
      <c r="AB687" s="186">
        <f t="shared" si="1483"/>
        <v>0</v>
      </c>
      <c r="AC687" s="186">
        <f t="shared" si="1483"/>
        <v>0</v>
      </c>
      <c r="AD687" s="186">
        <f t="shared" si="1483"/>
        <v>0</v>
      </c>
      <c r="AE687" s="186">
        <f t="shared" si="1483"/>
        <v>0</v>
      </c>
      <c r="AF687" s="186">
        <f t="shared" si="1483"/>
        <v>0</v>
      </c>
      <c r="AG687" s="186">
        <f t="shared" si="1483"/>
        <v>0</v>
      </c>
      <c r="AH687" s="186">
        <f t="shared" si="1483"/>
        <v>0</v>
      </c>
      <c r="AI687" s="186">
        <f t="shared" si="1483"/>
        <v>0</v>
      </c>
      <c r="AJ687" s="186">
        <f t="shared" si="1483"/>
        <v>0</v>
      </c>
      <c r="AK687" s="186">
        <f t="shared" si="1483"/>
        <v>0</v>
      </c>
      <c r="AL687" s="186">
        <f t="shared" si="1483"/>
        <v>0</v>
      </c>
      <c r="AM687" s="186">
        <f t="shared" si="1483"/>
        <v>0</v>
      </c>
      <c r="AN687" s="186">
        <f t="shared" si="1483"/>
        <v>0</v>
      </c>
      <c r="AO687" s="186">
        <f t="shared" si="1483"/>
        <v>0</v>
      </c>
      <c r="AP687" s="186">
        <f t="shared" si="1483"/>
        <v>0</v>
      </c>
    </row>
    <row r="688" spans="1:42">
      <c r="A688" s="37">
        <f t="shared" si="1478"/>
        <v>8</v>
      </c>
      <c r="B688" s="196">
        <f t="shared" si="1475"/>
        <v>0</v>
      </c>
      <c r="C688" s="186">
        <f t="shared" ref="C688:AP688" si="1484">IF(C$2&gt;AnalysisPeriod,0,IF(C$2=MMFrequency2*$A688,MMCost2*CapacityDC*1000*(1+Inflation)^B$2,0))</f>
        <v>0</v>
      </c>
      <c r="D688" s="186">
        <f t="shared" si="1484"/>
        <v>0</v>
      </c>
      <c r="E688" s="186">
        <f t="shared" si="1484"/>
        <v>0</v>
      </c>
      <c r="F688" s="186">
        <f t="shared" si="1484"/>
        <v>0</v>
      </c>
      <c r="G688" s="186">
        <f t="shared" si="1484"/>
        <v>0</v>
      </c>
      <c r="H688" s="186">
        <f t="shared" si="1484"/>
        <v>0</v>
      </c>
      <c r="I688" s="186">
        <f t="shared" si="1484"/>
        <v>0</v>
      </c>
      <c r="J688" s="186">
        <f t="shared" si="1484"/>
        <v>0</v>
      </c>
      <c r="K688" s="186">
        <f t="shared" si="1484"/>
        <v>0</v>
      </c>
      <c r="L688" s="186">
        <f t="shared" si="1484"/>
        <v>0</v>
      </c>
      <c r="M688" s="186">
        <f t="shared" si="1484"/>
        <v>0</v>
      </c>
      <c r="N688" s="186">
        <f t="shared" si="1484"/>
        <v>0</v>
      </c>
      <c r="O688" s="186">
        <f t="shared" si="1484"/>
        <v>0</v>
      </c>
      <c r="P688" s="186">
        <f t="shared" si="1484"/>
        <v>0</v>
      </c>
      <c r="Q688" s="186">
        <f t="shared" si="1484"/>
        <v>0</v>
      </c>
      <c r="R688" s="186">
        <f t="shared" si="1484"/>
        <v>0</v>
      </c>
      <c r="S688" s="186">
        <f t="shared" si="1484"/>
        <v>0</v>
      </c>
      <c r="T688" s="186">
        <f t="shared" si="1484"/>
        <v>0</v>
      </c>
      <c r="U688" s="186">
        <f t="shared" si="1484"/>
        <v>0</v>
      </c>
      <c r="V688" s="186">
        <f t="shared" si="1484"/>
        <v>0</v>
      </c>
      <c r="W688" s="186">
        <f t="shared" si="1484"/>
        <v>0</v>
      </c>
      <c r="X688" s="186">
        <f t="shared" si="1484"/>
        <v>0</v>
      </c>
      <c r="Y688" s="186">
        <f t="shared" si="1484"/>
        <v>0</v>
      </c>
      <c r="Z688" s="186">
        <f t="shared" si="1484"/>
        <v>0</v>
      </c>
      <c r="AA688" s="186">
        <f t="shared" si="1484"/>
        <v>0</v>
      </c>
      <c r="AB688" s="186">
        <f t="shared" si="1484"/>
        <v>0</v>
      </c>
      <c r="AC688" s="186">
        <f t="shared" si="1484"/>
        <v>0</v>
      </c>
      <c r="AD688" s="186">
        <f t="shared" si="1484"/>
        <v>0</v>
      </c>
      <c r="AE688" s="186">
        <f t="shared" si="1484"/>
        <v>0</v>
      </c>
      <c r="AF688" s="186">
        <f t="shared" si="1484"/>
        <v>0</v>
      </c>
      <c r="AG688" s="186">
        <f t="shared" si="1484"/>
        <v>0</v>
      </c>
      <c r="AH688" s="186">
        <f t="shared" si="1484"/>
        <v>0</v>
      </c>
      <c r="AI688" s="186">
        <f t="shared" si="1484"/>
        <v>0</v>
      </c>
      <c r="AJ688" s="186">
        <f t="shared" si="1484"/>
        <v>0</v>
      </c>
      <c r="AK688" s="186">
        <f t="shared" si="1484"/>
        <v>0</v>
      </c>
      <c r="AL688" s="186">
        <f t="shared" si="1484"/>
        <v>0</v>
      </c>
      <c r="AM688" s="186">
        <f t="shared" si="1484"/>
        <v>0</v>
      </c>
      <c r="AN688" s="186">
        <f t="shared" si="1484"/>
        <v>0</v>
      </c>
      <c r="AO688" s="186">
        <f t="shared" si="1484"/>
        <v>0</v>
      </c>
      <c r="AP688" s="186">
        <f t="shared" si="1484"/>
        <v>0</v>
      </c>
    </row>
    <row r="689" spans="1:42">
      <c r="A689" s="37">
        <f>A688+1</f>
        <v>9</v>
      </c>
      <c r="B689" s="196">
        <f t="shared" si="1475"/>
        <v>0</v>
      </c>
      <c r="C689" s="186">
        <f t="shared" ref="C689:AP689" si="1485">IF(C$2&gt;AnalysisPeriod,0,IF(C$2=MMFrequency2*$A689,MMCost2*CapacityDC*1000*(1+Inflation)^B$2,0))</f>
        <v>0</v>
      </c>
      <c r="D689" s="186">
        <f t="shared" si="1485"/>
        <v>0</v>
      </c>
      <c r="E689" s="186">
        <f t="shared" si="1485"/>
        <v>0</v>
      </c>
      <c r="F689" s="186">
        <f t="shared" si="1485"/>
        <v>0</v>
      </c>
      <c r="G689" s="186">
        <f t="shared" si="1485"/>
        <v>0</v>
      </c>
      <c r="H689" s="186">
        <f t="shared" si="1485"/>
        <v>0</v>
      </c>
      <c r="I689" s="186">
        <f t="shared" si="1485"/>
        <v>0</v>
      </c>
      <c r="J689" s="186">
        <f t="shared" si="1485"/>
        <v>0</v>
      </c>
      <c r="K689" s="186">
        <f t="shared" si="1485"/>
        <v>0</v>
      </c>
      <c r="L689" s="186">
        <f t="shared" si="1485"/>
        <v>0</v>
      </c>
      <c r="M689" s="186">
        <f t="shared" si="1485"/>
        <v>0</v>
      </c>
      <c r="N689" s="186">
        <f t="shared" si="1485"/>
        <v>0</v>
      </c>
      <c r="O689" s="186">
        <f t="shared" si="1485"/>
        <v>0</v>
      </c>
      <c r="P689" s="186">
        <f t="shared" si="1485"/>
        <v>0</v>
      </c>
      <c r="Q689" s="186">
        <f t="shared" si="1485"/>
        <v>0</v>
      </c>
      <c r="R689" s="186">
        <f t="shared" si="1485"/>
        <v>0</v>
      </c>
      <c r="S689" s="186">
        <f t="shared" si="1485"/>
        <v>0</v>
      </c>
      <c r="T689" s="186">
        <f t="shared" si="1485"/>
        <v>0</v>
      </c>
      <c r="U689" s="186">
        <f t="shared" si="1485"/>
        <v>0</v>
      </c>
      <c r="V689" s="186">
        <f t="shared" si="1485"/>
        <v>0</v>
      </c>
      <c r="W689" s="186">
        <f t="shared" si="1485"/>
        <v>0</v>
      </c>
      <c r="X689" s="186">
        <f t="shared" si="1485"/>
        <v>0</v>
      </c>
      <c r="Y689" s="186">
        <f t="shared" si="1485"/>
        <v>0</v>
      </c>
      <c r="Z689" s="186">
        <f t="shared" si="1485"/>
        <v>0</v>
      </c>
      <c r="AA689" s="186">
        <f t="shared" si="1485"/>
        <v>0</v>
      </c>
      <c r="AB689" s="186">
        <f t="shared" si="1485"/>
        <v>0</v>
      </c>
      <c r="AC689" s="186">
        <f t="shared" si="1485"/>
        <v>0</v>
      </c>
      <c r="AD689" s="186">
        <f t="shared" si="1485"/>
        <v>0</v>
      </c>
      <c r="AE689" s="186">
        <f t="shared" si="1485"/>
        <v>0</v>
      </c>
      <c r="AF689" s="186">
        <f t="shared" si="1485"/>
        <v>0</v>
      </c>
      <c r="AG689" s="186">
        <f t="shared" si="1485"/>
        <v>0</v>
      </c>
      <c r="AH689" s="186">
        <f t="shared" si="1485"/>
        <v>0</v>
      </c>
      <c r="AI689" s="186">
        <f t="shared" si="1485"/>
        <v>0</v>
      </c>
      <c r="AJ689" s="186">
        <f t="shared" si="1485"/>
        <v>0</v>
      </c>
      <c r="AK689" s="186">
        <f t="shared" si="1485"/>
        <v>0</v>
      </c>
      <c r="AL689" s="186">
        <f t="shared" si="1485"/>
        <v>0</v>
      </c>
      <c r="AM689" s="186">
        <f t="shared" si="1485"/>
        <v>0</v>
      </c>
      <c r="AN689" s="186">
        <f t="shared" si="1485"/>
        <v>0</v>
      </c>
      <c r="AO689" s="186">
        <f t="shared" si="1485"/>
        <v>0</v>
      </c>
      <c r="AP689" s="186">
        <f t="shared" si="1485"/>
        <v>0</v>
      </c>
    </row>
    <row r="690" spans="1:42">
      <c r="A690" s="37">
        <f t="shared" si="1478"/>
        <v>10</v>
      </c>
      <c r="B690" s="196">
        <f t="shared" si="1475"/>
        <v>0</v>
      </c>
      <c r="C690" s="187">
        <f t="shared" ref="C690:AP690" si="1486">IF(C$2&gt;AnalysisPeriod,0,IF(C$2=MMFrequency2*$A690,MMCost2*CapacityDC*1000*(1+Inflation)^B$2,0))</f>
        <v>0</v>
      </c>
      <c r="D690" s="187">
        <f t="shared" si="1486"/>
        <v>0</v>
      </c>
      <c r="E690" s="187">
        <f t="shared" si="1486"/>
        <v>0</v>
      </c>
      <c r="F690" s="187">
        <f t="shared" si="1486"/>
        <v>0</v>
      </c>
      <c r="G690" s="187">
        <f t="shared" si="1486"/>
        <v>0</v>
      </c>
      <c r="H690" s="187">
        <f t="shared" si="1486"/>
        <v>0</v>
      </c>
      <c r="I690" s="187">
        <f t="shared" si="1486"/>
        <v>0</v>
      </c>
      <c r="J690" s="187">
        <f t="shared" si="1486"/>
        <v>0</v>
      </c>
      <c r="K690" s="187">
        <f t="shared" si="1486"/>
        <v>0</v>
      </c>
      <c r="L690" s="187">
        <f t="shared" si="1486"/>
        <v>0</v>
      </c>
      <c r="M690" s="187">
        <f t="shared" si="1486"/>
        <v>0</v>
      </c>
      <c r="N690" s="187">
        <f t="shared" si="1486"/>
        <v>0</v>
      </c>
      <c r="O690" s="187">
        <f t="shared" si="1486"/>
        <v>0</v>
      </c>
      <c r="P690" s="187">
        <f t="shared" si="1486"/>
        <v>0</v>
      </c>
      <c r="Q690" s="187">
        <f t="shared" si="1486"/>
        <v>0</v>
      </c>
      <c r="R690" s="187">
        <f t="shared" si="1486"/>
        <v>0</v>
      </c>
      <c r="S690" s="187">
        <f t="shared" si="1486"/>
        <v>0</v>
      </c>
      <c r="T690" s="187">
        <f t="shared" si="1486"/>
        <v>0</v>
      </c>
      <c r="U690" s="187">
        <f t="shared" si="1486"/>
        <v>0</v>
      </c>
      <c r="V690" s="187">
        <f t="shared" si="1486"/>
        <v>0</v>
      </c>
      <c r="W690" s="187">
        <f t="shared" si="1486"/>
        <v>0</v>
      </c>
      <c r="X690" s="187">
        <f t="shared" si="1486"/>
        <v>0</v>
      </c>
      <c r="Y690" s="187">
        <f t="shared" si="1486"/>
        <v>0</v>
      </c>
      <c r="Z690" s="187">
        <f t="shared" si="1486"/>
        <v>0</v>
      </c>
      <c r="AA690" s="187">
        <f t="shared" si="1486"/>
        <v>0</v>
      </c>
      <c r="AB690" s="187">
        <f t="shared" si="1486"/>
        <v>0</v>
      </c>
      <c r="AC690" s="187">
        <f t="shared" si="1486"/>
        <v>0</v>
      </c>
      <c r="AD690" s="187">
        <f t="shared" si="1486"/>
        <v>0</v>
      </c>
      <c r="AE690" s="187">
        <f t="shared" si="1486"/>
        <v>0</v>
      </c>
      <c r="AF690" s="187">
        <f t="shared" si="1486"/>
        <v>0</v>
      </c>
      <c r="AG690" s="187">
        <f t="shared" si="1486"/>
        <v>0</v>
      </c>
      <c r="AH690" s="187">
        <f t="shared" si="1486"/>
        <v>0</v>
      </c>
      <c r="AI690" s="187">
        <f t="shared" si="1486"/>
        <v>0</v>
      </c>
      <c r="AJ690" s="187">
        <f t="shared" si="1486"/>
        <v>0</v>
      </c>
      <c r="AK690" s="187">
        <f t="shared" si="1486"/>
        <v>0</v>
      </c>
      <c r="AL690" s="187">
        <f t="shared" si="1486"/>
        <v>0</v>
      </c>
      <c r="AM690" s="187">
        <f t="shared" si="1486"/>
        <v>0</v>
      </c>
      <c r="AN690" s="187">
        <f t="shared" si="1486"/>
        <v>0</v>
      </c>
      <c r="AO690" s="187">
        <f t="shared" si="1486"/>
        <v>0</v>
      </c>
      <c r="AP690" s="187">
        <f t="shared" si="1486"/>
        <v>0</v>
      </c>
    </row>
    <row r="691" spans="1:42">
      <c r="A691" s="219" t="s">
        <v>53</v>
      </c>
      <c r="B691" s="186"/>
      <c r="C691" s="152">
        <f>SUM(C681:C690)</f>
        <v>0</v>
      </c>
      <c r="D691" s="152">
        <f t="shared" ref="D691:AP691" si="1487">SUM(D681:D690)</f>
        <v>0</v>
      </c>
      <c r="E691" s="152">
        <f t="shared" si="1487"/>
        <v>0</v>
      </c>
      <c r="F691" s="152">
        <f t="shared" si="1487"/>
        <v>0</v>
      </c>
      <c r="G691" s="152">
        <f t="shared" si="1487"/>
        <v>0</v>
      </c>
      <c r="H691" s="152">
        <f t="shared" si="1487"/>
        <v>0</v>
      </c>
      <c r="I691" s="152">
        <f t="shared" si="1487"/>
        <v>0</v>
      </c>
      <c r="J691" s="152">
        <f t="shared" si="1487"/>
        <v>0</v>
      </c>
      <c r="K691" s="152">
        <f t="shared" si="1487"/>
        <v>0</v>
      </c>
      <c r="L691" s="152">
        <f t="shared" si="1487"/>
        <v>0</v>
      </c>
      <c r="M691" s="152">
        <f t="shared" si="1487"/>
        <v>0</v>
      </c>
      <c r="N691" s="152">
        <f t="shared" si="1487"/>
        <v>0</v>
      </c>
      <c r="O691" s="152">
        <f t="shared" si="1487"/>
        <v>0</v>
      </c>
      <c r="P691" s="152">
        <f t="shared" si="1487"/>
        <v>0</v>
      </c>
      <c r="Q691" s="152">
        <f t="shared" si="1487"/>
        <v>6158778.6534697888</v>
      </c>
      <c r="R691" s="152">
        <f t="shared" si="1487"/>
        <v>0</v>
      </c>
      <c r="S691" s="152">
        <f t="shared" si="1487"/>
        <v>0</v>
      </c>
      <c r="T691" s="152">
        <f t="shared" si="1487"/>
        <v>0</v>
      </c>
      <c r="U691" s="152">
        <f t="shared" si="1487"/>
        <v>0</v>
      </c>
      <c r="V691" s="152">
        <f t="shared" si="1487"/>
        <v>0</v>
      </c>
      <c r="W691" s="152">
        <f t="shared" si="1487"/>
        <v>0</v>
      </c>
      <c r="X691" s="152">
        <f t="shared" si="1487"/>
        <v>0</v>
      </c>
      <c r="Y691" s="152">
        <f t="shared" si="1487"/>
        <v>0</v>
      </c>
      <c r="Z691" s="152">
        <f t="shared" si="1487"/>
        <v>0</v>
      </c>
      <c r="AA691" s="152">
        <f t="shared" si="1487"/>
        <v>0</v>
      </c>
      <c r="AB691" s="152">
        <f t="shared" si="1487"/>
        <v>0</v>
      </c>
      <c r="AC691" s="152">
        <f t="shared" si="1487"/>
        <v>0</v>
      </c>
      <c r="AD691" s="152">
        <f t="shared" si="1487"/>
        <v>0</v>
      </c>
      <c r="AE691" s="152">
        <f t="shared" si="1487"/>
        <v>0</v>
      </c>
      <c r="AF691" s="152">
        <f t="shared" si="1487"/>
        <v>7699902.5639943341</v>
      </c>
      <c r="AG691" s="152">
        <f t="shared" si="1487"/>
        <v>0</v>
      </c>
      <c r="AH691" s="152">
        <f t="shared" si="1487"/>
        <v>0</v>
      </c>
      <c r="AI691" s="152">
        <f t="shared" si="1487"/>
        <v>0</v>
      </c>
      <c r="AJ691" s="152">
        <f t="shared" si="1487"/>
        <v>0</v>
      </c>
      <c r="AK691" s="152">
        <f t="shared" si="1487"/>
        <v>0</v>
      </c>
      <c r="AL691" s="152">
        <f t="shared" si="1487"/>
        <v>0</v>
      </c>
      <c r="AM691" s="152">
        <f t="shared" si="1487"/>
        <v>0</v>
      </c>
      <c r="AN691" s="152">
        <f t="shared" si="1487"/>
        <v>0</v>
      </c>
      <c r="AO691" s="152">
        <f t="shared" si="1487"/>
        <v>0</v>
      </c>
      <c r="AP691" s="152">
        <f t="shared" si="1487"/>
        <v>0</v>
      </c>
    </row>
    <row r="692" spans="1:42">
      <c r="A692" s="37" t="s">
        <v>199</v>
      </c>
      <c r="B692" s="152"/>
      <c r="C692" s="152"/>
      <c r="D692" s="152"/>
      <c r="E692" s="152"/>
      <c r="F692" s="152"/>
      <c r="G692" s="186"/>
      <c r="H692" s="186"/>
      <c r="I692" s="186"/>
      <c r="J692" s="186"/>
      <c r="K692" s="186"/>
      <c r="L692" s="186"/>
      <c r="M692" s="186"/>
      <c r="N692" s="186"/>
      <c r="O692" s="186"/>
      <c r="P692" s="186"/>
      <c r="Q692" s="186"/>
      <c r="R692" s="186"/>
      <c r="S692" s="186"/>
      <c r="T692" s="186"/>
      <c r="U692" s="186"/>
      <c r="V692" s="186"/>
      <c r="W692" s="186"/>
      <c r="X692" s="186"/>
      <c r="Y692" s="186"/>
      <c r="Z692" s="186"/>
      <c r="AA692" s="186"/>
      <c r="AB692" s="186"/>
      <c r="AC692" s="186"/>
      <c r="AD692" s="186"/>
      <c r="AE692" s="186"/>
      <c r="AF692" s="186"/>
      <c r="AG692" s="186"/>
      <c r="AH692" s="186"/>
      <c r="AI692" s="186"/>
      <c r="AJ692" s="186"/>
      <c r="AK692" s="186"/>
      <c r="AL692" s="186"/>
      <c r="AM692" s="186"/>
      <c r="AN692" s="186"/>
      <c r="AO692" s="186"/>
      <c r="AP692" s="186"/>
    </row>
    <row r="693" spans="1:42">
      <c r="A693" s="37">
        <v>1</v>
      </c>
      <c r="B693" s="255">
        <f t="shared" ref="B693:B702" si="1488">SUM(C693:AP693)</f>
        <v>6158778.6534697879</v>
      </c>
      <c r="C693" s="186">
        <f t="shared" ref="C693:AP693" si="1489">IF(C$2&lt;=MMFrequency2*$A$681,$B$681/(MMFrequency2),0)</f>
        <v>410585.24356465257</v>
      </c>
      <c r="D693" s="186">
        <f t="shared" si="1489"/>
        <v>410585.24356465257</v>
      </c>
      <c r="E693" s="186">
        <f t="shared" si="1489"/>
        <v>410585.24356465257</v>
      </c>
      <c r="F693" s="186">
        <f t="shared" si="1489"/>
        <v>410585.24356465257</v>
      </c>
      <c r="G693" s="186">
        <f t="shared" si="1489"/>
        <v>410585.24356465257</v>
      </c>
      <c r="H693" s="186">
        <f t="shared" si="1489"/>
        <v>410585.24356465257</v>
      </c>
      <c r="I693" s="186">
        <f t="shared" si="1489"/>
        <v>410585.24356465257</v>
      </c>
      <c r="J693" s="186">
        <f t="shared" si="1489"/>
        <v>410585.24356465257</v>
      </c>
      <c r="K693" s="186">
        <f t="shared" si="1489"/>
        <v>410585.24356465257</v>
      </c>
      <c r="L693" s="186">
        <f t="shared" si="1489"/>
        <v>410585.24356465257</v>
      </c>
      <c r="M693" s="186">
        <f t="shared" si="1489"/>
        <v>410585.24356465257</v>
      </c>
      <c r="N693" s="186">
        <f t="shared" si="1489"/>
        <v>410585.24356465257</v>
      </c>
      <c r="O693" s="186">
        <f t="shared" si="1489"/>
        <v>410585.24356465257</v>
      </c>
      <c r="P693" s="186">
        <f t="shared" si="1489"/>
        <v>410585.24356465257</v>
      </c>
      <c r="Q693" s="186">
        <f t="shared" si="1489"/>
        <v>410585.24356465257</v>
      </c>
      <c r="R693" s="186">
        <f t="shared" si="1489"/>
        <v>0</v>
      </c>
      <c r="S693" s="186">
        <f t="shared" si="1489"/>
        <v>0</v>
      </c>
      <c r="T693" s="186">
        <f t="shared" si="1489"/>
        <v>0</v>
      </c>
      <c r="U693" s="186">
        <f t="shared" si="1489"/>
        <v>0</v>
      </c>
      <c r="V693" s="186">
        <f t="shared" si="1489"/>
        <v>0</v>
      </c>
      <c r="W693" s="186">
        <f t="shared" si="1489"/>
        <v>0</v>
      </c>
      <c r="X693" s="186">
        <f t="shared" si="1489"/>
        <v>0</v>
      </c>
      <c r="Y693" s="186">
        <f t="shared" si="1489"/>
        <v>0</v>
      </c>
      <c r="Z693" s="186">
        <f t="shared" si="1489"/>
        <v>0</v>
      </c>
      <c r="AA693" s="186">
        <f t="shared" si="1489"/>
        <v>0</v>
      </c>
      <c r="AB693" s="186">
        <f t="shared" si="1489"/>
        <v>0</v>
      </c>
      <c r="AC693" s="186">
        <f t="shared" si="1489"/>
        <v>0</v>
      </c>
      <c r="AD693" s="186">
        <f t="shared" si="1489"/>
        <v>0</v>
      </c>
      <c r="AE693" s="186">
        <f t="shared" si="1489"/>
        <v>0</v>
      </c>
      <c r="AF693" s="186">
        <f t="shared" si="1489"/>
        <v>0</v>
      </c>
      <c r="AG693" s="186">
        <f t="shared" si="1489"/>
        <v>0</v>
      </c>
      <c r="AH693" s="186">
        <f t="shared" si="1489"/>
        <v>0</v>
      </c>
      <c r="AI693" s="186">
        <f t="shared" si="1489"/>
        <v>0</v>
      </c>
      <c r="AJ693" s="186">
        <f t="shared" si="1489"/>
        <v>0</v>
      </c>
      <c r="AK693" s="186">
        <f t="shared" si="1489"/>
        <v>0</v>
      </c>
      <c r="AL693" s="186">
        <f t="shared" si="1489"/>
        <v>0</v>
      </c>
      <c r="AM693" s="186">
        <f t="shared" si="1489"/>
        <v>0</v>
      </c>
      <c r="AN693" s="186">
        <f t="shared" si="1489"/>
        <v>0</v>
      </c>
      <c r="AO693" s="186">
        <f t="shared" si="1489"/>
        <v>0</v>
      </c>
      <c r="AP693" s="186">
        <f t="shared" si="1489"/>
        <v>0</v>
      </c>
    </row>
    <row r="694" spans="1:42">
      <c r="A694" s="37">
        <f>A693+1</f>
        <v>2</v>
      </c>
      <c r="B694" s="255">
        <f t="shared" si="1488"/>
        <v>7699902.5639943322</v>
      </c>
      <c r="C694" s="186">
        <f t="shared" ref="C694:AP694" si="1490">IF(AND(C$2&gt;MMFrequency2*$A681,C$2&lt;=MMFrequency2*$A682),$B682/(MMFrequency2),0)</f>
        <v>0</v>
      </c>
      <c r="D694" s="186">
        <f t="shared" si="1490"/>
        <v>0</v>
      </c>
      <c r="E694" s="186">
        <f t="shared" si="1490"/>
        <v>0</v>
      </c>
      <c r="F694" s="186">
        <f t="shared" si="1490"/>
        <v>0</v>
      </c>
      <c r="G694" s="186">
        <f t="shared" si="1490"/>
        <v>0</v>
      </c>
      <c r="H694" s="186">
        <f t="shared" si="1490"/>
        <v>0</v>
      </c>
      <c r="I694" s="186">
        <f t="shared" si="1490"/>
        <v>0</v>
      </c>
      <c r="J694" s="186">
        <f t="shared" si="1490"/>
        <v>0</v>
      </c>
      <c r="K694" s="186">
        <f t="shared" si="1490"/>
        <v>0</v>
      </c>
      <c r="L694" s="186">
        <f t="shared" si="1490"/>
        <v>0</v>
      </c>
      <c r="M694" s="186">
        <f t="shared" si="1490"/>
        <v>0</v>
      </c>
      <c r="N694" s="186">
        <f t="shared" si="1490"/>
        <v>0</v>
      </c>
      <c r="O694" s="186">
        <f t="shared" si="1490"/>
        <v>0</v>
      </c>
      <c r="P694" s="186">
        <f t="shared" si="1490"/>
        <v>0</v>
      </c>
      <c r="Q694" s="186">
        <f t="shared" si="1490"/>
        <v>0</v>
      </c>
      <c r="R694" s="186">
        <f t="shared" si="1490"/>
        <v>513326.83759962226</v>
      </c>
      <c r="S694" s="186">
        <f t="shared" si="1490"/>
        <v>513326.83759962226</v>
      </c>
      <c r="T694" s="186">
        <f t="shared" si="1490"/>
        <v>513326.83759962226</v>
      </c>
      <c r="U694" s="186">
        <f t="shared" si="1490"/>
        <v>513326.83759962226</v>
      </c>
      <c r="V694" s="186">
        <f t="shared" si="1490"/>
        <v>513326.83759962226</v>
      </c>
      <c r="W694" s="186">
        <f t="shared" si="1490"/>
        <v>513326.83759962226</v>
      </c>
      <c r="X694" s="186">
        <f t="shared" si="1490"/>
        <v>513326.83759962226</v>
      </c>
      <c r="Y694" s="186">
        <f t="shared" si="1490"/>
        <v>513326.83759962226</v>
      </c>
      <c r="Z694" s="186">
        <f t="shared" si="1490"/>
        <v>513326.83759962226</v>
      </c>
      <c r="AA694" s="186">
        <f t="shared" si="1490"/>
        <v>513326.83759962226</v>
      </c>
      <c r="AB694" s="186">
        <f t="shared" si="1490"/>
        <v>513326.83759962226</v>
      </c>
      <c r="AC694" s="186">
        <f t="shared" si="1490"/>
        <v>513326.83759962226</v>
      </c>
      <c r="AD694" s="186">
        <f t="shared" si="1490"/>
        <v>513326.83759962226</v>
      </c>
      <c r="AE694" s="186">
        <f t="shared" si="1490"/>
        <v>513326.83759962226</v>
      </c>
      <c r="AF694" s="186">
        <f t="shared" si="1490"/>
        <v>513326.83759962226</v>
      </c>
      <c r="AG694" s="186">
        <f t="shared" si="1490"/>
        <v>0</v>
      </c>
      <c r="AH694" s="186">
        <f t="shared" si="1490"/>
        <v>0</v>
      </c>
      <c r="AI694" s="186">
        <f t="shared" si="1490"/>
        <v>0</v>
      </c>
      <c r="AJ694" s="186">
        <f t="shared" si="1490"/>
        <v>0</v>
      </c>
      <c r="AK694" s="186">
        <f t="shared" si="1490"/>
        <v>0</v>
      </c>
      <c r="AL694" s="186">
        <f t="shared" si="1490"/>
        <v>0</v>
      </c>
      <c r="AM694" s="186">
        <f t="shared" si="1490"/>
        <v>0</v>
      </c>
      <c r="AN694" s="186">
        <f t="shared" si="1490"/>
        <v>0</v>
      </c>
      <c r="AO694" s="186">
        <f t="shared" si="1490"/>
        <v>0</v>
      </c>
      <c r="AP694" s="186">
        <f t="shared" si="1490"/>
        <v>0</v>
      </c>
    </row>
    <row r="695" spans="1:42">
      <c r="A695" s="37">
        <f t="shared" ref="A695:A700" si="1491">A694+1</f>
        <v>3</v>
      </c>
      <c r="B695" s="255">
        <f t="shared" si="1488"/>
        <v>0</v>
      </c>
      <c r="C695" s="186">
        <f t="shared" ref="C695:AP695" si="1492">IF(AND(C$2&gt;MMFrequency2*$A682,C$2&lt;=MMFrequency2*$A683),$B683/(MMFrequency2),0)</f>
        <v>0</v>
      </c>
      <c r="D695" s="186">
        <f t="shared" si="1492"/>
        <v>0</v>
      </c>
      <c r="E695" s="186">
        <f t="shared" si="1492"/>
        <v>0</v>
      </c>
      <c r="F695" s="186">
        <f t="shared" si="1492"/>
        <v>0</v>
      </c>
      <c r="G695" s="186">
        <f t="shared" si="1492"/>
        <v>0</v>
      </c>
      <c r="H695" s="186">
        <f t="shared" si="1492"/>
        <v>0</v>
      </c>
      <c r="I695" s="186">
        <f t="shared" si="1492"/>
        <v>0</v>
      </c>
      <c r="J695" s="186">
        <f t="shared" si="1492"/>
        <v>0</v>
      </c>
      <c r="K695" s="186">
        <f t="shared" si="1492"/>
        <v>0</v>
      </c>
      <c r="L695" s="186">
        <f t="shared" si="1492"/>
        <v>0</v>
      </c>
      <c r="M695" s="186">
        <f t="shared" si="1492"/>
        <v>0</v>
      </c>
      <c r="N695" s="186">
        <f t="shared" si="1492"/>
        <v>0</v>
      </c>
      <c r="O695" s="186">
        <f t="shared" si="1492"/>
        <v>0</v>
      </c>
      <c r="P695" s="186">
        <f t="shared" si="1492"/>
        <v>0</v>
      </c>
      <c r="Q695" s="186">
        <f t="shared" si="1492"/>
        <v>0</v>
      </c>
      <c r="R695" s="186">
        <f t="shared" si="1492"/>
        <v>0</v>
      </c>
      <c r="S695" s="186">
        <f t="shared" si="1492"/>
        <v>0</v>
      </c>
      <c r="T695" s="186">
        <f t="shared" si="1492"/>
        <v>0</v>
      </c>
      <c r="U695" s="186">
        <f t="shared" si="1492"/>
        <v>0</v>
      </c>
      <c r="V695" s="186">
        <f t="shared" si="1492"/>
        <v>0</v>
      </c>
      <c r="W695" s="186">
        <f t="shared" si="1492"/>
        <v>0</v>
      </c>
      <c r="X695" s="186">
        <f t="shared" si="1492"/>
        <v>0</v>
      </c>
      <c r="Y695" s="186">
        <f t="shared" si="1492"/>
        <v>0</v>
      </c>
      <c r="Z695" s="186">
        <f t="shared" si="1492"/>
        <v>0</v>
      </c>
      <c r="AA695" s="186">
        <f t="shared" si="1492"/>
        <v>0</v>
      </c>
      <c r="AB695" s="186">
        <f t="shared" si="1492"/>
        <v>0</v>
      </c>
      <c r="AC695" s="186">
        <f t="shared" si="1492"/>
        <v>0</v>
      </c>
      <c r="AD695" s="186">
        <f t="shared" si="1492"/>
        <v>0</v>
      </c>
      <c r="AE695" s="186">
        <f t="shared" si="1492"/>
        <v>0</v>
      </c>
      <c r="AF695" s="186">
        <f t="shared" si="1492"/>
        <v>0</v>
      </c>
      <c r="AG695" s="186">
        <f t="shared" si="1492"/>
        <v>0</v>
      </c>
      <c r="AH695" s="186">
        <f t="shared" si="1492"/>
        <v>0</v>
      </c>
      <c r="AI695" s="186">
        <f t="shared" si="1492"/>
        <v>0</v>
      </c>
      <c r="AJ695" s="186">
        <f t="shared" si="1492"/>
        <v>0</v>
      </c>
      <c r="AK695" s="186">
        <f t="shared" si="1492"/>
        <v>0</v>
      </c>
      <c r="AL695" s="186">
        <f t="shared" si="1492"/>
        <v>0</v>
      </c>
      <c r="AM695" s="186">
        <f t="shared" si="1492"/>
        <v>0</v>
      </c>
      <c r="AN695" s="186">
        <f t="shared" si="1492"/>
        <v>0</v>
      </c>
      <c r="AO695" s="186">
        <f t="shared" si="1492"/>
        <v>0</v>
      </c>
      <c r="AP695" s="186">
        <f t="shared" si="1492"/>
        <v>0</v>
      </c>
    </row>
    <row r="696" spans="1:42">
      <c r="A696" s="37">
        <f t="shared" si="1491"/>
        <v>4</v>
      </c>
      <c r="B696" s="255">
        <f t="shared" si="1488"/>
        <v>0</v>
      </c>
      <c r="C696" s="186">
        <f t="shared" ref="C696:AP696" si="1493">IF(AND(C$2&gt;MMFrequency2*$A683,C$2&lt;=MMFrequency2*$A684),$B684/(MMFrequency2),0)</f>
        <v>0</v>
      </c>
      <c r="D696" s="186">
        <f t="shared" si="1493"/>
        <v>0</v>
      </c>
      <c r="E696" s="186">
        <f t="shared" si="1493"/>
        <v>0</v>
      </c>
      <c r="F696" s="186">
        <f t="shared" si="1493"/>
        <v>0</v>
      </c>
      <c r="G696" s="186">
        <f t="shared" si="1493"/>
        <v>0</v>
      </c>
      <c r="H696" s="186">
        <f t="shared" si="1493"/>
        <v>0</v>
      </c>
      <c r="I696" s="186">
        <f t="shared" si="1493"/>
        <v>0</v>
      </c>
      <c r="J696" s="186">
        <f t="shared" si="1493"/>
        <v>0</v>
      </c>
      <c r="K696" s="186">
        <f t="shared" si="1493"/>
        <v>0</v>
      </c>
      <c r="L696" s="186">
        <f t="shared" si="1493"/>
        <v>0</v>
      </c>
      <c r="M696" s="186">
        <f t="shared" si="1493"/>
        <v>0</v>
      </c>
      <c r="N696" s="186">
        <f t="shared" si="1493"/>
        <v>0</v>
      </c>
      <c r="O696" s="186">
        <f t="shared" si="1493"/>
        <v>0</v>
      </c>
      <c r="P696" s="186">
        <f t="shared" si="1493"/>
        <v>0</v>
      </c>
      <c r="Q696" s="186">
        <f t="shared" si="1493"/>
        <v>0</v>
      </c>
      <c r="R696" s="186">
        <f t="shared" si="1493"/>
        <v>0</v>
      </c>
      <c r="S696" s="186">
        <f t="shared" si="1493"/>
        <v>0</v>
      </c>
      <c r="T696" s="186">
        <f t="shared" si="1493"/>
        <v>0</v>
      </c>
      <c r="U696" s="186">
        <f t="shared" si="1493"/>
        <v>0</v>
      </c>
      <c r="V696" s="186">
        <f t="shared" si="1493"/>
        <v>0</v>
      </c>
      <c r="W696" s="186">
        <f t="shared" si="1493"/>
        <v>0</v>
      </c>
      <c r="X696" s="186">
        <f t="shared" si="1493"/>
        <v>0</v>
      </c>
      <c r="Y696" s="186">
        <f t="shared" si="1493"/>
        <v>0</v>
      </c>
      <c r="Z696" s="186">
        <f t="shared" si="1493"/>
        <v>0</v>
      </c>
      <c r="AA696" s="186">
        <f t="shared" si="1493"/>
        <v>0</v>
      </c>
      <c r="AB696" s="186">
        <f t="shared" si="1493"/>
        <v>0</v>
      </c>
      <c r="AC696" s="186">
        <f t="shared" si="1493"/>
        <v>0</v>
      </c>
      <c r="AD696" s="186">
        <f t="shared" si="1493"/>
        <v>0</v>
      </c>
      <c r="AE696" s="186">
        <f t="shared" si="1493"/>
        <v>0</v>
      </c>
      <c r="AF696" s="186">
        <f t="shared" si="1493"/>
        <v>0</v>
      </c>
      <c r="AG696" s="186">
        <f t="shared" si="1493"/>
        <v>0</v>
      </c>
      <c r="AH696" s="186">
        <f t="shared" si="1493"/>
        <v>0</v>
      </c>
      <c r="AI696" s="186">
        <f t="shared" si="1493"/>
        <v>0</v>
      </c>
      <c r="AJ696" s="186">
        <f t="shared" si="1493"/>
        <v>0</v>
      </c>
      <c r="AK696" s="186">
        <f t="shared" si="1493"/>
        <v>0</v>
      </c>
      <c r="AL696" s="186">
        <f t="shared" si="1493"/>
        <v>0</v>
      </c>
      <c r="AM696" s="186">
        <f t="shared" si="1493"/>
        <v>0</v>
      </c>
      <c r="AN696" s="186">
        <f t="shared" si="1493"/>
        <v>0</v>
      </c>
      <c r="AO696" s="186">
        <f t="shared" si="1493"/>
        <v>0</v>
      </c>
      <c r="AP696" s="186">
        <f t="shared" si="1493"/>
        <v>0</v>
      </c>
    </row>
    <row r="697" spans="1:42">
      <c r="A697" s="37">
        <f t="shared" si="1491"/>
        <v>5</v>
      </c>
      <c r="B697" s="255">
        <f t="shared" si="1488"/>
        <v>0</v>
      </c>
      <c r="C697" s="186">
        <f t="shared" ref="C697:AP697" si="1494">IF(AND(C$2&gt;MMFrequency2*$A684,C$2&lt;=MMFrequency2*$A685),$B685/(MMFrequency2),0)</f>
        <v>0</v>
      </c>
      <c r="D697" s="186">
        <f t="shared" si="1494"/>
        <v>0</v>
      </c>
      <c r="E697" s="186">
        <f t="shared" si="1494"/>
        <v>0</v>
      </c>
      <c r="F697" s="186">
        <f t="shared" si="1494"/>
        <v>0</v>
      </c>
      <c r="G697" s="186">
        <f t="shared" si="1494"/>
        <v>0</v>
      </c>
      <c r="H697" s="186">
        <f t="shared" si="1494"/>
        <v>0</v>
      </c>
      <c r="I697" s="186">
        <f t="shared" si="1494"/>
        <v>0</v>
      </c>
      <c r="J697" s="186">
        <f t="shared" si="1494"/>
        <v>0</v>
      </c>
      <c r="K697" s="186">
        <f t="shared" si="1494"/>
        <v>0</v>
      </c>
      <c r="L697" s="186">
        <f t="shared" si="1494"/>
        <v>0</v>
      </c>
      <c r="M697" s="186">
        <f t="shared" si="1494"/>
        <v>0</v>
      </c>
      <c r="N697" s="186">
        <f t="shared" si="1494"/>
        <v>0</v>
      </c>
      <c r="O697" s="186">
        <f t="shared" si="1494"/>
        <v>0</v>
      </c>
      <c r="P697" s="186">
        <f t="shared" si="1494"/>
        <v>0</v>
      </c>
      <c r="Q697" s="186">
        <f t="shared" si="1494"/>
        <v>0</v>
      </c>
      <c r="R697" s="186">
        <f t="shared" si="1494"/>
        <v>0</v>
      </c>
      <c r="S697" s="186">
        <f t="shared" si="1494"/>
        <v>0</v>
      </c>
      <c r="T697" s="186">
        <f t="shared" si="1494"/>
        <v>0</v>
      </c>
      <c r="U697" s="186">
        <f t="shared" si="1494"/>
        <v>0</v>
      </c>
      <c r="V697" s="186">
        <f t="shared" si="1494"/>
        <v>0</v>
      </c>
      <c r="W697" s="186">
        <f t="shared" si="1494"/>
        <v>0</v>
      </c>
      <c r="X697" s="186">
        <f t="shared" si="1494"/>
        <v>0</v>
      </c>
      <c r="Y697" s="186">
        <f t="shared" si="1494"/>
        <v>0</v>
      </c>
      <c r="Z697" s="186">
        <f t="shared" si="1494"/>
        <v>0</v>
      </c>
      <c r="AA697" s="186">
        <f t="shared" si="1494"/>
        <v>0</v>
      </c>
      <c r="AB697" s="186">
        <f t="shared" si="1494"/>
        <v>0</v>
      </c>
      <c r="AC697" s="186">
        <f t="shared" si="1494"/>
        <v>0</v>
      </c>
      <c r="AD697" s="186">
        <f t="shared" si="1494"/>
        <v>0</v>
      </c>
      <c r="AE697" s="186">
        <f t="shared" si="1494"/>
        <v>0</v>
      </c>
      <c r="AF697" s="186">
        <f t="shared" si="1494"/>
        <v>0</v>
      </c>
      <c r="AG697" s="186">
        <f t="shared" si="1494"/>
        <v>0</v>
      </c>
      <c r="AH697" s="186">
        <f t="shared" si="1494"/>
        <v>0</v>
      </c>
      <c r="AI697" s="186">
        <f t="shared" si="1494"/>
        <v>0</v>
      </c>
      <c r="AJ697" s="186">
        <f t="shared" si="1494"/>
        <v>0</v>
      </c>
      <c r="AK697" s="186">
        <f t="shared" si="1494"/>
        <v>0</v>
      </c>
      <c r="AL697" s="186">
        <f t="shared" si="1494"/>
        <v>0</v>
      </c>
      <c r="AM697" s="186">
        <f t="shared" si="1494"/>
        <v>0</v>
      </c>
      <c r="AN697" s="186">
        <f t="shared" si="1494"/>
        <v>0</v>
      </c>
      <c r="AO697" s="186">
        <f t="shared" si="1494"/>
        <v>0</v>
      </c>
      <c r="AP697" s="186">
        <f t="shared" si="1494"/>
        <v>0</v>
      </c>
    </row>
    <row r="698" spans="1:42">
      <c r="A698" s="37">
        <f t="shared" si="1491"/>
        <v>6</v>
      </c>
      <c r="B698" s="255">
        <f t="shared" si="1488"/>
        <v>0</v>
      </c>
      <c r="C698" s="186">
        <f t="shared" ref="C698:AP698" si="1495">IF(AND(C$2&gt;MMFrequency2*$A685,C$2&lt;=MMFrequency2*$A686),$B686/(MMFrequency2),0)</f>
        <v>0</v>
      </c>
      <c r="D698" s="186">
        <f t="shared" si="1495"/>
        <v>0</v>
      </c>
      <c r="E698" s="186">
        <f t="shared" si="1495"/>
        <v>0</v>
      </c>
      <c r="F698" s="186">
        <f t="shared" si="1495"/>
        <v>0</v>
      </c>
      <c r="G698" s="186">
        <f t="shared" si="1495"/>
        <v>0</v>
      </c>
      <c r="H698" s="186">
        <f t="shared" si="1495"/>
        <v>0</v>
      </c>
      <c r="I698" s="186">
        <f t="shared" si="1495"/>
        <v>0</v>
      </c>
      <c r="J698" s="186">
        <f t="shared" si="1495"/>
        <v>0</v>
      </c>
      <c r="K698" s="186">
        <f t="shared" si="1495"/>
        <v>0</v>
      </c>
      <c r="L698" s="186">
        <f t="shared" si="1495"/>
        <v>0</v>
      </c>
      <c r="M698" s="186">
        <f t="shared" si="1495"/>
        <v>0</v>
      </c>
      <c r="N698" s="186">
        <f t="shared" si="1495"/>
        <v>0</v>
      </c>
      <c r="O698" s="186">
        <f t="shared" si="1495"/>
        <v>0</v>
      </c>
      <c r="P698" s="186">
        <f t="shared" si="1495"/>
        <v>0</v>
      </c>
      <c r="Q698" s="186">
        <f t="shared" si="1495"/>
        <v>0</v>
      </c>
      <c r="R698" s="186">
        <f t="shared" si="1495"/>
        <v>0</v>
      </c>
      <c r="S698" s="186">
        <f t="shared" si="1495"/>
        <v>0</v>
      </c>
      <c r="T698" s="186">
        <f t="shared" si="1495"/>
        <v>0</v>
      </c>
      <c r="U698" s="186">
        <f t="shared" si="1495"/>
        <v>0</v>
      </c>
      <c r="V698" s="186">
        <f t="shared" si="1495"/>
        <v>0</v>
      </c>
      <c r="W698" s="186">
        <f t="shared" si="1495"/>
        <v>0</v>
      </c>
      <c r="X698" s="186">
        <f t="shared" si="1495"/>
        <v>0</v>
      </c>
      <c r="Y698" s="186">
        <f t="shared" si="1495"/>
        <v>0</v>
      </c>
      <c r="Z698" s="186">
        <f t="shared" si="1495"/>
        <v>0</v>
      </c>
      <c r="AA698" s="186">
        <f t="shared" si="1495"/>
        <v>0</v>
      </c>
      <c r="AB698" s="186">
        <f t="shared" si="1495"/>
        <v>0</v>
      </c>
      <c r="AC698" s="186">
        <f t="shared" si="1495"/>
        <v>0</v>
      </c>
      <c r="AD698" s="186">
        <f t="shared" si="1495"/>
        <v>0</v>
      </c>
      <c r="AE698" s="186">
        <f t="shared" si="1495"/>
        <v>0</v>
      </c>
      <c r="AF698" s="186">
        <f t="shared" si="1495"/>
        <v>0</v>
      </c>
      <c r="AG698" s="186">
        <f t="shared" si="1495"/>
        <v>0</v>
      </c>
      <c r="AH698" s="186">
        <f t="shared" si="1495"/>
        <v>0</v>
      </c>
      <c r="AI698" s="186">
        <f t="shared" si="1495"/>
        <v>0</v>
      </c>
      <c r="AJ698" s="186">
        <f t="shared" si="1495"/>
        <v>0</v>
      </c>
      <c r="AK698" s="186">
        <f t="shared" si="1495"/>
        <v>0</v>
      </c>
      <c r="AL698" s="186">
        <f t="shared" si="1495"/>
        <v>0</v>
      </c>
      <c r="AM698" s="186">
        <f t="shared" si="1495"/>
        <v>0</v>
      </c>
      <c r="AN698" s="186">
        <f t="shared" si="1495"/>
        <v>0</v>
      </c>
      <c r="AO698" s="186">
        <f t="shared" si="1495"/>
        <v>0</v>
      </c>
      <c r="AP698" s="186">
        <f t="shared" si="1495"/>
        <v>0</v>
      </c>
    </row>
    <row r="699" spans="1:42">
      <c r="A699" s="37">
        <f t="shared" si="1491"/>
        <v>7</v>
      </c>
      <c r="B699" s="255">
        <f t="shared" si="1488"/>
        <v>0</v>
      </c>
      <c r="C699" s="186">
        <f t="shared" ref="C699:AP699" si="1496">IF(AND(C$2&gt;MMFrequency2*$A686,C$2&lt;=MMFrequency2*$A687),$B687/(MMFrequency2),0)</f>
        <v>0</v>
      </c>
      <c r="D699" s="186">
        <f t="shared" si="1496"/>
        <v>0</v>
      </c>
      <c r="E699" s="186">
        <f t="shared" si="1496"/>
        <v>0</v>
      </c>
      <c r="F699" s="186">
        <f t="shared" si="1496"/>
        <v>0</v>
      </c>
      <c r="G699" s="186">
        <f t="shared" si="1496"/>
        <v>0</v>
      </c>
      <c r="H699" s="186">
        <f t="shared" si="1496"/>
        <v>0</v>
      </c>
      <c r="I699" s="186">
        <f t="shared" si="1496"/>
        <v>0</v>
      </c>
      <c r="J699" s="186">
        <f t="shared" si="1496"/>
        <v>0</v>
      </c>
      <c r="K699" s="186">
        <f t="shared" si="1496"/>
        <v>0</v>
      </c>
      <c r="L699" s="186">
        <f t="shared" si="1496"/>
        <v>0</v>
      </c>
      <c r="M699" s="186">
        <f t="shared" si="1496"/>
        <v>0</v>
      </c>
      <c r="N699" s="186">
        <f t="shared" si="1496"/>
        <v>0</v>
      </c>
      <c r="O699" s="186">
        <f t="shared" si="1496"/>
        <v>0</v>
      </c>
      <c r="P699" s="186">
        <f t="shared" si="1496"/>
        <v>0</v>
      </c>
      <c r="Q699" s="186">
        <f t="shared" si="1496"/>
        <v>0</v>
      </c>
      <c r="R699" s="186">
        <f t="shared" si="1496"/>
        <v>0</v>
      </c>
      <c r="S699" s="186">
        <f t="shared" si="1496"/>
        <v>0</v>
      </c>
      <c r="T699" s="186">
        <f t="shared" si="1496"/>
        <v>0</v>
      </c>
      <c r="U699" s="186">
        <f t="shared" si="1496"/>
        <v>0</v>
      </c>
      <c r="V699" s="186">
        <f t="shared" si="1496"/>
        <v>0</v>
      </c>
      <c r="W699" s="186">
        <f t="shared" si="1496"/>
        <v>0</v>
      </c>
      <c r="X699" s="186">
        <f t="shared" si="1496"/>
        <v>0</v>
      </c>
      <c r="Y699" s="186">
        <f t="shared" si="1496"/>
        <v>0</v>
      </c>
      <c r="Z699" s="186">
        <f t="shared" si="1496"/>
        <v>0</v>
      </c>
      <c r="AA699" s="186">
        <f t="shared" si="1496"/>
        <v>0</v>
      </c>
      <c r="AB699" s="186">
        <f t="shared" si="1496"/>
        <v>0</v>
      </c>
      <c r="AC699" s="186">
        <f t="shared" si="1496"/>
        <v>0</v>
      </c>
      <c r="AD699" s="186">
        <f t="shared" si="1496"/>
        <v>0</v>
      </c>
      <c r="AE699" s="186">
        <f t="shared" si="1496"/>
        <v>0</v>
      </c>
      <c r="AF699" s="186">
        <f t="shared" si="1496"/>
        <v>0</v>
      </c>
      <c r="AG699" s="186">
        <f t="shared" si="1496"/>
        <v>0</v>
      </c>
      <c r="AH699" s="186">
        <f t="shared" si="1496"/>
        <v>0</v>
      </c>
      <c r="AI699" s="186">
        <f t="shared" si="1496"/>
        <v>0</v>
      </c>
      <c r="AJ699" s="186">
        <f t="shared" si="1496"/>
        <v>0</v>
      </c>
      <c r="AK699" s="186">
        <f t="shared" si="1496"/>
        <v>0</v>
      </c>
      <c r="AL699" s="186">
        <f t="shared" si="1496"/>
        <v>0</v>
      </c>
      <c r="AM699" s="186">
        <f t="shared" si="1496"/>
        <v>0</v>
      </c>
      <c r="AN699" s="186">
        <f t="shared" si="1496"/>
        <v>0</v>
      </c>
      <c r="AO699" s="186">
        <f t="shared" si="1496"/>
        <v>0</v>
      </c>
      <c r="AP699" s="186">
        <f t="shared" si="1496"/>
        <v>0</v>
      </c>
    </row>
    <row r="700" spans="1:42">
      <c r="A700" s="37">
        <f t="shared" si="1491"/>
        <v>8</v>
      </c>
      <c r="B700" s="255">
        <f t="shared" si="1488"/>
        <v>0</v>
      </c>
      <c r="C700" s="186">
        <f t="shared" ref="C700:AP700" si="1497">IF(AND(C$2&gt;MMFrequency2*$A687,C$2&lt;=MMFrequency2*$A688),$B688/(MMFrequency2),0)</f>
        <v>0</v>
      </c>
      <c r="D700" s="186">
        <f t="shared" si="1497"/>
        <v>0</v>
      </c>
      <c r="E700" s="186">
        <f t="shared" si="1497"/>
        <v>0</v>
      </c>
      <c r="F700" s="186">
        <f t="shared" si="1497"/>
        <v>0</v>
      </c>
      <c r="G700" s="186">
        <f t="shared" si="1497"/>
        <v>0</v>
      </c>
      <c r="H700" s="186">
        <f t="shared" si="1497"/>
        <v>0</v>
      </c>
      <c r="I700" s="186">
        <f t="shared" si="1497"/>
        <v>0</v>
      </c>
      <c r="J700" s="186">
        <f t="shared" si="1497"/>
        <v>0</v>
      </c>
      <c r="K700" s="186">
        <f t="shared" si="1497"/>
        <v>0</v>
      </c>
      <c r="L700" s="186">
        <f t="shared" si="1497"/>
        <v>0</v>
      </c>
      <c r="M700" s="186">
        <f t="shared" si="1497"/>
        <v>0</v>
      </c>
      <c r="N700" s="186">
        <f t="shared" si="1497"/>
        <v>0</v>
      </c>
      <c r="O700" s="186">
        <f t="shared" si="1497"/>
        <v>0</v>
      </c>
      <c r="P700" s="186">
        <f t="shared" si="1497"/>
        <v>0</v>
      </c>
      <c r="Q700" s="186">
        <f t="shared" si="1497"/>
        <v>0</v>
      </c>
      <c r="R700" s="186">
        <f t="shared" si="1497"/>
        <v>0</v>
      </c>
      <c r="S700" s="186">
        <f t="shared" si="1497"/>
        <v>0</v>
      </c>
      <c r="T700" s="186">
        <f t="shared" si="1497"/>
        <v>0</v>
      </c>
      <c r="U700" s="186">
        <f t="shared" si="1497"/>
        <v>0</v>
      </c>
      <c r="V700" s="186">
        <f t="shared" si="1497"/>
        <v>0</v>
      </c>
      <c r="W700" s="186">
        <f t="shared" si="1497"/>
        <v>0</v>
      </c>
      <c r="X700" s="186">
        <f t="shared" si="1497"/>
        <v>0</v>
      </c>
      <c r="Y700" s="186">
        <f t="shared" si="1497"/>
        <v>0</v>
      </c>
      <c r="Z700" s="186">
        <f t="shared" si="1497"/>
        <v>0</v>
      </c>
      <c r="AA700" s="186">
        <f t="shared" si="1497"/>
        <v>0</v>
      </c>
      <c r="AB700" s="186">
        <f t="shared" si="1497"/>
        <v>0</v>
      </c>
      <c r="AC700" s="186">
        <f t="shared" si="1497"/>
        <v>0</v>
      </c>
      <c r="AD700" s="186">
        <f t="shared" si="1497"/>
        <v>0</v>
      </c>
      <c r="AE700" s="186">
        <f t="shared" si="1497"/>
        <v>0</v>
      </c>
      <c r="AF700" s="186">
        <f t="shared" si="1497"/>
        <v>0</v>
      </c>
      <c r="AG700" s="186">
        <f t="shared" si="1497"/>
        <v>0</v>
      </c>
      <c r="AH700" s="186">
        <f t="shared" si="1497"/>
        <v>0</v>
      </c>
      <c r="AI700" s="186">
        <f t="shared" si="1497"/>
        <v>0</v>
      </c>
      <c r="AJ700" s="186">
        <f t="shared" si="1497"/>
        <v>0</v>
      </c>
      <c r="AK700" s="186">
        <f t="shared" si="1497"/>
        <v>0</v>
      </c>
      <c r="AL700" s="186">
        <f t="shared" si="1497"/>
        <v>0</v>
      </c>
      <c r="AM700" s="186">
        <f t="shared" si="1497"/>
        <v>0</v>
      </c>
      <c r="AN700" s="186">
        <f t="shared" si="1497"/>
        <v>0</v>
      </c>
      <c r="AO700" s="186">
        <f t="shared" si="1497"/>
        <v>0</v>
      </c>
      <c r="AP700" s="186">
        <f t="shared" si="1497"/>
        <v>0</v>
      </c>
    </row>
    <row r="701" spans="1:42">
      <c r="A701" s="37">
        <f>A700+1</f>
        <v>9</v>
      </c>
      <c r="B701" s="255">
        <f t="shared" si="1488"/>
        <v>0</v>
      </c>
      <c r="C701" s="186">
        <f t="shared" ref="C701:AP701" si="1498">IF(AND(C$2&gt;MMFrequency2*$A688,C$2&lt;=MMFrequency2*$A689),$B689/(MMFrequency2),0)</f>
        <v>0</v>
      </c>
      <c r="D701" s="186">
        <f t="shared" si="1498"/>
        <v>0</v>
      </c>
      <c r="E701" s="186">
        <f t="shared" si="1498"/>
        <v>0</v>
      </c>
      <c r="F701" s="186">
        <f t="shared" si="1498"/>
        <v>0</v>
      </c>
      <c r="G701" s="186">
        <f t="shared" si="1498"/>
        <v>0</v>
      </c>
      <c r="H701" s="186">
        <f t="shared" si="1498"/>
        <v>0</v>
      </c>
      <c r="I701" s="186">
        <f t="shared" si="1498"/>
        <v>0</v>
      </c>
      <c r="J701" s="186">
        <f t="shared" si="1498"/>
        <v>0</v>
      </c>
      <c r="K701" s="186">
        <f t="shared" si="1498"/>
        <v>0</v>
      </c>
      <c r="L701" s="186">
        <f t="shared" si="1498"/>
        <v>0</v>
      </c>
      <c r="M701" s="186">
        <f t="shared" si="1498"/>
        <v>0</v>
      </c>
      <c r="N701" s="186">
        <f t="shared" si="1498"/>
        <v>0</v>
      </c>
      <c r="O701" s="186">
        <f t="shared" si="1498"/>
        <v>0</v>
      </c>
      <c r="P701" s="186">
        <f t="shared" si="1498"/>
        <v>0</v>
      </c>
      <c r="Q701" s="186">
        <f t="shared" si="1498"/>
        <v>0</v>
      </c>
      <c r="R701" s="186">
        <f t="shared" si="1498"/>
        <v>0</v>
      </c>
      <c r="S701" s="186">
        <f t="shared" si="1498"/>
        <v>0</v>
      </c>
      <c r="T701" s="186">
        <f t="shared" si="1498"/>
        <v>0</v>
      </c>
      <c r="U701" s="186">
        <f t="shared" si="1498"/>
        <v>0</v>
      </c>
      <c r="V701" s="186">
        <f t="shared" si="1498"/>
        <v>0</v>
      </c>
      <c r="W701" s="186">
        <f t="shared" si="1498"/>
        <v>0</v>
      </c>
      <c r="X701" s="186">
        <f t="shared" si="1498"/>
        <v>0</v>
      </c>
      <c r="Y701" s="186">
        <f t="shared" si="1498"/>
        <v>0</v>
      </c>
      <c r="Z701" s="186">
        <f t="shared" si="1498"/>
        <v>0</v>
      </c>
      <c r="AA701" s="186">
        <f t="shared" si="1498"/>
        <v>0</v>
      </c>
      <c r="AB701" s="186">
        <f t="shared" si="1498"/>
        <v>0</v>
      </c>
      <c r="AC701" s="186">
        <f t="shared" si="1498"/>
        <v>0</v>
      </c>
      <c r="AD701" s="186">
        <f t="shared" si="1498"/>
        <v>0</v>
      </c>
      <c r="AE701" s="186">
        <f t="shared" si="1498"/>
        <v>0</v>
      </c>
      <c r="AF701" s="186">
        <f t="shared" si="1498"/>
        <v>0</v>
      </c>
      <c r="AG701" s="186">
        <f t="shared" si="1498"/>
        <v>0</v>
      </c>
      <c r="AH701" s="186">
        <f t="shared" si="1498"/>
        <v>0</v>
      </c>
      <c r="AI701" s="186">
        <f t="shared" si="1498"/>
        <v>0</v>
      </c>
      <c r="AJ701" s="186">
        <f t="shared" si="1498"/>
        <v>0</v>
      </c>
      <c r="AK701" s="186">
        <f t="shared" si="1498"/>
        <v>0</v>
      </c>
      <c r="AL701" s="186">
        <f t="shared" si="1498"/>
        <v>0</v>
      </c>
      <c r="AM701" s="186">
        <f t="shared" si="1498"/>
        <v>0</v>
      </c>
      <c r="AN701" s="186">
        <f t="shared" si="1498"/>
        <v>0</v>
      </c>
      <c r="AO701" s="186">
        <f t="shared" si="1498"/>
        <v>0</v>
      </c>
      <c r="AP701" s="186">
        <f t="shared" si="1498"/>
        <v>0</v>
      </c>
    </row>
    <row r="702" spans="1:42">
      <c r="A702" s="37">
        <f t="shared" ref="A702" si="1499">A701+1</f>
        <v>10</v>
      </c>
      <c r="B702" s="255">
        <f t="shared" si="1488"/>
        <v>0</v>
      </c>
      <c r="C702" s="187">
        <f t="shared" ref="C702:AP702" si="1500">IF(AND(C$2&gt;MMFrequency2*$A689,C$2&lt;=MMFrequency2*$A690),$B690/(MMFrequency2),0)</f>
        <v>0</v>
      </c>
      <c r="D702" s="187">
        <f t="shared" si="1500"/>
        <v>0</v>
      </c>
      <c r="E702" s="187">
        <f t="shared" si="1500"/>
        <v>0</v>
      </c>
      <c r="F702" s="187">
        <f t="shared" si="1500"/>
        <v>0</v>
      </c>
      <c r="G702" s="187">
        <f t="shared" si="1500"/>
        <v>0</v>
      </c>
      <c r="H702" s="187">
        <f t="shared" si="1500"/>
        <v>0</v>
      </c>
      <c r="I702" s="187">
        <f t="shared" si="1500"/>
        <v>0</v>
      </c>
      <c r="J702" s="187">
        <f t="shared" si="1500"/>
        <v>0</v>
      </c>
      <c r="K702" s="187">
        <f t="shared" si="1500"/>
        <v>0</v>
      </c>
      <c r="L702" s="187">
        <f t="shared" si="1500"/>
        <v>0</v>
      </c>
      <c r="M702" s="187">
        <f t="shared" si="1500"/>
        <v>0</v>
      </c>
      <c r="N702" s="187">
        <f t="shared" si="1500"/>
        <v>0</v>
      </c>
      <c r="O702" s="187">
        <f t="shared" si="1500"/>
        <v>0</v>
      </c>
      <c r="P702" s="187">
        <f t="shared" si="1500"/>
        <v>0</v>
      </c>
      <c r="Q702" s="187">
        <f t="shared" si="1500"/>
        <v>0</v>
      </c>
      <c r="R702" s="187">
        <f t="shared" si="1500"/>
        <v>0</v>
      </c>
      <c r="S702" s="187">
        <f t="shared" si="1500"/>
        <v>0</v>
      </c>
      <c r="T702" s="187">
        <f t="shared" si="1500"/>
        <v>0</v>
      </c>
      <c r="U702" s="187">
        <f t="shared" si="1500"/>
        <v>0</v>
      </c>
      <c r="V702" s="187">
        <f t="shared" si="1500"/>
        <v>0</v>
      </c>
      <c r="W702" s="187">
        <f t="shared" si="1500"/>
        <v>0</v>
      </c>
      <c r="X702" s="187">
        <f t="shared" si="1500"/>
        <v>0</v>
      </c>
      <c r="Y702" s="187">
        <f t="shared" si="1500"/>
        <v>0</v>
      </c>
      <c r="Z702" s="187">
        <f t="shared" si="1500"/>
        <v>0</v>
      </c>
      <c r="AA702" s="187">
        <f t="shared" si="1500"/>
        <v>0</v>
      </c>
      <c r="AB702" s="187">
        <f t="shared" si="1500"/>
        <v>0</v>
      </c>
      <c r="AC702" s="187">
        <f t="shared" si="1500"/>
        <v>0</v>
      </c>
      <c r="AD702" s="187">
        <f t="shared" si="1500"/>
        <v>0</v>
      </c>
      <c r="AE702" s="187">
        <f t="shared" si="1500"/>
        <v>0</v>
      </c>
      <c r="AF702" s="187">
        <f t="shared" si="1500"/>
        <v>0</v>
      </c>
      <c r="AG702" s="187">
        <f t="shared" si="1500"/>
        <v>0</v>
      </c>
      <c r="AH702" s="187">
        <f t="shared" si="1500"/>
        <v>0</v>
      </c>
      <c r="AI702" s="187">
        <f t="shared" si="1500"/>
        <v>0</v>
      </c>
      <c r="AJ702" s="187">
        <f t="shared" si="1500"/>
        <v>0</v>
      </c>
      <c r="AK702" s="187">
        <f t="shared" si="1500"/>
        <v>0</v>
      </c>
      <c r="AL702" s="187">
        <f t="shared" si="1500"/>
        <v>0</v>
      </c>
      <c r="AM702" s="187">
        <f t="shared" si="1500"/>
        <v>0</v>
      </c>
      <c r="AN702" s="187">
        <f t="shared" si="1500"/>
        <v>0</v>
      </c>
      <c r="AO702" s="187">
        <f t="shared" si="1500"/>
        <v>0</v>
      </c>
      <c r="AP702" s="187">
        <f t="shared" si="1500"/>
        <v>0</v>
      </c>
    </row>
    <row r="703" spans="1:42">
      <c r="A703" s="219" t="s">
        <v>53</v>
      </c>
      <c r="B703" s="186"/>
      <c r="C703" s="152">
        <f>SUM(C693:C702)</f>
        <v>410585.24356465257</v>
      </c>
      <c r="D703" s="152">
        <f t="shared" ref="D703:AP703" si="1501">SUM(D693:D702)</f>
        <v>410585.24356465257</v>
      </c>
      <c r="E703" s="152">
        <f t="shared" si="1501"/>
        <v>410585.24356465257</v>
      </c>
      <c r="F703" s="152">
        <f t="shared" si="1501"/>
        <v>410585.24356465257</v>
      </c>
      <c r="G703" s="152">
        <f t="shared" si="1501"/>
        <v>410585.24356465257</v>
      </c>
      <c r="H703" s="152">
        <f t="shared" si="1501"/>
        <v>410585.24356465257</v>
      </c>
      <c r="I703" s="152">
        <f t="shared" si="1501"/>
        <v>410585.24356465257</v>
      </c>
      <c r="J703" s="152">
        <f t="shared" si="1501"/>
        <v>410585.24356465257</v>
      </c>
      <c r="K703" s="152">
        <f t="shared" si="1501"/>
        <v>410585.24356465257</v>
      </c>
      <c r="L703" s="152">
        <f t="shared" si="1501"/>
        <v>410585.24356465257</v>
      </c>
      <c r="M703" s="152">
        <f t="shared" si="1501"/>
        <v>410585.24356465257</v>
      </c>
      <c r="N703" s="152">
        <f t="shared" si="1501"/>
        <v>410585.24356465257</v>
      </c>
      <c r="O703" s="152">
        <f t="shared" si="1501"/>
        <v>410585.24356465257</v>
      </c>
      <c r="P703" s="152">
        <f t="shared" si="1501"/>
        <v>410585.24356465257</v>
      </c>
      <c r="Q703" s="152">
        <f t="shared" si="1501"/>
        <v>410585.24356465257</v>
      </c>
      <c r="R703" s="152">
        <f t="shared" si="1501"/>
        <v>513326.83759962226</v>
      </c>
      <c r="S703" s="152">
        <f t="shared" si="1501"/>
        <v>513326.83759962226</v>
      </c>
      <c r="T703" s="152">
        <f t="shared" si="1501"/>
        <v>513326.83759962226</v>
      </c>
      <c r="U703" s="152">
        <f t="shared" si="1501"/>
        <v>513326.83759962226</v>
      </c>
      <c r="V703" s="152">
        <f t="shared" si="1501"/>
        <v>513326.83759962226</v>
      </c>
      <c r="W703" s="152">
        <f t="shared" si="1501"/>
        <v>513326.83759962226</v>
      </c>
      <c r="X703" s="152">
        <f t="shared" si="1501"/>
        <v>513326.83759962226</v>
      </c>
      <c r="Y703" s="152">
        <f t="shared" si="1501"/>
        <v>513326.83759962226</v>
      </c>
      <c r="Z703" s="152">
        <f t="shared" si="1501"/>
        <v>513326.83759962226</v>
      </c>
      <c r="AA703" s="152">
        <f t="shared" si="1501"/>
        <v>513326.83759962226</v>
      </c>
      <c r="AB703" s="152">
        <f t="shared" si="1501"/>
        <v>513326.83759962226</v>
      </c>
      <c r="AC703" s="152">
        <f t="shared" si="1501"/>
        <v>513326.83759962226</v>
      </c>
      <c r="AD703" s="152">
        <f t="shared" si="1501"/>
        <v>513326.83759962226</v>
      </c>
      <c r="AE703" s="152">
        <f t="shared" si="1501"/>
        <v>513326.83759962226</v>
      </c>
      <c r="AF703" s="152">
        <f t="shared" si="1501"/>
        <v>513326.83759962226</v>
      </c>
      <c r="AG703" s="152">
        <f t="shared" si="1501"/>
        <v>0</v>
      </c>
      <c r="AH703" s="152">
        <f t="shared" si="1501"/>
        <v>0</v>
      </c>
      <c r="AI703" s="152">
        <f t="shared" si="1501"/>
        <v>0</v>
      </c>
      <c r="AJ703" s="152">
        <f t="shared" si="1501"/>
        <v>0</v>
      </c>
      <c r="AK703" s="152">
        <f t="shared" si="1501"/>
        <v>0</v>
      </c>
      <c r="AL703" s="152">
        <f t="shared" si="1501"/>
        <v>0</v>
      </c>
      <c r="AM703" s="152">
        <f t="shared" si="1501"/>
        <v>0</v>
      </c>
      <c r="AN703" s="152">
        <f t="shared" si="1501"/>
        <v>0</v>
      </c>
      <c r="AO703" s="152">
        <f t="shared" si="1501"/>
        <v>0</v>
      </c>
      <c r="AP703" s="152">
        <f t="shared" si="1501"/>
        <v>0</v>
      </c>
    </row>
    <row r="704" spans="1:42">
      <c r="B704" s="186"/>
      <c r="C704" s="152"/>
      <c r="D704" s="152"/>
      <c r="E704" s="152"/>
      <c r="F704" s="152"/>
      <c r="G704" s="152"/>
      <c r="H704" s="152"/>
      <c r="I704" s="152"/>
      <c r="J704" s="152"/>
      <c r="K704" s="152"/>
      <c r="L704" s="152"/>
      <c r="M704" s="152"/>
      <c r="N704" s="152"/>
      <c r="O704" s="152"/>
      <c r="P704" s="152"/>
      <c r="Q704" s="152"/>
      <c r="R704" s="152"/>
      <c r="S704" s="152"/>
      <c r="T704" s="152"/>
      <c r="U704" s="152"/>
      <c r="V704" s="152"/>
      <c r="W704" s="152"/>
      <c r="X704" s="152"/>
      <c r="Y704" s="152"/>
      <c r="Z704" s="152"/>
      <c r="AA704" s="152"/>
      <c r="AB704" s="152"/>
      <c r="AC704" s="152"/>
      <c r="AD704" s="152"/>
      <c r="AE704" s="152"/>
      <c r="AF704" s="152"/>
      <c r="AG704" s="152"/>
      <c r="AH704" s="152"/>
      <c r="AI704" s="152"/>
      <c r="AJ704" s="152"/>
      <c r="AK704" s="152"/>
      <c r="AL704" s="152"/>
      <c r="AM704" s="152"/>
      <c r="AN704" s="152"/>
      <c r="AO704" s="152"/>
      <c r="AP704" s="152"/>
    </row>
    <row r="705" spans="1:42">
      <c r="A705" s="182" t="s">
        <v>364</v>
      </c>
      <c r="C705" s="152"/>
      <c r="D705" s="152"/>
      <c r="E705" s="152"/>
      <c r="F705" s="152"/>
      <c r="G705" s="152"/>
      <c r="H705" s="152"/>
      <c r="I705" s="152"/>
      <c r="J705" s="152"/>
      <c r="K705" s="152"/>
      <c r="L705" s="152"/>
      <c r="M705" s="152"/>
      <c r="N705" s="152"/>
      <c r="O705" s="152"/>
      <c r="P705" s="152"/>
      <c r="Q705" s="152"/>
      <c r="R705" s="152"/>
      <c r="S705" s="152"/>
      <c r="T705" s="152"/>
      <c r="U705" s="152"/>
      <c r="V705" s="152"/>
      <c r="W705" s="152"/>
      <c r="X705" s="152"/>
      <c r="Y705" s="152"/>
      <c r="Z705" s="152"/>
      <c r="AA705" s="152"/>
      <c r="AB705" s="152"/>
      <c r="AC705" s="152"/>
      <c r="AD705" s="152"/>
      <c r="AE705" s="152"/>
      <c r="AF705" s="152"/>
      <c r="AG705" s="152"/>
      <c r="AH705" s="152"/>
      <c r="AI705" s="152"/>
      <c r="AJ705" s="152"/>
      <c r="AK705" s="152"/>
      <c r="AL705" s="152"/>
      <c r="AM705" s="152"/>
      <c r="AN705" s="152"/>
      <c r="AO705" s="152"/>
      <c r="AP705" s="152"/>
    </row>
    <row r="706" spans="1:42">
      <c r="A706" s="37" t="s">
        <v>99</v>
      </c>
      <c r="B706" s="152">
        <v>0</v>
      </c>
      <c r="C706" s="152">
        <f>B709</f>
        <v>0</v>
      </c>
      <c r="D706" s="152">
        <f t="shared" ref="D706" si="1502">C709</f>
        <v>34340.833333333321</v>
      </c>
      <c r="E706" s="152">
        <f t="shared" ref="E706" si="1503">D709</f>
        <v>68681.666666666642</v>
      </c>
      <c r="F706" s="152">
        <f t="shared" ref="F706" si="1504">E709</f>
        <v>0</v>
      </c>
      <c r="G706" s="152">
        <f t="shared" ref="G706" si="1505">F709</f>
        <v>35909.466796145811</v>
      </c>
      <c r="H706" s="152">
        <f t="shared" ref="H706" si="1506">G709</f>
        <v>71818.933592291622</v>
      </c>
      <c r="I706" s="152">
        <f t="shared" ref="I706" si="1507">H709</f>
        <v>0</v>
      </c>
      <c r="J706" s="152">
        <f t="shared" ref="J706" si="1508">I709</f>
        <v>37549.752886510192</v>
      </c>
      <c r="K706" s="152">
        <f t="shared" ref="K706" si="1509">J709</f>
        <v>75099.505773020384</v>
      </c>
      <c r="L706" s="152">
        <f t="shared" ref="L706" si="1510">K709</f>
        <v>0</v>
      </c>
      <c r="M706" s="152">
        <f t="shared" ref="M706" si="1511">L709</f>
        <v>39264.96458001752</v>
      </c>
      <c r="N706" s="152">
        <f t="shared" ref="N706" si="1512">M709</f>
        <v>78529.929160035041</v>
      </c>
      <c r="O706" s="152">
        <f t="shared" ref="O706" si="1513">N709</f>
        <v>0</v>
      </c>
      <c r="P706" s="152">
        <f t="shared" ref="P706" si="1514">O709</f>
        <v>41058.524356465256</v>
      </c>
      <c r="Q706" s="152">
        <f t="shared" ref="Q706" si="1515">P709</f>
        <v>82117.048712930511</v>
      </c>
      <c r="R706" s="152">
        <f t="shared" ref="R706" si="1516">Q709</f>
        <v>0</v>
      </c>
      <c r="S706" s="152">
        <f t="shared" ref="S706" si="1517">R709</f>
        <v>42934.011028966495</v>
      </c>
      <c r="T706" s="152">
        <f t="shared" ref="T706" si="1518">S709</f>
        <v>85868.022057932991</v>
      </c>
      <c r="U706" s="152">
        <f t="shared" ref="U706" si="1519">T709</f>
        <v>0</v>
      </c>
      <c r="V706" s="152">
        <f t="shared" ref="V706" si="1520">U709</f>
        <v>44895.166885001738</v>
      </c>
      <c r="W706" s="152">
        <f t="shared" ref="W706" si="1521">V709</f>
        <v>89790.333770003475</v>
      </c>
      <c r="X706" s="152">
        <f t="shared" ref="X706" si="1522">W709</f>
        <v>0</v>
      </c>
      <c r="Y706" s="152">
        <f t="shared" ref="Y706" si="1523">X709</f>
        <v>46945.90515366241</v>
      </c>
      <c r="Z706" s="152">
        <f t="shared" ref="Z706" si="1524">Y709</f>
        <v>93891.81030732482</v>
      </c>
      <c r="AA706" s="152">
        <f t="shared" ref="AA706" si="1525">Z709</f>
        <v>0</v>
      </c>
      <c r="AB706" s="152">
        <f t="shared" ref="AB706" si="1526">AA709</f>
        <v>49090.317813985828</v>
      </c>
      <c r="AC706" s="152">
        <f t="shared" ref="AC706" si="1527">AB709</f>
        <v>98180.635627971657</v>
      </c>
      <c r="AD706" s="152">
        <f t="shared" ref="AD706" si="1528">AC709</f>
        <v>0</v>
      </c>
      <c r="AE706" s="152">
        <f t="shared" ref="AE706" si="1529">AD709</f>
        <v>51332.68375996223</v>
      </c>
      <c r="AF706" s="152">
        <f t="shared" ref="AF706" si="1530">AE709</f>
        <v>102665.36751992446</v>
      </c>
      <c r="AG706" s="152">
        <f t="shared" ref="AG706" si="1531">AF709</f>
        <v>0</v>
      </c>
      <c r="AH706" s="152">
        <f t="shared" ref="AH706" si="1532">AG709</f>
        <v>0</v>
      </c>
      <c r="AI706" s="152">
        <f t="shared" ref="AI706" si="1533">AH709</f>
        <v>0</v>
      </c>
      <c r="AJ706" s="152">
        <f t="shared" ref="AJ706" si="1534">AI709</f>
        <v>0</v>
      </c>
      <c r="AK706" s="152">
        <f t="shared" ref="AK706" si="1535">AJ709</f>
        <v>0</v>
      </c>
      <c r="AL706" s="152">
        <f t="shared" ref="AL706" si="1536">AK709</f>
        <v>0</v>
      </c>
      <c r="AM706" s="152">
        <f t="shared" ref="AM706" si="1537">AL709</f>
        <v>0</v>
      </c>
      <c r="AN706" s="152">
        <f t="shared" ref="AN706" si="1538">AM709</f>
        <v>0</v>
      </c>
      <c r="AO706" s="152">
        <f t="shared" ref="AO706" si="1539">AN709</f>
        <v>0</v>
      </c>
      <c r="AP706" s="152">
        <f t="shared" ref="AP706" si="1540">AO709</f>
        <v>0</v>
      </c>
    </row>
    <row r="707" spans="1:42">
      <c r="A707" s="37" t="s">
        <v>198</v>
      </c>
      <c r="B707" s="152">
        <v>0</v>
      </c>
      <c r="C707" s="152">
        <f>C735</f>
        <v>34340.833333333321</v>
      </c>
      <c r="D707" s="152">
        <f t="shared" ref="D707:AP707" si="1541">D735</f>
        <v>34340.833333333321</v>
      </c>
      <c r="E707" s="152">
        <f t="shared" si="1541"/>
        <v>34340.833333333321</v>
      </c>
      <c r="F707" s="152">
        <f t="shared" si="1541"/>
        <v>35909.466796145811</v>
      </c>
      <c r="G707" s="152">
        <f t="shared" si="1541"/>
        <v>35909.466796145811</v>
      </c>
      <c r="H707" s="152">
        <f t="shared" si="1541"/>
        <v>35909.466796145811</v>
      </c>
      <c r="I707" s="152">
        <f t="shared" si="1541"/>
        <v>37549.752886510192</v>
      </c>
      <c r="J707" s="152">
        <f t="shared" si="1541"/>
        <v>37549.752886510192</v>
      </c>
      <c r="K707" s="152">
        <f t="shared" si="1541"/>
        <v>37549.752886510192</v>
      </c>
      <c r="L707" s="152">
        <f t="shared" si="1541"/>
        <v>39264.96458001752</v>
      </c>
      <c r="M707" s="152">
        <f t="shared" si="1541"/>
        <v>39264.96458001752</v>
      </c>
      <c r="N707" s="152">
        <f t="shared" si="1541"/>
        <v>39264.96458001752</v>
      </c>
      <c r="O707" s="152">
        <f t="shared" si="1541"/>
        <v>41058.524356465256</v>
      </c>
      <c r="P707" s="152">
        <f t="shared" si="1541"/>
        <v>41058.524356465256</v>
      </c>
      <c r="Q707" s="152">
        <f t="shared" si="1541"/>
        <v>41058.524356465256</v>
      </c>
      <c r="R707" s="152">
        <f t="shared" si="1541"/>
        <v>42934.011028966495</v>
      </c>
      <c r="S707" s="152">
        <f t="shared" si="1541"/>
        <v>42934.011028966495</v>
      </c>
      <c r="T707" s="152">
        <f t="shared" si="1541"/>
        <v>42934.011028966495</v>
      </c>
      <c r="U707" s="152">
        <f t="shared" si="1541"/>
        <v>44895.166885001738</v>
      </c>
      <c r="V707" s="152">
        <f t="shared" si="1541"/>
        <v>44895.166885001738</v>
      </c>
      <c r="W707" s="152">
        <f t="shared" si="1541"/>
        <v>44895.166885001738</v>
      </c>
      <c r="X707" s="152">
        <f t="shared" si="1541"/>
        <v>46945.90515366241</v>
      </c>
      <c r="Y707" s="152">
        <f t="shared" si="1541"/>
        <v>46945.90515366241</v>
      </c>
      <c r="Z707" s="152">
        <f t="shared" si="1541"/>
        <v>46945.90515366241</v>
      </c>
      <c r="AA707" s="152">
        <f t="shared" si="1541"/>
        <v>49090.317813985828</v>
      </c>
      <c r="AB707" s="152">
        <f t="shared" si="1541"/>
        <v>49090.317813985828</v>
      </c>
      <c r="AC707" s="152">
        <f t="shared" si="1541"/>
        <v>49090.317813985828</v>
      </c>
      <c r="AD707" s="152">
        <f t="shared" si="1541"/>
        <v>51332.68375996223</v>
      </c>
      <c r="AE707" s="152">
        <f t="shared" si="1541"/>
        <v>51332.68375996223</v>
      </c>
      <c r="AF707" s="152">
        <f t="shared" si="1541"/>
        <v>51332.68375996223</v>
      </c>
      <c r="AG707" s="152">
        <f t="shared" si="1541"/>
        <v>0</v>
      </c>
      <c r="AH707" s="152">
        <f t="shared" si="1541"/>
        <v>0</v>
      </c>
      <c r="AI707" s="152">
        <f t="shared" si="1541"/>
        <v>0</v>
      </c>
      <c r="AJ707" s="152">
        <f t="shared" si="1541"/>
        <v>0</v>
      </c>
      <c r="AK707" s="152">
        <f t="shared" si="1541"/>
        <v>0</v>
      </c>
      <c r="AL707" s="152">
        <f t="shared" si="1541"/>
        <v>0</v>
      </c>
      <c r="AM707" s="152">
        <f t="shared" si="1541"/>
        <v>0</v>
      </c>
      <c r="AN707" s="152">
        <f t="shared" si="1541"/>
        <v>0</v>
      </c>
      <c r="AO707" s="152">
        <f t="shared" si="1541"/>
        <v>0</v>
      </c>
      <c r="AP707" s="152">
        <f t="shared" si="1541"/>
        <v>0</v>
      </c>
    </row>
    <row r="708" spans="1:42">
      <c r="A708" s="37" t="s">
        <v>106</v>
      </c>
      <c r="B708" s="187">
        <v>0</v>
      </c>
      <c r="C708" s="187">
        <f>-C723</f>
        <v>0</v>
      </c>
      <c r="D708" s="187">
        <f t="shared" ref="D708:AP708" si="1542">-D723</f>
        <v>0</v>
      </c>
      <c r="E708" s="187">
        <f t="shared" si="1542"/>
        <v>-103022.49999999997</v>
      </c>
      <c r="F708" s="187">
        <f t="shared" si="1542"/>
        <v>0</v>
      </c>
      <c r="G708" s="187">
        <f t="shared" si="1542"/>
        <v>0</v>
      </c>
      <c r="H708" s="187">
        <f t="shared" si="1542"/>
        <v>-107728.40038843743</v>
      </c>
      <c r="I708" s="187">
        <f t="shared" si="1542"/>
        <v>0</v>
      </c>
      <c r="J708" s="187">
        <f t="shared" si="1542"/>
        <v>0</v>
      </c>
      <c r="K708" s="187">
        <f t="shared" si="1542"/>
        <v>-112649.25865953058</v>
      </c>
      <c r="L708" s="187">
        <f t="shared" si="1542"/>
        <v>0</v>
      </c>
      <c r="M708" s="187">
        <f t="shared" si="1542"/>
        <v>0</v>
      </c>
      <c r="N708" s="187">
        <f t="shared" si="1542"/>
        <v>-117794.89374005256</v>
      </c>
      <c r="O708" s="187">
        <f t="shared" si="1542"/>
        <v>0</v>
      </c>
      <c r="P708" s="187">
        <f t="shared" si="1542"/>
        <v>0</v>
      </c>
      <c r="Q708" s="187">
        <f t="shared" si="1542"/>
        <v>-123175.57306939577</v>
      </c>
      <c r="R708" s="187">
        <f t="shared" si="1542"/>
        <v>0</v>
      </c>
      <c r="S708" s="187">
        <f t="shared" si="1542"/>
        <v>0</v>
      </c>
      <c r="T708" s="187">
        <f t="shared" si="1542"/>
        <v>-128802.03308689948</v>
      </c>
      <c r="U708" s="187">
        <f t="shared" si="1542"/>
        <v>0</v>
      </c>
      <c r="V708" s="187">
        <f t="shared" si="1542"/>
        <v>0</v>
      </c>
      <c r="W708" s="187">
        <f t="shared" si="1542"/>
        <v>-134685.50065500522</v>
      </c>
      <c r="X708" s="187">
        <f t="shared" si="1542"/>
        <v>0</v>
      </c>
      <c r="Y708" s="187">
        <f t="shared" si="1542"/>
        <v>0</v>
      </c>
      <c r="Z708" s="187">
        <f t="shared" si="1542"/>
        <v>-140837.71546098724</v>
      </c>
      <c r="AA708" s="187">
        <f t="shared" si="1542"/>
        <v>0</v>
      </c>
      <c r="AB708" s="187">
        <f t="shared" si="1542"/>
        <v>0</v>
      </c>
      <c r="AC708" s="187">
        <f t="shared" si="1542"/>
        <v>-147270.95344195748</v>
      </c>
      <c r="AD708" s="187">
        <f t="shared" si="1542"/>
        <v>0</v>
      </c>
      <c r="AE708" s="187">
        <f t="shared" si="1542"/>
        <v>0</v>
      </c>
      <c r="AF708" s="187">
        <f t="shared" si="1542"/>
        <v>-153998.05127988668</v>
      </c>
      <c r="AG708" s="187">
        <f t="shared" si="1542"/>
        <v>0</v>
      </c>
      <c r="AH708" s="187">
        <f t="shared" si="1542"/>
        <v>0</v>
      </c>
      <c r="AI708" s="187">
        <f t="shared" si="1542"/>
        <v>0</v>
      </c>
      <c r="AJ708" s="187">
        <f t="shared" si="1542"/>
        <v>0</v>
      </c>
      <c r="AK708" s="187">
        <f t="shared" si="1542"/>
        <v>0</v>
      </c>
      <c r="AL708" s="187">
        <f t="shared" si="1542"/>
        <v>0</v>
      </c>
      <c r="AM708" s="187">
        <f t="shared" si="1542"/>
        <v>0</v>
      </c>
      <c r="AN708" s="187">
        <f t="shared" si="1542"/>
        <v>0</v>
      </c>
      <c r="AO708" s="187">
        <f t="shared" si="1542"/>
        <v>0</v>
      </c>
      <c r="AP708" s="187">
        <f t="shared" si="1542"/>
        <v>0</v>
      </c>
    </row>
    <row r="709" spans="1:42">
      <c r="A709" s="37" t="s">
        <v>102</v>
      </c>
      <c r="B709" s="152">
        <f>SUM(B706:B708)</f>
        <v>0</v>
      </c>
      <c r="C709" s="152">
        <f>SUM(C706:C708)</f>
        <v>34340.833333333321</v>
      </c>
      <c r="D709" s="152">
        <f t="shared" ref="D709:AP709" si="1543">SUM(D706:D708)</f>
        <v>68681.666666666642</v>
      </c>
      <c r="E709" s="152">
        <f t="shared" si="1543"/>
        <v>0</v>
      </c>
      <c r="F709" s="152">
        <f t="shared" si="1543"/>
        <v>35909.466796145811</v>
      </c>
      <c r="G709" s="152">
        <f t="shared" si="1543"/>
        <v>71818.933592291622</v>
      </c>
      <c r="H709" s="152">
        <f t="shared" si="1543"/>
        <v>0</v>
      </c>
      <c r="I709" s="152">
        <f t="shared" si="1543"/>
        <v>37549.752886510192</v>
      </c>
      <c r="J709" s="152">
        <f t="shared" si="1543"/>
        <v>75099.505773020384</v>
      </c>
      <c r="K709" s="152">
        <f t="shared" si="1543"/>
        <v>0</v>
      </c>
      <c r="L709" s="152">
        <f t="shared" si="1543"/>
        <v>39264.96458001752</v>
      </c>
      <c r="M709" s="152">
        <f t="shared" si="1543"/>
        <v>78529.929160035041</v>
      </c>
      <c r="N709" s="152">
        <f t="shared" si="1543"/>
        <v>0</v>
      </c>
      <c r="O709" s="152">
        <f t="shared" si="1543"/>
        <v>41058.524356465256</v>
      </c>
      <c r="P709" s="152">
        <f t="shared" si="1543"/>
        <v>82117.048712930511</v>
      </c>
      <c r="Q709" s="152">
        <f t="shared" si="1543"/>
        <v>0</v>
      </c>
      <c r="R709" s="152">
        <f t="shared" si="1543"/>
        <v>42934.011028966495</v>
      </c>
      <c r="S709" s="152">
        <f t="shared" si="1543"/>
        <v>85868.022057932991</v>
      </c>
      <c r="T709" s="152">
        <f t="shared" si="1543"/>
        <v>0</v>
      </c>
      <c r="U709" s="152">
        <f t="shared" si="1543"/>
        <v>44895.166885001738</v>
      </c>
      <c r="V709" s="152">
        <f t="shared" si="1543"/>
        <v>89790.333770003475</v>
      </c>
      <c r="W709" s="152">
        <f t="shared" si="1543"/>
        <v>0</v>
      </c>
      <c r="X709" s="152">
        <f t="shared" si="1543"/>
        <v>46945.90515366241</v>
      </c>
      <c r="Y709" s="152">
        <f t="shared" si="1543"/>
        <v>93891.81030732482</v>
      </c>
      <c r="Z709" s="152">
        <f t="shared" si="1543"/>
        <v>0</v>
      </c>
      <c r="AA709" s="152">
        <f t="shared" si="1543"/>
        <v>49090.317813985828</v>
      </c>
      <c r="AB709" s="152">
        <f t="shared" si="1543"/>
        <v>98180.635627971657</v>
      </c>
      <c r="AC709" s="152">
        <f t="shared" si="1543"/>
        <v>0</v>
      </c>
      <c r="AD709" s="152">
        <f t="shared" si="1543"/>
        <v>51332.68375996223</v>
      </c>
      <c r="AE709" s="152">
        <f t="shared" si="1543"/>
        <v>102665.36751992446</v>
      </c>
      <c r="AF709" s="152">
        <f t="shared" si="1543"/>
        <v>0</v>
      </c>
      <c r="AG709" s="152">
        <f t="shared" si="1543"/>
        <v>0</v>
      </c>
      <c r="AH709" s="152">
        <f t="shared" si="1543"/>
        <v>0</v>
      </c>
      <c r="AI709" s="152">
        <f t="shared" si="1543"/>
        <v>0</v>
      </c>
      <c r="AJ709" s="152">
        <f t="shared" si="1543"/>
        <v>0</v>
      </c>
      <c r="AK709" s="152">
        <f t="shared" si="1543"/>
        <v>0</v>
      </c>
      <c r="AL709" s="152">
        <f t="shared" si="1543"/>
        <v>0</v>
      </c>
      <c r="AM709" s="152">
        <f t="shared" si="1543"/>
        <v>0</v>
      </c>
      <c r="AN709" s="152">
        <f t="shared" si="1543"/>
        <v>0</v>
      </c>
      <c r="AO709" s="152">
        <f t="shared" si="1543"/>
        <v>0</v>
      </c>
      <c r="AP709" s="152">
        <f t="shared" si="1543"/>
        <v>0</v>
      </c>
    </row>
    <row r="710" spans="1:42">
      <c r="B710" s="152"/>
      <c r="C710" s="152"/>
      <c r="D710" s="152"/>
      <c r="E710" s="152"/>
      <c r="F710" s="152"/>
      <c r="G710" s="186"/>
      <c r="H710" s="186"/>
      <c r="I710" s="186"/>
      <c r="J710" s="186"/>
      <c r="K710" s="186"/>
      <c r="L710" s="186"/>
      <c r="M710" s="186"/>
      <c r="N710" s="186"/>
      <c r="O710" s="186"/>
      <c r="P710" s="186"/>
      <c r="Q710" s="186"/>
      <c r="R710" s="186"/>
      <c r="S710" s="186"/>
      <c r="T710" s="186"/>
      <c r="U710" s="186"/>
      <c r="V710" s="186"/>
      <c r="W710" s="186"/>
      <c r="X710" s="186"/>
      <c r="Y710" s="186"/>
      <c r="Z710" s="186"/>
      <c r="AA710" s="186"/>
      <c r="AB710" s="186"/>
      <c r="AC710" s="186"/>
      <c r="AD710" s="186"/>
      <c r="AE710" s="186"/>
      <c r="AF710" s="186"/>
      <c r="AG710" s="186"/>
      <c r="AH710" s="186"/>
      <c r="AI710" s="186"/>
      <c r="AJ710" s="186"/>
      <c r="AK710" s="186"/>
      <c r="AL710" s="186"/>
      <c r="AM710" s="186"/>
      <c r="AN710" s="186"/>
      <c r="AO710" s="186"/>
      <c r="AP710" s="186"/>
    </row>
    <row r="711" spans="1:42">
      <c r="A711" s="37" t="s">
        <v>196</v>
      </c>
      <c r="B711" s="152"/>
      <c r="C711" s="152"/>
      <c r="D711" s="152"/>
      <c r="E711" s="152"/>
      <c r="F711" s="152"/>
      <c r="G711" s="186"/>
      <c r="H711" s="186"/>
      <c r="I711" s="186"/>
      <c r="J711" s="186"/>
      <c r="K711" s="186"/>
      <c r="L711" s="186"/>
      <c r="M711" s="186"/>
      <c r="N711" s="186"/>
      <c r="O711" s="186"/>
      <c r="P711" s="186"/>
      <c r="Q711" s="186"/>
      <c r="R711" s="186"/>
      <c r="S711" s="186"/>
      <c r="T711" s="186"/>
      <c r="U711" s="186"/>
      <c r="V711" s="186"/>
      <c r="W711" s="186"/>
      <c r="X711" s="186"/>
      <c r="Y711" s="186"/>
      <c r="Z711" s="186"/>
      <c r="AA711" s="186"/>
      <c r="AB711" s="186"/>
      <c r="AC711" s="186"/>
      <c r="AD711" s="186"/>
      <c r="AE711" s="186"/>
      <c r="AF711" s="186"/>
      <c r="AG711" s="186"/>
      <c r="AH711" s="186"/>
      <c r="AI711" s="186"/>
      <c r="AJ711" s="186"/>
      <c r="AK711" s="186"/>
      <c r="AL711" s="186"/>
      <c r="AM711" s="186"/>
      <c r="AN711" s="186"/>
      <c r="AO711" s="186"/>
      <c r="AP711" s="186"/>
    </row>
    <row r="712" spans="1:42">
      <c r="A712" s="37" t="s">
        <v>197</v>
      </c>
      <c r="B712" s="152"/>
      <c r="C712" s="152"/>
      <c r="D712" s="152"/>
      <c r="E712" s="152"/>
      <c r="F712" s="152"/>
      <c r="G712" s="186"/>
      <c r="H712" s="186"/>
      <c r="I712" s="186"/>
      <c r="J712" s="186"/>
      <c r="K712" s="186"/>
      <c r="L712" s="186"/>
      <c r="M712" s="186"/>
      <c r="N712" s="186"/>
      <c r="O712" s="186"/>
      <c r="P712" s="186"/>
      <c r="Q712" s="186"/>
      <c r="R712" s="186"/>
      <c r="S712" s="186"/>
      <c r="T712" s="186"/>
      <c r="U712" s="186"/>
      <c r="V712" s="186"/>
      <c r="W712" s="186"/>
      <c r="X712" s="186"/>
      <c r="Y712" s="186"/>
      <c r="Z712" s="186"/>
      <c r="AA712" s="186"/>
      <c r="AB712" s="186"/>
      <c r="AC712" s="186"/>
      <c r="AD712" s="186"/>
      <c r="AE712" s="186"/>
      <c r="AF712" s="186"/>
      <c r="AG712" s="186"/>
      <c r="AH712" s="186"/>
      <c r="AI712" s="186"/>
      <c r="AJ712" s="186"/>
      <c r="AK712" s="186"/>
      <c r="AL712" s="186"/>
      <c r="AM712" s="186"/>
      <c r="AN712" s="186"/>
      <c r="AO712" s="186"/>
      <c r="AP712" s="186"/>
    </row>
    <row r="713" spans="1:42">
      <c r="A713" s="37">
        <v>1</v>
      </c>
      <c r="B713" s="255">
        <f t="shared" ref="B713:B722" si="1544">SUM(C713:AP713)</f>
        <v>103022.49999999997</v>
      </c>
      <c r="C713" s="186">
        <f t="shared" ref="C713:AP713" si="1545">IF(C$2&gt;AnalysisPeriod,0,IF(C$2=MMFrequency3*$A713,MMCost3*CapacityDC*1000*(1+Inflation)^B$2,0))</f>
        <v>0</v>
      </c>
      <c r="D713" s="186">
        <f t="shared" si="1545"/>
        <v>0</v>
      </c>
      <c r="E713" s="186">
        <f t="shared" si="1545"/>
        <v>103022.49999999997</v>
      </c>
      <c r="F713" s="186">
        <f t="shared" si="1545"/>
        <v>0</v>
      </c>
      <c r="G713" s="186">
        <f t="shared" si="1545"/>
        <v>0</v>
      </c>
      <c r="H713" s="186">
        <f t="shared" si="1545"/>
        <v>0</v>
      </c>
      <c r="I713" s="186">
        <f t="shared" si="1545"/>
        <v>0</v>
      </c>
      <c r="J713" s="186">
        <f t="shared" si="1545"/>
        <v>0</v>
      </c>
      <c r="K713" s="186">
        <f t="shared" si="1545"/>
        <v>0</v>
      </c>
      <c r="L713" s="186">
        <f t="shared" si="1545"/>
        <v>0</v>
      </c>
      <c r="M713" s="186">
        <f t="shared" si="1545"/>
        <v>0</v>
      </c>
      <c r="N713" s="186">
        <f t="shared" si="1545"/>
        <v>0</v>
      </c>
      <c r="O713" s="186">
        <f t="shared" si="1545"/>
        <v>0</v>
      </c>
      <c r="P713" s="186">
        <f t="shared" si="1545"/>
        <v>0</v>
      </c>
      <c r="Q713" s="186">
        <f t="shared" si="1545"/>
        <v>0</v>
      </c>
      <c r="R713" s="186">
        <f t="shared" si="1545"/>
        <v>0</v>
      </c>
      <c r="S713" s="186">
        <f t="shared" si="1545"/>
        <v>0</v>
      </c>
      <c r="T713" s="186">
        <f t="shared" si="1545"/>
        <v>0</v>
      </c>
      <c r="U713" s="186">
        <f t="shared" si="1545"/>
        <v>0</v>
      </c>
      <c r="V713" s="186">
        <f t="shared" si="1545"/>
        <v>0</v>
      </c>
      <c r="W713" s="186">
        <f t="shared" si="1545"/>
        <v>0</v>
      </c>
      <c r="X713" s="186">
        <f t="shared" si="1545"/>
        <v>0</v>
      </c>
      <c r="Y713" s="186">
        <f t="shared" si="1545"/>
        <v>0</v>
      </c>
      <c r="Z713" s="186">
        <f t="shared" si="1545"/>
        <v>0</v>
      </c>
      <c r="AA713" s="186">
        <f t="shared" si="1545"/>
        <v>0</v>
      </c>
      <c r="AB713" s="186">
        <f t="shared" si="1545"/>
        <v>0</v>
      </c>
      <c r="AC713" s="186">
        <f t="shared" si="1545"/>
        <v>0</v>
      </c>
      <c r="AD713" s="186">
        <f t="shared" si="1545"/>
        <v>0</v>
      </c>
      <c r="AE713" s="186">
        <f t="shared" si="1545"/>
        <v>0</v>
      </c>
      <c r="AF713" s="186">
        <f t="shared" si="1545"/>
        <v>0</v>
      </c>
      <c r="AG713" s="186">
        <f t="shared" si="1545"/>
        <v>0</v>
      </c>
      <c r="AH713" s="186">
        <f t="shared" si="1545"/>
        <v>0</v>
      </c>
      <c r="AI713" s="186">
        <f t="shared" si="1545"/>
        <v>0</v>
      </c>
      <c r="AJ713" s="186">
        <f t="shared" si="1545"/>
        <v>0</v>
      </c>
      <c r="AK713" s="186">
        <f t="shared" si="1545"/>
        <v>0</v>
      </c>
      <c r="AL713" s="186">
        <f t="shared" si="1545"/>
        <v>0</v>
      </c>
      <c r="AM713" s="186">
        <f t="shared" si="1545"/>
        <v>0</v>
      </c>
      <c r="AN713" s="186">
        <f t="shared" si="1545"/>
        <v>0</v>
      </c>
      <c r="AO713" s="186">
        <f t="shared" si="1545"/>
        <v>0</v>
      </c>
      <c r="AP713" s="186">
        <f t="shared" si="1545"/>
        <v>0</v>
      </c>
    </row>
    <row r="714" spans="1:42">
      <c r="A714" s="37">
        <f>A713+1</f>
        <v>2</v>
      </c>
      <c r="B714" s="255">
        <f t="shared" si="1544"/>
        <v>107728.40038843743</v>
      </c>
      <c r="C714" s="186">
        <f t="shared" ref="C714:AP714" si="1546">IF(C$2&gt;AnalysisPeriod,0,IF(C$2=MMFrequency3*$A714,MMCost3*CapacityDC*1000*(1+Inflation)^B$2,0))</f>
        <v>0</v>
      </c>
      <c r="D714" s="186">
        <f t="shared" si="1546"/>
        <v>0</v>
      </c>
      <c r="E714" s="186">
        <f t="shared" si="1546"/>
        <v>0</v>
      </c>
      <c r="F714" s="186">
        <f t="shared" si="1546"/>
        <v>0</v>
      </c>
      <c r="G714" s="186">
        <f t="shared" si="1546"/>
        <v>0</v>
      </c>
      <c r="H714" s="186">
        <f t="shared" si="1546"/>
        <v>107728.40038843743</v>
      </c>
      <c r="I714" s="186">
        <f t="shared" si="1546"/>
        <v>0</v>
      </c>
      <c r="J714" s="186">
        <f t="shared" si="1546"/>
        <v>0</v>
      </c>
      <c r="K714" s="186">
        <f t="shared" si="1546"/>
        <v>0</v>
      </c>
      <c r="L714" s="186">
        <f t="shared" si="1546"/>
        <v>0</v>
      </c>
      <c r="M714" s="186">
        <f t="shared" si="1546"/>
        <v>0</v>
      </c>
      <c r="N714" s="186">
        <f t="shared" si="1546"/>
        <v>0</v>
      </c>
      <c r="O714" s="186">
        <f t="shared" si="1546"/>
        <v>0</v>
      </c>
      <c r="P714" s="186">
        <f t="shared" si="1546"/>
        <v>0</v>
      </c>
      <c r="Q714" s="186">
        <f t="shared" si="1546"/>
        <v>0</v>
      </c>
      <c r="R714" s="186">
        <f t="shared" si="1546"/>
        <v>0</v>
      </c>
      <c r="S714" s="186">
        <f t="shared" si="1546"/>
        <v>0</v>
      </c>
      <c r="T714" s="186">
        <f t="shared" si="1546"/>
        <v>0</v>
      </c>
      <c r="U714" s="186">
        <f t="shared" si="1546"/>
        <v>0</v>
      </c>
      <c r="V714" s="186">
        <f t="shared" si="1546"/>
        <v>0</v>
      </c>
      <c r="W714" s="186">
        <f t="shared" si="1546"/>
        <v>0</v>
      </c>
      <c r="X714" s="186">
        <f t="shared" si="1546"/>
        <v>0</v>
      </c>
      <c r="Y714" s="186">
        <f t="shared" si="1546"/>
        <v>0</v>
      </c>
      <c r="Z714" s="186">
        <f t="shared" si="1546"/>
        <v>0</v>
      </c>
      <c r="AA714" s="186">
        <f t="shared" si="1546"/>
        <v>0</v>
      </c>
      <c r="AB714" s="186">
        <f t="shared" si="1546"/>
        <v>0</v>
      </c>
      <c r="AC714" s="186">
        <f t="shared" si="1546"/>
        <v>0</v>
      </c>
      <c r="AD714" s="186">
        <f t="shared" si="1546"/>
        <v>0</v>
      </c>
      <c r="AE714" s="186">
        <f t="shared" si="1546"/>
        <v>0</v>
      </c>
      <c r="AF714" s="186">
        <f t="shared" si="1546"/>
        <v>0</v>
      </c>
      <c r="AG714" s="186">
        <f t="shared" si="1546"/>
        <v>0</v>
      </c>
      <c r="AH714" s="186">
        <f t="shared" si="1546"/>
        <v>0</v>
      </c>
      <c r="AI714" s="186">
        <f t="shared" si="1546"/>
        <v>0</v>
      </c>
      <c r="AJ714" s="186">
        <f t="shared" si="1546"/>
        <v>0</v>
      </c>
      <c r="AK714" s="186">
        <f t="shared" si="1546"/>
        <v>0</v>
      </c>
      <c r="AL714" s="186">
        <f t="shared" si="1546"/>
        <v>0</v>
      </c>
      <c r="AM714" s="186">
        <f t="shared" si="1546"/>
        <v>0</v>
      </c>
      <c r="AN714" s="186">
        <f t="shared" si="1546"/>
        <v>0</v>
      </c>
      <c r="AO714" s="186">
        <f t="shared" si="1546"/>
        <v>0</v>
      </c>
      <c r="AP714" s="186">
        <f t="shared" si="1546"/>
        <v>0</v>
      </c>
    </row>
    <row r="715" spans="1:42">
      <c r="A715" s="37">
        <f t="shared" ref="A715:A722" si="1547">A714+1</f>
        <v>3</v>
      </c>
      <c r="B715" s="255">
        <f t="shared" si="1544"/>
        <v>112649.25865953058</v>
      </c>
      <c r="C715" s="186">
        <f t="shared" ref="C715:AP715" si="1548">IF(C$2&gt;AnalysisPeriod,0,IF(C$2=MMFrequency3*$A715,MMCost3*CapacityDC*1000*(1+Inflation)^B$2,0))</f>
        <v>0</v>
      </c>
      <c r="D715" s="186">
        <f t="shared" si="1548"/>
        <v>0</v>
      </c>
      <c r="E715" s="186">
        <f t="shared" si="1548"/>
        <v>0</v>
      </c>
      <c r="F715" s="186">
        <f t="shared" si="1548"/>
        <v>0</v>
      </c>
      <c r="G715" s="186">
        <f t="shared" si="1548"/>
        <v>0</v>
      </c>
      <c r="H715" s="186">
        <f t="shared" si="1548"/>
        <v>0</v>
      </c>
      <c r="I715" s="186">
        <f t="shared" si="1548"/>
        <v>0</v>
      </c>
      <c r="J715" s="186">
        <f t="shared" si="1548"/>
        <v>0</v>
      </c>
      <c r="K715" s="186">
        <f t="shared" si="1548"/>
        <v>112649.25865953058</v>
      </c>
      <c r="L715" s="186">
        <f t="shared" si="1548"/>
        <v>0</v>
      </c>
      <c r="M715" s="186">
        <f t="shared" si="1548"/>
        <v>0</v>
      </c>
      <c r="N715" s="186">
        <f t="shared" si="1548"/>
        <v>0</v>
      </c>
      <c r="O715" s="186">
        <f t="shared" si="1548"/>
        <v>0</v>
      </c>
      <c r="P715" s="186">
        <f t="shared" si="1548"/>
        <v>0</v>
      </c>
      <c r="Q715" s="186">
        <f t="shared" si="1548"/>
        <v>0</v>
      </c>
      <c r="R715" s="186">
        <f t="shared" si="1548"/>
        <v>0</v>
      </c>
      <c r="S715" s="186">
        <f t="shared" si="1548"/>
        <v>0</v>
      </c>
      <c r="T715" s="186">
        <f t="shared" si="1548"/>
        <v>0</v>
      </c>
      <c r="U715" s="186">
        <f t="shared" si="1548"/>
        <v>0</v>
      </c>
      <c r="V715" s="186">
        <f t="shared" si="1548"/>
        <v>0</v>
      </c>
      <c r="W715" s="186">
        <f t="shared" si="1548"/>
        <v>0</v>
      </c>
      <c r="X715" s="186">
        <f t="shared" si="1548"/>
        <v>0</v>
      </c>
      <c r="Y715" s="186">
        <f t="shared" si="1548"/>
        <v>0</v>
      </c>
      <c r="Z715" s="186">
        <f t="shared" si="1548"/>
        <v>0</v>
      </c>
      <c r="AA715" s="186">
        <f t="shared" si="1548"/>
        <v>0</v>
      </c>
      <c r="AB715" s="186">
        <f t="shared" si="1548"/>
        <v>0</v>
      </c>
      <c r="AC715" s="186">
        <f t="shared" si="1548"/>
        <v>0</v>
      </c>
      <c r="AD715" s="186">
        <f t="shared" si="1548"/>
        <v>0</v>
      </c>
      <c r="AE715" s="186">
        <f t="shared" si="1548"/>
        <v>0</v>
      </c>
      <c r="AF715" s="186">
        <f t="shared" si="1548"/>
        <v>0</v>
      </c>
      <c r="AG715" s="186">
        <f t="shared" si="1548"/>
        <v>0</v>
      </c>
      <c r="AH715" s="186">
        <f t="shared" si="1548"/>
        <v>0</v>
      </c>
      <c r="AI715" s="186">
        <f t="shared" si="1548"/>
        <v>0</v>
      </c>
      <c r="AJ715" s="186">
        <f t="shared" si="1548"/>
        <v>0</v>
      </c>
      <c r="AK715" s="186">
        <f t="shared" si="1548"/>
        <v>0</v>
      </c>
      <c r="AL715" s="186">
        <f t="shared" si="1548"/>
        <v>0</v>
      </c>
      <c r="AM715" s="186">
        <f t="shared" si="1548"/>
        <v>0</v>
      </c>
      <c r="AN715" s="186">
        <f t="shared" si="1548"/>
        <v>0</v>
      </c>
      <c r="AO715" s="186">
        <f t="shared" si="1548"/>
        <v>0</v>
      </c>
      <c r="AP715" s="186">
        <f t="shared" si="1548"/>
        <v>0</v>
      </c>
    </row>
    <row r="716" spans="1:42">
      <c r="A716" s="37">
        <f t="shared" si="1547"/>
        <v>4</v>
      </c>
      <c r="B716" s="255">
        <f t="shared" si="1544"/>
        <v>117794.89374005256</v>
      </c>
      <c r="C716" s="186">
        <f t="shared" ref="C716:AP716" si="1549">IF(C$2&gt;AnalysisPeriod,0,IF(C$2=MMFrequency3*$A716,MMCost3*CapacityDC*1000*(1+Inflation)^B$2,0))</f>
        <v>0</v>
      </c>
      <c r="D716" s="186">
        <f t="shared" si="1549"/>
        <v>0</v>
      </c>
      <c r="E716" s="186">
        <f t="shared" si="1549"/>
        <v>0</v>
      </c>
      <c r="F716" s="186">
        <f t="shared" si="1549"/>
        <v>0</v>
      </c>
      <c r="G716" s="186">
        <f t="shared" si="1549"/>
        <v>0</v>
      </c>
      <c r="H716" s="186">
        <f t="shared" si="1549"/>
        <v>0</v>
      </c>
      <c r="I716" s="186">
        <f t="shared" si="1549"/>
        <v>0</v>
      </c>
      <c r="J716" s="186">
        <f t="shared" si="1549"/>
        <v>0</v>
      </c>
      <c r="K716" s="186">
        <f t="shared" si="1549"/>
        <v>0</v>
      </c>
      <c r="L716" s="186">
        <f t="shared" si="1549"/>
        <v>0</v>
      </c>
      <c r="M716" s="186">
        <f t="shared" si="1549"/>
        <v>0</v>
      </c>
      <c r="N716" s="186">
        <f t="shared" si="1549"/>
        <v>117794.89374005256</v>
      </c>
      <c r="O716" s="186">
        <f t="shared" si="1549"/>
        <v>0</v>
      </c>
      <c r="P716" s="186">
        <f t="shared" si="1549"/>
        <v>0</v>
      </c>
      <c r="Q716" s="186">
        <f t="shared" si="1549"/>
        <v>0</v>
      </c>
      <c r="R716" s="186">
        <f t="shared" si="1549"/>
        <v>0</v>
      </c>
      <c r="S716" s="186">
        <f t="shared" si="1549"/>
        <v>0</v>
      </c>
      <c r="T716" s="186">
        <f t="shared" si="1549"/>
        <v>0</v>
      </c>
      <c r="U716" s="186">
        <f t="shared" si="1549"/>
        <v>0</v>
      </c>
      <c r="V716" s="186">
        <f t="shared" si="1549"/>
        <v>0</v>
      </c>
      <c r="W716" s="186">
        <f t="shared" si="1549"/>
        <v>0</v>
      </c>
      <c r="X716" s="186">
        <f t="shared" si="1549"/>
        <v>0</v>
      </c>
      <c r="Y716" s="186">
        <f t="shared" si="1549"/>
        <v>0</v>
      </c>
      <c r="Z716" s="186">
        <f t="shared" si="1549"/>
        <v>0</v>
      </c>
      <c r="AA716" s="186">
        <f t="shared" si="1549"/>
        <v>0</v>
      </c>
      <c r="AB716" s="186">
        <f t="shared" si="1549"/>
        <v>0</v>
      </c>
      <c r="AC716" s="186">
        <f t="shared" si="1549"/>
        <v>0</v>
      </c>
      <c r="AD716" s="186">
        <f t="shared" si="1549"/>
        <v>0</v>
      </c>
      <c r="AE716" s="186">
        <f t="shared" si="1549"/>
        <v>0</v>
      </c>
      <c r="AF716" s="186">
        <f t="shared" si="1549"/>
        <v>0</v>
      </c>
      <c r="AG716" s="186">
        <f t="shared" si="1549"/>
        <v>0</v>
      </c>
      <c r="AH716" s="186">
        <f t="shared" si="1549"/>
        <v>0</v>
      </c>
      <c r="AI716" s="186">
        <f t="shared" si="1549"/>
        <v>0</v>
      </c>
      <c r="AJ716" s="186">
        <f t="shared" si="1549"/>
        <v>0</v>
      </c>
      <c r="AK716" s="186">
        <f t="shared" si="1549"/>
        <v>0</v>
      </c>
      <c r="AL716" s="186">
        <f t="shared" si="1549"/>
        <v>0</v>
      </c>
      <c r="AM716" s="186">
        <f t="shared" si="1549"/>
        <v>0</v>
      </c>
      <c r="AN716" s="186">
        <f t="shared" si="1549"/>
        <v>0</v>
      </c>
      <c r="AO716" s="186">
        <f t="shared" si="1549"/>
        <v>0</v>
      </c>
      <c r="AP716" s="186">
        <f t="shared" si="1549"/>
        <v>0</v>
      </c>
    </row>
    <row r="717" spans="1:42">
      <c r="A717" s="37">
        <f t="shared" si="1547"/>
        <v>5</v>
      </c>
      <c r="B717" s="255">
        <f t="shared" si="1544"/>
        <v>123175.57306939577</v>
      </c>
      <c r="C717" s="186">
        <f t="shared" ref="C717:AP717" si="1550">IF(C$2&gt;AnalysisPeriod,0,IF(C$2=MMFrequency3*$A717,MMCost3*CapacityDC*1000*(1+Inflation)^B$2,0))</f>
        <v>0</v>
      </c>
      <c r="D717" s="186">
        <f t="shared" si="1550"/>
        <v>0</v>
      </c>
      <c r="E717" s="186">
        <f t="shared" si="1550"/>
        <v>0</v>
      </c>
      <c r="F717" s="186">
        <f t="shared" si="1550"/>
        <v>0</v>
      </c>
      <c r="G717" s="186">
        <f t="shared" si="1550"/>
        <v>0</v>
      </c>
      <c r="H717" s="186">
        <f t="shared" si="1550"/>
        <v>0</v>
      </c>
      <c r="I717" s="186">
        <f t="shared" si="1550"/>
        <v>0</v>
      </c>
      <c r="J717" s="186">
        <f t="shared" si="1550"/>
        <v>0</v>
      </c>
      <c r="K717" s="186">
        <f t="shared" si="1550"/>
        <v>0</v>
      </c>
      <c r="L717" s="186">
        <f t="shared" si="1550"/>
        <v>0</v>
      </c>
      <c r="M717" s="186">
        <f t="shared" si="1550"/>
        <v>0</v>
      </c>
      <c r="N717" s="186">
        <f t="shared" si="1550"/>
        <v>0</v>
      </c>
      <c r="O717" s="186">
        <f t="shared" si="1550"/>
        <v>0</v>
      </c>
      <c r="P717" s="186">
        <f t="shared" si="1550"/>
        <v>0</v>
      </c>
      <c r="Q717" s="186">
        <f t="shared" si="1550"/>
        <v>123175.57306939577</v>
      </c>
      <c r="R717" s="186">
        <f t="shared" si="1550"/>
        <v>0</v>
      </c>
      <c r="S717" s="186">
        <f t="shared" si="1550"/>
        <v>0</v>
      </c>
      <c r="T717" s="186">
        <f t="shared" si="1550"/>
        <v>0</v>
      </c>
      <c r="U717" s="186">
        <f t="shared" si="1550"/>
        <v>0</v>
      </c>
      <c r="V717" s="186">
        <f t="shared" si="1550"/>
        <v>0</v>
      </c>
      <c r="W717" s="186">
        <f t="shared" si="1550"/>
        <v>0</v>
      </c>
      <c r="X717" s="186">
        <f t="shared" si="1550"/>
        <v>0</v>
      </c>
      <c r="Y717" s="186">
        <f t="shared" si="1550"/>
        <v>0</v>
      </c>
      <c r="Z717" s="186">
        <f t="shared" si="1550"/>
        <v>0</v>
      </c>
      <c r="AA717" s="186">
        <f t="shared" si="1550"/>
        <v>0</v>
      </c>
      <c r="AB717" s="186">
        <f t="shared" si="1550"/>
        <v>0</v>
      </c>
      <c r="AC717" s="186">
        <f t="shared" si="1550"/>
        <v>0</v>
      </c>
      <c r="AD717" s="186">
        <f t="shared" si="1550"/>
        <v>0</v>
      </c>
      <c r="AE717" s="186">
        <f t="shared" si="1550"/>
        <v>0</v>
      </c>
      <c r="AF717" s="186">
        <f t="shared" si="1550"/>
        <v>0</v>
      </c>
      <c r="AG717" s="186">
        <f t="shared" si="1550"/>
        <v>0</v>
      </c>
      <c r="AH717" s="186">
        <f t="shared" si="1550"/>
        <v>0</v>
      </c>
      <c r="AI717" s="186">
        <f t="shared" si="1550"/>
        <v>0</v>
      </c>
      <c r="AJ717" s="186">
        <f t="shared" si="1550"/>
        <v>0</v>
      </c>
      <c r="AK717" s="186">
        <f t="shared" si="1550"/>
        <v>0</v>
      </c>
      <c r="AL717" s="186">
        <f t="shared" si="1550"/>
        <v>0</v>
      </c>
      <c r="AM717" s="186">
        <f t="shared" si="1550"/>
        <v>0</v>
      </c>
      <c r="AN717" s="186">
        <f t="shared" si="1550"/>
        <v>0</v>
      </c>
      <c r="AO717" s="186">
        <f t="shared" si="1550"/>
        <v>0</v>
      </c>
      <c r="AP717" s="186">
        <f t="shared" si="1550"/>
        <v>0</v>
      </c>
    </row>
    <row r="718" spans="1:42">
      <c r="A718" s="37">
        <f t="shared" si="1547"/>
        <v>6</v>
      </c>
      <c r="B718" s="255">
        <f t="shared" si="1544"/>
        <v>128802.03308689948</v>
      </c>
      <c r="C718" s="186">
        <f t="shared" ref="C718:AP718" si="1551">IF(C$2&gt;AnalysisPeriod,0,IF(C$2=MMFrequency3*$A718,MMCost3*CapacityDC*1000*(1+Inflation)^B$2,0))</f>
        <v>0</v>
      </c>
      <c r="D718" s="186">
        <f t="shared" si="1551"/>
        <v>0</v>
      </c>
      <c r="E718" s="186">
        <f t="shared" si="1551"/>
        <v>0</v>
      </c>
      <c r="F718" s="186">
        <f t="shared" si="1551"/>
        <v>0</v>
      </c>
      <c r="G718" s="186">
        <f t="shared" si="1551"/>
        <v>0</v>
      </c>
      <c r="H718" s="186">
        <f t="shared" si="1551"/>
        <v>0</v>
      </c>
      <c r="I718" s="186">
        <f t="shared" si="1551"/>
        <v>0</v>
      </c>
      <c r="J718" s="186">
        <f t="shared" si="1551"/>
        <v>0</v>
      </c>
      <c r="K718" s="186">
        <f t="shared" si="1551"/>
        <v>0</v>
      </c>
      <c r="L718" s="186">
        <f t="shared" si="1551"/>
        <v>0</v>
      </c>
      <c r="M718" s="186">
        <f t="shared" si="1551"/>
        <v>0</v>
      </c>
      <c r="N718" s="186">
        <f t="shared" si="1551"/>
        <v>0</v>
      </c>
      <c r="O718" s="186">
        <f t="shared" si="1551"/>
        <v>0</v>
      </c>
      <c r="P718" s="186">
        <f t="shared" si="1551"/>
        <v>0</v>
      </c>
      <c r="Q718" s="186">
        <f t="shared" si="1551"/>
        <v>0</v>
      </c>
      <c r="R718" s="186">
        <f t="shared" si="1551"/>
        <v>0</v>
      </c>
      <c r="S718" s="186">
        <f t="shared" si="1551"/>
        <v>0</v>
      </c>
      <c r="T718" s="186">
        <f t="shared" si="1551"/>
        <v>128802.03308689948</v>
      </c>
      <c r="U718" s="186">
        <f t="shared" si="1551"/>
        <v>0</v>
      </c>
      <c r="V718" s="186">
        <f t="shared" si="1551"/>
        <v>0</v>
      </c>
      <c r="W718" s="186">
        <f t="shared" si="1551"/>
        <v>0</v>
      </c>
      <c r="X718" s="186">
        <f t="shared" si="1551"/>
        <v>0</v>
      </c>
      <c r="Y718" s="186">
        <f t="shared" si="1551"/>
        <v>0</v>
      </c>
      <c r="Z718" s="186">
        <f t="shared" si="1551"/>
        <v>0</v>
      </c>
      <c r="AA718" s="186">
        <f t="shared" si="1551"/>
        <v>0</v>
      </c>
      <c r="AB718" s="186">
        <f t="shared" si="1551"/>
        <v>0</v>
      </c>
      <c r="AC718" s="186">
        <f t="shared" si="1551"/>
        <v>0</v>
      </c>
      <c r="AD718" s="186">
        <f t="shared" si="1551"/>
        <v>0</v>
      </c>
      <c r="AE718" s="186">
        <f t="shared" si="1551"/>
        <v>0</v>
      </c>
      <c r="AF718" s="186">
        <f t="shared" si="1551"/>
        <v>0</v>
      </c>
      <c r="AG718" s="186">
        <f t="shared" si="1551"/>
        <v>0</v>
      </c>
      <c r="AH718" s="186">
        <f t="shared" si="1551"/>
        <v>0</v>
      </c>
      <c r="AI718" s="186">
        <f t="shared" si="1551"/>
        <v>0</v>
      </c>
      <c r="AJ718" s="186">
        <f t="shared" si="1551"/>
        <v>0</v>
      </c>
      <c r="AK718" s="186">
        <f t="shared" si="1551"/>
        <v>0</v>
      </c>
      <c r="AL718" s="186">
        <f t="shared" si="1551"/>
        <v>0</v>
      </c>
      <c r="AM718" s="186">
        <f t="shared" si="1551"/>
        <v>0</v>
      </c>
      <c r="AN718" s="186">
        <f t="shared" si="1551"/>
        <v>0</v>
      </c>
      <c r="AO718" s="186">
        <f t="shared" si="1551"/>
        <v>0</v>
      </c>
      <c r="AP718" s="186">
        <f t="shared" si="1551"/>
        <v>0</v>
      </c>
    </row>
    <row r="719" spans="1:42">
      <c r="A719" s="37">
        <f t="shared" si="1547"/>
        <v>7</v>
      </c>
      <c r="B719" s="255">
        <f t="shared" si="1544"/>
        <v>134685.50065500522</v>
      </c>
      <c r="C719" s="186">
        <f t="shared" ref="C719:AP719" si="1552">IF(C$2&gt;AnalysisPeriod,0,IF(C$2=MMFrequency3*$A719,MMCost3*CapacityDC*1000*(1+Inflation)^B$2,0))</f>
        <v>0</v>
      </c>
      <c r="D719" s="186">
        <f t="shared" si="1552"/>
        <v>0</v>
      </c>
      <c r="E719" s="186">
        <f t="shared" si="1552"/>
        <v>0</v>
      </c>
      <c r="F719" s="186">
        <f t="shared" si="1552"/>
        <v>0</v>
      </c>
      <c r="G719" s="186">
        <f t="shared" si="1552"/>
        <v>0</v>
      </c>
      <c r="H719" s="186">
        <f t="shared" si="1552"/>
        <v>0</v>
      </c>
      <c r="I719" s="186">
        <f t="shared" si="1552"/>
        <v>0</v>
      </c>
      <c r="J719" s="186">
        <f t="shared" si="1552"/>
        <v>0</v>
      </c>
      <c r="K719" s="186">
        <f t="shared" si="1552"/>
        <v>0</v>
      </c>
      <c r="L719" s="186">
        <f t="shared" si="1552"/>
        <v>0</v>
      </c>
      <c r="M719" s="186">
        <f t="shared" si="1552"/>
        <v>0</v>
      </c>
      <c r="N719" s="186">
        <f t="shared" si="1552"/>
        <v>0</v>
      </c>
      <c r="O719" s="186">
        <f t="shared" si="1552"/>
        <v>0</v>
      </c>
      <c r="P719" s="186">
        <f t="shared" si="1552"/>
        <v>0</v>
      </c>
      <c r="Q719" s="186">
        <f t="shared" si="1552"/>
        <v>0</v>
      </c>
      <c r="R719" s="186">
        <f t="shared" si="1552"/>
        <v>0</v>
      </c>
      <c r="S719" s="186">
        <f t="shared" si="1552"/>
        <v>0</v>
      </c>
      <c r="T719" s="186">
        <f t="shared" si="1552"/>
        <v>0</v>
      </c>
      <c r="U719" s="186">
        <f t="shared" si="1552"/>
        <v>0</v>
      </c>
      <c r="V719" s="186">
        <f t="shared" si="1552"/>
        <v>0</v>
      </c>
      <c r="W719" s="186">
        <f t="shared" si="1552"/>
        <v>134685.50065500522</v>
      </c>
      <c r="X719" s="186">
        <f t="shared" si="1552"/>
        <v>0</v>
      </c>
      <c r="Y719" s="186">
        <f t="shared" si="1552"/>
        <v>0</v>
      </c>
      <c r="Z719" s="186">
        <f t="shared" si="1552"/>
        <v>0</v>
      </c>
      <c r="AA719" s="186">
        <f t="shared" si="1552"/>
        <v>0</v>
      </c>
      <c r="AB719" s="186">
        <f t="shared" si="1552"/>
        <v>0</v>
      </c>
      <c r="AC719" s="186">
        <f t="shared" si="1552"/>
        <v>0</v>
      </c>
      <c r="AD719" s="186">
        <f t="shared" si="1552"/>
        <v>0</v>
      </c>
      <c r="AE719" s="186">
        <f t="shared" si="1552"/>
        <v>0</v>
      </c>
      <c r="AF719" s="186">
        <f t="shared" si="1552"/>
        <v>0</v>
      </c>
      <c r="AG719" s="186">
        <f t="shared" si="1552"/>
        <v>0</v>
      </c>
      <c r="AH719" s="186">
        <f t="shared" si="1552"/>
        <v>0</v>
      </c>
      <c r="AI719" s="186">
        <f t="shared" si="1552"/>
        <v>0</v>
      </c>
      <c r="AJ719" s="186">
        <f t="shared" si="1552"/>
        <v>0</v>
      </c>
      <c r="AK719" s="186">
        <f t="shared" si="1552"/>
        <v>0</v>
      </c>
      <c r="AL719" s="186">
        <f t="shared" si="1552"/>
        <v>0</v>
      </c>
      <c r="AM719" s="186">
        <f t="shared" si="1552"/>
        <v>0</v>
      </c>
      <c r="AN719" s="186">
        <f t="shared" si="1552"/>
        <v>0</v>
      </c>
      <c r="AO719" s="186">
        <f t="shared" si="1552"/>
        <v>0</v>
      </c>
      <c r="AP719" s="186">
        <f t="shared" si="1552"/>
        <v>0</v>
      </c>
    </row>
    <row r="720" spans="1:42">
      <c r="A720" s="37">
        <f t="shared" si="1547"/>
        <v>8</v>
      </c>
      <c r="B720" s="255">
        <f t="shared" si="1544"/>
        <v>140837.71546098724</v>
      </c>
      <c r="C720" s="186">
        <f t="shared" ref="C720:AP720" si="1553">IF(C$2&gt;AnalysisPeriod,0,IF(C$2=MMFrequency3*$A720,MMCost3*CapacityDC*1000*(1+Inflation)^B$2,0))</f>
        <v>0</v>
      </c>
      <c r="D720" s="186">
        <f t="shared" si="1553"/>
        <v>0</v>
      </c>
      <c r="E720" s="186">
        <f t="shared" si="1553"/>
        <v>0</v>
      </c>
      <c r="F720" s="186">
        <f t="shared" si="1553"/>
        <v>0</v>
      </c>
      <c r="G720" s="186">
        <f t="shared" si="1553"/>
        <v>0</v>
      </c>
      <c r="H720" s="186">
        <f t="shared" si="1553"/>
        <v>0</v>
      </c>
      <c r="I720" s="186">
        <f t="shared" si="1553"/>
        <v>0</v>
      </c>
      <c r="J720" s="186">
        <f t="shared" si="1553"/>
        <v>0</v>
      </c>
      <c r="K720" s="186">
        <f t="shared" si="1553"/>
        <v>0</v>
      </c>
      <c r="L720" s="186">
        <f t="shared" si="1553"/>
        <v>0</v>
      </c>
      <c r="M720" s="186">
        <f t="shared" si="1553"/>
        <v>0</v>
      </c>
      <c r="N720" s="186">
        <f t="shared" si="1553"/>
        <v>0</v>
      </c>
      <c r="O720" s="186">
        <f t="shared" si="1553"/>
        <v>0</v>
      </c>
      <c r="P720" s="186">
        <f t="shared" si="1553"/>
        <v>0</v>
      </c>
      <c r="Q720" s="186">
        <f t="shared" si="1553"/>
        <v>0</v>
      </c>
      <c r="R720" s="186">
        <f t="shared" si="1553"/>
        <v>0</v>
      </c>
      <c r="S720" s="186">
        <f t="shared" si="1553"/>
        <v>0</v>
      </c>
      <c r="T720" s="186">
        <f t="shared" si="1553"/>
        <v>0</v>
      </c>
      <c r="U720" s="186">
        <f t="shared" si="1553"/>
        <v>0</v>
      </c>
      <c r="V720" s="186">
        <f t="shared" si="1553"/>
        <v>0</v>
      </c>
      <c r="W720" s="186">
        <f t="shared" si="1553"/>
        <v>0</v>
      </c>
      <c r="X720" s="186">
        <f t="shared" si="1553"/>
        <v>0</v>
      </c>
      <c r="Y720" s="186">
        <f t="shared" si="1553"/>
        <v>0</v>
      </c>
      <c r="Z720" s="186">
        <f t="shared" si="1553"/>
        <v>140837.71546098724</v>
      </c>
      <c r="AA720" s="186">
        <f t="shared" si="1553"/>
        <v>0</v>
      </c>
      <c r="AB720" s="186">
        <f t="shared" si="1553"/>
        <v>0</v>
      </c>
      <c r="AC720" s="186">
        <f t="shared" si="1553"/>
        <v>0</v>
      </c>
      <c r="AD720" s="186">
        <f t="shared" si="1553"/>
        <v>0</v>
      </c>
      <c r="AE720" s="186">
        <f t="shared" si="1553"/>
        <v>0</v>
      </c>
      <c r="AF720" s="186">
        <f t="shared" si="1553"/>
        <v>0</v>
      </c>
      <c r="AG720" s="186">
        <f t="shared" si="1553"/>
        <v>0</v>
      </c>
      <c r="AH720" s="186">
        <f t="shared" si="1553"/>
        <v>0</v>
      </c>
      <c r="AI720" s="186">
        <f t="shared" si="1553"/>
        <v>0</v>
      </c>
      <c r="AJ720" s="186">
        <f t="shared" si="1553"/>
        <v>0</v>
      </c>
      <c r="AK720" s="186">
        <f t="shared" si="1553"/>
        <v>0</v>
      </c>
      <c r="AL720" s="186">
        <f t="shared" si="1553"/>
        <v>0</v>
      </c>
      <c r="AM720" s="186">
        <f t="shared" si="1553"/>
        <v>0</v>
      </c>
      <c r="AN720" s="186">
        <f t="shared" si="1553"/>
        <v>0</v>
      </c>
      <c r="AO720" s="186">
        <f t="shared" si="1553"/>
        <v>0</v>
      </c>
      <c r="AP720" s="186">
        <f t="shared" si="1553"/>
        <v>0</v>
      </c>
    </row>
    <row r="721" spans="1:42">
      <c r="A721" s="37">
        <f>A720+1</f>
        <v>9</v>
      </c>
      <c r="B721" s="255">
        <f t="shared" si="1544"/>
        <v>147270.95344195748</v>
      </c>
      <c r="C721" s="186">
        <f t="shared" ref="C721:AP721" si="1554">IF(C$2&gt;AnalysisPeriod,0,IF(C$2=MMFrequency3*$A721,MMCost3*CapacityDC*1000*(1+Inflation)^B$2,0))</f>
        <v>0</v>
      </c>
      <c r="D721" s="186">
        <f t="shared" si="1554"/>
        <v>0</v>
      </c>
      <c r="E721" s="186">
        <f t="shared" si="1554"/>
        <v>0</v>
      </c>
      <c r="F721" s="186">
        <f t="shared" si="1554"/>
        <v>0</v>
      </c>
      <c r="G721" s="186">
        <f t="shared" si="1554"/>
        <v>0</v>
      </c>
      <c r="H721" s="186">
        <f t="shared" si="1554"/>
        <v>0</v>
      </c>
      <c r="I721" s="186">
        <f t="shared" si="1554"/>
        <v>0</v>
      </c>
      <c r="J721" s="186">
        <f t="shared" si="1554"/>
        <v>0</v>
      </c>
      <c r="K721" s="186">
        <f t="shared" si="1554"/>
        <v>0</v>
      </c>
      <c r="L721" s="186">
        <f t="shared" si="1554"/>
        <v>0</v>
      </c>
      <c r="M721" s="186">
        <f t="shared" si="1554"/>
        <v>0</v>
      </c>
      <c r="N721" s="186">
        <f t="shared" si="1554"/>
        <v>0</v>
      </c>
      <c r="O721" s="186">
        <f t="shared" si="1554"/>
        <v>0</v>
      </c>
      <c r="P721" s="186">
        <f t="shared" si="1554"/>
        <v>0</v>
      </c>
      <c r="Q721" s="186">
        <f t="shared" si="1554"/>
        <v>0</v>
      </c>
      <c r="R721" s="186">
        <f t="shared" si="1554"/>
        <v>0</v>
      </c>
      <c r="S721" s="186">
        <f t="shared" si="1554"/>
        <v>0</v>
      </c>
      <c r="T721" s="186">
        <f t="shared" si="1554"/>
        <v>0</v>
      </c>
      <c r="U721" s="186">
        <f t="shared" si="1554"/>
        <v>0</v>
      </c>
      <c r="V721" s="186">
        <f t="shared" si="1554"/>
        <v>0</v>
      </c>
      <c r="W721" s="186">
        <f t="shared" si="1554"/>
        <v>0</v>
      </c>
      <c r="X721" s="186">
        <f t="shared" si="1554"/>
        <v>0</v>
      </c>
      <c r="Y721" s="186">
        <f t="shared" si="1554"/>
        <v>0</v>
      </c>
      <c r="Z721" s="186">
        <f t="shared" si="1554"/>
        <v>0</v>
      </c>
      <c r="AA721" s="186">
        <f t="shared" si="1554"/>
        <v>0</v>
      </c>
      <c r="AB721" s="186">
        <f t="shared" si="1554"/>
        <v>0</v>
      </c>
      <c r="AC721" s="186">
        <f t="shared" si="1554"/>
        <v>147270.95344195748</v>
      </c>
      <c r="AD721" s="186">
        <f t="shared" si="1554"/>
        <v>0</v>
      </c>
      <c r="AE721" s="186">
        <f t="shared" si="1554"/>
        <v>0</v>
      </c>
      <c r="AF721" s="186">
        <f t="shared" si="1554"/>
        <v>0</v>
      </c>
      <c r="AG721" s="186">
        <f t="shared" si="1554"/>
        <v>0</v>
      </c>
      <c r="AH721" s="186">
        <f t="shared" si="1554"/>
        <v>0</v>
      </c>
      <c r="AI721" s="186">
        <f t="shared" si="1554"/>
        <v>0</v>
      </c>
      <c r="AJ721" s="186">
        <f t="shared" si="1554"/>
        <v>0</v>
      </c>
      <c r="AK721" s="186">
        <f t="shared" si="1554"/>
        <v>0</v>
      </c>
      <c r="AL721" s="186">
        <f t="shared" si="1554"/>
        <v>0</v>
      </c>
      <c r="AM721" s="186">
        <f t="shared" si="1554"/>
        <v>0</v>
      </c>
      <c r="AN721" s="186">
        <f t="shared" si="1554"/>
        <v>0</v>
      </c>
      <c r="AO721" s="186">
        <f t="shared" si="1554"/>
        <v>0</v>
      </c>
      <c r="AP721" s="186">
        <f t="shared" si="1554"/>
        <v>0</v>
      </c>
    </row>
    <row r="722" spans="1:42">
      <c r="A722" s="37">
        <f t="shared" si="1547"/>
        <v>10</v>
      </c>
      <c r="B722" s="255">
        <f t="shared" si="1544"/>
        <v>153998.05127988668</v>
      </c>
      <c r="C722" s="187">
        <f t="shared" ref="C722:AP722" si="1555">IF(C$2&gt;AnalysisPeriod,0,IF(C$2=MMFrequency3*$A722,MMCost3*CapacityDC*1000*(1+Inflation)^B$2,0))</f>
        <v>0</v>
      </c>
      <c r="D722" s="187">
        <f t="shared" si="1555"/>
        <v>0</v>
      </c>
      <c r="E722" s="187">
        <f t="shared" si="1555"/>
        <v>0</v>
      </c>
      <c r="F722" s="187">
        <f t="shared" si="1555"/>
        <v>0</v>
      </c>
      <c r="G722" s="187">
        <f t="shared" si="1555"/>
        <v>0</v>
      </c>
      <c r="H722" s="187">
        <f t="shared" si="1555"/>
        <v>0</v>
      </c>
      <c r="I722" s="187">
        <f t="shared" si="1555"/>
        <v>0</v>
      </c>
      <c r="J722" s="187">
        <f t="shared" si="1555"/>
        <v>0</v>
      </c>
      <c r="K722" s="187">
        <f t="shared" si="1555"/>
        <v>0</v>
      </c>
      <c r="L722" s="187">
        <f t="shared" si="1555"/>
        <v>0</v>
      </c>
      <c r="M722" s="187">
        <f t="shared" si="1555"/>
        <v>0</v>
      </c>
      <c r="N722" s="187">
        <f t="shared" si="1555"/>
        <v>0</v>
      </c>
      <c r="O722" s="187">
        <f t="shared" si="1555"/>
        <v>0</v>
      </c>
      <c r="P722" s="187">
        <f t="shared" si="1555"/>
        <v>0</v>
      </c>
      <c r="Q722" s="187">
        <f t="shared" si="1555"/>
        <v>0</v>
      </c>
      <c r="R722" s="187">
        <f t="shared" si="1555"/>
        <v>0</v>
      </c>
      <c r="S722" s="187">
        <f t="shared" si="1555"/>
        <v>0</v>
      </c>
      <c r="T722" s="187">
        <f t="shared" si="1555"/>
        <v>0</v>
      </c>
      <c r="U722" s="187">
        <f t="shared" si="1555"/>
        <v>0</v>
      </c>
      <c r="V722" s="187">
        <f t="shared" si="1555"/>
        <v>0</v>
      </c>
      <c r="W722" s="187">
        <f t="shared" si="1555"/>
        <v>0</v>
      </c>
      <c r="X722" s="187">
        <f t="shared" si="1555"/>
        <v>0</v>
      </c>
      <c r="Y722" s="187">
        <f t="shared" si="1555"/>
        <v>0</v>
      </c>
      <c r="Z722" s="187">
        <f t="shared" si="1555"/>
        <v>0</v>
      </c>
      <c r="AA722" s="187">
        <f t="shared" si="1555"/>
        <v>0</v>
      </c>
      <c r="AB722" s="187">
        <f t="shared" si="1555"/>
        <v>0</v>
      </c>
      <c r="AC722" s="187">
        <f t="shared" si="1555"/>
        <v>0</v>
      </c>
      <c r="AD722" s="187">
        <f t="shared" si="1555"/>
        <v>0</v>
      </c>
      <c r="AE722" s="187">
        <f t="shared" si="1555"/>
        <v>0</v>
      </c>
      <c r="AF722" s="187">
        <f t="shared" si="1555"/>
        <v>153998.05127988668</v>
      </c>
      <c r="AG722" s="187">
        <f t="shared" si="1555"/>
        <v>0</v>
      </c>
      <c r="AH722" s="187">
        <f t="shared" si="1555"/>
        <v>0</v>
      </c>
      <c r="AI722" s="187">
        <f t="shared" si="1555"/>
        <v>0</v>
      </c>
      <c r="AJ722" s="187">
        <f t="shared" si="1555"/>
        <v>0</v>
      </c>
      <c r="AK722" s="187">
        <f t="shared" si="1555"/>
        <v>0</v>
      </c>
      <c r="AL722" s="187">
        <f t="shared" si="1555"/>
        <v>0</v>
      </c>
      <c r="AM722" s="187">
        <f t="shared" si="1555"/>
        <v>0</v>
      </c>
      <c r="AN722" s="187">
        <f t="shared" si="1555"/>
        <v>0</v>
      </c>
      <c r="AO722" s="187">
        <f t="shared" si="1555"/>
        <v>0</v>
      </c>
      <c r="AP722" s="187">
        <f t="shared" si="1555"/>
        <v>0</v>
      </c>
    </row>
    <row r="723" spans="1:42">
      <c r="A723" s="219" t="s">
        <v>53</v>
      </c>
      <c r="B723" s="186"/>
      <c r="C723" s="152">
        <f>SUM(C713:C722)</f>
        <v>0</v>
      </c>
      <c r="D723" s="152">
        <f t="shared" ref="D723:AP723" si="1556">SUM(D713:D722)</f>
        <v>0</v>
      </c>
      <c r="E723" s="152">
        <f t="shared" si="1556"/>
        <v>103022.49999999997</v>
      </c>
      <c r="F723" s="152">
        <f t="shared" si="1556"/>
        <v>0</v>
      </c>
      <c r="G723" s="152">
        <f t="shared" si="1556"/>
        <v>0</v>
      </c>
      <c r="H723" s="152">
        <f t="shared" si="1556"/>
        <v>107728.40038843743</v>
      </c>
      <c r="I723" s="152">
        <f t="shared" si="1556"/>
        <v>0</v>
      </c>
      <c r="J723" s="152">
        <f t="shared" si="1556"/>
        <v>0</v>
      </c>
      <c r="K723" s="152">
        <f t="shared" si="1556"/>
        <v>112649.25865953058</v>
      </c>
      <c r="L723" s="152">
        <f t="shared" si="1556"/>
        <v>0</v>
      </c>
      <c r="M723" s="152">
        <f t="shared" si="1556"/>
        <v>0</v>
      </c>
      <c r="N723" s="152">
        <f t="shared" si="1556"/>
        <v>117794.89374005256</v>
      </c>
      <c r="O723" s="152">
        <f t="shared" si="1556"/>
        <v>0</v>
      </c>
      <c r="P723" s="152">
        <f t="shared" si="1556"/>
        <v>0</v>
      </c>
      <c r="Q723" s="152">
        <f t="shared" si="1556"/>
        <v>123175.57306939577</v>
      </c>
      <c r="R723" s="152">
        <f t="shared" si="1556"/>
        <v>0</v>
      </c>
      <c r="S723" s="152">
        <f t="shared" si="1556"/>
        <v>0</v>
      </c>
      <c r="T723" s="152">
        <f t="shared" si="1556"/>
        <v>128802.03308689948</v>
      </c>
      <c r="U723" s="152">
        <f t="shared" si="1556"/>
        <v>0</v>
      </c>
      <c r="V723" s="152">
        <f t="shared" si="1556"/>
        <v>0</v>
      </c>
      <c r="W723" s="152">
        <f t="shared" si="1556"/>
        <v>134685.50065500522</v>
      </c>
      <c r="X723" s="152">
        <f t="shared" si="1556"/>
        <v>0</v>
      </c>
      <c r="Y723" s="152">
        <f t="shared" si="1556"/>
        <v>0</v>
      </c>
      <c r="Z723" s="152">
        <f t="shared" si="1556"/>
        <v>140837.71546098724</v>
      </c>
      <c r="AA723" s="152">
        <f t="shared" si="1556"/>
        <v>0</v>
      </c>
      <c r="AB723" s="152">
        <f t="shared" si="1556"/>
        <v>0</v>
      </c>
      <c r="AC723" s="152">
        <f t="shared" si="1556"/>
        <v>147270.95344195748</v>
      </c>
      <c r="AD723" s="152">
        <f t="shared" si="1556"/>
        <v>0</v>
      </c>
      <c r="AE723" s="152">
        <f t="shared" si="1556"/>
        <v>0</v>
      </c>
      <c r="AF723" s="152">
        <f t="shared" si="1556"/>
        <v>153998.05127988668</v>
      </c>
      <c r="AG723" s="152">
        <f t="shared" si="1556"/>
        <v>0</v>
      </c>
      <c r="AH723" s="152">
        <f t="shared" si="1556"/>
        <v>0</v>
      </c>
      <c r="AI723" s="152">
        <f t="shared" si="1556"/>
        <v>0</v>
      </c>
      <c r="AJ723" s="152">
        <f t="shared" si="1556"/>
        <v>0</v>
      </c>
      <c r="AK723" s="152">
        <f t="shared" si="1556"/>
        <v>0</v>
      </c>
      <c r="AL723" s="152">
        <f t="shared" si="1556"/>
        <v>0</v>
      </c>
      <c r="AM723" s="152">
        <f t="shared" si="1556"/>
        <v>0</v>
      </c>
      <c r="AN723" s="152">
        <f t="shared" si="1556"/>
        <v>0</v>
      </c>
      <c r="AO723" s="152">
        <f t="shared" si="1556"/>
        <v>0</v>
      </c>
      <c r="AP723" s="152">
        <f t="shared" si="1556"/>
        <v>0</v>
      </c>
    </row>
    <row r="724" spans="1:42">
      <c r="A724" s="37" t="s">
        <v>199</v>
      </c>
      <c r="B724" s="152"/>
      <c r="C724" s="152"/>
      <c r="D724" s="152"/>
      <c r="E724" s="152"/>
      <c r="F724" s="152"/>
      <c r="G724" s="186"/>
      <c r="H724" s="186"/>
      <c r="I724" s="186"/>
      <c r="J724" s="186"/>
      <c r="K724" s="186"/>
      <c r="L724" s="186"/>
      <c r="M724" s="186"/>
      <c r="N724" s="186"/>
      <c r="O724" s="186"/>
      <c r="P724" s="186"/>
      <c r="Q724" s="186"/>
      <c r="R724" s="186"/>
      <c r="S724" s="186"/>
      <c r="T724" s="186"/>
      <c r="U724" s="186"/>
      <c r="V724" s="186"/>
      <c r="W724" s="186"/>
      <c r="X724" s="186"/>
      <c r="Y724" s="186"/>
      <c r="Z724" s="186"/>
      <c r="AA724" s="186"/>
      <c r="AB724" s="186"/>
      <c r="AC724" s="186"/>
      <c r="AD724" s="186"/>
      <c r="AE724" s="186"/>
      <c r="AF724" s="186"/>
      <c r="AG724" s="186"/>
      <c r="AH724" s="186"/>
      <c r="AI724" s="186"/>
      <c r="AJ724" s="186"/>
      <c r="AK724" s="186"/>
      <c r="AL724" s="186"/>
      <c r="AM724" s="186"/>
      <c r="AN724" s="186"/>
      <c r="AO724" s="186"/>
      <c r="AP724" s="186"/>
    </row>
    <row r="725" spans="1:42">
      <c r="A725" s="37">
        <v>1</v>
      </c>
      <c r="B725" s="255">
        <f t="shared" ref="B725:B734" si="1557">SUM(C725:AP725)</f>
        <v>103022.49999999997</v>
      </c>
      <c r="C725" s="186">
        <f t="shared" ref="C725:AP725" si="1558">IF(C$2&lt;=MMFrequency3*$A$713,$B$713/(MMFrequency3),0)</f>
        <v>34340.833333333321</v>
      </c>
      <c r="D725" s="186">
        <f t="shared" si="1558"/>
        <v>34340.833333333321</v>
      </c>
      <c r="E725" s="186">
        <f t="shared" si="1558"/>
        <v>34340.833333333321</v>
      </c>
      <c r="F725" s="186">
        <f t="shared" si="1558"/>
        <v>0</v>
      </c>
      <c r="G725" s="186">
        <f t="shared" si="1558"/>
        <v>0</v>
      </c>
      <c r="H725" s="186">
        <f t="shared" si="1558"/>
        <v>0</v>
      </c>
      <c r="I725" s="186">
        <f t="shared" si="1558"/>
        <v>0</v>
      </c>
      <c r="J725" s="186">
        <f t="shared" si="1558"/>
        <v>0</v>
      </c>
      <c r="K725" s="186">
        <f t="shared" si="1558"/>
        <v>0</v>
      </c>
      <c r="L725" s="186">
        <f t="shared" si="1558"/>
        <v>0</v>
      </c>
      <c r="M725" s="186">
        <f t="shared" si="1558"/>
        <v>0</v>
      </c>
      <c r="N725" s="186">
        <f t="shared" si="1558"/>
        <v>0</v>
      </c>
      <c r="O725" s="186">
        <f t="shared" si="1558"/>
        <v>0</v>
      </c>
      <c r="P725" s="186">
        <f t="shared" si="1558"/>
        <v>0</v>
      </c>
      <c r="Q725" s="186">
        <f t="shared" si="1558"/>
        <v>0</v>
      </c>
      <c r="R725" s="186">
        <f t="shared" si="1558"/>
        <v>0</v>
      </c>
      <c r="S725" s="186">
        <f t="shared" si="1558"/>
        <v>0</v>
      </c>
      <c r="T725" s="186">
        <f t="shared" si="1558"/>
        <v>0</v>
      </c>
      <c r="U725" s="186">
        <f t="shared" si="1558"/>
        <v>0</v>
      </c>
      <c r="V725" s="186">
        <f t="shared" si="1558"/>
        <v>0</v>
      </c>
      <c r="W725" s="186">
        <f t="shared" si="1558"/>
        <v>0</v>
      </c>
      <c r="X725" s="186">
        <f t="shared" si="1558"/>
        <v>0</v>
      </c>
      <c r="Y725" s="186">
        <f t="shared" si="1558"/>
        <v>0</v>
      </c>
      <c r="Z725" s="186">
        <f t="shared" si="1558"/>
        <v>0</v>
      </c>
      <c r="AA725" s="186">
        <f t="shared" si="1558"/>
        <v>0</v>
      </c>
      <c r="AB725" s="186">
        <f t="shared" si="1558"/>
        <v>0</v>
      </c>
      <c r="AC725" s="186">
        <f t="shared" si="1558"/>
        <v>0</v>
      </c>
      <c r="AD725" s="186">
        <f t="shared" si="1558"/>
        <v>0</v>
      </c>
      <c r="AE725" s="186">
        <f t="shared" si="1558"/>
        <v>0</v>
      </c>
      <c r="AF725" s="186">
        <f t="shared" si="1558"/>
        <v>0</v>
      </c>
      <c r="AG725" s="186">
        <f t="shared" si="1558"/>
        <v>0</v>
      </c>
      <c r="AH725" s="186">
        <f t="shared" si="1558"/>
        <v>0</v>
      </c>
      <c r="AI725" s="186">
        <f t="shared" si="1558"/>
        <v>0</v>
      </c>
      <c r="AJ725" s="186">
        <f t="shared" si="1558"/>
        <v>0</v>
      </c>
      <c r="AK725" s="186">
        <f t="shared" si="1558"/>
        <v>0</v>
      </c>
      <c r="AL725" s="186">
        <f t="shared" si="1558"/>
        <v>0</v>
      </c>
      <c r="AM725" s="186">
        <f t="shared" si="1558"/>
        <v>0</v>
      </c>
      <c r="AN725" s="186">
        <f t="shared" si="1558"/>
        <v>0</v>
      </c>
      <c r="AO725" s="186">
        <f t="shared" si="1558"/>
        <v>0</v>
      </c>
      <c r="AP725" s="186">
        <f t="shared" si="1558"/>
        <v>0</v>
      </c>
    </row>
    <row r="726" spans="1:42">
      <c r="A726" s="37">
        <f>A725+1</f>
        <v>2</v>
      </c>
      <c r="B726" s="255">
        <f t="shared" si="1557"/>
        <v>107728.40038843744</v>
      </c>
      <c r="C726" s="186">
        <f t="shared" ref="C726:AP726" si="1559">IF(AND(C$2&gt;MMFrequency3*$A713,C$2&lt;=MMFrequency3*$A714),$B714/(MMFrequency3),0)</f>
        <v>0</v>
      </c>
      <c r="D726" s="186">
        <f t="shared" si="1559"/>
        <v>0</v>
      </c>
      <c r="E726" s="186">
        <f t="shared" si="1559"/>
        <v>0</v>
      </c>
      <c r="F726" s="186">
        <f t="shared" si="1559"/>
        <v>35909.466796145811</v>
      </c>
      <c r="G726" s="186">
        <f t="shared" si="1559"/>
        <v>35909.466796145811</v>
      </c>
      <c r="H726" s="186">
        <f t="shared" si="1559"/>
        <v>35909.466796145811</v>
      </c>
      <c r="I726" s="186">
        <f t="shared" si="1559"/>
        <v>0</v>
      </c>
      <c r="J726" s="186">
        <f t="shared" si="1559"/>
        <v>0</v>
      </c>
      <c r="K726" s="186">
        <f t="shared" si="1559"/>
        <v>0</v>
      </c>
      <c r="L726" s="186">
        <f t="shared" si="1559"/>
        <v>0</v>
      </c>
      <c r="M726" s="186">
        <f t="shared" si="1559"/>
        <v>0</v>
      </c>
      <c r="N726" s="186">
        <f t="shared" si="1559"/>
        <v>0</v>
      </c>
      <c r="O726" s="186">
        <f t="shared" si="1559"/>
        <v>0</v>
      </c>
      <c r="P726" s="186">
        <f t="shared" si="1559"/>
        <v>0</v>
      </c>
      <c r="Q726" s="186">
        <f t="shared" si="1559"/>
        <v>0</v>
      </c>
      <c r="R726" s="186">
        <f t="shared" si="1559"/>
        <v>0</v>
      </c>
      <c r="S726" s="186">
        <f t="shared" si="1559"/>
        <v>0</v>
      </c>
      <c r="T726" s="186">
        <f t="shared" si="1559"/>
        <v>0</v>
      </c>
      <c r="U726" s="186">
        <f t="shared" si="1559"/>
        <v>0</v>
      </c>
      <c r="V726" s="186">
        <f t="shared" si="1559"/>
        <v>0</v>
      </c>
      <c r="W726" s="186">
        <f t="shared" si="1559"/>
        <v>0</v>
      </c>
      <c r="X726" s="186">
        <f t="shared" si="1559"/>
        <v>0</v>
      </c>
      <c r="Y726" s="186">
        <f t="shared" si="1559"/>
        <v>0</v>
      </c>
      <c r="Z726" s="186">
        <f t="shared" si="1559"/>
        <v>0</v>
      </c>
      <c r="AA726" s="186">
        <f t="shared" si="1559"/>
        <v>0</v>
      </c>
      <c r="AB726" s="186">
        <f t="shared" si="1559"/>
        <v>0</v>
      </c>
      <c r="AC726" s="186">
        <f t="shared" si="1559"/>
        <v>0</v>
      </c>
      <c r="AD726" s="186">
        <f t="shared" si="1559"/>
        <v>0</v>
      </c>
      <c r="AE726" s="186">
        <f t="shared" si="1559"/>
        <v>0</v>
      </c>
      <c r="AF726" s="186">
        <f t="shared" si="1559"/>
        <v>0</v>
      </c>
      <c r="AG726" s="186">
        <f t="shared" si="1559"/>
        <v>0</v>
      </c>
      <c r="AH726" s="186">
        <f t="shared" si="1559"/>
        <v>0</v>
      </c>
      <c r="AI726" s="186">
        <f t="shared" si="1559"/>
        <v>0</v>
      </c>
      <c r="AJ726" s="186">
        <f t="shared" si="1559"/>
        <v>0</v>
      </c>
      <c r="AK726" s="186">
        <f t="shared" si="1559"/>
        <v>0</v>
      </c>
      <c r="AL726" s="186">
        <f t="shared" si="1559"/>
        <v>0</v>
      </c>
      <c r="AM726" s="186">
        <f t="shared" si="1559"/>
        <v>0</v>
      </c>
      <c r="AN726" s="186">
        <f t="shared" si="1559"/>
        <v>0</v>
      </c>
      <c r="AO726" s="186">
        <f t="shared" si="1559"/>
        <v>0</v>
      </c>
      <c r="AP726" s="186">
        <f t="shared" si="1559"/>
        <v>0</v>
      </c>
    </row>
    <row r="727" spans="1:42">
      <c r="A727" s="37">
        <f t="shared" ref="A727:A732" si="1560">A726+1</f>
        <v>3</v>
      </c>
      <c r="B727" s="255">
        <f t="shared" si="1557"/>
        <v>112649.25865953058</v>
      </c>
      <c r="C727" s="186">
        <f t="shared" ref="C727:AP727" si="1561">IF(AND(C$2&gt;MMFrequency3*$A714,C$2&lt;=MMFrequency3*$A715),$B715/(MMFrequency3),0)</f>
        <v>0</v>
      </c>
      <c r="D727" s="186">
        <f t="shared" si="1561"/>
        <v>0</v>
      </c>
      <c r="E727" s="186">
        <f t="shared" si="1561"/>
        <v>0</v>
      </c>
      <c r="F727" s="186">
        <f t="shared" si="1561"/>
        <v>0</v>
      </c>
      <c r="G727" s="186">
        <f t="shared" si="1561"/>
        <v>0</v>
      </c>
      <c r="H727" s="186">
        <f t="shared" si="1561"/>
        <v>0</v>
      </c>
      <c r="I727" s="186">
        <f t="shared" si="1561"/>
        <v>37549.752886510192</v>
      </c>
      <c r="J727" s="186">
        <f t="shared" si="1561"/>
        <v>37549.752886510192</v>
      </c>
      <c r="K727" s="186">
        <f t="shared" si="1561"/>
        <v>37549.752886510192</v>
      </c>
      <c r="L727" s="186">
        <f t="shared" si="1561"/>
        <v>0</v>
      </c>
      <c r="M727" s="186">
        <f t="shared" si="1561"/>
        <v>0</v>
      </c>
      <c r="N727" s="186">
        <f t="shared" si="1561"/>
        <v>0</v>
      </c>
      <c r="O727" s="186">
        <f t="shared" si="1561"/>
        <v>0</v>
      </c>
      <c r="P727" s="186">
        <f t="shared" si="1561"/>
        <v>0</v>
      </c>
      <c r="Q727" s="186">
        <f t="shared" si="1561"/>
        <v>0</v>
      </c>
      <c r="R727" s="186">
        <f t="shared" si="1561"/>
        <v>0</v>
      </c>
      <c r="S727" s="186">
        <f t="shared" si="1561"/>
        <v>0</v>
      </c>
      <c r="T727" s="186">
        <f t="shared" si="1561"/>
        <v>0</v>
      </c>
      <c r="U727" s="186">
        <f t="shared" si="1561"/>
        <v>0</v>
      </c>
      <c r="V727" s="186">
        <f t="shared" si="1561"/>
        <v>0</v>
      </c>
      <c r="W727" s="186">
        <f t="shared" si="1561"/>
        <v>0</v>
      </c>
      <c r="X727" s="186">
        <f t="shared" si="1561"/>
        <v>0</v>
      </c>
      <c r="Y727" s="186">
        <f t="shared" si="1561"/>
        <v>0</v>
      </c>
      <c r="Z727" s="186">
        <f t="shared" si="1561"/>
        <v>0</v>
      </c>
      <c r="AA727" s="186">
        <f t="shared" si="1561"/>
        <v>0</v>
      </c>
      <c r="AB727" s="186">
        <f t="shared" si="1561"/>
        <v>0</v>
      </c>
      <c r="AC727" s="186">
        <f t="shared" si="1561"/>
        <v>0</v>
      </c>
      <c r="AD727" s="186">
        <f t="shared" si="1561"/>
        <v>0</v>
      </c>
      <c r="AE727" s="186">
        <f t="shared" si="1561"/>
        <v>0</v>
      </c>
      <c r="AF727" s="186">
        <f t="shared" si="1561"/>
        <v>0</v>
      </c>
      <c r="AG727" s="186">
        <f t="shared" si="1561"/>
        <v>0</v>
      </c>
      <c r="AH727" s="186">
        <f t="shared" si="1561"/>
        <v>0</v>
      </c>
      <c r="AI727" s="186">
        <f t="shared" si="1561"/>
        <v>0</v>
      </c>
      <c r="AJ727" s="186">
        <f t="shared" si="1561"/>
        <v>0</v>
      </c>
      <c r="AK727" s="186">
        <f t="shared" si="1561"/>
        <v>0</v>
      </c>
      <c r="AL727" s="186">
        <f t="shared" si="1561"/>
        <v>0</v>
      </c>
      <c r="AM727" s="186">
        <f t="shared" si="1561"/>
        <v>0</v>
      </c>
      <c r="AN727" s="186">
        <f t="shared" si="1561"/>
        <v>0</v>
      </c>
      <c r="AO727" s="186">
        <f t="shared" si="1561"/>
        <v>0</v>
      </c>
      <c r="AP727" s="186">
        <f t="shared" si="1561"/>
        <v>0</v>
      </c>
    </row>
    <row r="728" spans="1:42">
      <c r="A728" s="37">
        <f t="shared" si="1560"/>
        <v>4</v>
      </c>
      <c r="B728" s="255">
        <f t="shared" si="1557"/>
        <v>117794.89374005256</v>
      </c>
      <c r="C728" s="186">
        <f t="shared" ref="C728:AP728" si="1562">IF(AND(C$2&gt;MMFrequency3*$A715,C$2&lt;=MMFrequency3*$A716),$B716/(MMFrequency3),0)</f>
        <v>0</v>
      </c>
      <c r="D728" s="186">
        <f t="shared" si="1562"/>
        <v>0</v>
      </c>
      <c r="E728" s="186">
        <f t="shared" si="1562"/>
        <v>0</v>
      </c>
      <c r="F728" s="186">
        <f t="shared" si="1562"/>
        <v>0</v>
      </c>
      <c r="G728" s="186">
        <f t="shared" si="1562"/>
        <v>0</v>
      </c>
      <c r="H728" s="186">
        <f t="shared" si="1562"/>
        <v>0</v>
      </c>
      <c r="I728" s="186">
        <f t="shared" si="1562"/>
        <v>0</v>
      </c>
      <c r="J728" s="186">
        <f t="shared" si="1562"/>
        <v>0</v>
      </c>
      <c r="K728" s="186">
        <f t="shared" si="1562"/>
        <v>0</v>
      </c>
      <c r="L728" s="186">
        <f t="shared" si="1562"/>
        <v>39264.96458001752</v>
      </c>
      <c r="M728" s="186">
        <f t="shared" si="1562"/>
        <v>39264.96458001752</v>
      </c>
      <c r="N728" s="186">
        <f t="shared" si="1562"/>
        <v>39264.96458001752</v>
      </c>
      <c r="O728" s="186">
        <f t="shared" si="1562"/>
        <v>0</v>
      </c>
      <c r="P728" s="186">
        <f t="shared" si="1562"/>
        <v>0</v>
      </c>
      <c r="Q728" s="186">
        <f t="shared" si="1562"/>
        <v>0</v>
      </c>
      <c r="R728" s="186">
        <f t="shared" si="1562"/>
        <v>0</v>
      </c>
      <c r="S728" s="186">
        <f t="shared" si="1562"/>
        <v>0</v>
      </c>
      <c r="T728" s="186">
        <f t="shared" si="1562"/>
        <v>0</v>
      </c>
      <c r="U728" s="186">
        <f t="shared" si="1562"/>
        <v>0</v>
      </c>
      <c r="V728" s="186">
        <f t="shared" si="1562"/>
        <v>0</v>
      </c>
      <c r="W728" s="186">
        <f t="shared" si="1562"/>
        <v>0</v>
      </c>
      <c r="X728" s="186">
        <f t="shared" si="1562"/>
        <v>0</v>
      </c>
      <c r="Y728" s="186">
        <f t="shared" si="1562"/>
        <v>0</v>
      </c>
      <c r="Z728" s="186">
        <f t="shared" si="1562"/>
        <v>0</v>
      </c>
      <c r="AA728" s="186">
        <f t="shared" si="1562"/>
        <v>0</v>
      </c>
      <c r="AB728" s="186">
        <f t="shared" si="1562"/>
        <v>0</v>
      </c>
      <c r="AC728" s="186">
        <f t="shared" si="1562"/>
        <v>0</v>
      </c>
      <c r="AD728" s="186">
        <f t="shared" si="1562"/>
        <v>0</v>
      </c>
      <c r="AE728" s="186">
        <f t="shared" si="1562"/>
        <v>0</v>
      </c>
      <c r="AF728" s="186">
        <f t="shared" si="1562"/>
        <v>0</v>
      </c>
      <c r="AG728" s="186">
        <f t="shared" si="1562"/>
        <v>0</v>
      </c>
      <c r="AH728" s="186">
        <f t="shared" si="1562"/>
        <v>0</v>
      </c>
      <c r="AI728" s="186">
        <f t="shared" si="1562"/>
        <v>0</v>
      </c>
      <c r="AJ728" s="186">
        <f t="shared" si="1562"/>
        <v>0</v>
      </c>
      <c r="AK728" s="186">
        <f t="shared" si="1562"/>
        <v>0</v>
      </c>
      <c r="AL728" s="186">
        <f t="shared" si="1562"/>
        <v>0</v>
      </c>
      <c r="AM728" s="186">
        <f t="shared" si="1562"/>
        <v>0</v>
      </c>
      <c r="AN728" s="186">
        <f t="shared" si="1562"/>
        <v>0</v>
      </c>
      <c r="AO728" s="186">
        <f t="shared" si="1562"/>
        <v>0</v>
      </c>
      <c r="AP728" s="186">
        <f t="shared" si="1562"/>
        <v>0</v>
      </c>
    </row>
    <row r="729" spans="1:42">
      <c r="A729" s="37">
        <f t="shared" si="1560"/>
        <v>5</v>
      </c>
      <c r="B729" s="255">
        <f t="shared" si="1557"/>
        <v>123175.57306939576</v>
      </c>
      <c r="C729" s="186">
        <f t="shared" ref="C729:AP729" si="1563">IF(AND(C$2&gt;MMFrequency3*$A716,C$2&lt;=MMFrequency3*$A717),$B717/(MMFrequency3),0)</f>
        <v>0</v>
      </c>
      <c r="D729" s="186">
        <f t="shared" si="1563"/>
        <v>0</v>
      </c>
      <c r="E729" s="186">
        <f t="shared" si="1563"/>
        <v>0</v>
      </c>
      <c r="F729" s="186">
        <f t="shared" si="1563"/>
        <v>0</v>
      </c>
      <c r="G729" s="186">
        <f t="shared" si="1563"/>
        <v>0</v>
      </c>
      <c r="H729" s="186">
        <f t="shared" si="1563"/>
        <v>0</v>
      </c>
      <c r="I729" s="186">
        <f t="shared" si="1563"/>
        <v>0</v>
      </c>
      <c r="J729" s="186">
        <f t="shared" si="1563"/>
        <v>0</v>
      </c>
      <c r="K729" s="186">
        <f t="shared" si="1563"/>
        <v>0</v>
      </c>
      <c r="L729" s="186">
        <f t="shared" si="1563"/>
        <v>0</v>
      </c>
      <c r="M729" s="186">
        <f t="shared" si="1563"/>
        <v>0</v>
      </c>
      <c r="N729" s="186">
        <f t="shared" si="1563"/>
        <v>0</v>
      </c>
      <c r="O729" s="186">
        <f t="shared" si="1563"/>
        <v>41058.524356465256</v>
      </c>
      <c r="P729" s="186">
        <f t="shared" si="1563"/>
        <v>41058.524356465256</v>
      </c>
      <c r="Q729" s="186">
        <f t="shared" si="1563"/>
        <v>41058.524356465256</v>
      </c>
      <c r="R729" s="186">
        <f t="shared" si="1563"/>
        <v>0</v>
      </c>
      <c r="S729" s="186">
        <f t="shared" si="1563"/>
        <v>0</v>
      </c>
      <c r="T729" s="186">
        <f t="shared" si="1563"/>
        <v>0</v>
      </c>
      <c r="U729" s="186">
        <f t="shared" si="1563"/>
        <v>0</v>
      </c>
      <c r="V729" s="186">
        <f t="shared" si="1563"/>
        <v>0</v>
      </c>
      <c r="W729" s="186">
        <f t="shared" si="1563"/>
        <v>0</v>
      </c>
      <c r="X729" s="186">
        <f t="shared" si="1563"/>
        <v>0</v>
      </c>
      <c r="Y729" s="186">
        <f t="shared" si="1563"/>
        <v>0</v>
      </c>
      <c r="Z729" s="186">
        <f t="shared" si="1563"/>
        <v>0</v>
      </c>
      <c r="AA729" s="186">
        <f t="shared" si="1563"/>
        <v>0</v>
      </c>
      <c r="AB729" s="186">
        <f t="shared" si="1563"/>
        <v>0</v>
      </c>
      <c r="AC729" s="186">
        <f t="shared" si="1563"/>
        <v>0</v>
      </c>
      <c r="AD729" s="186">
        <f t="shared" si="1563"/>
        <v>0</v>
      </c>
      <c r="AE729" s="186">
        <f t="shared" si="1563"/>
        <v>0</v>
      </c>
      <c r="AF729" s="186">
        <f t="shared" si="1563"/>
        <v>0</v>
      </c>
      <c r="AG729" s="186">
        <f t="shared" si="1563"/>
        <v>0</v>
      </c>
      <c r="AH729" s="186">
        <f t="shared" si="1563"/>
        <v>0</v>
      </c>
      <c r="AI729" s="186">
        <f t="shared" si="1563"/>
        <v>0</v>
      </c>
      <c r="AJ729" s="186">
        <f t="shared" si="1563"/>
        <v>0</v>
      </c>
      <c r="AK729" s="186">
        <f t="shared" si="1563"/>
        <v>0</v>
      </c>
      <c r="AL729" s="186">
        <f t="shared" si="1563"/>
        <v>0</v>
      </c>
      <c r="AM729" s="186">
        <f t="shared" si="1563"/>
        <v>0</v>
      </c>
      <c r="AN729" s="186">
        <f t="shared" si="1563"/>
        <v>0</v>
      </c>
      <c r="AO729" s="186">
        <f t="shared" si="1563"/>
        <v>0</v>
      </c>
      <c r="AP729" s="186">
        <f t="shared" si="1563"/>
        <v>0</v>
      </c>
    </row>
    <row r="730" spans="1:42">
      <c r="A730" s="37">
        <f t="shared" si="1560"/>
        <v>6</v>
      </c>
      <c r="B730" s="255">
        <f t="shared" si="1557"/>
        <v>128802.03308689949</v>
      </c>
      <c r="C730" s="186">
        <f t="shared" ref="C730:AP730" si="1564">IF(AND(C$2&gt;MMFrequency3*$A717,C$2&lt;=MMFrequency3*$A718),$B718/(MMFrequency3),0)</f>
        <v>0</v>
      </c>
      <c r="D730" s="186">
        <f t="shared" si="1564"/>
        <v>0</v>
      </c>
      <c r="E730" s="186">
        <f t="shared" si="1564"/>
        <v>0</v>
      </c>
      <c r="F730" s="186">
        <f t="shared" si="1564"/>
        <v>0</v>
      </c>
      <c r="G730" s="186">
        <f t="shared" si="1564"/>
        <v>0</v>
      </c>
      <c r="H730" s="186">
        <f t="shared" si="1564"/>
        <v>0</v>
      </c>
      <c r="I730" s="186">
        <f t="shared" si="1564"/>
        <v>0</v>
      </c>
      <c r="J730" s="186">
        <f t="shared" si="1564"/>
        <v>0</v>
      </c>
      <c r="K730" s="186">
        <f t="shared" si="1564"/>
        <v>0</v>
      </c>
      <c r="L730" s="186">
        <f t="shared" si="1564"/>
        <v>0</v>
      </c>
      <c r="M730" s="186">
        <f t="shared" si="1564"/>
        <v>0</v>
      </c>
      <c r="N730" s="186">
        <f t="shared" si="1564"/>
        <v>0</v>
      </c>
      <c r="O730" s="186">
        <f t="shared" si="1564"/>
        <v>0</v>
      </c>
      <c r="P730" s="186">
        <f t="shared" si="1564"/>
        <v>0</v>
      </c>
      <c r="Q730" s="186">
        <f t="shared" si="1564"/>
        <v>0</v>
      </c>
      <c r="R730" s="186">
        <f t="shared" si="1564"/>
        <v>42934.011028966495</v>
      </c>
      <c r="S730" s="186">
        <f t="shared" si="1564"/>
        <v>42934.011028966495</v>
      </c>
      <c r="T730" s="186">
        <f t="shared" si="1564"/>
        <v>42934.011028966495</v>
      </c>
      <c r="U730" s="186">
        <f t="shared" si="1564"/>
        <v>0</v>
      </c>
      <c r="V730" s="186">
        <f t="shared" si="1564"/>
        <v>0</v>
      </c>
      <c r="W730" s="186">
        <f t="shared" si="1564"/>
        <v>0</v>
      </c>
      <c r="X730" s="186">
        <f t="shared" si="1564"/>
        <v>0</v>
      </c>
      <c r="Y730" s="186">
        <f t="shared" si="1564"/>
        <v>0</v>
      </c>
      <c r="Z730" s="186">
        <f t="shared" si="1564"/>
        <v>0</v>
      </c>
      <c r="AA730" s="186">
        <f t="shared" si="1564"/>
        <v>0</v>
      </c>
      <c r="AB730" s="186">
        <f t="shared" si="1564"/>
        <v>0</v>
      </c>
      <c r="AC730" s="186">
        <f t="shared" si="1564"/>
        <v>0</v>
      </c>
      <c r="AD730" s="186">
        <f t="shared" si="1564"/>
        <v>0</v>
      </c>
      <c r="AE730" s="186">
        <f t="shared" si="1564"/>
        <v>0</v>
      </c>
      <c r="AF730" s="186">
        <f t="shared" si="1564"/>
        <v>0</v>
      </c>
      <c r="AG730" s="186">
        <f t="shared" si="1564"/>
        <v>0</v>
      </c>
      <c r="AH730" s="186">
        <f t="shared" si="1564"/>
        <v>0</v>
      </c>
      <c r="AI730" s="186">
        <f t="shared" si="1564"/>
        <v>0</v>
      </c>
      <c r="AJ730" s="186">
        <f t="shared" si="1564"/>
        <v>0</v>
      </c>
      <c r="AK730" s="186">
        <f t="shared" si="1564"/>
        <v>0</v>
      </c>
      <c r="AL730" s="186">
        <f t="shared" si="1564"/>
        <v>0</v>
      </c>
      <c r="AM730" s="186">
        <f t="shared" si="1564"/>
        <v>0</v>
      </c>
      <c r="AN730" s="186">
        <f t="shared" si="1564"/>
        <v>0</v>
      </c>
      <c r="AO730" s="186">
        <f t="shared" si="1564"/>
        <v>0</v>
      </c>
      <c r="AP730" s="186">
        <f t="shared" si="1564"/>
        <v>0</v>
      </c>
    </row>
    <row r="731" spans="1:42">
      <c r="A731" s="37">
        <f t="shared" si="1560"/>
        <v>7</v>
      </c>
      <c r="B731" s="255">
        <f t="shared" si="1557"/>
        <v>134685.50065500522</v>
      </c>
      <c r="C731" s="186">
        <f t="shared" ref="C731:AP731" si="1565">IF(AND(C$2&gt;MMFrequency3*$A718,C$2&lt;=MMFrequency3*$A719),$B719/(MMFrequency3),0)</f>
        <v>0</v>
      </c>
      <c r="D731" s="186">
        <f t="shared" si="1565"/>
        <v>0</v>
      </c>
      <c r="E731" s="186">
        <f t="shared" si="1565"/>
        <v>0</v>
      </c>
      <c r="F731" s="186">
        <f t="shared" si="1565"/>
        <v>0</v>
      </c>
      <c r="G731" s="186">
        <f t="shared" si="1565"/>
        <v>0</v>
      </c>
      <c r="H731" s="186">
        <f t="shared" si="1565"/>
        <v>0</v>
      </c>
      <c r="I731" s="186">
        <f t="shared" si="1565"/>
        <v>0</v>
      </c>
      <c r="J731" s="186">
        <f t="shared" si="1565"/>
        <v>0</v>
      </c>
      <c r="K731" s="186">
        <f t="shared" si="1565"/>
        <v>0</v>
      </c>
      <c r="L731" s="186">
        <f t="shared" si="1565"/>
        <v>0</v>
      </c>
      <c r="M731" s="186">
        <f t="shared" si="1565"/>
        <v>0</v>
      </c>
      <c r="N731" s="186">
        <f t="shared" si="1565"/>
        <v>0</v>
      </c>
      <c r="O731" s="186">
        <f t="shared" si="1565"/>
        <v>0</v>
      </c>
      <c r="P731" s="186">
        <f t="shared" si="1565"/>
        <v>0</v>
      </c>
      <c r="Q731" s="186">
        <f t="shared" si="1565"/>
        <v>0</v>
      </c>
      <c r="R731" s="186">
        <f t="shared" si="1565"/>
        <v>0</v>
      </c>
      <c r="S731" s="186">
        <f t="shared" si="1565"/>
        <v>0</v>
      </c>
      <c r="T731" s="186">
        <f t="shared" si="1565"/>
        <v>0</v>
      </c>
      <c r="U731" s="186">
        <f t="shared" si="1565"/>
        <v>44895.166885001738</v>
      </c>
      <c r="V731" s="186">
        <f t="shared" si="1565"/>
        <v>44895.166885001738</v>
      </c>
      <c r="W731" s="186">
        <f t="shared" si="1565"/>
        <v>44895.166885001738</v>
      </c>
      <c r="X731" s="186">
        <f t="shared" si="1565"/>
        <v>0</v>
      </c>
      <c r="Y731" s="186">
        <f t="shared" si="1565"/>
        <v>0</v>
      </c>
      <c r="Z731" s="186">
        <f t="shared" si="1565"/>
        <v>0</v>
      </c>
      <c r="AA731" s="186">
        <f t="shared" si="1565"/>
        <v>0</v>
      </c>
      <c r="AB731" s="186">
        <f t="shared" si="1565"/>
        <v>0</v>
      </c>
      <c r="AC731" s="186">
        <f t="shared" si="1565"/>
        <v>0</v>
      </c>
      <c r="AD731" s="186">
        <f t="shared" si="1565"/>
        <v>0</v>
      </c>
      <c r="AE731" s="186">
        <f t="shared" si="1565"/>
        <v>0</v>
      </c>
      <c r="AF731" s="186">
        <f t="shared" si="1565"/>
        <v>0</v>
      </c>
      <c r="AG731" s="186">
        <f t="shared" si="1565"/>
        <v>0</v>
      </c>
      <c r="AH731" s="186">
        <f t="shared" si="1565"/>
        <v>0</v>
      </c>
      <c r="AI731" s="186">
        <f t="shared" si="1565"/>
        <v>0</v>
      </c>
      <c r="AJ731" s="186">
        <f t="shared" si="1565"/>
        <v>0</v>
      </c>
      <c r="AK731" s="186">
        <f t="shared" si="1565"/>
        <v>0</v>
      </c>
      <c r="AL731" s="186">
        <f t="shared" si="1565"/>
        <v>0</v>
      </c>
      <c r="AM731" s="186">
        <f t="shared" si="1565"/>
        <v>0</v>
      </c>
      <c r="AN731" s="186">
        <f t="shared" si="1565"/>
        <v>0</v>
      </c>
      <c r="AO731" s="186">
        <f t="shared" si="1565"/>
        <v>0</v>
      </c>
      <c r="AP731" s="186">
        <f t="shared" si="1565"/>
        <v>0</v>
      </c>
    </row>
    <row r="732" spans="1:42">
      <c r="A732" s="37">
        <f t="shared" si="1560"/>
        <v>8</v>
      </c>
      <c r="B732" s="255">
        <f t="shared" si="1557"/>
        <v>140837.71546098724</v>
      </c>
      <c r="C732" s="186">
        <f t="shared" ref="C732:AP732" si="1566">IF(AND(C$2&gt;MMFrequency3*$A719,C$2&lt;=MMFrequency3*$A720),$B720/(MMFrequency3),0)</f>
        <v>0</v>
      </c>
      <c r="D732" s="186">
        <f t="shared" si="1566"/>
        <v>0</v>
      </c>
      <c r="E732" s="186">
        <f t="shared" si="1566"/>
        <v>0</v>
      </c>
      <c r="F732" s="186">
        <f t="shared" si="1566"/>
        <v>0</v>
      </c>
      <c r="G732" s="186">
        <f t="shared" si="1566"/>
        <v>0</v>
      </c>
      <c r="H732" s="186">
        <f t="shared" si="1566"/>
        <v>0</v>
      </c>
      <c r="I732" s="186">
        <f t="shared" si="1566"/>
        <v>0</v>
      </c>
      <c r="J732" s="186">
        <f t="shared" si="1566"/>
        <v>0</v>
      </c>
      <c r="K732" s="186">
        <f t="shared" si="1566"/>
        <v>0</v>
      </c>
      <c r="L732" s="186">
        <f t="shared" si="1566"/>
        <v>0</v>
      </c>
      <c r="M732" s="186">
        <f t="shared" si="1566"/>
        <v>0</v>
      </c>
      <c r="N732" s="186">
        <f t="shared" si="1566"/>
        <v>0</v>
      </c>
      <c r="O732" s="186">
        <f t="shared" si="1566"/>
        <v>0</v>
      </c>
      <c r="P732" s="186">
        <f t="shared" si="1566"/>
        <v>0</v>
      </c>
      <c r="Q732" s="186">
        <f t="shared" si="1566"/>
        <v>0</v>
      </c>
      <c r="R732" s="186">
        <f t="shared" si="1566"/>
        <v>0</v>
      </c>
      <c r="S732" s="186">
        <f t="shared" si="1566"/>
        <v>0</v>
      </c>
      <c r="T732" s="186">
        <f t="shared" si="1566"/>
        <v>0</v>
      </c>
      <c r="U732" s="186">
        <f t="shared" si="1566"/>
        <v>0</v>
      </c>
      <c r="V732" s="186">
        <f t="shared" si="1566"/>
        <v>0</v>
      </c>
      <c r="W732" s="186">
        <f t="shared" si="1566"/>
        <v>0</v>
      </c>
      <c r="X732" s="186">
        <f t="shared" si="1566"/>
        <v>46945.90515366241</v>
      </c>
      <c r="Y732" s="186">
        <f t="shared" si="1566"/>
        <v>46945.90515366241</v>
      </c>
      <c r="Z732" s="186">
        <f t="shared" si="1566"/>
        <v>46945.90515366241</v>
      </c>
      <c r="AA732" s="186">
        <f t="shared" si="1566"/>
        <v>0</v>
      </c>
      <c r="AB732" s="186">
        <f t="shared" si="1566"/>
        <v>0</v>
      </c>
      <c r="AC732" s="186">
        <f t="shared" si="1566"/>
        <v>0</v>
      </c>
      <c r="AD732" s="186">
        <f t="shared" si="1566"/>
        <v>0</v>
      </c>
      <c r="AE732" s="186">
        <f t="shared" si="1566"/>
        <v>0</v>
      </c>
      <c r="AF732" s="186">
        <f t="shared" si="1566"/>
        <v>0</v>
      </c>
      <c r="AG732" s="186">
        <f t="shared" si="1566"/>
        <v>0</v>
      </c>
      <c r="AH732" s="186">
        <f t="shared" si="1566"/>
        <v>0</v>
      </c>
      <c r="AI732" s="186">
        <f t="shared" si="1566"/>
        <v>0</v>
      </c>
      <c r="AJ732" s="186">
        <f t="shared" si="1566"/>
        <v>0</v>
      </c>
      <c r="AK732" s="186">
        <f t="shared" si="1566"/>
        <v>0</v>
      </c>
      <c r="AL732" s="186">
        <f t="shared" si="1566"/>
        <v>0</v>
      </c>
      <c r="AM732" s="186">
        <f t="shared" si="1566"/>
        <v>0</v>
      </c>
      <c r="AN732" s="186">
        <f t="shared" si="1566"/>
        <v>0</v>
      </c>
      <c r="AO732" s="186">
        <f t="shared" si="1566"/>
        <v>0</v>
      </c>
      <c r="AP732" s="186">
        <f t="shared" si="1566"/>
        <v>0</v>
      </c>
    </row>
    <row r="733" spans="1:42">
      <c r="A733" s="37">
        <f>A732+1</f>
        <v>9</v>
      </c>
      <c r="B733" s="255">
        <f t="shared" si="1557"/>
        <v>147270.95344195748</v>
      </c>
      <c r="C733" s="186">
        <f t="shared" ref="C733:AP733" si="1567">IF(AND(C$2&gt;MMFrequency3*$A720,C$2&lt;=MMFrequency3*$A721),$B721/(MMFrequency3),0)</f>
        <v>0</v>
      </c>
      <c r="D733" s="186">
        <f t="shared" si="1567"/>
        <v>0</v>
      </c>
      <c r="E733" s="186">
        <f t="shared" si="1567"/>
        <v>0</v>
      </c>
      <c r="F733" s="186">
        <f t="shared" si="1567"/>
        <v>0</v>
      </c>
      <c r="G733" s="186">
        <f t="shared" si="1567"/>
        <v>0</v>
      </c>
      <c r="H733" s="186">
        <f t="shared" si="1567"/>
        <v>0</v>
      </c>
      <c r="I733" s="186">
        <f t="shared" si="1567"/>
        <v>0</v>
      </c>
      <c r="J733" s="186">
        <f t="shared" si="1567"/>
        <v>0</v>
      </c>
      <c r="K733" s="186">
        <f t="shared" si="1567"/>
        <v>0</v>
      </c>
      <c r="L733" s="186">
        <f t="shared" si="1567"/>
        <v>0</v>
      </c>
      <c r="M733" s="186">
        <f t="shared" si="1567"/>
        <v>0</v>
      </c>
      <c r="N733" s="186">
        <f t="shared" si="1567"/>
        <v>0</v>
      </c>
      <c r="O733" s="186">
        <f t="shared" si="1567"/>
        <v>0</v>
      </c>
      <c r="P733" s="186">
        <f t="shared" si="1567"/>
        <v>0</v>
      </c>
      <c r="Q733" s="186">
        <f t="shared" si="1567"/>
        <v>0</v>
      </c>
      <c r="R733" s="186">
        <f t="shared" si="1567"/>
        <v>0</v>
      </c>
      <c r="S733" s="186">
        <f t="shared" si="1567"/>
        <v>0</v>
      </c>
      <c r="T733" s="186">
        <f t="shared" si="1567"/>
        <v>0</v>
      </c>
      <c r="U733" s="186">
        <f t="shared" si="1567"/>
        <v>0</v>
      </c>
      <c r="V733" s="186">
        <f t="shared" si="1567"/>
        <v>0</v>
      </c>
      <c r="W733" s="186">
        <f t="shared" si="1567"/>
        <v>0</v>
      </c>
      <c r="X733" s="186">
        <f t="shared" si="1567"/>
        <v>0</v>
      </c>
      <c r="Y733" s="186">
        <f t="shared" si="1567"/>
        <v>0</v>
      </c>
      <c r="Z733" s="186">
        <f t="shared" si="1567"/>
        <v>0</v>
      </c>
      <c r="AA733" s="186">
        <f t="shared" si="1567"/>
        <v>49090.317813985828</v>
      </c>
      <c r="AB733" s="186">
        <f t="shared" si="1567"/>
        <v>49090.317813985828</v>
      </c>
      <c r="AC733" s="186">
        <f t="shared" si="1567"/>
        <v>49090.317813985828</v>
      </c>
      <c r="AD733" s="186">
        <f t="shared" si="1567"/>
        <v>0</v>
      </c>
      <c r="AE733" s="186">
        <f t="shared" si="1567"/>
        <v>0</v>
      </c>
      <c r="AF733" s="186">
        <f t="shared" si="1567"/>
        <v>0</v>
      </c>
      <c r="AG733" s="186">
        <f t="shared" si="1567"/>
        <v>0</v>
      </c>
      <c r="AH733" s="186">
        <f t="shared" si="1567"/>
        <v>0</v>
      </c>
      <c r="AI733" s="186">
        <f t="shared" si="1567"/>
        <v>0</v>
      </c>
      <c r="AJ733" s="186">
        <f t="shared" si="1567"/>
        <v>0</v>
      </c>
      <c r="AK733" s="186">
        <f t="shared" si="1567"/>
        <v>0</v>
      </c>
      <c r="AL733" s="186">
        <f t="shared" si="1567"/>
        <v>0</v>
      </c>
      <c r="AM733" s="186">
        <f t="shared" si="1567"/>
        <v>0</v>
      </c>
      <c r="AN733" s="186">
        <f t="shared" si="1567"/>
        <v>0</v>
      </c>
      <c r="AO733" s="186">
        <f t="shared" si="1567"/>
        <v>0</v>
      </c>
      <c r="AP733" s="186">
        <f t="shared" si="1567"/>
        <v>0</v>
      </c>
    </row>
    <row r="734" spans="1:42">
      <c r="A734" s="37">
        <f t="shared" ref="A734" si="1568">A733+1</f>
        <v>10</v>
      </c>
      <c r="B734" s="255">
        <f t="shared" si="1557"/>
        <v>153998.05127988668</v>
      </c>
      <c r="C734" s="187">
        <f t="shared" ref="C734:AP734" si="1569">IF(AND(C$2&gt;MMFrequency3*$A721,C$2&lt;=MMFrequency3*$A722),$B722/(MMFrequency3),0)</f>
        <v>0</v>
      </c>
      <c r="D734" s="187">
        <f t="shared" si="1569"/>
        <v>0</v>
      </c>
      <c r="E734" s="187">
        <f t="shared" si="1569"/>
        <v>0</v>
      </c>
      <c r="F734" s="187">
        <f t="shared" si="1569"/>
        <v>0</v>
      </c>
      <c r="G734" s="187">
        <f t="shared" si="1569"/>
        <v>0</v>
      </c>
      <c r="H734" s="187">
        <f t="shared" si="1569"/>
        <v>0</v>
      </c>
      <c r="I734" s="187">
        <f t="shared" si="1569"/>
        <v>0</v>
      </c>
      <c r="J734" s="187">
        <f t="shared" si="1569"/>
        <v>0</v>
      </c>
      <c r="K734" s="187">
        <f t="shared" si="1569"/>
        <v>0</v>
      </c>
      <c r="L734" s="187">
        <f t="shared" si="1569"/>
        <v>0</v>
      </c>
      <c r="M734" s="187">
        <f t="shared" si="1569"/>
        <v>0</v>
      </c>
      <c r="N734" s="187">
        <f t="shared" si="1569"/>
        <v>0</v>
      </c>
      <c r="O734" s="187">
        <f t="shared" si="1569"/>
        <v>0</v>
      </c>
      <c r="P734" s="187">
        <f t="shared" si="1569"/>
        <v>0</v>
      </c>
      <c r="Q734" s="187">
        <f t="shared" si="1569"/>
        <v>0</v>
      </c>
      <c r="R734" s="187">
        <f t="shared" si="1569"/>
        <v>0</v>
      </c>
      <c r="S734" s="187">
        <f t="shared" si="1569"/>
        <v>0</v>
      </c>
      <c r="T734" s="187">
        <f t="shared" si="1569"/>
        <v>0</v>
      </c>
      <c r="U734" s="187">
        <f t="shared" si="1569"/>
        <v>0</v>
      </c>
      <c r="V734" s="187">
        <f t="shared" si="1569"/>
        <v>0</v>
      </c>
      <c r="W734" s="187">
        <f t="shared" si="1569"/>
        <v>0</v>
      </c>
      <c r="X734" s="187">
        <f t="shared" si="1569"/>
        <v>0</v>
      </c>
      <c r="Y734" s="187">
        <f t="shared" si="1569"/>
        <v>0</v>
      </c>
      <c r="Z734" s="187">
        <f t="shared" si="1569"/>
        <v>0</v>
      </c>
      <c r="AA734" s="187">
        <f t="shared" si="1569"/>
        <v>0</v>
      </c>
      <c r="AB734" s="187">
        <f t="shared" si="1569"/>
        <v>0</v>
      </c>
      <c r="AC734" s="187">
        <f t="shared" si="1569"/>
        <v>0</v>
      </c>
      <c r="AD734" s="187">
        <f t="shared" si="1569"/>
        <v>51332.68375996223</v>
      </c>
      <c r="AE734" s="187">
        <f t="shared" si="1569"/>
        <v>51332.68375996223</v>
      </c>
      <c r="AF734" s="187">
        <f t="shared" si="1569"/>
        <v>51332.68375996223</v>
      </c>
      <c r="AG734" s="187">
        <f t="shared" si="1569"/>
        <v>0</v>
      </c>
      <c r="AH734" s="187">
        <f t="shared" si="1569"/>
        <v>0</v>
      </c>
      <c r="AI734" s="187">
        <f t="shared" si="1569"/>
        <v>0</v>
      </c>
      <c r="AJ734" s="187">
        <f t="shared" si="1569"/>
        <v>0</v>
      </c>
      <c r="AK734" s="187">
        <f t="shared" si="1569"/>
        <v>0</v>
      </c>
      <c r="AL734" s="187">
        <f t="shared" si="1569"/>
        <v>0</v>
      </c>
      <c r="AM734" s="187">
        <f t="shared" si="1569"/>
        <v>0</v>
      </c>
      <c r="AN734" s="187">
        <f t="shared" si="1569"/>
        <v>0</v>
      </c>
      <c r="AO734" s="187">
        <f t="shared" si="1569"/>
        <v>0</v>
      </c>
      <c r="AP734" s="187">
        <f t="shared" si="1569"/>
        <v>0</v>
      </c>
    </row>
    <row r="735" spans="1:42">
      <c r="A735" s="219" t="s">
        <v>53</v>
      </c>
      <c r="B735" s="186"/>
      <c r="C735" s="152">
        <f>SUM(C725:C734)</f>
        <v>34340.833333333321</v>
      </c>
      <c r="D735" s="152">
        <f t="shared" ref="D735:AP735" si="1570">SUM(D725:D734)</f>
        <v>34340.833333333321</v>
      </c>
      <c r="E735" s="152">
        <f t="shared" si="1570"/>
        <v>34340.833333333321</v>
      </c>
      <c r="F735" s="152">
        <f t="shared" si="1570"/>
        <v>35909.466796145811</v>
      </c>
      <c r="G735" s="152">
        <f t="shared" si="1570"/>
        <v>35909.466796145811</v>
      </c>
      <c r="H735" s="152">
        <f t="shared" si="1570"/>
        <v>35909.466796145811</v>
      </c>
      <c r="I735" s="152">
        <f t="shared" si="1570"/>
        <v>37549.752886510192</v>
      </c>
      <c r="J735" s="152">
        <f t="shared" si="1570"/>
        <v>37549.752886510192</v>
      </c>
      <c r="K735" s="152">
        <f t="shared" si="1570"/>
        <v>37549.752886510192</v>
      </c>
      <c r="L735" s="152">
        <f t="shared" si="1570"/>
        <v>39264.96458001752</v>
      </c>
      <c r="M735" s="152">
        <f t="shared" si="1570"/>
        <v>39264.96458001752</v>
      </c>
      <c r="N735" s="152">
        <f t="shared" si="1570"/>
        <v>39264.96458001752</v>
      </c>
      <c r="O735" s="152">
        <f t="shared" si="1570"/>
        <v>41058.524356465256</v>
      </c>
      <c r="P735" s="152">
        <f t="shared" si="1570"/>
        <v>41058.524356465256</v>
      </c>
      <c r="Q735" s="152">
        <f t="shared" si="1570"/>
        <v>41058.524356465256</v>
      </c>
      <c r="R735" s="152">
        <f t="shared" si="1570"/>
        <v>42934.011028966495</v>
      </c>
      <c r="S735" s="152">
        <f t="shared" si="1570"/>
        <v>42934.011028966495</v>
      </c>
      <c r="T735" s="152">
        <f t="shared" si="1570"/>
        <v>42934.011028966495</v>
      </c>
      <c r="U735" s="152">
        <f t="shared" si="1570"/>
        <v>44895.166885001738</v>
      </c>
      <c r="V735" s="152">
        <f t="shared" si="1570"/>
        <v>44895.166885001738</v>
      </c>
      <c r="W735" s="152">
        <f t="shared" si="1570"/>
        <v>44895.166885001738</v>
      </c>
      <c r="X735" s="152">
        <f t="shared" si="1570"/>
        <v>46945.90515366241</v>
      </c>
      <c r="Y735" s="152">
        <f t="shared" si="1570"/>
        <v>46945.90515366241</v>
      </c>
      <c r="Z735" s="152">
        <f t="shared" si="1570"/>
        <v>46945.90515366241</v>
      </c>
      <c r="AA735" s="152">
        <f t="shared" si="1570"/>
        <v>49090.317813985828</v>
      </c>
      <c r="AB735" s="152">
        <f t="shared" si="1570"/>
        <v>49090.317813985828</v>
      </c>
      <c r="AC735" s="152">
        <f t="shared" si="1570"/>
        <v>49090.317813985828</v>
      </c>
      <c r="AD735" s="152">
        <f t="shared" si="1570"/>
        <v>51332.68375996223</v>
      </c>
      <c r="AE735" s="152">
        <f t="shared" si="1570"/>
        <v>51332.68375996223</v>
      </c>
      <c r="AF735" s="152">
        <f t="shared" si="1570"/>
        <v>51332.68375996223</v>
      </c>
      <c r="AG735" s="152">
        <f t="shared" si="1570"/>
        <v>0</v>
      </c>
      <c r="AH735" s="152">
        <f t="shared" si="1570"/>
        <v>0</v>
      </c>
      <c r="AI735" s="152">
        <f t="shared" si="1570"/>
        <v>0</v>
      </c>
      <c r="AJ735" s="152">
        <f t="shared" si="1570"/>
        <v>0</v>
      </c>
      <c r="AK735" s="152">
        <f t="shared" si="1570"/>
        <v>0</v>
      </c>
      <c r="AL735" s="152">
        <f t="shared" si="1570"/>
        <v>0</v>
      </c>
      <c r="AM735" s="152">
        <f t="shared" si="1570"/>
        <v>0</v>
      </c>
      <c r="AN735" s="152">
        <f t="shared" si="1570"/>
        <v>0</v>
      </c>
      <c r="AO735" s="152">
        <f t="shared" si="1570"/>
        <v>0</v>
      </c>
      <c r="AP735" s="152">
        <f t="shared" si="1570"/>
        <v>0</v>
      </c>
    </row>
    <row r="736" spans="1:42">
      <c r="B736" s="186"/>
      <c r="C736" s="152"/>
      <c r="D736" s="152"/>
      <c r="E736" s="152"/>
      <c r="F736" s="152"/>
      <c r="G736" s="152"/>
      <c r="H736" s="152"/>
      <c r="I736" s="152"/>
      <c r="J736" s="152"/>
      <c r="K736" s="152"/>
      <c r="L736" s="152"/>
      <c r="M736" s="152"/>
      <c r="N736" s="152"/>
      <c r="O736" s="152"/>
      <c r="P736" s="152"/>
      <c r="Q736" s="152"/>
      <c r="R736" s="152"/>
      <c r="S736" s="152"/>
      <c r="T736" s="152"/>
      <c r="U736" s="152"/>
      <c r="V736" s="152"/>
      <c r="W736" s="152"/>
      <c r="X736" s="152"/>
      <c r="Y736" s="152"/>
      <c r="Z736" s="152"/>
      <c r="AA736" s="152"/>
      <c r="AB736" s="152"/>
      <c r="AC736" s="152"/>
      <c r="AD736" s="152"/>
      <c r="AE736" s="152"/>
      <c r="AF736" s="152"/>
      <c r="AG736" s="152"/>
      <c r="AH736" s="152"/>
      <c r="AI736" s="152"/>
      <c r="AJ736" s="152"/>
      <c r="AK736" s="152"/>
      <c r="AL736" s="152"/>
      <c r="AM736" s="152"/>
      <c r="AN736" s="152"/>
      <c r="AO736" s="152"/>
      <c r="AP736" s="152"/>
    </row>
    <row r="737" spans="1:42">
      <c r="A737" s="37" t="s">
        <v>200</v>
      </c>
      <c r="B737" s="186"/>
      <c r="C737" s="152"/>
      <c r="D737" s="152"/>
      <c r="E737" s="152"/>
      <c r="F737" s="152"/>
      <c r="G737" s="152"/>
      <c r="H737" s="152"/>
      <c r="I737" s="152"/>
      <c r="J737" s="152"/>
      <c r="K737" s="152"/>
      <c r="L737" s="152"/>
      <c r="M737" s="152"/>
      <c r="N737" s="152"/>
      <c r="O737" s="152"/>
      <c r="P737" s="152"/>
      <c r="Q737" s="152"/>
      <c r="R737" s="152"/>
      <c r="S737" s="152"/>
      <c r="T737" s="152"/>
      <c r="U737" s="152"/>
      <c r="V737" s="152"/>
      <c r="W737" s="152"/>
      <c r="X737" s="152"/>
      <c r="Y737" s="152"/>
      <c r="Z737" s="152"/>
      <c r="AA737" s="152"/>
      <c r="AB737" s="152"/>
      <c r="AC737" s="152"/>
      <c r="AD737" s="152"/>
      <c r="AE737" s="152"/>
      <c r="AF737" s="152"/>
      <c r="AG737" s="152"/>
      <c r="AH737" s="152"/>
      <c r="AI737" s="152"/>
      <c r="AJ737" s="152"/>
      <c r="AK737" s="152"/>
      <c r="AL737" s="152"/>
      <c r="AM737" s="152"/>
      <c r="AN737" s="152"/>
      <c r="AO737" s="152"/>
      <c r="AP737" s="152"/>
    </row>
    <row r="738" spans="1:42">
      <c r="A738" s="184" t="s">
        <v>201</v>
      </c>
      <c r="B738" s="152">
        <f>B633+B639+B645+B677+B709</f>
        <v>1630197.6101830259</v>
      </c>
      <c r="C738" s="152">
        <f t="shared" ref="C738:AP738" si="1571">C633+C639+C645+C677+C709</f>
        <v>2351714.7881967379</v>
      </c>
      <c r="D738" s="152">
        <f t="shared" si="1571"/>
        <v>3073612.9439505083</v>
      </c>
      <c r="E738" s="152">
        <f t="shared" si="1571"/>
        <v>3692352.081211173</v>
      </c>
      <c r="F738" s="152">
        <f t="shared" si="1571"/>
        <v>4416597.0440562749</v>
      </c>
      <c r="G738" s="152">
        <f t="shared" si="1571"/>
        <v>5141239.3504980672</v>
      </c>
      <c r="H738" s="152">
        <f t="shared" si="1571"/>
        <v>5758009.4426856432</v>
      </c>
      <c r="I738" s="152">
        <f t="shared" si="1571"/>
        <v>6485103.6123448117</v>
      </c>
      <c r="J738" s="152">
        <f t="shared" si="1571"/>
        <v>7212612.1689652512</v>
      </c>
      <c r="K738" s="152">
        <f t="shared" si="1571"/>
        <v>7827319.9528354183</v>
      </c>
      <c r="L738" s="152">
        <f t="shared" si="1571"/>
        <v>6749177.6864776388</v>
      </c>
      <c r="M738" s="152">
        <f t="shared" si="1571"/>
        <v>7444433.9232474184</v>
      </c>
      <c r="N738" s="152">
        <f t="shared" si="1571"/>
        <v>5077022.9227758311</v>
      </c>
      <c r="O738" s="152">
        <f t="shared" si="1571"/>
        <v>5822078.5979073383</v>
      </c>
      <c r="P738" s="152">
        <f t="shared" si="1571"/>
        <v>6567134.2730388464</v>
      </c>
      <c r="Q738" s="152">
        <f t="shared" si="1571"/>
        <v>1030235.7216311703</v>
      </c>
      <c r="R738" s="152">
        <f t="shared" si="1571"/>
        <v>1879908.4774701491</v>
      </c>
      <c r="S738" s="152">
        <f t="shared" si="1571"/>
        <v>2729581.2333091279</v>
      </c>
      <c r="T738" s="152">
        <f t="shared" si="1571"/>
        <v>3450451.9560612072</v>
      </c>
      <c r="U738" s="152">
        <f t="shared" si="1571"/>
        <v>4302085.8677562214</v>
      </c>
      <c r="V738" s="152">
        <f t="shared" si="1571"/>
        <v>5153719.7794512352</v>
      </c>
      <c r="W738" s="152">
        <f t="shared" si="1571"/>
        <v>5870668.1904912442</v>
      </c>
      <c r="X738" s="152">
        <f t="shared" si="1571"/>
        <v>6724352.8404549183</v>
      </c>
      <c r="Y738" s="152">
        <f t="shared" si="1571"/>
        <v>7578037.4904185934</v>
      </c>
      <c r="Z738" s="152">
        <f t="shared" si="1571"/>
        <v>4769941.5383965997</v>
      </c>
      <c r="AA738" s="152">
        <f t="shared" si="1571"/>
        <v>5332358.6938102078</v>
      </c>
      <c r="AB738" s="152">
        <f t="shared" si="1571"/>
        <v>5894775.8492238158</v>
      </c>
      <c r="AC738" s="152">
        <f t="shared" si="1571"/>
        <v>6309922.051195466</v>
      </c>
      <c r="AD738" s="152">
        <f t="shared" si="1571"/>
        <v>6874581.5725550503</v>
      </c>
      <c r="AE738" s="152">
        <f t="shared" si="1571"/>
        <v>7439241.0939146345</v>
      </c>
      <c r="AF738" s="152">
        <f t="shared" si="1571"/>
        <v>0</v>
      </c>
      <c r="AG738" s="152">
        <f t="shared" si="1571"/>
        <v>0</v>
      </c>
      <c r="AH738" s="152">
        <f t="shared" si="1571"/>
        <v>0</v>
      </c>
      <c r="AI738" s="152">
        <f t="shared" si="1571"/>
        <v>0</v>
      </c>
      <c r="AJ738" s="152">
        <f t="shared" si="1571"/>
        <v>0</v>
      </c>
      <c r="AK738" s="152">
        <f t="shared" si="1571"/>
        <v>0</v>
      </c>
      <c r="AL738" s="152">
        <f t="shared" si="1571"/>
        <v>0</v>
      </c>
      <c r="AM738" s="152">
        <f t="shared" si="1571"/>
        <v>0</v>
      </c>
      <c r="AN738" s="152">
        <f t="shared" si="1571"/>
        <v>0</v>
      </c>
      <c r="AO738" s="152">
        <f t="shared" si="1571"/>
        <v>0</v>
      </c>
      <c r="AP738" s="152">
        <f t="shared" si="1571"/>
        <v>0</v>
      </c>
    </row>
    <row r="739" spans="1:42">
      <c r="A739" s="184" t="s">
        <v>200</v>
      </c>
      <c r="B739" s="186"/>
      <c r="C739" s="152">
        <f t="shared" ref="C739:AP739" si="1572">IF(C$2&lt;=AnalysisPeriod,B738*InterestOnReserves,0)</f>
        <v>28528.458178202956</v>
      </c>
      <c r="D739" s="152">
        <f t="shared" si="1572"/>
        <v>41155.008793442918</v>
      </c>
      <c r="E739" s="152">
        <f t="shared" si="1572"/>
        <v>53788.226519133903</v>
      </c>
      <c r="F739" s="152">
        <f t="shared" si="1572"/>
        <v>64616.161421195531</v>
      </c>
      <c r="G739" s="152">
        <f t="shared" si="1572"/>
        <v>77290.448270984823</v>
      </c>
      <c r="H739" s="152">
        <f t="shared" si="1572"/>
        <v>89971.688633716185</v>
      </c>
      <c r="I739" s="152">
        <f t="shared" si="1572"/>
        <v>100765.16524699876</v>
      </c>
      <c r="J739" s="152">
        <f t="shared" si="1572"/>
        <v>113489.31321603422</v>
      </c>
      <c r="K739" s="152">
        <f t="shared" si="1572"/>
        <v>126220.7129568919</v>
      </c>
      <c r="L739" s="152">
        <f t="shared" si="1572"/>
        <v>136978.09917461983</v>
      </c>
      <c r="M739" s="152">
        <f t="shared" si="1572"/>
        <v>118110.60951335869</v>
      </c>
      <c r="N739" s="152">
        <f t="shared" si="1572"/>
        <v>130277.59365682983</v>
      </c>
      <c r="O739" s="152">
        <f t="shared" si="1572"/>
        <v>88847.901148577046</v>
      </c>
      <c r="P739" s="152">
        <f t="shared" si="1572"/>
        <v>101886.37546337843</v>
      </c>
      <c r="Q739" s="152">
        <f t="shared" si="1572"/>
        <v>114924.84977817982</v>
      </c>
      <c r="R739" s="152">
        <f t="shared" si="1572"/>
        <v>18029.125128545482</v>
      </c>
      <c r="S739" s="152">
        <f t="shared" si="1572"/>
        <v>32898.398355727615</v>
      </c>
      <c r="T739" s="152">
        <f t="shared" si="1572"/>
        <v>47767.671582909745</v>
      </c>
      <c r="U739" s="152">
        <f t="shared" si="1572"/>
        <v>60382.909231071135</v>
      </c>
      <c r="V739" s="152">
        <f t="shared" si="1572"/>
        <v>75286.502685733882</v>
      </c>
      <c r="W739" s="152">
        <f t="shared" si="1572"/>
        <v>90190.096140396621</v>
      </c>
      <c r="X739" s="152">
        <f t="shared" si="1572"/>
        <v>102736.69333359678</v>
      </c>
      <c r="Y739" s="152">
        <f t="shared" si="1572"/>
        <v>117676.17470796108</v>
      </c>
      <c r="Z739" s="152">
        <f t="shared" si="1572"/>
        <v>132615.65608232541</v>
      </c>
      <c r="AA739" s="152">
        <f t="shared" si="1572"/>
        <v>83473.976921940499</v>
      </c>
      <c r="AB739" s="152">
        <f t="shared" si="1572"/>
        <v>93316.277141678642</v>
      </c>
      <c r="AC739" s="152">
        <f t="shared" si="1572"/>
        <v>103158.57736141678</v>
      </c>
      <c r="AD739" s="152">
        <f t="shared" si="1572"/>
        <v>110423.63589592067</v>
      </c>
      <c r="AE739" s="152">
        <f t="shared" si="1572"/>
        <v>120305.1775197134</v>
      </c>
      <c r="AF739" s="152">
        <f t="shared" si="1572"/>
        <v>130186.71914350611</v>
      </c>
      <c r="AG739" s="152">
        <f t="shared" si="1572"/>
        <v>0</v>
      </c>
      <c r="AH739" s="152">
        <f t="shared" si="1572"/>
        <v>0</v>
      </c>
      <c r="AI739" s="152">
        <f t="shared" si="1572"/>
        <v>0</v>
      </c>
      <c r="AJ739" s="152">
        <f t="shared" si="1572"/>
        <v>0</v>
      </c>
      <c r="AK739" s="152">
        <f t="shared" si="1572"/>
        <v>0</v>
      </c>
      <c r="AL739" s="152">
        <f t="shared" si="1572"/>
        <v>0</v>
      </c>
      <c r="AM739" s="152">
        <f t="shared" si="1572"/>
        <v>0</v>
      </c>
      <c r="AN739" s="152">
        <f t="shared" si="1572"/>
        <v>0</v>
      </c>
      <c r="AO739" s="152">
        <f t="shared" si="1572"/>
        <v>0</v>
      </c>
      <c r="AP739" s="152">
        <f t="shared" si="1572"/>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4.xml><?xml version="1.0" encoding="utf-8"?>
<worksheet xmlns="http://schemas.openxmlformats.org/spreadsheetml/2006/main" xmlns:r="http://schemas.openxmlformats.org/officeDocument/2006/relationships">
  <sheetPr codeName="Sheet9"/>
  <dimension ref="A1:AZ750"/>
  <sheetViews>
    <sheetView zoomScaleNormal="100" workbookViewId="0">
      <pane xSplit="1" ySplit="2" topLeftCell="B138" activePane="bottomRight" state="frozen"/>
      <selection pane="topRight" activeCell="B1" sqref="B1"/>
      <selection pane="bottomLeft" activeCell="A3" sqref="A3"/>
      <selection pane="bottomRight" activeCell="H450" sqref="H450:H455"/>
    </sheetView>
  </sheetViews>
  <sheetFormatPr defaultRowHeight="12.75"/>
  <cols>
    <col min="1" max="1" width="48.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27</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c r="C4" s="118"/>
      <c r="D4" s="118"/>
      <c r="E4" s="118"/>
      <c r="F4" s="118"/>
      <c r="G4" s="118"/>
      <c r="H4" s="118"/>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481</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SLPPAPrice*(1+SLPPAPriceEsc)^B2</f>
        <v>39.71625546381739</v>
      </c>
      <c r="D11" s="185">
        <f t="shared" si="2"/>
        <v>40.113418018455562</v>
      </c>
      <c r="E11" s="185">
        <f t="shared" si="2"/>
        <v>40.514552198640118</v>
      </c>
      <c r="F11" s="185">
        <f t="shared" si="2"/>
        <v>40.919697720626516</v>
      </c>
      <c r="G11" s="185">
        <f t="shared" si="2"/>
        <v>41.328894697832787</v>
      </c>
      <c r="H11" s="185">
        <f t="shared" si="2"/>
        <v>41.742183644811114</v>
      </c>
      <c r="I11" s="185">
        <f t="shared" si="2"/>
        <v>42.159605481259227</v>
      </c>
      <c r="J11" s="185">
        <f t="shared" si="2"/>
        <v>42.581201536071809</v>
      </c>
      <c r="K11" s="185">
        <f t="shared" si="2"/>
        <v>43.007013551432543</v>
      </c>
      <c r="L11" s="185">
        <f t="shared" si="2"/>
        <v>43.43708368694687</v>
      </c>
      <c r="M11" s="185">
        <f t="shared" si="2"/>
        <v>43.87145452381634</v>
      </c>
      <c r="N11" s="185">
        <f t="shared" si="2"/>
        <v>44.310169069054496</v>
      </c>
      <c r="O11" s="185">
        <f t="shared" si="2"/>
        <v>44.753270759745043</v>
      </c>
      <c r="P11" s="185">
        <f t="shared" si="2"/>
        <v>45.200803467342489</v>
      </c>
      <c r="Q11" s="185">
        <f t="shared" si="2"/>
        <v>45.652811502015922</v>
      </c>
      <c r="R11" s="185">
        <f t="shared" si="2"/>
        <v>46.109339617036071</v>
      </c>
      <c r="S11" s="185">
        <f t="shared" si="2"/>
        <v>46.57043301320644</v>
      </c>
      <c r="T11" s="185">
        <f t="shared" si="2"/>
        <v>47.03613734333851</v>
      </c>
      <c r="U11" s="185">
        <f t="shared" si="2"/>
        <v>47.506498716771894</v>
      </c>
      <c r="V11" s="185">
        <f t="shared" si="2"/>
        <v>47.981563703939607</v>
      </c>
      <c r="W11" s="185">
        <f t="shared" si="2"/>
        <v>48.461379340979008</v>
      </c>
      <c r="X11" s="185">
        <f t="shared" si="2"/>
        <v>48.945993134388793</v>
      </c>
      <c r="Y11" s="185">
        <f t="shared" si="2"/>
        <v>49.435453065732688</v>
      </c>
      <c r="Z11" s="185">
        <f t="shared" si="2"/>
        <v>49.929807596390006</v>
      </c>
      <c r="AA11" s="185">
        <f t="shared" si="2"/>
        <v>50.42910567235392</v>
      </c>
      <c r="AB11" s="185">
        <f t="shared" si="2"/>
        <v>50.933396729077465</v>
      </c>
      <c r="AC11" s="185">
        <f t="shared" si="2"/>
        <v>51.442730696368237</v>
      </c>
      <c r="AD11" s="185">
        <f t="shared" si="2"/>
        <v>51.957158003331905</v>
      </c>
      <c r="AE11" s="185">
        <f t="shared" si="2"/>
        <v>52.476729583365227</v>
      </c>
      <c r="AF11" s="185">
        <f t="shared" si="2"/>
        <v>53.001496879198882</v>
      </c>
      <c r="AG11" s="185">
        <f t="shared" si="2"/>
        <v>53.531511847990885</v>
      </c>
      <c r="AH11" s="185">
        <f t="shared" si="2"/>
        <v>54.066826966470771</v>
      </c>
      <c r="AI11" s="185">
        <f t="shared" si="2"/>
        <v>54.607495236135492</v>
      </c>
      <c r="AJ11" s="185">
        <f t="shared" si="2"/>
        <v>55.15357018849685</v>
      </c>
      <c r="AK11" s="185">
        <f t="shared" si="2"/>
        <v>55.705105890381823</v>
      </c>
      <c r="AL11" s="185">
        <f t="shared" si="2"/>
        <v>56.262156949285625</v>
      </c>
      <c r="AM11" s="185">
        <f t="shared" si="2"/>
        <v>56.824778518778487</v>
      </c>
      <c r="AN11" s="185">
        <f t="shared" si="2"/>
        <v>57.393026303966273</v>
      </c>
      <c r="AO11" s="185">
        <f t="shared" si="2"/>
        <v>57.966956567005944</v>
      </c>
      <c r="AP11" s="185">
        <f t="shared" si="2"/>
        <v>58.546626132675989</v>
      </c>
    </row>
    <row r="12" spans="1:42">
      <c r="A12" s="184" t="s">
        <v>74</v>
      </c>
      <c r="C12" s="152">
        <f t="shared" ref="C12:AP12" si="3">C10*C11/100</f>
        <v>6751763.4288489567</v>
      </c>
      <c r="D12" s="152">
        <f t="shared" si="3"/>
        <v>6785184.6578217577</v>
      </c>
      <c r="E12" s="152">
        <f t="shared" si="3"/>
        <v>6818771.321877975</v>
      </c>
      <c r="F12" s="152">
        <f t="shared" si="3"/>
        <v>6852524.2399212718</v>
      </c>
      <c r="G12" s="152">
        <f t="shared" si="3"/>
        <v>6886444.2349088825</v>
      </c>
      <c r="H12" s="152">
        <f t="shared" si="3"/>
        <v>6920532.1338716801</v>
      </c>
      <c r="I12" s="152">
        <f t="shared" si="3"/>
        <v>6954788.7679343466</v>
      </c>
      <c r="J12" s="152">
        <f t="shared" si="3"/>
        <v>6989214.9723356199</v>
      </c>
      <c r="K12" s="152">
        <f t="shared" si="3"/>
        <v>7023811.5864486834</v>
      </c>
      <c r="L12" s="152">
        <f t="shared" si="3"/>
        <v>7058579.4538016059</v>
      </c>
      <c r="M12" s="152">
        <f t="shared" si="3"/>
        <v>7093519.4220979242</v>
      </c>
      <c r="N12" s="152">
        <f t="shared" si="3"/>
        <v>7128632.3432373069</v>
      </c>
      <c r="O12" s="152">
        <f t="shared" si="3"/>
        <v>7163919.0733363321</v>
      </c>
      <c r="P12" s="152">
        <f t="shared" si="3"/>
        <v>7199380.472749345</v>
      </c>
      <c r="Q12" s="152">
        <f t="shared" si="3"/>
        <v>7235017.4060894577</v>
      </c>
      <c r="R12" s="152">
        <f t="shared" si="3"/>
        <v>7270830.7422495969</v>
      </c>
      <c r="S12" s="152">
        <f t="shared" si="3"/>
        <v>7306821.3544237344</v>
      </c>
      <c r="T12" s="152">
        <f t="shared" si="3"/>
        <v>7342990.1201281324</v>
      </c>
      <c r="U12" s="152">
        <f t="shared" si="3"/>
        <v>7379337.9212227669</v>
      </c>
      <c r="V12" s="152">
        <f t="shared" si="3"/>
        <v>7415865.6439328184</v>
      </c>
      <c r="W12" s="152">
        <f t="shared" si="3"/>
        <v>7452574.1788702859</v>
      </c>
      <c r="X12" s="152">
        <f t="shared" si="3"/>
        <v>7489464.4210556922</v>
      </c>
      <c r="Y12" s="152">
        <f t="shared" si="3"/>
        <v>7526537.2699399199</v>
      </c>
      <c r="Z12" s="152">
        <f t="shared" si="3"/>
        <v>7563793.6294261208</v>
      </c>
      <c r="AA12" s="152">
        <f t="shared" si="3"/>
        <v>7601234.4078917829</v>
      </c>
      <c r="AB12" s="152">
        <f t="shared" si="3"/>
        <v>7638860.5182108469</v>
      </c>
      <c r="AC12" s="152">
        <f t="shared" si="3"/>
        <v>7676672.8777759913</v>
      </c>
      <c r="AD12" s="152">
        <f t="shared" si="3"/>
        <v>7714672.4085209789</v>
      </c>
      <c r="AE12" s="152">
        <f t="shared" si="3"/>
        <v>7752860.0369431581</v>
      </c>
      <c r="AF12" s="152">
        <f t="shared" si="3"/>
        <v>7791236.6941260267</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s="118" customFormat="1">
      <c r="A13" s="118" t="s">
        <v>405</v>
      </c>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row>
    <row r="14" spans="1:42" s="118" customFormat="1">
      <c r="A14" s="257" t="str">
        <f>'Inputs &amp; Results'!A60</f>
        <v>Federal</v>
      </c>
      <c r="C14" s="141">
        <f>C619</f>
        <v>0</v>
      </c>
      <c r="D14" s="141">
        <f t="shared" ref="D14:AP14" si="4">D619</f>
        <v>0</v>
      </c>
      <c r="E14" s="141">
        <f t="shared" si="4"/>
        <v>0</v>
      </c>
      <c r="F14" s="141">
        <f t="shared" si="4"/>
        <v>0</v>
      </c>
      <c r="G14" s="141">
        <f t="shared" si="4"/>
        <v>0</v>
      </c>
      <c r="H14" s="141">
        <f t="shared" si="4"/>
        <v>0</v>
      </c>
      <c r="I14" s="141">
        <f t="shared" si="4"/>
        <v>0</v>
      </c>
      <c r="J14" s="141">
        <f t="shared" si="4"/>
        <v>0</v>
      </c>
      <c r="K14" s="141">
        <f t="shared" si="4"/>
        <v>0</v>
      </c>
      <c r="L14" s="141">
        <f t="shared" si="4"/>
        <v>0</v>
      </c>
      <c r="M14" s="141">
        <f t="shared" si="4"/>
        <v>0</v>
      </c>
      <c r="N14" s="141">
        <f t="shared" si="4"/>
        <v>0</v>
      </c>
      <c r="O14" s="141">
        <f t="shared" si="4"/>
        <v>0</v>
      </c>
      <c r="P14" s="141">
        <f t="shared" si="4"/>
        <v>0</v>
      </c>
      <c r="Q14" s="141">
        <f t="shared" si="4"/>
        <v>0</v>
      </c>
      <c r="R14" s="141">
        <f t="shared" si="4"/>
        <v>0</v>
      </c>
      <c r="S14" s="141">
        <f t="shared" si="4"/>
        <v>0</v>
      </c>
      <c r="T14" s="141">
        <f t="shared" si="4"/>
        <v>0</v>
      </c>
      <c r="U14" s="141">
        <f t="shared" si="4"/>
        <v>0</v>
      </c>
      <c r="V14" s="141">
        <f t="shared" si="4"/>
        <v>0</v>
      </c>
      <c r="W14" s="141">
        <f t="shared" si="4"/>
        <v>0</v>
      </c>
      <c r="X14" s="141">
        <f t="shared" si="4"/>
        <v>0</v>
      </c>
      <c r="Y14" s="141">
        <f t="shared" si="4"/>
        <v>0</v>
      </c>
      <c r="Z14" s="141">
        <f t="shared" si="4"/>
        <v>0</v>
      </c>
      <c r="AA14" s="141">
        <f t="shared" si="4"/>
        <v>0</v>
      </c>
      <c r="AB14" s="141">
        <f t="shared" si="4"/>
        <v>0</v>
      </c>
      <c r="AC14" s="141">
        <f t="shared" si="4"/>
        <v>0</v>
      </c>
      <c r="AD14" s="141">
        <f t="shared" si="4"/>
        <v>0</v>
      </c>
      <c r="AE14" s="141">
        <f t="shared" si="4"/>
        <v>0</v>
      </c>
      <c r="AF14" s="141">
        <f t="shared" si="4"/>
        <v>0</v>
      </c>
      <c r="AG14" s="141">
        <f t="shared" si="4"/>
        <v>0</v>
      </c>
      <c r="AH14" s="141">
        <f t="shared" si="4"/>
        <v>0</v>
      </c>
      <c r="AI14" s="141">
        <f t="shared" si="4"/>
        <v>0</v>
      </c>
      <c r="AJ14" s="141">
        <f t="shared" si="4"/>
        <v>0</v>
      </c>
      <c r="AK14" s="141">
        <f t="shared" si="4"/>
        <v>0</v>
      </c>
      <c r="AL14" s="141">
        <f t="shared" si="4"/>
        <v>0</v>
      </c>
      <c r="AM14" s="141">
        <f t="shared" si="4"/>
        <v>0</v>
      </c>
      <c r="AN14" s="141">
        <f t="shared" si="4"/>
        <v>0</v>
      </c>
      <c r="AO14" s="141">
        <f t="shared" si="4"/>
        <v>0</v>
      </c>
      <c r="AP14" s="141">
        <f t="shared" si="4"/>
        <v>0</v>
      </c>
    </row>
    <row r="15" spans="1:42" s="118" customFormat="1">
      <c r="A15" s="257" t="str">
        <f>'Inputs &amp; Results'!A61</f>
        <v>State</v>
      </c>
      <c r="C15" s="141">
        <f>C623</f>
        <v>0</v>
      </c>
      <c r="D15" s="141">
        <f t="shared" ref="D15:AP15" si="5">D623</f>
        <v>0</v>
      </c>
      <c r="E15" s="141">
        <f t="shared" si="5"/>
        <v>0</v>
      </c>
      <c r="F15" s="141">
        <f t="shared" si="5"/>
        <v>0</v>
      </c>
      <c r="G15" s="141">
        <f t="shared" si="5"/>
        <v>0</v>
      </c>
      <c r="H15" s="141">
        <f t="shared" si="5"/>
        <v>0</v>
      </c>
      <c r="I15" s="141">
        <f t="shared" si="5"/>
        <v>0</v>
      </c>
      <c r="J15" s="141">
        <f t="shared" si="5"/>
        <v>0</v>
      </c>
      <c r="K15" s="141">
        <f t="shared" si="5"/>
        <v>0</v>
      </c>
      <c r="L15" s="141">
        <f t="shared" si="5"/>
        <v>0</v>
      </c>
      <c r="M15" s="141">
        <f t="shared" si="5"/>
        <v>0</v>
      </c>
      <c r="N15" s="141">
        <f t="shared" si="5"/>
        <v>0</v>
      </c>
      <c r="O15" s="141">
        <f t="shared" si="5"/>
        <v>0</v>
      </c>
      <c r="P15" s="141">
        <f t="shared" si="5"/>
        <v>0</v>
      </c>
      <c r="Q15" s="141">
        <f t="shared" si="5"/>
        <v>0</v>
      </c>
      <c r="R15" s="141">
        <f t="shared" si="5"/>
        <v>0</v>
      </c>
      <c r="S15" s="141">
        <f t="shared" si="5"/>
        <v>0</v>
      </c>
      <c r="T15" s="141">
        <f t="shared" si="5"/>
        <v>0</v>
      </c>
      <c r="U15" s="141">
        <f t="shared" si="5"/>
        <v>0</v>
      </c>
      <c r="V15" s="141">
        <f t="shared" si="5"/>
        <v>0</v>
      </c>
      <c r="W15" s="141">
        <f t="shared" si="5"/>
        <v>0</v>
      </c>
      <c r="X15" s="141">
        <f t="shared" si="5"/>
        <v>0</v>
      </c>
      <c r="Y15" s="141">
        <f t="shared" si="5"/>
        <v>0</v>
      </c>
      <c r="Z15" s="141">
        <f t="shared" si="5"/>
        <v>0</v>
      </c>
      <c r="AA15" s="141">
        <f t="shared" si="5"/>
        <v>0</v>
      </c>
      <c r="AB15" s="141">
        <f t="shared" si="5"/>
        <v>0</v>
      </c>
      <c r="AC15" s="141">
        <f t="shared" si="5"/>
        <v>0</v>
      </c>
      <c r="AD15" s="141">
        <f t="shared" si="5"/>
        <v>0</v>
      </c>
      <c r="AE15" s="141">
        <f t="shared" si="5"/>
        <v>0</v>
      </c>
      <c r="AF15" s="141">
        <f t="shared" si="5"/>
        <v>0</v>
      </c>
      <c r="AG15" s="141">
        <f t="shared" si="5"/>
        <v>0</v>
      </c>
      <c r="AH15" s="141">
        <f t="shared" si="5"/>
        <v>0</v>
      </c>
      <c r="AI15" s="141">
        <f t="shared" si="5"/>
        <v>0</v>
      </c>
      <c r="AJ15" s="141">
        <f t="shared" si="5"/>
        <v>0</v>
      </c>
      <c r="AK15" s="141">
        <f t="shared" si="5"/>
        <v>0</v>
      </c>
      <c r="AL15" s="141">
        <f t="shared" si="5"/>
        <v>0</v>
      </c>
      <c r="AM15" s="141">
        <f t="shared" si="5"/>
        <v>0</v>
      </c>
      <c r="AN15" s="141">
        <f t="shared" si="5"/>
        <v>0</v>
      </c>
      <c r="AO15" s="141">
        <f t="shared" si="5"/>
        <v>0</v>
      </c>
      <c r="AP15" s="141">
        <f t="shared" si="5"/>
        <v>0</v>
      </c>
    </row>
    <row r="16" spans="1:42" s="118" customFormat="1">
      <c r="A16" s="257" t="str">
        <f>'Inputs &amp; Results'!A62</f>
        <v>Utility</v>
      </c>
      <c r="C16" s="141">
        <f>C627</f>
        <v>0</v>
      </c>
      <c r="D16" s="141">
        <f t="shared" ref="D16:AP16" si="6">D627</f>
        <v>0</v>
      </c>
      <c r="E16" s="141">
        <f t="shared" si="6"/>
        <v>0</v>
      </c>
      <c r="F16" s="141">
        <f t="shared" si="6"/>
        <v>0</v>
      </c>
      <c r="G16" s="141">
        <f t="shared" si="6"/>
        <v>0</v>
      </c>
      <c r="H16" s="141">
        <f t="shared" si="6"/>
        <v>0</v>
      </c>
      <c r="I16" s="141">
        <f t="shared" si="6"/>
        <v>0</v>
      </c>
      <c r="J16" s="141">
        <f t="shared" si="6"/>
        <v>0</v>
      </c>
      <c r="K16" s="141">
        <f t="shared" si="6"/>
        <v>0</v>
      </c>
      <c r="L16" s="141">
        <f t="shared" si="6"/>
        <v>0</v>
      </c>
      <c r="M16" s="141">
        <f t="shared" si="6"/>
        <v>0</v>
      </c>
      <c r="N16" s="141">
        <f t="shared" si="6"/>
        <v>0</v>
      </c>
      <c r="O16" s="141">
        <f t="shared" si="6"/>
        <v>0</v>
      </c>
      <c r="P16" s="141">
        <f t="shared" si="6"/>
        <v>0</v>
      </c>
      <c r="Q16" s="141">
        <f t="shared" si="6"/>
        <v>0</v>
      </c>
      <c r="R16" s="141">
        <f t="shared" si="6"/>
        <v>0</v>
      </c>
      <c r="S16" s="141">
        <f t="shared" si="6"/>
        <v>0</v>
      </c>
      <c r="T16" s="141">
        <f t="shared" si="6"/>
        <v>0</v>
      </c>
      <c r="U16" s="141">
        <f t="shared" si="6"/>
        <v>0</v>
      </c>
      <c r="V16" s="141">
        <f t="shared" si="6"/>
        <v>0</v>
      </c>
      <c r="W16" s="141">
        <f t="shared" si="6"/>
        <v>0</v>
      </c>
      <c r="X16" s="141">
        <f t="shared" si="6"/>
        <v>0</v>
      </c>
      <c r="Y16" s="141">
        <f t="shared" si="6"/>
        <v>0</v>
      </c>
      <c r="Z16" s="141">
        <f t="shared" si="6"/>
        <v>0</v>
      </c>
      <c r="AA16" s="141">
        <f t="shared" si="6"/>
        <v>0</v>
      </c>
      <c r="AB16" s="141">
        <f t="shared" si="6"/>
        <v>0</v>
      </c>
      <c r="AC16" s="141">
        <f t="shared" si="6"/>
        <v>0</v>
      </c>
      <c r="AD16" s="141">
        <f t="shared" si="6"/>
        <v>0</v>
      </c>
      <c r="AE16" s="141">
        <f t="shared" si="6"/>
        <v>0</v>
      </c>
      <c r="AF16" s="141">
        <f t="shared" si="6"/>
        <v>0</v>
      </c>
      <c r="AG16" s="141">
        <f t="shared" si="6"/>
        <v>0</v>
      </c>
      <c r="AH16" s="141">
        <f t="shared" si="6"/>
        <v>0</v>
      </c>
      <c r="AI16" s="141">
        <f t="shared" si="6"/>
        <v>0</v>
      </c>
      <c r="AJ16" s="141">
        <f t="shared" si="6"/>
        <v>0</v>
      </c>
      <c r="AK16" s="141">
        <f t="shared" si="6"/>
        <v>0</v>
      </c>
      <c r="AL16" s="141">
        <f t="shared" si="6"/>
        <v>0</v>
      </c>
      <c r="AM16" s="141">
        <f t="shared" si="6"/>
        <v>0</v>
      </c>
      <c r="AN16" s="141">
        <f t="shared" si="6"/>
        <v>0</v>
      </c>
      <c r="AO16" s="141">
        <f t="shared" si="6"/>
        <v>0</v>
      </c>
      <c r="AP16" s="141">
        <f t="shared" si="6"/>
        <v>0</v>
      </c>
    </row>
    <row r="17" spans="1:42" s="118" customFormat="1">
      <c r="A17" s="257" t="str">
        <f>'Inputs &amp; Results'!A63</f>
        <v>Other</v>
      </c>
      <c r="C17" s="203">
        <f>C631</f>
        <v>0</v>
      </c>
      <c r="D17" s="203">
        <f t="shared" ref="D17:AP17" si="7">D631</f>
        <v>0</v>
      </c>
      <c r="E17" s="203">
        <f t="shared" si="7"/>
        <v>0</v>
      </c>
      <c r="F17" s="203">
        <f t="shared" si="7"/>
        <v>0</v>
      </c>
      <c r="G17" s="203">
        <f t="shared" si="7"/>
        <v>0</v>
      </c>
      <c r="H17" s="203">
        <f t="shared" si="7"/>
        <v>0</v>
      </c>
      <c r="I17" s="203">
        <f t="shared" si="7"/>
        <v>0</v>
      </c>
      <c r="J17" s="203">
        <f t="shared" si="7"/>
        <v>0</v>
      </c>
      <c r="K17" s="203">
        <f t="shared" si="7"/>
        <v>0</v>
      </c>
      <c r="L17" s="203">
        <f t="shared" si="7"/>
        <v>0</v>
      </c>
      <c r="M17" s="203">
        <f t="shared" si="7"/>
        <v>0</v>
      </c>
      <c r="N17" s="203">
        <f t="shared" si="7"/>
        <v>0</v>
      </c>
      <c r="O17" s="203">
        <f t="shared" si="7"/>
        <v>0</v>
      </c>
      <c r="P17" s="203">
        <f t="shared" si="7"/>
        <v>0</v>
      </c>
      <c r="Q17" s="203">
        <f t="shared" si="7"/>
        <v>0</v>
      </c>
      <c r="R17" s="203">
        <f t="shared" si="7"/>
        <v>0</v>
      </c>
      <c r="S17" s="203">
        <f t="shared" si="7"/>
        <v>0</v>
      </c>
      <c r="T17" s="203">
        <f t="shared" si="7"/>
        <v>0</v>
      </c>
      <c r="U17" s="203">
        <f t="shared" si="7"/>
        <v>0</v>
      </c>
      <c r="V17" s="203">
        <f t="shared" si="7"/>
        <v>0</v>
      </c>
      <c r="W17" s="203">
        <f t="shared" si="7"/>
        <v>0</v>
      </c>
      <c r="X17" s="203">
        <f t="shared" si="7"/>
        <v>0</v>
      </c>
      <c r="Y17" s="203">
        <f t="shared" si="7"/>
        <v>0</v>
      </c>
      <c r="Z17" s="203">
        <f t="shared" si="7"/>
        <v>0</v>
      </c>
      <c r="AA17" s="203">
        <f t="shared" si="7"/>
        <v>0</v>
      </c>
      <c r="AB17" s="203">
        <f t="shared" si="7"/>
        <v>0</v>
      </c>
      <c r="AC17" s="203">
        <f t="shared" si="7"/>
        <v>0</v>
      </c>
      <c r="AD17" s="203">
        <f t="shared" si="7"/>
        <v>0</v>
      </c>
      <c r="AE17" s="203">
        <f t="shared" si="7"/>
        <v>0</v>
      </c>
      <c r="AF17" s="203">
        <f t="shared" si="7"/>
        <v>0</v>
      </c>
      <c r="AG17" s="203">
        <f t="shared" si="7"/>
        <v>0</v>
      </c>
      <c r="AH17" s="203">
        <f t="shared" si="7"/>
        <v>0</v>
      </c>
      <c r="AI17" s="203">
        <f t="shared" si="7"/>
        <v>0</v>
      </c>
      <c r="AJ17" s="203">
        <f t="shared" si="7"/>
        <v>0</v>
      </c>
      <c r="AK17" s="203">
        <f t="shared" si="7"/>
        <v>0</v>
      </c>
      <c r="AL17" s="203">
        <f t="shared" si="7"/>
        <v>0</v>
      </c>
      <c r="AM17" s="203">
        <f t="shared" si="7"/>
        <v>0</v>
      </c>
      <c r="AN17" s="203">
        <f t="shared" si="7"/>
        <v>0</v>
      </c>
      <c r="AO17" s="203">
        <f t="shared" si="7"/>
        <v>0</v>
      </c>
      <c r="AP17" s="203">
        <f t="shared" si="7"/>
        <v>0</v>
      </c>
    </row>
    <row r="18" spans="1:42" s="118" customFormat="1">
      <c r="A18" s="257" t="s">
        <v>78</v>
      </c>
      <c r="C18" s="229">
        <f>SUM(C14:C17)</f>
        <v>0</v>
      </c>
      <c r="D18" s="229">
        <f t="shared" ref="D18:AP18" si="8">SUM(D14:D17)</f>
        <v>0</v>
      </c>
      <c r="E18" s="229">
        <f t="shared" si="8"/>
        <v>0</v>
      </c>
      <c r="F18" s="229">
        <f t="shared" si="8"/>
        <v>0</v>
      </c>
      <c r="G18" s="229">
        <f t="shared" si="8"/>
        <v>0</v>
      </c>
      <c r="H18" s="229">
        <f t="shared" si="8"/>
        <v>0</v>
      </c>
      <c r="I18" s="229">
        <f t="shared" si="8"/>
        <v>0</v>
      </c>
      <c r="J18" s="229">
        <f t="shared" si="8"/>
        <v>0</v>
      </c>
      <c r="K18" s="229">
        <f t="shared" si="8"/>
        <v>0</v>
      </c>
      <c r="L18" s="229">
        <f t="shared" si="8"/>
        <v>0</v>
      </c>
      <c r="M18" s="229">
        <f t="shared" si="8"/>
        <v>0</v>
      </c>
      <c r="N18" s="229">
        <f t="shared" si="8"/>
        <v>0</v>
      </c>
      <c r="O18" s="229">
        <f t="shared" si="8"/>
        <v>0</v>
      </c>
      <c r="P18" s="229">
        <f t="shared" si="8"/>
        <v>0</v>
      </c>
      <c r="Q18" s="229">
        <f t="shared" si="8"/>
        <v>0</v>
      </c>
      <c r="R18" s="229">
        <f t="shared" si="8"/>
        <v>0</v>
      </c>
      <c r="S18" s="229">
        <f t="shared" si="8"/>
        <v>0</v>
      </c>
      <c r="T18" s="229">
        <f t="shared" si="8"/>
        <v>0</v>
      </c>
      <c r="U18" s="229">
        <f t="shared" si="8"/>
        <v>0</v>
      </c>
      <c r="V18" s="229">
        <f t="shared" si="8"/>
        <v>0</v>
      </c>
      <c r="W18" s="229">
        <f t="shared" si="8"/>
        <v>0</v>
      </c>
      <c r="X18" s="229">
        <f t="shared" si="8"/>
        <v>0</v>
      </c>
      <c r="Y18" s="229">
        <f t="shared" si="8"/>
        <v>0</v>
      </c>
      <c r="Z18" s="229">
        <f t="shared" si="8"/>
        <v>0</v>
      </c>
      <c r="AA18" s="229">
        <f t="shared" si="8"/>
        <v>0</v>
      </c>
      <c r="AB18" s="229">
        <f t="shared" si="8"/>
        <v>0</v>
      </c>
      <c r="AC18" s="229">
        <f t="shared" si="8"/>
        <v>0</v>
      </c>
      <c r="AD18" s="229">
        <f t="shared" si="8"/>
        <v>0</v>
      </c>
      <c r="AE18" s="229">
        <f t="shared" si="8"/>
        <v>0</v>
      </c>
      <c r="AF18" s="229">
        <f t="shared" si="8"/>
        <v>0</v>
      </c>
      <c r="AG18" s="229">
        <f t="shared" si="8"/>
        <v>0</v>
      </c>
      <c r="AH18" s="229">
        <f t="shared" si="8"/>
        <v>0</v>
      </c>
      <c r="AI18" s="229">
        <f t="shared" si="8"/>
        <v>0</v>
      </c>
      <c r="AJ18" s="229">
        <f t="shared" si="8"/>
        <v>0</v>
      </c>
      <c r="AK18" s="229">
        <f t="shared" si="8"/>
        <v>0</v>
      </c>
      <c r="AL18" s="229">
        <f t="shared" si="8"/>
        <v>0</v>
      </c>
      <c r="AM18" s="229">
        <f t="shared" si="8"/>
        <v>0</v>
      </c>
      <c r="AN18" s="229">
        <f t="shared" si="8"/>
        <v>0</v>
      </c>
      <c r="AO18" s="229">
        <f t="shared" si="8"/>
        <v>0</v>
      </c>
      <c r="AP18" s="229">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6751763.4288489567</v>
      </c>
      <c r="D20" s="152">
        <f t="shared" si="10"/>
        <v>6785184.6578217577</v>
      </c>
      <c r="E20" s="152">
        <f t="shared" si="10"/>
        <v>6818771.321877975</v>
      </c>
      <c r="F20" s="152">
        <f t="shared" si="10"/>
        <v>6852524.2399212718</v>
      </c>
      <c r="G20" s="152">
        <f t="shared" si="10"/>
        <v>6886444.2349088825</v>
      </c>
      <c r="H20" s="152">
        <f t="shared" si="10"/>
        <v>6920532.1338716801</v>
      </c>
      <c r="I20" s="152">
        <f t="shared" si="10"/>
        <v>6954788.7679343466</v>
      </c>
      <c r="J20" s="152">
        <f t="shared" si="10"/>
        <v>6989214.9723356199</v>
      </c>
      <c r="K20" s="152">
        <f t="shared" si="10"/>
        <v>7023811.5864486834</v>
      </c>
      <c r="L20" s="152">
        <f t="shared" si="10"/>
        <v>7058579.4538016059</v>
      </c>
      <c r="M20" s="152">
        <f t="shared" si="10"/>
        <v>7093519.4220979242</v>
      </c>
      <c r="N20" s="152">
        <f t="shared" si="10"/>
        <v>7128632.3432373069</v>
      </c>
      <c r="O20" s="152">
        <f t="shared" si="10"/>
        <v>7163919.0733363321</v>
      </c>
      <c r="P20" s="152">
        <f t="shared" si="10"/>
        <v>7199380.472749345</v>
      </c>
      <c r="Q20" s="152">
        <f t="shared" si="10"/>
        <v>7235017.4060894577</v>
      </c>
      <c r="R20" s="152">
        <f t="shared" si="10"/>
        <v>7270830.7422495969</v>
      </c>
      <c r="S20" s="152">
        <f t="shared" si="10"/>
        <v>7306821.3544237344</v>
      </c>
      <c r="T20" s="152">
        <f t="shared" si="10"/>
        <v>7342990.1201281324</v>
      </c>
      <c r="U20" s="152">
        <f t="shared" si="10"/>
        <v>7379337.9212227669</v>
      </c>
      <c r="V20" s="152">
        <f t="shared" si="10"/>
        <v>7415865.6439328184</v>
      </c>
      <c r="W20" s="152">
        <f t="shared" si="10"/>
        <v>7452574.1788702859</v>
      </c>
      <c r="X20" s="152">
        <f t="shared" si="10"/>
        <v>7489464.4210556922</v>
      </c>
      <c r="Y20" s="152">
        <f t="shared" si="10"/>
        <v>7526537.2699399199</v>
      </c>
      <c r="Z20" s="152">
        <f t="shared" si="10"/>
        <v>7563793.6294261208</v>
      </c>
      <c r="AA20" s="152">
        <f t="shared" si="10"/>
        <v>7601234.4078917829</v>
      </c>
      <c r="AB20" s="152">
        <f t="shared" si="10"/>
        <v>7638860.5182108469</v>
      </c>
      <c r="AC20" s="152">
        <f t="shared" si="10"/>
        <v>7676672.8777759913</v>
      </c>
      <c r="AD20" s="152">
        <f t="shared" si="10"/>
        <v>7714672.4085209789</v>
      </c>
      <c r="AE20" s="152">
        <f t="shared" si="10"/>
        <v>7752860.0369431581</v>
      </c>
      <c r="AF20" s="152">
        <f t="shared" si="10"/>
        <v>11813951.694126027</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6">
        <f>IF(C$2&lt;=AnalysisPeriod,PreFinancingInstalledCostTotal*'Inputs &amp; Results'!$J$12*(1+Inflation)^B$2,0)</f>
        <v>201135.75</v>
      </c>
      <c r="D40" s="186">
        <f>IF(D$2&lt;=AnalysisPeriod,PreFinancingInstalledCostTotal*'Inputs &amp; Results'!$J$12*(1+Inflation)^C$2,0)</f>
        <v>204152.78624999998</v>
      </c>
      <c r="E40" s="186">
        <f>IF(E$2&lt;=AnalysisPeriod,PreFinancingInstalledCostTotal*'Inputs &amp; Results'!$J$12*(1+Inflation)^D$2,0)</f>
        <v>207215.07804374993</v>
      </c>
      <c r="F40" s="186">
        <f>IF(F$2&lt;=AnalysisPeriod,PreFinancingInstalledCostTotal*'Inputs &amp; Results'!$J$12*(1+Inflation)^E$2,0)</f>
        <v>210323.30421440618</v>
      </c>
      <c r="G40" s="186">
        <f>IF(G$2&lt;=AnalysisPeriod,PreFinancingInstalledCostTotal*'Inputs &amp; Results'!$J$12*(1+Inflation)^F$2,0)</f>
        <v>213478.15377762224</v>
      </c>
      <c r="H40" s="186">
        <f>IF(H$2&lt;=AnalysisPeriod,PreFinancingInstalledCostTotal*'Inputs &amp; Results'!$J$12*(1+Inflation)^G$2,0)</f>
        <v>216680.32608428653</v>
      </c>
      <c r="I40" s="186">
        <f>IF(I$2&lt;=AnalysisPeriod,PreFinancingInstalledCostTotal*'Inputs &amp; Results'!$J$12*(1+Inflation)^H$2,0)</f>
        <v>219930.53097555079</v>
      </c>
      <c r="J40" s="186">
        <f>IF(J$2&lt;=AnalysisPeriod,PreFinancingInstalledCostTotal*'Inputs &amp; Results'!$J$12*(1+Inflation)^I$2,0)</f>
        <v>223229.488940184</v>
      </c>
      <c r="K40" s="186">
        <f>IF(K$2&lt;=AnalysisPeriod,PreFinancingInstalledCostTotal*'Inputs &amp; Results'!$J$12*(1+Inflation)^J$2,0)</f>
        <v>226577.93127428676</v>
      </c>
      <c r="L40" s="186">
        <f>IF(L$2&lt;=AnalysisPeriod,PreFinancingInstalledCostTotal*'Inputs &amp; Results'!$J$12*(1+Inflation)^K$2,0)</f>
        <v>229976.60024340104</v>
      </c>
      <c r="M40" s="186">
        <f>IF(M$2&lt;=AnalysisPeriod,PreFinancingInstalledCostTotal*'Inputs &amp; Results'!$J$12*(1+Inflation)^L$2,0)</f>
        <v>233426.24924705201</v>
      </c>
      <c r="N40" s="186">
        <f>IF(N$2&lt;=AnalysisPeriod,PreFinancingInstalledCostTotal*'Inputs &amp; Results'!$J$12*(1+Inflation)^M$2,0)</f>
        <v>236927.64298575779</v>
      </c>
      <c r="O40" s="186">
        <f>IF(O$2&lt;=AnalysisPeriod,PreFinancingInstalledCostTotal*'Inputs &amp; Results'!$J$12*(1+Inflation)^N$2,0)</f>
        <v>240481.55763054409</v>
      </c>
      <c r="P40" s="186">
        <f>IF(P$2&lt;=AnalysisPeriod,PreFinancingInstalledCostTotal*'Inputs &amp; Results'!$J$12*(1+Inflation)^O$2,0)</f>
        <v>244088.78099500225</v>
      </c>
      <c r="Q40" s="186">
        <f>IF(Q$2&lt;=AnalysisPeriod,PreFinancingInstalledCostTotal*'Inputs &amp; Results'!$J$12*(1+Inflation)^P$2,0)</f>
        <v>247750.1127099272</v>
      </c>
      <c r="R40" s="186">
        <f>IF(R$2&lt;=AnalysisPeriod,PreFinancingInstalledCostTotal*'Inputs &amp; Results'!$J$12*(1+Inflation)^Q$2,0)</f>
        <v>251466.36440057607</v>
      </c>
      <c r="S40" s="186">
        <f>IF(S$2&lt;=AnalysisPeriod,PreFinancingInstalledCostTotal*'Inputs &amp; Results'!$J$12*(1+Inflation)^R$2,0)</f>
        <v>255238.35986658468</v>
      </c>
      <c r="T40" s="186">
        <f>IF(T$2&lt;=AnalysisPeriod,PreFinancingInstalledCostTotal*'Inputs &amp; Results'!$J$12*(1+Inflation)^S$2,0)</f>
        <v>259066.93526458342</v>
      </c>
      <c r="U40" s="186">
        <f>IF(U$2&lt;=AnalysisPeriod,PreFinancingInstalledCostTotal*'Inputs &amp; Results'!$J$12*(1+Inflation)^T$2,0)</f>
        <v>262952.93929355213</v>
      </c>
      <c r="V40" s="186">
        <f>IF(V$2&lt;=AnalysisPeriod,PreFinancingInstalledCostTotal*'Inputs &amp; Results'!$J$12*(1+Inflation)^U$2,0)</f>
        <v>266897.23338295543</v>
      </c>
      <c r="W40" s="186">
        <f>IF(W$2&lt;=AnalysisPeriod,PreFinancingInstalledCostTotal*'Inputs &amp; Results'!$J$12*(1+Inflation)^V$2,0)</f>
        <v>270900.69188369968</v>
      </c>
      <c r="X40" s="186">
        <f>IF(X$2&lt;=AnalysisPeriod,PreFinancingInstalledCostTotal*'Inputs &amp; Results'!$J$12*(1+Inflation)^W$2,0)</f>
        <v>274964.20226195513</v>
      </c>
      <c r="Y40" s="186">
        <f>IF(Y$2&lt;=AnalysisPeriod,PreFinancingInstalledCostTotal*'Inputs &amp; Results'!$J$12*(1+Inflation)^X$2,0)</f>
        <v>279088.66529588442</v>
      </c>
      <c r="Z40" s="186">
        <f>IF(Z$2&lt;=AnalysisPeriod,PreFinancingInstalledCostTotal*'Inputs &amp; Results'!$J$12*(1+Inflation)^Y$2,0)</f>
        <v>283274.99527532264</v>
      </c>
      <c r="AA40" s="186">
        <f>IF(AA$2&lt;=AnalysisPeriod,PreFinancingInstalledCostTotal*'Inputs &amp; Results'!$J$12*(1+Inflation)^Z$2,0)</f>
        <v>287524.12020445243</v>
      </c>
      <c r="AB40" s="186">
        <f>IF(AB$2&lt;=AnalysisPeriod,PreFinancingInstalledCostTotal*'Inputs &amp; Results'!$J$12*(1+Inflation)^AA$2,0)</f>
        <v>291836.98200751923</v>
      </c>
      <c r="AC40" s="186">
        <f>IF(AC$2&lt;=AnalysisPeriod,PreFinancingInstalledCostTotal*'Inputs &amp; Results'!$J$12*(1+Inflation)^AB$2,0)</f>
        <v>296214.53673763195</v>
      </c>
      <c r="AD40" s="186">
        <f>IF(AD$2&lt;=AnalysisPeriod,PreFinancingInstalledCostTotal*'Inputs &amp; Results'!$J$12*(1+Inflation)^AC$2,0)</f>
        <v>300657.75478869642</v>
      </c>
      <c r="AE40" s="186">
        <f>IF(AE$2&lt;=AnalysisPeriod,PreFinancingInstalledCostTotal*'Inputs &amp; Results'!$J$12*(1+Inflation)^AD$2,0)</f>
        <v>305167.62111052679</v>
      </c>
      <c r="AF40" s="186">
        <f>IF(AF$2&lt;=AnalysisPeriod,PreFinancingInstalledCostTotal*'Inputs &amp; Results'!$J$12*(1+Inflation)^AE$2,0)</f>
        <v>309745.13542718469</v>
      </c>
      <c r="AG40" s="186">
        <f>IF(AG$2&lt;=AnalysisPeriod,PreFinancingInstalledCostTotal*'Inputs &amp; Results'!$J$12*(1+Inflation)^AF$2,0)</f>
        <v>0</v>
      </c>
      <c r="AH40" s="186">
        <f>IF(AH$2&lt;=AnalysisPeriod,PreFinancingInstalledCostTotal*'Inputs &amp; Results'!$J$12*(1+Inflation)^AG$2,0)</f>
        <v>0</v>
      </c>
      <c r="AI40" s="186">
        <f>IF(AI$2&lt;=AnalysisPeriod,PreFinancingInstalledCostTotal*'Inputs &amp; Results'!$J$12*(1+Inflation)^AH$2,0)</f>
        <v>0</v>
      </c>
      <c r="AJ40" s="186">
        <f>IF(AJ$2&lt;=AnalysisPeriod,PreFinancingInstalledCostTotal*'Inputs &amp; Results'!$J$12*(1+Inflation)^AI$2,0)</f>
        <v>0</v>
      </c>
      <c r="AK40" s="186">
        <f>IF(AK$2&lt;=AnalysisPeriod,PreFinancingInstalledCostTotal*'Inputs &amp; Results'!$J$12*(1+Inflation)^AJ$2,0)</f>
        <v>0</v>
      </c>
      <c r="AL40" s="186">
        <f>IF(AL$2&lt;=AnalysisPeriod,PreFinancingInstalledCostTotal*'Inputs &amp; Results'!$J$12*(1+Inflation)^AK$2,0)</f>
        <v>0</v>
      </c>
      <c r="AM40" s="186">
        <f>IF(AM$2&lt;=AnalysisPeriod,PreFinancingInstalledCostTotal*'Inputs &amp; Results'!$J$12*(1+Inflation)^AL$2,0)</f>
        <v>0</v>
      </c>
      <c r="AN40" s="186">
        <f>IF(AN$2&lt;=AnalysisPeriod,PreFinancingInstalledCostTotal*'Inputs &amp; Results'!$J$12*(1+Inflation)^AM$2,0)</f>
        <v>0</v>
      </c>
      <c r="AO40" s="186">
        <f>IF(AO$2&lt;=AnalysisPeriod,PreFinancingInstalledCostTotal*'Inputs &amp; Results'!$J$12*(1+Inflation)^AN$2,0)</f>
        <v>0</v>
      </c>
      <c r="AP40" s="186">
        <f>IF(AP$2&lt;=AnalysisPeriod,PreFinancingInstalledCostTotal*'Inputs &amp; Results'!$J$12*(1+Inflation)^AO$2,0)</f>
        <v>0</v>
      </c>
    </row>
    <row r="41" spans="1:42">
      <c r="A41" s="180" t="s">
        <v>455</v>
      </c>
      <c r="C41" s="187">
        <f t="shared" ref="C41:AP41" si="37">IF(C$2&lt;=AnalysisPeriod,SLDevMargin*(1+SLDevMarginEsc)^B$2,0)</f>
        <v>400000</v>
      </c>
      <c r="D41" s="187">
        <f t="shared" si="37"/>
        <v>408000</v>
      </c>
      <c r="E41" s="187">
        <f t="shared" si="37"/>
        <v>416160</v>
      </c>
      <c r="F41" s="187">
        <f t="shared" si="37"/>
        <v>424483.19999999995</v>
      </c>
      <c r="G41" s="187">
        <f t="shared" si="37"/>
        <v>432972.864</v>
      </c>
      <c r="H41" s="187">
        <f t="shared" si="37"/>
        <v>441632.32128000003</v>
      </c>
      <c r="I41" s="187">
        <f t="shared" si="37"/>
        <v>450464.96770560002</v>
      </c>
      <c r="J41" s="187">
        <f t="shared" si="37"/>
        <v>459474.26705971191</v>
      </c>
      <c r="K41" s="187">
        <f t="shared" si="37"/>
        <v>468663.75240090623</v>
      </c>
      <c r="L41" s="187">
        <f t="shared" si="37"/>
        <v>478037.02744892432</v>
      </c>
      <c r="M41" s="187">
        <f t="shared" si="37"/>
        <v>487597.76799790282</v>
      </c>
      <c r="N41" s="187">
        <f t="shared" si="37"/>
        <v>497349.72335786081</v>
      </c>
      <c r="O41" s="187">
        <f t="shared" si="37"/>
        <v>507296.7178250181</v>
      </c>
      <c r="P41" s="187">
        <f t="shared" si="37"/>
        <v>517442.65218151844</v>
      </c>
      <c r="Q41" s="187">
        <f t="shared" si="37"/>
        <v>527791.50522514887</v>
      </c>
      <c r="R41" s="187">
        <f t="shared" si="37"/>
        <v>538347.33532965172</v>
      </c>
      <c r="S41" s="187">
        <f t="shared" si="37"/>
        <v>549114.28203624487</v>
      </c>
      <c r="T41" s="187">
        <f t="shared" si="37"/>
        <v>560096.5676769698</v>
      </c>
      <c r="U41" s="187">
        <f t="shared" si="37"/>
        <v>571298.49903050903</v>
      </c>
      <c r="V41" s="187">
        <f t="shared" si="37"/>
        <v>582724.46901111922</v>
      </c>
      <c r="W41" s="187">
        <f t="shared" si="37"/>
        <v>594378.95839134173</v>
      </c>
      <c r="X41" s="187">
        <f t="shared" si="37"/>
        <v>606266.53755916853</v>
      </c>
      <c r="Y41" s="187">
        <f t="shared" si="37"/>
        <v>618391.86831035186</v>
      </c>
      <c r="Z41" s="187">
        <f t="shared" si="37"/>
        <v>630759.70567655878</v>
      </c>
      <c r="AA41" s="187">
        <f t="shared" si="37"/>
        <v>643374.89979009004</v>
      </c>
      <c r="AB41" s="187">
        <f t="shared" si="37"/>
        <v>656242.39778589178</v>
      </c>
      <c r="AC41" s="187">
        <f t="shared" si="37"/>
        <v>669367.24574160972</v>
      </c>
      <c r="AD41" s="187">
        <f t="shared" si="37"/>
        <v>682754.59065644175</v>
      </c>
      <c r="AE41" s="187">
        <f t="shared" si="37"/>
        <v>696409.68246957078</v>
      </c>
      <c r="AF41" s="187">
        <f t="shared" si="37"/>
        <v>710337.87611896207</v>
      </c>
      <c r="AG41" s="187">
        <f t="shared" si="37"/>
        <v>0</v>
      </c>
      <c r="AH41" s="187">
        <f t="shared" si="37"/>
        <v>0</v>
      </c>
      <c r="AI41" s="187">
        <f t="shared" si="37"/>
        <v>0</v>
      </c>
      <c r="AJ41" s="187">
        <f t="shared" si="37"/>
        <v>0</v>
      </c>
      <c r="AK41" s="187">
        <f t="shared" si="37"/>
        <v>0</v>
      </c>
      <c r="AL41" s="187">
        <f t="shared" si="37"/>
        <v>0</v>
      </c>
      <c r="AM41" s="187">
        <f t="shared" si="37"/>
        <v>0</v>
      </c>
      <c r="AN41" s="187">
        <f t="shared" si="37"/>
        <v>0</v>
      </c>
      <c r="AO41" s="187">
        <f t="shared" si="37"/>
        <v>0</v>
      </c>
      <c r="AP41" s="187">
        <f t="shared" si="37"/>
        <v>0</v>
      </c>
    </row>
    <row r="42" spans="1:42">
      <c r="A42" s="37" t="s">
        <v>73</v>
      </c>
      <c r="C42" s="152">
        <f>C23+C27+C31+C39+C40+C41</f>
        <v>1177254.1937500001</v>
      </c>
      <c r="D42" s="152">
        <f>D23+D27+D31+D39+D40+D41</f>
        <v>1179730.8453124999</v>
      </c>
      <c r="E42" s="152">
        <f t="shared" ref="E42:AP42" si="38">E23+E27+E31+E39+E40+E41</f>
        <v>1182536.2385034375</v>
      </c>
      <c r="F42" s="152">
        <f t="shared" si="38"/>
        <v>1185676.9725147341</v>
      </c>
      <c r="G42" s="152">
        <f t="shared" si="38"/>
        <v>1189159.7815880028</v>
      </c>
      <c r="H42" s="152">
        <f t="shared" si="38"/>
        <v>1192991.5378193017</v>
      </c>
      <c r="I42" s="152">
        <f t="shared" si="38"/>
        <v>1197179.2540228232</v>
      </c>
      <c r="J42" s="152">
        <f t="shared" si="38"/>
        <v>1201730.0866547658</v>
      </c>
      <c r="K42" s="152">
        <f t="shared" si="38"/>
        <v>1206651.3387986664</v>
      </c>
      <c r="L42" s="152">
        <f t="shared" si="38"/>
        <v>1211950.4632134985</v>
      </c>
      <c r="M42" s="152">
        <f t="shared" si="38"/>
        <v>1217635.0654458669</v>
      </c>
      <c r="N42" s="152">
        <f t="shared" si="38"/>
        <v>1223712.9070076603</v>
      </c>
      <c r="O42" s="152">
        <f t="shared" si="38"/>
        <v>1230191.9086205517</v>
      </c>
      <c r="P42" s="152">
        <f t="shared" si="38"/>
        <v>1237080.1535287641</v>
      </c>
      <c r="Q42" s="152">
        <f t="shared" si="38"/>
        <v>1244385.8908815575</v>
      </c>
      <c r="R42" s="152">
        <f t="shared" si="38"/>
        <v>1252117.5391869084</v>
      </c>
      <c r="S42" s="152">
        <f t="shared" si="38"/>
        <v>1260283.6898379046</v>
      </c>
      <c r="T42" s="152">
        <f t="shared" si="38"/>
        <v>1268893.110713392</v>
      </c>
      <c r="U42" s="152">
        <f t="shared" si="38"/>
        <v>1277954.7498544585</v>
      </c>
      <c r="V42" s="152">
        <f t="shared" si="38"/>
        <v>1287477.7392183607</v>
      </c>
      <c r="W42" s="152">
        <f t="shared" si="38"/>
        <v>1297471.3985115457</v>
      </c>
      <c r="X42" s="152">
        <f t="shared" si="38"/>
        <v>1322276.1612909434</v>
      </c>
      <c r="Y42" s="152">
        <f t="shared" si="38"/>
        <v>1347570.8123977543</v>
      </c>
      <c r="Z42" s="152">
        <f t="shared" si="38"/>
        <v>1373365.2586004823</v>
      </c>
      <c r="AA42" s="152">
        <f t="shared" si="38"/>
        <v>1399669.6105740047</v>
      </c>
      <c r="AB42" s="152">
        <f t="shared" si="38"/>
        <v>1426494.1871540139</v>
      </c>
      <c r="AC42" s="152">
        <f t="shared" si="38"/>
        <v>1453849.5196811974</v>
      </c>
      <c r="AD42" s="152">
        <f t="shared" si="38"/>
        <v>1481746.3564370656</v>
      </c>
      <c r="AE42" s="152">
        <f t="shared" si="38"/>
        <v>1510195.6671733845</v>
      </c>
      <c r="AF42" s="152">
        <f t="shared" si="38"/>
        <v>1539208.6477371946</v>
      </c>
      <c r="AG42" s="152">
        <f t="shared" si="38"/>
        <v>0</v>
      </c>
      <c r="AH42" s="152">
        <f t="shared" si="38"/>
        <v>0</v>
      </c>
      <c r="AI42" s="152">
        <f t="shared" si="38"/>
        <v>0</v>
      </c>
      <c r="AJ42" s="152">
        <f t="shared" si="38"/>
        <v>0</v>
      </c>
      <c r="AK42" s="152">
        <f t="shared" si="38"/>
        <v>0</v>
      </c>
      <c r="AL42" s="152">
        <f t="shared" si="38"/>
        <v>0</v>
      </c>
      <c r="AM42" s="152">
        <f t="shared" si="38"/>
        <v>0</v>
      </c>
      <c r="AN42" s="152">
        <f t="shared" si="38"/>
        <v>0</v>
      </c>
      <c r="AO42" s="152">
        <f t="shared" si="38"/>
        <v>0</v>
      </c>
      <c r="AP42" s="152">
        <f t="shared" si="38"/>
        <v>0</v>
      </c>
    </row>
    <row r="44" spans="1:42" ht="13.5" thickBot="1">
      <c r="A44" s="182" t="s">
        <v>536</v>
      </c>
      <c r="C44" s="193">
        <f t="shared" ref="C44:AP44" si="39">C20-C42</f>
        <v>5574509.2350989562</v>
      </c>
      <c r="D44" s="193">
        <f t="shared" si="39"/>
        <v>5605453.8125092573</v>
      </c>
      <c r="E44" s="193">
        <f t="shared" si="39"/>
        <v>5636235.0833745375</v>
      </c>
      <c r="F44" s="193">
        <f t="shared" si="39"/>
        <v>5666847.2674065381</v>
      </c>
      <c r="G44" s="193">
        <f t="shared" si="39"/>
        <v>5697284.4533208795</v>
      </c>
      <c r="H44" s="193">
        <f t="shared" si="39"/>
        <v>5727540.5960523784</v>
      </c>
      <c r="I44" s="193">
        <f t="shared" si="39"/>
        <v>5757609.5139115229</v>
      </c>
      <c r="J44" s="193">
        <f t="shared" si="39"/>
        <v>5787484.8856808543</v>
      </c>
      <c r="K44" s="193">
        <f t="shared" si="39"/>
        <v>5817160.247650017</v>
      </c>
      <c r="L44" s="193">
        <f t="shared" si="39"/>
        <v>5846628.9905881071</v>
      </c>
      <c r="M44" s="193">
        <f t="shared" si="39"/>
        <v>5875884.3566520568</v>
      </c>
      <c r="N44" s="193">
        <f t="shared" si="39"/>
        <v>5904919.4362296462</v>
      </c>
      <c r="O44" s="193">
        <f t="shared" si="39"/>
        <v>5933727.1647157799</v>
      </c>
      <c r="P44" s="193">
        <f t="shared" si="39"/>
        <v>5962300.3192205811</v>
      </c>
      <c r="Q44" s="193">
        <f t="shared" si="39"/>
        <v>5990631.5152078997</v>
      </c>
      <c r="R44" s="193">
        <f t="shared" si="39"/>
        <v>6018713.2030626889</v>
      </c>
      <c r="S44" s="193">
        <f t="shared" si="39"/>
        <v>6046537.6645858297</v>
      </c>
      <c r="T44" s="193">
        <f t="shared" si="39"/>
        <v>6074097.0094147399</v>
      </c>
      <c r="U44" s="193">
        <f t="shared" si="39"/>
        <v>6101383.1713683084</v>
      </c>
      <c r="V44" s="193">
        <f t="shared" si="39"/>
        <v>6128387.9047144577</v>
      </c>
      <c r="W44" s="193">
        <f t="shared" si="39"/>
        <v>6155102.7803587401</v>
      </c>
      <c r="X44" s="193">
        <f t="shared" si="39"/>
        <v>6167188.2597647486</v>
      </c>
      <c r="Y44" s="193">
        <f t="shared" si="39"/>
        <v>6178966.4575421661</v>
      </c>
      <c r="Z44" s="193">
        <f t="shared" si="39"/>
        <v>6190428.370825639</v>
      </c>
      <c r="AA44" s="193">
        <f t="shared" si="39"/>
        <v>6201564.7973177787</v>
      </c>
      <c r="AB44" s="193">
        <f t="shared" si="39"/>
        <v>6212366.3310568333</v>
      </c>
      <c r="AC44" s="193">
        <f t="shared" si="39"/>
        <v>6222823.3580947937</v>
      </c>
      <c r="AD44" s="193">
        <f t="shared" si="39"/>
        <v>6232926.0520839132</v>
      </c>
      <c r="AE44" s="193">
        <f t="shared" si="39"/>
        <v>6242664.3697697734</v>
      </c>
      <c r="AF44" s="193">
        <f t="shared" si="39"/>
        <v>10274743.046388833</v>
      </c>
      <c r="AG44" s="193">
        <f t="shared" si="39"/>
        <v>0</v>
      </c>
      <c r="AH44" s="193">
        <f t="shared" si="39"/>
        <v>0</v>
      </c>
      <c r="AI44" s="193">
        <f t="shared" si="39"/>
        <v>0</v>
      </c>
      <c r="AJ44" s="193">
        <f t="shared" si="39"/>
        <v>0</v>
      </c>
      <c r="AK44" s="193">
        <f t="shared" si="39"/>
        <v>0</v>
      </c>
      <c r="AL44" s="193">
        <f t="shared" si="39"/>
        <v>0</v>
      </c>
      <c r="AM44" s="193">
        <f t="shared" si="39"/>
        <v>0</v>
      </c>
      <c r="AN44" s="193">
        <f t="shared" si="39"/>
        <v>0</v>
      </c>
      <c r="AO44" s="193">
        <f t="shared" si="39"/>
        <v>0</v>
      </c>
      <c r="AP44" s="193">
        <f t="shared" si="39"/>
        <v>0</v>
      </c>
    </row>
    <row r="45" spans="1:42" ht="13.5" thickTop="1">
      <c r="C45" s="186"/>
      <c r="D45" s="186"/>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41"/>
      <c r="AG45" s="141"/>
      <c r="AH45" s="186"/>
      <c r="AI45" s="186"/>
      <c r="AJ45" s="186"/>
      <c r="AK45" s="186"/>
      <c r="AL45" s="186"/>
      <c r="AM45" s="186"/>
      <c r="AN45" s="186"/>
      <c r="AO45" s="186"/>
      <c r="AP45" s="186"/>
    </row>
    <row r="46" spans="1:42">
      <c r="A46" s="179" t="s">
        <v>459</v>
      </c>
      <c r="B46" s="118"/>
      <c r="C46" s="141"/>
      <c r="D46" s="141"/>
      <c r="E46" s="186"/>
      <c r="F46" s="186"/>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41"/>
      <c r="AG46" s="141"/>
      <c r="AH46" s="186"/>
      <c r="AI46" s="186"/>
      <c r="AJ46" s="186"/>
      <c r="AK46" s="186"/>
      <c r="AL46" s="186"/>
      <c r="AM46" s="186"/>
      <c r="AN46" s="186"/>
      <c r="AO46" s="186"/>
      <c r="AP46" s="186"/>
    </row>
    <row r="47" spans="1:42">
      <c r="A47" s="182" t="s">
        <v>189</v>
      </c>
      <c r="B47" s="152"/>
      <c r="C47" s="152"/>
      <c r="D47" s="152"/>
      <c r="E47" s="152"/>
      <c r="F47" s="152"/>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c r="AP47" s="186"/>
    </row>
    <row r="48" spans="1:42">
      <c r="A48" s="180" t="s">
        <v>536</v>
      </c>
      <c r="B48" s="152">
        <v>0</v>
      </c>
      <c r="C48" s="152">
        <f>C44</f>
        <v>5574509.2350989562</v>
      </c>
      <c r="D48" s="152">
        <f t="shared" ref="D48:AP48" si="40">D44</f>
        <v>5605453.8125092573</v>
      </c>
      <c r="E48" s="152">
        <f t="shared" si="40"/>
        <v>5636235.0833745375</v>
      </c>
      <c r="F48" s="152">
        <f t="shared" si="40"/>
        <v>5666847.2674065381</v>
      </c>
      <c r="G48" s="152">
        <f t="shared" si="40"/>
        <v>5697284.4533208795</v>
      </c>
      <c r="H48" s="152">
        <f t="shared" si="40"/>
        <v>5727540.5960523784</v>
      </c>
      <c r="I48" s="152">
        <f t="shared" si="40"/>
        <v>5757609.5139115229</v>
      </c>
      <c r="J48" s="152">
        <f t="shared" si="40"/>
        <v>5787484.8856808543</v>
      </c>
      <c r="K48" s="152">
        <f t="shared" si="40"/>
        <v>5817160.247650017</v>
      </c>
      <c r="L48" s="152">
        <f t="shared" si="40"/>
        <v>5846628.9905881071</v>
      </c>
      <c r="M48" s="152">
        <f t="shared" si="40"/>
        <v>5875884.3566520568</v>
      </c>
      <c r="N48" s="152">
        <f t="shared" si="40"/>
        <v>5904919.4362296462</v>
      </c>
      <c r="O48" s="152">
        <f t="shared" si="40"/>
        <v>5933727.1647157799</v>
      </c>
      <c r="P48" s="152">
        <f t="shared" si="40"/>
        <v>5962300.3192205811</v>
      </c>
      <c r="Q48" s="152">
        <f t="shared" si="40"/>
        <v>5990631.5152078997</v>
      </c>
      <c r="R48" s="152">
        <f t="shared" si="40"/>
        <v>6018713.2030626889</v>
      </c>
      <c r="S48" s="152">
        <f t="shared" si="40"/>
        <v>6046537.6645858297</v>
      </c>
      <c r="T48" s="152">
        <f t="shared" si="40"/>
        <v>6074097.0094147399</v>
      </c>
      <c r="U48" s="152">
        <f t="shared" si="40"/>
        <v>6101383.1713683084</v>
      </c>
      <c r="V48" s="152">
        <f t="shared" si="40"/>
        <v>6128387.9047144577</v>
      </c>
      <c r="W48" s="152">
        <f t="shared" si="40"/>
        <v>6155102.7803587401</v>
      </c>
      <c r="X48" s="152">
        <f t="shared" si="40"/>
        <v>6167188.2597647486</v>
      </c>
      <c r="Y48" s="152">
        <f t="shared" si="40"/>
        <v>6178966.4575421661</v>
      </c>
      <c r="Z48" s="152">
        <f t="shared" si="40"/>
        <v>6190428.370825639</v>
      </c>
      <c r="AA48" s="152">
        <f t="shared" si="40"/>
        <v>6201564.7973177787</v>
      </c>
      <c r="AB48" s="152">
        <f t="shared" si="40"/>
        <v>6212366.3310568333</v>
      </c>
      <c r="AC48" s="152">
        <f t="shared" si="40"/>
        <v>6222823.3580947937</v>
      </c>
      <c r="AD48" s="152">
        <f t="shared" si="40"/>
        <v>6232926.0520839132</v>
      </c>
      <c r="AE48" s="152">
        <f t="shared" si="40"/>
        <v>6242664.3697697734</v>
      </c>
      <c r="AF48" s="152">
        <f t="shared" si="40"/>
        <v>10274743.046388833</v>
      </c>
      <c r="AG48" s="152">
        <f t="shared" si="40"/>
        <v>0</v>
      </c>
      <c r="AH48" s="152">
        <f t="shared" si="40"/>
        <v>0</v>
      </c>
      <c r="AI48" s="152">
        <f t="shared" si="40"/>
        <v>0</v>
      </c>
      <c r="AJ48" s="152">
        <f t="shared" si="40"/>
        <v>0</v>
      </c>
      <c r="AK48" s="152">
        <f t="shared" si="40"/>
        <v>0</v>
      </c>
      <c r="AL48" s="152">
        <f t="shared" si="40"/>
        <v>0</v>
      </c>
      <c r="AM48" s="152">
        <f t="shared" si="40"/>
        <v>0</v>
      </c>
      <c r="AN48" s="152">
        <f t="shared" si="40"/>
        <v>0</v>
      </c>
      <c r="AO48" s="152">
        <f t="shared" si="40"/>
        <v>0</v>
      </c>
      <c r="AP48" s="152">
        <f t="shared" si="40"/>
        <v>0</v>
      </c>
    </row>
    <row r="49" spans="1:42">
      <c r="A49" s="180" t="s">
        <v>129</v>
      </c>
      <c r="B49" s="187">
        <v>0</v>
      </c>
      <c r="C49" s="187">
        <f t="shared" ref="C49:AP49" si="41">C746</f>
        <v>6125.0000000000009</v>
      </c>
      <c r="D49" s="187">
        <f t="shared" si="41"/>
        <v>18205.811846654171</v>
      </c>
      <c r="E49" s="187">
        <f t="shared" si="41"/>
        <v>30286.623693308342</v>
      </c>
      <c r="F49" s="187">
        <f t="shared" si="41"/>
        <v>40564.541789962517</v>
      </c>
      <c r="G49" s="187">
        <f t="shared" si="41"/>
        <v>52672.804722215893</v>
      </c>
      <c r="H49" s="187">
        <f t="shared" si="41"/>
        <v>64781.067654469291</v>
      </c>
      <c r="I49" s="187">
        <f t="shared" si="41"/>
        <v>75004.083579925034</v>
      </c>
      <c r="J49" s="187">
        <f t="shared" si="41"/>
        <v>87141.051518759807</v>
      </c>
      <c r="K49" s="187">
        <f t="shared" si="41"/>
        <v>99278.01945759455</v>
      </c>
      <c r="L49" s="187">
        <f t="shared" si="41"/>
        <v>109443.62536988755</v>
      </c>
      <c r="M49" s="187">
        <f t="shared" si="41"/>
        <v>121610.60951335869</v>
      </c>
      <c r="N49" s="187">
        <f t="shared" si="41"/>
        <v>133777.59365682982</v>
      </c>
      <c r="O49" s="187">
        <f t="shared" si="41"/>
        <v>92347.901148577046</v>
      </c>
      <c r="P49" s="187">
        <f t="shared" si="41"/>
        <v>105386.37546337843</v>
      </c>
      <c r="Q49" s="187">
        <f t="shared" si="41"/>
        <v>118424.84977817982</v>
      </c>
      <c r="R49" s="187">
        <f t="shared" si="41"/>
        <v>21529.125128545482</v>
      </c>
      <c r="S49" s="187">
        <f t="shared" si="41"/>
        <v>36398.398355727615</v>
      </c>
      <c r="T49" s="187">
        <f t="shared" si="41"/>
        <v>51267.671582909745</v>
      </c>
      <c r="U49" s="187">
        <f t="shared" si="41"/>
        <v>63882.909231071135</v>
      </c>
      <c r="V49" s="187">
        <f t="shared" si="41"/>
        <v>78786.502685733882</v>
      </c>
      <c r="W49" s="187">
        <f t="shared" si="41"/>
        <v>93690.096140396621</v>
      </c>
      <c r="X49" s="187">
        <f t="shared" si="41"/>
        <v>106236.69333359678</v>
      </c>
      <c r="Y49" s="187">
        <f t="shared" si="41"/>
        <v>121176.17470796108</v>
      </c>
      <c r="Z49" s="187">
        <f t="shared" si="41"/>
        <v>136115.65608232541</v>
      </c>
      <c r="AA49" s="187">
        <f t="shared" si="41"/>
        <v>86973.976921940499</v>
      </c>
      <c r="AB49" s="187">
        <f t="shared" si="41"/>
        <v>96816.277141678642</v>
      </c>
      <c r="AC49" s="187">
        <f t="shared" si="41"/>
        <v>106658.57736141678</v>
      </c>
      <c r="AD49" s="187">
        <f t="shared" si="41"/>
        <v>113923.63589592067</v>
      </c>
      <c r="AE49" s="187">
        <f t="shared" si="41"/>
        <v>123805.1775197134</v>
      </c>
      <c r="AF49" s="187">
        <f t="shared" si="41"/>
        <v>133686.71914350611</v>
      </c>
      <c r="AG49" s="187">
        <f t="shared" si="41"/>
        <v>0</v>
      </c>
      <c r="AH49" s="187">
        <f t="shared" si="41"/>
        <v>0</v>
      </c>
      <c r="AI49" s="187">
        <f t="shared" si="41"/>
        <v>0</v>
      </c>
      <c r="AJ49" s="187">
        <f t="shared" si="41"/>
        <v>0</v>
      </c>
      <c r="AK49" s="187">
        <f t="shared" si="41"/>
        <v>0</v>
      </c>
      <c r="AL49" s="187">
        <f t="shared" si="41"/>
        <v>0</v>
      </c>
      <c r="AM49" s="187">
        <f t="shared" si="41"/>
        <v>0</v>
      </c>
      <c r="AN49" s="187">
        <f t="shared" si="41"/>
        <v>0</v>
      </c>
      <c r="AO49" s="187">
        <f t="shared" si="41"/>
        <v>0</v>
      </c>
      <c r="AP49" s="187">
        <f t="shared" si="41"/>
        <v>0</v>
      </c>
    </row>
    <row r="50" spans="1:42">
      <c r="A50" s="180" t="s">
        <v>53</v>
      </c>
      <c r="B50" s="152">
        <f>SUM(B48:B49)</f>
        <v>0</v>
      </c>
      <c r="C50" s="152">
        <f t="shared" ref="C50:AP50" si="42">SUM(C48:C49)</f>
        <v>5580634.2350989562</v>
      </c>
      <c r="D50" s="152">
        <f t="shared" si="42"/>
        <v>5623659.6243559113</v>
      </c>
      <c r="E50" s="152">
        <f t="shared" si="42"/>
        <v>5666521.7070678463</v>
      </c>
      <c r="F50" s="152">
        <f t="shared" si="42"/>
        <v>5707411.809196501</v>
      </c>
      <c r="G50" s="152">
        <f t="shared" si="42"/>
        <v>5749957.2580430955</v>
      </c>
      <c r="H50" s="152">
        <f t="shared" si="42"/>
        <v>5792321.6637068475</v>
      </c>
      <c r="I50" s="152">
        <f t="shared" si="42"/>
        <v>5832613.5974914478</v>
      </c>
      <c r="J50" s="152">
        <f t="shared" si="42"/>
        <v>5874625.937199614</v>
      </c>
      <c r="K50" s="152">
        <f t="shared" si="42"/>
        <v>5916438.2671076115</v>
      </c>
      <c r="L50" s="152">
        <f t="shared" si="42"/>
        <v>5956072.6159579949</v>
      </c>
      <c r="M50" s="152">
        <f t="shared" si="42"/>
        <v>5997494.9661654159</v>
      </c>
      <c r="N50" s="152">
        <f t="shared" si="42"/>
        <v>6038697.0298864758</v>
      </c>
      <c r="O50" s="152">
        <f t="shared" si="42"/>
        <v>6026075.0658643572</v>
      </c>
      <c r="P50" s="152">
        <f t="shared" si="42"/>
        <v>6067686.6946839597</v>
      </c>
      <c r="Q50" s="152">
        <f t="shared" si="42"/>
        <v>6109056.3649860797</v>
      </c>
      <c r="R50" s="152">
        <f t="shared" si="42"/>
        <v>6040242.3281912347</v>
      </c>
      <c r="S50" s="152">
        <f t="shared" si="42"/>
        <v>6082936.0629415577</v>
      </c>
      <c r="T50" s="152">
        <f t="shared" si="42"/>
        <v>6125364.6809976492</v>
      </c>
      <c r="U50" s="152">
        <f t="shared" si="42"/>
        <v>6165266.0805993797</v>
      </c>
      <c r="V50" s="152">
        <f t="shared" si="42"/>
        <v>6207174.4074001918</v>
      </c>
      <c r="W50" s="152">
        <f t="shared" si="42"/>
        <v>6248792.8764991369</v>
      </c>
      <c r="X50" s="152">
        <f t="shared" si="42"/>
        <v>6273424.9530983455</v>
      </c>
      <c r="Y50" s="152">
        <f t="shared" si="42"/>
        <v>6300142.6322501274</v>
      </c>
      <c r="Z50" s="152">
        <f t="shared" si="42"/>
        <v>6326544.0269079646</v>
      </c>
      <c r="AA50" s="152">
        <f t="shared" si="42"/>
        <v>6288538.7742397189</v>
      </c>
      <c r="AB50" s="152">
        <f t="shared" si="42"/>
        <v>6309182.6081985123</v>
      </c>
      <c r="AC50" s="152">
        <f t="shared" si="42"/>
        <v>6329481.9354562107</v>
      </c>
      <c r="AD50" s="152">
        <f t="shared" si="42"/>
        <v>6346849.6879798342</v>
      </c>
      <c r="AE50" s="152">
        <f t="shared" si="42"/>
        <v>6366469.547289487</v>
      </c>
      <c r="AF50" s="152">
        <f t="shared" si="42"/>
        <v>10408429.765532339</v>
      </c>
      <c r="AG50" s="152">
        <f t="shared" si="42"/>
        <v>0</v>
      </c>
      <c r="AH50" s="152">
        <f t="shared" si="42"/>
        <v>0</v>
      </c>
      <c r="AI50" s="152">
        <f t="shared" si="42"/>
        <v>0</v>
      </c>
      <c r="AJ50" s="152">
        <f t="shared" si="42"/>
        <v>0</v>
      </c>
      <c r="AK50" s="152">
        <f t="shared" si="42"/>
        <v>0</v>
      </c>
      <c r="AL50" s="152">
        <f t="shared" si="42"/>
        <v>0</v>
      </c>
      <c r="AM50" s="152">
        <f t="shared" si="42"/>
        <v>0</v>
      </c>
      <c r="AN50" s="152">
        <f t="shared" si="42"/>
        <v>0</v>
      </c>
      <c r="AO50" s="152">
        <f t="shared" si="42"/>
        <v>0</v>
      </c>
      <c r="AP50" s="152">
        <f t="shared" si="42"/>
        <v>0</v>
      </c>
    </row>
    <row r="51" spans="1:42">
      <c r="A51" s="180"/>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row>
    <row r="52" spans="1:42">
      <c r="A52" s="182" t="s">
        <v>182</v>
      </c>
      <c r="B52" s="152"/>
      <c r="C52" s="152"/>
      <c r="D52" s="152"/>
      <c r="E52" s="152"/>
      <c r="F52" s="152"/>
      <c r="G52" s="152"/>
      <c r="H52" s="152"/>
      <c r="I52" s="152"/>
      <c r="J52" s="152"/>
      <c r="K52" s="152"/>
      <c r="L52" s="152"/>
      <c r="M52" s="152"/>
      <c r="N52" s="152"/>
      <c r="O52" s="152"/>
      <c r="P52" s="152"/>
      <c r="Q52" s="152"/>
      <c r="R52" s="152"/>
      <c r="S52" s="152"/>
      <c r="T52" s="152"/>
      <c r="U52" s="152"/>
      <c r="V52" s="152"/>
      <c r="W52" s="152"/>
      <c r="X52" s="152"/>
      <c r="Y52" s="152"/>
      <c r="Z52" s="152"/>
      <c r="AA52" s="152"/>
      <c r="AB52" s="152"/>
      <c r="AC52" s="152"/>
      <c r="AD52" s="152"/>
      <c r="AE52" s="152"/>
      <c r="AF52" s="152"/>
      <c r="AG52" s="152"/>
      <c r="AH52" s="152"/>
      <c r="AI52" s="152"/>
      <c r="AJ52" s="152"/>
      <c r="AK52" s="152"/>
      <c r="AL52" s="152"/>
      <c r="AM52" s="152"/>
      <c r="AN52" s="152"/>
      <c r="AO52" s="152"/>
      <c r="AP52" s="152"/>
    </row>
    <row r="53" spans="1:42" s="118" customFormat="1">
      <c r="A53" s="267" t="s">
        <v>460</v>
      </c>
      <c r="B53" s="198">
        <f>'Inputs &amp; Results'!D182</f>
        <v>42606688.5</v>
      </c>
      <c r="C53" s="198">
        <v>0</v>
      </c>
      <c r="D53" s="198">
        <v>0</v>
      </c>
      <c r="E53" s="198">
        <v>0</v>
      </c>
      <c r="F53" s="198">
        <v>0</v>
      </c>
      <c r="G53" s="198">
        <v>0</v>
      </c>
      <c r="H53" s="198">
        <v>0</v>
      </c>
      <c r="I53" s="198">
        <v>0</v>
      </c>
      <c r="J53" s="198">
        <v>0</v>
      </c>
      <c r="K53" s="198">
        <v>0</v>
      </c>
      <c r="L53" s="198">
        <v>0</v>
      </c>
      <c r="M53" s="198">
        <v>0</v>
      </c>
      <c r="N53" s="198">
        <v>0</v>
      </c>
      <c r="O53" s="198">
        <v>0</v>
      </c>
      <c r="P53" s="198">
        <v>0</v>
      </c>
      <c r="Q53" s="198">
        <v>0</v>
      </c>
      <c r="R53" s="198">
        <v>0</v>
      </c>
      <c r="S53" s="198">
        <v>0</v>
      </c>
      <c r="T53" s="198">
        <v>0</v>
      </c>
      <c r="U53" s="198">
        <v>0</v>
      </c>
      <c r="V53" s="198">
        <v>0</v>
      </c>
      <c r="W53" s="198">
        <v>0</v>
      </c>
      <c r="X53" s="198">
        <v>0</v>
      </c>
      <c r="Y53" s="198">
        <v>0</v>
      </c>
      <c r="Z53" s="198">
        <v>0</v>
      </c>
      <c r="AA53" s="198">
        <v>0</v>
      </c>
      <c r="AB53" s="198">
        <v>0</v>
      </c>
      <c r="AC53" s="198">
        <v>0</v>
      </c>
      <c r="AD53" s="198">
        <v>0</v>
      </c>
      <c r="AE53" s="198">
        <v>0</v>
      </c>
      <c r="AF53" s="198">
        <v>0</v>
      </c>
      <c r="AG53" s="198">
        <v>0</v>
      </c>
      <c r="AH53" s="198">
        <v>0</v>
      </c>
      <c r="AI53" s="198">
        <v>0</v>
      </c>
      <c r="AJ53" s="198">
        <v>0</v>
      </c>
      <c r="AK53" s="198">
        <v>0</v>
      </c>
      <c r="AL53" s="198">
        <v>0</v>
      </c>
      <c r="AM53" s="198">
        <v>0</v>
      </c>
      <c r="AN53" s="198">
        <v>0</v>
      </c>
      <c r="AO53" s="198">
        <v>0</v>
      </c>
      <c r="AP53" s="198">
        <v>0</v>
      </c>
    </row>
    <row r="54" spans="1:42">
      <c r="A54" s="180" t="s">
        <v>461</v>
      </c>
      <c r="B54" s="152">
        <f>-PreFinancingInstalledCostTotal-'Inputs &amp; Results'!D148-'Inputs &amp; Results'!D151</f>
        <v>-41399874</v>
      </c>
      <c r="C54" s="152">
        <v>0</v>
      </c>
      <c r="D54" s="152">
        <v>0</v>
      </c>
      <c r="E54" s="152">
        <v>0</v>
      </c>
      <c r="F54" s="152">
        <v>0</v>
      </c>
      <c r="G54" s="152">
        <v>0</v>
      </c>
      <c r="H54" s="152">
        <v>0</v>
      </c>
      <c r="I54" s="152">
        <v>0</v>
      </c>
      <c r="J54" s="152">
        <v>0</v>
      </c>
      <c r="K54" s="152">
        <v>0</v>
      </c>
      <c r="L54" s="152">
        <v>0</v>
      </c>
      <c r="M54" s="152">
        <v>0</v>
      </c>
      <c r="N54" s="152">
        <v>0</v>
      </c>
      <c r="O54" s="152">
        <v>0</v>
      </c>
      <c r="P54" s="152">
        <v>0</v>
      </c>
      <c r="Q54" s="152">
        <v>0</v>
      </c>
      <c r="R54" s="152">
        <v>0</v>
      </c>
      <c r="S54" s="152">
        <v>0</v>
      </c>
      <c r="T54" s="152">
        <v>0</v>
      </c>
      <c r="U54" s="152">
        <v>0</v>
      </c>
      <c r="V54" s="152">
        <v>0</v>
      </c>
      <c r="W54" s="152">
        <v>0</v>
      </c>
      <c r="X54" s="152">
        <v>0</v>
      </c>
      <c r="Y54" s="152">
        <v>0</v>
      </c>
      <c r="Z54" s="152">
        <v>0</v>
      </c>
      <c r="AA54" s="152">
        <v>0</v>
      </c>
      <c r="AB54" s="152">
        <v>0</v>
      </c>
      <c r="AC54" s="152">
        <v>0</v>
      </c>
      <c r="AD54" s="152">
        <v>0</v>
      </c>
      <c r="AE54" s="152">
        <v>0</v>
      </c>
      <c r="AF54" s="152">
        <v>0</v>
      </c>
      <c r="AG54" s="152">
        <v>0</v>
      </c>
      <c r="AH54" s="152">
        <v>0</v>
      </c>
      <c r="AI54" s="152">
        <v>0</v>
      </c>
      <c r="AJ54" s="152">
        <v>0</v>
      </c>
      <c r="AK54" s="152">
        <v>0</v>
      </c>
      <c r="AL54" s="152">
        <v>0</v>
      </c>
      <c r="AM54" s="152">
        <v>0</v>
      </c>
      <c r="AN54" s="152">
        <v>0</v>
      </c>
      <c r="AO54" s="152">
        <v>0</v>
      </c>
      <c r="AP54" s="152">
        <v>0</v>
      </c>
    </row>
    <row r="55" spans="1:42">
      <c r="A55" s="180" t="s">
        <v>462</v>
      </c>
      <c r="B55" s="152">
        <f>-'Inputs &amp; Results'!D146</f>
        <v>-1206814.5</v>
      </c>
      <c r="C55" s="152">
        <v>0</v>
      </c>
      <c r="D55" s="152">
        <v>0</v>
      </c>
      <c r="E55" s="152">
        <v>0</v>
      </c>
      <c r="F55" s="152">
        <v>0</v>
      </c>
      <c r="G55" s="152">
        <v>0</v>
      </c>
      <c r="H55" s="152">
        <v>0</v>
      </c>
      <c r="I55" s="152">
        <v>0</v>
      </c>
      <c r="J55" s="152">
        <v>0</v>
      </c>
      <c r="K55" s="152">
        <v>0</v>
      </c>
      <c r="L55" s="152">
        <v>0</v>
      </c>
      <c r="M55" s="152">
        <v>0</v>
      </c>
      <c r="N55" s="152">
        <v>0</v>
      </c>
      <c r="O55" s="152">
        <v>0</v>
      </c>
      <c r="P55" s="152">
        <v>0</v>
      </c>
      <c r="Q55" s="152">
        <v>0</v>
      </c>
      <c r="R55" s="152">
        <v>0</v>
      </c>
      <c r="S55" s="152">
        <v>0</v>
      </c>
      <c r="T55" s="152">
        <v>0</v>
      </c>
      <c r="U55" s="152">
        <v>0</v>
      </c>
      <c r="V55" s="152">
        <v>0</v>
      </c>
      <c r="W55" s="152">
        <v>0</v>
      </c>
      <c r="X55" s="152">
        <v>0</v>
      </c>
      <c r="Y55" s="152">
        <v>0</v>
      </c>
      <c r="Z55" s="152">
        <v>0</v>
      </c>
      <c r="AA55" s="152">
        <v>0</v>
      </c>
      <c r="AB55" s="152">
        <v>0</v>
      </c>
      <c r="AC55" s="152">
        <v>0</v>
      </c>
      <c r="AD55" s="152">
        <v>0</v>
      </c>
      <c r="AE55" s="152">
        <v>0</v>
      </c>
      <c r="AF55" s="152">
        <v>0</v>
      </c>
      <c r="AG55" s="152">
        <v>0</v>
      </c>
      <c r="AH55" s="152">
        <v>0</v>
      </c>
      <c r="AI55" s="152">
        <v>0</v>
      </c>
      <c r="AJ55" s="152">
        <v>0</v>
      </c>
      <c r="AK55" s="152">
        <v>0</v>
      </c>
      <c r="AL55" s="152">
        <v>0</v>
      </c>
      <c r="AM55" s="152">
        <v>0</v>
      </c>
      <c r="AN55" s="152">
        <v>0</v>
      </c>
      <c r="AO55" s="152">
        <v>0</v>
      </c>
      <c r="AP55" s="152">
        <v>0</v>
      </c>
    </row>
    <row r="56" spans="1:42">
      <c r="A56" s="180" t="s">
        <v>439</v>
      </c>
      <c r="B56" s="152">
        <f>-B19</f>
        <v>0</v>
      </c>
      <c r="C56" s="152">
        <f t="shared" ref="C56:AP56" si="43">-C19</f>
        <v>0</v>
      </c>
      <c r="D56" s="152">
        <f t="shared" si="43"/>
        <v>0</v>
      </c>
      <c r="E56" s="152">
        <f t="shared" si="43"/>
        <v>0</v>
      </c>
      <c r="F56" s="152">
        <f t="shared" si="43"/>
        <v>0</v>
      </c>
      <c r="G56" s="152">
        <f t="shared" si="43"/>
        <v>0</v>
      </c>
      <c r="H56" s="152">
        <f t="shared" si="43"/>
        <v>0</v>
      </c>
      <c r="I56" s="152">
        <f t="shared" si="43"/>
        <v>0</v>
      </c>
      <c r="J56" s="152">
        <f t="shared" si="43"/>
        <v>0</v>
      </c>
      <c r="K56" s="152">
        <f t="shared" si="43"/>
        <v>0</v>
      </c>
      <c r="L56" s="152">
        <f t="shared" si="43"/>
        <v>0</v>
      </c>
      <c r="M56" s="152">
        <f t="shared" si="43"/>
        <v>0</v>
      </c>
      <c r="N56" s="152">
        <f t="shared" si="43"/>
        <v>0</v>
      </c>
      <c r="O56" s="152">
        <f t="shared" si="43"/>
        <v>0</v>
      </c>
      <c r="P56" s="152">
        <f t="shared" si="43"/>
        <v>0</v>
      </c>
      <c r="Q56" s="152">
        <f t="shared" si="43"/>
        <v>0</v>
      </c>
      <c r="R56" s="152">
        <f t="shared" si="43"/>
        <v>0</v>
      </c>
      <c r="S56" s="152">
        <f t="shared" si="43"/>
        <v>0</v>
      </c>
      <c r="T56" s="152">
        <f t="shared" si="43"/>
        <v>0</v>
      </c>
      <c r="U56" s="152">
        <f t="shared" si="43"/>
        <v>0</v>
      </c>
      <c r="V56" s="152">
        <f t="shared" si="43"/>
        <v>0</v>
      </c>
      <c r="W56" s="152">
        <f t="shared" si="43"/>
        <v>0</v>
      </c>
      <c r="X56" s="152">
        <f t="shared" si="43"/>
        <v>0</v>
      </c>
      <c r="Y56" s="152">
        <f t="shared" si="43"/>
        <v>0</v>
      </c>
      <c r="Z56" s="152">
        <f t="shared" si="43"/>
        <v>0</v>
      </c>
      <c r="AA56" s="152">
        <f t="shared" si="43"/>
        <v>0</v>
      </c>
      <c r="AB56" s="152">
        <f t="shared" si="43"/>
        <v>0</v>
      </c>
      <c r="AC56" s="152">
        <f t="shared" si="43"/>
        <v>0</v>
      </c>
      <c r="AD56" s="152">
        <f t="shared" si="43"/>
        <v>0</v>
      </c>
      <c r="AE56" s="152">
        <f t="shared" si="43"/>
        <v>0</v>
      </c>
      <c r="AF56" s="152">
        <f t="shared" si="43"/>
        <v>-4022715</v>
      </c>
      <c r="AG56" s="152">
        <f t="shared" si="43"/>
        <v>0</v>
      </c>
      <c r="AH56" s="152">
        <f t="shared" si="43"/>
        <v>0</v>
      </c>
      <c r="AI56" s="152">
        <f t="shared" si="43"/>
        <v>0</v>
      </c>
      <c r="AJ56" s="152">
        <f t="shared" si="43"/>
        <v>0</v>
      </c>
      <c r="AK56" s="152">
        <f t="shared" si="43"/>
        <v>0</v>
      </c>
      <c r="AL56" s="152">
        <f t="shared" si="43"/>
        <v>0</v>
      </c>
      <c r="AM56" s="152">
        <f t="shared" si="43"/>
        <v>0</v>
      </c>
      <c r="AN56" s="152">
        <f t="shared" si="43"/>
        <v>0</v>
      </c>
      <c r="AO56" s="152">
        <f t="shared" si="43"/>
        <v>0</v>
      </c>
      <c r="AP56" s="152">
        <f t="shared" si="43"/>
        <v>0</v>
      </c>
    </row>
    <row r="57" spans="1:42">
      <c r="A57" s="180" t="s">
        <v>184</v>
      </c>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4" t="s">
        <v>191</v>
      </c>
      <c r="B58" s="152">
        <f t="shared" ref="B58:AP58" si="44">-B638-B639</f>
        <v>-350000</v>
      </c>
      <c r="C58" s="152">
        <f t="shared" si="44"/>
        <v>0</v>
      </c>
      <c r="D58" s="152">
        <f t="shared" si="44"/>
        <v>0</v>
      </c>
      <c r="E58" s="152">
        <f t="shared" si="44"/>
        <v>0</v>
      </c>
      <c r="F58" s="152">
        <f t="shared" si="44"/>
        <v>0</v>
      </c>
      <c r="G58" s="152">
        <f t="shared" si="44"/>
        <v>0</v>
      </c>
      <c r="H58" s="152">
        <f t="shared" si="44"/>
        <v>0</v>
      </c>
      <c r="I58" s="152">
        <f t="shared" si="44"/>
        <v>0</v>
      </c>
      <c r="J58" s="152">
        <f t="shared" si="44"/>
        <v>0</v>
      </c>
      <c r="K58" s="152">
        <f t="shared" si="44"/>
        <v>0</v>
      </c>
      <c r="L58" s="152">
        <f t="shared" si="44"/>
        <v>0</v>
      </c>
      <c r="M58" s="152">
        <f t="shared" si="44"/>
        <v>0</v>
      </c>
      <c r="N58" s="152">
        <f t="shared" si="44"/>
        <v>0</v>
      </c>
      <c r="O58" s="152">
        <f t="shared" si="44"/>
        <v>0</v>
      </c>
      <c r="P58" s="152">
        <f t="shared" si="44"/>
        <v>0</v>
      </c>
      <c r="Q58" s="152">
        <f t="shared" si="44"/>
        <v>0</v>
      </c>
      <c r="R58" s="152">
        <f t="shared" si="44"/>
        <v>0</v>
      </c>
      <c r="S58" s="152">
        <f t="shared" si="44"/>
        <v>0</v>
      </c>
      <c r="T58" s="152">
        <f t="shared" si="44"/>
        <v>0</v>
      </c>
      <c r="U58" s="152">
        <f t="shared" si="44"/>
        <v>0</v>
      </c>
      <c r="V58" s="152">
        <f t="shared" si="44"/>
        <v>0</v>
      </c>
      <c r="W58" s="152">
        <f t="shared" si="44"/>
        <v>0</v>
      </c>
      <c r="X58" s="152">
        <f t="shared" si="44"/>
        <v>0</v>
      </c>
      <c r="Y58" s="152">
        <f t="shared" si="44"/>
        <v>0</v>
      </c>
      <c r="Z58" s="152">
        <f t="shared" si="44"/>
        <v>0</v>
      </c>
      <c r="AA58" s="152">
        <f t="shared" si="44"/>
        <v>0</v>
      </c>
      <c r="AB58" s="152">
        <f t="shared" si="44"/>
        <v>0</v>
      </c>
      <c r="AC58" s="152">
        <f t="shared" si="44"/>
        <v>0</v>
      </c>
      <c r="AD58" s="152">
        <f t="shared" si="44"/>
        <v>0</v>
      </c>
      <c r="AE58" s="152">
        <f t="shared" si="44"/>
        <v>0</v>
      </c>
      <c r="AF58" s="152">
        <f t="shared" si="44"/>
        <v>350000</v>
      </c>
      <c r="AG58" s="152">
        <f t="shared" si="44"/>
        <v>0</v>
      </c>
      <c r="AH58" s="152">
        <f t="shared" si="44"/>
        <v>0</v>
      </c>
      <c r="AI58" s="152">
        <f t="shared" si="44"/>
        <v>0</v>
      </c>
      <c r="AJ58" s="152">
        <f t="shared" si="44"/>
        <v>0</v>
      </c>
      <c r="AK58" s="152">
        <f t="shared" si="44"/>
        <v>0</v>
      </c>
      <c r="AL58" s="152">
        <f t="shared" si="44"/>
        <v>0</v>
      </c>
      <c r="AM58" s="152">
        <f t="shared" si="44"/>
        <v>0</v>
      </c>
      <c r="AN58" s="152">
        <f t="shared" si="44"/>
        <v>0</v>
      </c>
      <c r="AO58" s="152">
        <f t="shared" si="44"/>
        <v>0</v>
      </c>
      <c r="AP58" s="152">
        <f t="shared" si="44"/>
        <v>0</v>
      </c>
    </row>
    <row r="59" spans="1:42">
      <c r="A59" s="184" t="s">
        <v>410</v>
      </c>
      <c r="B59" s="152">
        <f>-B644-B645</f>
        <v>-2852676.2422525855</v>
      </c>
      <c r="C59" s="152">
        <f t="shared" ref="C59:AP59" si="45">-C644-C645</f>
        <v>0</v>
      </c>
      <c r="D59" s="152">
        <f t="shared" si="45"/>
        <v>0</v>
      </c>
      <c r="E59" s="152">
        <f t="shared" si="45"/>
        <v>0</v>
      </c>
      <c r="F59" s="152">
        <f t="shared" si="45"/>
        <v>0</v>
      </c>
      <c r="G59" s="152">
        <f t="shared" si="45"/>
        <v>0</v>
      </c>
      <c r="H59" s="152">
        <f t="shared" si="45"/>
        <v>0</v>
      </c>
      <c r="I59" s="152">
        <f t="shared" si="45"/>
        <v>0</v>
      </c>
      <c r="J59" s="152">
        <f t="shared" si="45"/>
        <v>0</v>
      </c>
      <c r="K59" s="152">
        <f t="shared" si="45"/>
        <v>0</v>
      </c>
      <c r="L59" s="152">
        <f t="shared" si="45"/>
        <v>0</v>
      </c>
      <c r="M59" s="152">
        <f t="shared" si="45"/>
        <v>0</v>
      </c>
      <c r="N59" s="152">
        <f t="shared" si="45"/>
        <v>0</v>
      </c>
      <c r="O59" s="152">
        <f t="shared" si="45"/>
        <v>0</v>
      </c>
      <c r="P59" s="152">
        <f t="shared" si="45"/>
        <v>0</v>
      </c>
      <c r="Q59" s="152">
        <f t="shared" si="45"/>
        <v>0</v>
      </c>
      <c r="R59" s="152">
        <f t="shared" si="45"/>
        <v>0</v>
      </c>
      <c r="S59" s="152">
        <f t="shared" si="45"/>
        <v>0</v>
      </c>
      <c r="T59" s="152">
        <f t="shared" si="45"/>
        <v>0</v>
      </c>
      <c r="U59" s="152">
        <f t="shared" si="45"/>
        <v>0</v>
      </c>
      <c r="V59" s="152">
        <f t="shared" si="45"/>
        <v>0</v>
      </c>
      <c r="W59" s="152">
        <f t="shared" si="45"/>
        <v>0</v>
      </c>
      <c r="X59" s="152">
        <f t="shared" si="45"/>
        <v>0</v>
      </c>
      <c r="Y59" s="152">
        <f t="shared" si="45"/>
        <v>0</v>
      </c>
      <c r="Z59" s="152">
        <f t="shared" si="45"/>
        <v>0</v>
      </c>
      <c r="AA59" s="152">
        <f t="shared" si="45"/>
        <v>0</v>
      </c>
      <c r="AB59" s="152">
        <f t="shared" si="45"/>
        <v>0</v>
      </c>
      <c r="AC59" s="152">
        <f t="shared" si="45"/>
        <v>0</v>
      </c>
      <c r="AD59" s="152">
        <f t="shared" si="45"/>
        <v>0</v>
      </c>
      <c r="AE59" s="152">
        <f t="shared" si="45"/>
        <v>0</v>
      </c>
      <c r="AF59" s="152">
        <f t="shared" si="45"/>
        <v>2852676.2422525855</v>
      </c>
      <c r="AG59" s="152">
        <f t="shared" si="45"/>
        <v>0</v>
      </c>
      <c r="AH59" s="152">
        <f t="shared" si="45"/>
        <v>0</v>
      </c>
      <c r="AI59" s="152">
        <f t="shared" si="45"/>
        <v>0</v>
      </c>
      <c r="AJ59" s="152">
        <f t="shared" si="45"/>
        <v>0</v>
      </c>
      <c r="AK59" s="152">
        <f t="shared" si="45"/>
        <v>0</v>
      </c>
      <c r="AL59" s="152">
        <f t="shared" si="45"/>
        <v>0</v>
      </c>
      <c r="AM59" s="152">
        <f t="shared" si="45"/>
        <v>0</v>
      </c>
      <c r="AN59" s="152">
        <f t="shared" si="45"/>
        <v>0</v>
      </c>
      <c r="AO59" s="152">
        <f t="shared" si="45"/>
        <v>0</v>
      </c>
      <c r="AP59" s="152">
        <f t="shared" si="45"/>
        <v>0</v>
      </c>
    </row>
    <row r="60" spans="1:42">
      <c r="A60" s="184" t="s">
        <v>357</v>
      </c>
      <c r="B60" s="186">
        <f>-B650-B651</f>
        <v>0</v>
      </c>
      <c r="C60" s="186">
        <f t="shared" ref="C60:AP60" si="46">-C650-C651</f>
        <v>-245406.02862510949</v>
      </c>
      <c r="D60" s="186">
        <f t="shared" si="46"/>
        <v>-245406.02862510949</v>
      </c>
      <c r="E60" s="186">
        <f t="shared" si="46"/>
        <v>-245406.02862510949</v>
      </c>
      <c r="F60" s="186">
        <f t="shared" si="46"/>
        <v>-245406.02862510949</v>
      </c>
      <c r="G60" s="186">
        <f t="shared" si="46"/>
        <v>-245406.02862510949</v>
      </c>
      <c r="H60" s="186">
        <f t="shared" si="46"/>
        <v>-245406.02862510949</v>
      </c>
      <c r="I60" s="186">
        <f t="shared" si="46"/>
        <v>-245406.02862510949</v>
      </c>
      <c r="J60" s="186">
        <f t="shared" si="46"/>
        <v>-245406.02862510949</v>
      </c>
      <c r="K60" s="186">
        <f t="shared" si="46"/>
        <v>-245406.02862510949</v>
      </c>
      <c r="L60" s="186">
        <f t="shared" si="46"/>
        <v>-245406.02862510949</v>
      </c>
      <c r="M60" s="186">
        <f t="shared" si="46"/>
        <v>-245406.02862510949</v>
      </c>
      <c r="N60" s="186">
        <f t="shared" si="46"/>
        <v>2699466.3148762044</v>
      </c>
      <c r="O60" s="186">
        <f t="shared" si="46"/>
        <v>-293411.90721039008</v>
      </c>
      <c r="P60" s="186">
        <f t="shared" si="46"/>
        <v>-293411.90721039008</v>
      </c>
      <c r="Q60" s="186">
        <f t="shared" si="46"/>
        <v>-293411.90721039008</v>
      </c>
      <c r="R60" s="186">
        <f t="shared" si="46"/>
        <v>-293411.90721039008</v>
      </c>
      <c r="S60" s="186">
        <f t="shared" si="46"/>
        <v>-293411.90721039008</v>
      </c>
      <c r="T60" s="186">
        <f t="shared" si="46"/>
        <v>-293411.90721039008</v>
      </c>
      <c r="U60" s="186">
        <f t="shared" si="46"/>
        <v>-293411.90721039008</v>
      </c>
      <c r="V60" s="186">
        <f t="shared" si="46"/>
        <v>-293411.90721039008</v>
      </c>
      <c r="W60" s="186">
        <f t="shared" si="46"/>
        <v>-293411.90721039008</v>
      </c>
      <c r="X60" s="186">
        <f t="shared" si="46"/>
        <v>-293411.90721039008</v>
      </c>
      <c r="Y60" s="186">
        <f t="shared" si="46"/>
        <v>-293411.90721039008</v>
      </c>
      <c r="Z60" s="186">
        <f t="shared" si="46"/>
        <v>3227530.9793142909</v>
      </c>
      <c r="AA60" s="186">
        <f t="shared" si="46"/>
        <v>0</v>
      </c>
      <c r="AB60" s="186">
        <f t="shared" si="46"/>
        <v>0</v>
      </c>
      <c r="AC60" s="186">
        <f t="shared" si="46"/>
        <v>0</v>
      </c>
      <c r="AD60" s="186">
        <f t="shared" si="46"/>
        <v>0</v>
      </c>
      <c r="AE60" s="186">
        <f t="shared" si="46"/>
        <v>0</v>
      </c>
      <c r="AF60" s="186">
        <f t="shared" si="46"/>
        <v>0</v>
      </c>
      <c r="AG60" s="186">
        <f t="shared" si="46"/>
        <v>0</v>
      </c>
      <c r="AH60" s="186">
        <f t="shared" si="46"/>
        <v>0</v>
      </c>
      <c r="AI60" s="186">
        <f t="shared" si="46"/>
        <v>0</v>
      </c>
      <c r="AJ60" s="186">
        <f t="shared" si="46"/>
        <v>0</v>
      </c>
      <c r="AK60" s="186">
        <f t="shared" si="46"/>
        <v>0</v>
      </c>
      <c r="AL60" s="186">
        <f t="shared" si="46"/>
        <v>0</v>
      </c>
      <c r="AM60" s="186">
        <f t="shared" si="46"/>
        <v>0</v>
      </c>
      <c r="AN60" s="186">
        <f t="shared" si="46"/>
        <v>0</v>
      </c>
      <c r="AO60" s="186">
        <f t="shared" si="46"/>
        <v>0</v>
      </c>
      <c r="AP60" s="186">
        <f t="shared" si="46"/>
        <v>0</v>
      </c>
    </row>
    <row r="61" spans="1:42">
      <c r="A61" s="184" t="s">
        <v>358</v>
      </c>
      <c r="B61" s="186">
        <f>-B682-B683</f>
        <v>0</v>
      </c>
      <c r="C61" s="186">
        <f t="shared" ref="C61:AP61" si="47">-C682-C683</f>
        <v>-410585.24356465257</v>
      </c>
      <c r="D61" s="186">
        <f t="shared" si="47"/>
        <v>-410585.24356465257</v>
      </c>
      <c r="E61" s="186">
        <f t="shared" si="47"/>
        <v>-410585.24356465257</v>
      </c>
      <c r="F61" s="186">
        <f t="shared" si="47"/>
        <v>-410585.24356465257</v>
      </c>
      <c r="G61" s="186">
        <f t="shared" si="47"/>
        <v>-410585.24356465257</v>
      </c>
      <c r="H61" s="186">
        <f t="shared" si="47"/>
        <v>-410585.24356465257</v>
      </c>
      <c r="I61" s="186">
        <f t="shared" si="47"/>
        <v>-410585.24356465257</v>
      </c>
      <c r="J61" s="186">
        <f t="shared" si="47"/>
        <v>-410585.24356465257</v>
      </c>
      <c r="K61" s="186">
        <f t="shared" si="47"/>
        <v>-410585.24356465257</v>
      </c>
      <c r="L61" s="186">
        <f t="shared" si="47"/>
        <v>-410585.24356465257</v>
      </c>
      <c r="M61" s="186">
        <f t="shared" si="47"/>
        <v>-410585.24356465257</v>
      </c>
      <c r="N61" s="186">
        <f t="shared" si="47"/>
        <v>-410585.24356465257</v>
      </c>
      <c r="O61" s="186">
        <f t="shared" si="47"/>
        <v>-410585.24356465257</v>
      </c>
      <c r="P61" s="186">
        <f t="shared" si="47"/>
        <v>-410585.24356465257</v>
      </c>
      <c r="Q61" s="186">
        <f t="shared" si="47"/>
        <v>5748193.4099051366</v>
      </c>
      <c r="R61" s="186">
        <f t="shared" si="47"/>
        <v>-513326.83759962226</v>
      </c>
      <c r="S61" s="186">
        <f t="shared" si="47"/>
        <v>-513326.83759962226</v>
      </c>
      <c r="T61" s="186">
        <f t="shared" si="47"/>
        <v>-513326.83759962226</v>
      </c>
      <c r="U61" s="186">
        <f t="shared" si="47"/>
        <v>-513326.83759962226</v>
      </c>
      <c r="V61" s="186">
        <f t="shared" si="47"/>
        <v>-513326.83759962226</v>
      </c>
      <c r="W61" s="186">
        <f t="shared" si="47"/>
        <v>-513326.83759962226</v>
      </c>
      <c r="X61" s="186">
        <f t="shared" si="47"/>
        <v>-513326.83759962226</v>
      </c>
      <c r="Y61" s="186">
        <f t="shared" si="47"/>
        <v>-513326.83759962226</v>
      </c>
      <c r="Z61" s="186">
        <f t="shared" si="47"/>
        <v>-513326.83759962226</v>
      </c>
      <c r="AA61" s="186">
        <f t="shared" si="47"/>
        <v>-513326.83759962226</v>
      </c>
      <c r="AB61" s="186">
        <f t="shared" si="47"/>
        <v>-513326.83759962226</v>
      </c>
      <c r="AC61" s="186">
        <f t="shared" si="47"/>
        <v>-513326.83759962226</v>
      </c>
      <c r="AD61" s="186">
        <f t="shared" si="47"/>
        <v>-513326.83759962226</v>
      </c>
      <c r="AE61" s="186">
        <f t="shared" si="47"/>
        <v>-513326.83759962226</v>
      </c>
      <c r="AF61" s="186">
        <f t="shared" si="47"/>
        <v>7186575.726394712</v>
      </c>
      <c r="AG61" s="186">
        <f t="shared" si="47"/>
        <v>0</v>
      </c>
      <c r="AH61" s="186">
        <f t="shared" si="47"/>
        <v>0</v>
      </c>
      <c r="AI61" s="186">
        <f t="shared" si="47"/>
        <v>0</v>
      </c>
      <c r="AJ61" s="186">
        <f t="shared" si="47"/>
        <v>0</v>
      </c>
      <c r="AK61" s="186">
        <f t="shared" si="47"/>
        <v>0</v>
      </c>
      <c r="AL61" s="186">
        <f t="shared" si="47"/>
        <v>0</v>
      </c>
      <c r="AM61" s="186">
        <f t="shared" si="47"/>
        <v>0</v>
      </c>
      <c r="AN61" s="186">
        <f t="shared" si="47"/>
        <v>0</v>
      </c>
      <c r="AO61" s="186">
        <f t="shared" si="47"/>
        <v>0</v>
      </c>
      <c r="AP61" s="186">
        <f t="shared" si="47"/>
        <v>0</v>
      </c>
    </row>
    <row r="62" spans="1:42">
      <c r="A62" s="184" t="s">
        <v>359</v>
      </c>
      <c r="B62" s="187">
        <f>-B714-B715</f>
        <v>0</v>
      </c>
      <c r="C62" s="187">
        <f t="shared" ref="C62:AP62" si="48">-C714-C715</f>
        <v>-34340.833333333321</v>
      </c>
      <c r="D62" s="187">
        <f t="shared" si="48"/>
        <v>-34340.833333333321</v>
      </c>
      <c r="E62" s="187">
        <f t="shared" si="48"/>
        <v>68681.666666666657</v>
      </c>
      <c r="F62" s="187">
        <f t="shared" si="48"/>
        <v>-35909.466796145811</v>
      </c>
      <c r="G62" s="187">
        <f t="shared" si="48"/>
        <v>-35909.466796145811</v>
      </c>
      <c r="H62" s="187">
        <f t="shared" si="48"/>
        <v>71818.933592291607</v>
      </c>
      <c r="I62" s="187">
        <f t="shared" si="48"/>
        <v>-37549.752886510192</v>
      </c>
      <c r="J62" s="187">
        <f t="shared" si="48"/>
        <v>-37549.752886510192</v>
      </c>
      <c r="K62" s="187">
        <f t="shared" si="48"/>
        <v>75099.505773020384</v>
      </c>
      <c r="L62" s="187">
        <f t="shared" si="48"/>
        <v>-39264.96458001752</v>
      </c>
      <c r="M62" s="187">
        <f t="shared" si="48"/>
        <v>-39264.96458001752</v>
      </c>
      <c r="N62" s="187">
        <f t="shared" si="48"/>
        <v>78529.929160035041</v>
      </c>
      <c r="O62" s="187">
        <f t="shared" si="48"/>
        <v>-41058.524356465256</v>
      </c>
      <c r="P62" s="187">
        <f t="shared" si="48"/>
        <v>-41058.524356465256</v>
      </c>
      <c r="Q62" s="187">
        <f t="shared" si="48"/>
        <v>82117.048712930526</v>
      </c>
      <c r="R62" s="187">
        <f t="shared" si="48"/>
        <v>-42934.011028966495</v>
      </c>
      <c r="S62" s="187">
        <f t="shared" si="48"/>
        <v>-42934.011028966495</v>
      </c>
      <c r="T62" s="187">
        <f t="shared" si="48"/>
        <v>85868.022057932976</v>
      </c>
      <c r="U62" s="187">
        <f t="shared" si="48"/>
        <v>-44895.166885001738</v>
      </c>
      <c r="V62" s="187">
        <f t="shared" si="48"/>
        <v>-44895.166885001738</v>
      </c>
      <c r="W62" s="187">
        <f t="shared" si="48"/>
        <v>89790.33377000349</v>
      </c>
      <c r="X62" s="187">
        <f t="shared" si="48"/>
        <v>-46945.90515366241</v>
      </c>
      <c r="Y62" s="187">
        <f t="shared" si="48"/>
        <v>-46945.90515366241</v>
      </c>
      <c r="Z62" s="187">
        <f t="shared" si="48"/>
        <v>93891.810307324835</v>
      </c>
      <c r="AA62" s="187">
        <f t="shared" si="48"/>
        <v>-49090.317813985828</v>
      </c>
      <c r="AB62" s="187">
        <f t="shared" si="48"/>
        <v>-49090.317813985828</v>
      </c>
      <c r="AC62" s="187">
        <f t="shared" si="48"/>
        <v>98180.635627971642</v>
      </c>
      <c r="AD62" s="187">
        <f t="shared" si="48"/>
        <v>-51332.68375996223</v>
      </c>
      <c r="AE62" s="187">
        <f t="shared" si="48"/>
        <v>-51332.68375996223</v>
      </c>
      <c r="AF62" s="187">
        <f t="shared" si="48"/>
        <v>102665.36751992445</v>
      </c>
      <c r="AG62" s="187">
        <f t="shared" si="48"/>
        <v>0</v>
      </c>
      <c r="AH62" s="187">
        <f t="shared" si="48"/>
        <v>0</v>
      </c>
      <c r="AI62" s="187">
        <f t="shared" si="48"/>
        <v>0</v>
      </c>
      <c r="AJ62" s="187">
        <f t="shared" si="48"/>
        <v>0</v>
      </c>
      <c r="AK62" s="187">
        <f t="shared" si="48"/>
        <v>0</v>
      </c>
      <c r="AL62" s="187">
        <f t="shared" si="48"/>
        <v>0</v>
      </c>
      <c r="AM62" s="187">
        <f t="shared" si="48"/>
        <v>0</v>
      </c>
      <c r="AN62" s="187">
        <f t="shared" si="48"/>
        <v>0</v>
      </c>
      <c r="AO62" s="187">
        <f t="shared" si="48"/>
        <v>0</v>
      </c>
      <c r="AP62" s="187">
        <f t="shared" si="48"/>
        <v>0</v>
      </c>
    </row>
    <row r="63" spans="1:42">
      <c r="A63" s="184" t="s">
        <v>53</v>
      </c>
      <c r="B63" s="152">
        <f t="shared" ref="B63:AP63" si="49">SUM(B58:B62)</f>
        <v>-3202676.2422525855</v>
      </c>
      <c r="C63" s="152">
        <f t="shared" si="49"/>
        <v>-690332.10552309547</v>
      </c>
      <c r="D63" s="152">
        <f t="shared" si="49"/>
        <v>-690332.10552309547</v>
      </c>
      <c r="E63" s="152">
        <f t="shared" si="49"/>
        <v>-587309.60552309547</v>
      </c>
      <c r="F63" s="152">
        <f t="shared" si="49"/>
        <v>-691900.73898590787</v>
      </c>
      <c r="G63" s="152">
        <f t="shared" si="49"/>
        <v>-691900.73898590787</v>
      </c>
      <c r="H63" s="152">
        <f t="shared" si="49"/>
        <v>-584172.33859747043</v>
      </c>
      <c r="I63" s="152">
        <f t="shared" si="49"/>
        <v>-693541.02507627232</v>
      </c>
      <c r="J63" s="152">
        <f t="shared" si="49"/>
        <v>-693541.02507627232</v>
      </c>
      <c r="K63" s="152">
        <f t="shared" si="49"/>
        <v>-580891.76641674177</v>
      </c>
      <c r="L63" s="152">
        <f t="shared" si="49"/>
        <v>-695256.23676977959</v>
      </c>
      <c r="M63" s="152">
        <f t="shared" si="49"/>
        <v>-695256.23676977959</v>
      </c>
      <c r="N63" s="152">
        <f t="shared" si="49"/>
        <v>2367411.0004715868</v>
      </c>
      <c r="O63" s="152">
        <f t="shared" si="49"/>
        <v>-745055.6751315078</v>
      </c>
      <c r="P63" s="152">
        <f t="shared" si="49"/>
        <v>-745055.6751315078</v>
      </c>
      <c r="Q63" s="152">
        <f t="shared" si="49"/>
        <v>5536898.5514076771</v>
      </c>
      <c r="R63" s="152">
        <f t="shared" si="49"/>
        <v>-849672.75583897892</v>
      </c>
      <c r="S63" s="152">
        <f t="shared" si="49"/>
        <v>-849672.75583897892</v>
      </c>
      <c r="T63" s="152">
        <f t="shared" si="49"/>
        <v>-720870.72275207937</v>
      </c>
      <c r="U63" s="152">
        <f t="shared" si="49"/>
        <v>-851633.9116950141</v>
      </c>
      <c r="V63" s="152">
        <f t="shared" si="49"/>
        <v>-851633.9116950141</v>
      </c>
      <c r="W63" s="152">
        <f t="shared" si="49"/>
        <v>-716948.41104000888</v>
      </c>
      <c r="X63" s="152">
        <f t="shared" si="49"/>
        <v>-853684.64996367483</v>
      </c>
      <c r="Y63" s="152">
        <f t="shared" si="49"/>
        <v>-853684.64996367483</v>
      </c>
      <c r="Z63" s="152">
        <f t="shared" si="49"/>
        <v>2808095.9520219937</v>
      </c>
      <c r="AA63" s="152">
        <f t="shared" si="49"/>
        <v>-562417.15541360807</v>
      </c>
      <c r="AB63" s="152">
        <f t="shared" si="49"/>
        <v>-562417.15541360807</v>
      </c>
      <c r="AC63" s="152">
        <f t="shared" si="49"/>
        <v>-415146.20197165059</v>
      </c>
      <c r="AD63" s="152">
        <f t="shared" si="49"/>
        <v>-564659.52135958453</v>
      </c>
      <c r="AE63" s="152">
        <f t="shared" si="49"/>
        <v>-564659.52135958453</v>
      </c>
      <c r="AF63" s="152">
        <f t="shared" si="49"/>
        <v>10491917.336167222</v>
      </c>
      <c r="AG63" s="152">
        <f t="shared" si="49"/>
        <v>0</v>
      </c>
      <c r="AH63" s="152">
        <f t="shared" si="49"/>
        <v>0</v>
      </c>
      <c r="AI63" s="152">
        <f t="shared" si="49"/>
        <v>0</v>
      </c>
      <c r="AJ63" s="152">
        <f t="shared" si="49"/>
        <v>0</v>
      </c>
      <c r="AK63" s="152">
        <f t="shared" si="49"/>
        <v>0</v>
      </c>
      <c r="AL63" s="152">
        <f t="shared" si="49"/>
        <v>0</v>
      </c>
      <c r="AM63" s="152">
        <f t="shared" si="49"/>
        <v>0</v>
      </c>
      <c r="AN63" s="152">
        <f t="shared" si="49"/>
        <v>0</v>
      </c>
      <c r="AO63" s="152">
        <f t="shared" si="49"/>
        <v>0</v>
      </c>
      <c r="AP63" s="152">
        <f t="shared" si="49"/>
        <v>0</v>
      </c>
    </row>
    <row r="64" spans="1:42">
      <c r="A64" s="180" t="s">
        <v>202</v>
      </c>
    </row>
    <row r="65" spans="1:42">
      <c r="A65" s="184" t="s">
        <v>365</v>
      </c>
      <c r="B65" s="186">
        <f>B651</f>
        <v>0</v>
      </c>
      <c r="C65" s="186">
        <f t="shared" ref="C65:AP65" si="50">C651</f>
        <v>0</v>
      </c>
      <c r="D65" s="186">
        <f t="shared" si="50"/>
        <v>0</v>
      </c>
      <c r="E65" s="186">
        <f t="shared" si="50"/>
        <v>0</v>
      </c>
      <c r="F65" s="186">
        <f t="shared" si="50"/>
        <v>0</v>
      </c>
      <c r="G65" s="186">
        <f t="shared" si="50"/>
        <v>0</v>
      </c>
      <c r="H65" s="186">
        <f t="shared" si="50"/>
        <v>0</v>
      </c>
      <c r="I65" s="186">
        <f t="shared" si="50"/>
        <v>0</v>
      </c>
      <c r="J65" s="186">
        <f t="shared" si="50"/>
        <v>0</v>
      </c>
      <c r="K65" s="186">
        <f t="shared" si="50"/>
        <v>0</v>
      </c>
      <c r="L65" s="186">
        <f t="shared" si="50"/>
        <v>0</v>
      </c>
      <c r="M65" s="186">
        <f t="shared" si="50"/>
        <v>0</v>
      </c>
      <c r="N65" s="186">
        <f t="shared" si="50"/>
        <v>-2944872.3435013141</v>
      </c>
      <c r="O65" s="186">
        <f t="shared" si="50"/>
        <v>0</v>
      </c>
      <c r="P65" s="186">
        <f t="shared" si="50"/>
        <v>0</v>
      </c>
      <c r="Q65" s="186">
        <f t="shared" si="50"/>
        <v>0</v>
      </c>
      <c r="R65" s="186">
        <f t="shared" si="50"/>
        <v>0</v>
      </c>
      <c r="S65" s="186">
        <f t="shared" si="50"/>
        <v>0</v>
      </c>
      <c r="T65" s="186">
        <f t="shared" si="50"/>
        <v>0</v>
      </c>
      <c r="U65" s="186">
        <f t="shared" si="50"/>
        <v>0</v>
      </c>
      <c r="V65" s="186">
        <f t="shared" si="50"/>
        <v>0</v>
      </c>
      <c r="W65" s="186">
        <f t="shared" si="50"/>
        <v>0</v>
      </c>
      <c r="X65" s="186">
        <f t="shared" si="50"/>
        <v>0</v>
      </c>
      <c r="Y65" s="186">
        <f t="shared" si="50"/>
        <v>0</v>
      </c>
      <c r="Z65" s="186">
        <f t="shared" si="50"/>
        <v>-3520942.886524681</v>
      </c>
      <c r="AA65" s="186">
        <f t="shared" si="50"/>
        <v>0</v>
      </c>
      <c r="AB65" s="186">
        <f t="shared" si="50"/>
        <v>0</v>
      </c>
      <c r="AC65" s="186">
        <f t="shared" si="50"/>
        <v>0</v>
      </c>
      <c r="AD65" s="186">
        <f t="shared" si="50"/>
        <v>0</v>
      </c>
      <c r="AE65" s="186">
        <f t="shared" si="50"/>
        <v>0</v>
      </c>
      <c r="AF65" s="186">
        <f t="shared" si="50"/>
        <v>0</v>
      </c>
      <c r="AG65" s="186">
        <f t="shared" si="50"/>
        <v>0</v>
      </c>
      <c r="AH65" s="186">
        <f t="shared" si="50"/>
        <v>0</v>
      </c>
      <c r="AI65" s="186">
        <f t="shared" si="50"/>
        <v>0</v>
      </c>
      <c r="AJ65" s="186">
        <f t="shared" si="50"/>
        <v>0</v>
      </c>
      <c r="AK65" s="186">
        <f t="shared" si="50"/>
        <v>0</v>
      </c>
      <c r="AL65" s="186">
        <f t="shared" si="50"/>
        <v>0</v>
      </c>
      <c r="AM65" s="186">
        <f t="shared" si="50"/>
        <v>0</v>
      </c>
      <c r="AN65" s="186">
        <f t="shared" si="50"/>
        <v>0</v>
      </c>
      <c r="AO65" s="186">
        <f t="shared" si="50"/>
        <v>0</v>
      </c>
      <c r="AP65" s="186">
        <f t="shared" si="50"/>
        <v>0</v>
      </c>
    </row>
    <row r="66" spans="1:42">
      <c r="A66" s="184" t="s">
        <v>366</v>
      </c>
      <c r="B66" s="186">
        <f>B683</f>
        <v>0</v>
      </c>
      <c r="C66" s="186">
        <f t="shared" ref="C66:AP66" si="51">C683</f>
        <v>0</v>
      </c>
      <c r="D66" s="186">
        <f t="shared" si="51"/>
        <v>0</v>
      </c>
      <c r="E66" s="186">
        <f t="shared" si="51"/>
        <v>0</v>
      </c>
      <c r="F66" s="186">
        <f t="shared" si="51"/>
        <v>0</v>
      </c>
      <c r="G66" s="186">
        <f t="shared" si="51"/>
        <v>0</v>
      </c>
      <c r="H66" s="186">
        <f t="shared" si="51"/>
        <v>0</v>
      </c>
      <c r="I66" s="186">
        <f t="shared" si="51"/>
        <v>0</v>
      </c>
      <c r="J66" s="186">
        <f t="shared" si="51"/>
        <v>0</v>
      </c>
      <c r="K66" s="186">
        <f t="shared" si="51"/>
        <v>0</v>
      </c>
      <c r="L66" s="186">
        <f t="shared" si="51"/>
        <v>0</v>
      </c>
      <c r="M66" s="186">
        <f t="shared" si="51"/>
        <v>0</v>
      </c>
      <c r="N66" s="186">
        <f t="shared" si="51"/>
        <v>0</v>
      </c>
      <c r="O66" s="186">
        <f t="shared" si="51"/>
        <v>0</v>
      </c>
      <c r="P66" s="186">
        <f t="shared" si="51"/>
        <v>0</v>
      </c>
      <c r="Q66" s="186">
        <f t="shared" si="51"/>
        <v>-6158778.6534697888</v>
      </c>
      <c r="R66" s="186">
        <f t="shared" si="51"/>
        <v>0</v>
      </c>
      <c r="S66" s="186">
        <f t="shared" si="51"/>
        <v>0</v>
      </c>
      <c r="T66" s="186">
        <f t="shared" si="51"/>
        <v>0</v>
      </c>
      <c r="U66" s="186">
        <f t="shared" si="51"/>
        <v>0</v>
      </c>
      <c r="V66" s="186">
        <f t="shared" si="51"/>
        <v>0</v>
      </c>
      <c r="W66" s="186">
        <f t="shared" si="51"/>
        <v>0</v>
      </c>
      <c r="X66" s="186">
        <f t="shared" si="51"/>
        <v>0</v>
      </c>
      <c r="Y66" s="186">
        <f t="shared" si="51"/>
        <v>0</v>
      </c>
      <c r="Z66" s="186">
        <f t="shared" si="51"/>
        <v>0</v>
      </c>
      <c r="AA66" s="186">
        <f t="shared" si="51"/>
        <v>0</v>
      </c>
      <c r="AB66" s="186">
        <f t="shared" si="51"/>
        <v>0</v>
      </c>
      <c r="AC66" s="186">
        <f t="shared" si="51"/>
        <v>0</v>
      </c>
      <c r="AD66" s="186">
        <f t="shared" si="51"/>
        <v>0</v>
      </c>
      <c r="AE66" s="186">
        <f t="shared" si="51"/>
        <v>0</v>
      </c>
      <c r="AF66" s="186">
        <f t="shared" si="51"/>
        <v>-7699902.5639943341</v>
      </c>
      <c r="AG66" s="186">
        <f t="shared" si="51"/>
        <v>0</v>
      </c>
      <c r="AH66" s="186">
        <f t="shared" si="51"/>
        <v>0</v>
      </c>
      <c r="AI66" s="186">
        <f t="shared" si="51"/>
        <v>0</v>
      </c>
      <c r="AJ66" s="186">
        <f t="shared" si="51"/>
        <v>0</v>
      </c>
      <c r="AK66" s="186">
        <f t="shared" si="51"/>
        <v>0</v>
      </c>
      <c r="AL66" s="186">
        <f t="shared" si="51"/>
        <v>0</v>
      </c>
      <c r="AM66" s="186">
        <f t="shared" si="51"/>
        <v>0</v>
      </c>
      <c r="AN66" s="186">
        <f t="shared" si="51"/>
        <v>0</v>
      </c>
      <c r="AO66" s="186">
        <f t="shared" si="51"/>
        <v>0</v>
      </c>
      <c r="AP66" s="186">
        <f t="shared" si="51"/>
        <v>0</v>
      </c>
    </row>
    <row r="67" spans="1:42">
      <c r="A67" s="184" t="s">
        <v>367</v>
      </c>
      <c r="B67" s="187">
        <f>B715</f>
        <v>0</v>
      </c>
      <c r="C67" s="187">
        <f t="shared" ref="C67:AP67" si="52">C715</f>
        <v>0</v>
      </c>
      <c r="D67" s="187">
        <f t="shared" si="52"/>
        <v>0</v>
      </c>
      <c r="E67" s="187">
        <f t="shared" si="52"/>
        <v>-103022.49999999997</v>
      </c>
      <c r="F67" s="187">
        <f t="shared" si="52"/>
        <v>0</v>
      </c>
      <c r="G67" s="187">
        <f t="shared" si="52"/>
        <v>0</v>
      </c>
      <c r="H67" s="187">
        <f t="shared" si="52"/>
        <v>-107728.40038843743</v>
      </c>
      <c r="I67" s="187">
        <f t="shared" si="52"/>
        <v>0</v>
      </c>
      <c r="J67" s="187">
        <f t="shared" si="52"/>
        <v>0</v>
      </c>
      <c r="K67" s="187">
        <f t="shared" si="52"/>
        <v>-112649.25865953058</v>
      </c>
      <c r="L67" s="187">
        <f t="shared" si="52"/>
        <v>0</v>
      </c>
      <c r="M67" s="187">
        <f t="shared" si="52"/>
        <v>0</v>
      </c>
      <c r="N67" s="187">
        <f t="shared" si="52"/>
        <v>-117794.89374005256</v>
      </c>
      <c r="O67" s="187">
        <f t="shared" si="52"/>
        <v>0</v>
      </c>
      <c r="P67" s="187">
        <f t="shared" si="52"/>
        <v>0</v>
      </c>
      <c r="Q67" s="187">
        <f t="shared" si="52"/>
        <v>-123175.57306939577</v>
      </c>
      <c r="R67" s="187">
        <f t="shared" si="52"/>
        <v>0</v>
      </c>
      <c r="S67" s="187">
        <f t="shared" si="52"/>
        <v>0</v>
      </c>
      <c r="T67" s="187">
        <f t="shared" si="52"/>
        <v>-128802.03308689948</v>
      </c>
      <c r="U67" s="187">
        <f t="shared" si="52"/>
        <v>0</v>
      </c>
      <c r="V67" s="187">
        <f t="shared" si="52"/>
        <v>0</v>
      </c>
      <c r="W67" s="187">
        <f t="shared" si="52"/>
        <v>-134685.50065500522</v>
      </c>
      <c r="X67" s="187">
        <f t="shared" si="52"/>
        <v>0</v>
      </c>
      <c r="Y67" s="187">
        <f t="shared" si="52"/>
        <v>0</v>
      </c>
      <c r="Z67" s="187">
        <f t="shared" si="52"/>
        <v>-140837.71546098724</v>
      </c>
      <c r="AA67" s="187">
        <f t="shared" si="52"/>
        <v>0</v>
      </c>
      <c r="AB67" s="187">
        <f t="shared" si="52"/>
        <v>0</v>
      </c>
      <c r="AC67" s="187">
        <f t="shared" si="52"/>
        <v>-147270.95344195748</v>
      </c>
      <c r="AD67" s="187">
        <f t="shared" si="52"/>
        <v>0</v>
      </c>
      <c r="AE67" s="187">
        <f t="shared" si="52"/>
        <v>0</v>
      </c>
      <c r="AF67" s="187">
        <f t="shared" si="52"/>
        <v>-153998.05127988668</v>
      </c>
      <c r="AG67" s="187">
        <f t="shared" si="52"/>
        <v>0</v>
      </c>
      <c r="AH67" s="187">
        <f t="shared" si="52"/>
        <v>0</v>
      </c>
      <c r="AI67" s="187">
        <f t="shared" si="52"/>
        <v>0</v>
      </c>
      <c r="AJ67" s="187">
        <f t="shared" si="52"/>
        <v>0</v>
      </c>
      <c r="AK67" s="187">
        <f t="shared" si="52"/>
        <v>0</v>
      </c>
      <c r="AL67" s="187">
        <f t="shared" si="52"/>
        <v>0</v>
      </c>
      <c r="AM67" s="187">
        <f t="shared" si="52"/>
        <v>0</v>
      </c>
      <c r="AN67" s="187">
        <f t="shared" si="52"/>
        <v>0</v>
      </c>
      <c r="AO67" s="187">
        <f t="shared" si="52"/>
        <v>0</v>
      </c>
      <c r="AP67" s="187">
        <f t="shared" si="52"/>
        <v>0</v>
      </c>
    </row>
    <row r="68" spans="1:42">
      <c r="A68" s="184" t="s">
        <v>53</v>
      </c>
      <c r="B68" s="251">
        <f>SUM(B65:B67)</f>
        <v>0</v>
      </c>
      <c r="C68" s="251">
        <f t="shared" ref="C68:AP68" si="53">SUM(C65:C67)</f>
        <v>0</v>
      </c>
      <c r="D68" s="251">
        <f t="shared" si="53"/>
        <v>0</v>
      </c>
      <c r="E68" s="251">
        <f t="shared" si="53"/>
        <v>-103022.49999999997</v>
      </c>
      <c r="F68" s="251">
        <f t="shared" si="53"/>
        <v>0</v>
      </c>
      <c r="G68" s="251">
        <f t="shared" si="53"/>
        <v>0</v>
      </c>
      <c r="H68" s="251">
        <f t="shared" si="53"/>
        <v>-107728.40038843743</v>
      </c>
      <c r="I68" s="251">
        <f t="shared" si="53"/>
        <v>0</v>
      </c>
      <c r="J68" s="251">
        <f t="shared" si="53"/>
        <v>0</v>
      </c>
      <c r="K68" s="251">
        <f t="shared" si="53"/>
        <v>-112649.25865953058</v>
      </c>
      <c r="L68" s="251">
        <f t="shared" si="53"/>
        <v>0</v>
      </c>
      <c r="M68" s="251">
        <f t="shared" si="53"/>
        <v>0</v>
      </c>
      <c r="N68" s="251">
        <f t="shared" si="53"/>
        <v>-3062667.2372413664</v>
      </c>
      <c r="O68" s="251">
        <f t="shared" si="53"/>
        <v>0</v>
      </c>
      <c r="P68" s="251">
        <f t="shared" si="53"/>
        <v>0</v>
      </c>
      <c r="Q68" s="251">
        <f t="shared" si="53"/>
        <v>-6281954.2265391843</v>
      </c>
      <c r="R68" s="251">
        <f t="shared" si="53"/>
        <v>0</v>
      </c>
      <c r="S68" s="251">
        <f t="shared" si="53"/>
        <v>0</v>
      </c>
      <c r="T68" s="251">
        <f t="shared" si="53"/>
        <v>-128802.03308689948</v>
      </c>
      <c r="U68" s="251">
        <f t="shared" si="53"/>
        <v>0</v>
      </c>
      <c r="V68" s="251">
        <f t="shared" si="53"/>
        <v>0</v>
      </c>
      <c r="W68" s="251">
        <f t="shared" si="53"/>
        <v>-134685.50065500522</v>
      </c>
      <c r="X68" s="251">
        <f t="shared" si="53"/>
        <v>0</v>
      </c>
      <c r="Y68" s="251">
        <f t="shared" si="53"/>
        <v>0</v>
      </c>
      <c r="Z68" s="251">
        <f t="shared" si="53"/>
        <v>-3661780.6019856683</v>
      </c>
      <c r="AA68" s="251">
        <f t="shared" si="53"/>
        <v>0</v>
      </c>
      <c r="AB68" s="251">
        <f t="shared" si="53"/>
        <v>0</v>
      </c>
      <c r="AC68" s="251">
        <f t="shared" si="53"/>
        <v>-147270.95344195748</v>
      </c>
      <c r="AD68" s="251">
        <f t="shared" si="53"/>
        <v>0</v>
      </c>
      <c r="AE68" s="251">
        <f t="shared" si="53"/>
        <v>0</v>
      </c>
      <c r="AF68" s="251">
        <f t="shared" si="53"/>
        <v>-7853900.6152742207</v>
      </c>
      <c r="AG68" s="251">
        <f t="shared" si="53"/>
        <v>0</v>
      </c>
      <c r="AH68" s="251">
        <f t="shared" si="53"/>
        <v>0</v>
      </c>
      <c r="AI68" s="251">
        <f t="shared" si="53"/>
        <v>0</v>
      </c>
      <c r="AJ68" s="251">
        <f t="shared" si="53"/>
        <v>0</v>
      </c>
      <c r="AK68" s="251">
        <f t="shared" si="53"/>
        <v>0</v>
      </c>
      <c r="AL68" s="251">
        <f t="shared" si="53"/>
        <v>0</v>
      </c>
      <c r="AM68" s="251">
        <f t="shared" si="53"/>
        <v>0</v>
      </c>
      <c r="AN68" s="251">
        <f t="shared" si="53"/>
        <v>0</v>
      </c>
      <c r="AO68" s="251">
        <f t="shared" si="53"/>
        <v>0</v>
      </c>
      <c r="AP68" s="251">
        <f t="shared" si="53"/>
        <v>0</v>
      </c>
    </row>
    <row r="69" spans="1:42">
      <c r="A69" s="180" t="s">
        <v>53</v>
      </c>
      <c r="B69" s="152">
        <f>B53+B54+B55+B56+B63+B68</f>
        <v>-3202676.2422525855</v>
      </c>
      <c r="C69" s="152">
        <f t="shared" ref="C69:AP69" si="54">C53+C54+C55+C56+C63+C68</f>
        <v>-690332.10552309547</v>
      </c>
      <c r="D69" s="152">
        <f t="shared" si="54"/>
        <v>-690332.10552309547</v>
      </c>
      <c r="E69" s="152">
        <f t="shared" si="54"/>
        <v>-690332.10552309547</v>
      </c>
      <c r="F69" s="152">
        <f t="shared" si="54"/>
        <v>-691900.73898590787</v>
      </c>
      <c r="G69" s="152">
        <f t="shared" si="54"/>
        <v>-691900.73898590787</v>
      </c>
      <c r="H69" s="152">
        <f t="shared" si="54"/>
        <v>-691900.73898590787</v>
      </c>
      <c r="I69" s="152">
        <f t="shared" si="54"/>
        <v>-693541.02507627232</v>
      </c>
      <c r="J69" s="152">
        <f t="shared" si="54"/>
        <v>-693541.02507627232</v>
      </c>
      <c r="K69" s="152">
        <f t="shared" si="54"/>
        <v>-693541.02507627232</v>
      </c>
      <c r="L69" s="152">
        <f t="shared" si="54"/>
        <v>-695256.23676977959</v>
      </c>
      <c r="M69" s="152">
        <f t="shared" si="54"/>
        <v>-695256.23676977959</v>
      </c>
      <c r="N69" s="152">
        <f t="shared" si="54"/>
        <v>-695256.23676977959</v>
      </c>
      <c r="O69" s="152">
        <f t="shared" si="54"/>
        <v>-745055.6751315078</v>
      </c>
      <c r="P69" s="152">
        <f t="shared" si="54"/>
        <v>-745055.6751315078</v>
      </c>
      <c r="Q69" s="152">
        <f t="shared" si="54"/>
        <v>-745055.67513150722</v>
      </c>
      <c r="R69" s="152">
        <f t="shared" si="54"/>
        <v>-849672.75583897892</v>
      </c>
      <c r="S69" s="152">
        <f t="shared" si="54"/>
        <v>-849672.75583897892</v>
      </c>
      <c r="T69" s="152">
        <f t="shared" si="54"/>
        <v>-849672.7558389788</v>
      </c>
      <c r="U69" s="152">
        <f t="shared" si="54"/>
        <v>-851633.9116950141</v>
      </c>
      <c r="V69" s="152">
        <f t="shared" si="54"/>
        <v>-851633.9116950141</v>
      </c>
      <c r="W69" s="152">
        <f t="shared" si="54"/>
        <v>-851633.9116950141</v>
      </c>
      <c r="X69" s="152">
        <f t="shared" si="54"/>
        <v>-853684.64996367483</v>
      </c>
      <c r="Y69" s="152">
        <f t="shared" si="54"/>
        <v>-853684.64996367483</v>
      </c>
      <c r="Z69" s="152">
        <f t="shared" si="54"/>
        <v>-853684.6499636746</v>
      </c>
      <c r="AA69" s="152">
        <f t="shared" si="54"/>
        <v>-562417.15541360807</v>
      </c>
      <c r="AB69" s="152">
        <f t="shared" si="54"/>
        <v>-562417.15541360807</v>
      </c>
      <c r="AC69" s="152">
        <f t="shared" si="54"/>
        <v>-562417.15541360807</v>
      </c>
      <c r="AD69" s="152">
        <f t="shared" si="54"/>
        <v>-564659.52135958453</v>
      </c>
      <c r="AE69" s="152">
        <f t="shared" si="54"/>
        <v>-564659.52135958453</v>
      </c>
      <c r="AF69" s="152">
        <f t="shared" si="54"/>
        <v>-1384698.2791069988</v>
      </c>
      <c r="AG69" s="152">
        <f t="shared" si="54"/>
        <v>0</v>
      </c>
      <c r="AH69" s="152">
        <f t="shared" si="54"/>
        <v>0</v>
      </c>
      <c r="AI69" s="152">
        <f t="shared" si="54"/>
        <v>0</v>
      </c>
      <c r="AJ69" s="152">
        <f t="shared" si="54"/>
        <v>0</v>
      </c>
      <c r="AK69" s="152">
        <f t="shared" si="54"/>
        <v>0</v>
      </c>
      <c r="AL69" s="152">
        <f t="shared" si="54"/>
        <v>0</v>
      </c>
      <c r="AM69" s="152">
        <f t="shared" si="54"/>
        <v>0</v>
      </c>
      <c r="AN69" s="152">
        <f t="shared" si="54"/>
        <v>0</v>
      </c>
      <c r="AO69" s="152">
        <f t="shared" si="54"/>
        <v>0</v>
      </c>
      <c r="AP69" s="152">
        <f t="shared" si="54"/>
        <v>0</v>
      </c>
    </row>
    <row r="70" spans="1:42" s="118" customFormat="1">
      <c r="A70" s="267"/>
      <c r="B70" s="198"/>
      <c r="C70" s="198"/>
      <c r="D70" s="198"/>
      <c r="E70" s="198"/>
      <c r="F70" s="198"/>
      <c r="G70" s="198"/>
      <c r="H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row>
    <row r="71" spans="1:42" s="118" customFormat="1">
      <c r="A71" s="274" t="s">
        <v>186</v>
      </c>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row>
    <row r="72" spans="1:42" s="118" customFormat="1">
      <c r="A72" s="267" t="s">
        <v>493</v>
      </c>
      <c r="B72" s="203">
        <f>'Inputs &amp; Results'!D185</f>
        <v>3202676.2422525855</v>
      </c>
      <c r="C72" s="198">
        <v>0</v>
      </c>
      <c r="D72" s="198">
        <v>0</v>
      </c>
      <c r="E72" s="198">
        <v>0</v>
      </c>
      <c r="F72" s="198">
        <v>0</v>
      </c>
      <c r="G72" s="198">
        <v>0</v>
      </c>
      <c r="H72" s="198">
        <v>0</v>
      </c>
      <c r="I72" s="198">
        <v>0</v>
      </c>
      <c r="J72" s="198">
        <v>0</v>
      </c>
      <c r="K72" s="198">
        <v>0</v>
      </c>
      <c r="L72" s="198">
        <v>0</v>
      </c>
      <c r="M72" s="198">
        <v>0</v>
      </c>
      <c r="N72" s="198">
        <v>0</v>
      </c>
      <c r="O72" s="198">
        <v>0</v>
      </c>
      <c r="P72" s="198">
        <v>0</v>
      </c>
      <c r="Q72" s="198">
        <v>0</v>
      </c>
      <c r="R72" s="198">
        <v>0</v>
      </c>
      <c r="S72" s="198">
        <v>0</v>
      </c>
      <c r="T72" s="198">
        <v>0</v>
      </c>
      <c r="U72" s="198">
        <v>0</v>
      </c>
      <c r="V72" s="198">
        <v>0</v>
      </c>
      <c r="W72" s="198">
        <v>0</v>
      </c>
      <c r="X72" s="198">
        <v>0</v>
      </c>
      <c r="Y72" s="198">
        <v>0</v>
      </c>
      <c r="Z72" s="198">
        <v>0</v>
      </c>
      <c r="AA72" s="198">
        <v>0</v>
      </c>
      <c r="AB72" s="198">
        <v>0</v>
      </c>
      <c r="AC72" s="198">
        <v>0</v>
      </c>
      <c r="AD72" s="198">
        <v>0</v>
      </c>
      <c r="AE72" s="198">
        <v>0</v>
      </c>
      <c r="AF72" s="198">
        <v>0</v>
      </c>
      <c r="AG72" s="198">
        <v>0</v>
      </c>
      <c r="AH72" s="198">
        <v>0</v>
      </c>
      <c r="AI72" s="198">
        <v>0</v>
      </c>
      <c r="AJ72" s="198">
        <v>0</v>
      </c>
      <c r="AK72" s="198">
        <v>0</v>
      </c>
      <c r="AL72" s="198">
        <v>0</v>
      </c>
      <c r="AM72" s="198">
        <v>0</v>
      </c>
      <c r="AN72" s="198">
        <v>0</v>
      </c>
      <c r="AO72" s="198">
        <v>0</v>
      </c>
      <c r="AP72" s="198">
        <v>0</v>
      </c>
    </row>
    <row r="73" spans="1:42" s="118" customFormat="1">
      <c r="A73" s="267" t="s">
        <v>53</v>
      </c>
      <c r="B73" s="203">
        <f t="shared" ref="B73:AP73" si="55">SUM(B72:B72)</f>
        <v>3202676.2422525855</v>
      </c>
      <c r="C73" s="273">
        <f t="shared" si="55"/>
        <v>0</v>
      </c>
      <c r="D73" s="273">
        <f t="shared" si="55"/>
        <v>0</v>
      </c>
      <c r="E73" s="273">
        <f t="shared" si="55"/>
        <v>0</v>
      </c>
      <c r="F73" s="273">
        <f t="shared" si="55"/>
        <v>0</v>
      </c>
      <c r="G73" s="273">
        <f t="shared" si="55"/>
        <v>0</v>
      </c>
      <c r="H73" s="273">
        <f t="shared" si="55"/>
        <v>0</v>
      </c>
      <c r="I73" s="273">
        <f t="shared" si="55"/>
        <v>0</v>
      </c>
      <c r="J73" s="273">
        <f t="shared" si="55"/>
        <v>0</v>
      </c>
      <c r="K73" s="273">
        <f t="shared" si="55"/>
        <v>0</v>
      </c>
      <c r="L73" s="273">
        <f t="shared" si="55"/>
        <v>0</v>
      </c>
      <c r="M73" s="273">
        <f t="shared" si="55"/>
        <v>0</v>
      </c>
      <c r="N73" s="273">
        <f t="shared" si="55"/>
        <v>0</v>
      </c>
      <c r="O73" s="273">
        <f t="shared" si="55"/>
        <v>0</v>
      </c>
      <c r="P73" s="273">
        <f t="shared" si="55"/>
        <v>0</v>
      </c>
      <c r="Q73" s="273">
        <f t="shared" si="55"/>
        <v>0</v>
      </c>
      <c r="R73" s="273">
        <f t="shared" si="55"/>
        <v>0</v>
      </c>
      <c r="S73" s="273">
        <f t="shared" si="55"/>
        <v>0</v>
      </c>
      <c r="T73" s="273">
        <f t="shared" si="55"/>
        <v>0</v>
      </c>
      <c r="U73" s="273">
        <f t="shared" si="55"/>
        <v>0</v>
      </c>
      <c r="V73" s="273">
        <f t="shared" si="55"/>
        <v>0</v>
      </c>
      <c r="W73" s="273">
        <f t="shared" si="55"/>
        <v>0</v>
      </c>
      <c r="X73" s="273">
        <f t="shared" si="55"/>
        <v>0</v>
      </c>
      <c r="Y73" s="273">
        <f t="shared" si="55"/>
        <v>0</v>
      </c>
      <c r="Z73" s="273">
        <f t="shared" si="55"/>
        <v>0</v>
      </c>
      <c r="AA73" s="273">
        <f t="shared" si="55"/>
        <v>0</v>
      </c>
      <c r="AB73" s="273">
        <f t="shared" si="55"/>
        <v>0</v>
      </c>
      <c r="AC73" s="273">
        <f t="shared" si="55"/>
        <v>0</v>
      </c>
      <c r="AD73" s="273">
        <f t="shared" si="55"/>
        <v>0</v>
      </c>
      <c r="AE73" s="273">
        <f t="shared" si="55"/>
        <v>0</v>
      </c>
      <c r="AF73" s="273">
        <f t="shared" si="55"/>
        <v>0</v>
      </c>
      <c r="AG73" s="273">
        <f t="shared" si="55"/>
        <v>0</v>
      </c>
      <c r="AH73" s="273">
        <f t="shared" si="55"/>
        <v>0</v>
      </c>
      <c r="AI73" s="273">
        <f t="shared" si="55"/>
        <v>0</v>
      </c>
      <c r="AJ73" s="273">
        <f t="shared" si="55"/>
        <v>0</v>
      </c>
      <c r="AK73" s="273">
        <f t="shared" si="55"/>
        <v>0</v>
      </c>
      <c r="AL73" s="273">
        <f t="shared" si="55"/>
        <v>0</v>
      </c>
      <c r="AM73" s="273">
        <f t="shared" si="55"/>
        <v>0</v>
      </c>
      <c r="AN73" s="273">
        <f t="shared" si="55"/>
        <v>0</v>
      </c>
      <c r="AO73" s="273">
        <f t="shared" si="55"/>
        <v>0</v>
      </c>
      <c r="AP73" s="273">
        <f t="shared" si="55"/>
        <v>0</v>
      </c>
    </row>
    <row r="74" spans="1:42" s="118" customFormat="1">
      <c r="A74" s="365" t="s">
        <v>507</v>
      </c>
      <c r="B74" s="353">
        <f t="shared" ref="B74:AP74" si="56">B50+B69+B73</f>
        <v>0</v>
      </c>
      <c r="C74" s="353">
        <f t="shared" si="56"/>
        <v>4890302.1295758607</v>
      </c>
      <c r="D74" s="353">
        <f t="shared" si="56"/>
        <v>4933327.5188328158</v>
      </c>
      <c r="E74" s="353">
        <f t="shared" si="56"/>
        <v>4976189.6015447509</v>
      </c>
      <c r="F74" s="353">
        <f t="shared" si="56"/>
        <v>5015511.0702105928</v>
      </c>
      <c r="G74" s="353">
        <f t="shared" si="56"/>
        <v>5058056.5190571873</v>
      </c>
      <c r="H74" s="353">
        <f t="shared" si="56"/>
        <v>5100420.9247209392</v>
      </c>
      <c r="I74" s="353">
        <f t="shared" si="56"/>
        <v>5139072.5724151758</v>
      </c>
      <c r="J74" s="353">
        <f t="shared" si="56"/>
        <v>5181084.912123342</v>
      </c>
      <c r="K74" s="353">
        <f t="shared" si="56"/>
        <v>5222897.2420313396</v>
      </c>
      <c r="L74" s="353">
        <f t="shared" si="56"/>
        <v>5260816.3791882154</v>
      </c>
      <c r="M74" s="353">
        <f t="shared" si="56"/>
        <v>5302238.7293956364</v>
      </c>
      <c r="N74" s="353">
        <f t="shared" si="56"/>
        <v>5343440.7931166962</v>
      </c>
      <c r="O74" s="353">
        <f t="shared" si="56"/>
        <v>5281019.390732849</v>
      </c>
      <c r="P74" s="353">
        <f t="shared" si="56"/>
        <v>5322631.0195524516</v>
      </c>
      <c r="Q74" s="353">
        <f t="shared" si="56"/>
        <v>5364000.6898545725</v>
      </c>
      <c r="R74" s="353">
        <f t="shared" si="56"/>
        <v>5190569.5723522557</v>
      </c>
      <c r="S74" s="353">
        <f t="shared" si="56"/>
        <v>5233263.3071025787</v>
      </c>
      <c r="T74" s="353">
        <f t="shared" si="56"/>
        <v>5275691.9251586702</v>
      </c>
      <c r="U74" s="353">
        <f t="shared" si="56"/>
        <v>5313632.168904366</v>
      </c>
      <c r="V74" s="353">
        <f t="shared" si="56"/>
        <v>5355540.495705178</v>
      </c>
      <c r="W74" s="353">
        <f t="shared" si="56"/>
        <v>5397158.9648041232</v>
      </c>
      <c r="X74" s="353">
        <f t="shared" si="56"/>
        <v>5419740.3031346705</v>
      </c>
      <c r="Y74" s="353">
        <f t="shared" si="56"/>
        <v>5446457.9822864523</v>
      </c>
      <c r="Z74" s="353">
        <f t="shared" si="56"/>
        <v>5472859.3769442905</v>
      </c>
      <c r="AA74" s="353">
        <f t="shared" si="56"/>
        <v>5726121.6188261108</v>
      </c>
      <c r="AB74" s="353">
        <f t="shared" si="56"/>
        <v>5746765.4527849043</v>
      </c>
      <c r="AC74" s="353">
        <f t="shared" si="56"/>
        <v>5767064.7800426027</v>
      </c>
      <c r="AD74" s="353">
        <f t="shared" si="56"/>
        <v>5782190.1666202499</v>
      </c>
      <c r="AE74" s="353">
        <f t="shared" si="56"/>
        <v>5801810.0259299027</v>
      </c>
      <c r="AF74" s="353">
        <f t="shared" si="56"/>
        <v>9023731.4864253402</v>
      </c>
      <c r="AG74" s="353">
        <f t="shared" si="56"/>
        <v>0</v>
      </c>
      <c r="AH74" s="353">
        <f t="shared" si="56"/>
        <v>0</v>
      </c>
      <c r="AI74" s="353">
        <f t="shared" si="56"/>
        <v>0</v>
      </c>
      <c r="AJ74" s="353">
        <f t="shared" si="56"/>
        <v>0</v>
      </c>
      <c r="AK74" s="353">
        <f t="shared" si="56"/>
        <v>0</v>
      </c>
      <c r="AL74" s="353">
        <f t="shared" si="56"/>
        <v>0</v>
      </c>
      <c r="AM74" s="353">
        <f t="shared" si="56"/>
        <v>0</v>
      </c>
      <c r="AN74" s="353">
        <f t="shared" si="56"/>
        <v>0</v>
      </c>
      <c r="AO74" s="353">
        <f t="shared" si="56"/>
        <v>0</v>
      </c>
      <c r="AP74" s="353">
        <f t="shared" si="56"/>
        <v>0</v>
      </c>
    </row>
    <row r="75" spans="1:42" s="118" customFormat="1">
      <c r="A75" s="267" t="s">
        <v>448</v>
      </c>
      <c r="B75" s="141">
        <f t="shared" ref="B75:AP75" si="57">B639+B645+B651+B683+B715-B68</f>
        <v>0</v>
      </c>
      <c r="C75" s="141">
        <f t="shared" si="57"/>
        <v>0</v>
      </c>
      <c r="D75" s="141">
        <f t="shared" si="57"/>
        <v>0</v>
      </c>
      <c r="E75" s="141">
        <f t="shared" si="57"/>
        <v>0</v>
      </c>
      <c r="F75" s="141">
        <f t="shared" si="57"/>
        <v>0</v>
      </c>
      <c r="G75" s="141">
        <f t="shared" si="57"/>
        <v>0</v>
      </c>
      <c r="H75" s="141">
        <f t="shared" si="57"/>
        <v>0</v>
      </c>
      <c r="I75" s="141">
        <f t="shared" si="57"/>
        <v>0</v>
      </c>
      <c r="J75" s="141">
        <f t="shared" si="57"/>
        <v>0</v>
      </c>
      <c r="K75" s="141">
        <f t="shared" si="57"/>
        <v>0</v>
      </c>
      <c r="L75" s="141">
        <f t="shared" si="57"/>
        <v>0</v>
      </c>
      <c r="M75" s="141">
        <f t="shared" si="57"/>
        <v>0</v>
      </c>
      <c r="N75" s="141">
        <f t="shared" si="57"/>
        <v>0</v>
      </c>
      <c r="O75" s="141">
        <f t="shared" si="57"/>
        <v>0</v>
      </c>
      <c r="P75" s="141">
        <f t="shared" si="57"/>
        <v>0</v>
      </c>
      <c r="Q75" s="141">
        <f t="shared" si="57"/>
        <v>0</v>
      </c>
      <c r="R75" s="141">
        <f t="shared" si="57"/>
        <v>0</v>
      </c>
      <c r="S75" s="141">
        <f t="shared" si="57"/>
        <v>0</v>
      </c>
      <c r="T75" s="141">
        <f t="shared" si="57"/>
        <v>0</v>
      </c>
      <c r="U75" s="141">
        <f t="shared" si="57"/>
        <v>0</v>
      </c>
      <c r="V75" s="141">
        <f t="shared" si="57"/>
        <v>0</v>
      </c>
      <c r="W75" s="141">
        <f t="shared" si="57"/>
        <v>0</v>
      </c>
      <c r="X75" s="141">
        <f t="shared" si="57"/>
        <v>0</v>
      </c>
      <c r="Y75" s="141">
        <f t="shared" si="57"/>
        <v>0</v>
      </c>
      <c r="Z75" s="141">
        <f t="shared" si="57"/>
        <v>0</v>
      </c>
      <c r="AA75" s="141">
        <f t="shared" si="57"/>
        <v>0</v>
      </c>
      <c r="AB75" s="141">
        <f t="shared" si="57"/>
        <v>0</v>
      </c>
      <c r="AC75" s="141">
        <f t="shared" si="57"/>
        <v>0</v>
      </c>
      <c r="AD75" s="141">
        <f t="shared" si="57"/>
        <v>0</v>
      </c>
      <c r="AE75" s="141">
        <f t="shared" si="57"/>
        <v>0</v>
      </c>
      <c r="AF75" s="141">
        <f t="shared" si="57"/>
        <v>-3202676.2422525864</v>
      </c>
      <c r="AG75" s="141">
        <f t="shared" si="57"/>
        <v>0</v>
      </c>
      <c r="AH75" s="141">
        <f t="shared" si="57"/>
        <v>0</v>
      </c>
      <c r="AI75" s="141">
        <f t="shared" si="57"/>
        <v>0</v>
      </c>
      <c r="AJ75" s="141">
        <f t="shared" si="57"/>
        <v>0</v>
      </c>
      <c r="AK75" s="141">
        <f t="shared" si="57"/>
        <v>0</v>
      </c>
      <c r="AL75" s="141">
        <f t="shared" si="57"/>
        <v>0</v>
      </c>
      <c r="AM75" s="141">
        <f t="shared" si="57"/>
        <v>0</v>
      </c>
      <c r="AN75" s="141">
        <f t="shared" si="57"/>
        <v>0</v>
      </c>
      <c r="AO75" s="141">
        <f t="shared" si="57"/>
        <v>0</v>
      </c>
      <c r="AP75" s="141">
        <f t="shared" si="57"/>
        <v>0</v>
      </c>
    </row>
    <row r="76" spans="1:42" s="118" customFormat="1" ht="13.5" thickBot="1">
      <c r="A76" s="274" t="s">
        <v>440</v>
      </c>
      <c r="B76" s="366">
        <f t="shared" ref="B76:AP76" si="58">SUM(B74:B75)</f>
        <v>0</v>
      </c>
      <c r="C76" s="366">
        <f t="shared" si="58"/>
        <v>4890302.1295758607</v>
      </c>
      <c r="D76" s="366">
        <f t="shared" si="58"/>
        <v>4933327.5188328158</v>
      </c>
      <c r="E76" s="366">
        <f t="shared" si="58"/>
        <v>4976189.6015447509</v>
      </c>
      <c r="F76" s="366">
        <f t="shared" si="58"/>
        <v>5015511.0702105928</v>
      </c>
      <c r="G76" s="366">
        <f t="shared" si="58"/>
        <v>5058056.5190571873</v>
      </c>
      <c r="H76" s="366">
        <f t="shared" si="58"/>
        <v>5100420.9247209392</v>
      </c>
      <c r="I76" s="366">
        <f t="shared" si="58"/>
        <v>5139072.5724151758</v>
      </c>
      <c r="J76" s="366">
        <f t="shared" si="58"/>
        <v>5181084.912123342</v>
      </c>
      <c r="K76" s="366">
        <f t="shared" si="58"/>
        <v>5222897.2420313396</v>
      </c>
      <c r="L76" s="366">
        <f t="shared" si="58"/>
        <v>5260816.3791882154</v>
      </c>
      <c r="M76" s="366">
        <f t="shared" si="58"/>
        <v>5302238.7293956364</v>
      </c>
      <c r="N76" s="366">
        <f t="shared" si="58"/>
        <v>5343440.7931166962</v>
      </c>
      <c r="O76" s="366">
        <f t="shared" si="58"/>
        <v>5281019.390732849</v>
      </c>
      <c r="P76" s="366">
        <f t="shared" si="58"/>
        <v>5322631.0195524516</v>
      </c>
      <c r="Q76" s="366">
        <f t="shared" si="58"/>
        <v>5364000.6898545725</v>
      </c>
      <c r="R76" s="366">
        <f t="shared" si="58"/>
        <v>5190569.5723522557</v>
      </c>
      <c r="S76" s="366">
        <f t="shared" si="58"/>
        <v>5233263.3071025787</v>
      </c>
      <c r="T76" s="366">
        <f t="shared" si="58"/>
        <v>5275691.9251586702</v>
      </c>
      <c r="U76" s="366">
        <f t="shared" si="58"/>
        <v>5313632.168904366</v>
      </c>
      <c r="V76" s="366">
        <f t="shared" si="58"/>
        <v>5355540.495705178</v>
      </c>
      <c r="W76" s="366">
        <f t="shared" si="58"/>
        <v>5397158.9648041232</v>
      </c>
      <c r="X76" s="366">
        <f t="shared" si="58"/>
        <v>5419740.3031346705</v>
      </c>
      <c r="Y76" s="366">
        <f t="shared" si="58"/>
        <v>5446457.9822864523</v>
      </c>
      <c r="Z76" s="366">
        <f t="shared" si="58"/>
        <v>5472859.3769442905</v>
      </c>
      <c r="AA76" s="366">
        <f t="shared" si="58"/>
        <v>5726121.6188261108</v>
      </c>
      <c r="AB76" s="366">
        <f t="shared" si="58"/>
        <v>5746765.4527849043</v>
      </c>
      <c r="AC76" s="366">
        <f t="shared" si="58"/>
        <v>5767064.7800426027</v>
      </c>
      <c r="AD76" s="366">
        <f t="shared" si="58"/>
        <v>5782190.1666202499</v>
      </c>
      <c r="AE76" s="366">
        <f t="shared" si="58"/>
        <v>5801810.0259299027</v>
      </c>
      <c r="AF76" s="366">
        <f t="shared" si="58"/>
        <v>5821055.2441727538</v>
      </c>
      <c r="AG76" s="366">
        <f t="shared" si="58"/>
        <v>0</v>
      </c>
      <c r="AH76" s="366">
        <f t="shared" si="58"/>
        <v>0</v>
      </c>
      <c r="AI76" s="366">
        <f t="shared" si="58"/>
        <v>0</v>
      </c>
      <c r="AJ76" s="366">
        <f t="shared" si="58"/>
        <v>0</v>
      </c>
      <c r="AK76" s="366">
        <f t="shared" si="58"/>
        <v>0</v>
      </c>
      <c r="AL76" s="366">
        <f t="shared" si="58"/>
        <v>0</v>
      </c>
      <c r="AM76" s="366">
        <f t="shared" si="58"/>
        <v>0</v>
      </c>
      <c r="AN76" s="366">
        <f t="shared" si="58"/>
        <v>0</v>
      </c>
      <c r="AO76" s="366">
        <f t="shared" si="58"/>
        <v>0</v>
      </c>
      <c r="AP76" s="366">
        <f t="shared" si="58"/>
        <v>0</v>
      </c>
    </row>
    <row r="77" spans="1:42" ht="13.5" thickTop="1">
      <c r="A77" s="182"/>
      <c r="B77" s="186"/>
      <c r="C77" s="186"/>
      <c r="D77" s="186"/>
      <c r="E77" s="186"/>
      <c r="F77" s="186"/>
      <c r="G77" s="186"/>
      <c r="H77" s="186"/>
      <c r="I77" s="186"/>
      <c r="J77" s="186"/>
      <c r="K77" s="186"/>
      <c r="L77" s="186"/>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c r="AM77" s="186"/>
      <c r="AN77" s="186"/>
      <c r="AO77" s="186"/>
      <c r="AP77" s="186"/>
    </row>
    <row r="78" spans="1:42">
      <c r="A78" s="179" t="s">
        <v>463</v>
      </c>
      <c r="B78" s="186"/>
      <c r="C78" s="186"/>
      <c r="D78" s="186"/>
      <c r="E78" s="186"/>
      <c r="F78" s="186"/>
      <c r="G78" s="186"/>
      <c r="H78" s="186"/>
      <c r="I78" s="186"/>
      <c r="J78" s="186"/>
      <c r="K78" s="186"/>
      <c r="L78" s="186"/>
      <c r="M78" s="186"/>
      <c r="N78" s="186"/>
      <c r="O78" s="186"/>
      <c r="P78" s="186"/>
      <c r="Q78" s="186"/>
      <c r="R78" s="186"/>
      <c r="S78" s="186"/>
      <c r="T78" s="186"/>
      <c r="U78" s="186"/>
      <c r="V78" s="186"/>
      <c r="W78" s="186"/>
      <c r="X78" s="186"/>
      <c r="Y78" s="186"/>
      <c r="Z78" s="186"/>
      <c r="AA78" s="186"/>
      <c r="AB78" s="186"/>
      <c r="AC78" s="186"/>
      <c r="AD78" s="186"/>
      <c r="AE78" s="186"/>
      <c r="AF78" s="186"/>
      <c r="AG78" s="186"/>
      <c r="AH78" s="186"/>
      <c r="AI78" s="186"/>
      <c r="AJ78" s="186"/>
      <c r="AK78" s="186"/>
      <c r="AL78" s="186"/>
      <c r="AM78" s="186"/>
      <c r="AN78" s="186"/>
      <c r="AO78" s="186"/>
      <c r="AP78" s="186"/>
    </row>
    <row r="79" spans="1:42">
      <c r="A79" s="182" t="s">
        <v>189</v>
      </c>
      <c r="B79" s="186"/>
      <c r="C79" s="186"/>
      <c r="D79" s="186"/>
      <c r="E79" s="186"/>
      <c r="F79" s="186"/>
      <c r="G79" s="186"/>
      <c r="H79" s="186"/>
      <c r="I79" s="186"/>
      <c r="J79" s="186"/>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row>
    <row r="80" spans="1:42">
      <c r="A80" s="37" t="s">
        <v>419</v>
      </c>
      <c r="B80" s="187">
        <f>B76</f>
        <v>0</v>
      </c>
      <c r="C80" s="187">
        <f t="shared" ref="C80:AP80" si="59">C76</f>
        <v>4890302.1295758607</v>
      </c>
      <c r="D80" s="187">
        <f t="shared" si="59"/>
        <v>4933327.5188328158</v>
      </c>
      <c r="E80" s="187">
        <f t="shared" si="59"/>
        <v>4976189.6015447509</v>
      </c>
      <c r="F80" s="187">
        <f t="shared" si="59"/>
        <v>5015511.0702105928</v>
      </c>
      <c r="G80" s="187">
        <f t="shared" si="59"/>
        <v>5058056.5190571873</v>
      </c>
      <c r="H80" s="187">
        <f t="shared" si="59"/>
        <v>5100420.9247209392</v>
      </c>
      <c r="I80" s="187">
        <f t="shared" si="59"/>
        <v>5139072.5724151758</v>
      </c>
      <c r="J80" s="187">
        <f t="shared" si="59"/>
        <v>5181084.912123342</v>
      </c>
      <c r="K80" s="187">
        <f t="shared" si="59"/>
        <v>5222897.2420313396</v>
      </c>
      <c r="L80" s="187">
        <f t="shared" si="59"/>
        <v>5260816.3791882154</v>
      </c>
      <c r="M80" s="187">
        <f t="shared" si="59"/>
        <v>5302238.7293956364</v>
      </c>
      <c r="N80" s="187">
        <f t="shared" si="59"/>
        <v>5343440.7931166962</v>
      </c>
      <c r="O80" s="187">
        <f t="shared" si="59"/>
        <v>5281019.390732849</v>
      </c>
      <c r="P80" s="187">
        <f t="shared" si="59"/>
        <v>5322631.0195524516</v>
      </c>
      <c r="Q80" s="187">
        <f t="shared" si="59"/>
        <v>5364000.6898545725</v>
      </c>
      <c r="R80" s="187">
        <f t="shared" si="59"/>
        <v>5190569.5723522557</v>
      </c>
      <c r="S80" s="187">
        <f t="shared" si="59"/>
        <v>5233263.3071025787</v>
      </c>
      <c r="T80" s="187">
        <f t="shared" si="59"/>
        <v>5275691.9251586702</v>
      </c>
      <c r="U80" s="187">
        <f t="shared" si="59"/>
        <v>5313632.168904366</v>
      </c>
      <c r="V80" s="187">
        <f t="shared" si="59"/>
        <v>5355540.495705178</v>
      </c>
      <c r="W80" s="187">
        <f t="shared" si="59"/>
        <v>5397158.9648041232</v>
      </c>
      <c r="X80" s="187">
        <f t="shared" si="59"/>
        <v>5419740.3031346705</v>
      </c>
      <c r="Y80" s="187">
        <f t="shared" si="59"/>
        <v>5446457.9822864523</v>
      </c>
      <c r="Z80" s="187">
        <f t="shared" si="59"/>
        <v>5472859.3769442905</v>
      </c>
      <c r="AA80" s="187">
        <f t="shared" si="59"/>
        <v>5726121.6188261108</v>
      </c>
      <c r="AB80" s="187">
        <f t="shared" si="59"/>
        <v>5746765.4527849043</v>
      </c>
      <c r="AC80" s="187">
        <f t="shared" si="59"/>
        <v>5767064.7800426027</v>
      </c>
      <c r="AD80" s="187">
        <f t="shared" si="59"/>
        <v>5782190.1666202499</v>
      </c>
      <c r="AE80" s="187">
        <f t="shared" si="59"/>
        <v>5801810.0259299027</v>
      </c>
      <c r="AF80" s="187">
        <f t="shared" si="59"/>
        <v>5821055.2441727538</v>
      </c>
      <c r="AG80" s="187">
        <f t="shared" si="59"/>
        <v>0</v>
      </c>
      <c r="AH80" s="187">
        <f t="shared" si="59"/>
        <v>0</v>
      </c>
      <c r="AI80" s="187">
        <f t="shared" si="59"/>
        <v>0</v>
      </c>
      <c r="AJ80" s="187">
        <f t="shared" si="59"/>
        <v>0</v>
      </c>
      <c r="AK80" s="187">
        <f t="shared" si="59"/>
        <v>0</v>
      </c>
      <c r="AL80" s="187">
        <f t="shared" si="59"/>
        <v>0</v>
      </c>
      <c r="AM80" s="187">
        <f t="shared" si="59"/>
        <v>0</v>
      </c>
      <c r="AN80" s="187">
        <f t="shared" si="59"/>
        <v>0</v>
      </c>
      <c r="AO80" s="187">
        <f t="shared" si="59"/>
        <v>0</v>
      </c>
      <c r="AP80" s="187">
        <f t="shared" si="59"/>
        <v>0</v>
      </c>
    </row>
    <row r="81" spans="1:42">
      <c r="A81" s="37" t="s">
        <v>53</v>
      </c>
      <c r="B81" s="186">
        <f>B80</f>
        <v>0</v>
      </c>
      <c r="C81" s="186">
        <f t="shared" ref="C81:AP81" si="60">C80</f>
        <v>4890302.1295758607</v>
      </c>
      <c r="D81" s="186">
        <f t="shared" si="60"/>
        <v>4933327.5188328158</v>
      </c>
      <c r="E81" s="186">
        <f t="shared" si="60"/>
        <v>4976189.6015447509</v>
      </c>
      <c r="F81" s="186">
        <f t="shared" si="60"/>
        <v>5015511.0702105928</v>
      </c>
      <c r="G81" s="186">
        <f t="shared" si="60"/>
        <v>5058056.5190571873</v>
      </c>
      <c r="H81" s="186">
        <f t="shared" si="60"/>
        <v>5100420.9247209392</v>
      </c>
      <c r="I81" s="186">
        <f t="shared" si="60"/>
        <v>5139072.5724151758</v>
      </c>
      <c r="J81" s="186">
        <f t="shared" si="60"/>
        <v>5181084.912123342</v>
      </c>
      <c r="K81" s="186">
        <f t="shared" si="60"/>
        <v>5222897.2420313396</v>
      </c>
      <c r="L81" s="186">
        <f t="shared" si="60"/>
        <v>5260816.3791882154</v>
      </c>
      <c r="M81" s="186">
        <f t="shared" si="60"/>
        <v>5302238.7293956364</v>
      </c>
      <c r="N81" s="186">
        <f t="shared" si="60"/>
        <v>5343440.7931166962</v>
      </c>
      <c r="O81" s="186">
        <f t="shared" si="60"/>
        <v>5281019.390732849</v>
      </c>
      <c r="P81" s="186">
        <f t="shared" si="60"/>
        <v>5322631.0195524516</v>
      </c>
      <c r="Q81" s="186">
        <f t="shared" si="60"/>
        <v>5364000.6898545725</v>
      </c>
      <c r="R81" s="186">
        <f t="shared" si="60"/>
        <v>5190569.5723522557</v>
      </c>
      <c r="S81" s="186">
        <f t="shared" si="60"/>
        <v>5233263.3071025787</v>
      </c>
      <c r="T81" s="186">
        <f t="shared" si="60"/>
        <v>5275691.9251586702</v>
      </c>
      <c r="U81" s="186">
        <f t="shared" si="60"/>
        <v>5313632.168904366</v>
      </c>
      <c r="V81" s="186">
        <f t="shared" si="60"/>
        <v>5355540.495705178</v>
      </c>
      <c r="W81" s="186">
        <f t="shared" si="60"/>
        <v>5397158.9648041232</v>
      </c>
      <c r="X81" s="186">
        <f t="shared" si="60"/>
        <v>5419740.3031346705</v>
      </c>
      <c r="Y81" s="186">
        <f t="shared" si="60"/>
        <v>5446457.9822864523</v>
      </c>
      <c r="Z81" s="186">
        <f t="shared" si="60"/>
        <v>5472859.3769442905</v>
      </c>
      <c r="AA81" s="186">
        <f t="shared" si="60"/>
        <v>5726121.6188261108</v>
      </c>
      <c r="AB81" s="186">
        <f t="shared" si="60"/>
        <v>5746765.4527849043</v>
      </c>
      <c r="AC81" s="186">
        <f t="shared" si="60"/>
        <v>5767064.7800426027</v>
      </c>
      <c r="AD81" s="186">
        <f t="shared" si="60"/>
        <v>5782190.1666202499</v>
      </c>
      <c r="AE81" s="186">
        <f t="shared" si="60"/>
        <v>5801810.0259299027</v>
      </c>
      <c r="AF81" s="186">
        <f t="shared" si="60"/>
        <v>5821055.2441727538</v>
      </c>
      <c r="AG81" s="186">
        <f t="shared" si="60"/>
        <v>0</v>
      </c>
      <c r="AH81" s="186">
        <f t="shared" si="60"/>
        <v>0</v>
      </c>
      <c r="AI81" s="186">
        <f t="shared" si="60"/>
        <v>0</v>
      </c>
      <c r="AJ81" s="186">
        <f t="shared" si="60"/>
        <v>0</v>
      </c>
      <c r="AK81" s="186">
        <f t="shared" si="60"/>
        <v>0</v>
      </c>
      <c r="AL81" s="186">
        <f t="shared" si="60"/>
        <v>0</v>
      </c>
      <c r="AM81" s="186">
        <f t="shared" si="60"/>
        <v>0</v>
      </c>
      <c r="AN81" s="186">
        <f t="shared" si="60"/>
        <v>0</v>
      </c>
      <c r="AO81" s="186">
        <f t="shared" si="60"/>
        <v>0</v>
      </c>
      <c r="AP81" s="186">
        <f t="shared" si="60"/>
        <v>0</v>
      </c>
    </row>
    <row r="82" spans="1:42">
      <c r="B82" s="186"/>
      <c r="C82" s="186"/>
      <c r="D82" s="186"/>
      <c r="E82" s="186"/>
      <c r="F82" s="186"/>
      <c r="G82" s="186"/>
      <c r="H82" s="186"/>
      <c r="I82" s="186"/>
      <c r="J82" s="186"/>
      <c r="K82" s="186"/>
      <c r="L82" s="186"/>
      <c r="M82" s="186"/>
      <c r="N82" s="186"/>
      <c r="O82" s="186"/>
      <c r="P82" s="186"/>
      <c r="Q82" s="186"/>
      <c r="R82" s="186"/>
      <c r="S82" s="186"/>
      <c r="T82" s="186"/>
      <c r="U82" s="186"/>
      <c r="V82" s="186"/>
      <c r="W82" s="186"/>
      <c r="X82" s="186"/>
      <c r="Y82" s="186"/>
      <c r="Z82" s="186"/>
      <c r="AA82" s="186"/>
      <c r="AB82" s="186"/>
      <c r="AC82" s="186"/>
      <c r="AD82" s="186"/>
      <c r="AE82" s="186"/>
      <c r="AF82" s="186"/>
      <c r="AG82" s="186"/>
      <c r="AH82" s="186"/>
      <c r="AI82" s="186"/>
      <c r="AJ82" s="186"/>
      <c r="AK82" s="186"/>
      <c r="AL82" s="186"/>
      <c r="AM82" s="186"/>
      <c r="AN82" s="186"/>
      <c r="AO82" s="186"/>
      <c r="AP82" s="186"/>
    </row>
    <row r="83" spans="1:42">
      <c r="A83" s="182" t="s">
        <v>182</v>
      </c>
      <c r="B83" s="186"/>
      <c r="C83" s="186"/>
      <c r="D83" s="186"/>
      <c r="E83" s="186"/>
      <c r="F83" s="186"/>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s="118" customFormat="1">
      <c r="A84" s="118" t="s">
        <v>464</v>
      </c>
      <c r="B84" s="141">
        <f>-'Inputs &amp; Results'!D182</f>
        <v>-42606688.5</v>
      </c>
      <c r="C84" s="141">
        <v>0</v>
      </c>
      <c r="D84" s="141">
        <v>0</v>
      </c>
      <c r="E84" s="141">
        <v>0</v>
      </c>
      <c r="F84" s="141">
        <v>0</v>
      </c>
      <c r="G84" s="141">
        <v>0</v>
      </c>
      <c r="H84" s="141">
        <v>0</v>
      </c>
      <c r="I84" s="141">
        <v>0</v>
      </c>
      <c r="J84" s="141">
        <v>0</v>
      </c>
      <c r="K84" s="141">
        <v>0</v>
      </c>
      <c r="L84" s="141">
        <v>0</v>
      </c>
      <c r="M84" s="141">
        <v>0</v>
      </c>
      <c r="N84" s="141">
        <v>0</v>
      </c>
      <c r="O84" s="141">
        <v>0</v>
      </c>
      <c r="P84" s="141">
        <v>0</v>
      </c>
      <c r="Q84" s="141">
        <v>0</v>
      </c>
      <c r="R84" s="141">
        <v>0</v>
      </c>
      <c r="S84" s="141">
        <v>0</v>
      </c>
      <c r="T84" s="141">
        <v>0</v>
      </c>
      <c r="U84" s="141">
        <v>0</v>
      </c>
      <c r="V84" s="141">
        <v>0</v>
      </c>
      <c r="W84" s="141">
        <v>0</v>
      </c>
      <c r="X84" s="141">
        <v>0</v>
      </c>
      <c r="Y84" s="141">
        <v>0</v>
      </c>
      <c r="Z84" s="141">
        <v>0</v>
      </c>
      <c r="AA84" s="141">
        <v>0</v>
      </c>
      <c r="AB84" s="141">
        <v>0</v>
      </c>
      <c r="AC84" s="141">
        <v>0</v>
      </c>
      <c r="AD84" s="141">
        <v>0</v>
      </c>
      <c r="AE84" s="141">
        <v>0</v>
      </c>
      <c r="AF84" s="141">
        <v>0</v>
      </c>
      <c r="AG84" s="141">
        <v>0</v>
      </c>
      <c r="AH84" s="141">
        <v>0</v>
      </c>
      <c r="AI84" s="141">
        <v>0</v>
      </c>
      <c r="AJ84" s="141">
        <v>0</v>
      </c>
      <c r="AK84" s="141">
        <v>0</v>
      </c>
      <c r="AL84" s="141">
        <v>0</v>
      </c>
      <c r="AM84" s="141">
        <v>0</v>
      </c>
      <c r="AN84" s="141">
        <v>0</v>
      </c>
      <c r="AO84" s="141">
        <v>0</v>
      </c>
      <c r="AP84" s="141">
        <v>0</v>
      </c>
    </row>
    <row r="85" spans="1:42" s="118" customFormat="1">
      <c r="A85" s="118" t="s">
        <v>442</v>
      </c>
      <c r="B85" s="203">
        <v>0</v>
      </c>
      <c r="C85" s="203">
        <f>C19</f>
        <v>0</v>
      </c>
      <c r="D85" s="203">
        <f t="shared" ref="D85:AP85" si="61">D19</f>
        <v>0</v>
      </c>
      <c r="E85" s="203">
        <f t="shared" si="61"/>
        <v>0</v>
      </c>
      <c r="F85" s="203">
        <f t="shared" si="61"/>
        <v>0</v>
      </c>
      <c r="G85" s="203">
        <f t="shared" si="61"/>
        <v>0</v>
      </c>
      <c r="H85" s="203">
        <f t="shared" si="61"/>
        <v>0</v>
      </c>
      <c r="I85" s="203">
        <f t="shared" si="61"/>
        <v>0</v>
      </c>
      <c r="J85" s="203">
        <f t="shared" si="61"/>
        <v>0</v>
      </c>
      <c r="K85" s="203">
        <f t="shared" si="61"/>
        <v>0</v>
      </c>
      <c r="L85" s="203">
        <f t="shared" si="61"/>
        <v>0</v>
      </c>
      <c r="M85" s="203">
        <f t="shared" si="61"/>
        <v>0</v>
      </c>
      <c r="N85" s="203">
        <f t="shared" si="61"/>
        <v>0</v>
      </c>
      <c r="O85" s="203">
        <f t="shared" si="61"/>
        <v>0</v>
      </c>
      <c r="P85" s="203">
        <f t="shared" si="61"/>
        <v>0</v>
      </c>
      <c r="Q85" s="203">
        <f t="shared" si="61"/>
        <v>0</v>
      </c>
      <c r="R85" s="203">
        <f t="shared" si="61"/>
        <v>0</v>
      </c>
      <c r="S85" s="203">
        <f t="shared" si="61"/>
        <v>0</v>
      </c>
      <c r="T85" s="203">
        <f t="shared" si="61"/>
        <v>0</v>
      </c>
      <c r="U85" s="203">
        <f t="shared" si="61"/>
        <v>0</v>
      </c>
      <c r="V85" s="203">
        <f t="shared" si="61"/>
        <v>0</v>
      </c>
      <c r="W85" s="203">
        <f t="shared" si="61"/>
        <v>0</v>
      </c>
      <c r="X85" s="203">
        <f t="shared" si="61"/>
        <v>0</v>
      </c>
      <c r="Y85" s="203">
        <f t="shared" si="61"/>
        <v>0</v>
      </c>
      <c r="Z85" s="203">
        <f t="shared" si="61"/>
        <v>0</v>
      </c>
      <c r="AA85" s="203">
        <f t="shared" si="61"/>
        <v>0</v>
      </c>
      <c r="AB85" s="203">
        <f t="shared" si="61"/>
        <v>0</v>
      </c>
      <c r="AC85" s="203">
        <f t="shared" si="61"/>
        <v>0</v>
      </c>
      <c r="AD85" s="203">
        <f t="shared" si="61"/>
        <v>0</v>
      </c>
      <c r="AE85" s="203">
        <f t="shared" si="61"/>
        <v>0</v>
      </c>
      <c r="AF85" s="203">
        <f t="shared" si="61"/>
        <v>4022715</v>
      </c>
      <c r="AG85" s="203">
        <f t="shared" si="61"/>
        <v>0</v>
      </c>
      <c r="AH85" s="203">
        <f t="shared" si="61"/>
        <v>0</v>
      </c>
      <c r="AI85" s="203">
        <f t="shared" si="61"/>
        <v>0</v>
      </c>
      <c r="AJ85" s="203">
        <f t="shared" si="61"/>
        <v>0</v>
      </c>
      <c r="AK85" s="203">
        <f t="shared" si="61"/>
        <v>0</v>
      </c>
      <c r="AL85" s="203">
        <f t="shared" si="61"/>
        <v>0</v>
      </c>
      <c r="AM85" s="203">
        <f t="shared" si="61"/>
        <v>0</v>
      </c>
      <c r="AN85" s="203">
        <f t="shared" si="61"/>
        <v>0</v>
      </c>
      <c r="AO85" s="203">
        <f t="shared" si="61"/>
        <v>0</v>
      </c>
      <c r="AP85" s="203">
        <f t="shared" si="61"/>
        <v>0</v>
      </c>
    </row>
    <row r="86" spans="1:42" s="118" customFormat="1">
      <c r="A86" s="118" t="s">
        <v>53</v>
      </c>
      <c r="B86" s="141">
        <f>SUM(B84:B85)</f>
        <v>-42606688.5</v>
      </c>
      <c r="C86" s="141">
        <f t="shared" ref="C86:AP86" si="62">SUM(C84:C85)</f>
        <v>0</v>
      </c>
      <c r="D86" s="141">
        <f t="shared" si="62"/>
        <v>0</v>
      </c>
      <c r="E86" s="141">
        <f t="shared" si="62"/>
        <v>0</v>
      </c>
      <c r="F86" s="141">
        <f t="shared" si="62"/>
        <v>0</v>
      </c>
      <c r="G86" s="141">
        <f t="shared" si="62"/>
        <v>0</v>
      </c>
      <c r="H86" s="141">
        <f t="shared" si="62"/>
        <v>0</v>
      </c>
      <c r="I86" s="141">
        <f t="shared" si="62"/>
        <v>0</v>
      </c>
      <c r="J86" s="141">
        <f t="shared" si="62"/>
        <v>0</v>
      </c>
      <c r="K86" s="141">
        <f t="shared" si="62"/>
        <v>0</v>
      </c>
      <c r="L86" s="141">
        <f t="shared" si="62"/>
        <v>0</v>
      </c>
      <c r="M86" s="141">
        <f t="shared" si="62"/>
        <v>0</v>
      </c>
      <c r="N86" s="141">
        <f t="shared" si="62"/>
        <v>0</v>
      </c>
      <c r="O86" s="141">
        <f t="shared" si="62"/>
        <v>0</v>
      </c>
      <c r="P86" s="141">
        <f t="shared" si="62"/>
        <v>0</v>
      </c>
      <c r="Q86" s="141">
        <f t="shared" si="62"/>
        <v>0</v>
      </c>
      <c r="R86" s="141">
        <f t="shared" si="62"/>
        <v>0</v>
      </c>
      <c r="S86" s="141">
        <f t="shared" si="62"/>
        <v>0</v>
      </c>
      <c r="T86" s="141">
        <f t="shared" si="62"/>
        <v>0</v>
      </c>
      <c r="U86" s="141">
        <f t="shared" si="62"/>
        <v>0</v>
      </c>
      <c r="V86" s="141">
        <f t="shared" si="62"/>
        <v>0</v>
      </c>
      <c r="W86" s="141">
        <f t="shared" si="62"/>
        <v>0</v>
      </c>
      <c r="X86" s="141">
        <f t="shared" si="62"/>
        <v>0</v>
      </c>
      <c r="Y86" s="141">
        <f t="shared" si="62"/>
        <v>0</v>
      </c>
      <c r="Z86" s="141">
        <f t="shared" si="62"/>
        <v>0</v>
      </c>
      <c r="AA86" s="141">
        <f t="shared" si="62"/>
        <v>0</v>
      </c>
      <c r="AB86" s="141">
        <f t="shared" si="62"/>
        <v>0</v>
      </c>
      <c r="AC86" s="141">
        <f t="shared" si="62"/>
        <v>0</v>
      </c>
      <c r="AD86" s="141">
        <f t="shared" si="62"/>
        <v>0</v>
      </c>
      <c r="AE86" s="141">
        <f t="shared" si="62"/>
        <v>0</v>
      </c>
      <c r="AF86" s="141">
        <f t="shared" si="62"/>
        <v>4022715</v>
      </c>
      <c r="AG86" s="141">
        <f t="shared" si="62"/>
        <v>0</v>
      </c>
      <c r="AH86" s="141">
        <f t="shared" si="62"/>
        <v>0</v>
      </c>
      <c r="AI86" s="141">
        <f t="shared" si="62"/>
        <v>0</v>
      </c>
      <c r="AJ86" s="141">
        <f t="shared" si="62"/>
        <v>0</v>
      </c>
      <c r="AK86" s="141">
        <f t="shared" si="62"/>
        <v>0</v>
      </c>
      <c r="AL86" s="141">
        <f t="shared" si="62"/>
        <v>0</v>
      </c>
      <c r="AM86" s="141">
        <f t="shared" si="62"/>
        <v>0</v>
      </c>
      <c r="AN86" s="141">
        <f t="shared" si="62"/>
        <v>0</v>
      </c>
      <c r="AO86" s="141">
        <f t="shared" si="62"/>
        <v>0</v>
      </c>
      <c r="AP86" s="141">
        <f t="shared" si="62"/>
        <v>0</v>
      </c>
    </row>
    <row r="87" spans="1:42" s="118" customFormat="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c r="AE87" s="141"/>
      <c r="AF87" s="141"/>
      <c r="AG87" s="141"/>
      <c r="AH87" s="141"/>
      <c r="AI87" s="141"/>
      <c r="AJ87" s="141"/>
      <c r="AK87" s="141"/>
      <c r="AL87" s="141"/>
      <c r="AM87" s="141"/>
      <c r="AN87" s="141"/>
      <c r="AO87" s="141"/>
      <c r="AP87" s="141"/>
    </row>
    <row r="88" spans="1:42" s="118" customFormat="1">
      <c r="A88" s="274" t="s">
        <v>186</v>
      </c>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141"/>
      <c r="AK88" s="141"/>
      <c r="AL88" s="141"/>
      <c r="AM88" s="141"/>
      <c r="AN88" s="141"/>
      <c r="AO88" s="141"/>
      <c r="AP88" s="141"/>
    </row>
    <row r="89" spans="1:42" s="118" customFormat="1">
      <c r="A89" s="118" t="s">
        <v>375</v>
      </c>
      <c r="B89" s="141">
        <f>'Inputs &amp; Results'!D182-'Inputs &amp; Results'!D166-'Inputs &amp; Results'!D167-'Inputs &amp; Results'!D168</f>
        <v>28815458.75</v>
      </c>
      <c r="C89" s="141">
        <v>0</v>
      </c>
      <c r="D89" s="141">
        <v>0</v>
      </c>
      <c r="E89" s="141">
        <v>0</v>
      </c>
      <c r="F89" s="141">
        <v>0</v>
      </c>
      <c r="G89" s="141">
        <v>0</v>
      </c>
      <c r="H89" s="141">
        <v>0</v>
      </c>
      <c r="I89" s="141">
        <v>0</v>
      </c>
      <c r="J89" s="141">
        <v>0</v>
      </c>
      <c r="K89" s="141">
        <v>0</v>
      </c>
      <c r="L89" s="141">
        <v>0</v>
      </c>
      <c r="M89" s="141">
        <v>0</v>
      </c>
      <c r="N89" s="141">
        <v>0</v>
      </c>
      <c r="O89" s="141">
        <v>0</v>
      </c>
      <c r="P89" s="141">
        <v>0</v>
      </c>
      <c r="Q89" s="141">
        <v>0</v>
      </c>
      <c r="R89" s="141">
        <v>0</v>
      </c>
      <c r="S89" s="141">
        <v>0</v>
      </c>
      <c r="T89" s="141">
        <v>0</v>
      </c>
      <c r="U89" s="141">
        <v>0</v>
      </c>
      <c r="V89" s="141">
        <v>0</v>
      </c>
      <c r="W89" s="141">
        <v>0</v>
      </c>
      <c r="X89" s="141">
        <v>0</v>
      </c>
      <c r="Y89" s="141">
        <v>0</v>
      </c>
      <c r="Z89" s="141">
        <v>0</v>
      </c>
      <c r="AA89" s="141">
        <v>0</v>
      </c>
      <c r="AB89" s="141">
        <v>0</v>
      </c>
      <c r="AC89" s="141">
        <v>0</v>
      </c>
      <c r="AD89" s="141">
        <v>0</v>
      </c>
      <c r="AE89" s="141">
        <v>0</v>
      </c>
      <c r="AF89" s="141">
        <v>0</v>
      </c>
      <c r="AG89" s="141">
        <v>0</v>
      </c>
      <c r="AH89" s="141">
        <v>0</v>
      </c>
      <c r="AI89" s="141">
        <v>0</v>
      </c>
      <c r="AJ89" s="141">
        <v>0</v>
      </c>
      <c r="AK89" s="141">
        <v>0</v>
      </c>
      <c r="AL89" s="141">
        <v>0</v>
      </c>
      <c r="AM89" s="141">
        <v>0</v>
      </c>
      <c r="AN89" s="141">
        <v>0</v>
      </c>
      <c r="AO89" s="141">
        <v>0</v>
      </c>
      <c r="AP89" s="141">
        <v>0</v>
      </c>
    </row>
    <row r="90" spans="1:42" s="118" customFormat="1">
      <c r="A90" s="267" t="s">
        <v>204</v>
      </c>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198"/>
      <c r="AK90" s="198"/>
      <c r="AL90" s="198"/>
      <c r="AM90" s="198"/>
      <c r="AN90" s="198"/>
      <c r="AO90" s="198"/>
      <c r="AP90" s="198"/>
    </row>
    <row r="91" spans="1:42">
      <c r="A91" s="184" t="s">
        <v>205</v>
      </c>
      <c r="B91" s="152">
        <f>'Inputs &amp; Results'!D166+'Inputs &amp; Results'!D167</f>
        <v>6641229.75</v>
      </c>
      <c r="C91" s="152">
        <v>0</v>
      </c>
      <c r="D91" s="152">
        <v>0</v>
      </c>
      <c r="E91" s="152">
        <v>0</v>
      </c>
      <c r="F91" s="152">
        <v>0</v>
      </c>
      <c r="G91" s="152">
        <v>0</v>
      </c>
      <c r="H91" s="152">
        <v>0</v>
      </c>
      <c r="I91" s="152">
        <v>0</v>
      </c>
      <c r="J91" s="152">
        <v>0</v>
      </c>
      <c r="K91" s="152">
        <v>0</v>
      </c>
      <c r="L91" s="152">
        <v>0</v>
      </c>
      <c r="M91" s="152">
        <v>0</v>
      </c>
      <c r="N91" s="152">
        <v>0</v>
      </c>
      <c r="O91" s="152">
        <v>0</v>
      </c>
      <c r="P91" s="152">
        <v>0</v>
      </c>
      <c r="Q91" s="152">
        <v>0</v>
      </c>
      <c r="R91" s="152">
        <v>0</v>
      </c>
      <c r="S91" s="152">
        <v>0</v>
      </c>
      <c r="T91" s="152">
        <v>0</v>
      </c>
      <c r="U91" s="152">
        <v>0</v>
      </c>
      <c r="V91" s="152">
        <v>0</v>
      </c>
      <c r="W91" s="152">
        <v>0</v>
      </c>
      <c r="X91" s="152">
        <v>0</v>
      </c>
      <c r="Y91" s="152">
        <v>0</v>
      </c>
      <c r="Z91" s="152">
        <v>0</v>
      </c>
      <c r="AA91" s="152">
        <v>0</v>
      </c>
      <c r="AB91" s="152">
        <v>0</v>
      </c>
      <c r="AC91" s="152">
        <v>0</v>
      </c>
      <c r="AD91" s="152">
        <v>0</v>
      </c>
      <c r="AE91" s="152">
        <v>0</v>
      </c>
      <c r="AF91" s="152">
        <v>0</v>
      </c>
      <c r="AG91" s="152">
        <v>0</v>
      </c>
      <c r="AH91" s="152">
        <v>0</v>
      </c>
      <c r="AI91" s="152">
        <v>0</v>
      </c>
      <c r="AJ91" s="152">
        <v>0</v>
      </c>
      <c r="AK91" s="152">
        <v>0</v>
      </c>
      <c r="AL91" s="152">
        <v>0</v>
      </c>
      <c r="AM91" s="152">
        <v>0</v>
      </c>
      <c r="AN91" s="152">
        <v>0</v>
      </c>
      <c r="AO91" s="152">
        <v>0</v>
      </c>
      <c r="AP91" s="152">
        <v>0</v>
      </c>
    </row>
    <row r="92" spans="1:42">
      <c r="A92" s="184" t="s">
        <v>180</v>
      </c>
      <c r="B92" s="187">
        <f>'Inputs &amp; Results'!D168</f>
        <v>7150000</v>
      </c>
      <c r="C92" s="187">
        <v>0</v>
      </c>
      <c r="D92" s="187">
        <v>0</v>
      </c>
      <c r="E92" s="187">
        <v>0</v>
      </c>
      <c r="F92" s="187">
        <v>0</v>
      </c>
      <c r="G92" s="187">
        <v>0</v>
      </c>
      <c r="H92" s="187">
        <v>0</v>
      </c>
      <c r="I92" s="187">
        <v>0</v>
      </c>
      <c r="J92" s="187">
        <v>0</v>
      </c>
      <c r="K92" s="187">
        <v>0</v>
      </c>
      <c r="L92" s="187">
        <v>0</v>
      </c>
      <c r="M92" s="187">
        <v>0</v>
      </c>
      <c r="N92" s="187">
        <v>0</v>
      </c>
      <c r="O92" s="187">
        <v>0</v>
      </c>
      <c r="P92" s="187">
        <v>0</v>
      </c>
      <c r="Q92" s="187">
        <v>0</v>
      </c>
      <c r="R92" s="187">
        <v>0</v>
      </c>
      <c r="S92" s="187">
        <v>0</v>
      </c>
      <c r="T92" s="187">
        <v>0</v>
      </c>
      <c r="U92" s="187">
        <v>0</v>
      </c>
      <c r="V92" s="187">
        <v>0</v>
      </c>
      <c r="W92" s="187">
        <v>0</v>
      </c>
      <c r="X92" s="187">
        <v>0</v>
      </c>
      <c r="Y92" s="187">
        <v>0</v>
      </c>
      <c r="Z92" s="187">
        <v>0</v>
      </c>
      <c r="AA92" s="187">
        <v>0</v>
      </c>
      <c r="AB92" s="187">
        <v>0</v>
      </c>
      <c r="AC92" s="187">
        <v>0</v>
      </c>
      <c r="AD92" s="187">
        <v>0</v>
      </c>
      <c r="AE92" s="187">
        <v>0</v>
      </c>
      <c r="AF92" s="187">
        <v>0</v>
      </c>
      <c r="AG92" s="187">
        <v>0</v>
      </c>
      <c r="AH92" s="187">
        <v>0</v>
      </c>
      <c r="AI92" s="187">
        <v>0</v>
      </c>
      <c r="AJ92" s="187">
        <v>0</v>
      </c>
      <c r="AK92" s="187">
        <v>0</v>
      </c>
      <c r="AL92" s="187">
        <v>0</v>
      </c>
      <c r="AM92" s="187">
        <v>0</v>
      </c>
      <c r="AN92" s="187">
        <v>0</v>
      </c>
      <c r="AO92" s="187">
        <v>0</v>
      </c>
      <c r="AP92" s="187">
        <v>0</v>
      </c>
    </row>
    <row r="93" spans="1:42">
      <c r="A93" s="184" t="s">
        <v>53</v>
      </c>
      <c r="B93" s="251">
        <f>SUM(B91:B92)</f>
        <v>13791229.75</v>
      </c>
      <c r="C93" s="251">
        <f t="shared" ref="C93:AP93" si="63">SUM(C91:C92)</f>
        <v>0</v>
      </c>
      <c r="D93" s="251">
        <f t="shared" si="63"/>
        <v>0</v>
      </c>
      <c r="E93" s="251">
        <f t="shared" si="63"/>
        <v>0</v>
      </c>
      <c r="F93" s="251">
        <f t="shared" si="63"/>
        <v>0</v>
      </c>
      <c r="G93" s="251">
        <f t="shared" si="63"/>
        <v>0</v>
      </c>
      <c r="H93" s="251">
        <f t="shared" si="63"/>
        <v>0</v>
      </c>
      <c r="I93" s="251">
        <f t="shared" si="63"/>
        <v>0</v>
      </c>
      <c r="J93" s="251">
        <f t="shared" si="63"/>
        <v>0</v>
      </c>
      <c r="K93" s="251">
        <f t="shared" si="63"/>
        <v>0</v>
      </c>
      <c r="L93" s="251">
        <f t="shared" si="63"/>
        <v>0</v>
      </c>
      <c r="M93" s="251">
        <f t="shared" si="63"/>
        <v>0</v>
      </c>
      <c r="N93" s="251">
        <f t="shared" si="63"/>
        <v>0</v>
      </c>
      <c r="O93" s="251">
        <f t="shared" si="63"/>
        <v>0</v>
      </c>
      <c r="P93" s="251">
        <f t="shared" si="63"/>
        <v>0</v>
      </c>
      <c r="Q93" s="251">
        <f t="shared" si="63"/>
        <v>0</v>
      </c>
      <c r="R93" s="251">
        <f t="shared" si="63"/>
        <v>0</v>
      </c>
      <c r="S93" s="251">
        <f t="shared" si="63"/>
        <v>0</v>
      </c>
      <c r="T93" s="251">
        <f t="shared" si="63"/>
        <v>0</v>
      </c>
      <c r="U93" s="251">
        <f t="shared" si="63"/>
        <v>0</v>
      </c>
      <c r="V93" s="251">
        <f t="shared" si="63"/>
        <v>0</v>
      </c>
      <c r="W93" s="251">
        <f t="shared" si="63"/>
        <v>0</v>
      </c>
      <c r="X93" s="251">
        <f t="shared" si="63"/>
        <v>0</v>
      </c>
      <c r="Y93" s="251">
        <f t="shared" si="63"/>
        <v>0</v>
      </c>
      <c r="Z93" s="251">
        <f t="shared" si="63"/>
        <v>0</v>
      </c>
      <c r="AA93" s="251">
        <f t="shared" si="63"/>
        <v>0</v>
      </c>
      <c r="AB93" s="251">
        <f t="shared" si="63"/>
        <v>0</v>
      </c>
      <c r="AC93" s="251">
        <f t="shared" si="63"/>
        <v>0</v>
      </c>
      <c r="AD93" s="251">
        <f t="shared" si="63"/>
        <v>0</v>
      </c>
      <c r="AE93" s="251">
        <f t="shared" si="63"/>
        <v>0</v>
      </c>
      <c r="AF93" s="251">
        <f t="shared" si="63"/>
        <v>0</v>
      </c>
      <c r="AG93" s="251">
        <f t="shared" si="63"/>
        <v>0</v>
      </c>
      <c r="AH93" s="251">
        <f t="shared" si="63"/>
        <v>0</v>
      </c>
      <c r="AI93" s="251">
        <f t="shared" si="63"/>
        <v>0</v>
      </c>
      <c r="AJ93" s="251">
        <f t="shared" si="63"/>
        <v>0</v>
      </c>
      <c r="AK93" s="251">
        <f t="shared" si="63"/>
        <v>0</v>
      </c>
      <c r="AL93" s="251">
        <f t="shared" si="63"/>
        <v>0</v>
      </c>
      <c r="AM93" s="251">
        <f t="shared" si="63"/>
        <v>0</v>
      </c>
      <c r="AN93" s="251">
        <f t="shared" si="63"/>
        <v>0</v>
      </c>
      <c r="AO93" s="251">
        <f t="shared" si="63"/>
        <v>0</v>
      </c>
      <c r="AP93" s="251">
        <f t="shared" si="63"/>
        <v>0</v>
      </c>
    </row>
    <row r="94" spans="1:42">
      <c r="A94" s="37" t="s">
        <v>53</v>
      </c>
      <c r="B94" s="186">
        <f>B89+B93</f>
        <v>42606688.5</v>
      </c>
      <c r="C94" s="186">
        <f t="shared" ref="C94:AP94" si="64">C89+C93</f>
        <v>0</v>
      </c>
      <c r="D94" s="186">
        <f t="shared" si="64"/>
        <v>0</v>
      </c>
      <c r="E94" s="186">
        <f t="shared" si="64"/>
        <v>0</v>
      </c>
      <c r="F94" s="186">
        <f t="shared" si="64"/>
        <v>0</v>
      </c>
      <c r="G94" s="186">
        <f t="shared" si="64"/>
        <v>0</v>
      </c>
      <c r="H94" s="186">
        <f t="shared" si="64"/>
        <v>0</v>
      </c>
      <c r="I94" s="186">
        <f t="shared" si="64"/>
        <v>0</v>
      </c>
      <c r="J94" s="186">
        <f t="shared" si="64"/>
        <v>0</v>
      </c>
      <c r="K94" s="186">
        <f t="shared" si="64"/>
        <v>0</v>
      </c>
      <c r="L94" s="186">
        <f t="shared" si="64"/>
        <v>0</v>
      </c>
      <c r="M94" s="186">
        <f t="shared" si="64"/>
        <v>0</v>
      </c>
      <c r="N94" s="186">
        <f t="shared" si="64"/>
        <v>0</v>
      </c>
      <c r="O94" s="186">
        <f t="shared" si="64"/>
        <v>0</v>
      </c>
      <c r="P94" s="186">
        <f t="shared" si="64"/>
        <v>0</v>
      </c>
      <c r="Q94" s="186">
        <f t="shared" si="64"/>
        <v>0</v>
      </c>
      <c r="R94" s="186">
        <f t="shared" si="64"/>
        <v>0</v>
      </c>
      <c r="S94" s="186">
        <f t="shared" si="64"/>
        <v>0</v>
      </c>
      <c r="T94" s="186">
        <f t="shared" si="64"/>
        <v>0</v>
      </c>
      <c r="U94" s="186">
        <f t="shared" si="64"/>
        <v>0</v>
      </c>
      <c r="V94" s="186">
        <f t="shared" si="64"/>
        <v>0</v>
      </c>
      <c r="W94" s="186">
        <f t="shared" si="64"/>
        <v>0</v>
      </c>
      <c r="X94" s="186">
        <f t="shared" si="64"/>
        <v>0</v>
      </c>
      <c r="Y94" s="186">
        <f t="shared" si="64"/>
        <v>0</v>
      </c>
      <c r="Z94" s="186">
        <f t="shared" si="64"/>
        <v>0</v>
      </c>
      <c r="AA94" s="186">
        <f t="shared" si="64"/>
        <v>0</v>
      </c>
      <c r="AB94" s="186">
        <f t="shared" si="64"/>
        <v>0</v>
      </c>
      <c r="AC94" s="186">
        <f t="shared" si="64"/>
        <v>0</v>
      </c>
      <c r="AD94" s="186">
        <f t="shared" si="64"/>
        <v>0</v>
      </c>
      <c r="AE94" s="186">
        <f t="shared" si="64"/>
        <v>0</v>
      </c>
      <c r="AF94" s="186">
        <f t="shared" si="64"/>
        <v>0</v>
      </c>
      <c r="AG94" s="186">
        <f t="shared" si="64"/>
        <v>0</v>
      </c>
      <c r="AH94" s="186">
        <f t="shared" si="64"/>
        <v>0</v>
      </c>
      <c r="AI94" s="186">
        <f t="shared" si="64"/>
        <v>0</v>
      </c>
      <c r="AJ94" s="186">
        <f t="shared" si="64"/>
        <v>0</v>
      </c>
      <c r="AK94" s="186">
        <f t="shared" si="64"/>
        <v>0</v>
      </c>
      <c r="AL94" s="186">
        <f t="shared" si="64"/>
        <v>0</v>
      </c>
      <c r="AM94" s="186">
        <f t="shared" si="64"/>
        <v>0</v>
      </c>
      <c r="AN94" s="186">
        <f t="shared" si="64"/>
        <v>0</v>
      </c>
      <c r="AO94" s="186">
        <f t="shared" si="64"/>
        <v>0</v>
      </c>
      <c r="AP94" s="186">
        <f t="shared" si="64"/>
        <v>0</v>
      </c>
    </row>
    <row r="95" spans="1:42" ht="13.5" thickBot="1">
      <c r="A95" s="182" t="s">
        <v>188</v>
      </c>
      <c r="B95" s="193">
        <f>B81+B86+B94</f>
        <v>0</v>
      </c>
      <c r="C95" s="193">
        <f t="shared" ref="C95:AP95" si="65">C81+C86+C94</f>
        <v>4890302.1295758607</v>
      </c>
      <c r="D95" s="193">
        <f t="shared" si="65"/>
        <v>4933327.5188328158</v>
      </c>
      <c r="E95" s="193">
        <f t="shared" si="65"/>
        <v>4976189.6015447509</v>
      </c>
      <c r="F95" s="193">
        <f t="shared" si="65"/>
        <v>5015511.0702105928</v>
      </c>
      <c r="G95" s="193">
        <f t="shared" si="65"/>
        <v>5058056.5190571873</v>
      </c>
      <c r="H95" s="193">
        <f t="shared" si="65"/>
        <v>5100420.9247209392</v>
      </c>
      <c r="I95" s="193">
        <f t="shared" si="65"/>
        <v>5139072.5724151758</v>
      </c>
      <c r="J95" s="193">
        <f t="shared" si="65"/>
        <v>5181084.912123342</v>
      </c>
      <c r="K95" s="193">
        <f t="shared" si="65"/>
        <v>5222897.2420313396</v>
      </c>
      <c r="L95" s="193">
        <f t="shared" si="65"/>
        <v>5260816.3791882154</v>
      </c>
      <c r="M95" s="193">
        <f t="shared" si="65"/>
        <v>5302238.7293956364</v>
      </c>
      <c r="N95" s="193">
        <f t="shared" si="65"/>
        <v>5343440.7931166962</v>
      </c>
      <c r="O95" s="193">
        <f t="shared" si="65"/>
        <v>5281019.390732849</v>
      </c>
      <c r="P95" s="193">
        <f t="shared" si="65"/>
        <v>5322631.0195524516</v>
      </c>
      <c r="Q95" s="193">
        <f t="shared" si="65"/>
        <v>5364000.6898545725</v>
      </c>
      <c r="R95" s="193">
        <f t="shared" si="65"/>
        <v>5190569.5723522557</v>
      </c>
      <c r="S95" s="193">
        <f t="shared" si="65"/>
        <v>5233263.3071025787</v>
      </c>
      <c r="T95" s="193">
        <f t="shared" si="65"/>
        <v>5275691.9251586702</v>
      </c>
      <c r="U95" s="193">
        <f t="shared" si="65"/>
        <v>5313632.168904366</v>
      </c>
      <c r="V95" s="193">
        <f t="shared" si="65"/>
        <v>5355540.495705178</v>
      </c>
      <c r="W95" s="193">
        <f t="shared" si="65"/>
        <v>5397158.9648041232</v>
      </c>
      <c r="X95" s="193">
        <f t="shared" si="65"/>
        <v>5419740.3031346705</v>
      </c>
      <c r="Y95" s="193">
        <f t="shared" si="65"/>
        <v>5446457.9822864523</v>
      </c>
      <c r="Z95" s="193">
        <f t="shared" si="65"/>
        <v>5472859.3769442905</v>
      </c>
      <c r="AA95" s="193">
        <f t="shared" si="65"/>
        <v>5726121.6188261108</v>
      </c>
      <c r="AB95" s="193">
        <f t="shared" si="65"/>
        <v>5746765.4527849043</v>
      </c>
      <c r="AC95" s="193">
        <f t="shared" si="65"/>
        <v>5767064.7800426027</v>
      </c>
      <c r="AD95" s="193">
        <f t="shared" si="65"/>
        <v>5782190.1666202499</v>
      </c>
      <c r="AE95" s="193">
        <f t="shared" si="65"/>
        <v>5801810.0259299027</v>
      </c>
      <c r="AF95" s="193">
        <f t="shared" si="65"/>
        <v>9843770.2441727538</v>
      </c>
      <c r="AG95" s="193">
        <f t="shared" si="65"/>
        <v>0</v>
      </c>
      <c r="AH95" s="193">
        <f t="shared" si="65"/>
        <v>0</v>
      </c>
      <c r="AI95" s="193">
        <f t="shared" si="65"/>
        <v>0</v>
      </c>
      <c r="AJ95" s="193">
        <f t="shared" si="65"/>
        <v>0</v>
      </c>
      <c r="AK95" s="193">
        <f t="shared" si="65"/>
        <v>0</v>
      </c>
      <c r="AL95" s="193">
        <f t="shared" si="65"/>
        <v>0</v>
      </c>
      <c r="AM95" s="193">
        <f t="shared" si="65"/>
        <v>0</v>
      </c>
      <c r="AN95" s="193">
        <f t="shared" si="65"/>
        <v>0</v>
      </c>
      <c r="AO95" s="193">
        <f t="shared" si="65"/>
        <v>0</v>
      </c>
      <c r="AP95" s="193">
        <f t="shared" si="65"/>
        <v>0</v>
      </c>
    </row>
    <row r="96" spans="1:42" ht="13.5" thickTop="1">
      <c r="A96" s="182"/>
      <c r="B96" s="186"/>
      <c r="C96" s="186"/>
      <c r="D96" s="186"/>
      <c r="E96" s="186"/>
      <c r="F96" s="186"/>
      <c r="G96" s="186"/>
      <c r="H96" s="186"/>
      <c r="I96" s="186"/>
      <c r="J96" s="186"/>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row>
    <row r="97" spans="1:42">
      <c r="A97" s="179" t="s">
        <v>246</v>
      </c>
      <c r="B97" s="152"/>
      <c r="C97" s="152"/>
      <c r="D97" s="152"/>
      <c r="E97" s="152"/>
      <c r="F97" s="152"/>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row>
    <row r="98" spans="1:42" s="118" customFormat="1">
      <c r="A98" s="277" t="s">
        <v>213</v>
      </c>
      <c r="B98" s="278"/>
      <c r="C98" s="278"/>
      <c r="D98" s="278"/>
      <c r="E98" s="278"/>
      <c r="F98" s="278"/>
      <c r="G98" s="279"/>
      <c r="H98" s="279"/>
      <c r="I98" s="279"/>
      <c r="J98" s="279"/>
      <c r="K98" s="279"/>
      <c r="L98" s="279"/>
      <c r="M98" s="279"/>
      <c r="N98" s="279"/>
      <c r="O98" s="279"/>
      <c r="P98" s="279"/>
      <c r="Q98" s="279"/>
      <c r="R98" s="279"/>
      <c r="S98" s="279"/>
      <c r="T98" s="279"/>
      <c r="U98" s="279"/>
      <c r="V98" s="279"/>
      <c r="W98" s="279"/>
      <c r="X98" s="279"/>
      <c r="Y98" s="279"/>
      <c r="Z98" s="279"/>
      <c r="AA98" s="279"/>
      <c r="AB98" s="279"/>
      <c r="AC98" s="279"/>
      <c r="AD98" s="279"/>
      <c r="AE98" s="279"/>
      <c r="AF98" s="279"/>
      <c r="AG98" s="279"/>
      <c r="AH98" s="279"/>
      <c r="AI98" s="279"/>
      <c r="AJ98" s="279"/>
      <c r="AK98" s="279"/>
      <c r="AL98" s="279"/>
      <c r="AM98" s="279"/>
      <c r="AN98" s="279"/>
      <c r="AO98" s="279"/>
      <c r="AP98" s="279"/>
    </row>
    <row r="99" spans="1:42" s="118" customFormat="1">
      <c r="A99" s="280" t="s">
        <v>214</v>
      </c>
      <c r="B99" s="279">
        <v>0</v>
      </c>
      <c r="C99" s="279">
        <v>0</v>
      </c>
      <c r="D99" s="279">
        <v>0</v>
      </c>
      <c r="E99" s="279">
        <v>0</v>
      </c>
      <c r="F99" s="279">
        <v>0</v>
      </c>
      <c r="G99" s="279">
        <v>0</v>
      </c>
      <c r="H99" s="279">
        <v>0</v>
      </c>
      <c r="I99" s="279">
        <v>0</v>
      </c>
      <c r="J99" s="279">
        <v>0</v>
      </c>
      <c r="K99" s="279">
        <v>0</v>
      </c>
      <c r="L99" s="279">
        <v>0</v>
      </c>
      <c r="M99" s="279">
        <v>0</v>
      </c>
      <c r="N99" s="279">
        <v>0</v>
      </c>
      <c r="O99" s="279">
        <v>0</v>
      </c>
      <c r="P99" s="279">
        <v>0</v>
      </c>
      <c r="Q99" s="279">
        <v>0</v>
      </c>
      <c r="R99" s="279">
        <v>0</v>
      </c>
      <c r="S99" s="279">
        <v>0</v>
      </c>
      <c r="T99" s="279">
        <v>0</v>
      </c>
      <c r="U99" s="279">
        <v>0</v>
      </c>
      <c r="V99" s="279">
        <v>0</v>
      </c>
      <c r="W99" s="279">
        <v>0</v>
      </c>
      <c r="X99" s="279">
        <v>0</v>
      </c>
      <c r="Y99" s="279">
        <v>0</v>
      </c>
      <c r="Z99" s="279">
        <v>0</v>
      </c>
      <c r="AA99" s="279">
        <v>0</v>
      </c>
      <c r="AB99" s="279">
        <v>0</v>
      </c>
      <c r="AC99" s="279">
        <v>0</v>
      </c>
      <c r="AD99" s="279">
        <v>0</v>
      </c>
      <c r="AE99" s="279">
        <v>0</v>
      </c>
      <c r="AF99" s="279">
        <v>0</v>
      </c>
      <c r="AG99" s="279">
        <v>0</v>
      </c>
      <c r="AH99" s="279">
        <v>0</v>
      </c>
      <c r="AI99" s="279">
        <v>0</v>
      </c>
      <c r="AJ99" s="279">
        <v>0</v>
      </c>
      <c r="AK99" s="279">
        <v>0</v>
      </c>
      <c r="AL99" s="279">
        <v>0</v>
      </c>
      <c r="AM99" s="279">
        <v>0</v>
      </c>
      <c r="AN99" s="279">
        <v>0</v>
      </c>
      <c r="AO99" s="279">
        <v>0</v>
      </c>
      <c r="AP99" s="279">
        <v>0</v>
      </c>
    </row>
    <row r="100" spans="1:42" s="118" customFormat="1">
      <c r="A100" s="280" t="s">
        <v>215</v>
      </c>
      <c r="B100" s="210">
        <v>0</v>
      </c>
      <c r="C100" s="210">
        <v>0</v>
      </c>
      <c r="D100" s="210">
        <v>0</v>
      </c>
      <c r="E100" s="210">
        <v>0</v>
      </c>
      <c r="F100" s="210">
        <v>0</v>
      </c>
      <c r="G100" s="210">
        <v>0</v>
      </c>
      <c r="H100" s="210">
        <v>0</v>
      </c>
      <c r="I100" s="210">
        <v>0</v>
      </c>
      <c r="J100" s="210">
        <v>0</v>
      </c>
      <c r="K100" s="210">
        <v>0</v>
      </c>
      <c r="L100" s="210">
        <v>0</v>
      </c>
      <c r="M100" s="210">
        <v>0</v>
      </c>
      <c r="N100" s="210">
        <v>0</v>
      </c>
      <c r="O100" s="210">
        <v>0</v>
      </c>
      <c r="P100" s="210">
        <v>0</v>
      </c>
      <c r="Q100" s="210">
        <v>0</v>
      </c>
      <c r="R100" s="210">
        <v>0</v>
      </c>
      <c r="S100" s="210">
        <v>0</v>
      </c>
      <c r="T100" s="210">
        <v>0</v>
      </c>
      <c r="U100" s="210">
        <v>0</v>
      </c>
      <c r="V100" s="210">
        <v>0</v>
      </c>
      <c r="W100" s="210">
        <v>0</v>
      </c>
      <c r="X100" s="210">
        <v>0</v>
      </c>
      <c r="Y100" s="210">
        <v>0</v>
      </c>
      <c r="Z100" s="210">
        <v>0</v>
      </c>
      <c r="AA100" s="210">
        <v>0</v>
      </c>
      <c r="AB100" s="210">
        <v>0</v>
      </c>
      <c r="AC100" s="210">
        <v>0</v>
      </c>
      <c r="AD100" s="210">
        <v>0</v>
      </c>
      <c r="AE100" s="210">
        <v>0</v>
      </c>
      <c r="AF100" s="210">
        <v>0</v>
      </c>
      <c r="AG100" s="210">
        <v>0</v>
      </c>
      <c r="AH100" s="210">
        <v>0</v>
      </c>
      <c r="AI100" s="210">
        <v>0</v>
      </c>
      <c r="AJ100" s="210">
        <v>0</v>
      </c>
      <c r="AK100" s="210">
        <v>0</v>
      </c>
      <c r="AL100" s="210">
        <v>0</v>
      </c>
      <c r="AM100" s="210">
        <v>0</v>
      </c>
      <c r="AN100" s="210">
        <v>0</v>
      </c>
      <c r="AO100" s="210">
        <v>0</v>
      </c>
      <c r="AP100" s="210">
        <v>0</v>
      </c>
    </row>
    <row r="101" spans="1:42" s="118" customFormat="1">
      <c r="A101" s="280" t="s">
        <v>53</v>
      </c>
      <c r="B101" s="278">
        <f>SUM(B99:B100)</f>
        <v>0</v>
      </c>
      <c r="C101" s="278">
        <f t="shared" ref="C101:AP101" si="66">SUM(C99:C100)</f>
        <v>0</v>
      </c>
      <c r="D101" s="278">
        <f t="shared" si="66"/>
        <v>0</v>
      </c>
      <c r="E101" s="278">
        <f t="shared" si="66"/>
        <v>0</v>
      </c>
      <c r="F101" s="278">
        <f t="shared" si="66"/>
        <v>0</v>
      </c>
      <c r="G101" s="278">
        <f t="shared" si="66"/>
        <v>0</v>
      </c>
      <c r="H101" s="278">
        <f t="shared" si="66"/>
        <v>0</v>
      </c>
      <c r="I101" s="278">
        <f t="shared" si="66"/>
        <v>0</v>
      </c>
      <c r="J101" s="278">
        <f t="shared" si="66"/>
        <v>0</v>
      </c>
      <c r="K101" s="278">
        <f t="shared" si="66"/>
        <v>0</v>
      </c>
      <c r="L101" s="278">
        <f t="shared" si="66"/>
        <v>0</v>
      </c>
      <c r="M101" s="278">
        <f t="shared" si="66"/>
        <v>0</v>
      </c>
      <c r="N101" s="278">
        <f t="shared" si="66"/>
        <v>0</v>
      </c>
      <c r="O101" s="278">
        <f t="shared" si="66"/>
        <v>0</v>
      </c>
      <c r="P101" s="278">
        <f t="shared" si="66"/>
        <v>0</v>
      </c>
      <c r="Q101" s="278">
        <f t="shared" si="66"/>
        <v>0</v>
      </c>
      <c r="R101" s="278">
        <f t="shared" si="66"/>
        <v>0</v>
      </c>
      <c r="S101" s="278">
        <f t="shared" si="66"/>
        <v>0</v>
      </c>
      <c r="T101" s="278">
        <f t="shared" si="66"/>
        <v>0</v>
      </c>
      <c r="U101" s="278">
        <f t="shared" si="66"/>
        <v>0</v>
      </c>
      <c r="V101" s="278">
        <f t="shared" si="66"/>
        <v>0</v>
      </c>
      <c r="W101" s="278">
        <f t="shared" si="66"/>
        <v>0</v>
      </c>
      <c r="X101" s="278">
        <f t="shared" si="66"/>
        <v>0</v>
      </c>
      <c r="Y101" s="278">
        <f t="shared" si="66"/>
        <v>0</v>
      </c>
      <c r="Z101" s="278">
        <f t="shared" si="66"/>
        <v>0</v>
      </c>
      <c r="AA101" s="278">
        <f t="shared" si="66"/>
        <v>0</v>
      </c>
      <c r="AB101" s="278">
        <f t="shared" si="66"/>
        <v>0</v>
      </c>
      <c r="AC101" s="278">
        <f t="shared" si="66"/>
        <v>0</v>
      </c>
      <c r="AD101" s="278">
        <f t="shared" si="66"/>
        <v>0</v>
      </c>
      <c r="AE101" s="278">
        <f t="shared" si="66"/>
        <v>0</v>
      </c>
      <c r="AF101" s="278">
        <f t="shared" si="66"/>
        <v>0</v>
      </c>
      <c r="AG101" s="278">
        <f t="shared" si="66"/>
        <v>0</v>
      </c>
      <c r="AH101" s="278">
        <f t="shared" si="66"/>
        <v>0</v>
      </c>
      <c r="AI101" s="278">
        <f t="shared" si="66"/>
        <v>0</v>
      </c>
      <c r="AJ101" s="278">
        <f t="shared" si="66"/>
        <v>0</v>
      </c>
      <c r="AK101" s="278">
        <f t="shared" si="66"/>
        <v>0</v>
      </c>
      <c r="AL101" s="278">
        <f t="shared" si="66"/>
        <v>0</v>
      </c>
      <c r="AM101" s="278">
        <f t="shared" si="66"/>
        <v>0</v>
      </c>
      <c r="AN101" s="278">
        <f t="shared" si="66"/>
        <v>0</v>
      </c>
      <c r="AO101" s="278">
        <f t="shared" si="66"/>
        <v>0</v>
      </c>
      <c r="AP101" s="278">
        <f t="shared" si="66"/>
        <v>0</v>
      </c>
    </row>
    <row r="102" spans="1:42" s="118" customFormat="1">
      <c r="A102" s="280"/>
      <c r="B102" s="278"/>
      <c r="C102" s="278"/>
      <c r="D102" s="278"/>
      <c r="E102" s="278"/>
      <c r="F102" s="278"/>
      <c r="G102" s="278"/>
      <c r="H102" s="278"/>
      <c r="I102" s="278"/>
      <c r="J102" s="278"/>
      <c r="K102" s="278"/>
      <c r="L102" s="278"/>
      <c r="M102" s="278"/>
      <c r="N102" s="278"/>
      <c r="O102" s="278"/>
      <c r="P102" s="278"/>
      <c r="Q102" s="278"/>
      <c r="R102" s="278"/>
      <c r="S102" s="278"/>
      <c r="T102" s="278"/>
      <c r="U102" s="278"/>
      <c r="V102" s="278"/>
      <c r="W102" s="278"/>
      <c r="X102" s="278"/>
      <c r="Y102" s="278"/>
      <c r="Z102" s="278"/>
      <c r="AA102" s="278"/>
      <c r="AB102" s="278"/>
      <c r="AC102" s="278"/>
      <c r="AD102" s="278"/>
      <c r="AE102" s="278"/>
      <c r="AF102" s="278"/>
      <c r="AG102" s="278"/>
      <c r="AH102" s="278"/>
      <c r="AI102" s="278"/>
      <c r="AJ102" s="278"/>
      <c r="AK102" s="278"/>
      <c r="AL102" s="278"/>
      <c r="AM102" s="278"/>
      <c r="AN102" s="278"/>
      <c r="AO102" s="278"/>
      <c r="AP102" s="278"/>
    </row>
    <row r="103" spans="1:42" s="118" customFormat="1">
      <c r="A103" s="280" t="s">
        <v>401</v>
      </c>
      <c r="B103" s="281">
        <f>ROUND(IF(ISERROR(IRR($B101:B$101)),0,IRR($B101:B$101)),4)</f>
        <v>0</v>
      </c>
      <c r="C103" s="281">
        <f>ROUND(IF(ISERROR(IRR($B101:C$101)),0,IRR($B101:C$101)),4)</f>
        <v>0</v>
      </c>
      <c r="D103" s="281">
        <f>ROUND(IF(ISERROR(IRR($B101:D$101)),0,IRR($B101:D$101)),4)</f>
        <v>0</v>
      </c>
      <c r="E103" s="281">
        <f>ROUND(IF(ISERROR(IRR($B101:E$101)),0,IRR($B101:E$101)),4)</f>
        <v>0</v>
      </c>
      <c r="F103" s="281">
        <f>ROUND(IF(ISERROR(IRR($B101:F$101)),0,IRR($B101:F$101)),4)</f>
        <v>0</v>
      </c>
      <c r="G103" s="281">
        <f>ROUND(IF(ISERROR(IRR($B101:G$101)),0,IRR($B101:G$101)),4)</f>
        <v>0</v>
      </c>
      <c r="H103" s="281">
        <f>ROUND(IF(ISERROR(IRR($B101:H$101)),0,IRR($B101:H$101)),4)</f>
        <v>0</v>
      </c>
      <c r="I103" s="281">
        <f>ROUND(IF(ISERROR(IRR($B101:I$101)),0,IRR($B101:I$101)),4)</f>
        <v>0</v>
      </c>
      <c r="J103" s="281">
        <f>ROUND(IF(ISERROR(IRR($B101:J$101)),0,IRR($B101:J$101)),4)</f>
        <v>0</v>
      </c>
      <c r="K103" s="281">
        <f>ROUND(IF(ISERROR(IRR($B101:K$101)),0,IRR($B101:K$101)),4)</f>
        <v>0</v>
      </c>
      <c r="L103" s="281">
        <f>ROUND(IF(ISERROR(IRR($B101:L$101)),0,IRR($B101:L$101)),4)</f>
        <v>0</v>
      </c>
      <c r="M103" s="281">
        <f>ROUND(IF(ISERROR(IRR($B101:M$101)),0,IRR($B101:M$101)),4)</f>
        <v>0</v>
      </c>
      <c r="N103" s="281">
        <f>ROUND(IF(ISERROR(IRR($B101:N$101)),0,IRR($B101:N$101)),4)</f>
        <v>0</v>
      </c>
      <c r="O103" s="281">
        <f>ROUND(IF(ISERROR(IRR($B101:O$101)),0,IRR($B101:O$101)),4)</f>
        <v>0</v>
      </c>
      <c r="P103" s="281">
        <f>ROUND(IF(ISERROR(IRR($B101:P$101)),0,IRR($B101:P$101)),4)</f>
        <v>0</v>
      </c>
      <c r="Q103" s="281">
        <f>ROUND(IF(ISERROR(IRR($B101:Q$101)),0,IRR($B101:Q$101)),4)</f>
        <v>0</v>
      </c>
      <c r="R103" s="281">
        <f>ROUND(IF(ISERROR(IRR($B101:R$101)),0,IRR($B101:R$101)),4)</f>
        <v>0</v>
      </c>
      <c r="S103" s="281">
        <f>ROUND(IF(ISERROR(IRR($B101:S$101)),0,IRR($B101:S$101)),4)</f>
        <v>0</v>
      </c>
      <c r="T103" s="281">
        <f>ROUND(IF(ISERROR(IRR($B101:T$101)),0,IRR($B101:T$101)),4)</f>
        <v>0</v>
      </c>
      <c r="U103" s="281">
        <f>ROUND(IF(ISERROR(IRR($B101:U$101)),0,IRR($B101:U$101)),4)</f>
        <v>0</v>
      </c>
      <c r="V103" s="281">
        <f>ROUND(IF(ISERROR(IRR($B101:V$101)),0,IRR($B101:V$101)),4)</f>
        <v>0</v>
      </c>
      <c r="W103" s="281">
        <f>ROUND(IF(ISERROR(IRR($B101:W$101)),0,IRR($B101:W$101)),4)</f>
        <v>0</v>
      </c>
      <c r="X103" s="281">
        <f>ROUND(IF(ISERROR(IRR($B101:X$101)),0,IRR($B101:X$101)),4)</f>
        <v>0</v>
      </c>
      <c r="Y103" s="281">
        <f>ROUND(IF(ISERROR(IRR($B101:Y$101)),0,IRR($B101:Y$101)),4)</f>
        <v>0</v>
      </c>
      <c r="Z103" s="281">
        <f>ROUND(IF(ISERROR(IRR($B101:Z$101)),0,IRR($B101:Z$101)),4)</f>
        <v>0</v>
      </c>
      <c r="AA103" s="281">
        <f>ROUND(IF(ISERROR(IRR($B101:AA$101)),0,IRR($B101:AA$101)),4)</f>
        <v>0</v>
      </c>
      <c r="AB103" s="281">
        <f>ROUND(IF(ISERROR(IRR($B101:AB$101)),0,IRR($B101:AB$101)),4)</f>
        <v>0</v>
      </c>
      <c r="AC103" s="281">
        <f>ROUND(IF(ISERROR(IRR($B101:AC$101)),0,IRR($B101:AC$101)),4)</f>
        <v>0</v>
      </c>
      <c r="AD103" s="281">
        <f>ROUND(IF(ISERROR(IRR($B101:AD$101)),0,IRR($B101:AD$101)),4)</f>
        <v>0</v>
      </c>
      <c r="AE103" s="281">
        <f>ROUND(IF(ISERROR(IRR($B101:AE$101)),0,IRR($B101:AE$101)),4)</f>
        <v>0</v>
      </c>
      <c r="AF103" s="281">
        <f>ROUND(IF(ISERROR(IRR($B101:AF$101)),0,IRR($B101:AF$101)),4)</f>
        <v>0</v>
      </c>
      <c r="AG103" s="281">
        <f>ROUND(IF(ISERROR(IRR($B101:AG$101)),0,IRR($B101:AG$101)),4)</f>
        <v>0</v>
      </c>
      <c r="AH103" s="281">
        <f>ROUND(IF(ISERROR(IRR($B101:AH$101)),0,IRR($B101:AH$101)),4)</f>
        <v>0</v>
      </c>
      <c r="AI103" s="281">
        <f>ROUND(IF(ISERROR(IRR($B101:AI$101)),0,IRR($B101:AI$101)),4)</f>
        <v>0</v>
      </c>
      <c r="AJ103" s="281">
        <f>ROUND(IF(ISERROR(IRR($B101:AJ$101)),0,IRR($B101:AJ$101)),4)</f>
        <v>0</v>
      </c>
      <c r="AK103" s="281">
        <f>ROUND(IF(ISERROR(IRR($B101:AK$101)),0,IRR($B101:AK$101)),4)</f>
        <v>0</v>
      </c>
      <c r="AL103" s="281">
        <f>ROUND(IF(ISERROR(IRR($B101:AL$101)),0,IRR($B101:AL$101)),4)</f>
        <v>0</v>
      </c>
      <c r="AM103" s="281">
        <f>ROUND(IF(ISERROR(IRR($B101:AM$101)),0,IRR($B101:AM$101)),4)</f>
        <v>0</v>
      </c>
      <c r="AN103" s="281">
        <f>ROUND(IF(ISERROR(IRR($B101:AN$101)),0,IRR($B101:AN$101)),4)</f>
        <v>0</v>
      </c>
      <c r="AO103" s="281">
        <f>ROUND(IF(ISERROR(IRR($B101:AO$101)),0,IRR($B101:AO$101)),4)</f>
        <v>0</v>
      </c>
      <c r="AP103" s="281">
        <f>ROUND(IF(ISERROR(IRR($B101:AP$101)),0,IRR($B101:AP$101)),4)</f>
        <v>0</v>
      </c>
    </row>
    <row r="104" spans="1:42" s="118" customFormat="1">
      <c r="A104" s="280" t="s">
        <v>402</v>
      </c>
      <c r="B104" s="282">
        <f>B101</f>
        <v>0</v>
      </c>
      <c r="C104" s="282">
        <f>NPV(DiscountRate,$C101:C101)+$B$101</f>
        <v>0</v>
      </c>
      <c r="D104" s="282">
        <f>NPV(DiscountRate,$C101:D101)+$B$101</f>
        <v>0</v>
      </c>
      <c r="E104" s="282">
        <f>NPV(DiscountRate,$C101:E101)+$B$101</f>
        <v>0</v>
      </c>
      <c r="F104" s="282">
        <f>NPV(DiscountRate,$C101:F101)+$B$101</f>
        <v>0</v>
      </c>
      <c r="G104" s="282">
        <f>NPV(DiscountRate,$C101:G101)+$B$101</f>
        <v>0</v>
      </c>
      <c r="H104" s="282">
        <f>NPV(DiscountRate,$C101:H101)+$B$101</f>
        <v>0</v>
      </c>
      <c r="I104" s="282">
        <f>NPV(DiscountRate,$C101:I101)+$B$101</f>
        <v>0</v>
      </c>
      <c r="J104" s="282">
        <f>NPV(DiscountRate,$C101:J101)+$B$101</f>
        <v>0</v>
      </c>
      <c r="K104" s="282">
        <f>NPV(DiscountRate,$C101:K101)+$B$101</f>
        <v>0</v>
      </c>
      <c r="L104" s="282">
        <f>NPV(DiscountRate,$C101:L101)+$B$101</f>
        <v>0</v>
      </c>
      <c r="M104" s="282">
        <f>NPV(DiscountRate,$C101:M101)+$B$101</f>
        <v>0</v>
      </c>
      <c r="N104" s="282">
        <f>NPV(DiscountRate,$C101:N101)+$B$101</f>
        <v>0</v>
      </c>
      <c r="O104" s="282">
        <f>NPV(DiscountRate,$C101:O101)+$B$101</f>
        <v>0</v>
      </c>
      <c r="P104" s="282">
        <f>NPV(DiscountRate,$C101:P101)+$B$101</f>
        <v>0</v>
      </c>
      <c r="Q104" s="282">
        <f>NPV(DiscountRate,$C101:Q101)+$B$101</f>
        <v>0</v>
      </c>
      <c r="R104" s="282">
        <f>NPV(DiscountRate,$C101:R101)+$B$101</f>
        <v>0</v>
      </c>
      <c r="S104" s="282">
        <f>NPV(DiscountRate,$C101:S101)+$B$101</f>
        <v>0</v>
      </c>
      <c r="T104" s="282">
        <f>NPV(DiscountRate,$C101:T101)+$B$101</f>
        <v>0</v>
      </c>
      <c r="U104" s="282">
        <f>NPV(DiscountRate,$C101:U101)+$B$101</f>
        <v>0</v>
      </c>
      <c r="V104" s="282">
        <f>NPV(DiscountRate,$C101:V101)+$B$101</f>
        <v>0</v>
      </c>
      <c r="W104" s="282">
        <f>NPV(DiscountRate,$C101:W101)+$B$101</f>
        <v>0</v>
      </c>
      <c r="X104" s="282">
        <f>NPV(DiscountRate,$C101:X101)+$B$101</f>
        <v>0</v>
      </c>
      <c r="Y104" s="282">
        <f>NPV(DiscountRate,$C101:Y101)+$B$101</f>
        <v>0</v>
      </c>
      <c r="Z104" s="282">
        <f>NPV(DiscountRate,$C101:Z101)+$B$101</f>
        <v>0</v>
      </c>
      <c r="AA104" s="282">
        <f>NPV(DiscountRate,$C101:AA101)+$B$101</f>
        <v>0</v>
      </c>
      <c r="AB104" s="282">
        <f>NPV(DiscountRate,$C101:AB101)+$B$101</f>
        <v>0</v>
      </c>
      <c r="AC104" s="282">
        <f>NPV(DiscountRate,$C101:AC101)+$B$101</f>
        <v>0</v>
      </c>
      <c r="AD104" s="282">
        <f>NPV(DiscountRate,$C101:AD101)+$B$101</f>
        <v>0</v>
      </c>
      <c r="AE104" s="282">
        <f>NPV(DiscountRate,$C101:AE101)+$B$101</f>
        <v>0</v>
      </c>
      <c r="AF104" s="282">
        <f>NPV(DiscountRate,$C101:AF101)+$B$101</f>
        <v>0</v>
      </c>
      <c r="AG104" s="282">
        <f>NPV(DiscountRate,$C101:AG101)+$B$101</f>
        <v>0</v>
      </c>
      <c r="AH104" s="282">
        <f>NPV(DiscountRate,$C101:AH101)+$B$101</f>
        <v>0</v>
      </c>
      <c r="AI104" s="282">
        <f>NPV(DiscountRate,$C101:AI101)+$B$101</f>
        <v>0</v>
      </c>
      <c r="AJ104" s="282">
        <f>NPV(DiscountRate,$C101:AJ101)+$B$101</f>
        <v>0</v>
      </c>
      <c r="AK104" s="282">
        <f>NPV(DiscountRate,$C101:AK101)+$B$101</f>
        <v>0</v>
      </c>
      <c r="AL104" s="282">
        <f>NPV(DiscountRate,$C101:AL101)+$B$101</f>
        <v>0</v>
      </c>
      <c r="AM104" s="282">
        <f>NPV(DiscountRate,$C101:AM101)+$B$101</f>
        <v>0</v>
      </c>
      <c r="AN104" s="282">
        <f>NPV(DiscountRate,$C101:AN101)+$B$101</f>
        <v>0</v>
      </c>
      <c r="AO104" s="282">
        <f>NPV(DiscountRate,$C101:AO101)+$B$101</f>
        <v>0</v>
      </c>
      <c r="AP104" s="282">
        <f>NPV(DiscountRate,$C101:AP101)+$B$101</f>
        <v>0</v>
      </c>
    </row>
    <row r="105" spans="1:42" s="118" customFormat="1">
      <c r="A105" s="280"/>
      <c r="B105" s="278"/>
      <c r="C105" s="278"/>
      <c r="D105" s="278"/>
      <c r="E105" s="278"/>
      <c r="F105" s="278"/>
      <c r="G105" s="279"/>
      <c r="H105" s="279"/>
      <c r="I105" s="279"/>
      <c r="J105" s="279"/>
      <c r="K105" s="279"/>
      <c r="L105" s="279"/>
      <c r="M105" s="279"/>
      <c r="N105" s="279"/>
      <c r="O105" s="279"/>
      <c r="P105" s="279"/>
      <c r="Q105" s="279"/>
      <c r="R105" s="279"/>
      <c r="S105" s="279"/>
      <c r="T105" s="279"/>
      <c r="U105" s="27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row>
    <row r="106" spans="1:42" s="118" customFormat="1">
      <c r="A106" s="277" t="s">
        <v>218</v>
      </c>
      <c r="B106" s="278"/>
      <c r="C106" s="278"/>
      <c r="D106" s="278"/>
      <c r="E106" s="278"/>
      <c r="F106" s="278"/>
      <c r="G106" s="279"/>
      <c r="H106" s="279"/>
      <c r="I106" s="279"/>
      <c r="J106" s="279"/>
      <c r="K106" s="279"/>
      <c r="L106" s="279"/>
      <c r="M106" s="279"/>
      <c r="N106" s="279"/>
      <c r="O106" s="279"/>
      <c r="P106" s="279"/>
      <c r="Q106" s="279"/>
      <c r="R106" s="279"/>
      <c r="S106" s="279"/>
      <c r="T106" s="279"/>
      <c r="U106" s="27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row>
    <row r="107" spans="1:42" s="118" customFormat="1">
      <c r="A107" s="283" t="s">
        <v>219</v>
      </c>
      <c r="B107" s="278"/>
      <c r="C107" s="278"/>
      <c r="D107" s="278"/>
      <c r="E107" s="278"/>
      <c r="F107" s="278"/>
      <c r="G107" s="279"/>
      <c r="H107" s="279"/>
      <c r="I107" s="279"/>
      <c r="J107" s="279"/>
      <c r="K107" s="279"/>
      <c r="L107" s="279"/>
      <c r="M107" s="279"/>
      <c r="N107" s="279"/>
      <c r="O107" s="279"/>
      <c r="P107" s="279"/>
      <c r="Q107" s="279"/>
      <c r="R107" s="279"/>
      <c r="S107" s="279"/>
      <c r="T107" s="279"/>
      <c r="U107" s="27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row>
    <row r="108" spans="1:42" s="118" customFormat="1">
      <c r="A108" s="284" t="s">
        <v>214</v>
      </c>
      <c r="B108" s="279">
        <f>B99</f>
        <v>0</v>
      </c>
      <c r="C108" s="279">
        <f t="shared" ref="C108:AP109" si="67">C99</f>
        <v>0</v>
      </c>
      <c r="D108" s="279">
        <f t="shared" si="67"/>
        <v>0</v>
      </c>
      <c r="E108" s="279">
        <f t="shared" si="67"/>
        <v>0</v>
      </c>
      <c r="F108" s="279">
        <f t="shared" si="67"/>
        <v>0</v>
      </c>
      <c r="G108" s="279">
        <f t="shared" si="67"/>
        <v>0</v>
      </c>
      <c r="H108" s="279">
        <f t="shared" si="67"/>
        <v>0</v>
      </c>
      <c r="I108" s="279">
        <f t="shared" si="67"/>
        <v>0</v>
      </c>
      <c r="J108" s="279">
        <f t="shared" si="67"/>
        <v>0</v>
      </c>
      <c r="K108" s="279">
        <f t="shared" si="67"/>
        <v>0</v>
      </c>
      <c r="L108" s="279">
        <f t="shared" si="67"/>
        <v>0</v>
      </c>
      <c r="M108" s="279">
        <f t="shared" si="67"/>
        <v>0</v>
      </c>
      <c r="N108" s="279">
        <f t="shared" si="67"/>
        <v>0</v>
      </c>
      <c r="O108" s="279">
        <f t="shared" si="67"/>
        <v>0</v>
      </c>
      <c r="P108" s="279">
        <f t="shared" si="67"/>
        <v>0</v>
      </c>
      <c r="Q108" s="279">
        <f t="shared" si="67"/>
        <v>0</v>
      </c>
      <c r="R108" s="279">
        <f t="shared" si="67"/>
        <v>0</v>
      </c>
      <c r="S108" s="279">
        <f t="shared" si="67"/>
        <v>0</v>
      </c>
      <c r="T108" s="279">
        <f t="shared" si="67"/>
        <v>0</v>
      </c>
      <c r="U108" s="279">
        <f t="shared" si="67"/>
        <v>0</v>
      </c>
      <c r="V108" s="279">
        <f t="shared" si="67"/>
        <v>0</v>
      </c>
      <c r="W108" s="279">
        <f t="shared" si="67"/>
        <v>0</v>
      </c>
      <c r="X108" s="279">
        <f t="shared" si="67"/>
        <v>0</v>
      </c>
      <c r="Y108" s="279">
        <f t="shared" si="67"/>
        <v>0</v>
      </c>
      <c r="Z108" s="279">
        <f t="shared" si="67"/>
        <v>0</v>
      </c>
      <c r="AA108" s="279">
        <f t="shared" si="67"/>
        <v>0</v>
      </c>
      <c r="AB108" s="279">
        <f t="shared" si="67"/>
        <v>0</v>
      </c>
      <c r="AC108" s="279">
        <f t="shared" si="67"/>
        <v>0</v>
      </c>
      <c r="AD108" s="279">
        <f t="shared" si="67"/>
        <v>0</v>
      </c>
      <c r="AE108" s="279">
        <f t="shared" si="67"/>
        <v>0</v>
      </c>
      <c r="AF108" s="279">
        <f t="shared" si="67"/>
        <v>0</v>
      </c>
      <c r="AG108" s="279">
        <f t="shared" si="67"/>
        <v>0</v>
      </c>
      <c r="AH108" s="279">
        <f t="shared" si="67"/>
        <v>0</v>
      </c>
      <c r="AI108" s="279">
        <f t="shared" si="67"/>
        <v>0</v>
      </c>
      <c r="AJ108" s="279">
        <f t="shared" si="67"/>
        <v>0</v>
      </c>
      <c r="AK108" s="279">
        <f t="shared" si="67"/>
        <v>0</v>
      </c>
      <c r="AL108" s="279">
        <f t="shared" si="67"/>
        <v>0</v>
      </c>
      <c r="AM108" s="279">
        <f t="shared" si="67"/>
        <v>0</v>
      </c>
      <c r="AN108" s="279">
        <f t="shared" si="67"/>
        <v>0</v>
      </c>
      <c r="AO108" s="279">
        <f t="shared" si="67"/>
        <v>0</v>
      </c>
      <c r="AP108" s="279">
        <f t="shared" si="67"/>
        <v>0</v>
      </c>
    </row>
    <row r="109" spans="1:42" s="118" customFormat="1">
      <c r="A109" s="284" t="s">
        <v>215</v>
      </c>
      <c r="B109" s="210">
        <f>B100</f>
        <v>0</v>
      </c>
      <c r="C109" s="210">
        <f t="shared" si="67"/>
        <v>0</v>
      </c>
      <c r="D109" s="210">
        <f t="shared" si="67"/>
        <v>0</v>
      </c>
      <c r="E109" s="210">
        <f t="shared" si="67"/>
        <v>0</v>
      </c>
      <c r="F109" s="210">
        <f t="shared" si="67"/>
        <v>0</v>
      </c>
      <c r="G109" s="210">
        <f t="shared" si="67"/>
        <v>0</v>
      </c>
      <c r="H109" s="210">
        <f t="shared" si="67"/>
        <v>0</v>
      </c>
      <c r="I109" s="210">
        <f t="shared" si="67"/>
        <v>0</v>
      </c>
      <c r="J109" s="210">
        <f t="shared" si="67"/>
        <v>0</v>
      </c>
      <c r="K109" s="210">
        <f t="shared" si="67"/>
        <v>0</v>
      </c>
      <c r="L109" s="210">
        <f t="shared" si="67"/>
        <v>0</v>
      </c>
      <c r="M109" s="210">
        <f t="shared" si="67"/>
        <v>0</v>
      </c>
      <c r="N109" s="210">
        <f t="shared" si="67"/>
        <v>0</v>
      </c>
      <c r="O109" s="210">
        <f t="shared" si="67"/>
        <v>0</v>
      </c>
      <c r="P109" s="210">
        <f t="shared" si="67"/>
        <v>0</v>
      </c>
      <c r="Q109" s="210">
        <f t="shared" si="67"/>
        <v>0</v>
      </c>
      <c r="R109" s="210">
        <f t="shared" si="67"/>
        <v>0</v>
      </c>
      <c r="S109" s="210">
        <f t="shared" si="67"/>
        <v>0</v>
      </c>
      <c r="T109" s="210">
        <f t="shared" si="67"/>
        <v>0</v>
      </c>
      <c r="U109" s="210">
        <f t="shared" si="67"/>
        <v>0</v>
      </c>
      <c r="V109" s="210">
        <f t="shared" si="67"/>
        <v>0</v>
      </c>
      <c r="W109" s="210">
        <f t="shared" si="67"/>
        <v>0</v>
      </c>
      <c r="X109" s="210">
        <f t="shared" si="67"/>
        <v>0</v>
      </c>
      <c r="Y109" s="210">
        <f t="shared" si="67"/>
        <v>0</v>
      </c>
      <c r="Z109" s="210">
        <f t="shared" si="67"/>
        <v>0</v>
      </c>
      <c r="AA109" s="210">
        <f t="shared" si="67"/>
        <v>0</v>
      </c>
      <c r="AB109" s="210">
        <f t="shared" si="67"/>
        <v>0</v>
      </c>
      <c r="AC109" s="210">
        <f t="shared" si="67"/>
        <v>0</v>
      </c>
      <c r="AD109" s="210">
        <f t="shared" si="67"/>
        <v>0</v>
      </c>
      <c r="AE109" s="210">
        <f t="shared" si="67"/>
        <v>0</v>
      </c>
      <c r="AF109" s="210">
        <f t="shared" si="67"/>
        <v>0</v>
      </c>
      <c r="AG109" s="210">
        <f t="shared" si="67"/>
        <v>0</v>
      </c>
      <c r="AH109" s="210">
        <f t="shared" si="67"/>
        <v>0</v>
      </c>
      <c r="AI109" s="210">
        <f t="shared" si="67"/>
        <v>0</v>
      </c>
      <c r="AJ109" s="210">
        <f t="shared" si="67"/>
        <v>0</v>
      </c>
      <c r="AK109" s="210">
        <f t="shared" si="67"/>
        <v>0</v>
      </c>
      <c r="AL109" s="210">
        <f t="shared" si="67"/>
        <v>0</v>
      </c>
      <c r="AM109" s="210">
        <f t="shared" si="67"/>
        <v>0</v>
      </c>
      <c r="AN109" s="210">
        <f t="shared" si="67"/>
        <v>0</v>
      </c>
      <c r="AO109" s="210">
        <f t="shared" si="67"/>
        <v>0</v>
      </c>
      <c r="AP109" s="210">
        <f t="shared" si="67"/>
        <v>0</v>
      </c>
    </row>
    <row r="110" spans="1:42" s="118" customFormat="1">
      <c r="A110" s="284" t="s">
        <v>220</v>
      </c>
      <c r="B110" s="278">
        <f>SUM(B108:B109)</f>
        <v>0</v>
      </c>
      <c r="C110" s="278">
        <f t="shared" ref="C110:AP110" si="68">SUM(C108:C109)</f>
        <v>0</v>
      </c>
      <c r="D110" s="278">
        <f t="shared" si="68"/>
        <v>0</v>
      </c>
      <c r="E110" s="278">
        <f t="shared" si="68"/>
        <v>0</v>
      </c>
      <c r="F110" s="278">
        <f t="shared" si="68"/>
        <v>0</v>
      </c>
      <c r="G110" s="278">
        <f t="shared" si="68"/>
        <v>0</v>
      </c>
      <c r="H110" s="278">
        <f t="shared" si="68"/>
        <v>0</v>
      </c>
      <c r="I110" s="278">
        <f t="shared" si="68"/>
        <v>0</v>
      </c>
      <c r="J110" s="278">
        <f t="shared" si="68"/>
        <v>0</v>
      </c>
      <c r="K110" s="278">
        <f t="shared" si="68"/>
        <v>0</v>
      </c>
      <c r="L110" s="278">
        <f t="shared" si="68"/>
        <v>0</v>
      </c>
      <c r="M110" s="278">
        <f t="shared" si="68"/>
        <v>0</v>
      </c>
      <c r="N110" s="278">
        <f t="shared" si="68"/>
        <v>0</v>
      </c>
      <c r="O110" s="278">
        <f t="shared" si="68"/>
        <v>0</v>
      </c>
      <c r="P110" s="278">
        <f t="shared" si="68"/>
        <v>0</v>
      </c>
      <c r="Q110" s="278">
        <f t="shared" si="68"/>
        <v>0</v>
      </c>
      <c r="R110" s="278">
        <f t="shared" si="68"/>
        <v>0</v>
      </c>
      <c r="S110" s="278">
        <f t="shared" si="68"/>
        <v>0</v>
      </c>
      <c r="T110" s="278">
        <f t="shared" si="68"/>
        <v>0</v>
      </c>
      <c r="U110" s="278">
        <f t="shared" si="68"/>
        <v>0</v>
      </c>
      <c r="V110" s="278">
        <f t="shared" si="68"/>
        <v>0</v>
      </c>
      <c r="W110" s="278">
        <f t="shared" si="68"/>
        <v>0</v>
      </c>
      <c r="X110" s="278">
        <f t="shared" si="68"/>
        <v>0</v>
      </c>
      <c r="Y110" s="278">
        <f t="shared" si="68"/>
        <v>0</v>
      </c>
      <c r="Z110" s="278">
        <f t="shared" si="68"/>
        <v>0</v>
      </c>
      <c r="AA110" s="278">
        <f t="shared" si="68"/>
        <v>0</v>
      </c>
      <c r="AB110" s="278">
        <f t="shared" si="68"/>
        <v>0</v>
      </c>
      <c r="AC110" s="278">
        <f t="shared" si="68"/>
        <v>0</v>
      </c>
      <c r="AD110" s="278">
        <f t="shared" si="68"/>
        <v>0</v>
      </c>
      <c r="AE110" s="278">
        <f t="shared" si="68"/>
        <v>0</v>
      </c>
      <c r="AF110" s="278">
        <f t="shared" si="68"/>
        <v>0</v>
      </c>
      <c r="AG110" s="278">
        <f t="shared" si="68"/>
        <v>0</v>
      </c>
      <c r="AH110" s="278">
        <f t="shared" si="68"/>
        <v>0</v>
      </c>
      <c r="AI110" s="278">
        <f t="shared" si="68"/>
        <v>0</v>
      </c>
      <c r="AJ110" s="278">
        <f t="shared" si="68"/>
        <v>0</v>
      </c>
      <c r="AK110" s="278">
        <f t="shared" si="68"/>
        <v>0</v>
      </c>
      <c r="AL110" s="278">
        <f t="shared" si="68"/>
        <v>0</v>
      </c>
      <c r="AM110" s="278">
        <f t="shared" si="68"/>
        <v>0</v>
      </c>
      <c r="AN110" s="278">
        <f t="shared" si="68"/>
        <v>0</v>
      </c>
      <c r="AO110" s="278">
        <f t="shared" si="68"/>
        <v>0</v>
      </c>
      <c r="AP110" s="278">
        <f t="shared" si="68"/>
        <v>0</v>
      </c>
    </row>
    <row r="111" spans="1:42" s="118" customFormat="1">
      <c r="A111" s="280" t="s">
        <v>33</v>
      </c>
      <c r="B111" s="278"/>
      <c r="C111" s="278"/>
      <c r="D111" s="278"/>
      <c r="E111" s="278"/>
      <c r="F111" s="278"/>
      <c r="G111" s="279"/>
      <c r="H111" s="279"/>
      <c r="I111" s="279"/>
      <c r="J111" s="279"/>
      <c r="K111" s="279"/>
      <c r="L111" s="279"/>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row>
    <row r="112" spans="1:42" s="118" customFormat="1">
      <c r="A112" s="284" t="s">
        <v>37</v>
      </c>
      <c r="B112" s="278">
        <v>0</v>
      </c>
      <c r="C112" s="278">
        <v>0</v>
      </c>
      <c r="D112" s="278">
        <v>0</v>
      </c>
      <c r="E112" s="278">
        <v>0</v>
      </c>
      <c r="F112" s="278">
        <v>0</v>
      </c>
      <c r="G112" s="278">
        <v>0</v>
      </c>
      <c r="H112" s="278">
        <v>0</v>
      </c>
      <c r="I112" s="278">
        <v>0</v>
      </c>
      <c r="J112" s="278">
        <v>0</v>
      </c>
      <c r="K112" s="278">
        <v>0</v>
      </c>
      <c r="L112" s="278">
        <v>0</v>
      </c>
      <c r="M112" s="278">
        <v>0</v>
      </c>
      <c r="N112" s="278">
        <v>0</v>
      </c>
      <c r="O112" s="278">
        <v>0</v>
      </c>
      <c r="P112" s="278">
        <v>0</v>
      </c>
      <c r="Q112" s="278">
        <v>0</v>
      </c>
      <c r="R112" s="278">
        <v>0</v>
      </c>
      <c r="S112" s="278">
        <v>0</v>
      </c>
      <c r="T112" s="278">
        <v>0</v>
      </c>
      <c r="U112" s="278">
        <v>0</v>
      </c>
      <c r="V112" s="278">
        <v>0</v>
      </c>
      <c r="W112" s="278">
        <v>0</v>
      </c>
      <c r="X112" s="278">
        <v>0</v>
      </c>
      <c r="Y112" s="278">
        <v>0</v>
      </c>
      <c r="Z112" s="278">
        <v>0</v>
      </c>
      <c r="AA112" s="278">
        <v>0</v>
      </c>
      <c r="AB112" s="278">
        <v>0</v>
      </c>
      <c r="AC112" s="278">
        <v>0</v>
      </c>
      <c r="AD112" s="278">
        <v>0</v>
      </c>
      <c r="AE112" s="278">
        <v>0</v>
      </c>
      <c r="AF112" s="278">
        <v>0</v>
      </c>
      <c r="AG112" s="278">
        <v>0</v>
      </c>
      <c r="AH112" s="278">
        <v>0</v>
      </c>
      <c r="AI112" s="278">
        <v>0</v>
      </c>
      <c r="AJ112" s="278">
        <v>0</v>
      </c>
      <c r="AK112" s="278">
        <v>0</v>
      </c>
      <c r="AL112" s="278">
        <v>0</v>
      </c>
      <c r="AM112" s="278">
        <v>0</v>
      </c>
      <c r="AN112" s="278">
        <v>0</v>
      </c>
      <c r="AO112" s="278">
        <v>0</v>
      </c>
      <c r="AP112" s="278">
        <v>0</v>
      </c>
    </row>
    <row r="113" spans="1:42" s="118" customFormat="1">
      <c r="A113" s="284" t="s">
        <v>36</v>
      </c>
      <c r="B113" s="210">
        <v>0</v>
      </c>
      <c r="C113" s="210">
        <v>0</v>
      </c>
      <c r="D113" s="210">
        <v>0</v>
      </c>
      <c r="E113" s="210">
        <v>0</v>
      </c>
      <c r="F113" s="210">
        <v>0</v>
      </c>
      <c r="G113" s="210">
        <v>0</v>
      </c>
      <c r="H113" s="210">
        <v>0</v>
      </c>
      <c r="I113" s="210">
        <v>0</v>
      </c>
      <c r="J113" s="210">
        <v>0</v>
      </c>
      <c r="K113" s="210">
        <v>0</v>
      </c>
      <c r="L113" s="210">
        <v>0</v>
      </c>
      <c r="M113" s="210">
        <v>0</v>
      </c>
      <c r="N113" s="210">
        <v>0</v>
      </c>
      <c r="O113" s="210">
        <v>0</v>
      </c>
      <c r="P113" s="210">
        <v>0</v>
      </c>
      <c r="Q113" s="210">
        <v>0</v>
      </c>
      <c r="R113" s="210">
        <v>0</v>
      </c>
      <c r="S113" s="210">
        <v>0</v>
      </c>
      <c r="T113" s="210">
        <v>0</v>
      </c>
      <c r="U113" s="210">
        <v>0</v>
      </c>
      <c r="V113" s="210">
        <v>0</v>
      </c>
      <c r="W113" s="210">
        <v>0</v>
      </c>
      <c r="X113" s="210">
        <v>0</v>
      </c>
      <c r="Y113" s="210">
        <v>0</v>
      </c>
      <c r="Z113" s="210">
        <v>0</v>
      </c>
      <c r="AA113" s="210">
        <v>0</v>
      </c>
      <c r="AB113" s="210">
        <v>0</v>
      </c>
      <c r="AC113" s="210">
        <v>0</v>
      </c>
      <c r="AD113" s="210">
        <v>0</v>
      </c>
      <c r="AE113" s="210">
        <v>0</v>
      </c>
      <c r="AF113" s="210">
        <v>0</v>
      </c>
      <c r="AG113" s="210">
        <v>0</v>
      </c>
      <c r="AH113" s="210">
        <v>0</v>
      </c>
      <c r="AI113" s="210">
        <v>0</v>
      </c>
      <c r="AJ113" s="210">
        <v>0</v>
      </c>
      <c r="AK113" s="210">
        <v>0</v>
      </c>
      <c r="AL113" s="210">
        <v>0</v>
      </c>
      <c r="AM113" s="210">
        <v>0</v>
      </c>
      <c r="AN113" s="210">
        <v>0</v>
      </c>
      <c r="AO113" s="210">
        <v>0</v>
      </c>
      <c r="AP113" s="210">
        <v>0</v>
      </c>
    </row>
    <row r="114" spans="1:42" s="118" customFormat="1">
      <c r="A114" s="284" t="s">
        <v>53</v>
      </c>
      <c r="B114" s="278">
        <f>SUM(B112:B113)</f>
        <v>0</v>
      </c>
      <c r="C114" s="278">
        <f>SUM(C112:C113)</f>
        <v>0</v>
      </c>
      <c r="D114" s="278">
        <f>SUM(D112:D113)</f>
        <v>0</v>
      </c>
      <c r="E114" s="278">
        <f t="shared" ref="E114:AP114" si="69">SUM(E112:E113)</f>
        <v>0</v>
      </c>
      <c r="F114" s="278">
        <f t="shared" si="69"/>
        <v>0</v>
      </c>
      <c r="G114" s="278">
        <f t="shared" si="69"/>
        <v>0</v>
      </c>
      <c r="H114" s="278">
        <f t="shared" si="69"/>
        <v>0</v>
      </c>
      <c r="I114" s="278">
        <f t="shared" si="69"/>
        <v>0</v>
      </c>
      <c r="J114" s="278">
        <f t="shared" si="69"/>
        <v>0</v>
      </c>
      <c r="K114" s="278">
        <f t="shared" si="69"/>
        <v>0</v>
      </c>
      <c r="L114" s="278">
        <f t="shared" si="69"/>
        <v>0</v>
      </c>
      <c r="M114" s="278">
        <f t="shared" si="69"/>
        <v>0</v>
      </c>
      <c r="N114" s="278">
        <f t="shared" si="69"/>
        <v>0</v>
      </c>
      <c r="O114" s="278">
        <f t="shared" si="69"/>
        <v>0</v>
      </c>
      <c r="P114" s="278">
        <f t="shared" si="69"/>
        <v>0</v>
      </c>
      <c r="Q114" s="278">
        <f t="shared" si="69"/>
        <v>0</v>
      </c>
      <c r="R114" s="278">
        <f t="shared" si="69"/>
        <v>0</v>
      </c>
      <c r="S114" s="278">
        <f t="shared" si="69"/>
        <v>0</v>
      </c>
      <c r="T114" s="278">
        <f t="shared" si="69"/>
        <v>0</v>
      </c>
      <c r="U114" s="278">
        <f t="shared" si="69"/>
        <v>0</v>
      </c>
      <c r="V114" s="278">
        <f t="shared" si="69"/>
        <v>0</v>
      </c>
      <c r="W114" s="278">
        <f t="shared" si="69"/>
        <v>0</v>
      </c>
      <c r="X114" s="278">
        <f t="shared" si="69"/>
        <v>0</v>
      </c>
      <c r="Y114" s="278">
        <f t="shared" si="69"/>
        <v>0</v>
      </c>
      <c r="Z114" s="278">
        <f t="shared" si="69"/>
        <v>0</v>
      </c>
      <c r="AA114" s="278">
        <f t="shared" si="69"/>
        <v>0</v>
      </c>
      <c r="AB114" s="278">
        <f t="shared" si="69"/>
        <v>0</v>
      </c>
      <c r="AC114" s="278">
        <f t="shared" si="69"/>
        <v>0</v>
      </c>
      <c r="AD114" s="278">
        <f t="shared" si="69"/>
        <v>0</v>
      </c>
      <c r="AE114" s="278">
        <f t="shared" si="69"/>
        <v>0</v>
      </c>
      <c r="AF114" s="278">
        <f t="shared" si="69"/>
        <v>0</v>
      </c>
      <c r="AG114" s="278">
        <f t="shared" si="69"/>
        <v>0</v>
      </c>
      <c r="AH114" s="278">
        <f t="shared" si="69"/>
        <v>0</v>
      </c>
      <c r="AI114" s="278">
        <f t="shared" si="69"/>
        <v>0</v>
      </c>
      <c r="AJ114" s="278">
        <f t="shared" si="69"/>
        <v>0</v>
      </c>
      <c r="AK114" s="278">
        <f t="shared" si="69"/>
        <v>0</v>
      </c>
      <c r="AL114" s="278">
        <f t="shared" si="69"/>
        <v>0</v>
      </c>
      <c r="AM114" s="278">
        <f t="shared" si="69"/>
        <v>0</v>
      </c>
      <c r="AN114" s="278">
        <f t="shared" si="69"/>
        <v>0</v>
      </c>
      <c r="AO114" s="278">
        <f t="shared" si="69"/>
        <v>0</v>
      </c>
      <c r="AP114" s="278">
        <f t="shared" si="69"/>
        <v>0</v>
      </c>
    </row>
    <row r="115" spans="1:42" s="118" customFormat="1">
      <c r="A115" s="280" t="s">
        <v>38</v>
      </c>
      <c r="B115" s="278"/>
      <c r="C115" s="278"/>
      <c r="D115" s="278"/>
      <c r="E115" s="278"/>
      <c r="F115" s="278"/>
      <c r="G115" s="279"/>
      <c r="H115" s="279"/>
      <c r="I115" s="279"/>
      <c r="J115" s="279"/>
      <c r="K115" s="279"/>
      <c r="L115" s="279"/>
      <c r="M115" s="279"/>
      <c r="N115" s="279"/>
      <c r="O115" s="279"/>
      <c r="P115" s="279"/>
      <c r="Q115" s="279"/>
      <c r="R115" s="279"/>
      <c r="S115" s="279"/>
      <c r="T115" s="279"/>
      <c r="U115" s="27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row>
    <row r="116" spans="1:42" s="118" customFormat="1">
      <c r="A116" s="284" t="s">
        <v>37</v>
      </c>
      <c r="B116" s="278">
        <v>0</v>
      </c>
      <c r="C116" s="278">
        <v>0</v>
      </c>
      <c r="D116" s="278">
        <v>0</v>
      </c>
      <c r="E116" s="278">
        <v>0</v>
      </c>
      <c r="F116" s="278">
        <v>0</v>
      </c>
      <c r="G116" s="278">
        <v>0</v>
      </c>
      <c r="H116" s="278">
        <v>0</v>
      </c>
      <c r="I116" s="278">
        <v>0</v>
      </c>
      <c r="J116" s="278">
        <v>0</v>
      </c>
      <c r="K116" s="278">
        <v>0</v>
      </c>
      <c r="L116" s="278">
        <v>0</v>
      </c>
      <c r="M116" s="278">
        <v>0</v>
      </c>
      <c r="N116" s="278">
        <v>0</v>
      </c>
      <c r="O116" s="278">
        <v>0</v>
      </c>
      <c r="P116" s="278">
        <v>0</v>
      </c>
      <c r="Q116" s="278">
        <v>0</v>
      </c>
      <c r="R116" s="278">
        <v>0</v>
      </c>
      <c r="S116" s="278">
        <v>0</v>
      </c>
      <c r="T116" s="278">
        <v>0</v>
      </c>
      <c r="U116" s="278">
        <v>0</v>
      </c>
      <c r="V116" s="278">
        <v>0</v>
      </c>
      <c r="W116" s="278">
        <v>0</v>
      </c>
      <c r="X116" s="278">
        <v>0</v>
      </c>
      <c r="Y116" s="278">
        <v>0</v>
      </c>
      <c r="Z116" s="278">
        <v>0</v>
      </c>
      <c r="AA116" s="278">
        <v>0</v>
      </c>
      <c r="AB116" s="278">
        <v>0</v>
      </c>
      <c r="AC116" s="278">
        <v>0</v>
      </c>
      <c r="AD116" s="278">
        <v>0</v>
      </c>
      <c r="AE116" s="278">
        <v>0</v>
      </c>
      <c r="AF116" s="278">
        <v>0</v>
      </c>
      <c r="AG116" s="278">
        <v>0</v>
      </c>
      <c r="AH116" s="278">
        <v>0</v>
      </c>
      <c r="AI116" s="278">
        <v>0</v>
      </c>
      <c r="AJ116" s="278">
        <v>0</v>
      </c>
      <c r="AK116" s="278">
        <v>0</v>
      </c>
      <c r="AL116" s="278">
        <v>0</v>
      </c>
      <c r="AM116" s="278">
        <v>0</v>
      </c>
      <c r="AN116" s="278">
        <v>0</v>
      </c>
      <c r="AO116" s="278">
        <v>0</v>
      </c>
      <c r="AP116" s="278">
        <v>0</v>
      </c>
    </row>
    <row r="117" spans="1:42" s="118" customFormat="1">
      <c r="A117" s="284" t="s">
        <v>36</v>
      </c>
      <c r="B117" s="210">
        <v>0</v>
      </c>
      <c r="C117" s="210">
        <v>0</v>
      </c>
      <c r="D117" s="210">
        <v>0</v>
      </c>
      <c r="E117" s="210">
        <v>0</v>
      </c>
      <c r="F117" s="210">
        <v>0</v>
      </c>
      <c r="G117" s="210">
        <v>0</v>
      </c>
      <c r="H117" s="210">
        <v>0</v>
      </c>
      <c r="I117" s="210">
        <v>0</v>
      </c>
      <c r="J117" s="210">
        <v>0</v>
      </c>
      <c r="K117" s="210">
        <v>0</v>
      </c>
      <c r="L117" s="210">
        <v>0</v>
      </c>
      <c r="M117" s="210">
        <v>0</v>
      </c>
      <c r="N117" s="210">
        <v>0</v>
      </c>
      <c r="O117" s="210">
        <v>0</v>
      </c>
      <c r="P117" s="210">
        <v>0</v>
      </c>
      <c r="Q117" s="210">
        <v>0</v>
      </c>
      <c r="R117" s="210">
        <v>0</v>
      </c>
      <c r="S117" s="210">
        <v>0</v>
      </c>
      <c r="T117" s="210">
        <v>0</v>
      </c>
      <c r="U117" s="210">
        <v>0</v>
      </c>
      <c r="V117" s="210">
        <v>0</v>
      </c>
      <c r="W117" s="210">
        <v>0</v>
      </c>
      <c r="X117" s="210">
        <v>0</v>
      </c>
      <c r="Y117" s="210">
        <v>0</v>
      </c>
      <c r="Z117" s="210">
        <v>0</v>
      </c>
      <c r="AA117" s="210">
        <v>0</v>
      </c>
      <c r="AB117" s="210">
        <v>0</v>
      </c>
      <c r="AC117" s="210">
        <v>0</v>
      </c>
      <c r="AD117" s="210">
        <v>0</v>
      </c>
      <c r="AE117" s="210">
        <v>0</v>
      </c>
      <c r="AF117" s="210">
        <v>0</v>
      </c>
      <c r="AG117" s="210">
        <v>0</v>
      </c>
      <c r="AH117" s="210">
        <v>0</v>
      </c>
      <c r="AI117" s="210">
        <v>0</v>
      </c>
      <c r="AJ117" s="210">
        <v>0</v>
      </c>
      <c r="AK117" s="210">
        <v>0</v>
      </c>
      <c r="AL117" s="210">
        <v>0</v>
      </c>
      <c r="AM117" s="210">
        <v>0</v>
      </c>
      <c r="AN117" s="210">
        <v>0</v>
      </c>
      <c r="AO117" s="210">
        <v>0</v>
      </c>
      <c r="AP117" s="210">
        <v>0</v>
      </c>
    </row>
    <row r="118" spans="1:42" s="118" customFormat="1">
      <c r="A118" s="284" t="s">
        <v>53</v>
      </c>
      <c r="B118" s="278">
        <f>SUM(B116:B117)</f>
        <v>0</v>
      </c>
      <c r="C118" s="278">
        <f>SUM(C116:C117)</f>
        <v>0</v>
      </c>
      <c r="D118" s="278">
        <f>SUM(D116:D117)</f>
        <v>0</v>
      </c>
      <c r="E118" s="278">
        <f t="shared" ref="E118:AP118" si="70">SUM(E116:E117)</f>
        <v>0</v>
      </c>
      <c r="F118" s="278">
        <f t="shared" si="70"/>
        <v>0</v>
      </c>
      <c r="G118" s="278">
        <f t="shared" si="70"/>
        <v>0</v>
      </c>
      <c r="H118" s="278">
        <f t="shared" si="70"/>
        <v>0</v>
      </c>
      <c r="I118" s="278">
        <f t="shared" si="70"/>
        <v>0</v>
      </c>
      <c r="J118" s="278">
        <f t="shared" si="70"/>
        <v>0</v>
      </c>
      <c r="K118" s="278">
        <f t="shared" si="70"/>
        <v>0</v>
      </c>
      <c r="L118" s="278">
        <f t="shared" si="70"/>
        <v>0</v>
      </c>
      <c r="M118" s="278">
        <f t="shared" si="70"/>
        <v>0</v>
      </c>
      <c r="N118" s="278">
        <f t="shared" si="70"/>
        <v>0</v>
      </c>
      <c r="O118" s="278">
        <f t="shared" si="70"/>
        <v>0</v>
      </c>
      <c r="P118" s="278">
        <f t="shared" si="70"/>
        <v>0</v>
      </c>
      <c r="Q118" s="278">
        <f t="shared" si="70"/>
        <v>0</v>
      </c>
      <c r="R118" s="278">
        <f t="shared" si="70"/>
        <v>0</v>
      </c>
      <c r="S118" s="278">
        <f t="shared" si="70"/>
        <v>0</v>
      </c>
      <c r="T118" s="278">
        <f t="shared" si="70"/>
        <v>0</v>
      </c>
      <c r="U118" s="278">
        <f t="shared" si="70"/>
        <v>0</v>
      </c>
      <c r="V118" s="278">
        <f t="shared" si="70"/>
        <v>0</v>
      </c>
      <c r="W118" s="278">
        <f t="shared" si="70"/>
        <v>0</v>
      </c>
      <c r="X118" s="278">
        <f t="shared" si="70"/>
        <v>0</v>
      </c>
      <c r="Y118" s="278">
        <f t="shared" si="70"/>
        <v>0</v>
      </c>
      <c r="Z118" s="278">
        <f t="shared" si="70"/>
        <v>0</v>
      </c>
      <c r="AA118" s="278">
        <f t="shared" si="70"/>
        <v>0</v>
      </c>
      <c r="AB118" s="278">
        <f t="shared" si="70"/>
        <v>0</v>
      </c>
      <c r="AC118" s="278">
        <f t="shared" si="70"/>
        <v>0</v>
      </c>
      <c r="AD118" s="278">
        <f t="shared" si="70"/>
        <v>0</v>
      </c>
      <c r="AE118" s="278">
        <f t="shared" si="70"/>
        <v>0</v>
      </c>
      <c r="AF118" s="278">
        <f t="shared" si="70"/>
        <v>0</v>
      </c>
      <c r="AG118" s="278">
        <f t="shared" si="70"/>
        <v>0</v>
      </c>
      <c r="AH118" s="278">
        <f t="shared" si="70"/>
        <v>0</v>
      </c>
      <c r="AI118" s="278">
        <f t="shared" si="70"/>
        <v>0</v>
      </c>
      <c r="AJ118" s="278">
        <f t="shared" si="70"/>
        <v>0</v>
      </c>
      <c r="AK118" s="278">
        <f t="shared" si="70"/>
        <v>0</v>
      </c>
      <c r="AL118" s="278">
        <f t="shared" si="70"/>
        <v>0</v>
      </c>
      <c r="AM118" s="278">
        <f t="shared" si="70"/>
        <v>0</v>
      </c>
      <c r="AN118" s="278">
        <f t="shared" si="70"/>
        <v>0</v>
      </c>
      <c r="AO118" s="278">
        <f t="shared" si="70"/>
        <v>0</v>
      </c>
      <c r="AP118" s="278">
        <f t="shared" si="70"/>
        <v>0</v>
      </c>
    </row>
    <row r="119" spans="1:42" s="118" customFormat="1">
      <c r="A119" s="280" t="s">
        <v>223</v>
      </c>
      <c r="B119" s="278"/>
      <c r="C119" s="278"/>
      <c r="D119" s="278"/>
      <c r="E119" s="278"/>
      <c r="F119" s="278"/>
      <c r="G119" s="278"/>
      <c r="H119" s="278"/>
      <c r="I119" s="278"/>
      <c r="J119" s="278"/>
      <c r="K119" s="278"/>
      <c r="L119" s="278"/>
      <c r="M119" s="278"/>
      <c r="N119" s="278"/>
      <c r="O119" s="278"/>
      <c r="P119" s="278"/>
      <c r="Q119" s="278"/>
      <c r="R119" s="278"/>
      <c r="S119" s="278"/>
      <c r="T119" s="278"/>
      <c r="U119" s="278"/>
      <c r="V119" s="278"/>
      <c r="W119" s="278"/>
      <c r="X119" s="278"/>
      <c r="Y119" s="278"/>
      <c r="Z119" s="278"/>
      <c r="AA119" s="278"/>
      <c r="AB119" s="278"/>
      <c r="AC119" s="278"/>
      <c r="AD119" s="278"/>
      <c r="AE119" s="278"/>
      <c r="AF119" s="278"/>
      <c r="AG119" s="278"/>
      <c r="AH119" s="278"/>
      <c r="AI119" s="278"/>
      <c r="AJ119" s="278"/>
      <c r="AK119" s="278"/>
      <c r="AL119" s="278"/>
      <c r="AM119" s="278"/>
      <c r="AN119" s="278"/>
      <c r="AO119" s="278"/>
      <c r="AP119" s="278"/>
    </row>
    <row r="120" spans="1:42" s="118" customFormat="1">
      <c r="A120" s="284" t="s">
        <v>37</v>
      </c>
      <c r="B120" s="278">
        <v>0</v>
      </c>
      <c r="C120" s="278">
        <v>0</v>
      </c>
      <c r="D120" s="278">
        <v>0</v>
      </c>
      <c r="E120" s="278">
        <v>0</v>
      </c>
      <c r="F120" s="278">
        <v>0</v>
      </c>
      <c r="G120" s="278">
        <v>0</v>
      </c>
      <c r="H120" s="278">
        <v>0</v>
      </c>
      <c r="I120" s="278">
        <v>0</v>
      </c>
      <c r="J120" s="278">
        <v>0</v>
      </c>
      <c r="K120" s="278">
        <v>0</v>
      </c>
      <c r="L120" s="278">
        <v>0</v>
      </c>
      <c r="M120" s="278">
        <v>0</v>
      </c>
      <c r="N120" s="278">
        <v>0</v>
      </c>
      <c r="O120" s="278">
        <v>0</v>
      </c>
      <c r="P120" s="278">
        <v>0</v>
      </c>
      <c r="Q120" s="278">
        <v>0</v>
      </c>
      <c r="R120" s="278">
        <v>0</v>
      </c>
      <c r="S120" s="278">
        <v>0</v>
      </c>
      <c r="T120" s="278">
        <v>0</v>
      </c>
      <c r="U120" s="278">
        <v>0</v>
      </c>
      <c r="V120" s="278">
        <v>0</v>
      </c>
      <c r="W120" s="278">
        <v>0</v>
      </c>
      <c r="X120" s="278">
        <v>0</v>
      </c>
      <c r="Y120" s="278">
        <v>0</v>
      </c>
      <c r="Z120" s="278">
        <v>0</v>
      </c>
      <c r="AA120" s="278">
        <v>0</v>
      </c>
      <c r="AB120" s="278">
        <v>0</v>
      </c>
      <c r="AC120" s="278">
        <v>0</v>
      </c>
      <c r="AD120" s="278">
        <v>0</v>
      </c>
      <c r="AE120" s="278">
        <v>0</v>
      </c>
      <c r="AF120" s="278">
        <v>0</v>
      </c>
      <c r="AG120" s="278">
        <v>0</v>
      </c>
      <c r="AH120" s="278">
        <v>0</v>
      </c>
      <c r="AI120" s="278">
        <v>0</v>
      </c>
      <c r="AJ120" s="278">
        <v>0</v>
      </c>
      <c r="AK120" s="278">
        <v>0</v>
      </c>
      <c r="AL120" s="278">
        <v>0</v>
      </c>
      <c r="AM120" s="278">
        <v>0</v>
      </c>
      <c r="AN120" s="278">
        <v>0</v>
      </c>
      <c r="AO120" s="278">
        <v>0</v>
      </c>
      <c r="AP120" s="278">
        <v>0</v>
      </c>
    </row>
    <row r="121" spans="1:42" s="118" customFormat="1">
      <c r="A121" s="284" t="s">
        <v>36</v>
      </c>
      <c r="B121" s="210">
        <v>0</v>
      </c>
      <c r="C121" s="210">
        <v>0</v>
      </c>
      <c r="D121" s="210">
        <v>0</v>
      </c>
      <c r="E121" s="210">
        <v>0</v>
      </c>
      <c r="F121" s="210">
        <v>0</v>
      </c>
      <c r="G121" s="210">
        <v>0</v>
      </c>
      <c r="H121" s="210">
        <v>0</v>
      </c>
      <c r="I121" s="210">
        <v>0</v>
      </c>
      <c r="J121" s="210">
        <v>0</v>
      </c>
      <c r="K121" s="210">
        <v>0</v>
      </c>
      <c r="L121" s="210">
        <v>0</v>
      </c>
      <c r="M121" s="210">
        <v>0</v>
      </c>
      <c r="N121" s="210">
        <v>0</v>
      </c>
      <c r="O121" s="210">
        <v>0</v>
      </c>
      <c r="P121" s="210">
        <v>0</v>
      </c>
      <c r="Q121" s="210">
        <v>0</v>
      </c>
      <c r="R121" s="210">
        <v>0</v>
      </c>
      <c r="S121" s="210">
        <v>0</v>
      </c>
      <c r="T121" s="210">
        <v>0</v>
      </c>
      <c r="U121" s="210">
        <v>0</v>
      </c>
      <c r="V121" s="210">
        <v>0</v>
      </c>
      <c r="W121" s="210">
        <v>0</v>
      </c>
      <c r="X121" s="210">
        <v>0</v>
      </c>
      <c r="Y121" s="210">
        <v>0</v>
      </c>
      <c r="Z121" s="210">
        <v>0</v>
      </c>
      <c r="AA121" s="210">
        <v>0</v>
      </c>
      <c r="AB121" s="210">
        <v>0</v>
      </c>
      <c r="AC121" s="210">
        <v>0</v>
      </c>
      <c r="AD121" s="210">
        <v>0</v>
      </c>
      <c r="AE121" s="210">
        <v>0</v>
      </c>
      <c r="AF121" s="210">
        <v>0</v>
      </c>
      <c r="AG121" s="210">
        <v>0</v>
      </c>
      <c r="AH121" s="210">
        <v>0</v>
      </c>
      <c r="AI121" s="210">
        <v>0</v>
      </c>
      <c r="AJ121" s="210">
        <v>0</v>
      </c>
      <c r="AK121" s="210">
        <v>0</v>
      </c>
      <c r="AL121" s="210">
        <v>0</v>
      </c>
      <c r="AM121" s="210">
        <v>0</v>
      </c>
      <c r="AN121" s="210">
        <v>0</v>
      </c>
      <c r="AO121" s="210">
        <v>0</v>
      </c>
      <c r="AP121" s="210">
        <v>0</v>
      </c>
    </row>
    <row r="122" spans="1:42" s="118" customFormat="1">
      <c r="A122" s="284" t="s">
        <v>53</v>
      </c>
      <c r="B122" s="285">
        <f>SUM(B120:B121)</f>
        <v>0</v>
      </c>
      <c r="C122" s="285">
        <f>SUM(C120:C121)</f>
        <v>0</v>
      </c>
      <c r="D122" s="285">
        <f>SUM(D120:D121)</f>
        <v>0</v>
      </c>
      <c r="E122" s="285">
        <f t="shared" ref="E122:AP122" si="71">SUM(E120:E121)</f>
        <v>0</v>
      </c>
      <c r="F122" s="285">
        <f t="shared" si="71"/>
        <v>0</v>
      </c>
      <c r="G122" s="285">
        <f t="shared" si="71"/>
        <v>0</v>
      </c>
      <c r="H122" s="285">
        <f t="shared" si="71"/>
        <v>0</v>
      </c>
      <c r="I122" s="285">
        <f t="shared" si="71"/>
        <v>0</v>
      </c>
      <c r="J122" s="285">
        <f t="shared" si="71"/>
        <v>0</v>
      </c>
      <c r="K122" s="285">
        <f t="shared" si="71"/>
        <v>0</v>
      </c>
      <c r="L122" s="285">
        <f t="shared" si="71"/>
        <v>0</v>
      </c>
      <c r="M122" s="285">
        <f t="shared" si="71"/>
        <v>0</v>
      </c>
      <c r="N122" s="285">
        <f t="shared" si="71"/>
        <v>0</v>
      </c>
      <c r="O122" s="285">
        <f t="shared" si="71"/>
        <v>0</v>
      </c>
      <c r="P122" s="285">
        <f t="shared" si="71"/>
        <v>0</v>
      </c>
      <c r="Q122" s="285">
        <f t="shared" si="71"/>
        <v>0</v>
      </c>
      <c r="R122" s="285">
        <f t="shared" si="71"/>
        <v>0</v>
      </c>
      <c r="S122" s="285">
        <f t="shared" si="71"/>
        <v>0</v>
      </c>
      <c r="T122" s="285">
        <f t="shared" si="71"/>
        <v>0</v>
      </c>
      <c r="U122" s="285">
        <f t="shared" si="71"/>
        <v>0</v>
      </c>
      <c r="V122" s="285">
        <f t="shared" si="71"/>
        <v>0</v>
      </c>
      <c r="W122" s="285">
        <f t="shared" si="71"/>
        <v>0</v>
      </c>
      <c r="X122" s="285">
        <f t="shared" si="71"/>
        <v>0</v>
      </c>
      <c r="Y122" s="285">
        <f t="shared" si="71"/>
        <v>0</v>
      </c>
      <c r="Z122" s="285">
        <f t="shared" si="71"/>
        <v>0</v>
      </c>
      <c r="AA122" s="285">
        <f t="shared" si="71"/>
        <v>0</v>
      </c>
      <c r="AB122" s="285">
        <f t="shared" si="71"/>
        <v>0</v>
      </c>
      <c r="AC122" s="285">
        <f t="shared" si="71"/>
        <v>0</v>
      </c>
      <c r="AD122" s="285">
        <f t="shared" si="71"/>
        <v>0</v>
      </c>
      <c r="AE122" s="285">
        <f t="shared" si="71"/>
        <v>0</v>
      </c>
      <c r="AF122" s="285">
        <f t="shared" si="71"/>
        <v>0</v>
      </c>
      <c r="AG122" s="285">
        <f t="shared" si="71"/>
        <v>0</v>
      </c>
      <c r="AH122" s="285">
        <f t="shared" si="71"/>
        <v>0</v>
      </c>
      <c r="AI122" s="285">
        <f t="shared" si="71"/>
        <v>0</v>
      </c>
      <c r="AJ122" s="285">
        <f t="shared" si="71"/>
        <v>0</v>
      </c>
      <c r="AK122" s="285">
        <f t="shared" si="71"/>
        <v>0</v>
      </c>
      <c r="AL122" s="285">
        <f t="shared" si="71"/>
        <v>0</v>
      </c>
      <c r="AM122" s="285">
        <f t="shared" si="71"/>
        <v>0</v>
      </c>
      <c r="AN122" s="285">
        <f t="shared" si="71"/>
        <v>0</v>
      </c>
      <c r="AO122" s="285">
        <f t="shared" si="71"/>
        <v>0</v>
      </c>
      <c r="AP122" s="285">
        <f t="shared" si="71"/>
        <v>0</v>
      </c>
    </row>
    <row r="123" spans="1:42" s="118" customFormat="1">
      <c r="A123" s="280" t="s">
        <v>53</v>
      </c>
      <c r="B123" s="278">
        <f>B110+B114+B118+B122</f>
        <v>0</v>
      </c>
      <c r="C123" s="278">
        <f t="shared" ref="C123:AP123" si="72">C110+C114+C118+C122</f>
        <v>0</v>
      </c>
      <c r="D123" s="278">
        <f t="shared" si="72"/>
        <v>0</v>
      </c>
      <c r="E123" s="278">
        <f t="shared" si="72"/>
        <v>0</v>
      </c>
      <c r="F123" s="278">
        <f t="shared" si="72"/>
        <v>0</v>
      </c>
      <c r="G123" s="278">
        <f t="shared" si="72"/>
        <v>0</v>
      </c>
      <c r="H123" s="278">
        <f t="shared" si="72"/>
        <v>0</v>
      </c>
      <c r="I123" s="278">
        <f t="shared" si="72"/>
        <v>0</v>
      </c>
      <c r="J123" s="278">
        <f t="shared" si="72"/>
        <v>0</v>
      </c>
      <c r="K123" s="278">
        <f t="shared" si="72"/>
        <v>0</v>
      </c>
      <c r="L123" s="278">
        <f t="shared" si="72"/>
        <v>0</v>
      </c>
      <c r="M123" s="278">
        <f t="shared" si="72"/>
        <v>0</v>
      </c>
      <c r="N123" s="278">
        <f t="shared" si="72"/>
        <v>0</v>
      </c>
      <c r="O123" s="278">
        <f t="shared" si="72"/>
        <v>0</v>
      </c>
      <c r="P123" s="278">
        <f t="shared" si="72"/>
        <v>0</v>
      </c>
      <c r="Q123" s="278">
        <f t="shared" si="72"/>
        <v>0</v>
      </c>
      <c r="R123" s="278">
        <f t="shared" si="72"/>
        <v>0</v>
      </c>
      <c r="S123" s="278">
        <f t="shared" si="72"/>
        <v>0</v>
      </c>
      <c r="T123" s="278">
        <f t="shared" si="72"/>
        <v>0</v>
      </c>
      <c r="U123" s="278">
        <f t="shared" si="72"/>
        <v>0</v>
      </c>
      <c r="V123" s="278">
        <f t="shared" si="72"/>
        <v>0</v>
      </c>
      <c r="W123" s="278">
        <f t="shared" si="72"/>
        <v>0</v>
      </c>
      <c r="X123" s="278">
        <f t="shared" si="72"/>
        <v>0</v>
      </c>
      <c r="Y123" s="278">
        <f t="shared" si="72"/>
        <v>0</v>
      </c>
      <c r="Z123" s="278">
        <f t="shared" si="72"/>
        <v>0</v>
      </c>
      <c r="AA123" s="278">
        <f t="shared" si="72"/>
        <v>0</v>
      </c>
      <c r="AB123" s="278">
        <f t="shared" si="72"/>
        <v>0</v>
      </c>
      <c r="AC123" s="278">
        <f t="shared" si="72"/>
        <v>0</v>
      </c>
      <c r="AD123" s="278">
        <f t="shared" si="72"/>
        <v>0</v>
      </c>
      <c r="AE123" s="278">
        <f t="shared" si="72"/>
        <v>0</v>
      </c>
      <c r="AF123" s="278">
        <f t="shared" si="72"/>
        <v>0</v>
      </c>
      <c r="AG123" s="278">
        <f t="shared" si="72"/>
        <v>0</v>
      </c>
      <c r="AH123" s="278">
        <f t="shared" si="72"/>
        <v>0</v>
      </c>
      <c r="AI123" s="278">
        <f t="shared" si="72"/>
        <v>0</v>
      </c>
      <c r="AJ123" s="278">
        <f t="shared" si="72"/>
        <v>0</v>
      </c>
      <c r="AK123" s="278">
        <f t="shared" si="72"/>
        <v>0</v>
      </c>
      <c r="AL123" s="278">
        <f t="shared" si="72"/>
        <v>0</v>
      </c>
      <c r="AM123" s="278">
        <f t="shared" si="72"/>
        <v>0</v>
      </c>
      <c r="AN123" s="278">
        <f t="shared" si="72"/>
        <v>0</v>
      </c>
      <c r="AO123" s="278">
        <f t="shared" si="72"/>
        <v>0</v>
      </c>
      <c r="AP123" s="278">
        <f t="shared" si="72"/>
        <v>0</v>
      </c>
    </row>
    <row r="124" spans="1:42" s="118" customFormat="1">
      <c r="A124" s="284"/>
      <c r="B124" s="278"/>
      <c r="C124" s="278"/>
      <c r="D124" s="278"/>
      <c r="E124" s="278"/>
      <c r="F124" s="278"/>
      <c r="G124" s="278"/>
      <c r="H124" s="278"/>
      <c r="I124" s="278"/>
      <c r="J124" s="278"/>
      <c r="K124" s="278"/>
      <c r="L124" s="278"/>
      <c r="M124" s="278"/>
      <c r="N124" s="278"/>
      <c r="O124" s="278"/>
      <c r="P124" s="278"/>
      <c r="Q124" s="278"/>
      <c r="R124" s="278"/>
      <c r="S124" s="278"/>
      <c r="T124" s="278"/>
      <c r="U124" s="278"/>
      <c r="V124" s="278"/>
      <c r="W124" s="278"/>
      <c r="X124" s="278"/>
      <c r="Y124" s="278"/>
      <c r="Z124" s="278"/>
      <c r="AA124" s="278"/>
      <c r="AB124" s="278"/>
      <c r="AC124" s="278"/>
      <c r="AD124" s="278"/>
      <c r="AE124" s="278"/>
      <c r="AF124" s="278"/>
      <c r="AG124" s="278"/>
      <c r="AH124" s="278"/>
      <c r="AI124" s="278"/>
      <c r="AJ124" s="278"/>
      <c r="AK124" s="278"/>
      <c r="AL124" s="278"/>
      <c r="AM124" s="278"/>
      <c r="AN124" s="278"/>
      <c r="AO124" s="278"/>
      <c r="AP124" s="278"/>
    </row>
    <row r="125" spans="1:42" s="118" customFormat="1">
      <c r="A125" s="280" t="s">
        <v>401</v>
      </c>
      <c r="B125" s="281">
        <f>ROUND(IF(ISERROR(IRR($B123:B123)),0,IRR($B123:B123)),4)</f>
        <v>0</v>
      </c>
      <c r="C125" s="281">
        <f>ROUND(IF(ISERROR(IRR($B123:C123)),0,IRR($B123:C123)),4)</f>
        <v>0</v>
      </c>
      <c r="D125" s="281">
        <f>ROUND(IF(ISERROR(IRR($B123:D123)),0,IRR($B123:D123)),4)</f>
        <v>0</v>
      </c>
      <c r="E125" s="281">
        <f>ROUND(IF(ISERROR(IRR($B123:E123)),0,IRR($B123:E123)),4)</f>
        <v>0</v>
      </c>
      <c r="F125" s="281">
        <f>ROUND(IF(ISERROR(IRR($B123:F123)),0,IRR($B123:F123)),4)</f>
        <v>0</v>
      </c>
      <c r="G125" s="281">
        <f>ROUND(IF(ISERROR(IRR($B123:G123)),0,IRR($B123:G123)),4)</f>
        <v>0</v>
      </c>
      <c r="H125" s="281">
        <f>ROUND(IF(ISERROR(IRR($B123:H123)),0,IRR($B123:H123)),4)</f>
        <v>0</v>
      </c>
      <c r="I125" s="281">
        <f>ROUND(IF(ISERROR(IRR($B123:I123)),0,IRR($B123:I123)),4)</f>
        <v>0</v>
      </c>
      <c r="J125" s="281">
        <f>ROUND(IF(ISERROR(IRR($B123:J123)),0,IRR($B123:J123)),4)</f>
        <v>0</v>
      </c>
      <c r="K125" s="281">
        <f>ROUND(IF(ISERROR(IRR($B123:K123)),0,IRR($B123:K123)),4)</f>
        <v>0</v>
      </c>
      <c r="L125" s="281">
        <f>ROUND(IF(ISERROR(IRR($B123:L123)),0,IRR($B123:L123)),4)</f>
        <v>0</v>
      </c>
      <c r="M125" s="281">
        <f>ROUND(IF(ISERROR(IRR($B123:M123)),0,IRR($B123:M123)),4)</f>
        <v>0</v>
      </c>
      <c r="N125" s="281">
        <f>ROUND(IF(ISERROR(IRR($B123:N123)),0,IRR($B123:N123)),4)</f>
        <v>0</v>
      </c>
      <c r="O125" s="281">
        <f>ROUND(IF(ISERROR(IRR($B123:O123)),0,IRR($B123:O123)),4)</f>
        <v>0</v>
      </c>
      <c r="P125" s="281">
        <f>ROUND(IF(ISERROR(IRR($B123:P123)),0,IRR($B123:P123)),4)</f>
        <v>0</v>
      </c>
      <c r="Q125" s="281">
        <f>ROUND(IF(ISERROR(IRR($B123:Q123)),0,IRR($B123:Q123)),4)</f>
        <v>0</v>
      </c>
      <c r="R125" s="281">
        <f>ROUND(IF(ISERROR(IRR($B123:R123)),0,IRR($B123:R123)),4)</f>
        <v>0</v>
      </c>
      <c r="S125" s="281">
        <f>ROUND(IF(ISERROR(IRR($B123:S123)),0,IRR($B123:S123)),4)</f>
        <v>0</v>
      </c>
      <c r="T125" s="281">
        <f>ROUND(IF(ISERROR(IRR($B123:T123)),0,IRR($B123:T123)),4)</f>
        <v>0</v>
      </c>
      <c r="U125" s="281">
        <f>ROUND(IF(ISERROR(IRR($B123:U123)),0,IRR($B123:U123)),4)</f>
        <v>0</v>
      </c>
      <c r="V125" s="281">
        <f>ROUND(IF(ISERROR(IRR($B123:V123)),0,IRR($B123:V123)),4)</f>
        <v>0</v>
      </c>
      <c r="W125" s="281">
        <f>ROUND(IF(ISERROR(IRR($B123:W123)),0,IRR($B123:W123)),4)</f>
        <v>0</v>
      </c>
      <c r="X125" s="281">
        <f>ROUND(IF(ISERROR(IRR($B123:X123)),0,IRR($B123:X123)),4)</f>
        <v>0</v>
      </c>
      <c r="Y125" s="281">
        <f>ROUND(IF(ISERROR(IRR($B123:Y123)),0,IRR($B123:Y123)),4)</f>
        <v>0</v>
      </c>
      <c r="Z125" s="281">
        <f>ROUND(IF(ISERROR(IRR($B123:Z123)),0,IRR($B123:Z123)),4)</f>
        <v>0</v>
      </c>
      <c r="AA125" s="281">
        <f>ROUND(IF(ISERROR(IRR($B123:AA123)),0,IRR($B123:AA123)),4)</f>
        <v>0</v>
      </c>
      <c r="AB125" s="281">
        <f>ROUND(IF(ISERROR(IRR($B123:AB123)),0,IRR($B123:AB123)),4)</f>
        <v>0</v>
      </c>
      <c r="AC125" s="281">
        <f>ROUND(IF(ISERROR(IRR($B123:AC123)),0,IRR($B123:AC123)),4)</f>
        <v>0</v>
      </c>
      <c r="AD125" s="281">
        <f>ROUND(IF(ISERROR(IRR($B123:AD123)),0,IRR($B123:AD123)),4)</f>
        <v>0</v>
      </c>
      <c r="AE125" s="281">
        <f>ROUND(IF(ISERROR(IRR($B123:AE123)),0,IRR($B123:AE123)),4)</f>
        <v>0</v>
      </c>
      <c r="AF125" s="281">
        <f>ROUND(IF(ISERROR(IRR($B123:AF123)),0,IRR($B123:AF123)),4)</f>
        <v>0</v>
      </c>
      <c r="AG125" s="281">
        <f>ROUND(IF(ISERROR(IRR($B123:AG123)),0,IRR($B123:AG123)),4)</f>
        <v>0</v>
      </c>
      <c r="AH125" s="281">
        <f>ROUND(IF(ISERROR(IRR($B123:AH123)),0,IRR($B123:AH123)),4)</f>
        <v>0</v>
      </c>
      <c r="AI125" s="281">
        <f>ROUND(IF(ISERROR(IRR($B123:AI123)),0,IRR($B123:AI123)),4)</f>
        <v>0</v>
      </c>
      <c r="AJ125" s="281">
        <f>ROUND(IF(ISERROR(IRR($B123:AJ123)),0,IRR($B123:AJ123)),4)</f>
        <v>0</v>
      </c>
      <c r="AK125" s="281">
        <f>ROUND(IF(ISERROR(IRR($B123:AK123)),0,IRR($B123:AK123)),4)</f>
        <v>0</v>
      </c>
      <c r="AL125" s="281">
        <f>ROUND(IF(ISERROR(IRR($B123:AL123)),0,IRR($B123:AL123)),4)</f>
        <v>0</v>
      </c>
      <c r="AM125" s="281">
        <f>ROUND(IF(ISERROR(IRR($B123:AM123)),0,IRR($B123:AM123)),4)</f>
        <v>0</v>
      </c>
      <c r="AN125" s="281">
        <f>ROUND(IF(ISERROR(IRR($B123:AN123)),0,IRR($B123:AN123)),4)</f>
        <v>0</v>
      </c>
      <c r="AO125" s="281">
        <f>ROUND(IF(ISERROR(IRR($B123:AO123)),0,IRR($B123:AO123)),4)</f>
        <v>0</v>
      </c>
      <c r="AP125" s="281">
        <f>ROUND(IF(ISERROR(IRR($B123:AP123)),0,IRR($B123:AP123)),4)</f>
        <v>0</v>
      </c>
    </row>
    <row r="126" spans="1:42" s="118" customFormat="1">
      <c r="A126" s="280" t="s">
        <v>402</v>
      </c>
      <c r="B126" s="282">
        <f>B123</f>
        <v>0</v>
      </c>
      <c r="C126" s="282">
        <f>NPV(DiscountRate,$C123:C123)+$B123</f>
        <v>0</v>
      </c>
      <c r="D126" s="282">
        <f>NPV(DiscountRate,$C123:D123)+$B123</f>
        <v>0</v>
      </c>
      <c r="E126" s="282">
        <f>NPV(DiscountRate,$C123:E123)+$B123</f>
        <v>0</v>
      </c>
      <c r="F126" s="282">
        <f>NPV(DiscountRate,$C123:F123)+$B123</f>
        <v>0</v>
      </c>
      <c r="G126" s="282">
        <f>NPV(DiscountRate,$C123:G123)+$B123</f>
        <v>0</v>
      </c>
      <c r="H126" s="282">
        <f>NPV(DiscountRate,$C123:H123)+$B123</f>
        <v>0</v>
      </c>
      <c r="I126" s="282">
        <f>NPV(DiscountRate,$C123:I123)+$B123</f>
        <v>0</v>
      </c>
      <c r="J126" s="282">
        <f>NPV(DiscountRate,$C123:J123)+$B123</f>
        <v>0</v>
      </c>
      <c r="K126" s="282">
        <f>NPV(DiscountRate,$C123:K123)+$B123</f>
        <v>0</v>
      </c>
      <c r="L126" s="282">
        <f>NPV(DiscountRate,$C123:L123)+$B123</f>
        <v>0</v>
      </c>
      <c r="M126" s="282">
        <f>NPV(DiscountRate,$C123:M123)+$B123</f>
        <v>0</v>
      </c>
      <c r="N126" s="282">
        <f>NPV(DiscountRate,$C123:N123)+$B123</f>
        <v>0</v>
      </c>
      <c r="O126" s="282">
        <f>NPV(DiscountRate,$C123:O123)+$B123</f>
        <v>0</v>
      </c>
      <c r="P126" s="282">
        <f>NPV(DiscountRate,$C123:P123)+$B123</f>
        <v>0</v>
      </c>
      <c r="Q126" s="282">
        <f>NPV(DiscountRate,$C123:Q123)+$B123</f>
        <v>0</v>
      </c>
      <c r="R126" s="282">
        <f>NPV(DiscountRate,$C123:R123)+$B123</f>
        <v>0</v>
      </c>
      <c r="S126" s="282">
        <f>NPV(DiscountRate,$C123:S123)+$B123</f>
        <v>0</v>
      </c>
      <c r="T126" s="282">
        <f>NPV(DiscountRate,$C123:T123)+$B123</f>
        <v>0</v>
      </c>
      <c r="U126" s="282">
        <f>NPV(DiscountRate,$C123:U123)+$B123</f>
        <v>0</v>
      </c>
      <c r="V126" s="282">
        <f>NPV(DiscountRate,$C123:V123)+$B123</f>
        <v>0</v>
      </c>
      <c r="W126" s="282">
        <f>NPV(DiscountRate,$C123:W123)+$B123</f>
        <v>0</v>
      </c>
      <c r="X126" s="282">
        <f>NPV(DiscountRate,$C123:X123)+$B123</f>
        <v>0</v>
      </c>
      <c r="Y126" s="282">
        <f>NPV(DiscountRate,$C123:Y123)+$B123</f>
        <v>0</v>
      </c>
      <c r="Z126" s="282">
        <f>NPV(DiscountRate,$C123:Z123)+$B123</f>
        <v>0</v>
      </c>
      <c r="AA126" s="282">
        <f>NPV(DiscountRate,$C123:AA123)+$B123</f>
        <v>0</v>
      </c>
      <c r="AB126" s="282">
        <f>NPV(DiscountRate,$C123:AB123)+$B123</f>
        <v>0</v>
      </c>
      <c r="AC126" s="282">
        <f>NPV(DiscountRate,$C123:AC123)+$B123</f>
        <v>0</v>
      </c>
      <c r="AD126" s="282">
        <f>NPV(DiscountRate,$C123:AD123)+$B123</f>
        <v>0</v>
      </c>
      <c r="AE126" s="282">
        <f>NPV(DiscountRate,$C123:AE123)+$B123</f>
        <v>0</v>
      </c>
      <c r="AF126" s="282">
        <f>NPV(DiscountRate,$C123:AF123)+$B123</f>
        <v>0</v>
      </c>
      <c r="AG126" s="282">
        <f>NPV(DiscountRate,$C123:AG123)+$B123</f>
        <v>0</v>
      </c>
      <c r="AH126" s="282">
        <f>NPV(DiscountRate,$C123:AH123)+$B123</f>
        <v>0</v>
      </c>
      <c r="AI126" s="282">
        <f>NPV(DiscountRate,$C123:AI123)+$B123</f>
        <v>0</v>
      </c>
      <c r="AJ126" s="282">
        <f>NPV(DiscountRate,$C123:AJ123)+$B123</f>
        <v>0</v>
      </c>
      <c r="AK126" s="282">
        <f>NPV(DiscountRate,$C123:AK123)+$B123</f>
        <v>0</v>
      </c>
      <c r="AL126" s="282">
        <f>NPV(DiscountRate,$C123:AL123)+$B123</f>
        <v>0</v>
      </c>
      <c r="AM126" s="282">
        <f>NPV(DiscountRate,$C123:AM123)+$B123</f>
        <v>0</v>
      </c>
      <c r="AN126" s="282">
        <f>NPV(DiscountRate,$C123:AN123)+$B123</f>
        <v>0</v>
      </c>
      <c r="AO126" s="282">
        <f>NPV(DiscountRate,$C123:AO123)+$B123</f>
        <v>0</v>
      </c>
      <c r="AP126" s="282">
        <f>NPV(DiscountRate,$C123:AP123)+$B123</f>
        <v>0</v>
      </c>
    </row>
    <row r="127" spans="1:42" s="118" customFormat="1">
      <c r="A127" s="284"/>
      <c r="B127" s="278"/>
      <c r="C127" s="278"/>
      <c r="D127" s="278"/>
      <c r="E127" s="278"/>
      <c r="F127" s="278"/>
      <c r="G127" s="278"/>
      <c r="H127" s="278"/>
      <c r="I127" s="278"/>
      <c r="J127" s="278"/>
      <c r="K127" s="278"/>
      <c r="L127" s="278"/>
      <c r="M127" s="278"/>
      <c r="N127" s="278"/>
      <c r="O127" s="278"/>
      <c r="P127" s="278"/>
      <c r="Q127" s="278"/>
      <c r="R127" s="278"/>
      <c r="S127" s="278"/>
      <c r="T127" s="278"/>
      <c r="U127" s="278"/>
      <c r="V127" s="278"/>
      <c r="W127" s="278"/>
      <c r="X127" s="278"/>
      <c r="Y127" s="278"/>
      <c r="Z127" s="278"/>
      <c r="AA127" s="278"/>
      <c r="AB127" s="278"/>
      <c r="AC127" s="278"/>
      <c r="AD127" s="278"/>
      <c r="AE127" s="278"/>
      <c r="AF127" s="278"/>
      <c r="AG127" s="278"/>
      <c r="AH127" s="278"/>
      <c r="AI127" s="278"/>
      <c r="AJ127" s="278"/>
      <c r="AK127" s="278"/>
      <c r="AL127" s="278"/>
      <c r="AM127" s="278"/>
      <c r="AN127" s="278"/>
      <c r="AO127" s="278"/>
      <c r="AP127" s="278"/>
    </row>
    <row r="128" spans="1:42">
      <c r="A128" s="179" t="s">
        <v>250</v>
      </c>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0" t="s">
        <v>438</v>
      </c>
      <c r="B129" s="196">
        <f>SUM(C129:AP129)</f>
        <v>217785835.73999903</v>
      </c>
      <c r="C129" s="152">
        <f t="shared" ref="C129:AP129" si="73">C12</f>
        <v>6751763.4288489567</v>
      </c>
      <c r="D129" s="152">
        <f t="shared" si="73"/>
        <v>6785184.6578217577</v>
      </c>
      <c r="E129" s="152">
        <f t="shared" si="73"/>
        <v>6818771.321877975</v>
      </c>
      <c r="F129" s="152">
        <f t="shared" si="73"/>
        <v>6852524.2399212718</v>
      </c>
      <c r="G129" s="152">
        <f t="shared" si="73"/>
        <v>6886444.2349088825</v>
      </c>
      <c r="H129" s="152">
        <f t="shared" si="73"/>
        <v>6920532.1338716801</v>
      </c>
      <c r="I129" s="152">
        <f t="shared" si="73"/>
        <v>6954788.7679343466</v>
      </c>
      <c r="J129" s="152">
        <f t="shared" si="73"/>
        <v>6989214.9723356199</v>
      </c>
      <c r="K129" s="152">
        <f t="shared" si="73"/>
        <v>7023811.5864486834</v>
      </c>
      <c r="L129" s="152">
        <f t="shared" si="73"/>
        <v>7058579.4538016059</v>
      </c>
      <c r="M129" s="152">
        <f t="shared" si="73"/>
        <v>7093519.4220979242</v>
      </c>
      <c r="N129" s="152">
        <f t="shared" si="73"/>
        <v>7128632.3432373069</v>
      </c>
      <c r="O129" s="152">
        <f t="shared" si="73"/>
        <v>7163919.0733363321</v>
      </c>
      <c r="P129" s="152">
        <f t="shared" si="73"/>
        <v>7199380.472749345</v>
      </c>
      <c r="Q129" s="152">
        <f t="shared" si="73"/>
        <v>7235017.4060894577</v>
      </c>
      <c r="R129" s="152">
        <f t="shared" si="73"/>
        <v>7270830.7422495969</v>
      </c>
      <c r="S129" s="152">
        <f t="shared" si="73"/>
        <v>7306821.3544237344</v>
      </c>
      <c r="T129" s="152">
        <f t="shared" si="73"/>
        <v>7342990.1201281324</v>
      </c>
      <c r="U129" s="152">
        <f t="shared" si="73"/>
        <v>7379337.9212227669</v>
      </c>
      <c r="V129" s="152">
        <f t="shared" si="73"/>
        <v>7415865.6439328184</v>
      </c>
      <c r="W129" s="152">
        <f t="shared" si="73"/>
        <v>7452574.1788702859</v>
      </c>
      <c r="X129" s="152">
        <f t="shared" si="73"/>
        <v>7489464.4210556922</v>
      </c>
      <c r="Y129" s="152">
        <f t="shared" si="73"/>
        <v>7526537.2699399199</v>
      </c>
      <c r="Z129" s="152">
        <f t="shared" si="73"/>
        <v>7563793.6294261208</v>
      </c>
      <c r="AA129" s="152">
        <f t="shared" si="73"/>
        <v>7601234.4078917829</v>
      </c>
      <c r="AB129" s="152">
        <f t="shared" si="73"/>
        <v>7638860.5182108469</v>
      </c>
      <c r="AC129" s="152">
        <f t="shared" si="73"/>
        <v>7676672.8777759913</v>
      </c>
      <c r="AD129" s="152">
        <f t="shared" si="73"/>
        <v>7714672.4085209789</v>
      </c>
      <c r="AE129" s="152">
        <f t="shared" si="73"/>
        <v>7752860.0369431581</v>
      </c>
      <c r="AF129" s="152">
        <f t="shared" si="73"/>
        <v>7791236.6941260267</v>
      </c>
      <c r="AG129" s="152">
        <f t="shared" si="73"/>
        <v>0</v>
      </c>
      <c r="AH129" s="152">
        <f t="shared" si="73"/>
        <v>0</v>
      </c>
      <c r="AI129" s="152">
        <f t="shared" si="73"/>
        <v>0</v>
      </c>
      <c r="AJ129" s="152">
        <f t="shared" si="73"/>
        <v>0</v>
      </c>
      <c r="AK129" s="152">
        <f t="shared" si="73"/>
        <v>0</v>
      </c>
      <c r="AL129" s="152">
        <f t="shared" si="73"/>
        <v>0</v>
      </c>
      <c r="AM129" s="152">
        <f t="shared" si="73"/>
        <v>0</v>
      </c>
      <c r="AN129" s="152">
        <f t="shared" si="73"/>
        <v>0</v>
      </c>
      <c r="AO129" s="152">
        <f t="shared" si="73"/>
        <v>0</v>
      </c>
      <c r="AP129" s="152">
        <f t="shared" si="73"/>
        <v>0</v>
      </c>
    </row>
    <row r="130" spans="1:42">
      <c r="A130" s="180" t="s">
        <v>127</v>
      </c>
      <c r="B130" s="196">
        <f>SUM(C130:AP130)</f>
        <v>474693747.49003303</v>
      </c>
      <c r="C130" s="152">
        <f t="shared" ref="C130:AP130" si="74">C5</f>
        <v>17000000</v>
      </c>
      <c r="D130" s="152">
        <f t="shared" si="74"/>
        <v>16915000</v>
      </c>
      <c r="E130" s="152">
        <f t="shared" si="74"/>
        <v>16830425</v>
      </c>
      <c r="F130" s="152">
        <f t="shared" si="74"/>
        <v>16746272.875</v>
      </c>
      <c r="G130" s="152">
        <f t="shared" si="74"/>
        <v>16662541.510624999</v>
      </c>
      <c r="H130" s="152">
        <f t="shared" si="74"/>
        <v>16579228.803071873</v>
      </c>
      <c r="I130" s="152">
        <f t="shared" si="74"/>
        <v>16496332.659056515</v>
      </c>
      <c r="J130" s="152">
        <f t="shared" si="74"/>
        <v>16413850.995761232</v>
      </c>
      <c r="K130" s="152">
        <f t="shared" si="74"/>
        <v>16331781.740782427</v>
      </c>
      <c r="L130" s="152">
        <f t="shared" si="74"/>
        <v>16250122.832078515</v>
      </c>
      <c r="M130" s="152">
        <f t="shared" si="74"/>
        <v>16168872.217918122</v>
      </c>
      <c r="N130" s="152">
        <f t="shared" si="74"/>
        <v>16088027.856828531</v>
      </c>
      <c r="O130" s="152">
        <f t="shared" si="74"/>
        <v>16007587.717544388</v>
      </c>
      <c r="P130" s="152">
        <f t="shared" si="74"/>
        <v>15927549.778956667</v>
      </c>
      <c r="Q130" s="152">
        <f t="shared" si="74"/>
        <v>15847912.030061884</v>
      </c>
      <c r="R130" s="152">
        <f t="shared" si="74"/>
        <v>15768672.469911573</v>
      </c>
      <c r="S130" s="152">
        <f t="shared" si="74"/>
        <v>15689829.107562015</v>
      </c>
      <c r="T130" s="152">
        <f t="shared" si="74"/>
        <v>15611379.962024204</v>
      </c>
      <c r="U130" s="152">
        <f t="shared" si="74"/>
        <v>15533323.062214084</v>
      </c>
      <c r="V130" s="152">
        <f t="shared" si="74"/>
        <v>15455656.446903013</v>
      </c>
      <c r="W130" s="152">
        <f t="shared" si="74"/>
        <v>15378378.164668497</v>
      </c>
      <c r="X130" s="152">
        <f t="shared" si="74"/>
        <v>15301486.273845155</v>
      </c>
      <c r="Y130" s="152">
        <f t="shared" si="74"/>
        <v>15224978.842475928</v>
      </c>
      <c r="Z130" s="152">
        <f t="shared" si="74"/>
        <v>15148853.948263548</v>
      </c>
      <c r="AA130" s="152">
        <f t="shared" si="74"/>
        <v>15073109.678522231</v>
      </c>
      <c r="AB130" s="152">
        <f t="shared" si="74"/>
        <v>14997744.13012962</v>
      </c>
      <c r="AC130" s="152">
        <f t="shared" si="74"/>
        <v>14922755.409478972</v>
      </c>
      <c r="AD130" s="152">
        <f t="shared" si="74"/>
        <v>14848141.632431576</v>
      </c>
      <c r="AE130" s="152">
        <f t="shared" si="74"/>
        <v>14773900.924269417</v>
      </c>
      <c r="AF130" s="152">
        <f t="shared" si="74"/>
        <v>14700031.41964807</v>
      </c>
      <c r="AG130" s="152">
        <f t="shared" si="74"/>
        <v>0</v>
      </c>
      <c r="AH130" s="152">
        <f t="shared" si="74"/>
        <v>0</v>
      </c>
      <c r="AI130" s="152">
        <f t="shared" si="74"/>
        <v>0</v>
      </c>
      <c r="AJ130" s="152">
        <f t="shared" si="74"/>
        <v>0</v>
      </c>
      <c r="AK130" s="152">
        <f t="shared" si="74"/>
        <v>0</v>
      </c>
      <c r="AL130" s="152">
        <f t="shared" si="74"/>
        <v>0</v>
      </c>
      <c r="AM130" s="152">
        <f t="shared" si="74"/>
        <v>0</v>
      </c>
      <c r="AN130" s="152">
        <f t="shared" si="74"/>
        <v>0</v>
      </c>
      <c r="AO130" s="152">
        <f t="shared" si="74"/>
        <v>0</v>
      </c>
      <c r="AP130" s="152">
        <f t="shared" si="74"/>
        <v>0</v>
      </c>
    </row>
    <row r="131" spans="1:42">
      <c r="B131" s="152"/>
      <c r="C131" s="152"/>
      <c r="D131" s="152"/>
      <c r="E131" s="152"/>
      <c r="F131" s="152"/>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row>
    <row r="132" spans="1:42">
      <c r="A132" s="37" t="s">
        <v>436</v>
      </c>
      <c r="B132" s="196">
        <f>NPV(DiscountRate,C129:AP129)</f>
        <v>79595715.668740034</v>
      </c>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c r="A133" s="37" t="s">
        <v>437</v>
      </c>
      <c r="B133" s="196">
        <f>NPV(DiscountRate,C130:AP130)</f>
        <v>182899462.80790007</v>
      </c>
      <c r="C133" s="152"/>
      <c r="D133" s="152"/>
      <c r="E133" s="152"/>
      <c r="F133" s="152"/>
      <c r="G133" s="186"/>
      <c r="H133" s="186"/>
      <c r="I133" s="186"/>
      <c r="J133" s="186"/>
      <c r="K133" s="186"/>
      <c r="L133" s="186"/>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c r="AM133" s="186"/>
      <c r="AN133" s="186"/>
      <c r="AO133" s="186"/>
      <c r="AP133" s="186"/>
    </row>
    <row r="134" spans="1:42">
      <c r="A134" s="37" t="s">
        <v>374</v>
      </c>
      <c r="B134" s="199">
        <f>B132/B133</f>
        <v>0.43518835127656819</v>
      </c>
      <c r="C134" s="152"/>
      <c r="D134" s="152"/>
      <c r="E134" s="152"/>
      <c r="F134" s="152"/>
      <c r="G134" s="186"/>
      <c r="H134" s="186"/>
      <c r="I134" s="186"/>
      <c r="J134" s="186"/>
      <c r="K134" s="186"/>
      <c r="L134" s="186"/>
      <c r="M134" s="186"/>
      <c r="N134" s="186"/>
      <c r="O134" s="186"/>
      <c r="P134" s="186"/>
      <c r="Q134" s="186"/>
      <c r="R134" s="186"/>
      <c r="S134" s="186"/>
      <c r="T134" s="186"/>
      <c r="U134" s="186"/>
      <c r="V134" s="186"/>
      <c r="W134" s="186"/>
      <c r="X134" s="186"/>
      <c r="Y134" s="186"/>
      <c r="Z134" s="186"/>
      <c r="AA134" s="186"/>
      <c r="AB134" s="186"/>
      <c r="AC134" s="186"/>
      <c r="AD134" s="186"/>
      <c r="AE134" s="186"/>
      <c r="AF134" s="186"/>
      <c r="AG134" s="186"/>
      <c r="AH134" s="186"/>
      <c r="AI134" s="186"/>
      <c r="AJ134" s="186"/>
      <c r="AK134" s="186"/>
      <c r="AL134" s="186"/>
      <c r="AM134" s="186"/>
      <c r="AN134" s="186"/>
      <c r="AO134" s="186"/>
      <c r="AP134" s="186"/>
    </row>
    <row r="135" spans="1:42">
      <c r="B135" s="152"/>
      <c r="C135" s="152"/>
      <c r="D135" s="152"/>
      <c r="E135" s="152"/>
      <c r="F135" s="152"/>
      <c r="G135" s="186"/>
      <c r="H135" s="186"/>
      <c r="I135" s="186"/>
      <c r="J135" s="186"/>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row>
    <row r="136" spans="1:42" ht="13.5" customHeight="1">
      <c r="A136" s="179" t="s">
        <v>427</v>
      </c>
      <c r="B136" s="198"/>
      <c r="C136" s="198"/>
      <c r="D136" s="198"/>
      <c r="E136" s="198"/>
      <c r="F136" s="198"/>
      <c r="G136" s="141"/>
      <c r="H136" s="141"/>
      <c r="I136" s="141"/>
      <c r="J136" s="141"/>
      <c r="K136" s="141"/>
      <c r="L136" s="186"/>
      <c r="M136" s="186"/>
      <c r="N136" s="186"/>
      <c r="O136" s="186"/>
      <c r="P136" s="186"/>
      <c r="Q136" s="186"/>
      <c r="R136" s="186"/>
      <c r="S136" s="186"/>
      <c r="T136" s="186"/>
      <c r="U136" s="186"/>
      <c r="V136" s="186"/>
      <c r="W136" s="186"/>
      <c r="X136" s="186"/>
      <c r="Y136" s="186"/>
      <c r="Z136" s="186"/>
      <c r="AA136" s="186"/>
      <c r="AB136" s="186"/>
      <c r="AC136" s="186"/>
      <c r="AD136" s="186"/>
      <c r="AE136" s="186"/>
      <c r="AF136" s="186"/>
      <c r="AG136" s="186"/>
      <c r="AH136" s="186"/>
      <c r="AI136" s="186"/>
      <c r="AJ136" s="186"/>
      <c r="AK136" s="186"/>
      <c r="AL136" s="186"/>
      <c r="AM136" s="186"/>
      <c r="AN136" s="186"/>
      <c r="AO136" s="186"/>
      <c r="AP136" s="186"/>
    </row>
    <row r="137" spans="1:42" s="118" customFormat="1">
      <c r="A137" s="195" t="s">
        <v>451</v>
      </c>
      <c r="B137" s="198"/>
      <c r="C137" s="198"/>
      <c r="D137" s="198"/>
      <c r="E137" s="198"/>
      <c r="F137" s="198"/>
      <c r="G137" s="141"/>
      <c r="H137" s="141"/>
      <c r="I137" s="141"/>
      <c r="J137" s="141"/>
      <c r="K137" s="141"/>
      <c r="L137" s="141"/>
      <c r="M137" s="141"/>
      <c r="N137" s="141"/>
      <c r="O137" s="141"/>
      <c r="P137" s="141"/>
      <c r="Q137" s="141"/>
      <c r="R137" s="141"/>
      <c r="S137" s="141"/>
      <c r="T137" s="141"/>
      <c r="U137" s="141"/>
      <c r="V137" s="141"/>
      <c r="W137" s="141"/>
      <c r="X137" s="141"/>
      <c r="Y137" s="141"/>
      <c r="Z137" s="141"/>
      <c r="AA137" s="141"/>
      <c r="AB137" s="141"/>
      <c r="AC137" s="141"/>
      <c r="AD137" s="141"/>
      <c r="AE137" s="141"/>
      <c r="AF137" s="141"/>
      <c r="AG137" s="141"/>
      <c r="AH137" s="141"/>
      <c r="AI137" s="141"/>
      <c r="AJ137" s="141"/>
      <c r="AK137" s="141"/>
      <c r="AL137" s="141"/>
      <c r="AM137" s="141"/>
      <c r="AN137" s="141"/>
      <c r="AO137" s="141"/>
      <c r="AP137" s="141"/>
    </row>
    <row r="138" spans="1:42" s="118" customFormat="1">
      <c r="A138" s="267" t="s">
        <v>458</v>
      </c>
      <c r="B138" s="141">
        <f>-'Inputs &amp; Results'!D182</f>
        <v>-42606688.5</v>
      </c>
      <c r="C138" s="141">
        <f t="shared" ref="C138:AP138" si="75">C150</f>
        <v>0</v>
      </c>
      <c r="D138" s="141">
        <f t="shared" si="75"/>
        <v>0</v>
      </c>
      <c r="E138" s="141">
        <f t="shared" si="75"/>
        <v>0</v>
      </c>
      <c r="F138" s="141">
        <f t="shared" si="75"/>
        <v>0</v>
      </c>
      <c r="G138" s="141">
        <f t="shared" si="75"/>
        <v>0</v>
      </c>
      <c r="H138" s="141">
        <f t="shared" si="75"/>
        <v>0</v>
      </c>
      <c r="I138" s="141">
        <f t="shared" si="75"/>
        <v>0</v>
      </c>
      <c r="J138" s="141">
        <f t="shared" si="75"/>
        <v>0</v>
      </c>
      <c r="K138" s="141">
        <f t="shared" si="75"/>
        <v>0</v>
      </c>
      <c r="L138" s="141">
        <f t="shared" si="75"/>
        <v>0</v>
      </c>
      <c r="M138" s="141">
        <f t="shared" si="75"/>
        <v>0</v>
      </c>
      <c r="N138" s="141">
        <f t="shared" si="75"/>
        <v>0</v>
      </c>
      <c r="O138" s="141">
        <f t="shared" si="75"/>
        <v>0</v>
      </c>
      <c r="P138" s="141">
        <f t="shared" si="75"/>
        <v>0</v>
      </c>
      <c r="Q138" s="141">
        <f t="shared" si="75"/>
        <v>0</v>
      </c>
      <c r="R138" s="141">
        <f t="shared" si="75"/>
        <v>0</v>
      </c>
      <c r="S138" s="141">
        <f t="shared" si="75"/>
        <v>0</v>
      </c>
      <c r="T138" s="141">
        <f t="shared" si="75"/>
        <v>0</v>
      </c>
      <c r="U138" s="141">
        <f t="shared" si="75"/>
        <v>0</v>
      </c>
      <c r="V138" s="141">
        <f t="shared" si="75"/>
        <v>0</v>
      </c>
      <c r="W138" s="141">
        <f t="shared" si="75"/>
        <v>0</v>
      </c>
      <c r="X138" s="141">
        <f t="shared" si="75"/>
        <v>0</v>
      </c>
      <c r="Y138" s="141">
        <f t="shared" si="75"/>
        <v>0</v>
      </c>
      <c r="Z138" s="141">
        <f t="shared" si="75"/>
        <v>0</v>
      </c>
      <c r="AA138" s="141">
        <f t="shared" si="75"/>
        <v>0</v>
      </c>
      <c r="AB138" s="141">
        <f t="shared" si="75"/>
        <v>0</v>
      </c>
      <c r="AC138" s="141">
        <f t="shared" si="75"/>
        <v>0</v>
      </c>
      <c r="AD138" s="141">
        <f t="shared" si="75"/>
        <v>0</v>
      </c>
      <c r="AE138" s="141">
        <f t="shared" si="75"/>
        <v>0</v>
      </c>
      <c r="AF138" s="141">
        <f t="shared" si="75"/>
        <v>0</v>
      </c>
      <c r="AG138" s="141">
        <f t="shared" si="75"/>
        <v>0</v>
      </c>
      <c r="AH138" s="141">
        <f t="shared" si="75"/>
        <v>0</v>
      </c>
      <c r="AI138" s="141">
        <f t="shared" si="75"/>
        <v>0</v>
      </c>
      <c r="AJ138" s="141">
        <f t="shared" si="75"/>
        <v>0</v>
      </c>
      <c r="AK138" s="141">
        <f t="shared" si="75"/>
        <v>0</v>
      </c>
      <c r="AL138" s="141">
        <f t="shared" si="75"/>
        <v>0</v>
      </c>
      <c r="AM138" s="141">
        <f t="shared" si="75"/>
        <v>0</v>
      </c>
      <c r="AN138" s="141">
        <f t="shared" si="75"/>
        <v>0</v>
      </c>
      <c r="AO138" s="141">
        <f t="shared" si="75"/>
        <v>0</v>
      </c>
      <c r="AP138" s="141">
        <f t="shared" si="75"/>
        <v>0</v>
      </c>
    </row>
    <row r="139" spans="1:42" s="118" customFormat="1">
      <c r="A139" s="267" t="s">
        <v>205</v>
      </c>
      <c r="B139" s="141">
        <f>B91</f>
        <v>6641229.75</v>
      </c>
      <c r="C139" s="141">
        <v>0</v>
      </c>
      <c r="D139" s="141">
        <v>0</v>
      </c>
      <c r="E139" s="141">
        <v>0</v>
      </c>
      <c r="F139" s="141">
        <v>0</v>
      </c>
      <c r="G139" s="141">
        <v>0</v>
      </c>
      <c r="H139" s="141">
        <v>0</v>
      </c>
      <c r="I139" s="141">
        <v>0</v>
      </c>
      <c r="J139" s="141">
        <v>0</v>
      </c>
      <c r="K139" s="141">
        <v>0</v>
      </c>
      <c r="L139" s="141">
        <v>0</v>
      </c>
      <c r="M139" s="141">
        <v>0</v>
      </c>
      <c r="N139" s="141">
        <v>0</v>
      </c>
      <c r="O139" s="141">
        <v>0</v>
      </c>
      <c r="P139" s="141">
        <v>0</v>
      </c>
      <c r="Q139" s="141">
        <v>0</v>
      </c>
      <c r="R139" s="141">
        <v>0</v>
      </c>
      <c r="S139" s="141">
        <v>0</v>
      </c>
      <c r="T139" s="141">
        <v>0</v>
      </c>
      <c r="U139" s="141">
        <v>0</v>
      </c>
      <c r="V139" s="141">
        <v>0</v>
      </c>
      <c r="W139" s="141">
        <v>0</v>
      </c>
      <c r="X139" s="141">
        <v>0</v>
      </c>
      <c r="Y139" s="141">
        <v>0</v>
      </c>
      <c r="Z139" s="141">
        <v>0</v>
      </c>
      <c r="AA139" s="141">
        <v>0</v>
      </c>
      <c r="AB139" s="141">
        <v>0</v>
      </c>
      <c r="AC139" s="141">
        <v>0</v>
      </c>
      <c r="AD139" s="141">
        <v>0</v>
      </c>
      <c r="AE139" s="141">
        <v>0</v>
      </c>
      <c r="AF139" s="141">
        <v>0</v>
      </c>
      <c r="AG139" s="141">
        <v>0</v>
      </c>
      <c r="AH139" s="141">
        <v>0</v>
      </c>
      <c r="AI139" s="141">
        <v>0</v>
      </c>
      <c r="AJ139" s="141">
        <v>0</v>
      </c>
      <c r="AK139" s="141">
        <v>0</v>
      </c>
      <c r="AL139" s="141">
        <v>0</v>
      </c>
      <c r="AM139" s="141">
        <v>0</v>
      </c>
      <c r="AN139" s="141">
        <v>0</v>
      </c>
      <c r="AO139" s="141">
        <v>0</v>
      </c>
      <c r="AP139" s="141">
        <v>0</v>
      </c>
    </row>
    <row r="140" spans="1:42" s="118" customFormat="1">
      <c r="A140" s="267" t="s">
        <v>180</v>
      </c>
      <c r="B140" s="141">
        <f>B92</f>
        <v>7150000</v>
      </c>
      <c r="C140" s="141">
        <v>0</v>
      </c>
      <c r="D140" s="141">
        <v>0</v>
      </c>
      <c r="E140" s="141">
        <v>0</v>
      </c>
      <c r="F140" s="141">
        <v>0</v>
      </c>
      <c r="G140" s="141">
        <v>0</v>
      </c>
      <c r="H140" s="141">
        <v>0</v>
      </c>
      <c r="I140" s="141">
        <v>0</v>
      </c>
      <c r="J140" s="141">
        <v>0</v>
      </c>
      <c r="K140" s="141">
        <v>0</v>
      </c>
      <c r="L140" s="141">
        <v>0</v>
      </c>
      <c r="M140" s="141">
        <v>0</v>
      </c>
      <c r="N140" s="141">
        <v>0</v>
      </c>
      <c r="O140" s="141">
        <v>0</v>
      </c>
      <c r="P140" s="141">
        <v>0</v>
      </c>
      <c r="Q140" s="141">
        <v>0</v>
      </c>
      <c r="R140" s="141">
        <v>0</v>
      </c>
      <c r="S140" s="141">
        <v>0</v>
      </c>
      <c r="T140" s="141">
        <v>0</v>
      </c>
      <c r="U140" s="141">
        <v>0</v>
      </c>
      <c r="V140" s="141">
        <v>0</v>
      </c>
      <c r="W140" s="141">
        <v>0</v>
      </c>
      <c r="X140" s="141">
        <v>0</v>
      </c>
      <c r="Y140" s="141">
        <v>0</v>
      </c>
      <c r="Z140" s="141">
        <v>0</v>
      </c>
      <c r="AA140" s="141">
        <v>0</v>
      </c>
      <c r="AB140" s="141">
        <v>0</v>
      </c>
      <c r="AC140" s="141">
        <v>0</v>
      </c>
      <c r="AD140" s="141">
        <v>0</v>
      </c>
      <c r="AE140" s="141">
        <v>0</v>
      </c>
      <c r="AF140" s="141">
        <v>0</v>
      </c>
      <c r="AG140" s="141">
        <v>0</v>
      </c>
      <c r="AH140" s="141">
        <v>0</v>
      </c>
      <c r="AI140" s="141">
        <v>0</v>
      </c>
      <c r="AJ140" s="141">
        <v>0</v>
      </c>
      <c r="AK140" s="141">
        <v>0</v>
      </c>
      <c r="AL140" s="141">
        <v>0</v>
      </c>
      <c r="AM140" s="141">
        <v>0</v>
      </c>
      <c r="AN140" s="141">
        <v>0</v>
      </c>
      <c r="AO140" s="141">
        <v>0</v>
      </c>
      <c r="AP140" s="141">
        <v>0</v>
      </c>
    </row>
    <row r="141" spans="1:42" s="118" customFormat="1">
      <c r="A141" s="267" t="s">
        <v>442</v>
      </c>
      <c r="B141" s="141">
        <v>0</v>
      </c>
      <c r="C141" s="141">
        <f>C$19</f>
        <v>0</v>
      </c>
      <c r="D141" s="141">
        <f t="shared" ref="D141:AP141" si="76">D$19</f>
        <v>0</v>
      </c>
      <c r="E141" s="141">
        <f t="shared" si="76"/>
        <v>0</v>
      </c>
      <c r="F141" s="141">
        <f t="shared" si="76"/>
        <v>0</v>
      </c>
      <c r="G141" s="141">
        <f t="shared" si="76"/>
        <v>0</v>
      </c>
      <c r="H141" s="141">
        <f t="shared" si="76"/>
        <v>0</v>
      </c>
      <c r="I141" s="141">
        <f t="shared" si="76"/>
        <v>0</v>
      </c>
      <c r="J141" s="141">
        <f t="shared" si="76"/>
        <v>0</v>
      </c>
      <c r="K141" s="141">
        <f t="shared" si="76"/>
        <v>0</v>
      </c>
      <c r="L141" s="141">
        <f t="shared" si="76"/>
        <v>0</v>
      </c>
      <c r="M141" s="141">
        <f t="shared" si="76"/>
        <v>0</v>
      </c>
      <c r="N141" s="141">
        <f t="shared" si="76"/>
        <v>0</v>
      </c>
      <c r="O141" s="141">
        <f t="shared" si="76"/>
        <v>0</v>
      </c>
      <c r="P141" s="141">
        <f t="shared" si="76"/>
        <v>0</v>
      </c>
      <c r="Q141" s="141">
        <f t="shared" si="76"/>
        <v>0</v>
      </c>
      <c r="R141" s="141">
        <f t="shared" si="76"/>
        <v>0</v>
      </c>
      <c r="S141" s="141">
        <f t="shared" si="76"/>
        <v>0</v>
      </c>
      <c r="T141" s="141">
        <f t="shared" si="76"/>
        <v>0</v>
      </c>
      <c r="U141" s="141">
        <f t="shared" si="76"/>
        <v>0</v>
      </c>
      <c r="V141" s="141">
        <f t="shared" si="76"/>
        <v>0</v>
      </c>
      <c r="W141" s="141">
        <f t="shared" si="76"/>
        <v>0</v>
      </c>
      <c r="X141" s="141">
        <f t="shared" si="76"/>
        <v>0</v>
      </c>
      <c r="Y141" s="141">
        <f t="shared" si="76"/>
        <v>0</v>
      </c>
      <c r="Z141" s="141">
        <f t="shared" si="76"/>
        <v>0</v>
      </c>
      <c r="AA141" s="141">
        <f t="shared" si="76"/>
        <v>0</v>
      </c>
      <c r="AB141" s="141">
        <f t="shared" si="76"/>
        <v>0</v>
      </c>
      <c r="AC141" s="141">
        <f t="shared" si="76"/>
        <v>0</v>
      </c>
      <c r="AD141" s="141">
        <f t="shared" si="76"/>
        <v>0</v>
      </c>
      <c r="AE141" s="141">
        <f t="shared" si="76"/>
        <v>0</v>
      </c>
      <c r="AF141" s="141">
        <f t="shared" si="76"/>
        <v>4022715</v>
      </c>
      <c r="AG141" s="141">
        <f t="shared" si="76"/>
        <v>0</v>
      </c>
      <c r="AH141" s="141">
        <f t="shared" si="76"/>
        <v>0</v>
      </c>
      <c r="AI141" s="141">
        <f t="shared" si="76"/>
        <v>0</v>
      </c>
      <c r="AJ141" s="141">
        <f t="shared" si="76"/>
        <v>0</v>
      </c>
      <c r="AK141" s="141">
        <f t="shared" si="76"/>
        <v>0</v>
      </c>
      <c r="AL141" s="141">
        <f t="shared" si="76"/>
        <v>0</v>
      </c>
      <c r="AM141" s="141">
        <f t="shared" si="76"/>
        <v>0</v>
      </c>
      <c r="AN141" s="141">
        <f t="shared" si="76"/>
        <v>0</v>
      </c>
      <c r="AO141" s="141">
        <f t="shared" si="76"/>
        <v>0</v>
      </c>
      <c r="AP141" s="141">
        <f t="shared" si="76"/>
        <v>0</v>
      </c>
    </row>
    <row r="142" spans="1:42" s="118" customFormat="1">
      <c r="A142" s="267" t="s">
        <v>425</v>
      </c>
      <c r="B142" s="203">
        <f>B76</f>
        <v>0</v>
      </c>
      <c r="C142" s="203">
        <f t="shared" ref="C142:AP142" si="77">C76</f>
        <v>4890302.1295758607</v>
      </c>
      <c r="D142" s="203">
        <f t="shared" si="77"/>
        <v>4933327.5188328158</v>
      </c>
      <c r="E142" s="203">
        <f t="shared" si="77"/>
        <v>4976189.6015447509</v>
      </c>
      <c r="F142" s="203">
        <f t="shared" si="77"/>
        <v>5015511.0702105928</v>
      </c>
      <c r="G142" s="203">
        <f t="shared" si="77"/>
        <v>5058056.5190571873</v>
      </c>
      <c r="H142" s="203">
        <f t="shared" si="77"/>
        <v>5100420.9247209392</v>
      </c>
      <c r="I142" s="203">
        <f t="shared" si="77"/>
        <v>5139072.5724151758</v>
      </c>
      <c r="J142" s="203">
        <f t="shared" si="77"/>
        <v>5181084.912123342</v>
      </c>
      <c r="K142" s="203">
        <f t="shared" si="77"/>
        <v>5222897.2420313396</v>
      </c>
      <c r="L142" s="203">
        <f t="shared" si="77"/>
        <v>5260816.3791882154</v>
      </c>
      <c r="M142" s="203">
        <f t="shared" si="77"/>
        <v>5302238.7293956364</v>
      </c>
      <c r="N142" s="203">
        <f t="shared" si="77"/>
        <v>5343440.7931166962</v>
      </c>
      <c r="O142" s="203">
        <f t="shared" si="77"/>
        <v>5281019.390732849</v>
      </c>
      <c r="P142" s="203">
        <f t="shared" si="77"/>
        <v>5322631.0195524516</v>
      </c>
      <c r="Q142" s="203">
        <f t="shared" si="77"/>
        <v>5364000.6898545725</v>
      </c>
      <c r="R142" s="203">
        <f t="shared" si="77"/>
        <v>5190569.5723522557</v>
      </c>
      <c r="S142" s="203">
        <f t="shared" si="77"/>
        <v>5233263.3071025787</v>
      </c>
      <c r="T142" s="203">
        <f t="shared" si="77"/>
        <v>5275691.9251586702</v>
      </c>
      <c r="U142" s="203">
        <f t="shared" si="77"/>
        <v>5313632.168904366</v>
      </c>
      <c r="V142" s="203">
        <f t="shared" si="77"/>
        <v>5355540.495705178</v>
      </c>
      <c r="W142" s="203">
        <f t="shared" si="77"/>
        <v>5397158.9648041232</v>
      </c>
      <c r="X142" s="203">
        <f t="shared" si="77"/>
        <v>5419740.3031346705</v>
      </c>
      <c r="Y142" s="203">
        <f t="shared" si="77"/>
        <v>5446457.9822864523</v>
      </c>
      <c r="Z142" s="203">
        <f t="shared" si="77"/>
        <v>5472859.3769442905</v>
      </c>
      <c r="AA142" s="203">
        <f t="shared" si="77"/>
        <v>5726121.6188261108</v>
      </c>
      <c r="AB142" s="203">
        <f t="shared" si="77"/>
        <v>5746765.4527849043</v>
      </c>
      <c r="AC142" s="203">
        <f t="shared" si="77"/>
        <v>5767064.7800426027</v>
      </c>
      <c r="AD142" s="203">
        <f t="shared" si="77"/>
        <v>5782190.1666202499</v>
      </c>
      <c r="AE142" s="203">
        <f t="shared" si="77"/>
        <v>5801810.0259299027</v>
      </c>
      <c r="AF142" s="203">
        <f t="shared" si="77"/>
        <v>5821055.2441727538</v>
      </c>
      <c r="AG142" s="203">
        <f t="shared" si="77"/>
        <v>0</v>
      </c>
      <c r="AH142" s="203">
        <f t="shared" si="77"/>
        <v>0</v>
      </c>
      <c r="AI142" s="203">
        <f t="shared" si="77"/>
        <v>0</v>
      </c>
      <c r="AJ142" s="203">
        <f t="shared" si="77"/>
        <v>0</v>
      </c>
      <c r="AK142" s="203">
        <f t="shared" si="77"/>
        <v>0</v>
      </c>
      <c r="AL142" s="203">
        <f t="shared" si="77"/>
        <v>0</v>
      </c>
      <c r="AM142" s="203">
        <f t="shared" si="77"/>
        <v>0</v>
      </c>
      <c r="AN142" s="203">
        <f t="shared" si="77"/>
        <v>0</v>
      </c>
      <c r="AO142" s="203">
        <f t="shared" si="77"/>
        <v>0</v>
      </c>
      <c r="AP142" s="203">
        <f t="shared" si="77"/>
        <v>0</v>
      </c>
    </row>
    <row r="143" spans="1:42" s="118" customFormat="1">
      <c r="A143" s="267" t="s">
        <v>53</v>
      </c>
      <c r="B143" s="198">
        <f t="shared" ref="B143:AP143" si="78">SUM(B138:B142)</f>
        <v>-28815458.75</v>
      </c>
      <c r="C143" s="198">
        <f t="shared" si="78"/>
        <v>4890302.1295758607</v>
      </c>
      <c r="D143" s="198">
        <f t="shared" si="78"/>
        <v>4933327.5188328158</v>
      </c>
      <c r="E143" s="198">
        <f t="shared" si="78"/>
        <v>4976189.6015447509</v>
      </c>
      <c r="F143" s="198">
        <f t="shared" si="78"/>
        <v>5015511.0702105928</v>
      </c>
      <c r="G143" s="198">
        <f t="shared" si="78"/>
        <v>5058056.5190571873</v>
      </c>
      <c r="H143" s="198">
        <f t="shared" si="78"/>
        <v>5100420.9247209392</v>
      </c>
      <c r="I143" s="198">
        <f t="shared" si="78"/>
        <v>5139072.5724151758</v>
      </c>
      <c r="J143" s="198">
        <f t="shared" si="78"/>
        <v>5181084.912123342</v>
      </c>
      <c r="K143" s="198">
        <f t="shared" si="78"/>
        <v>5222897.2420313396</v>
      </c>
      <c r="L143" s="198">
        <f t="shared" si="78"/>
        <v>5260816.3791882154</v>
      </c>
      <c r="M143" s="198">
        <f t="shared" si="78"/>
        <v>5302238.7293956364</v>
      </c>
      <c r="N143" s="198">
        <f t="shared" si="78"/>
        <v>5343440.7931166962</v>
      </c>
      <c r="O143" s="198">
        <f t="shared" si="78"/>
        <v>5281019.390732849</v>
      </c>
      <c r="P143" s="198">
        <f t="shared" si="78"/>
        <v>5322631.0195524516</v>
      </c>
      <c r="Q143" s="198">
        <f t="shared" si="78"/>
        <v>5364000.6898545725</v>
      </c>
      <c r="R143" s="198">
        <f t="shared" si="78"/>
        <v>5190569.5723522557</v>
      </c>
      <c r="S143" s="198">
        <f t="shared" si="78"/>
        <v>5233263.3071025787</v>
      </c>
      <c r="T143" s="198">
        <f t="shared" si="78"/>
        <v>5275691.9251586702</v>
      </c>
      <c r="U143" s="198">
        <f t="shared" si="78"/>
        <v>5313632.168904366</v>
      </c>
      <c r="V143" s="198">
        <f t="shared" si="78"/>
        <v>5355540.495705178</v>
      </c>
      <c r="W143" s="198">
        <f t="shared" si="78"/>
        <v>5397158.9648041232</v>
      </c>
      <c r="X143" s="198">
        <f t="shared" si="78"/>
        <v>5419740.3031346705</v>
      </c>
      <c r="Y143" s="198">
        <f t="shared" si="78"/>
        <v>5446457.9822864523</v>
      </c>
      <c r="Z143" s="198">
        <f t="shared" si="78"/>
        <v>5472859.3769442905</v>
      </c>
      <c r="AA143" s="198">
        <f t="shared" si="78"/>
        <v>5726121.6188261108</v>
      </c>
      <c r="AB143" s="198">
        <f t="shared" si="78"/>
        <v>5746765.4527849043</v>
      </c>
      <c r="AC143" s="198">
        <f t="shared" si="78"/>
        <v>5767064.7800426027</v>
      </c>
      <c r="AD143" s="198">
        <f t="shared" si="78"/>
        <v>5782190.1666202499</v>
      </c>
      <c r="AE143" s="198">
        <f t="shared" si="78"/>
        <v>5801810.0259299027</v>
      </c>
      <c r="AF143" s="198">
        <f t="shared" si="78"/>
        <v>9843770.2441727538</v>
      </c>
      <c r="AG143" s="198">
        <f t="shared" si="78"/>
        <v>0</v>
      </c>
      <c r="AH143" s="198">
        <f t="shared" si="78"/>
        <v>0</v>
      </c>
      <c r="AI143" s="198">
        <f t="shared" si="78"/>
        <v>0</v>
      </c>
      <c r="AJ143" s="198">
        <f t="shared" si="78"/>
        <v>0</v>
      </c>
      <c r="AK143" s="198">
        <f t="shared" si="78"/>
        <v>0</v>
      </c>
      <c r="AL143" s="198">
        <f t="shared" si="78"/>
        <v>0</v>
      </c>
      <c r="AM143" s="198">
        <f t="shared" si="78"/>
        <v>0</v>
      </c>
      <c r="AN143" s="198">
        <f t="shared" si="78"/>
        <v>0</v>
      </c>
      <c r="AO143" s="198">
        <f t="shared" si="78"/>
        <v>0</v>
      </c>
      <c r="AP143" s="198">
        <f t="shared" si="78"/>
        <v>0</v>
      </c>
    </row>
    <row r="144" spans="1:42">
      <c r="A144" s="180"/>
      <c r="B144" s="152"/>
      <c r="C144" s="152"/>
      <c r="D144" s="152"/>
      <c r="E144" s="152"/>
      <c r="F144" s="152"/>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row>
    <row r="145" spans="1:42">
      <c r="A145" s="180" t="s">
        <v>401</v>
      </c>
      <c r="B145" s="201">
        <f>ROUND(IF(ISERROR(IRR($B143:B143)),0,IRR($B143:B143)),4)</f>
        <v>0</v>
      </c>
      <c r="C145" s="201">
        <f>ROUND(IF(ISERROR(IRR($B143:C143)),0,IRR($B143:C143)),4)</f>
        <v>0</v>
      </c>
      <c r="D145" s="201">
        <f>ROUND(IF(ISERROR(IRR($B143:D143)),0,IRR($B143:D143)),4)</f>
        <v>0</v>
      </c>
      <c r="E145" s="201">
        <f>ROUND(IF(ISERROR(IRR($B143:E143)),0,IRR($B143:E143)),4)</f>
        <v>-0.27079999999999999</v>
      </c>
      <c r="F145" s="201">
        <f>ROUND(IF(ISERROR(IRR($B143:F143)),0,IRR($B143:F143)),4)</f>
        <v>-0.1341</v>
      </c>
      <c r="G145" s="201">
        <f>ROUND(IF(ISERROR(IRR($B143:G143)),0,IRR($B143:G143)),4)</f>
        <v>-4.6899999999999997E-2</v>
      </c>
      <c r="H145" s="201">
        <f>ROUND(IF(ISERROR(IRR($B143:H143)),0,IRR($B143:H143)),4)</f>
        <v>1.1299999999999999E-2</v>
      </c>
      <c r="I145" s="201">
        <f>ROUND(IF(ISERROR(IRR($B143:I143)),0,IRR($B143:I143)),4)</f>
        <v>5.1499999999999997E-2</v>
      </c>
      <c r="J145" s="201">
        <f>ROUND(IF(ISERROR(IRR($B143:J143)),0,IRR($B143:J143)),4)</f>
        <v>8.0299999999999996E-2</v>
      </c>
      <c r="K145" s="201">
        <f>ROUND(IF(ISERROR(IRR($B143:K143)),0,IRR($B143:K143)),4)</f>
        <v>0.1014</v>
      </c>
      <c r="L145" s="201">
        <f>ROUND(IF(ISERROR(IRR($B143:L143)),0,IRR($B143:L143)),4)</f>
        <v>0.1172</v>
      </c>
      <c r="M145" s="201">
        <f>ROUND(IF(ISERROR(IRR($B143:M143)),0,IRR($B143:M143)),4)</f>
        <v>0.12920000000000001</v>
      </c>
      <c r="N145" s="201">
        <f>ROUND(IF(ISERROR(IRR($B143:N143)),0,IRR($B143:N143)),4)</f>
        <v>0.13850000000000001</v>
      </c>
      <c r="O145" s="201">
        <f>ROUND(IF(ISERROR(IRR($B143:O143)),0,IRR($B143:O143)),4)</f>
        <v>0.1457</v>
      </c>
      <c r="P145" s="201">
        <f>ROUND(IF(ISERROR(IRR($B143:P143)),0,IRR($B143:P143)),4)</f>
        <v>0.15140000000000001</v>
      </c>
      <c r="Q145" s="201">
        <f>ROUND(IF(ISERROR(IRR($B143:Q143)),0,IRR($B143:Q143)),4)</f>
        <v>0.15590000000000001</v>
      </c>
      <c r="R145" s="201">
        <f>ROUND(IF(ISERROR(IRR($B143:R143)),0,IRR($B143:R143)),4)</f>
        <v>0.1595</v>
      </c>
      <c r="S145" s="201">
        <f>ROUND(IF(ISERROR(IRR($B143:S143)),0,IRR($B143:S143)),4)</f>
        <v>0.1623</v>
      </c>
      <c r="T145" s="201">
        <f>ROUND(IF(ISERROR(IRR($B143:T143)),0,IRR($B143:T143)),4)</f>
        <v>0.16470000000000001</v>
      </c>
      <c r="U145" s="201">
        <f>ROUND(IF(ISERROR(IRR($B143:U143)),0,IRR($B143:U143)),4)</f>
        <v>0.1666</v>
      </c>
      <c r="V145" s="201">
        <f>ROUND(IF(ISERROR(IRR($B143:V143)),0,IRR($B143:V143)),4)</f>
        <v>0.16830000000000001</v>
      </c>
      <c r="W145" s="201">
        <f>ROUND(IF(ISERROR(IRR($B143:W143)),0,IRR($B143:W143)),4)</f>
        <v>0.1696</v>
      </c>
      <c r="X145" s="201">
        <f>ROUND(IF(ISERROR(IRR($B143:X143)),0,IRR($B143:X143)),4)</f>
        <v>0.17069999999999999</v>
      </c>
      <c r="Y145" s="201">
        <f>ROUND(IF(ISERROR(IRR($B143:Y143)),0,IRR($B143:Y143)),4)</f>
        <v>0.1716</v>
      </c>
      <c r="Z145" s="201">
        <f>ROUND(IF(ISERROR(IRR($B143:Z143)),0,IRR($B143:Z143)),4)</f>
        <v>0.1724</v>
      </c>
      <c r="AA145" s="201">
        <f>ROUND(IF(ISERROR(IRR($B143:AA143)),0,IRR($B143:AA143)),4)</f>
        <v>0.1731</v>
      </c>
      <c r="AB145" s="201">
        <f>ROUND(IF(ISERROR(IRR($B143:AB143)),0,IRR($B143:AB143)),4)</f>
        <v>0.1736</v>
      </c>
      <c r="AC145" s="201">
        <f>ROUND(IF(ISERROR(IRR($B143:AC143)),0,IRR($B143:AC143)),4)</f>
        <v>0.1741</v>
      </c>
      <c r="AD145" s="201">
        <f>ROUND(IF(ISERROR(IRR($B143:AD143)),0,IRR($B143:AD143)),4)</f>
        <v>0.17449999999999999</v>
      </c>
      <c r="AE145" s="201">
        <f>ROUND(IF(ISERROR(IRR($B143:AE143)),0,IRR($B143:AE143)),4)</f>
        <v>0.1749</v>
      </c>
      <c r="AF145" s="201">
        <f>ROUND(IF(ISERROR(IRR($B143:AF143)),0,IRR($B143:AF143)),4)</f>
        <v>0.17530000000000001</v>
      </c>
      <c r="AG145" s="201">
        <f>ROUND(IF(ISERROR(IRR($B143:AG143)),0,IRR($B143:AG143)),4)</f>
        <v>0.17530000000000001</v>
      </c>
      <c r="AH145" s="201">
        <f>ROUND(IF(ISERROR(IRR($B143:AH143)),0,IRR($B143:AH143)),4)</f>
        <v>0.17530000000000001</v>
      </c>
      <c r="AI145" s="201">
        <f>ROUND(IF(ISERROR(IRR($B143:AI143)),0,IRR($B143:AI143)),4)</f>
        <v>0.17530000000000001</v>
      </c>
      <c r="AJ145" s="201">
        <f>ROUND(IF(ISERROR(IRR($B143:AJ143)),0,IRR($B143:AJ143)),4)</f>
        <v>0.17530000000000001</v>
      </c>
      <c r="AK145" s="201">
        <f>ROUND(IF(ISERROR(IRR($B143:AK143)),0,IRR($B143:AK143)),4)</f>
        <v>0.17530000000000001</v>
      </c>
      <c r="AL145" s="201">
        <f>ROUND(IF(ISERROR(IRR($B143:AL143)),0,IRR($B143:AL143)),4)</f>
        <v>0.17530000000000001</v>
      </c>
      <c r="AM145" s="201">
        <f>ROUND(IF(ISERROR(IRR($B143:AM143)),0,IRR($B143:AM143)),4)</f>
        <v>0.17530000000000001</v>
      </c>
      <c r="AN145" s="201">
        <f>ROUND(IF(ISERROR(IRR($B143:AN143)),0,IRR($B143:AN143)),4)</f>
        <v>0.17530000000000001</v>
      </c>
      <c r="AO145" s="201">
        <f>ROUND(IF(ISERROR(IRR($B143:AO143)),0,IRR($B143:AO143)),4)</f>
        <v>0.17530000000000001</v>
      </c>
      <c r="AP145" s="201">
        <f>ROUND(IF(ISERROR(IRR($B143:AP143)),0,IRR($B143:AP143)),4)</f>
        <v>0.17530000000000001</v>
      </c>
    </row>
    <row r="146" spans="1:42">
      <c r="A146" s="180" t="s">
        <v>402</v>
      </c>
      <c r="B146" s="251">
        <f>B143</f>
        <v>-28815458.75</v>
      </c>
      <c r="C146" s="251">
        <f>NPV(DiscountRate,$C143:C143)+$B$143</f>
        <v>-24287401.222614944</v>
      </c>
      <c r="D146" s="251">
        <f>NPV(DiscountRate,$C143:D143)+$B$143</f>
        <v>-20057868.027456496</v>
      </c>
      <c r="E146" s="251">
        <f>NPV(DiscountRate,$C143:E143)+$B$143</f>
        <v>-16107608.284320962</v>
      </c>
      <c r="F146" s="251">
        <f>NPV(DiscountRate,$C143:F143)+$B$143</f>
        <v>-12421057.920685088</v>
      </c>
      <c r="G146" s="251">
        <f>NPV(DiscountRate,$C143:G143)+$B$143</f>
        <v>-8978629.6441677324</v>
      </c>
      <c r="H146" s="251">
        <f>NPV(DiscountRate,$C143:H143)+$B$143</f>
        <v>-5764499.2930895612</v>
      </c>
      <c r="I146" s="251">
        <f>NPV(DiscountRate,$C143:I143)+$B$143</f>
        <v>-2765899.8065302372</v>
      </c>
      <c r="J146" s="251">
        <f>NPV(DiscountRate,$C143:J143)+$B$143</f>
        <v>33279.159452658147</v>
      </c>
      <c r="K146" s="251">
        <f>NPV(DiscountRate,$C143:K143)+$B$143</f>
        <v>2646028.1102125794</v>
      </c>
      <c r="L146" s="251">
        <f>NPV(DiscountRate,$C143:L143)+$B$143</f>
        <v>5082803.999061808</v>
      </c>
      <c r="M146" s="251">
        <f>NPV(DiscountRate,$C143:M143)+$B$143</f>
        <v>7356843.3062159419</v>
      </c>
      <c r="N146" s="251">
        <f>NPV(DiscountRate,$C143:N143)+$B$143</f>
        <v>9478797.1636728272</v>
      </c>
      <c r="O146" s="251">
        <f>NPV(DiscountRate,$C143:O143)+$B$143</f>
        <v>11420617.033799022</v>
      </c>
      <c r="P146" s="251">
        <f>NPV(DiscountRate,$C143:P143)+$B$143</f>
        <v>13232765.533507712</v>
      </c>
      <c r="Q146" s="251">
        <f>NPV(DiscountRate,$C143:Q143)+$B$143</f>
        <v>14923722.256415673</v>
      </c>
      <c r="R146" s="251">
        <f>NPV(DiscountRate,$C143:R143)+$B$143</f>
        <v>16438800.035797521</v>
      </c>
      <c r="S146" s="251">
        <f>NPV(DiscountRate,$C143:S143)+$B$143</f>
        <v>17853188.62244571</v>
      </c>
      <c r="T146" s="251">
        <f>NPV(DiscountRate,$C143:T143)+$B$143</f>
        <v>19173425.40463227</v>
      </c>
      <c r="U146" s="251">
        <f>NPV(DiscountRate,$C143:U143)+$B$143</f>
        <v>20404658.081806667</v>
      </c>
      <c r="V146" s="251">
        <f>NPV(DiscountRate,$C143:V143)+$B$143</f>
        <v>21553679.694840044</v>
      </c>
      <c r="W146" s="251">
        <f>NPV(DiscountRate,$C143:W143)+$B$143</f>
        <v>22625856.343889542</v>
      </c>
      <c r="X146" s="251">
        <f>NPV(DiscountRate,$C143:X143)+$B$143</f>
        <v>23622766.123238876</v>
      </c>
      <c r="Y146" s="251">
        <f>NPV(DiscountRate,$C143:Y143)+$B$143</f>
        <v>24550381.162867829</v>
      </c>
      <c r="Z146" s="251">
        <f>NPV(DiscountRate,$C143:Z143)+$B$143</f>
        <v>25413447.459780581</v>
      </c>
      <c r="AA146" s="251">
        <f>NPV(DiscountRate,$C143:AA143)+$B$143</f>
        <v>26249563.741838112</v>
      </c>
      <c r="AB146" s="251">
        <f>NPV(DiscountRate,$C143:AB143)+$B$143</f>
        <v>27026536.567246959</v>
      </c>
      <c r="AC146" s="251">
        <f>NPV(DiscountRate,$C143:AC143)+$B$143</f>
        <v>27748497.058226787</v>
      </c>
      <c r="AD146" s="251">
        <f>NPV(DiscountRate,$C143:AD143)+$B$143</f>
        <v>28418732.234154254</v>
      </c>
      <c r="AE146" s="251">
        <f>NPV(DiscountRate,$C143:AE143)+$B$143</f>
        <v>29041426.110838868</v>
      </c>
      <c r="AF146" s="251">
        <f>NPV(DiscountRate,$C143:AF143)+$B$143</f>
        <v>30019673.739937864</v>
      </c>
      <c r="AG146" s="251">
        <f>NPV(DiscountRate,$C143:AG143)+$B$143</f>
        <v>30019673.739937864</v>
      </c>
      <c r="AH146" s="251">
        <f>NPV(DiscountRate,$C143:AH143)+$B$143</f>
        <v>30019673.739937864</v>
      </c>
      <c r="AI146" s="251">
        <f>NPV(DiscountRate,$C143:AI143)+$B$143</f>
        <v>30019673.739937864</v>
      </c>
      <c r="AJ146" s="251">
        <f>NPV(DiscountRate,$C143:AJ143)+$B$143</f>
        <v>30019673.739937864</v>
      </c>
      <c r="AK146" s="251">
        <f>NPV(DiscountRate,$C143:AK143)+$B$143</f>
        <v>30019673.739937864</v>
      </c>
      <c r="AL146" s="251">
        <f>NPV(DiscountRate,$C143:AL143)+$B$143</f>
        <v>30019673.739937864</v>
      </c>
      <c r="AM146" s="251">
        <f>NPV(DiscountRate,$C143:AM143)+$B$143</f>
        <v>30019673.739937864</v>
      </c>
      <c r="AN146" s="251">
        <f>NPV(DiscountRate,$C143:AN143)+$B$143</f>
        <v>30019673.739937864</v>
      </c>
      <c r="AO146" s="251">
        <f>NPV(DiscountRate,$C143:AO143)+$B$143</f>
        <v>30019673.739937864</v>
      </c>
      <c r="AP146" s="251">
        <f>NPV(DiscountRate,$C143:AP143)+$B$143</f>
        <v>30019673.739937864</v>
      </c>
    </row>
    <row r="147" spans="1:42">
      <c r="A147" s="180"/>
      <c r="B147" s="152"/>
      <c r="C147" s="152"/>
      <c r="D147" s="152"/>
      <c r="E147" s="152"/>
      <c r="F147" s="152"/>
      <c r="G147" s="152"/>
      <c r="H147" s="152"/>
      <c r="I147" s="152"/>
      <c r="J147" s="152"/>
      <c r="K147" s="152"/>
      <c r="L147" s="152"/>
      <c r="M147" s="152"/>
      <c r="N147" s="152"/>
      <c r="O147" s="152"/>
      <c r="P147" s="152"/>
      <c r="Q147" s="152"/>
      <c r="R147" s="152"/>
      <c r="S147" s="152"/>
      <c r="T147" s="152"/>
      <c r="U147" s="152"/>
      <c r="V147" s="152"/>
      <c r="W147" s="152"/>
      <c r="X147" s="152"/>
      <c r="Y147" s="152"/>
      <c r="Z147" s="152"/>
      <c r="AA147" s="152"/>
      <c r="AB147" s="152"/>
      <c r="AC147" s="152"/>
      <c r="AD147" s="152"/>
      <c r="AE147" s="152"/>
      <c r="AF147" s="152"/>
      <c r="AG147" s="152"/>
      <c r="AH147" s="152"/>
      <c r="AI147" s="152"/>
      <c r="AJ147" s="152"/>
      <c r="AK147" s="152"/>
      <c r="AL147" s="152"/>
      <c r="AM147" s="152"/>
      <c r="AN147" s="152"/>
      <c r="AO147" s="152"/>
      <c r="AP147" s="152"/>
    </row>
    <row r="148" spans="1:42" s="118" customFormat="1">
      <c r="A148" s="274" t="s">
        <v>424</v>
      </c>
      <c r="B148" s="198"/>
      <c r="C148" s="235"/>
      <c r="D148" s="235"/>
      <c r="E148" s="235"/>
      <c r="F148" s="235"/>
      <c r="G148" s="235"/>
      <c r="H148" s="235"/>
      <c r="I148" s="235"/>
      <c r="J148" s="235"/>
      <c r="K148" s="235"/>
      <c r="L148" s="235"/>
      <c r="M148" s="235"/>
      <c r="N148" s="235"/>
      <c r="O148" s="235"/>
      <c r="P148" s="235"/>
      <c r="Q148" s="141"/>
      <c r="R148" s="141"/>
      <c r="S148" s="141"/>
      <c r="T148" s="141"/>
      <c r="U148" s="141"/>
      <c r="V148" s="141"/>
      <c r="W148" s="141"/>
      <c r="X148" s="141"/>
      <c r="Y148" s="141"/>
      <c r="Z148" s="141"/>
      <c r="AA148" s="141"/>
      <c r="AB148" s="141"/>
      <c r="AC148" s="141"/>
      <c r="AD148" s="141"/>
      <c r="AE148" s="141"/>
      <c r="AF148" s="141"/>
      <c r="AG148" s="141"/>
      <c r="AH148" s="141"/>
      <c r="AI148" s="141"/>
      <c r="AJ148" s="141"/>
      <c r="AK148" s="141"/>
      <c r="AL148" s="141"/>
      <c r="AM148" s="141"/>
      <c r="AN148" s="141"/>
      <c r="AO148" s="141"/>
      <c r="AP148" s="141"/>
    </row>
    <row r="149" spans="1:42" s="118" customFormat="1">
      <c r="A149" s="197" t="s">
        <v>219</v>
      </c>
      <c r="B149" s="198"/>
      <c r="C149" s="198"/>
      <c r="D149" s="198"/>
      <c r="E149" s="198"/>
      <c r="F149" s="198"/>
      <c r="G149" s="143"/>
      <c r="H149" s="143"/>
      <c r="I149" s="143"/>
      <c r="J149" s="143"/>
      <c r="K149" s="143"/>
      <c r="L149" s="143"/>
      <c r="M149" s="143"/>
      <c r="N149" s="143"/>
      <c r="O149" s="143"/>
      <c r="P149" s="143"/>
      <c r="Q149" s="143"/>
      <c r="R149" s="141"/>
      <c r="S149" s="141"/>
      <c r="T149" s="141"/>
      <c r="U149" s="141"/>
      <c r="V149" s="141"/>
      <c r="W149" s="141"/>
      <c r="X149" s="141"/>
      <c r="Y149" s="141"/>
      <c r="Z149" s="141"/>
      <c r="AA149" s="141"/>
      <c r="AB149" s="141"/>
      <c r="AC149" s="141"/>
      <c r="AD149" s="141"/>
      <c r="AE149" s="141"/>
      <c r="AF149" s="141"/>
      <c r="AG149" s="141"/>
      <c r="AH149" s="141"/>
      <c r="AI149" s="141"/>
      <c r="AJ149" s="141"/>
      <c r="AK149" s="141"/>
      <c r="AL149" s="141"/>
      <c r="AM149" s="141"/>
      <c r="AN149" s="141"/>
      <c r="AO149" s="141"/>
      <c r="AP149" s="141"/>
    </row>
    <row r="150" spans="1:42" s="118" customFormat="1">
      <c r="A150" s="257" t="s">
        <v>458</v>
      </c>
      <c r="B150" s="141">
        <f>B138</f>
        <v>-42606688.5</v>
      </c>
      <c r="C150" s="141">
        <v>0</v>
      </c>
      <c r="D150" s="141">
        <v>0</v>
      </c>
      <c r="E150" s="141">
        <v>0</v>
      </c>
      <c r="F150" s="141">
        <v>0</v>
      </c>
      <c r="G150" s="141">
        <v>0</v>
      </c>
      <c r="H150" s="141">
        <v>0</v>
      </c>
      <c r="I150" s="141">
        <v>0</v>
      </c>
      <c r="J150" s="141">
        <v>0</v>
      </c>
      <c r="K150" s="141">
        <v>0</v>
      </c>
      <c r="L150" s="141">
        <v>0</v>
      </c>
      <c r="M150" s="141">
        <v>0</v>
      </c>
      <c r="N150" s="141">
        <v>0</v>
      </c>
      <c r="O150" s="141">
        <v>0</v>
      </c>
      <c r="P150" s="141">
        <v>0</v>
      </c>
      <c r="Q150" s="141">
        <v>0</v>
      </c>
      <c r="R150" s="141">
        <v>0</v>
      </c>
      <c r="S150" s="141">
        <v>0</v>
      </c>
      <c r="T150" s="141">
        <v>0</v>
      </c>
      <c r="U150" s="141">
        <v>0</v>
      </c>
      <c r="V150" s="141">
        <v>0</v>
      </c>
      <c r="W150" s="141">
        <v>0</v>
      </c>
      <c r="X150" s="141">
        <v>0</v>
      </c>
      <c r="Y150" s="141">
        <v>0</v>
      </c>
      <c r="Z150" s="141">
        <v>0</v>
      </c>
      <c r="AA150" s="141">
        <v>0</v>
      </c>
      <c r="AB150" s="141">
        <v>0</v>
      </c>
      <c r="AC150" s="141">
        <v>0</v>
      </c>
      <c r="AD150" s="141">
        <v>0</v>
      </c>
      <c r="AE150" s="141">
        <v>0</v>
      </c>
      <c r="AF150" s="141">
        <v>0</v>
      </c>
      <c r="AG150" s="141">
        <v>0</v>
      </c>
      <c r="AH150" s="141">
        <v>0</v>
      </c>
      <c r="AI150" s="141">
        <v>0</v>
      </c>
      <c r="AJ150" s="141">
        <v>0</v>
      </c>
      <c r="AK150" s="141">
        <v>0</v>
      </c>
      <c r="AL150" s="141">
        <v>0</v>
      </c>
      <c r="AM150" s="141">
        <v>0</v>
      </c>
      <c r="AN150" s="141">
        <v>0</v>
      </c>
      <c r="AO150" s="141">
        <v>0</v>
      </c>
      <c r="AP150" s="141">
        <v>0</v>
      </c>
    </row>
    <row r="151" spans="1:42" s="118" customFormat="1">
      <c r="A151" s="257" t="s">
        <v>205</v>
      </c>
      <c r="B151" s="141">
        <f>B139</f>
        <v>6641229.75</v>
      </c>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c r="AB151" s="141"/>
      <c r="AC151" s="141"/>
      <c r="AD151" s="141"/>
      <c r="AE151" s="141"/>
      <c r="AF151" s="141"/>
      <c r="AG151" s="141"/>
      <c r="AH151" s="141"/>
      <c r="AI151" s="141"/>
      <c r="AJ151" s="141"/>
      <c r="AK151" s="141"/>
      <c r="AL151" s="141"/>
      <c r="AM151" s="141"/>
      <c r="AN151" s="141"/>
      <c r="AO151" s="141"/>
      <c r="AP151" s="141"/>
    </row>
    <row r="152" spans="1:42" s="118" customFormat="1">
      <c r="A152" s="257" t="s">
        <v>180</v>
      </c>
      <c r="B152" s="141">
        <f>B140</f>
        <v>7150000</v>
      </c>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141"/>
      <c r="AK152" s="141"/>
      <c r="AL152" s="141"/>
      <c r="AM152" s="141"/>
      <c r="AN152" s="141"/>
      <c r="AO152" s="141"/>
      <c r="AP152" s="141"/>
    </row>
    <row r="153" spans="1:42" s="118" customFormat="1">
      <c r="A153" s="257" t="s">
        <v>442</v>
      </c>
      <c r="B153" s="141"/>
      <c r="C153" s="141">
        <f>C141</f>
        <v>0</v>
      </c>
      <c r="D153" s="141">
        <f t="shared" ref="D153:AP153" si="79">D141</f>
        <v>0</v>
      </c>
      <c r="E153" s="141">
        <f t="shared" si="79"/>
        <v>0</v>
      </c>
      <c r="F153" s="141">
        <f t="shared" si="79"/>
        <v>0</v>
      </c>
      <c r="G153" s="141">
        <f t="shared" si="79"/>
        <v>0</v>
      </c>
      <c r="H153" s="141">
        <f t="shared" si="79"/>
        <v>0</v>
      </c>
      <c r="I153" s="141">
        <f t="shared" si="79"/>
        <v>0</v>
      </c>
      <c r="J153" s="141">
        <f t="shared" si="79"/>
        <v>0</v>
      </c>
      <c r="K153" s="141">
        <f t="shared" si="79"/>
        <v>0</v>
      </c>
      <c r="L153" s="141">
        <f t="shared" si="79"/>
        <v>0</v>
      </c>
      <c r="M153" s="141">
        <f t="shared" si="79"/>
        <v>0</v>
      </c>
      <c r="N153" s="141">
        <f t="shared" si="79"/>
        <v>0</v>
      </c>
      <c r="O153" s="141">
        <f t="shared" si="79"/>
        <v>0</v>
      </c>
      <c r="P153" s="141">
        <f t="shared" si="79"/>
        <v>0</v>
      </c>
      <c r="Q153" s="141">
        <f t="shared" si="79"/>
        <v>0</v>
      </c>
      <c r="R153" s="141">
        <f t="shared" si="79"/>
        <v>0</v>
      </c>
      <c r="S153" s="141">
        <f t="shared" si="79"/>
        <v>0</v>
      </c>
      <c r="T153" s="141">
        <f t="shared" si="79"/>
        <v>0</v>
      </c>
      <c r="U153" s="141">
        <f t="shared" si="79"/>
        <v>0</v>
      </c>
      <c r="V153" s="141">
        <f t="shared" si="79"/>
        <v>0</v>
      </c>
      <c r="W153" s="141">
        <f t="shared" si="79"/>
        <v>0</v>
      </c>
      <c r="X153" s="141">
        <f t="shared" si="79"/>
        <v>0</v>
      </c>
      <c r="Y153" s="141">
        <f t="shared" si="79"/>
        <v>0</v>
      </c>
      <c r="Z153" s="141">
        <f t="shared" si="79"/>
        <v>0</v>
      </c>
      <c r="AA153" s="141">
        <f t="shared" si="79"/>
        <v>0</v>
      </c>
      <c r="AB153" s="141">
        <f t="shared" si="79"/>
        <v>0</v>
      </c>
      <c r="AC153" s="141">
        <f t="shared" si="79"/>
        <v>0</v>
      </c>
      <c r="AD153" s="141">
        <f t="shared" si="79"/>
        <v>0</v>
      </c>
      <c r="AE153" s="141">
        <f t="shared" si="79"/>
        <v>0</v>
      </c>
      <c r="AF153" s="141">
        <f t="shared" si="79"/>
        <v>4022715</v>
      </c>
      <c r="AG153" s="141">
        <f t="shared" si="79"/>
        <v>0</v>
      </c>
      <c r="AH153" s="141">
        <f t="shared" si="79"/>
        <v>0</v>
      </c>
      <c r="AI153" s="141">
        <f t="shared" si="79"/>
        <v>0</v>
      </c>
      <c r="AJ153" s="141">
        <f t="shared" si="79"/>
        <v>0</v>
      </c>
      <c r="AK153" s="141">
        <f t="shared" si="79"/>
        <v>0</v>
      </c>
      <c r="AL153" s="141">
        <f t="shared" si="79"/>
        <v>0</v>
      </c>
      <c r="AM153" s="141">
        <f t="shared" si="79"/>
        <v>0</v>
      </c>
      <c r="AN153" s="141">
        <f t="shared" si="79"/>
        <v>0</v>
      </c>
      <c r="AO153" s="141">
        <f t="shared" si="79"/>
        <v>0</v>
      </c>
      <c r="AP153" s="141">
        <f t="shared" si="79"/>
        <v>0</v>
      </c>
    </row>
    <row r="154" spans="1:42" s="118" customFormat="1">
      <c r="A154" s="257" t="s">
        <v>425</v>
      </c>
      <c r="B154" s="203">
        <f>B142</f>
        <v>0</v>
      </c>
      <c r="C154" s="203">
        <f t="shared" ref="C154:AP154" si="80">C142</f>
        <v>4890302.1295758607</v>
      </c>
      <c r="D154" s="203">
        <f t="shared" si="80"/>
        <v>4933327.5188328158</v>
      </c>
      <c r="E154" s="203">
        <f t="shared" si="80"/>
        <v>4976189.6015447509</v>
      </c>
      <c r="F154" s="203">
        <f t="shared" si="80"/>
        <v>5015511.0702105928</v>
      </c>
      <c r="G154" s="203">
        <f t="shared" si="80"/>
        <v>5058056.5190571873</v>
      </c>
      <c r="H154" s="203">
        <f t="shared" si="80"/>
        <v>5100420.9247209392</v>
      </c>
      <c r="I154" s="203">
        <f t="shared" si="80"/>
        <v>5139072.5724151758</v>
      </c>
      <c r="J154" s="203">
        <f t="shared" si="80"/>
        <v>5181084.912123342</v>
      </c>
      <c r="K154" s="203">
        <f t="shared" si="80"/>
        <v>5222897.2420313396</v>
      </c>
      <c r="L154" s="203">
        <f t="shared" si="80"/>
        <v>5260816.3791882154</v>
      </c>
      <c r="M154" s="203">
        <f t="shared" si="80"/>
        <v>5302238.7293956364</v>
      </c>
      <c r="N154" s="203">
        <f t="shared" si="80"/>
        <v>5343440.7931166962</v>
      </c>
      <c r="O154" s="203">
        <f t="shared" si="80"/>
        <v>5281019.390732849</v>
      </c>
      <c r="P154" s="203">
        <f t="shared" si="80"/>
        <v>5322631.0195524516</v>
      </c>
      <c r="Q154" s="203">
        <f t="shared" si="80"/>
        <v>5364000.6898545725</v>
      </c>
      <c r="R154" s="203">
        <f t="shared" si="80"/>
        <v>5190569.5723522557</v>
      </c>
      <c r="S154" s="203">
        <f t="shared" si="80"/>
        <v>5233263.3071025787</v>
      </c>
      <c r="T154" s="203">
        <f t="shared" si="80"/>
        <v>5275691.9251586702</v>
      </c>
      <c r="U154" s="203">
        <f t="shared" si="80"/>
        <v>5313632.168904366</v>
      </c>
      <c r="V154" s="203">
        <f t="shared" si="80"/>
        <v>5355540.495705178</v>
      </c>
      <c r="W154" s="203">
        <f t="shared" si="80"/>
        <v>5397158.9648041232</v>
      </c>
      <c r="X154" s="203">
        <f t="shared" si="80"/>
        <v>5419740.3031346705</v>
      </c>
      <c r="Y154" s="203">
        <f t="shared" si="80"/>
        <v>5446457.9822864523</v>
      </c>
      <c r="Z154" s="203">
        <f t="shared" si="80"/>
        <v>5472859.3769442905</v>
      </c>
      <c r="AA154" s="203">
        <f t="shared" si="80"/>
        <v>5726121.6188261108</v>
      </c>
      <c r="AB154" s="203">
        <f t="shared" si="80"/>
        <v>5746765.4527849043</v>
      </c>
      <c r="AC154" s="203">
        <f t="shared" si="80"/>
        <v>5767064.7800426027</v>
      </c>
      <c r="AD154" s="203">
        <f t="shared" si="80"/>
        <v>5782190.1666202499</v>
      </c>
      <c r="AE154" s="203">
        <f t="shared" si="80"/>
        <v>5801810.0259299027</v>
      </c>
      <c r="AF154" s="203">
        <f t="shared" si="80"/>
        <v>5821055.2441727538</v>
      </c>
      <c r="AG154" s="203">
        <f t="shared" si="80"/>
        <v>0</v>
      </c>
      <c r="AH154" s="203">
        <f t="shared" si="80"/>
        <v>0</v>
      </c>
      <c r="AI154" s="203">
        <f t="shared" si="80"/>
        <v>0</v>
      </c>
      <c r="AJ154" s="203">
        <f t="shared" si="80"/>
        <v>0</v>
      </c>
      <c r="AK154" s="203">
        <f t="shared" si="80"/>
        <v>0</v>
      </c>
      <c r="AL154" s="203">
        <f t="shared" si="80"/>
        <v>0</v>
      </c>
      <c r="AM154" s="203">
        <f t="shared" si="80"/>
        <v>0</v>
      </c>
      <c r="AN154" s="203">
        <f t="shared" si="80"/>
        <v>0</v>
      </c>
      <c r="AO154" s="203">
        <f t="shared" si="80"/>
        <v>0</v>
      </c>
      <c r="AP154" s="203">
        <f t="shared" si="80"/>
        <v>0</v>
      </c>
    </row>
    <row r="155" spans="1:42" s="118" customFormat="1">
      <c r="A155" s="257" t="s">
        <v>220</v>
      </c>
      <c r="B155" s="198">
        <f t="shared" ref="B155:AP155" si="81">SUM(B150:B154)</f>
        <v>-28815458.75</v>
      </c>
      <c r="C155" s="198">
        <f t="shared" si="81"/>
        <v>4890302.1295758607</v>
      </c>
      <c r="D155" s="198">
        <f t="shared" si="81"/>
        <v>4933327.5188328158</v>
      </c>
      <c r="E155" s="198">
        <f t="shared" si="81"/>
        <v>4976189.6015447509</v>
      </c>
      <c r="F155" s="198">
        <f t="shared" si="81"/>
        <v>5015511.0702105928</v>
      </c>
      <c r="G155" s="198">
        <f t="shared" si="81"/>
        <v>5058056.5190571873</v>
      </c>
      <c r="H155" s="198">
        <f t="shared" si="81"/>
        <v>5100420.9247209392</v>
      </c>
      <c r="I155" s="198">
        <f t="shared" si="81"/>
        <v>5139072.5724151758</v>
      </c>
      <c r="J155" s="198">
        <f t="shared" si="81"/>
        <v>5181084.912123342</v>
      </c>
      <c r="K155" s="198">
        <f t="shared" si="81"/>
        <v>5222897.2420313396</v>
      </c>
      <c r="L155" s="198">
        <f t="shared" si="81"/>
        <v>5260816.3791882154</v>
      </c>
      <c r="M155" s="198">
        <f t="shared" si="81"/>
        <v>5302238.7293956364</v>
      </c>
      <c r="N155" s="198">
        <f t="shared" si="81"/>
        <v>5343440.7931166962</v>
      </c>
      <c r="O155" s="198">
        <f t="shared" si="81"/>
        <v>5281019.390732849</v>
      </c>
      <c r="P155" s="198">
        <f t="shared" si="81"/>
        <v>5322631.0195524516</v>
      </c>
      <c r="Q155" s="198">
        <f t="shared" si="81"/>
        <v>5364000.6898545725</v>
      </c>
      <c r="R155" s="198">
        <f t="shared" si="81"/>
        <v>5190569.5723522557</v>
      </c>
      <c r="S155" s="198">
        <f t="shared" si="81"/>
        <v>5233263.3071025787</v>
      </c>
      <c r="T155" s="198">
        <f t="shared" si="81"/>
        <v>5275691.9251586702</v>
      </c>
      <c r="U155" s="198">
        <f t="shared" si="81"/>
        <v>5313632.168904366</v>
      </c>
      <c r="V155" s="198">
        <f t="shared" si="81"/>
        <v>5355540.495705178</v>
      </c>
      <c r="W155" s="198">
        <f t="shared" si="81"/>
        <v>5397158.9648041232</v>
      </c>
      <c r="X155" s="198">
        <f t="shared" si="81"/>
        <v>5419740.3031346705</v>
      </c>
      <c r="Y155" s="198">
        <f t="shared" si="81"/>
        <v>5446457.9822864523</v>
      </c>
      <c r="Z155" s="198">
        <f t="shared" si="81"/>
        <v>5472859.3769442905</v>
      </c>
      <c r="AA155" s="198">
        <f t="shared" si="81"/>
        <v>5726121.6188261108</v>
      </c>
      <c r="AB155" s="198">
        <f t="shared" si="81"/>
        <v>5746765.4527849043</v>
      </c>
      <c r="AC155" s="198">
        <f t="shared" si="81"/>
        <v>5767064.7800426027</v>
      </c>
      <c r="AD155" s="198">
        <f t="shared" si="81"/>
        <v>5782190.1666202499</v>
      </c>
      <c r="AE155" s="198">
        <f t="shared" si="81"/>
        <v>5801810.0259299027</v>
      </c>
      <c r="AF155" s="198">
        <f t="shared" si="81"/>
        <v>9843770.2441727538</v>
      </c>
      <c r="AG155" s="198">
        <f t="shared" si="81"/>
        <v>0</v>
      </c>
      <c r="AH155" s="198">
        <f t="shared" si="81"/>
        <v>0</v>
      </c>
      <c r="AI155" s="198">
        <f t="shared" si="81"/>
        <v>0</v>
      </c>
      <c r="AJ155" s="198">
        <f t="shared" si="81"/>
        <v>0</v>
      </c>
      <c r="AK155" s="198">
        <f t="shared" si="81"/>
        <v>0</v>
      </c>
      <c r="AL155" s="198">
        <f t="shared" si="81"/>
        <v>0</v>
      </c>
      <c r="AM155" s="198">
        <f t="shared" si="81"/>
        <v>0</v>
      </c>
      <c r="AN155" s="198">
        <f t="shared" si="81"/>
        <v>0</v>
      </c>
      <c r="AO155" s="198">
        <f t="shared" si="81"/>
        <v>0</v>
      </c>
      <c r="AP155" s="198">
        <f t="shared" si="81"/>
        <v>0</v>
      </c>
    </row>
    <row r="156" spans="1:42" s="118" customFormat="1">
      <c r="A156" s="267" t="s">
        <v>33</v>
      </c>
      <c r="B156" s="198"/>
      <c r="C156" s="198"/>
      <c r="D156" s="198"/>
      <c r="E156" s="198"/>
      <c r="F156" s="198"/>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c r="AN156" s="141"/>
      <c r="AO156" s="141"/>
      <c r="AP156" s="141"/>
    </row>
    <row r="157" spans="1:42" s="118" customFormat="1">
      <c r="A157" s="257" t="s">
        <v>37</v>
      </c>
      <c r="B157" s="198">
        <v>0</v>
      </c>
      <c r="C157" s="198">
        <f>I323+K323</f>
        <v>20000</v>
      </c>
      <c r="D157" s="198">
        <v>0</v>
      </c>
      <c r="E157" s="198">
        <v>0</v>
      </c>
      <c r="F157" s="198">
        <v>0</v>
      </c>
      <c r="G157" s="198">
        <v>0</v>
      </c>
      <c r="H157" s="198">
        <v>0</v>
      </c>
      <c r="I157" s="198">
        <v>0</v>
      </c>
      <c r="J157" s="198">
        <v>0</v>
      </c>
      <c r="K157" s="198">
        <v>0</v>
      </c>
      <c r="L157" s="198">
        <v>0</v>
      </c>
      <c r="M157" s="198">
        <v>0</v>
      </c>
      <c r="N157" s="198">
        <v>0</v>
      </c>
      <c r="O157" s="198">
        <v>0</v>
      </c>
      <c r="P157" s="198">
        <v>0</v>
      </c>
      <c r="Q157" s="198">
        <v>0</v>
      </c>
      <c r="R157" s="198">
        <v>0</v>
      </c>
      <c r="S157" s="198">
        <v>0</v>
      </c>
      <c r="T157" s="198">
        <v>0</v>
      </c>
      <c r="U157" s="198">
        <v>0</v>
      </c>
      <c r="V157" s="198">
        <v>0</v>
      </c>
      <c r="W157" s="198">
        <v>0</v>
      </c>
      <c r="X157" s="198">
        <v>0</v>
      </c>
      <c r="Y157" s="198">
        <v>0</v>
      </c>
      <c r="Z157" s="198">
        <v>0</v>
      </c>
      <c r="AA157" s="198">
        <v>0</v>
      </c>
      <c r="AB157" s="198">
        <v>0</v>
      </c>
      <c r="AC157" s="198">
        <v>0</v>
      </c>
      <c r="AD157" s="198">
        <v>0</v>
      </c>
      <c r="AE157" s="198">
        <v>0</v>
      </c>
      <c r="AF157" s="198">
        <v>0</v>
      </c>
      <c r="AG157" s="198">
        <v>0</v>
      </c>
      <c r="AH157" s="198">
        <v>0</v>
      </c>
      <c r="AI157" s="198">
        <v>0</v>
      </c>
      <c r="AJ157" s="198">
        <v>0</v>
      </c>
      <c r="AK157" s="198">
        <v>0</v>
      </c>
      <c r="AL157" s="198">
        <v>0</v>
      </c>
      <c r="AM157" s="198">
        <v>0</v>
      </c>
      <c r="AN157" s="198">
        <v>0</v>
      </c>
      <c r="AO157" s="198">
        <v>0</v>
      </c>
      <c r="AP157" s="198">
        <v>0</v>
      </c>
    </row>
    <row r="158" spans="1:42" s="118" customFormat="1">
      <c r="A158" s="257" t="s">
        <v>36</v>
      </c>
      <c r="B158" s="203">
        <v>0</v>
      </c>
      <c r="C158" s="203">
        <f>I457+K457</f>
        <v>10000</v>
      </c>
      <c r="D158" s="203">
        <v>0</v>
      </c>
      <c r="E158" s="203">
        <v>0</v>
      </c>
      <c r="F158" s="203">
        <v>0</v>
      </c>
      <c r="G158" s="203">
        <v>0</v>
      </c>
      <c r="H158" s="203">
        <v>0</v>
      </c>
      <c r="I158" s="203">
        <v>0</v>
      </c>
      <c r="J158" s="203">
        <v>0</v>
      </c>
      <c r="K158" s="203">
        <v>0</v>
      </c>
      <c r="L158" s="203">
        <v>0</v>
      </c>
      <c r="M158" s="203">
        <v>0</v>
      </c>
      <c r="N158" s="203">
        <v>0</v>
      </c>
      <c r="O158" s="203">
        <v>0</v>
      </c>
      <c r="P158" s="203">
        <v>0</v>
      </c>
      <c r="Q158" s="203">
        <v>0</v>
      </c>
      <c r="R158" s="203">
        <v>0</v>
      </c>
      <c r="S158" s="203">
        <v>0</v>
      </c>
      <c r="T158" s="203">
        <v>0</v>
      </c>
      <c r="U158" s="203">
        <v>0</v>
      </c>
      <c r="V158" s="203">
        <v>0</v>
      </c>
      <c r="W158" s="203">
        <v>0</v>
      </c>
      <c r="X158" s="203">
        <v>0</v>
      </c>
      <c r="Y158" s="203">
        <v>0</v>
      </c>
      <c r="Z158" s="203">
        <v>0</v>
      </c>
      <c r="AA158" s="203">
        <v>0</v>
      </c>
      <c r="AB158" s="203">
        <v>0</v>
      </c>
      <c r="AC158" s="203">
        <v>0</v>
      </c>
      <c r="AD158" s="203">
        <v>0</v>
      </c>
      <c r="AE158" s="203">
        <v>0</v>
      </c>
      <c r="AF158" s="203">
        <v>0</v>
      </c>
      <c r="AG158" s="203">
        <v>0</v>
      </c>
      <c r="AH158" s="203">
        <v>0</v>
      </c>
      <c r="AI158" s="203">
        <v>0</v>
      </c>
      <c r="AJ158" s="203">
        <v>0</v>
      </c>
      <c r="AK158" s="203">
        <v>0</v>
      </c>
      <c r="AL158" s="203">
        <v>0</v>
      </c>
      <c r="AM158" s="203">
        <v>0</v>
      </c>
      <c r="AN158" s="203">
        <v>0</v>
      </c>
      <c r="AO158" s="203">
        <v>0</v>
      </c>
      <c r="AP158" s="203">
        <v>0</v>
      </c>
    </row>
    <row r="159" spans="1:42" s="118" customFormat="1">
      <c r="A159" s="257" t="s">
        <v>53</v>
      </c>
      <c r="B159" s="198">
        <f>SUM(B157:B158)</f>
        <v>0</v>
      </c>
      <c r="C159" s="198">
        <f>SUM(C157:C158)</f>
        <v>30000</v>
      </c>
      <c r="D159" s="198">
        <f>SUM(D157:D158)</f>
        <v>0</v>
      </c>
      <c r="E159" s="198">
        <f t="shared" ref="E159:AP159" si="82">SUM(E157:E158)</f>
        <v>0</v>
      </c>
      <c r="F159" s="198">
        <f t="shared" si="82"/>
        <v>0</v>
      </c>
      <c r="G159" s="198">
        <f t="shared" si="82"/>
        <v>0</v>
      </c>
      <c r="H159" s="198">
        <f t="shared" si="82"/>
        <v>0</v>
      </c>
      <c r="I159" s="198">
        <f t="shared" si="82"/>
        <v>0</v>
      </c>
      <c r="J159" s="198">
        <f t="shared" si="82"/>
        <v>0</v>
      </c>
      <c r="K159" s="198">
        <f t="shared" si="82"/>
        <v>0</v>
      </c>
      <c r="L159" s="198">
        <f t="shared" si="82"/>
        <v>0</v>
      </c>
      <c r="M159" s="198">
        <f t="shared" si="82"/>
        <v>0</v>
      </c>
      <c r="N159" s="198">
        <f t="shared" si="82"/>
        <v>0</v>
      </c>
      <c r="O159" s="198">
        <f t="shared" si="82"/>
        <v>0</v>
      </c>
      <c r="P159" s="198">
        <f t="shared" si="82"/>
        <v>0</v>
      </c>
      <c r="Q159" s="198">
        <f t="shared" si="82"/>
        <v>0</v>
      </c>
      <c r="R159" s="198">
        <f t="shared" si="82"/>
        <v>0</v>
      </c>
      <c r="S159" s="198">
        <f t="shared" si="82"/>
        <v>0</v>
      </c>
      <c r="T159" s="198">
        <f t="shared" si="82"/>
        <v>0</v>
      </c>
      <c r="U159" s="198">
        <f t="shared" si="82"/>
        <v>0</v>
      </c>
      <c r="V159" s="198">
        <f t="shared" si="82"/>
        <v>0</v>
      </c>
      <c r="W159" s="198">
        <f t="shared" si="82"/>
        <v>0</v>
      </c>
      <c r="X159" s="198">
        <f t="shared" si="82"/>
        <v>0</v>
      </c>
      <c r="Y159" s="198">
        <f t="shared" si="82"/>
        <v>0</v>
      </c>
      <c r="Z159" s="198">
        <f t="shared" si="82"/>
        <v>0</v>
      </c>
      <c r="AA159" s="198">
        <f t="shared" si="82"/>
        <v>0</v>
      </c>
      <c r="AB159" s="198">
        <f t="shared" si="82"/>
        <v>0</v>
      </c>
      <c r="AC159" s="198">
        <f t="shared" si="82"/>
        <v>0</v>
      </c>
      <c r="AD159" s="198">
        <f t="shared" si="82"/>
        <v>0</v>
      </c>
      <c r="AE159" s="198">
        <f t="shared" si="82"/>
        <v>0</v>
      </c>
      <c r="AF159" s="198">
        <f t="shared" si="82"/>
        <v>0</v>
      </c>
      <c r="AG159" s="198">
        <f t="shared" si="82"/>
        <v>0</v>
      </c>
      <c r="AH159" s="198">
        <f t="shared" si="82"/>
        <v>0</v>
      </c>
      <c r="AI159" s="198">
        <f t="shared" si="82"/>
        <v>0</v>
      </c>
      <c r="AJ159" s="198">
        <f t="shared" si="82"/>
        <v>0</v>
      </c>
      <c r="AK159" s="198">
        <f t="shared" si="82"/>
        <v>0</v>
      </c>
      <c r="AL159" s="198">
        <f t="shared" si="82"/>
        <v>0</v>
      </c>
      <c r="AM159" s="198">
        <f t="shared" si="82"/>
        <v>0</v>
      </c>
      <c r="AN159" s="198">
        <f t="shared" si="82"/>
        <v>0</v>
      </c>
      <c r="AO159" s="198">
        <f t="shared" si="82"/>
        <v>0</v>
      </c>
      <c r="AP159" s="198">
        <f t="shared" si="82"/>
        <v>0</v>
      </c>
    </row>
    <row r="160" spans="1:42" s="118" customFormat="1">
      <c r="A160" s="267" t="s">
        <v>38</v>
      </c>
      <c r="B160" s="198"/>
      <c r="C160" s="198"/>
      <c r="D160" s="198"/>
      <c r="E160" s="198"/>
      <c r="F160" s="198"/>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141"/>
      <c r="AK160" s="141"/>
      <c r="AL160" s="141"/>
      <c r="AM160" s="141"/>
      <c r="AN160" s="141"/>
      <c r="AO160" s="141"/>
      <c r="AP160" s="141"/>
    </row>
    <row r="161" spans="1:42" s="118" customFormat="1">
      <c r="A161" s="257" t="s">
        <v>37</v>
      </c>
      <c r="B161" s="198">
        <f>B587</f>
        <v>0</v>
      </c>
      <c r="C161" s="198">
        <f t="shared" ref="C161:AP161" si="83">C587</f>
        <v>0</v>
      </c>
      <c r="D161" s="198">
        <f t="shared" si="83"/>
        <v>0</v>
      </c>
      <c r="E161" s="198">
        <f t="shared" si="83"/>
        <v>0</v>
      </c>
      <c r="F161" s="198">
        <f t="shared" si="83"/>
        <v>0</v>
      </c>
      <c r="G161" s="198">
        <f t="shared" si="83"/>
        <v>0</v>
      </c>
      <c r="H161" s="198">
        <f t="shared" si="83"/>
        <v>0</v>
      </c>
      <c r="I161" s="198">
        <f t="shared" si="83"/>
        <v>0</v>
      </c>
      <c r="J161" s="198">
        <f t="shared" si="83"/>
        <v>0</v>
      </c>
      <c r="K161" s="198">
        <f t="shared" si="83"/>
        <v>0</v>
      </c>
      <c r="L161" s="198">
        <f t="shared" si="83"/>
        <v>0</v>
      </c>
      <c r="M161" s="198">
        <f t="shared" si="83"/>
        <v>0</v>
      </c>
      <c r="N161" s="198">
        <f t="shared" si="83"/>
        <v>0</v>
      </c>
      <c r="O161" s="198">
        <f t="shared" si="83"/>
        <v>0</v>
      </c>
      <c r="P161" s="198">
        <f t="shared" si="83"/>
        <v>0</v>
      </c>
      <c r="Q161" s="198">
        <f t="shared" si="83"/>
        <v>0</v>
      </c>
      <c r="R161" s="198">
        <f t="shared" si="83"/>
        <v>0</v>
      </c>
      <c r="S161" s="198">
        <f t="shared" si="83"/>
        <v>0</v>
      </c>
      <c r="T161" s="198">
        <f t="shared" si="83"/>
        <v>0</v>
      </c>
      <c r="U161" s="198">
        <f t="shared" si="83"/>
        <v>0</v>
      </c>
      <c r="V161" s="198">
        <f t="shared" si="83"/>
        <v>0</v>
      </c>
      <c r="W161" s="198">
        <f t="shared" si="83"/>
        <v>0</v>
      </c>
      <c r="X161" s="198">
        <f t="shared" si="83"/>
        <v>0</v>
      </c>
      <c r="Y161" s="198">
        <f t="shared" si="83"/>
        <v>0</v>
      </c>
      <c r="Z161" s="198">
        <f t="shared" si="83"/>
        <v>0</v>
      </c>
      <c r="AA161" s="198">
        <f t="shared" si="83"/>
        <v>0</v>
      </c>
      <c r="AB161" s="198">
        <f t="shared" si="83"/>
        <v>0</v>
      </c>
      <c r="AC161" s="198">
        <f t="shared" si="83"/>
        <v>0</v>
      </c>
      <c r="AD161" s="198">
        <f t="shared" si="83"/>
        <v>0</v>
      </c>
      <c r="AE161" s="198">
        <f t="shared" si="83"/>
        <v>0</v>
      </c>
      <c r="AF161" s="198">
        <f t="shared" si="83"/>
        <v>0</v>
      </c>
      <c r="AG161" s="198">
        <f t="shared" si="83"/>
        <v>0</v>
      </c>
      <c r="AH161" s="198">
        <f t="shared" si="83"/>
        <v>0</v>
      </c>
      <c r="AI161" s="198">
        <f t="shared" si="83"/>
        <v>0</v>
      </c>
      <c r="AJ161" s="198">
        <f t="shared" si="83"/>
        <v>0</v>
      </c>
      <c r="AK161" s="198">
        <f t="shared" si="83"/>
        <v>0</v>
      </c>
      <c r="AL161" s="198">
        <f t="shared" si="83"/>
        <v>0</v>
      </c>
      <c r="AM161" s="198">
        <f t="shared" si="83"/>
        <v>0</v>
      </c>
      <c r="AN161" s="198">
        <f t="shared" si="83"/>
        <v>0</v>
      </c>
      <c r="AO161" s="198">
        <f t="shared" si="83"/>
        <v>0</v>
      </c>
      <c r="AP161" s="198">
        <f t="shared" si="83"/>
        <v>0</v>
      </c>
    </row>
    <row r="162" spans="1:42" s="118" customFormat="1">
      <c r="A162" s="257" t="s">
        <v>36</v>
      </c>
      <c r="B162" s="203">
        <f>B593</f>
        <v>0</v>
      </c>
      <c r="C162" s="203">
        <f t="shared" ref="C162:AP162" si="84">C593</f>
        <v>0</v>
      </c>
      <c r="D162" s="203">
        <f t="shared" si="84"/>
        <v>0</v>
      </c>
      <c r="E162" s="203">
        <f t="shared" si="84"/>
        <v>0</v>
      </c>
      <c r="F162" s="203">
        <f t="shared" si="84"/>
        <v>0</v>
      </c>
      <c r="G162" s="203">
        <f t="shared" si="84"/>
        <v>0</v>
      </c>
      <c r="H162" s="203">
        <f t="shared" si="84"/>
        <v>0</v>
      </c>
      <c r="I162" s="203">
        <f t="shared" si="84"/>
        <v>0</v>
      </c>
      <c r="J162" s="203">
        <f t="shared" si="84"/>
        <v>0</v>
      </c>
      <c r="K162" s="203">
        <f t="shared" si="84"/>
        <v>0</v>
      </c>
      <c r="L162" s="203">
        <f t="shared" si="84"/>
        <v>0</v>
      </c>
      <c r="M162" s="203">
        <f t="shared" si="84"/>
        <v>0</v>
      </c>
      <c r="N162" s="203">
        <f t="shared" si="84"/>
        <v>0</v>
      </c>
      <c r="O162" s="203">
        <f t="shared" si="84"/>
        <v>0</v>
      </c>
      <c r="P162" s="203">
        <f t="shared" si="84"/>
        <v>0</v>
      </c>
      <c r="Q162" s="203">
        <f t="shared" si="84"/>
        <v>0</v>
      </c>
      <c r="R162" s="203">
        <f t="shared" si="84"/>
        <v>0</v>
      </c>
      <c r="S162" s="203">
        <f t="shared" si="84"/>
        <v>0</v>
      </c>
      <c r="T162" s="203">
        <f t="shared" si="84"/>
        <v>0</v>
      </c>
      <c r="U162" s="203">
        <f t="shared" si="84"/>
        <v>0</v>
      </c>
      <c r="V162" s="203">
        <f t="shared" si="84"/>
        <v>0</v>
      </c>
      <c r="W162" s="203">
        <f t="shared" si="84"/>
        <v>0</v>
      </c>
      <c r="X162" s="203">
        <f t="shared" si="84"/>
        <v>0</v>
      </c>
      <c r="Y162" s="203">
        <f t="shared" si="84"/>
        <v>0</v>
      </c>
      <c r="Z162" s="203">
        <f t="shared" si="84"/>
        <v>0</v>
      </c>
      <c r="AA162" s="203">
        <f t="shared" si="84"/>
        <v>0</v>
      </c>
      <c r="AB162" s="203">
        <f t="shared" si="84"/>
        <v>0</v>
      </c>
      <c r="AC162" s="203">
        <f t="shared" si="84"/>
        <v>0</v>
      </c>
      <c r="AD162" s="203">
        <f t="shared" si="84"/>
        <v>0</v>
      </c>
      <c r="AE162" s="203">
        <f t="shared" si="84"/>
        <v>0</v>
      </c>
      <c r="AF162" s="203">
        <f t="shared" si="84"/>
        <v>0</v>
      </c>
      <c r="AG162" s="203">
        <f t="shared" si="84"/>
        <v>0</v>
      </c>
      <c r="AH162" s="203">
        <f t="shared" si="84"/>
        <v>0</v>
      </c>
      <c r="AI162" s="203">
        <f t="shared" si="84"/>
        <v>0</v>
      </c>
      <c r="AJ162" s="203">
        <f t="shared" si="84"/>
        <v>0</v>
      </c>
      <c r="AK162" s="203">
        <f t="shared" si="84"/>
        <v>0</v>
      </c>
      <c r="AL162" s="203">
        <f t="shared" si="84"/>
        <v>0</v>
      </c>
      <c r="AM162" s="203">
        <f t="shared" si="84"/>
        <v>0</v>
      </c>
      <c r="AN162" s="203">
        <f t="shared" si="84"/>
        <v>0</v>
      </c>
      <c r="AO162" s="203">
        <f t="shared" si="84"/>
        <v>0</v>
      </c>
      <c r="AP162" s="203">
        <f t="shared" si="84"/>
        <v>0</v>
      </c>
    </row>
    <row r="163" spans="1:42" s="118" customFormat="1">
      <c r="A163" s="257" t="s">
        <v>53</v>
      </c>
      <c r="B163" s="198">
        <f>SUM(B161:B162)</f>
        <v>0</v>
      </c>
      <c r="C163" s="198">
        <f>SUM(C161:C162)</f>
        <v>0</v>
      </c>
      <c r="D163" s="198">
        <f>SUM(D161:D162)</f>
        <v>0</v>
      </c>
      <c r="E163" s="198">
        <f t="shared" ref="E163:AP163" si="85">SUM(E161:E162)</f>
        <v>0</v>
      </c>
      <c r="F163" s="198">
        <f t="shared" si="85"/>
        <v>0</v>
      </c>
      <c r="G163" s="198">
        <f t="shared" si="85"/>
        <v>0</v>
      </c>
      <c r="H163" s="198">
        <f t="shared" si="85"/>
        <v>0</v>
      </c>
      <c r="I163" s="198">
        <f t="shared" si="85"/>
        <v>0</v>
      </c>
      <c r="J163" s="198">
        <f t="shared" si="85"/>
        <v>0</v>
      </c>
      <c r="K163" s="198">
        <f t="shared" si="85"/>
        <v>0</v>
      </c>
      <c r="L163" s="198">
        <f t="shared" si="85"/>
        <v>0</v>
      </c>
      <c r="M163" s="198">
        <f t="shared" si="85"/>
        <v>0</v>
      </c>
      <c r="N163" s="198">
        <f t="shared" si="85"/>
        <v>0</v>
      </c>
      <c r="O163" s="198">
        <f t="shared" si="85"/>
        <v>0</v>
      </c>
      <c r="P163" s="198">
        <f t="shared" si="85"/>
        <v>0</v>
      </c>
      <c r="Q163" s="198">
        <f t="shared" si="85"/>
        <v>0</v>
      </c>
      <c r="R163" s="198">
        <f t="shared" si="85"/>
        <v>0</v>
      </c>
      <c r="S163" s="198">
        <f t="shared" si="85"/>
        <v>0</v>
      </c>
      <c r="T163" s="198">
        <f t="shared" si="85"/>
        <v>0</v>
      </c>
      <c r="U163" s="198">
        <f t="shared" si="85"/>
        <v>0</v>
      </c>
      <c r="V163" s="198">
        <f t="shared" si="85"/>
        <v>0</v>
      </c>
      <c r="W163" s="198">
        <f t="shared" si="85"/>
        <v>0</v>
      </c>
      <c r="X163" s="198">
        <f t="shared" si="85"/>
        <v>0</v>
      </c>
      <c r="Y163" s="198">
        <f t="shared" si="85"/>
        <v>0</v>
      </c>
      <c r="Z163" s="198">
        <f t="shared" si="85"/>
        <v>0</v>
      </c>
      <c r="AA163" s="198">
        <f t="shared" si="85"/>
        <v>0</v>
      </c>
      <c r="AB163" s="198">
        <f t="shared" si="85"/>
        <v>0</v>
      </c>
      <c r="AC163" s="198">
        <f t="shared" si="85"/>
        <v>0</v>
      </c>
      <c r="AD163" s="198">
        <f t="shared" si="85"/>
        <v>0</v>
      </c>
      <c r="AE163" s="198">
        <f t="shared" si="85"/>
        <v>0</v>
      </c>
      <c r="AF163" s="198">
        <f t="shared" si="85"/>
        <v>0</v>
      </c>
      <c r="AG163" s="198">
        <f t="shared" si="85"/>
        <v>0</v>
      </c>
      <c r="AH163" s="198">
        <f t="shared" si="85"/>
        <v>0</v>
      </c>
      <c r="AI163" s="198">
        <f t="shared" si="85"/>
        <v>0</v>
      </c>
      <c r="AJ163" s="198">
        <f t="shared" si="85"/>
        <v>0</v>
      </c>
      <c r="AK163" s="198">
        <f t="shared" si="85"/>
        <v>0</v>
      </c>
      <c r="AL163" s="198">
        <f t="shared" si="85"/>
        <v>0</v>
      </c>
      <c r="AM163" s="198">
        <f t="shared" si="85"/>
        <v>0</v>
      </c>
      <c r="AN163" s="198">
        <f t="shared" si="85"/>
        <v>0</v>
      </c>
      <c r="AO163" s="198">
        <f t="shared" si="85"/>
        <v>0</v>
      </c>
      <c r="AP163" s="198">
        <f t="shared" si="85"/>
        <v>0</v>
      </c>
    </row>
    <row r="164" spans="1:42" s="118" customFormat="1">
      <c r="A164" s="267" t="s">
        <v>223</v>
      </c>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198"/>
      <c r="AK164" s="198"/>
      <c r="AL164" s="198"/>
      <c r="AM164" s="198"/>
      <c r="AN164" s="198"/>
      <c r="AO164" s="198"/>
      <c r="AP164" s="198"/>
    </row>
    <row r="165" spans="1:42" s="118" customFormat="1">
      <c r="A165" s="257" t="s">
        <v>37</v>
      </c>
      <c r="B165" s="198">
        <v>0</v>
      </c>
      <c r="C165" s="198">
        <f t="shared" ref="C165:AP165" si="86">C245</f>
        <v>-489410.96259697637</v>
      </c>
      <c r="D165" s="198">
        <f t="shared" si="86"/>
        <v>412956.06303932588</v>
      </c>
      <c r="E165" s="198">
        <f t="shared" si="86"/>
        <v>140779.05401545076</v>
      </c>
      <c r="F165" s="198">
        <f t="shared" si="86"/>
        <v>-23373.80489643677</v>
      </c>
      <c r="G165" s="198">
        <f t="shared" si="86"/>
        <v>-26709.741971695701</v>
      </c>
      <c r="H165" s="198">
        <f t="shared" si="86"/>
        <v>-150314.50296913675</v>
      </c>
      <c r="I165" s="198">
        <f t="shared" si="86"/>
        <v>-273623.84328331728</v>
      </c>
      <c r="J165" s="198">
        <f t="shared" si="86"/>
        <v>-277022.82023780234</v>
      </c>
      <c r="K165" s="198">
        <f t="shared" si="86"/>
        <v>-278857.74647712556</v>
      </c>
      <c r="L165" s="198">
        <f t="shared" si="86"/>
        <v>-280206.84401720337</v>
      </c>
      <c r="M165" s="198">
        <f t="shared" si="86"/>
        <v>-283612.37752840272</v>
      </c>
      <c r="N165" s="198">
        <f t="shared" si="86"/>
        <v>-253013.29556801682</v>
      </c>
      <c r="O165" s="198">
        <f t="shared" si="86"/>
        <v>-229359.48456750973</v>
      </c>
      <c r="P165" s="198">
        <f t="shared" si="86"/>
        <v>-253573.20445780299</v>
      </c>
      <c r="Q165" s="198">
        <f t="shared" si="86"/>
        <v>-200033.58899042706</v>
      </c>
      <c r="R165" s="198">
        <f t="shared" si="86"/>
        <v>-151248.46226742852</v>
      </c>
      <c r="S165" s="198">
        <f t="shared" si="86"/>
        <v>-209731.55777229776</v>
      </c>
      <c r="T165" s="198">
        <f t="shared" si="86"/>
        <v>-246885.81386190906</v>
      </c>
      <c r="U165" s="198">
        <f t="shared" si="86"/>
        <v>-248122.4338495488</v>
      </c>
      <c r="V165" s="198">
        <f t="shared" si="86"/>
        <v>-271235.38912620139</v>
      </c>
      <c r="W165" s="198">
        <f t="shared" si="86"/>
        <v>-293366.91814718599</v>
      </c>
      <c r="X165" s="198">
        <f t="shared" si="86"/>
        <v>-294598.73040135554</v>
      </c>
      <c r="Y165" s="198">
        <f t="shared" si="86"/>
        <v>-297424.43352013413</v>
      </c>
      <c r="Z165" s="198">
        <f t="shared" si="86"/>
        <v>-259573.88000005891</v>
      </c>
      <c r="AA165" s="198">
        <f t="shared" si="86"/>
        <v>-249335.55133045363</v>
      </c>
      <c r="AB165" s="198">
        <f t="shared" si="86"/>
        <v>-276676.58130224142</v>
      </c>
      <c r="AC165" s="198">
        <f t="shared" si="86"/>
        <v>-292067.10874241585</v>
      </c>
      <c r="AD165" s="198">
        <f t="shared" si="86"/>
        <v>-291927.01671146945</v>
      </c>
      <c r="AE165" s="198">
        <f t="shared" si="86"/>
        <v>-305643.41743282235</v>
      </c>
      <c r="AF165" s="198">
        <f t="shared" si="86"/>
        <v>-453780.91612259217</v>
      </c>
      <c r="AG165" s="198">
        <f t="shared" si="86"/>
        <v>0</v>
      </c>
      <c r="AH165" s="198">
        <f t="shared" si="86"/>
        <v>0</v>
      </c>
      <c r="AI165" s="198">
        <f t="shared" si="86"/>
        <v>0</v>
      </c>
      <c r="AJ165" s="198">
        <f t="shared" si="86"/>
        <v>0</v>
      </c>
      <c r="AK165" s="198">
        <f t="shared" si="86"/>
        <v>0</v>
      </c>
      <c r="AL165" s="198">
        <f t="shared" si="86"/>
        <v>0</v>
      </c>
      <c r="AM165" s="198">
        <f t="shared" si="86"/>
        <v>0</v>
      </c>
      <c r="AN165" s="198">
        <f t="shared" si="86"/>
        <v>0</v>
      </c>
      <c r="AO165" s="198">
        <f t="shared" si="86"/>
        <v>0</v>
      </c>
      <c r="AP165" s="198">
        <f t="shared" si="86"/>
        <v>0</v>
      </c>
    </row>
    <row r="166" spans="1:42" s="118" customFormat="1">
      <c r="A166" s="257" t="s">
        <v>36</v>
      </c>
      <c r="B166" s="203">
        <v>0</v>
      </c>
      <c r="C166" s="203">
        <f t="shared" ref="C166:AP166" si="87">C276</f>
        <v>-2383162.6043854523</v>
      </c>
      <c r="D166" s="203">
        <f t="shared" si="87"/>
        <v>2257276.8144574002</v>
      </c>
      <c r="E166" s="203">
        <f t="shared" si="87"/>
        <v>710939.56877364242</v>
      </c>
      <c r="F166" s="203">
        <f t="shared" si="87"/>
        <v>-221954.24489695393</v>
      </c>
      <c r="G166" s="203">
        <f t="shared" si="87"/>
        <v>-242015.35739953376</v>
      </c>
      <c r="H166" s="203">
        <f t="shared" si="87"/>
        <v>-944633.10194472678</v>
      </c>
      <c r="I166" s="203">
        <f t="shared" si="87"/>
        <v>-1645474.2939264944</v>
      </c>
      <c r="J166" s="203">
        <f t="shared" si="87"/>
        <v>-1665914.5053391475</v>
      </c>
      <c r="K166" s="203">
        <f t="shared" si="87"/>
        <v>-1676949.0844965326</v>
      </c>
      <c r="L166" s="203">
        <f t="shared" si="87"/>
        <v>-1685062.0665216364</v>
      </c>
      <c r="M166" s="203">
        <f t="shared" si="87"/>
        <v>-1705541.706682167</v>
      </c>
      <c r="N166" s="203">
        <f t="shared" si="87"/>
        <v>-1521529.954711301</v>
      </c>
      <c r="O166" s="203">
        <f t="shared" si="87"/>
        <v>-1379284.5367400697</v>
      </c>
      <c r="P166" s="203">
        <f t="shared" si="87"/>
        <v>-1524897.0431712426</v>
      </c>
      <c r="Q166" s="203">
        <f t="shared" si="87"/>
        <v>-1202929.2647015227</v>
      </c>
      <c r="R166" s="203">
        <f t="shared" si="87"/>
        <v>-909553.2526354905</v>
      </c>
      <c r="S166" s="203">
        <f t="shared" si="87"/>
        <v>-1261249.3224215906</v>
      </c>
      <c r="T166" s="203">
        <f t="shared" si="87"/>
        <v>-1484681.5079059347</v>
      </c>
      <c r="U166" s="203">
        <f t="shared" si="87"/>
        <v>-1492118.0908316048</v>
      </c>
      <c r="V166" s="203">
        <f t="shared" si="87"/>
        <v>-1631110.9991543835</v>
      </c>
      <c r="W166" s="203">
        <f t="shared" si="87"/>
        <v>-1764201.9668578503</v>
      </c>
      <c r="X166" s="203">
        <f t="shared" si="87"/>
        <v>-1771609.6378226972</v>
      </c>
      <c r="Y166" s="203">
        <f t="shared" si="87"/>
        <v>-1788602.3888506244</v>
      </c>
      <c r="Z166" s="203">
        <f t="shared" si="87"/>
        <v>-1560982.9238185361</v>
      </c>
      <c r="AA166" s="203">
        <f t="shared" si="87"/>
        <v>-1499413.3382281368</v>
      </c>
      <c r="AB166" s="203">
        <f t="shared" si="87"/>
        <v>-1663832.3502857517</v>
      </c>
      <c r="AC166" s="203">
        <f t="shared" si="87"/>
        <v>-1756385.3857555278</v>
      </c>
      <c r="AD166" s="203">
        <f t="shared" si="87"/>
        <v>-1755542.923223973</v>
      </c>
      <c r="AE166" s="203">
        <f t="shared" si="87"/>
        <v>-1838028.369380109</v>
      </c>
      <c r="AF166" s="203">
        <f t="shared" si="87"/>
        <v>-2728873.4183190428</v>
      </c>
      <c r="AG166" s="203">
        <f t="shared" si="87"/>
        <v>0</v>
      </c>
      <c r="AH166" s="203">
        <f t="shared" si="87"/>
        <v>0</v>
      </c>
      <c r="AI166" s="203">
        <f t="shared" si="87"/>
        <v>0</v>
      </c>
      <c r="AJ166" s="203">
        <f t="shared" si="87"/>
        <v>0</v>
      </c>
      <c r="AK166" s="203">
        <f t="shared" si="87"/>
        <v>0</v>
      </c>
      <c r="AL166" s="203">
        <f t="shared" si="87"/>
        <v>0</v>
      </c>
      <c r="AM166" s="203">
        <f t="shared" si="87"/>
        <v>0</v>
      </c>
      <c r="AN166" s="203">
        <f t="shared" si="87"/>
        <v>0</v>
      </c>
      <c r="AO166" s="203">
        <f t="shared" si="87"/>
        <v>0</v>
      </c>
      <c r="AP166" s="203">
        <f t="shared" si="87"/>
        <v>0</v>
      </c>
    </row>
    <row r="167" spans="1:42" s="118" customFormat="1">
      <c r="A167" s="257" t="s">
        <v>53</v>
      </c>
      <c r="B167" s="273">
        <f>SUM(B165:B166)</f>
        <v>0</v>
      </c>
      <c r="C167" s="273">
        <f>SUM(C165:C166)</f>
        <v>-2872573.5669824285</v>
      </c>
      <c r="D167" s="273">
        <f>SUM(D165:D166)</f>
        <v>2670232.8774967259</v>
      </c>
      <c r="E167" s="273">
        <f t="shared" ref="E167:AP167" si="88">SUM(E165:E166)</f>
        <v>851718.62278909318</v>
      </c>
      <c r="F167" s="273">
        <f t="shared" si="88"/>
        <v>-245328.0497933907</v>
      </c>
      <c r="G167" s="273">
        <f t="shared" si="88"/>
        <v>-268725.09937122947</v>
      </c>
      <c r="H167" s="273">
        <f t="shared" si="88"/>
        <v>-1094947.6049138636</v>
      </c>
      <c r="I167" s="273">
        <f t="shared" si="88"/>
        <v>-1919098.1372098117</v>
      </c>
      <c r="J167" s="273">
        <f t="shared" si="88"/>
        <v>-1942937.3255769499</v>
      </c>
      <c r="K167" s="273">
        <f t="shared" si="88"/>
        <v>-1955806.8309736582</v>
      </c>
      <c r="L167" s="273">
        <f t="shared" si="88"/>
        <v>-1965268.9105388399</v>
      </c>
      <c r="M167" s="273">
        <f t="shared" si="88"/>
        <v>-1989154.0842105697</v>
      </c>
      <c r="N167" s="273">
        <f t="shared" si="88"/>
        <v>-1774543.2502793178</v>
      </c>
      <c r="O167" s="273">
        <f t="shared" si="88"/>
        <v>-1608644.0213075795</v>
      </c>
      <c r="P167" s="273">
        <f t="shared" si="88"/>
        <v>-1778470.2476290455</v>
      </c>
      <c r="Q167" s="273">
        <f t="shared" si="88"/>
        <v>-1402962.8536919497</v>
      </c>
      <c r="R167" s="273">
        <f t="shared" si="88"/>
        <v>-1060801.714902919</v>
      </c>
      <c r="S167" s="273">
        <f t="shared" si="88"/>
        <v>-1470980.8801938882</v>
      </c>
      <c r="T167" s="273">
        <f t="shared" si="88"/>
        <v>-1731567.3217678438</v>
      </c>
      <c r="U167" s="273">
        <f t="shared" si="88"/>
        <v>-1740240.5246811537</v>
      </c>
      <c r="V167" s="273">
        <f t="shared" si="88"/>
        <v>-1902346.3882805849</v>
      </c>
      <c r="W167" s="273">
        <f t="shared" si="88"/>
        <v>-2057568.8850050364</v>
      </c>
      <c r="X167" s="273">
        <f t="shared" si="88"/>
        <v>-2066208.3682240527</v>
      </c>
      <c r="Y167" s="273">
        <f t="shared" si="88"/>
        <v>-2086026.8223707585</v>
      </c>
      <c r="Z167" s="273">
        <f t="shared" si="88"/>
        <v>-1820556.8038185951</v>
      </c>
      <c r="AA167" s="273">
        <f t="shared" si="88"/>
        <v>-1748748.8895585905</v>
      </c>
      <c r="AB167" s="273">
        <f t="shared" si="88"/>
        <v>-1940508.9315879932</v>
      </c>
      <c r="AC167" s="273">
        <f t="shared" si="88"/>
        <v>-2048452.4944979437</v>
      </c>
      <c r="AD167" s="273">
        <f t="shared" si="88"/>
        <v>-2047469.9399354425</v>
      </c>
      <c r="AE167" s="273">
        <f t="shared" si="88"/>
        <v>-2143671.7868129313</v>
      </c>
      <c r="AF167" s="273">
        <f t="shared" si="88"/>
        <v>-3182654.3344416348</v>
      </c>
      <c r="AG167" s="273">
        <f t="shared" si="88"/>
        <v>0</v>
      </c>
      <c r="AH167" s="273">
        <f t="shared" si="88"/>
        <v>0</v>
      </c>
      <c r="AI167" s="273">
        <f t="shared" si="88"/>
        <v>0</v>
      </c>
      <c r="AJ167" s="273">
        <f t="shared" si="88"/>
        <v>0</v>
      </c>
      <c r="AK167" s="273">
        <f t="shared" si="88"/>
        <v>0</v>
      </c>
      <c r="AL167" s="273">
        <f t="shared" si="88"/>
        <v>0</v>
      </c>
      <c r="AM167" s="273">
        <f t="shared" si="88"/>
        <v>0</v>
      </c>
      <c r="AN167" s="273">
        <f t="shared" si="88"/>
        <v>0</v>
      </c>
      <c r="AO167" s="273">
        <f t="shared" si="88"/>
        <v>0</v>
      </c>
      <c r="AP167" s="273">
        <f t="shared" si="88"/>
        <v>0</v>
      </c>
    </row>
    <row r="168" spans="1:42" s="118" customFormat="1">
      <c r="A168" s="267" t="s">
        <v>53</v>
      </c>
      <c r="B168" s="198">
        <f>B155+B159+B163+B167</f>
        <v>-28815458.75</v>
      </c>
      <c r="C168" s="198">
        <f t="shared" ref="C168:AP168" si="89">C155+C159+C163+C167</f>
        <v>2047728.5625934321</v>
      </c>
      <c r="D168" s="198">
        <f t="shared" si="89"/>
        <v>7603560.3963295417</v>
      </c>
      <c r="E168" s="198">
        <f t="shared" si="89"/>
        <v>5827908.2243338441</v>
      </c>
      <c r="F168" s="198">
        <f t="shared" si="89"/>
        <v>4770183.0204172023</v>
      </c>
      <c r="G168" s="198">
        <f t="shared" si="89"/>
        <v>4789331.419685958</v>
      </c>
      <c r="H168" s="198">
        <f t="shared" si="89"/>
        <v>4005473.3198070759</v>
      </c>
      <c r="I168" s="198">
        <f t="shared" si="89"/>
        <v>3219974.4352053641</v>
      </c>
      <c r="J168" s="198">
        <f t="shared" si="89"/>
        <v>3238147.5865463922</v>
      </c>
      <c r="K168" s="198">
        <f t="shared" si="89"/>
        <v>3267090.4110576813</v>
      </c>
      <c r="L168" s="198">
        <f t="shared" si="89"/>
        <v>3295547.4686493753</v>
      </c>
      <c r="M168" s="198">
        <f t="shared" si="89"/>
        <v>3313084.6451850664</v>
      </c>
      <c r="N168" s="198">
        <f t="shared" si="89"/>
        <v>3568897.5428373786</v>
      </c>
      <c r="O168" s="198">
        <f t="shared" si="89"/>
        <v>3672375.3694252698</v>
      </c>
      <c r="P168" s="198">
        <f t="shared" si="89"/>
        <v>3544160.771923406</v>
      </c>
      <c r="Q168" s="198">
        <f t="shared" si="89"/>
        <v>3961037.836162623</v>
      </c>
      <c r="R168" s="198">
        <f t="shared" si="89"/>
        <v>4129767.8574493369</v>
      </c>
      <c r="S168" s="198">
        <f t="shared" si="89"/>
        <v>3762282.4269086905</v>
      </c>
      <c r="T168" s="198">
        <f t="shared" si="89"/>
        <v>3544124.6033908264</v>
      </c>
      <c r="U168" s="198">
        <f t="shared" si="89"/>
        <v>3573391.6442232123</v>
      </c>
      <c r="V168" s="198">
        <f t="shared" si="89"/>
        <v>3453194.1074245931</v>
      </c>
      <c r="W168" s="198">
        <f t="shared" si="89"/>
        <v>3339590.0797990868</v>
      </c>
      <c r="X168" s="198">
        <f t="shared" si="89"/>
        <v>3353531.9349106178</v>
      </c>
      <c r="Y168" s="198">
        <f t="shared" si="89"/>
        <v>3360431.159915694</v>
      </c>
      <c r="Z168" s="198">
        <f t="shared" si="89"/>
        <v>3652302.5731256953</v>
      </c>
      <c r="AA168" s="198">
        <f t="shared" si="89"/>
        <v>3977372.7292675204</v>
      </c>
      <c r="AB168" s="198">
        <f t="shared" si="89"/>
        <v>3806256.5211969111</v>
      </c>
      <c r="AC168" s="198">
        <f t="shared" si="89"/>
        <v>3718612.285544659</v>
      </c>
      <c r="AD168" s="198">
        <f t="shared" si="89"/>
        <v>3734720.2266848073</v>
      </c>
      <c r="AE168" s="198">
        <f t="shared" si="89"/>
        <v>3658138.2391169714</v>
      </c>
      <c r="AF168" s="198">
        <f t="shared" si="89"/>
        <v>6661115.9097311189</v>
      </c>
      <c r="AG168" s="198">
        <f t="shared" si="89"/>
        <v>0</v>
      </c>
      <c r="AH168" s="198">
        <f t="shared" si="89"/>
        <v>0</v>
      </c>
      <c r="AI168" s="198">
        <f t="shared" si="89"/>
        <v>0</v>
      </c>
      <c r="AJ168" s="198">
        <f t="shared" si="89"/>
        <v>0</v>
      </c>
      <c r="AK168" s="198">
        <f t="shared" si="89"/>
        <v>0</v>
      </c>
      <c r="AL168" s="198">
        <f t="shared" si="89"/>
        <v>0</v>
      </c>
      <c r="AM168" s="198">
        <f t="shared" si="89"/>
        <v>0</v>
      </c>
      <c r="AN168" s="198">
        <f t="shared" si="89"/>
        <v>0</v>
      </c>
      <c r="AO168" s="198">
        <f t="shared" si="89"/>
        <v>0</v>
      </c>
      <c r="AP168" s="198">
        <f t="shared" si="89"/>
        <v>0</v>
      </c>
    </row>
    <row r="169" spans="1:42">
      <c r="A169" s="200"/>
      <c r="B169" s="152"/>
      <c r="C169" s="152"/>
      <c r="D169" s="152"/>
      <c r="E169" s="152"/>
      <c r="F169" s="152"/>
      <c r="G169" s="152"/>
      <c r="H169" s="152"/>
      <c r="I169" s="152"/>
      <c r="J169" s="152"/>
      <c r="K169" s="152"/>
      <c r="L169" s="152"/>
      <c r="M169" s="152"/>
      <c r="N169" s="152"/>
      <c r="O169" s="152"/>
      <c r="P169" s="152"/>
      <c r="Q169" s="152"/>
      <c r="R169" s="152"/>
      <c r="S169" s="152"/>
      <c r="T169" s="152"/>
      <c r="U169" s="152"/>
      <c r="V169" s="152"/>
      <c r="W169" s="152"/>
      <c r="X169" s="152"/>
      <c r="Y169" s="152"/>
      <c r="Z169" s="152"/>
      <c r="AA169" s="152"/>
      <c r="AB169" s="152"/>
      <c r="AC169" s="152"/>
      <c r="AD169" s="152"/>
      <c r="AE169" s="152"/>
      <c r="AF169" s="152"/>
      <c r="AG169" s="152"/>
      <c r="AH169" s="152"/>
      <c r="AI169" s="152"/>
      <c r="AJ169" s="152"/>
      <c r="AK169" s="152"/>
      <c r="AL169" s="152"/>
      <c r="AM169" s="152"/>
      <c r="AN169" s="152"/>
      <c r="AO169" s="152"/>
      <c r="AP169" s="152"/>
    </row>
    <row r="170" spans="1:42">
      <c r="A170" s="180" t="s">
        <v>401</v>
      </c>
      <c r="B170" s="201">
        <f>ROUND(IF(ISERROR(IRR($B$168:B168)),0,IRR($B$168:B168)),4)</f>
        <v>0</v>
      </c>
      <c r="C170" s="201">
        <f>ROUND(IF(ISERROR(IRR($B$168:C168)),0,IRR($B$168:C168)),4)</f>
        <v>0</v>
      </c>
      <c r="D170" s="201">
        <f>ROUND(IF(ISERROR(IRR($B$168:D168)),0,IRR($B$168:D168)),4)</f>
        <v>0</v>
      </c>
      <c r="E170" s="201">
        <f>ROUND(IF(ISERROR(IRR($B$168:E168)),0,IRR($B$168:E168)),4)</f>
        <v>-0.2364</v>
      </c>
      <c r="F170" s="201">
        <f>ROUND(IF(ISERROR(IRR($B$168:F168)),0,IRR($B$168:F168)),4)</f>
        <v>-0.12180000000000001</v>
      </c>
      <c r="G170" s="201">
        <f>ROUND(IF(ISERROR(IRR($B$168:G168)),0,IRR($B$168:G168)),4)</f>
        <v>-4.3700000000000003E-2</v>
      </c>
      <c r="H170" s="201">
        <f>ROUND(IF(ISERROR(IRR($B$168:H168)),0,IRR($B$168:H168)),4)</f>
        <v>2.3E-3</v>
      </c>
      <c r="I170" s="201">
        <f>ROUND(IF(ISERROR(IRR($B$168:I168)),0,IRR($B$168:I168)),4)</f>
        <v>3.0099999999999998E-2</v>
      </c>
      <c r="J170" s="201">
        <f>ROUND(IF(ISERROR(IRR($B$168:J168)),0,IRR($B$168:J168)),4)</f>
        <v>5.1900000000000002E-2</v>
      </c>
      <c r="K170" s="201">
        <f>ROUND(IF(ISERROR(IRR($B$168:K168)),0,IRR($B$168:K168)),4)</f>
        <v>6.9000000000000006E-2</v>
      </c>
      <c r="L170" s="201">
        <f>ROUND(IF(ISERROR(IRR($B$168:L168)),0,IRR($B$168:L168)),4)</f>
        <v>8.2500000000000004E-2</v>
      </c>
      <c r="M170" s="201">
        <f>ROUND(IF(ISERROR(IRR($B$168:M168)),0,IRR($B$168:M168)),4)</f>
        <v>9.3299999999999994E-2</v>
      </c>
      <c r="N170" s="201">
        <f>ROUND(IF(ISERROR(IRR($B$168:N168)),0,IRR($B$168:N168)),4)</f>
        <v>0.10249999999999999</v>
      </c>
      <c r="O170" s="201">
        <f>ROUND(IF(ISERROR(IRR($B$168:O168)),0,IRR($B$168:O168)),4)</f>
        <v>0.11</v>
      </c>
      <c r="P170" s="201">
        <f>ROUND(IF(ISERROR(IRR($B$168:P168)),0,IRR($B$168:P168)),4)</f>
        <v>0.1158</v>
      </c>
      <c r="Q170" s="201">
        <f>ROUND(IF(ISERROR(IRR($B$168:Q168)),0,IRR($B$168:Q168)),4)</f>
        <v>0.1212</v>
      </c>
      <c r="R170" s="201">
        <f>ROUND(IF(ISERROR(IRR($B$168:R168)),0,IRR($B$168:R168)),4)</f>
        <v>0.12559999999999999</v>
      </c>
      <c r="S170" s="201">
        <f>ROUND(IF(ISERROR(IRR($B$168:S168)),0,IRR($B$168:S168)),4)</f>
        <v>0.129</v>
      </c>
      <c r="T170" s="201">
        <f>ROUND(IF(ISERROR(IRR($B$168:T168)),0,IRR($B$168:T168)),4)</f>
        <v>0.13159999999999999</v>
      </c>
      <c r="U170" s="201">
        <f>ROUND(IF(ISERROR(IRR($B$168:U168)),0,IRR($B$168:U168)),4)</f>
        <v>0.1338</v>
      </c>
      <c r="V170" s="201">
        <f>ROUND(IF(ISERROR(IRR($B$168:V168)),0,IRR($B$168:V168)),4)</f>
        <v>0.1356</v>
      </c>
      <c r="W170" s="201">
        <f>ROUND(IF(ISERROR(IRR($B$168:W168)),0,IRR($B$168:W168)),4)</f>
        <v>0.13700000000000001</v>
      </c>
      <c r="X170" s="201">
        <f>ROUND(IF(ISERROR(IRR($B$168:X168)),0,IRR($B$168:X168)),4)</f>
        <v>0.13830000000000001</v>
      </c>
      <c r="Y170" s="201">
        <f>ROUND(IF(ISERROR(IRR($B$168:Y168)),0,IRR($B$168:Y168)),4)</f>
        <v>0.13930000000000001</v>
      </c>
      <c r="Z170" s="201">
        <f>ROUND(IF(ISERROR(IRR($B$168:Z168)),0,IRR($B$168:Z168)),4)</f>
        <v>0.14030000000000001</v>
      </c>
      <c r="AA170" s="201">
        <f>ROUND(IF(ISERROR(IRR($B$168:AA168)),0,IRR($B$168:AA168)),4)</f>
        <v>0.14119999999999999</v>
      </c>
      <c r="AB170" s="201">
        <f>ROUND(IF(ISERROR(IRR($B$168:AB168)),0,IRR($B$168:AB168)),4)</f>
        <v>0.1419</v>
      </c>
      <c r="AC170" s="201">
        <f>ROUND(IF(ISERROR(IRR($B$168:AC168)),0,IRR($B$168:AC168)),4)</f>
        <v>0.1426</v>
      </c>
      <c r="AD170" s="201">
        <f>ROUND(IF(ISERROR(IRR($B$168:AD168)),0,IRR($B$168:AD168)),4)</f>
        <v>0.1431</v>
      </c>
      <c r="AE170" s="201">
        <f>ROUND(IF(ISERROR(IRR($B$168:AE168)),0,IRR($B$168:AE168)),4)</f>
        <v>0.14349999999999999</v>
      </c>
      <c r="AF170" s="201">
        <f>ROUND(IF(ISERROR(IRR($B$168:AF168)),0,IRR($B$168:AF168)),4)</f>
        <v>0.14419999999999999</v>
      </c>
      <c r="AG170" s="201">
        <f>ROUND(IF(ISERROR(IRR($B$168:AG168)),0,IRR($B$168:AG168)),4)</f>
        <v>0.14419999999999999</v>
      </c>
      <c r="AH170" s="201">
        <f>ROUND(IF(ISERROR(IRR($B$168:AH168)),0,IRR($B$168:AH168)),4)</f>
        <v>0.14419999999999999</v>
      </c>
      <c r="AI170" s="201">
        <f>ROUND(IF(ISERROR(IRR($B$168:AI168)),0,IRR($B$168:AI168)),4)</f>
        <v>0.14419999999999999</v>
      </c>
      <c r="AJ170" s="201">
        <f>ROUND(IF(ISERROR(IRR($B$168:AJ168)),0,IRR($B$168:AJ168)),4)</f>
        <v>0.14419999999999999</v>
      </c>
      <c r="AK170" s="201">
        <f>ROUND(IF(ISERROR(IRR($B$168:AK168)),0,IRR($B$168:AK168)),4)</f>
        <v>0.14419999999999999</v>
      </c>
      <c r="AL170" s="201">
        <f>ROUND(IF(ISERROR(IRR($B$168:AL168)),0,IRR($B$168:AL168)),4)</f>
        <v>0.14419999999999999</v>
      </c>
      <c r="AM170" s="201">
        <f>ROUND(IF(ISERROR(IRR($B$168:AM168)),0,IRR($B$168:AM168)),4)</f>
        <v>0.14419999999999999</v>
      </c>
      <c r="AN170" s="201">
        <f>ROUND(IF(ISERROR(IRR($B$168:AN168)),0,IRR($B$168:AN168)),4)</f>
        <v>0.14419999999999999</v>
      </c>
      <c r="AO170" s="201">
        <f>ROUND(IF(ISERROR(IRR($B$168:AO168)),0,IRR($B$168:AO168)),4)</f>
        <v>0.14419999999999999</v>
      </c>
      <c r="AP170" s="201">
        <f>ROUND(IF(ISERROR(IRR($B$168:AP168)),0,IRR($B$168:AP168)),4)</f>
        <v>0.14419999999999999</v>
      </c>
    </row>
    <row r="171" spans="1:42">
      <c r="A171" s="180" t="s">
        <v>237</v>
      </c>
      <c r="B171" s="202">
        <f>MAX($B$170:B170)</f>
        <v>0</v>
      </c>
      <c r="C171" s="202">
        <f>MAX($B$170:C170)</f>
        <v>0</v>
      </c>
      <c r="D171" s="202">
        <f>MAX($B$170:D170)</f>
        <v>0</v>
      </c>
      <c r="E171" s="202">
        <f>MAX($B$170:E170)</f>
        <v>0</v>
      </c>
      <c r="F171" s="202">
        <f>MAX($B$170:F170)</f>
        <v>0</v>
      </c>
      <c r="G171" s="202">
        <f>MAX($B$170:G170)</f>
        <v>0</v>
      </c>
      <c r="H171" s="202">
        <f>MAX($B$170:H170)</f>
        <v>2.3E-3</v>
      </c>
      <c r="I171" s="202">
        <f>MAX($B$170:I170)</f>
        <v>3.0099999999999998E-2</v>
      </c>
      <c r="J171" s="202">
        <f>MAX($B$170:J170)</f>
        <v>5.1900000000000002E-2</v>
      </c>
      <c r="K171" s="202">
        <f>MAX($B$170:K170)</f>
        <v>6.9000000000000006E-2</v>
      </c>
      <c r="L171" s="202">
        <f>MAX($B$170:L170)</f>
        <v>8.2500000000000004E-2</v>
      </c>
      <c r="M171" s="202">
        <f>MAX($B$170:M170)</f>
        <v>9.3299999999999994E-2</v>
      </c>
      <c r="N171" s="202">
        <f>MAX($B$170:N170)</f>
        <v>0.10249999999999999</v>
      </c>
      <c r="O171" s="202">
        <f>MAX($B$170:O170)</f>
        <v>0.11</v>
      </c>
      <c r="P171" s="202">
        <f>MAX($B$170:P170)</f>
        <v>0.1158</v>
      </c>
      <c r="Q171" s="202">
        <f>MAX($B$170:Q170)</f>
        <v>0.1212</v>
      </c>
      <c r="R171" s="202">
        <f>MAX($B$170:R170)</f>
        <v>0.12559999999999999</v>
      </c>
      <c r="S171" s="202">
        <f>MAX($B$170:S170)</f>
        <v>0.129</v>
      </c>
      <c r="T171" s="202">
        <f>MAX($B$170:T170)</f>
        <v>0.13159999999999999</v>
      </c>
      <c r="U171" s="202">
        <f>MAX($B$170:U170)</f>
        <v>0.1338</v>
      </c>
      <c r="V171" s="202">
        <f>MAX($B$170:V170)</f>
        <v>0.1356</v>
      </c>
      <c r="W171" s="202">
        <f>MAX($B$170:W170)</f>
        <v>0.13700000000000001</v>
      </c>
      <c r="X171" s="202">
        <f>MAX($B$170:X170)</f>
        <v>0.13830000000000001</v>
      </c>
      <c r="Y171" s="202">
        <f>MAX($B$170:Y170)</f>
        <v>0.13930000000000001</v>
      </c>
      <c r="Z171" s="202">
        <f>MAX($B$170:Z170)</f>
        <v>0.14030000000000001</v>
      </c>
      <c r="AA171" s="202">
        <f>MAX($B$170:AA170)</f>
        <v>0.14119999999999999</v>
      </c>
      <c r="AB171" s="202">
        <f>MAX($B$170:AB170)</f>
        <v>0.1419</v>
      </c>
      <c r="AC171" s="202">
        <f>MAX($B$170:AC170)</f>
        <v>0.1426</v>
      </c>
      <c r="AD171" s="202">
        <f>MAX($B$170:AD170)</f>
        <v>0.1431</v>
      </c>
      <c r="AE171" s="202">
        <f>MAX($B$170:AE170)</f>
        <v>0.14349999999999999</v>
      </c>
      <c r="AF171" s="202">
        <f>MAX($B$170:AF170)</f>
        <v>0.14419999999999999</v>
      </c>
      <c r="AG171" s="202">
        <f>MAX($B$170:AG170)</f>
        <v>0.14419999999999999</v>
      </c>
      <c r="AH171" s="202">
        <f>MAX($B$170:AH170)</f>
        <v>0.14419999999999999</v>
      </c>
      <c r="AI171" s="202">
        <f>MAX($B$170:AI170)</f>
        <v>0.14419999999999999</v>
      </c>
      <c r="AJ171" s="202">
        <f>MAX($B$170:AJ170)</f>
        <v>0.14419999999999999</v>
      </c>
      <c r="AK171" s="202">
        <f>MAX($B$170:AK170)</f>
        <v>0.14419999999999999</v>
      </c>
      <c r="AL171" s="202">
        <f>MAX($B$170:AL170)</f>
        <v>0.14419999999999999</v>
      </c>
      <c r="AM171" s="202">
        <f>MAX($B$170:AM170)</f>
        <v>0.14419999999999999</v>
      </c>
      <c r="AN171" s="202">
        <f>MAX($B$170:AN170)</f>
        <v>0.14419999999999999</v>
      </c>
      <c r="AO171" s="202">
        <f>MAX($B$170:AO170)</f>
        <v>0.14419999999999999</v>
      </c>
      <c r="AP171" s="202">
        <f>MAX($B$170:AP170)</f>
        <v>0.14419999999999999</v>
      </c>
    </row>
    <row r="172" spans="1:42">
      <c r="A172" s="180" t="s">
        <v>402</v>
      </c>
      <c r="B172" s="251">
        <f>B168</f>
        <v>-28815458.75</v>
      </c>
      <c r="C172" s="251">
        <f>NPV(DiscountRate,$C168:C168)+$B168</f>
        <v>-26919413.784635711</v>
      </c>
      <c r="D172" s="251">
        <f>NPV(DiscountRate,$C168:D168)+$B168</f>
        <v>-20400586.284353182</v>
      </c>
      <c r="E172" s="251">
        <f>NPV(DiscountRate,$C168:E168)+$B168</f>
        <v>-15774204.838170372</v>
      </c>
      <c r="F172" s="251">
        <f>NPV(DiscountRate,$C168:F168)+$B168</f>
        <v>-12267977.914860973</v>
      </c>
      <c r="G172" s="251">
        <f>NPV(DiscountRate,$C168:G168)+$B168</f>
        <v>-9008439.425596904</v>
      </c>
      <c r="H172" s="251">
        <f>NPV(DiscountRate,$C168:H168)+$B168</f>
        <v>-6484311.7981638461</v>
      </c>
      <c r="I172" s="251">
        <f>NPV(DiscountRate,$C168:I168)+$B168</f>
        <v>-4605487.642231904</v>
      </c>
      <c r="J172" s="251">
        <f>NPV(DiscountRate,$C168:J168)+$B168</f>
        <v>-2856017.2577957213</v>
      </c>
      <c r="K172" s="251">
        <f>NPV(DiscountRate,$C168:K168)+$B168</f>
        <v>-1221658.6541390195</v>
      </c>
      <c r="L172" s="251">
        <f>NPV(DiscountRate,$C168:L168)+$B168</f>
        <v>304817.47301333398</v>
      </c>
      <c r="M172" s="251">
        <f>NPV(DiscountRate,$C168:M168)+$B168</f>
        <v>1725742.6888680384</v>
      </c>
      <c r="N172" s="251">
        <f>NPV(DiscountRate,$C168:N168)+$B168</f>
        <v>3143001.0063266307</v>
      </c>
      <c r="O172" s="251">
        <f>NPV(DiscountRate,$C168:O168)+$B168</f>
        <v>4493325.8082816601</v>
      </c>
      <c r="P172" s="251">
        <f>NPV(DiscountRate,$C168:P168)+$B168</f>
        <v>5699974.4754491672</v>
      </c>
      <c r="Q172" s="251">
        <f>NPV(DiscountRate,$C168:Q168)+$B168</f>
        <v>6948658.7963554636</v>
      </c>
      <c r="R172" s="251">
        <f>NPV(DiscountRate,$C168:R168)+$B168</f>
        <v>8154098.6671847776</v>
      </c>
      <c r="S172" s="251">
        <f>NPV(DiscountRate,$C168:S168)+$B168</f>
        <v>9170926.7937467694</v>
      </c>
      <c r="T172" s="251">
        <f>NPV(DiscountRate,$C168:T168)+$B168</f>
        <v>10057840.53481178</v>
      </c>
      <c r="U172" s="251">
        <f>NPV(DiscountRate,$C168:U168)+$B168</f>
        <v>10885838.48816216</v>
      </c>
      <c r="V172" s="251">
        <f>NPV(DiscountRate,$C168:V168)+$B168</f>
        <v>11626715.093728356</v>
      </c>
      <c r="W172" s="251">
        <f>NPV(DiscountRate,$C168:W168)+$B168</f>
        <v>12290143.85769619</v>
      </c>
      <c r="X172" s="251">
        <f>NPV(DiscountRate,$C168:X168)+$B168</f>
        <v>12906994.22215721</v>
      </c>
      <c r="Y172" s="251">
        <f>NPV(DiscountRate,$C168:Y168)+$B168</f>
        <v>13479327.010496646</v>
      </c>
      <c r="Z172" s="251">
        <f>NPV(DiscountRate,$C168:Z168)+$B168</f>
        <v>14055292.705919363</v>
      </c>
      <c r="AA172" s="251">
        <f>NPV(DiscountRate,$C168:AA168)+$B168</f>
        <v>14636060.338904761</v>
      </c>
      <c r="AB172" s="251">
        <f>NPV(DiscountRate,$C168:AB168)+$B168</f>
        <v>15150672.934077255</v>
      </c>
      <c r="AC172" s="251">
        <f>NPV(DiscountRate,$C168:AC168)+$B168</f>
        <v>15616194.174748249</v>
      </c>
      <c r="AD172" s="251">
        <f>NPV(DiscountRate,$C168:AD168)+$B168</f>
        <v>16049099.491944879</v>
      </c>
      <c r="AE172" s="251">
        <f>NPV(DiscountRate,$C168:AE168)+$B168</f>
        <v>16441718.393870905</v>
      </c>
      <c r="AF172" s="251">
        <f>NPV(DiscountRate,$C168:AF168)+$B168</f>
        <v>17103682.324785031</v>
      </c>
      <c r="AG172" s="251">
        <f>NPV(DiscountRate,$C168:AG168)+$B168</f>
        <v>17103682.324785031</v>
      </c>
      <c r="AH172" s="251">
        <f>NPV(DiscountRate,$C168:AH168)+$B168</f>
        <v>17103682.324785031</v>
      </c>
      <c r="AI172" s="251">
        <f>NPV(DiscountRate,$C168:AI168)+$B168</f>
        <v>17103682.324785031</v>
      </c>
      <c r="AJ172" s="251">
        <f>NPV(DiscountRate,$C168:AJ168)+$B168</f>
        <v>17103682.324785031</v>
      </c>
      <c r="AK172" s="251">
        <f>NPV(DiscountRate,$C168:AK168)+$B168</f>
        <v>17103682.324785031</v>
      </c>
      <c r="AL172" s="251">
        <f>NPV(DiscountRate,$C168:AL168)+$B168</f>
        <v>17103682.324785031</v>
      </c>
      <c r="AM172" s="251">
        <f>NPV(DiscountRate,$C168:AM168)+$B168</f>
        <v>17103682.324785031</v>
      </c>
      <c r="AN172" s="251">
        <f>NPV(DiscountRate,$C168:AN168)+$B168</f>
        <v>17103682.324785031</v>
      </c>
      <c r="AO172" s="251">
        <f>NPV(DiscountRate,$C168:AO168)+$B168</f>
        <v>17103682.324785031</v>
      </c>
      <c r="AP172" s="251">
        <f>NPV(DiscountRate,$C168:AP168)+$B168</f>
        <v>17103682.324785031</v>
      </c>
    </row>
    <row r="173" spans="1:42">
      <c r="A173" s="180"/>
      <c r="B173" s="152"/>
      <c r="C173" s="152"/>
      <c r="D173" s="152"/>
      <c r="E173" s="152"/>
      <c r="F173" s="152"/>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row>
    <row r="174" spans="1:42">
      <c r="A174" s="37" t="s">
        <v>349</v>
      </c>
      <c r="B174" s="196">
        <f>SUM(C174:AP174)</f>
        <v>24</v>
      </c>
      <c r="C174" s="152">
        <f t="shared" ref="C174:AP174" si="90">IF(AND(B171&lt;SLReturnTarget,C171&gt;=SLReturnTarget),C$2,0)</f>
        <v>0</v>
      </c>
      <c r="D174" s="152">
        <f t="shared" si="90"/>
        <v>0</v>
      </c>
      <c r="E174" s="152">
        <f t="shared" si="90"/>
        <v>0</v>
      </c>
      <c r="F174" s="152">
        <f t="shared" si="90"/>
        <v>0</v>
      </c>
      <c r="G174" s="152">
        <f t="shared" si="90"/>
        <v>0</v>
      </c>
      <c r="H174" s="152">
        <f t="shared" si="90"/>
        <v>0</v>
      </c>
      <c r="I174" s="152">
        <f t="shared" si="90"/>
        <v>0</v>
      </c>
      <c r="J174" s="152">
        <f t="shared" si="90"/>
        <v>0</v>
      </c>
      <c r="K174" s="152">
        <f t="shared" si="90"/>
        <v>0</v>
      </c>
      <c r="L174" s="152">
        <f t="shared" si="90"/>
        <v>0</v>
      </c>
      <c r="M174" s="152">
        <f t="shared" si="90"/>
        <v>0</v>
      </c>
      <c r="N174" s="152">
        <f t="shared" si="90"/>
        <v>0</v>
      </c>
      <c r="O174" s="152">
        <f t="shared" si="90"/>
        <v>0</v>
      </c>
      <c r="P174" s="152">
        <f t="shared" si="90"/>
        <v>0</v>
      </c>
      <c r="Q174" s="152">
        <f t="shared" si="90"/>
        <v>0</v>
      </c>
      <c r="R174" s="152">
        <f t="shared" si="90"/>
        <v>0</v>
      </c>
      <c r="S174" s="152">
        <f t="shared" si="90"/>
        <v>0</v>
      </c>
      <c r="T174" s="152">
        <f t="shared" si="90"/>
        <v>0</v>
      </c>
      <c r="U174" s="152">
        <f t="shared" si="90"/>
        <v>0</v>
      </c>
      <c r="V174" s="152">
        <f t="shared" si="90"/>
        <v>0</v>
      </c>
      <c r="W174" s="152">
        <f t="shared" si="90"/>
        <v>0</v>
      </c>
      <c r="X174" s="152">
        <f t="shared" si="90"/>
        <v>0</v>
      </c>
      <c r="Y174" s="152">
        <f t="shared" si="90"/>
        <v>0</v>
      </c>
      <c r="Z174" s="152">
        <f t="shared" si="90"/>
        <v>24</v>
      </c>
      <c r="AA174" s="152">
        <f t="shared" si="90"/>
        <v>0</v>
      </c>
      <c r="AB174" s="152">
        <f t="shared" si="90"/>
        <v>0</v>
      </c>
      <c r="AC174" s="152">
        <f t="shared" si="90"/>
        <v>0</v>
      </c>
      <c r="AD174" s="152">
        <f t="shared" si="90"/>
        <v>0</v>
      </c>
      <c r="AE174" s="152">
        <f t="shared" si="90"/>
        <v>0</v>
      </c>
      <c r="AF174" s="152">
        <f t="shared" si="90"/>
        <v>0</v>
      </c>
      <c r="AG174" s="152">
        <f t="shared" si="90"/>
        <v>0</v>
      </c>
      <c r="AH174" s="152">
        <f t="shared" si="90"/>
        <v>0</v>
      </c>
      <c r="AI174" s="152">
        <f t="shared" si="90"/>
        <v>0</v>
      </c>
      <c r="AJ174" s="152">
        <f t="shared" si="90"/>
        <v>0</v>
      </c>
      <c r="AK174" s="152">
        <f t="shared" si="90"/>
        <v>0</v>
      </c>
      <c r="AL174" s="152">
        <f t="shared" si="90"/>
        <v>0</v>
      </c>
      <c r="AM174" s="152">
        <f t="shared" si="90"/>
        <v>0</v>
      </c>
      <c r="AN174" s="152">
        <f t="shared" si="90"/>
        <v>0</v>
      </c>
      <c r="AO174" s="152">
        <f t="shared" si="90"/>
        <v>0</v>
      </c>
      <c r="AP174" s="152">
        <f t="shared" si="90"/>
        <v>0</v>
      </c>
    </row>
    <row r="175" spans="1:42">
      <c r="B175" s="152"/>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s="118" customFormat="1">
      <c r="A176" s="195" t="s">
        <v>449</v>
      </c>
      <c r="B176" s="198"/>
      <c r="C176" s="198"/>
      <c r="D176" s="198"/>
      <c r="E176" s="198"/>
      <c r="F176" s="198"/>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141"/>
      <c r="AK176" s="141"/>
      <c r="AL176" s="141"/>
      <c r="AM176" s="141"/>
      <c r="AN176" s="141"/>
      <c r="AO176" s="141"/>
      <c r="AP176" s="141"/>
    </row>
    <row r="177" spans="1:42" s="118" customFormat="1">
      <c r="A177" s="267" t="s">
        <v>494</v>
      </c>
      <c r="B177" s="141">
        <f>-'Inputs &amp; Results'!D185</f>
        <v>-3202676.2422525855</v>
      </c>
      <c r="C177" s="141">
        <f t="shared" ref="C177:AP177" si="91">C108-C138</f>
        <v>0</v>
      </c>
      <c r="D177" s="141">
        <f t="shared" si="91"/>
        <v>0</v>
      </c>
      <c r="E177" s="141">
        <f t="shared" si="91"/>
        <v>0</v>
      </c>
      <c r="F177" s="141">
        <f t="shared" si="91"/>
        <v>0</v>
      </c>
      <c r="G177" s="141">
        <f t="shared" si="91"/>
        <v>0</v>
      </c>
      <c r="H177" s="141">
        <f t="shared" si="91"/>
        <v>0</v>
      </c>
      <c r="I177" s="141">
        <f t="shared" si="91"/>
        <v>0</v>
      </c>
      <c r="J177" s="141">
        <f t="shared" si="91"/>
        <v>0</v>
      </c>
      <c r="K177" s="141">
        <f t="shared" si="91"/>
        <v>0</v>
      </c>
      <c r="L177" s="141">
        <f t="shared" si="91"/>
        <v>0</v>
      </c>
      <c r="M177" s="141">
        <f t="shared" si="91"/>
        <v>0</v>
      </c>
      <c r="N177" s="141">
        <f t="shared" si="91"/>
        <v>0</v>
      </c>
      <c r="O177" s="141">
        <f t="shared" si="91"/>
        <v>0</v>
      </c>
      <c r="P177" s="141">
        <f t="shared" si="91"/>
        <v>0</v>
      </c>
      <c r="Q177" s="141">
        <f t="shared" si="91"/>
        <v>0</v>
      </c>
      <c r="R177" s="141">
        <f t="shared" si="91"/>
        <v>0</v>
      </c>
      <c r="S177" s="141">
        <f t="shared" si="91"/>
        <v>0</v>
      </c>
      <c r="T177" s="141">
        <f t="shared" si="91"/>
        <v>0</v>
      </c>
      <c r="U177" s="141">
        <f t="shared" si="91"/>
        <v>0</v>
      </c>
      <c r="V177" s="141">
        <f t="shared" si="91"/>
        <v>0</v>
      </c>
      <c r="W177" s="141">
        <f t="shared" si="91"/>
        <v>0</v>
      </c>
      <c r="X177" s="141">
        <f t="shared" si="91"/>
        <v>0</v>
      </c>
      <c r="Y177" s="141">
        <f t="shared" si="91"/>
        <v>0</v>
      </c>
      <c r="Z177" s="141">
        <f t="shared" si="91"/>
        <v>0</v>
      </c>
      <c r="AA177" s="141">
        <f t="shared" si="91"/>
        <v>0</v>
      </c>
      <c r="AB177" s="141">
        <f t="shared" si="91"/>
        <v>0</v>
      </c>
      <c r="AC177" s="141">
        <f t="shared" si="91"/>
        <v>0</v>
      </c>
      <c r="AD177" s="141">
        <f t="shared" si="91"/>
        <v>0</v>
      </c>
      <c r="AE177" s="141">
        <f t="shared" si="91"/>
        <v>0</v>
      </c>
      <c r="AF177" s="141">
        <f t="shared" si="91"/>
        <v>0</v>
      </c>
      <c r="AG177" s="141">
        <f t="shared" si="91"/>
        <v>0</v>
      </c>
      <c r="AH177" s="141">
        <f t="shared" si="91"/>
        <v>0</v>
      </c>
      <c r="AI177" s="141">
        <f t="shared" si="91"/>
        <v>0</v>
      </c>
      <c r="AJ177" s="141">
        <f t="shared" si="91"/>
        <v>0</v>
      </c>
      <c r="AK177" s="141">
        <f t="shared" si="91"/>
        <v>0</v>
      </c>
      <c r="AL177" s="141">
        <f t="shared" si="91"/>
        <v>0</v>
      </c>
      <c r="AM177" s="141">
        <f t="shared" si="91"/>
        <v>0</v>
      </c>
      <c r="AN177" s="141">
        <f t="shared" si="91"/>
        <v>0</v>
      </c>
      <c r="AO177" s="141">
        <f t="shared" si="91"/>
        <v>0</v>
      </c>
      <c r="AP177" s="141">
        <f t="shared" si="91"/>
        <v>0</v>
      </c>
    </row>
    <row r="178" spans="1:42">
      <c r="A178" s="180" t="s">
        <v>534</v>
      </c>
      <c r="B178" s="186">
        <f>'Inputs &amp; Results'!D146</f>
        <v>1206814.5</v>
      </c>
      <c r="C178" s="186"/>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c r="AM178" s="186"/>
      <c r="AN178" s="186"/>
      <c r="AO178" s="186"/>
      <c r="AP178" s="186"/>
    </row>
    <row r="179" spans="1:42" s="118" customFormat="1">
      <c r="A179" s="267" t="s">
        <v>445</v>
      </c>
      <c r="B179" s="141">
        <f t="shared" ref="B179:AP179" si="92">(-B651-B683-B715)+B68</f>
        <v>0</v>
      </c>
      <c r="C179" s="141">
        <f t="shared" si="92"/>
        <v>0</v>
      </c>
      <c r="D179" s="141">
        <f t="shared" si="92"/>
        <v>0</v>
      </c>
      <c r="E179" s="141">
        <f t="shared" si="92"/>
        <v>0</v>
      </c>
      <c r="F179" s="141">
        <f t="shared" si="92"/>
        <v>0</v>
      </c>
      <c r="G179" s="141">
        <f t="shared" si="92"/>
        <v>0</v>
      </c>
      <c r="H179" s="141">
        <f t="shared" si="92"/>
        <v>0</v>
      </c>
      <c r="I179" s="141">
        <f t="shared" si="92"/>
        <v>0</v>
      </c>
      <c r="J179" s="141">
        <f t="shared" si="92"/>
        <v>0</v>
      </c>
      <c r="K179" s="141">
        <f t="shared" si="92"/>
        <v>0</v>
      </c>
      <c r="L179" s="141">
        <f t="shared" si="92"/>
        <v>0</v>
      </c>
      <c r="M179" s="141">
        <f t="shared" si="92"/>
        <v>0</v>
      </c>
      <c r="N179" s="141">
        <f t="shared" si="92"/>
        <v>0</v>
      </c>
      <c r="O179" s="141">
        <f t="shared" si="92"/>
        <v>0</v>
      </c>
      <c r="P179" s="141">
        <f t="shared" si="92"/>
        <v>0</v>
      </c>
      <c r="Q179" s="141">
        <f t="shared" si="92"/>
        <v>0</v>
      </c>
      <c r="R179" s="141">
        <f t="shared" si="92"/>
        <v>0</v>
      </c>
      <c r="S179" s="141">
        <f t="shared" si="92"/>
        <v>0</v>
      </c>
      <c r="T179" s="141">
        <f t="shared" si="92"/>
        <v>0</v>
      </c>
      <c r="U179" s="141">
        <f t="shared" si="92"/>
        <v>0</v>
      </c>
      <c r="V179" s="141">
        <f t="shared" si="92"/>
        <v>0</v>
      </c>
      <c r="W179" s="141">
        <f t="shared" si="92"/>
        <v>0</v>
      </c>
      <c r="X179" s="141">
        <f t="shared" si="92"/>
        <v>0</v>
      </c>
      <c r="Y179" s="141">
        <f t="shared" si="92"/>
        <v>0</v>
      </c>
      <c r="Z179" s="141">
        <f t="shared" si="92"/>
        <v>0</v>
      </c>
      <c r="AA179" s="141">
        <f t="shared" si="92"/>
        <v>0</v>
      </c>
      <c r="AB179" s="141">
        <f t="shared" si="92"/>
        <v>0</v>
      </c>
      <c r="AC179" s="141">
        <f t="shared" si="92"/>
        <v>0</v>
      </c>
      <c r="AD179" s="141">
        <f t="shared" si="92"/>
        <v>0</v>
      </c>
      <c r="AE179" s="141">
        <f t="shared" si="92"/>
        <v>0</v>
      </c>
      <c r="AF179" s="141">
        <f t="shared" si="92"/>
        <v>0</v>
      </c>
      <c r="AG179" s="141">
        <f t="shared" si="92"/>
        <v>0</v>
      </c>
      <c r="AH179" s="141">
        <f t="shared" si="92"/>
        <v>0</v>
      </c>
      <c r="AI179" s="141">
        <f t="shared" si="92"/>
        <v>0</v>
      </c>
      <c r="AJ179" s="141">
        <f t="shared" si="92"/>
        <v>0</v>
      </c>
      <c r="AK179" s="141">
        <f t="shared" si="92"/>
        <v>0</v>
      </c>
      <c r="AL179" s="141">
        <f t="shared" si="92"/>
        <v>0</v>
      </c>
      <c r="AM179" s="141">
        <f t="shared" si="92"/>
        <v>0</v>
      </c>
      <c r="AN179" s="141">
        <f t="shared" si="92"/>
        <v>0</v>
      </c>
      <c r="AO179" s="141">
        <f t="shared" si="92"/>
        <v>0</v>
      </c>
      <c r="AP179" s="141">
        <f t="shared" si="92"/>
        <v>0</v>
      </c>
    </row>
    <row r="180" spans="1:42" s="118" customFormat="1">
      <c r="A180" s="267" t="s">
        <v>443</v>
      </c>
      <c r="B180" s="141">
        <v>0</v>
      </c>
      <c r="C180" s="141">
        <f t="shared" ref="C180:AP180" si="93">-C639</f>
        <v>0</v>
      </c>
      <c r="D180" s="141">
        <f t="shared" si="93"/>
        <v>0</v>
      </c>
      <c r="E180" s="141">
        <f t="shared" si="93"/>
        <v>0</v>
      </c>
      <c r="F180" s="141">
        <f t="shared" si="93"/>
        <v>0</v>
      </c>
      <c r="G180" s="141">
        <f t="shared" si="93"/>
        <v>0</v>
      </c>
      <c r="H180" s="141">
        <f t="shared" si="93"/>
        <v>0</v>
      </c>
      <c r="I180" s="141">
        <f t="shared" si="93"/>
        <v>0</v>
      </c>
      <c r="J180" s="141">
        <f t="shared" si="93"/>
        <v>0</v>
      </c>
      <c r="K180" s="141">
        <f t="shared" si="93"/>
        <v>0</v>
      </c>
      <c r="L180" s="141">
        <f t="shared" si="93"/>
        <v>0</v>
      </c>
      <c r="M180" s="141">
        <f t="shared" si="93"/>
        <v>0</v>
      </c>
      <c r="N180" s="141">
        <f t="shared" si="93"/>
        <v>0</v>
      </c>
      <c r="O180" s="141">
        <f t="shared" si="93"/>
        <v>0</v>
      </c>
      <c r="P180" s="141">
        <f t="shared" si="93"/>
        <v>0</v>
      </c>
      <c r="Q180" s="141">
        <f t="shared" si="93"/>
        <v>0</v>
      </c>
      <c r="R180" s="141">
        <f t="shared" si="93"/>
        <v>0</v>
      </c>
      <c r="S180" s="141">
        <f t="shared" si="93"/>
        <v>0</v>
      </c>
      <c r="T180" s="141">
        <f t="shared" si="93"/>
        <v>0</v>
      </c>
      <c r="U180" s="141">
        <f t="shared" si="93"/>
        <v>0</v>
      </c>
      <c r="V180" s="141">
        <f t="shared" si="93"/>
        <v>0</v>
      </c>
      <c r="W180" s="141">
        <f t="shared" si="93"/>
        <v>0</v>
      </c>
      <c r="X180" s="141">
        <f t="shared" si="93"/>
        <v>0</v>
      </c>
      <c r="Y180" s="141">
        <f t="shared" si="93"/>
        <v>0</v>
      </c>
      <c r="Z180" s="141">
        <f t="shared" si="93"/>
        <v>0</v>
      </c>
      <c r="AA180" s="141">
        <f t="shared" si="93"/>
        <v>0</v>
      </c>
      <c r="AB180" s="141">
        <f t="shared" si="93"/>
        <v>0</v>
      </c>
      <c r="AC180" s="141">
        <f t="shared" si="93"/>
        <v>0</v>
      </c>
      <c r="AD180" s="141">
        <f t="shared" si="93"/>
        <v>0</v>
      </c>
      <c r="AE180" s="141">
        <f t="shared" si="93"/>
        <v>0</v>
      </c>
      <c r="AF180" s="141">
        <f t="shared" si="93"/>
        <v>350000</v>
      </c>
      <c r="AG180" s="141">
        <f t="shared" si="93"/>
        <v>0</v>
      </c>
      <c r="AH180" s="141">
        <f t="shared" si="93"/>
        <v>0</v>
      </c>
      <c r="AI180" s="141">
        <f t="shared" si="93"/>
        <v>0</v>
      </c>
      <c r="AJ180" s="141">
        <f t="shared" si="93"/>
        <v>0</v>
      </c>
      <c r="AK180" s="141">
        <f t="shared" si="93"/>
        <v>0</v>
      </c>
      <c r="AL180" s="141">
        <f t="shared" si="93"/>
        <v>0</v>
      </c>
      <c r="AM180" s="141">
        <f t="shared" si="93"/>
        <v>0</v>
      </c>
      <c r="AN180" s="141">
        <f t="shared" si="93"/>
        <v>0</v>
      </c>
      <c r="AO180" s="141">
        <f t="shared" si="93"/>
        <v>0</v>
      </c>
      <c r="AP180" s="141">
        <f t="shared" si="93"/>
        <v>0</v>
      </c>
    </row>
    <row r="181" spans="1:42" s="118" customFormat="1">
      <c r="A181" s="267" t="s">
        <v>444</v>
      </c>
      <c r="B181" s="141">
        <v>0</v>
      </c>
      <c r="C181" s="141">
        <f t="shared" ref="C181:AP181" si="94">-C645</f>
        <v>0</v>
      </c>
      <c r="D181" s="141">
        <f t="shared" si="94"/>
        <v>0</v>
      </c>
      <c r="E181" s="141">
        <f t="shared" si="94"/>
        <v>0</v>
      </c>
      <c r="F181" s="141">
        <f t="shared" si="94"/>
        <v>0</v>
      </c>
      <c r="G181" s="141">
        <f t="shared" si="94"/>
        <v>0</v>
      </c>
      <c r="H181" s="141">
        <f t="shared" si="94"/>
        <v>0</v>
      </c>
      <c r="I181" s="141">
        <f t="shared" si="94"/>
        <v>0</v>
      </c>
      <c r="J181" s="141">
        <f t="shared" si="94"/>
        <v>0</v>
      </c>
      <c r="K181" s="141">
        <f t="shared" si="94"/>
        <v>0</v>
      </c>
      <c r="L181" s="141">
        <f t="shared" si="94"/>
        <v>0</v>
      </c>
      <c r="M181" s="141">
        <f t="shared" si="94"/>
        <v>0</v>
      </c>
      <c r="N181" s="141">
        <f t="shared" si="94"/>
        <v>0</v>
      </c>
      <c r="O181" s="141">
        <f t="shared" si="94"/>
        <v>0</v>
      </c>
      <c r="P181" s="141">
        <f t="shared" si="94"/>
        <v>0</v>
      </c>
      <c r="Q181" s="141">
        <f t="shared" si="94"/>
        <v>0</v>
      </c>
      <c r="R181" s="141">
        <f t="shared" si="94"/>
        <v>0</v>
      </c>
      <c r="S181" s="141">
        <f t="shared" si="94"/>
        <v>0</v>
      </c>
      <c r="T181" s="141">
        <f t="shared" si="94"/>
        <v>0</v>
      </c>
      <c r="U181" s="141">
        <f t="shared" si="94"/>
        <v>0</v>
      </c>
      <c r="V181" s="141">
        <f t="shared" si="94"/>
        <v>0</v>
      </c>
      <c r="W181" s="141">
        <f t="shared" si="94"/>
        <v>0</v>
      </c>
      <c r="X181" s="141">
        <f t="shared" si="94"/>
        <v>0</v>
      </c>
      <c r="Y181" s="141">
        <f t="shared" si="94"/>
        <v>0</v>
      </c>
      <c r="Z181" s="141">
        <f t="shared" si="94"/>
        <v>0</v>
      </c>
      <c r="AA181" s="141">
        <f t="shared" si="94"/>
        <v>0</v>
      </c>
      <c r="AB181" s="141">
        <f t="shared" si="94"/>
        <v>0</v>
      </c>
      <c r="AC181" s="141">
        <f t="shared" si="94"/>
        <v>0</v>
      </c>
      <c r="AD181" s="141">
        <f t="shared" si="94"/>
        <v>0</v>
      </c>
      <c r="AE181" s="141">
        <f t="shared" si="94"/>
        <v>0</v>
      </c>
      <c r="AF181" s="141">
        <f t="shared" si="94"/>
        <v>2852676.2422525855</v>
      </c>
      <c r="AG181" s="141">
        <f t="shared" si="94"/>
        <v>0</v>
      </c>
      <c r="AH181" s="141">
        <f t="shared" si="94"/>
        <v>0</v>
      </c>
      <c r="AI181" s="141">
        <f t="shared" si="94"/>
        <v>0</v>
      </c>
      <c r="AJ181" s="141">
        <f t="shared" si="94"/>
        <v>0</v>
      </c>
      <c r="AK181" s="141">
        <f t="shared" si="94"/>
        <v>0</v>
      </c>
      <c r="AL181" s="141">
        <f t="shared" si="94"/>
        <v>0</v>
      </c>
      <c r="AM181" s="141">
        <f t="shared" si="94"/>
        <v>0</v>
      </c>
      <c r="AN181" s="141">
        <f t="shared" si="94"/>
        <v>0</v>
      </c>
      <c r="AO181" s="141">
        <f t="shared" si="94"/>
        <v>0</v>
      </c>
      <c r="AP181" s="141">
        <f t="shared" si="94"/>
        <v>0</v>
      </c>
    </row>
    <row r="182" spans="1:42" s="118" customFormat="1">
      <c r="A182" s="267" t="s">
        <v>471</v>
      </c>
      <c r="B182" s="141">
        <f>B750</f>
        <v>0</v>
      </c>
      <c r="C182" s="141">
        <f t="shared" ref="C182:AP182" si="95">C750</f>
        <v>49921.834239420248</v>
      </c>
      <c r="D182" s="141">
        <f t="shared" si="95"/>
        <v>49921.834239420248</v>
      </c>
      <c r="E182" s="141">
        <f t="shared" si="95"/>
        <v>49921.834239420248</v>
      </c>
      <c r="F182" s="141">
        <f t="shared" si="95"/>
        <v>49921.834239420248</v>
      </c>
      <c r="G182" s="141">
        <f t="shared" si="95"/>
        <v>49921.834239420248</v>
      </c>
      <c r="H182" s="141">
        <f t="shared" si="95"/>
        <v>49921.834239420248</v>
      </c>
      <c r="I182" s="141">
        <f t="shared" si="95"/>
        <v>49921.834239420248</v>
      </c>
      <c r="J182" s="141">
        <f t="shared" si="95"/>
        <v>49921.834239420248</v>
      </c>
      <c r="K182" s="141">
        <f t="shared" si="95"/>
        <v>49921.834239420248</v>
      </c>
      <c r="L182" s="141">
        <f t="shared" si="95"/>
        <v>49921.834239420248</v>
      </c>
      <c r="M182" s="141">
        <f t="shared" si="95"/>
        <v>49921.834239420248</v>
      </c>
      <c r="N182" s="141">
        <f t="shared" si="95"/>
        <v>49921.834239420248</v>
      </c>
      <c r="O182" s="141">
        <f t="shared" si="95"/>
        <v>49921.834239420248</v>
      </c>
      <c r="P182" s="141">
        <f t="shared" si="95"/>
        <v>49921.834239420248</v>
      </c>
      <c r="Q182" s="141">
        <f t="shared" si="95"/>
        <v>49921.834239420248</v>
      </c>
      <c r="R182" s="141">
        <f t="shared" si="95"/>
        <v>49921.834239420248</v>
      </c>
      <c r="S182" s="141">
        <f t="shared" si="95"/>
        <v>49921.834239420248</v>
      </c>
      <c r="T182" s="141">
        <f t="shared" si="95"/>
        <v>49921.834239420248</v>
      </c>
      <c r="U182" s="141">
        <f t="shared" si="95"/>
        <v>49921.834239420248</v>
      </c>
      <c r="V182" s="141">
        <f t="shared" si="95"/>
        <v>49921.834239420248</v>
      </c>
      <c r="W182" s="141">
        <f t="shared" si="95"/>
        <v>49921.834239420248</v>
      </c>
      <c r="X182" s="141">
        <f t="shared" si="95"/>
        <v>49921.834239420248</v>
      </c>
      <c r="Y182" s="141">
        <f t="shared" si="95"/>
        <v>49921.834239420248</v>
      </c>
      <c r="Z182" s="141">
        <f t="shared" si="95"/>
        <v>49921.834239420248</v>
      </c>
      <c r="AA182" s="141">
        <f t="shared" si="95"/>
        <v>49921.834239420248</v>
      </c>
      <c r="AB182" s="141">
        <f t="shared" si="95"/>
        <v>49921.834239420248</v>
      </c>
      <c r="AC182" s="141">
        <f t="shared" si="95"/>
        <v>49921.834239420248</v>
      </c>
      <c r="AD182" s="141">
        <f t="shared" si="95"/>
        <v>49921.834239420248</v>
      </c>
      <c r="AE182" s="141">
        <f t="shared" si="95"/>
        <v>49921.834239420248</v>
      </c>
      <c r="AF182" s="141">
        <f t="shared" si="95"/>
        <v>49921.834239420248</v>
      </c>
      <c r="AG182" s="141">
        <f t="shared" si="95"/>
        <v>0</v>
      </c>
      <c r="AH182" s="141">
        <f t="shared" si="95"/>
        <v>0</v>
      </c>
      <c r="AI182" s="141">
        <f t="shared" si="95"/>
        <v>0</v>
      </c>
      <c r="AJ182" s="141">
        <f t="shared" si="95"/>
        <v>0</v>
      </c>
      <c r="AK182" s="141">
        <f t="shared" si="95"/>
        <v>0</v>
      </c>
      <c r="AL182" s="141">
        <f t="shared" si="95"/>
        <v>0</v>
      </c>
      <c r="AM182" s="141">
        <f t="shared" si="95"/>
        <v>0</v>
      </c>
      <c r="AN182" s="141">
        <f t="shared" si="95"/>
        <v>0</v>
      </c>
      <c r="AO182" s="141">
        <f t="shared" si="95"/>
        <v>0</v>
      </c>
      <c r="AP182" s="141">
        <f t="shared" si="95"/>
        <v>0</v>
      </c>
    </row>
    <row r="183" spans="1:42" s="118" customFormat="1">
      <c r="A183" s="267" t="s">
        <v>535</v>
      </c>
      <c r="B183" s="203">
        <f>B41</f>
        <v>0</v>
      </c>
      <c r="C183" s="203">
        <f t="shared" ref="C183:AP183" si="96">C41</f>
        <v>400000</v>
      </c>
      <c r="D183" s="203">
        <f t="shared" si="96"/>
        <v>408000</v>
      </c>
      <c r="E183" s="203">
        <f t="shared" si="96"/>
        <v>416160</v>
      </c>
      <c r="F183" s="203">
        <f t="shared" si="96"/>
        <v>424483.19999999995</v>
      </c>
      <c r="G183" s="203">
        <f t="shared" si="96"/>
        <v>432972.864</v>
      </c>
      <c r="H183" s="203">
        <f t="shared" si="96"/>
        <v>441632.32128000003</v>
      </c>
      <c r="I183" s="203">
        <f t="shared" si="96"/>
        <v>450464.96770560002</v>
      </c>
      <c r="J183" s="203">
        <f t="shared" si="96"/>
        <v>459474.26705971191</v>
      </c>
      <c r="K183" s="203">
        <f t="shared" si="96"/>
        <v>468663.75240090623</v>
      </c>
      <c r="L183" s="203">
        <f t="shared" si="96"/>
        <v>478037.02744892432</v>
      </c>
      <c r="M183" s="203">
        <f t="shared" si="96"/>
        <v>487597.76799790282</v>
      </c>
      <c r="N183" s="203">
        <f t="shared" si="96"/>
        <v>497349.72335786081</v>
      </c>
      <c r="O183" s="203">
        <f t="shared" si="96"/>
        <v>507296.7178250181</v>
      </c>
      <c r="P183" s="203">
        <f t="shared" si="96"/>
        <v>517442.65218151844</v>
      </c>
      <c r="Q183" s="203">
        <f t="shared" si="96"/>
        <v>527791.50522514887</v>
      </c>
      <c r="R183" s="203">
        <f t="shared" si="96"/>
        <v>538347.33532965172</v>
      </c>
      <c r="S183" s="203">
        <f t="shared" si="96"/>
        <v>549114.28203624487</v>
      </c>
      <c r="T183" s="203">
        <f t="shared" si="96"/>
        <v>560096.5676769698</v>
      </c>
      <c r="U183" s="203">
        <f t="shared" si="96"/>
        <v>571298.49903050903</v>
      </c>
      <c r="V183" s="203">
        <f t="shared" si="96"/>
        <v>582724.46901111922</v>
      </c>
      <c r="W183" s="203">
        <f t="shared" si="96"/>
        <v>594378.95839134173</v>
      </c>
      <c r="X183" s="203">
        <f t="shared" si="96"/>
        <v>606266.53755916853</v>
      </c>
      <c r="Y183" s="203">
        <f t="shared" si="96"/>
        <v>618391.86831035186</v>
      </c>
      <c r="Z183" s="203">
        <f t="shared" si="96"/>
        <v>630759.70567655878</v>
      </c>
      <c r="AA183" s="203">
        <f t="shared" si="96"/>
        <v>643374.89979009004</v>
      </c>
      <c r="AB183" s="203">
        <f t="shared" si="96"/>
        <v>656242.39778589178</v>
      </c>
      <c r="AC183" s="203">
        <f t="shared" si="96"/>
        <v>669367.24574160972</v>
      </c>
      <c r="AD183" s="203">
        <f t="shared" si="96"/>
        <v>682754.59065644175</v>
      </c>
      <c r="AE183" s="203">
        <f t="shared" si="96"/>
        <v>696409.68246957078</v>
      </c>
      <c r="AF183" s="203">
        <f t="shared" si="96"/>
        <v>710337.87611896207</v>
      </c>
      <c r="AG183" s="203">
        <f t="shared" si="96"/>
        <v>0</v>
      </c>
      <c r="AH183" s="203">
        <f t="shared" si="96"/>
        <v>0</v>
      </c>
      <c r="AI183" s="203">
        <f t="shared" si="96"/>
        <v>0</v>
      </c>
      <c r="AJ183" s="203">
        <f t="shared" si="96"/>
        <v>0</v>
      </c>
      <c r="AK183" s="203">
        <f t="shared" si="96"/>
        <v>0</v>
      </c>
      <c r="AL183" s="203">
        <f t="shared" si="96"/>
        <v>0</v>
      </c>
      <c r="AM183" s="203">
        <f t="shared" si="96"/>
        <v>0</v>
      </c>
      <c r="AN183" s="203">
        <f t="shared" si="96"/>
        <v>0</v>
      </c>
      <c r="AO183" s="203">
        <f t="shared" si="96"/>
        <v>0</v>
      </c>
      <c r="AP183" s="203">
        <f t="shared" si="96"/>
        <v>0</v>
      </c>
    </row>
    <row r="184" spans="1:42" s="118" customFormat="1">
      <c r="A184" s="267" t="s">
        <v>53</v>
      </c>
      <c r="B184" s="198">
        <f t="shared" ref="B184:AP184" si="97">SUM(B177:B183)</f>
        <v>-1995861.7422525855</v>
      </c>
      <c r="C184" s="198">
        <f t="shared" si="97"/>
        <v>449921.83423942025</v>
      </c>
      <c r="D184" s="198">
        <f t="shared" si="97"/>
        <v>457921.83423942025</v>
      </c>
      <c r="E184" s="198">
        <f t="shared" si="97"/>
        <v>466081.83423942025</v>
      </c>
      <c r="F184" s="198">
        <f t="shared" si="97"/>
        <v>474405.0342394202</v>
      </c>
      <c r="G184" s="198">
        <f t="shared" si="97"/>
        <v>482894.69823942025</v>
      </c>
      <c r="H184" s="198">
        <f t="shared" si="97"/>
        <v>491554.15551942028</v>
      </c>
      <c r="I184" s="198">
        <f t="shared" si="97"/>
        <v>500386.80194502027</v>
      </c>
      <c r="J184" s="198">
        <f t="shared" si="97"/>
        <v>509396.10129913216</v>
      </c>
      <c r="K184" s="198">
        <f t="shared" si="97"/>
        <v>518585.58664032648</v>
      </c>
      <c r="L184" s="198">
        <f t="shared" si="97"/>
        <v>527958.86168834451</v>
      </c>
      <c r="M184" s="198">
        <f t="shared" si="97"/>
        <v>537519.60223732307</v>
      </c>
      <c r="N184" s="198">
        <f t="shared" si="97"/>
        <v>547271.55759728106</v>
      </c>
      <c r="O184" s="198">
        <f t="shared" si="97"/>
        <v>557218.55206443835</v>
      </c>
      <c r="P184" s="198">
        <f t="shared" si="97"/>
        <v>567364.48642093875</v>
      </c>
      <c r="Q184" s="198">
        <f t="shared" si="97"/>
        <v>577713.33946456912</v>
      </c>
      <c r="R184" s="198">
        <f t="shared" si="97"/>
        <v>588269.16956907196</v>
      </c>
      <c r="S184" s="198">
        <f t="shared" si="97"/>
        <v>599036.11627566512</v>
      </c>
      <c r="T184" s="198">
        <f t="shared" si="97"/>
        <v>610018.40191639005</v>
      </c>
      <c r="U184" s="198">
        <f t="shared" si="97"/>
        <v>621220.33326992928</v>
      </c>
      <c r="V184" s="198">
        <f t="shared" si="97"/>
        <v>632646.30325053947</v>
      </c>
      <c r="W184" s="198">
        <f t="shared" si="97"/>
        <v>644300.79263076198</v>
      </c>
      <c r="X184" s="198">
        <f t="shared" si="97"/>
        <v>656188.37179858878</v>
      </c>
      <c r="Y184" s="198">
        <f t="shared" si="97"/>
        <v>668313.7025497721</v>
      </c>
      <c r="Z184" s="198">
        <f t="shared" si="97"/>
        <v>680681.53991597902</v>
      </c>
      <c r="AA184" s="198">
        <f t="shared" si="97"/>
        <v>693296.73402951029</v>
      </c>
      <c r="AB184" s="198">
        <f t="shared" si="97"/>
        <v>706164.23202531203</v>
      </c>
      <c r="AC184" s="198">
        <f t="shared" si="97"/>
        <v>719289.07998102996</v>
      </c>
      <c r="AD184" s="198">
        <f t="shared" si="97"/>
        <v>732676.424895862</v>
      </c>
      <c r="AE184" s="198">
        <f t="shared" si="97"/>
        <v>746331.51670899102</v>
      </c>
      <c r="AF184" s="198">
        <f t="shared" si="97"/>
        <v>3962935.9526109681</v>
      </c>
      <c r="AG184" s="198">
        <f t="shared" si="97"/>
        <v>0</v>
      </c>
      <c r="AH184" s="198">
        <f t="shared" si="97"/>
        <v>0</v>
      </c>
      <c r="AI184" s="198">
        <f t="shared" si="97"/>
        <v>0</v>
      </c>
      <c r="AJ184" s="198">
        <f t="shared" si="97"/>
        <v>0</v>
      </c>
      <c r="AK184" s="198">
        <f t="shared" si="97"/>
        <v>0</v>
      </c>
      <c r="AL184" s="198">
        <f t="shared" si="97"/>
        <v>0</v>
      </c>
      <c r="AM184" s="198">
        <f t="shared" si="97"/>
        <v>0</v>
      </c>
      <c r="AN184" s="198">
        <f t="shared" si="97"/>
        <v>0</v>
      </c>
      <c r="AO184" s="198">
        <f t="shared" si="97"/>
        <v>0</v>
      </c>
      <c r="AP184" s="198">
        <f t="shared" si="97"/>
        <v>0</v>
      </c>
    </row>
    <row r="185" spans="1:42" s="118" customFormat="1">
      <c r="A185" s="267"/>
      <c r="B185" s="198"/>
      <c r="C185" s="198"/>
      <c r="D185" s="198"/>
      <c r="E185" s="198"/>
      <c r="F185" s="198"/>
      <c r="G185" s="141"/>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141"/>
      <c r="AK185" s="141"/>
      <c r="AL185" s="141"/>
      <c r="AM185" s="141"/>
      <c r="AN185" s="141"/>
      <c r="AO185" s="141"/>
      <c r="AP185" s="141"/>
    </row>
    <row r="186" spans="1:42" s="118" customFormat="1">
      <c r="A186" s="267" t="s">
        <v>401</v>
      </c>
      <c r="B186" s="268" t="str">
        <f>IF(ISERROR(IRR($B184:B184)),"N/A",ROUND(IRR($B184:B184),4))</f>
        <v>N/A</v>
      </c>
      <c r="C186" s="268" t="str">
        <f>IF(ISERROR(IRR($B184:C184)),"N/A",ROUND(IRR($B184:C184),4))</f>
        <v>N/A</v>
      </c>
      <c r="D186" s="268" t="str">
        <f>IF(ISERROR(IRR($B184:D184)),"N/A",ROUND(IRR($B184:D184),4))</f>
        <v>N/A</v>
      </c>
      <c r="E186" s="268">
        <f>IF(ISERROR(IRR($B184:E184)),"N/A",ROUND(IRR($B184:E184),4))</f>
        <v>-0.16489999999999999</v>
      </c>
      <c r="F186" s="268">
        <f>IF(ISERROR(IRR($B184:F184)),"N/A",ROUND(IRR($B184:F184),4))</f>
        <v>-2.98E-2</v>
      </c>
      <c r="G186" s="268">
        <f>IF(ISERROR(IRR($B184:G184)),"N/A",ROUND(IRR($B184:G184),4))</f>
        <v>5.3400000000000003E-2</v>
      </c>
      <c r="H186" s="268">
        <f>IF(ISERROR(IRR($B184:H184)),"N/A",ROUND(IRR($B184:H184),4))</f>
        <v>0.1072</v>
      </c>
      <c r="I186" s="268">
        <f>IF(ISERROR(IRR($B184:I184)),"N/A",ROUND(IRR($B184:I184),4))</f>
        <v>0.1434</v>
      </c>
      <c r="J186" s="268">
        <f>IF(ISERROR(IRR($B184:J184)),"N/A",ROUND(IRR($B184:J184),4))</f>
        <v>0.1686</v>
      </c>
      <c r="K186" s="268">
        <f>IF(ISERROR(IRR($B184:K184)),"N/A",ROUND(IRR($B184:K184),4))</f>
        <v>0.18659999999999999</v>
      </c>
      <c r="L186" s="268">
        <f>IF(ISERROR(IRR($B184:L184)),"N/A",ROUND(IRR($B184:L184),4))</f>
        <v>0.19969999999999999</v>
      </c>
      <c r="M186" s="268">
        <f>IF(ISERROR(IRR($B184:M184)),"N/A",ROUND(IRR($B184:M184),4))</f>
        <v>0.20949999999999999</v>
      </c>
      <c r="N186" s="268">
        <f>IF(ISERROR(IRR($B184:N184)),"N/A",ROUND(IRR($B184:N184),4))</f>
        <v>0.21690000000000001</v>
      </c>
      <c r="O186" s="268">
        <f>IF(ISERROR(IRR($B184:O184)),"N/A",ROUND(IRR($B184:O184),4))</f>
        <v>0.2225</v>
      </c>
      <c r="P186" s="268">
        <f>IF(ISERROR(IRR($B184:P184)),"N/A",ROUND(IRR($B184:P184),4))</f>
        <v>0.2268</v>
      </c>
      <c r="Q186" s="268">
        <f>IF(ISERROR(IRR($B184:Q184)),"N/A",ROUND(IRR($B184:Q184),4))</f>
        <v>0.23019999999999999</v>
      </c>
      <c r="R186" s="268">
        <f>IF(ISERROR(IRR($B184:R184)),"N/A",ROUND(IRR($B184:R184),4))</f>
        <v>0.23280000000000001</v>
      </c>
      <c r="S186" s="268">
        <f>IF(ISERROR(IRR($B184:S184)),"N/A",ROUND(IRR($B184:S184),4))</f>
        <v>0.2349</v>
      </c>
      <c r="T186" s="268">
        <f>IF(ISERROR(IRR($B184:T184)),"N/A",ROUND(IRR($B184:T184),4))</f>
        <v>0.23649999999999999</v>
      </c>
      <c r="U186" s="268">
        <f>IF(ISERROR(IRR($B184:U184)),"N/A",ROUND(IRR($B184:U184),4))</f>
        <v>0.2379</v>
      </c>
      <c r="V186" s="268">
        <f>IF(ISERROR(IRR($B184:V184)),"N/A",ROUND(IRR($B184:V184),4))</f>
        <v>0.2389</v>
      </c>
      <c r="W186" s="268">
        <f>IF(ISERROR(IRR($B184:W184)),"N/A",ROUND(IRR($B184:W184),4))</f>
        <v>0.23980000000000001</v>
      </c>
      <c r="X186" s="268">
        <f>IF(ISERROR(IRR($B184:X184)),"N/A",ROUND(IRR($B184:X184),4))</f>
        <v>0.2404</v>
      </c>
      <c r="Y186" s="268">
        <f>IF(ISERROR(IRR($B184:Y184)),"N/A",ROUND(IRR($B184:Y184),4))</f>
        <v>0.24099999999999999</v>
      </c>
      <c r="Z186" s="268">
        <f>IF(ISERROR(IRR($B184:Z184)),"N/A",ROUND(IRR($B184:Z184),4))</f>
        <v>0.2414</v>
      </c>
      <c r="AA186" s="268">
        <f>IF(ISERROR(IRR($B184:AA184)),"N/A",ROUND(IRR($B184:AA184),4))</f>
        <v>0.24179999999999999</v>
      </c>
      <c r="AB186" s="268">
        <f>IF(ISERROR(IRR($B184:AB184)),"N/A",ROUND(IRR($B184:AB184),4))</f>
        <v>0.24210000000000001</v>
      </c>
      <c r="AC186" s="268">
        <f>IF(ISERROR(IRR($B184:AC184)),"N/A",ROUND(IRR($B184:AC184),4))</f>
        <v>0.24229999999999999</v>
      </c>
      <c r="AD186" s="268">
        <f>IF(ISERROR(IRR($B184:AD184)),"N/A",ROUND(IRR($B184:AD184),4))</f>
        <v>0.24249999999999999</v>
      </c>
      <c r="AE186" s="268">
        <f>IF(ISERROR(IRR($B184:AE184)),"N/A",ROUND(IRR($B184:AE184),4))</f>
        <v>0.2427</v>
      </c>
      <c r="AF186" s="268">
        <f>IF(ISERROR(IRR($B184:AF184)),"N/A",ROUND(IRR($B184:AF184),4))</f>
        <v>0.24329999999999999</v>
      </c>
      <c r="AG186" s="268">
        <f>IF(ISERROR(IRR($B184:AG184)),"N/A",ROUND(IRR($B184:AG184),4))</f>
        <v>0.24329999999999999</v>
      </c>
      <c r="AH186" s="268">
        <f>IF(ISERROR(IRR($B184:AH184)),"N/A",ROUND(IRR($B184:AH184),4))</f>
        <v>0.24329999999999999</v>
      </c>
      <c r="AI186" s="268">
        <f>IF(ISERROR(IRR($B184:AI184)),"N/A",ROUND(IRR($B184:AI184),4))</f>
        <v>0.24329999999999999</v>
      </c>
      <c r="AJ186" s="268">
        <f>IF(ISERROR(IRR($B184:AJ184)),"N/A",ROUND(IRR($B184:AJ184),4))</f>
        <v>0.24329999999999999</v>
      </c>
      <c r="AK186" s="268">
        <f>IF(ISERROR(IRR($B184:AK184)),"N/A",ROUND(IRR($B184:AK184),4))</f>
        <v>0.24329999999999999</v>
      </c>
      <c r="AL186" s="268">
        <f>IF(ISERROR(IRR($B184:AL184)),"N/A",ROUND(IRR($B184:AL184),4))</f>
        <v>0.24329999999999999</v>
      </c>
      <c r="AM186" s="268">
        <f>IF(ISERROR(IRR($B184:AM184)),"N/A",ROUND(IRR($B184:AM184),4))</f>
        <v>0.24329999999999999</v>
      </c>
      <c r="AN186" s="268">
        <f>IF(ISERROR(IRR($B184:AN184)),"N/A",ROUND(IRR($B184:AN184),4))</f>
        <v>0.24329999999999999</v>
      </c>
      <c r="AO186" s="268">
        <f>IF(ISERROR(IRR($B184:AO184)),"N/A",ROUND(IRR($B184:AO184),4))</f>
        <v>0.24329999999999999</v>
      </c>
      <c r="AP186" s="268">
        <f>IF(ISERROR(IRR($B184:AP184)),"N/A",ROUND(IRR($B184:AP184),4))</f>
        <v>0.24329999999999999</v>
      </c>
    </row>
    <row r="187" spans="1:42" s="118" customFormat="1">
      <c r="A187" s="267" t="s">
        <v>402</v>
      </c>
      <c r="B187" s="269">
        <f>B184</f>
        <v>-1995861.7422525855</v>
      </c>
      <c r="C187" s="269">
        <f>NPV(DiscountRate,$C184:C184)+$B184</f>
        <v>-1579267.4512901595</v>
      </c>
      <c r="D187" s="269">
        <f>NPV(DiscountRate,$C184:D184)+$B184</f>
        <v>-1186673.2861329061</v>
      </c>
      <c r="E187" s="269">
        <f>NPV(DiscountRate,$C184:E184)+$B184</f>
        <v>-816682.49915983598</v>
      </c>
      <c r="F187" s="269">
        <f>NPV(DiscountRate,$C184:F184)+$B184</f>
        <v>-467980.63667693851</v>
      </c>
      <c r="G187" s="269">
        <f>NPV(DiscountRate,$C184:G184)+$B184</f>
        <v>-139330.61911850446</v>
      </c>
      <c r="H187" s="269">
        <f>NPV(DiscountRate,$C184:H184)+$B184</f>
        <v>170431.87965800799</v>
      </c>
      <c r="I187" s="269">
        <f>NPV(DiscountRate,$C184:I184)+$B184</f>
        <v>462402.77250886289</v>
      </c>
      <c r="J187" s="269">
        <f>NPV(DiscountRate,$C184:J184)+$B184</f>
        <v>737613.63592740102</v>
      </c>
      <c r="K187" s="269">
        <f>NPV(DiscountRate,$C184:K184)+$B184</f>
        <v>997035.54001348559</v>
      </c>
      <c r="L187" s="269">
        <f>NPV(DiscountRate,$C184:L184)+$B184</f>
        <v>1241582.6467241296</v>
      </c>
      <c r="M187" s="269">
        <f>NPV(DiscountRate,$C184:M184)+$B184</f>
        <v>1472115.5906817201</v>
      </c>
      <c r="N187" s="269">
        <f>NPV(DiscountRate,$C184:N184)+$B184</f>
        <v>1689444.6559192226</v>
      </c>
      <c r="O187" s="269">
        <f>NPV(DiscountRate,$C184:O184)+$B184</f>
        <v>1894332.7611021725</v>
      </c>
      <c r="P187" s="269">
        <f>NPV(DiscountRate,$C184:P184)+$B184</f>
        <v>2087498.2649815199</v>
      </c>
      <c r="Q187" s="269">
        <f>NPV(DiscountRate,$C184:Q184)+$B184</f>
        <v>2269617.6030958686</v>
      </c>
      <c r="R187" s="269">
        <f>NPV(DiscountRate,$C184:R184)+$B184</f>
        <v>2441327.7660531113</v>
      </c>
      <c r="S187" s="269">
        <f>NPV(DiscountRate,$C184:S184)+$B184</f>
        <v>2603228.6290768469</v>
      </c>
      <c r="T187" s="269">
        <f>NPV(DiscountRate,$C184:T184)+$B184</f>
        <v>2755885.1418993734</v>
      </c>
      <c r="U187" s="269">
        <f>NPV(DiscountRate,$C184:U184)+$B184</f>
        <v>2899829.3875178685</v>
      </c>
      <c r="V187" s="269">
        <f>NPV(DiscountRate,$C184:V184)+$B184</f>
        <v>3035562.5178010743</v>
      </c>
      <c r="W187" s="269">
        <f>NPV(DiscountRate,$C184:W184)+$B184</f>
        <v>3163556.5734380586</v>
      </c>
      <c r="X187" s="269">
        <f>NPV(DiscountRate,$C184:X184)+$B184</f>
        <v>3284256.1952562807</v>
      </c>
      <c r="Y187" s="269">
        <f>NPV(DiscountRate,$C184:Y184)+$B184</f>
        <v>3398080.2335012294</v>
      </c>
      <c r="Z187" s="269">
        <f>NPV(DiscountRate,$C184:Z184)+$B184</f>
        <v>3505423.2612623712</v>
      </c>
      <c r="AA187" s="269">
        <f>NPV(DiscountRate,$C184:AA184)+$B184</f>
        <v>3606656.9978483254</v>
      </c>
      <c r="AB187" s="269">
        <f>NPV(DiscountRate,$C184:AB184)+$B184</f>
        <v>3702131.6475564484</v>
      </c>
      <c r="AC187" s="269">
        <f>NPV(DiscountRate,$C184:AC184)+$B184</f>
        <v>3792177.1589466808</v>
      </c>
      <c r="AD187" s="269">
        <f>NPV(DiscountRate,$C184:AD184)+$B184</f>
        <v>3877104.409415341</v>
      </c>
      <c r="AE187" s="269">
        <f>NPV(DiscountRate,$C184:AE184)+$B184</f>
        <v>3957206.3195699984</v>
      </c>
      <c r="AF187" s="269">
        <f>NPV(DiscountRate,$C184:AF184)+$B184</f>
        <v>4351032.3236061819</v>
      </c>
      <c r="AG187" s="269">
        <f>NPV(DiscountRate,$C184:AG184)+$B184</f>
        <v>4351032.3236061819</v>
      </c>
      <c r="AH187" s="269">
        <f>NPV(DiscountRate,$C184:AH184)+$B184</f>
        <v>4351032.3236061819</v>
      </c>
      <c r="AI187" s="269">
        <f>NPV(DiscountRate,$C184:AI184)+$B184</f>
        <v>4351032.3236061819</v>
      </c>
      <c r="AJ187" s="269">
        <f>NPV(DiscountRate,$C184:AJ184)+$B184</f>
        <v>4351032.3236061819</v>
      </c>
      <c r="AK187" s="269">
        <f>NPV(DiscountRate,$C184:AK184)+$B184</f>
        <v>4351032.3236061819</v>
      </c>
      <c r="AL187" s="269">
        <f>NPV(DiscountRate,$C184:AL184)+$B184</f>
        <v>4351032.3236061819</v>
      </c>
      <c r="AM187" s="269">
        <f>NPV(DiscountRate,$C184:AM184)+$B184</f>
        <v>4351032.3236061819</v>
      </c>
      <c r="AN187" s="269">
        <f>NPV(DiscountRate,$C184:AN184)+$B184</f>
        <v>4351032.3236061819</v>
      </c>
      <c r="AO187" s="269">
        <f>NPV(DiscountRate,$C184:AO184)+$B184</f>
        <v>4351032.3236061819</v>
      </c>
      <c r="AP187" s="269">
        <f>NPV(DiscountRate,$C184:AP184)+$B184</f>
        <v>4351032.3236061819</v>
      </c>
    </row>
    <row r="188" spans="1:42" s="118" customFormat="1">
      <c r="A188" s="267"/>
      <c r="B188" s="198"/>
      <c r="C188" s="198"/>
      <c r="D188" s="198"/>
      <c r="E188" s="198"/>
      <c r="F188" s="198"/>
      <c r="G188" s="141"/>
      <c r="H188" s="141"/>
      <c r="I188" s="141"/>
      <c r="J188" s="141"/>
      <c r="K188" s="141"/>
      <c r="L188" s="141"/>
      <c r="M188" s="141"/>
      <c r="N188" s="141"/>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141"/>
      <c r="AK188" s="141"/>
      <c r="AL188" s="141"/>
      <c r="AM188" s="141"/>
      <c r="AN188" s="141"/>
      <c r="AO188" s="141"/>
      <c r="AP188" s="141"/>
    </row>
    <row r="189" spans="1:42" s="118" customFormat="1">
      <c r="A189" s="267" t="s">
        <v>216</v>
      </c>
      <c r="B189" s="286">
        <f>IF(ISERROR(IRR(B184:AP184)),"N/A",IRR(B184:AP184))</f>
        <v>0.2433313740853989</v>
      </c>
      <c r="C189" s="198"/>
      <c r="D189" s="198"/>
      <c r="E189" s="198"/>
      <c r="F189" s="198"/>
      <c r="G189" s="141"/>
      <c r="H189" s="141"/>
      <c r="I189" s="141"/>
      <c r="J189" s="141"/>
      <c r="K189" s="141"/>
      <c r="L189" s="141"/>
      <c r="M189" s="141"/>
      <c r="N189" s="141"/>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141"/>
      <c r="AK189" s="141"/>
      <c r="AL189" s="141"/>
      <c r="AM189" s="141"/>
      <c r="AN189" s="141"/>
      <c r="AO189" s="141"/>
      <c r="AP189" s="141"/>
    </row>
    <row r="190" spans="1:42" s="118" customFormat="1">
      <c r="A190" s="267" t="s">
        <v>217</v>
      </c>
      <c r="B190" s="287">
        <f>NPV(DiscountRate,$C184:$AP184)+B184</f>
        <v>4351032.3236061819</v>
      </c>
      <c r="C190" s="198"/>
      <c r="D190" s="198"/>
      <c r="E190" s="198"/>
      <c r="F190" s="198"/>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row>
    <row r="191" spans="1:42" s="118" customFormat="1">
      <c r="A191" s="42"/>
      <c r="B191" s="198"/>
      <c r="C191" s="198"/>
      <c r="D191" s="198"/>
      <c r="E191" s="198"/>
      <c r="F191" s="198"/>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141"/>
      <c r="AK191" s="141"/>
      <c r="AL191" s="141"/>
      <c r="AM191" s="141"/>
      <c r="AN191" s="141"/>
      <c r="AO191" s="141"/>
      <c r="AP191" s="141"/>
    </row>
    <row r="192" spans="1:42" s="118" customFormat="1">
      <c r="A192" s="274" t="s">
        <v>450</v>
      </c>
      <c r="B192" s="198"/>
      <c r="C192" s="198"/>
      <c r="D192" s="198"/>
      <c r="E192" s="198"/>
      <c r="F192" s="198"/>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141"/>
      <c r="AK192" s="141"/>
      <c r="AL192" s="141"/>
      <c r="AM192" s="141"/>
      <c r="AN192" s="141"/>
      <c r="AO192" s="141"/>
      <c r="AP192" s="141"/>
    </row>
    <row r="193" spans="1:42" s="118" customFormat="1">
      <c r="A193" s="197" t="s">
        <v>219</v>
      </c>
      <c r="B193" s="198"/>
      <c r="C193" s="198"/>
      <c r="D193" s="198"/>
      <c r="E193" s="198"/>
      <c r="F193" s="198"/>
      <c r="G193" s="141"/>
      <c r="H193" s="141"/>
      <c r="I193" s="141"/>
      <c r="J193" s="141"/>
      <c r="K193" s="141"/>
      <c r="L193" s="141"/>
      <c r="M193" s="141"/>
      <c r="N193" s="141"/>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141"/>
      <c r="AK193" s="141"/>
      <c r="AL193" s="141"/>
      <c r="AM193" s="141"/>
      <c r="AN193" s="141"/>
      <c r="AO193" s="141"/>
      <c r="AP193" s="141"/>
    </row>
    <row r="194" spans="1:42" s="118" customFormat="1">
      <c r="A194" s="257" t="s">
        <v>494</v>
      </c>
      <c r="B194" s="141">
        <f>B177</f>
        <v>-3202676.2422525855</v>
      </c>
      <c r="C194" s="141">
        <f t="shared" ref="C194:AP194" si="98">C108-C150</f>
        <v>0</v>
      </c>
      <c r="D194" s="141">
        <f t="shared" si="98"/>
        <v>0</v>
      </c>
      <c r="E194" s="141">
        <f t="shared" si="98"/>
        <v>0</v>
      </c>
      <c r="F194" s="141">
        <f t="shared" si="98"/>
        <v>0</v>
      </c>
      <c r="G194" s="141">
        <f t="shared" si="98"/>
        <v>0</v>
      </c>
      <c r="H194" s="141">
        <f t="shared" si="98"/>
        <v>0</v>
      </c>
      <c r="I194" s="141">
        <f t="shared" si="98"/>
        <v>0</v>
      </c>
      <c r="J194" s="141">
        <f t="shared" si="98"/>
        <v>0</v>
      </c>
      <c r="K194" s="141">
        <f t="shared" si="98"/>
        <v>0</v>
      </c>
      <c r="L194" s="141">
        <f t="shared" si="98"/>
        <v>0</v>
      </c>
      <c r="M194" s="141">
        <f t="shared" si="98"/>
        <v>0</v>
      </c>
      <c r="N194" s="141">
        <f t="shared" si="98"/>
        <v>0</v>
      </c>
      <c r="O194" s="141">
        <f t="shared" si="98"/>
        <v>0</v>
      </c>
      <c r="P194" s="141">
        <f t="shared" si="98"/>
        <v>0</v>
      </c>
      <c r="Q194" s="141">
        <f t="shared" si="98"/>
        <v>0</v>
      </c>
      <c r="R194" s="141">
        <f t="shared" si="98"/>
        <v>0</v>
      </c>
      <c r="S194" s="141">
        <f t="shared" si="98"/>
        <v>0</v>
      </c>
      <c r="T194" s="141">
        <f t="shared" si="98"/>
        <v>0</v>
      </c>
      <c r="U194" s="141">
        <f t="shared" si="98"/>
        <v>0</v>
      </c>
      <c r="V194" s="141">
        <f t="shared" si="98"/>
        <v>0</v>
      </c>
      <c r="W194" s="141">
        <f t="shared" si="98"/>
        <v>0</v>
      </c>
      <c r="X194" s="141">
        <f t="shared" si="98"/>
        <v>0</v>
      </c>
      <c r="Y194" s="141">
        <f t="shared" si="98"/>
        <v>0</v>
      </c>
      <c r="Z194" s="141">
        <f t="shared" si="98"/>
        <v>0</v>
      </c>
      <c r="AA194" s="141">
        <f t="shared" si="98"/>
        <v>0</v>
      </c>
      <c r="AB194" s="141">
        <f t="shared" si="98"/>
        <v>0</v>
      </c>
      <c r="AC194" s="141">
        <f t="shared" si="98"/>
        <v>0</v>
      </c>
      <c r="AD194" s="141">
        <f t="shared" si="98"/>
        <v>0</v>
      </c>
      <c r="AE194" s="141">
        <f t="shared" si="98"/>
        <v>0</v>
      </c>
      <c r="AF194" s="141">
        <f t="shared" si="98"/>
        <v>0</v>
      </c>
      <c r="AG194" s="141">
        <f t="shared" si="98"/>
        <v>0</v>
      </c>
      <c r="AH194" s="141">
        <f t="shared" si="98"/>
        <v>0</v>
      </c>
      <c r="AI194" s="141">
        <f t="shared" si="98"/>
        <v>0</v>
      </c>
      <c r="AJ194" s="141">
        <f t="shared" si="98"/>
        <v>0</v>
      </c>
      <c r="AK194" s="141">
        <f t="shared" si="98"/>
        <v>0</v>
      </c>
      <c r="AL194" s="141">
        <f t="shared" si="98"/>
        <v>0</v>
      </c>
      <c r="AM194" s="141">
        <f t="shared" si="98"/>
        <v>0</v>
      </c>
      <c r="AN194" s="141">
        <f t="shared" si="98"/>
        <v>0</v>
      </c>
      <c r="AO194" s="141">
        <f t="shared" si="98"/>
        <v>0</v>
      </c>
      <c r="AP194" s="141">
        <f t="shared" si="98"/>
        <v>0</v>
      </c>
    </row>
    <row r="195" spans="1:42" s="118" customFormat="1">
      <c r="A195" s="184" t="s">
        <v>534</v>
      </c>
      <c r="B195" s="141">
        <f>'Inputs &amp; Results'!D146</f>
        <v>1206814.5</v>
      </c>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row>
    <row r="196" spans="1:42" s="118" customFormat="1">
      <c r="A196" s="257" t="s">
        <v>445</v>
      </c>
      <c r="B196" s="141">
        <f>B179</f>
        <v>0</v>
      </c>
      <c r="C196" s="141">
        <f t="shared" ref="C196:AP196" si="99">C179</f>
        <v>0</v>
      </c>
      <c r="D196" s="141">
        <f t="shared" si="99"/>
        <v>0</v>
      </c>
      <c r="E196" s="141">
        <f t="shared" si="99"/>
        <v>0</v>
      </c>
      <c r="F196" s="141">
        <f t="shared" si="99"/>
        <v>0</v>
      </c>
      <c r="G196" s="141">
        <f t="shared" si="99"/>
        <v>0</v>
      </c>
      <c r="H196" s="141">
        <f t="shared" si="99"/>
        <v>0</v>
      </c>
      <c r="I196" s="141">
        <f t="shared" si="99"/>
        <v>0</v>
      </c>
      <c r="J196" s="141">
        <f t="shared" si="99"/>
        <v>0</v>
      </c>
      <c r="K196" s="141">
        <f t="shared" si="99"/>
        <v>0</v>
      </c>
      <c r="L196" s="141">
        <f t="shared" si="99"/>
        <v>0</v>
      </c>
      <c r="M196" s="141">
        <f t="shared" si="99"/>
        <v>0</v>
      </c>
      <c r="N196" s="141">
        <f t="shared" si="99"/>
        <v>0</v>
      </c>
      <c r="O196" s="141">
        <f t="shared" si="99"/>
        <v>0</v>
      </c>
      <c r="P196" s="141">
        <f t="shared" si="99"/>
        <v>0</v>
      </c>
      <c r="Q196" s="141">
        <f t="shared" si="99"/>
        <v>0</v>
      </c>
      <c r="R196" s="141">
        <f t="shared" si="99"/>
        <v>0</v>
      </c>
      <c r="S196" s="141">
        <f t="shared" si="99"/>
        <v>0</v>
      </c>
      <c r="T196" s="141">
        <f t="shared" si="99"/>
        <v>0</v>
      </c>
      <c r="U196" s="141">
        <f t="shared" si="99"/>
        <v>0</v>
      </c>
      <c r="V196" s="141">
        <f t="shared" si="99"/>
        <v>0</v>
      </c>
      <c r="W196" s="141">
        <f t="shared" si="99"/>
        <v>0</v>
      </c>
      <c r="X196" s="141">
        <f t="shared" si="99"/>
        <v>0</v>
      </c>
      <c r="Y196" s="141">
        <f t="shared" si="99"/>
        <v>0</v>
      </c>
      <c r="Z196" s="141">
        <f t="shared" si="99"/>
        <v>0</v>
      </c>
      <c r="AA196" s="141">
        <f t="shared" si="99"/>
        <v>0</v>
      </c>
      <c r="AB196" s="141">
        <f t="shared" si="99"/>
        <v>0</v>
      </c>
      <c r="AC196" s="141">
        <f t="shared" si="99"/>
        <v>0</v>
      </c>
      <c r="AD196" s="141">
        <f t="shared" si="99"/>
        <v>0</v>
      </c>
      <c r="AE196" s="141">
        <f t="shared" si="99"/>
        <v>0</v>
      </c>
      <c r="AF196" s="141">
        <f t="shared" si="99"/>
        <v>0</v>
      </c>
      <c r="AG196" s="141">
        <f t="shared" si="99"/>
        <v>0</v>
      </c>
      <c r="AH196" s="141">
        <f t="shared" si="99"/>
        <v>0</v>
      </c>
      <c r="AI196" s="141">
        <f t="shared" si="99"/>
        <v>0</v>
      </c>
      <c r="AJ196" s="141">
        <f t="shared" si="99"/>
        <v>0</v>
      </c>
      <c r="AK196" s="141">
        <f t="shared" si="99"/>
        <v>0</v>
      </c>
      <c r="AL196" s="141">
        <f t="shared" si="99"/>
        <v>0</v>
      </c>
      <c r="AM196" s="141">
        <f t="shared" si="99"/>
        <v>0</v>
      </c>
      <c r="AN196" s="141">
        <f t="shared" si="99"/>
        <v>0</v>
      </c>
      <c r="AO196" s="141">
        <f t="shared" si="99"/>
        <v>0</v>
      </c>
      <c r="AP196" s="141">
        <f t="shared" si="99"/>
        <v>0</v>
      </c>
    </row>
    <row r="197" spans="1:42" s="118" customFormat="1">
      <c r="A197" s="257" t="s">
        <v>443</v>
      </c>
      <c r="B197" s="141">
        <v>0</v>
      </c>
      <c r="C197" s="141">
        <f t="shared" ref="C197:AP197" si="100">C180</f>
        <v>0</v>
      </c>
      <c r="D197" s="141">
        <f t="shared" si="100"/>
        <v>0</v>
      </c>
      <c r="E197" s="141">
        <f t="shared" si="100"/>
        <v>0</v>
      </c>
      <c r="F197" s="141">
        <f t="shared" si="100"/>
        <v>0</v>
      </c>
      <c r="G197" s="141">
        <f t="shared" si="100"/>
        <v>0</v>
      </c>
      <c r="H197" s="141">
        <f t="shared" si="100"/>
        <v>0</v>
      </c>
      <c r="I197" s="141">
        <f t="shared" si="100"/>
        <v>0</v>
      </c>
      <c r="J197" s="141">
        <f t="shared" si="100"/>
        <v>0</v>
      </c>
      <c r="K197" s="141">
        <f t="shared" si="100"/>
        <v>0</v>
      </c>
      <c r="L197" s="141">
        <f t="shared" si="100"/>
        <v>0</v>
      </c>
      <c r="M197" s="141">
        <f t="shared" si="100"/>
        <v>0</v>
      </c>
      <c r="N197" s="141">
        <f t="shared" si="100"/>
        <v>0</v>
      </c>
      <c r="O197" s="141">
        <f t="shared" si="100"/>
        <v>0</v>
      </c>
      <c r="P197" s="141">
        <f t="shared" si="100"/>
        <v>0</v>
      </c>
      <c r="Q197" s="141">
        <f t="shared" si="100"/>
        <v>0</v>
      </c>
      <c r="R197" s="141">
        <f t="shared" si="100"/>
        <v>0</v>
      </c>
      <c r="S197" s="141">
        <f t="shared" si="100"/>
        <v>0</v>
      </c>
      <c r="T197" s="141">
        <f t="shared" si="100"/>
        <v>0</v>
      </c>
      <c r="U197" s="141">
        <f t="shared" si="100"/>
        <v>0</v>
      </c>
      <c r="V197" s="141">
        <f t="shared" si="100"/>
        <v>0</v>
      </c>
      <c r="W197" s="141">
        <f t="shared" si="100"/>
        <v>0</v>
      </c>
      <c r="X197" s="141">
        <f t="shared" si="100"/>
        <v>0</v>
      </c>
      <c r="Y197" s="141">
        <f t="shared" si="100"/>
        <v>0</v>
      </c>
      <c r="Z197" s="141">
        <f t="shared" si="100"/>
        <v>0</v>
      </c>
      <c r="AA197" s="141">
        <f t="shared" si="100"/>
        <v>0</v>
      </c>
      <c r="AB197" s="141">
        <f t="shared" si="100"/>
        <v>0</v>
      </c>
      <c r="AC197" s="141">
        <f t="shared" si="100"/>
        <v>0</v>
      </c>
      <c r="AD197" s="141">
        <f t="shared" si="100"/>
        <v>0</v>
      </c>
      <c r="AE197" s="141">
        <f t="shared" si="100"/>
        <v>0</v>
      </c>
      <c r="AF197" s="141">
        <f t="shared" si="100"/>
        <v>350000</v>
      </c>
      <c r="AG197" s="141">
        <f t="shared" si="100"/>
        <v>0</v>
      </c>
      <c r="AH197" s="141">
        <f t="shared" si="100"/>
        <v>0</v>
      </c>
      <c r="AI197" s="141">
        <f t="shared" si="100"/>
        <v>0</v>
      </c>
      <c r="AJ197" s="141">
        <f t="shared" si="100"/>
        <v>0</v>
      </c>
      <c r="AK197" s="141">
        <f t="shared" si="100"/>
        <v>0</v>
      </c>
      <c r="AL197" s="141">
        <f t="shared" si="100"/>
        <v>0</v>
      </c>
      <c r="AM197" s="141">
        <f t="shared" si="100"/>
        <v>0</v>
      </c>
      <c r="AN197" s="141">
        <f t="shared" si="100"/>
        <v>0</v>
      </c>
      <c r="AO197" s="141">
        <f t="shared" si="100"/>
        <v>0</v>
      </c>
      <c r="AP197" s="141">
        <f t="shared" si="100"/>
        <v>0</v>
      </c>
    </row>
    <row r="198" spans="1:42" s="118" customFormat="1">
      <c r="A198" s="257" t="s">
        <v>444</v>
      </c>
      <c r="B198" s="141">
        <v>0</v>
      </c>
      <c r="C198" s="141">
        <f t="shared" ref="C198:AP198" si="101">C181</f>
        <v>0</v>
      </c>
      <c r="D198" s="141">
        <f t="shared" si="101"/>
        <v>0</v>
      </c>
      <c r="E198" s="141">
        <f t="shared" si="101"/>
        <v>0</v>
      </c>
      <c r="F198" s="141">
        <f t="shared" si="101"/>
        <v>0</v>
      </c>
      <c r="G198" s="141">
        <f t="shared" si="101"/>
        <v>0</v>
      </c>
      <c r="H198" s="141">
        <f t="shared" si="101"/>
        <v>0</v>
      </c>
      <c r="I198" s="141">
        <f t="shared" si="101"/>
        <v>0</v>
      </c>
      <c r="J198" s="141">
        <f t="shared" si="101"/>
        <v>0</v>
      </c>
      <c r="K198" s="141">
        <f t="shared" si="101"/>
        <v>0</v>
      </c>
      <c r="L198" s="141">
        <f t="shared" si="101"/>
        <v>0</v>
      </c>
      <c r="M198" s="141">
        <f t="shared" si="101"/>
        <v>0</v>
      </c>
      <c r="N198" s="141">
        <f t="shared" si="101"/>
        <v>0</v>
      </c>
      <c r="O198" s="141">
        <f t="shared" si="101"/>
        <v>0</v>
      </c>
      <c r="P198" s="141">
        <f t="shared" si="101"/>
        <v>0</v>
      </c>
      <c r="Q198" s="141">
        <f t="shared" si="101"/>
        <v>0</v>
      </c>
      <c r="R198" s="141">
        <f t="shared" si="101"/>
        <v>0</v>
      </c>
      <c r="S198" s="141">
        <f t="shared" si="101"/>
        <v>0</v>
      </c>
      <c r="T198" s="141">
        <f t="shared" si="101"/>
        <v>0</v>
      </c>
      <c r="U198" s="141">
        <f t="shared" si="101"/>
        <v>0</v>
      </c>
      <c r="V198" s="141">
        <f t="shared" si="101"/>
        <v>0</v>
      </c>
      <c r="W198" s="141">
        <f t="shared" si="101"/>
        <v>0</v>
      </c>
      <c r="X198" s="141">
        <f t="shared" si="101"/>
        <v>0</v>
      </c>
      <c r="Y198" s="141">
        <f t="shared" si="101"/>
        <v>0</v>
      </c>
      <c r="Z198" s="141">
        <f t="shared" si="101"/>
        <v>0</v>
      </c>
      <c r="AA198" s="141">
        <f t="shared" si="101"/>
        <v>0</v>
      </c>
      <c r="AB198" s="141">
        <f t="shared" si="101"/>
        <v>0</v>
      </c>
      <c r="AC198" s="141">
        <f t="shared" si="101"/>
        <v>0</v>
      </c>
      <c r="AD198" s="141">
        <f t="shared" si="101"/>
        <v>0</v>
      </c>
      <c r="AE198" s="141">
        <f t="shared" si="101"/>
        <v>0</v>
      </c>
      <c r="AF198" s="141">
        <f t="shared" si="101"/>
        <v>2852676.2422525855</v>
      </c>
      <c r="AG198" s="141">
        <f t="shared" si="101"/>
        <v>0</v>
      </c>
      <c r="AH198" s="141">
        <f t="shared" si="101"/>
        <v>0</v>
      </c>
      <c r="AI198" s="141">
        <f t="shared" si="101"/>
        <v>0</v>
      </c>
      <c r="AJ198" s="141">
        <f t="shared" si="101"/>
        <v>0</v>
      </c>
      <c r="AK198" s="141">
        <f t="shared" si="101"/>
        <v>0</v>
      </c>
      <c r="AL198" s="141">
        <f t="shared" si="101"/>
        <v>0</v>
      </c>
      <c r="AM198" s="141">
        <f t="shared" si="101"/>
        <v>0</v>
      </c>
      <c r="AN198" s="141">
        <f t="shared" si="101"/>
        <v>0</v>
      </c>
      <c r="AO198" s="141">
        <f t="shared" si="101"/>
        <v>0</v>
      </c>
      <c r="AP198" s="141">
        <f t="shared" si="101"/>
        <v>0</v>
      </c>
    </row>
    <row r="199" spans="1:42" s="118" customFormat="1">
      <c r="A199" s="257" t="s">
        <v>471</v>
      </c>
      <c r="B199" s="141">
        <f>B182</f>
        <v>0</v>
      </c>
      <c r="C199" s="141">
        <f t="shared" ref="C199:AP199" si="102">C182</f>
        <v>49921.834239420248</v>
      </c>
      <c r="D199" s="141">
        <f t="shared" si="102"/>
        <v>49921.834239420248</v>
      </c>
      <c r="E199" s="141">
        <f t="shared" si="102"/>
        <v>49921.834239420248</v>
      </c>
      <c r="F199" s="141">
        <f t="shared" si="102"/>
        <v>49921.834239420248</v>
      </c>
      <c r="G199" s="141">
        <f t="shared" si="102"/>
        <v>49921.834239420248</v>
      </c>
      <c r="H199" s="141">
        <f t="shared" si="102"/>
        <v>49921.834239420248</v>
      </c>
      <c r="I199" s="141">
        <f t="shared" si="102"/>
        <v>49921.834239420248</v>
      </c>
      <c r="J199" s="141">
        <f t="shared" si="102"/>
        <v>49921.834239420248</v>
      </c>
      <c r="K199" s="141">
        <f t="shared" si="102"/>
        <v>49921.834239420248</v>
      </c>
      <c r="L199" s="141">
        <f t="shared" si="102"/>
        <v>49921.834239420248</v>
      </c>
      <c r="M199" s="141">
        <f t="shared" si="102"/>
        <v>49921.834239420248</v>
      </c>
      <c r="N199" s="141">
        <f t="shared" si="102"/>
        <v>49921.834239420248</v>
      </c>
      <c r="O199" s="141">
        <f t="shared" si="102"/>
        <v>49921.834239420248</v>
      </c>
      <c r="P199" s="141">
        <f t="shared" si="102"/>
        <v>49921.834239420248</v>
      </c>
      <c r="Q199" s="141">
        <f t="shared" si="102"/>
        <v>49921.834239420248</v>
      </c>
      <c r="R199" s="141">
        <f t="shared" si="102"/>
        <v>49921.834239420248</v>
      </c>
      <c r="S199" s="141">
        <f t="shared" si="102"/>
        <v>49921.834239420248</v>
      </c>
      <c r="T199" s="141">
        <f t="shared" si="102"/>
        <v>49921.834239420248</v>
      </c>
      <c r="U199" s="141">
        <f t="shared" si="102"/>
        <v>49921.834239420248</v>
      </c>
      <c r="V199" s="141">
        <f t="shared" si="102"/>
        <v>49921.834239420248</v>
      </c>
      <c r="W199" s="141">
        <f t="shared" si="102"/>
        <v>49921.834239420248</v>
      </c>
      <c r="X199" s="141">
        <f t="shared" si="102"/>
        <v>49921.834239420248</v>
      </c>
      <c r="Y199" s="141">
        <f t="shared" si="102"/>
        <v>49921.834239420248</v>
      </c>
      <c r="Z199" s="141">
        <f t="shared" si="102"/>
        <v>49921.834239420248</v>
      </c>
      <c r="AA199" s="141">
        <f t="shared" si="102"/>
        <v>49921.834239420248</v>
      </c>
      <c r="AB199" s="141">
        <f t="shared" si="102"/>
        <v>49921.834239420248</v>
      </c>
      <c r="AC199" s="141">
        <f t="shared" si="102"/>
        <v>49921.834239420248</v>
      </c>
      <c r="AD199" s="141">
        <f t="shared" si="102"/>
        <v>49921.834239420248</v>
      </c>
      <c r="AE199" s="141">
        <f t="shared" si="102"/>
        <v>49921.834239420248</v>
      </c>
      <c r="AF199" s="141">
        <f t="shared" si="102"/>
        <v>49921.834239420248</v>
      </c>
      <c r="AG199" s="141">
        <f t="shared" si="102"/>
        <v>0</v>
      </c>
      <c r="AH199" s="141">
        <f t="shared" si="102"/>
        <v>0</v>
      </c>
      <c r="AI199" s="141">
        <f t="shared" si="102"/>
        <v>0</v>
      </c>
      <c r="AJ199" s="141">
        <f t="shared" si="102"/>
        <v>0</v>
      </c>
      <c r="AK199" s="141">
        <f t="shared" si="102"/>
        <v>0</v>
      </c>
      <c r="AL199" s="141">
        <f t="shared" si="102"/>
        <v>0</v>
      </c>
      <c r="AM199" s="141">
        <f t="shared" si="102"/>
        <v>0</v>
      </c>
      <c r="AN199" s="141">
        <f t="shared" si="102"/>
        <v>0</v>
      </c>
      <c r="AO199" s="141">
        <f t="shared" si="102"/>
        <v>0</v>
      </c>
      <c r="AP199" s="141">
        <f t="shared" si="102"/>
        <v>0</v>
      </c>
    </row>
    <row r="200" spans="1:42" s="118" customFormat="1">
      <c r="A200" s="257" t="s">
        <v>535</v>
      </c>
      <c r="B200" s="203">
        <f>B183</f>
        <v>0</v>
      </c>
      <c r="C200" s="203">
        <f t="shared" ref="C200:AP200" si="103">C183</f>
        <v>400000</v>
      </c>
      <c r="D200" s="203">
        <f t="shared" si="103"/>
        <v>408000</v>
      </c>
      <c r="E200" s="203">
        <f t="shared" si="103"/>
        <v>416160</v>
      </c>
      <c r="F200" s="203">
        <f t="shared" si="103"/>
        <v>424483.19999999995</v>
      </c>
      <c r="G200" s="203">
        <f t="shared" si="103"/>
        <v>432972.864</v>
      </c>
      <c r="H200" s="203">
        <f t="shared" si="103"/>
        <v>441632.32128000003</v>
      </c>
      <c r="I200" s="203">
        <f t="shared" si="103"/>
        <v>450464.96770560002</v>
      </c>
      <c r="J200" s="203">
        <f t="shared" si="103"/>
        <v>459474.26705971191</v>
      </c>
      <c r="K200" s="203">
        <f t="shared" si="103"/>
        <v>468663.75240090623</v>
      </c>
      <c r="L200" s="203">
        <f t="shared" si="103"/>
        <v>478037.02744892432</v>
      </c>
      <c r="M200" s="203">
        <f t="shared" si="103"/>
        <v>487597.76799790282</v>
      </c>
      <c r="N200" s="203">
        <f t="shared" si="103"/>
        <v>497349.72335786081</v>
      </c>
      <c r="O200" s="203">
        <f t="shared" si="103"/>
        <v>507296.7178250181</v>
      </c>
      <c r="P200" s="203">
        <f t="shared" si="103"/>
        <v>517442.65218151844</v>
      </c>
      <c r="Q200" s="203">
        <f t="shared" si="103"/>
        <v>527791.50522514887</v>
      </c>
      <c r="R200" s="203">
        <f t="shared" si="103"/>
        <v>538347.33532965172</v>
      </c>
      <c r="S200" s="203">
        <f t="shared" si="103"/>
        <v>549114.28203624487</v>
      </c>
      <c r="T200" s="203">
        <f t="shared" si="103"/>
        <v>560096.5676769698</v>
      </c>
      <c r="U200" s="203">
        <f t="shared" si="103"/>
        <v>571298.49903050903</v>
      </c>
      <c r="V200" s="203">
        <f t="shared" si="103"/>
        <v>582724.46901111922</v>
      </c>
      <c r="W200" s="203">
        <f t="shared" si="103"/>
        <v>594378.95839134173</v>
      </c>
      <c r="X200" s="203">
        <f t="shared" si="103"/>
        <v>606266.53755916853</v>
      </c>
      <c r="Y200" s="203">
        <f t="shared" si="103"/>
        <v>618391.86831035186</v>
      </c>
      <c r="Z200" s="203">
        <f t="shared" si="103"/>
        <v>630759.70567655878</v>
      </c>
      <c r="AA200" s="203">
        <f t="shared" si="103"/>
        <v>643374.89979009004</v>
      </c>
      <c r="AB200" s="203">
        <f t="shared" si="103"/>
        <v>656242.39778589178</v>
      </c>
      <c r="AC200" s="203">
        <f t="shared" si="103"/>
        <v>669367.24574160972</v>
      </c>
      <c r="AD200" s="203">
        <f t="shared" si="103"/>
        <v>682754.59065644175</v>
      </c>
      <c r="AE200" s="203">
        <f t="shared" si="103"/>
        <v>696409.68246957078</v>
      </c>
      <c r="AF200" s="203">
        <f t="shared" si="103"/>
        <v>710337.87611896207</v>
      </c>
      <c r="AG200" s="203">
        <f t="shared" si="103"/>
        <v>0</v>
      </c>
      <c r="AH200" s="203">
        <f t="shared" si="103"/>
        <v>0</v>
      </c>
      <c r="AI200" s="203">
        <f t="shared" si="103"/>
        <v>0</v>
      </c>
      <c r="AJ200" s="203">
        <f t="shared" si="103"/>
        <v>0</v>
      </c>
      <c r="AK200" s="203">
        <f t="shared" si="103"/>
        <v>0</v>
      </c>
      <c r="AL200" s="203">
        <f t="shared" si="103"/>
        <v>0</v>
      </c>
      <c r="AM200" s="203">
        <f t="shared" si="103"/>
        <v>0</v>
      </c>
      <c r="AN200" s="203">
        <f t="shared" si="103"/>
        <v>0</v>
      </c>
      <c r="AO200" s="203">
        <f t="shared" si="103"/>
        <v>0</v>
      </c>
      <c r="AP200" s="203">
        <f t="shared" si="103"/>
        <v>0</v>
      </c>
    </row>
    <row r="201" spans="1:42">
      <c r="A201" s="184" t="s">
        <v>220</v>
      </c>
      <c r="B201" s="152">
        <f t="shared" ref="B201:AP201" si="104">SUM(B194:B200)</f>
        <v>-1995861.7422525855</v>
      </c>
      <c r="C201" s="152">
        <f t="shared" si="104"/>
        <v>449921.83423942025</v>
      </c>
      <c r="D201" s="152">
        <f t="shared" si="104"/>
        <v>457921.83423942025</v>
      </c>
      <c r="E201" s="152">
        <f t="shared" si="104"/>
        <v>466081.83423942025</v>
      </c>
      <c r="F201" s="152">
        <f t="shared" si="104"/>
        <v>474405.0342394202</v>
      </c>
      <c r="G201" s="152">
        <f t="shared" si="104"/>
        <v>482894.69823942025</v>
      </c>
      <c r="H201" s="152">
        <f t="shared" si="104"/>
        <v>491554.15551942028</v>
      </c>
      <c r="I201" s="152">
        <f t="shared" si="104"/>
        <v>500386.80194502027</v>
      </c>
      <c r="J201" s="152">
        <f t="shared" si="104"/>
        <v>509396.10129913216</v>
      </c>
      <c r="K201" s="152">
        <f t="shared" si="104"/>
        <v>518585.58664032648</v>
      </c>
      <c r="L201" s="152">
        <f t="shared" si="104"/>
        <v>527958.86168834451</v>
      </c>
      <c r="M201" s="152">
        <f t="shared" si="104"/>
        <v>537519.60223732307</v>
      </c>
      <c r="N201" s="152">
        <f t="shared" si="104"/>
        <v>547271.55759728106</v>
      </c>
      <c r="O201" s="152">
        <f t="shared" si="104"/>
        <v>557218.55206443835</v>
      </c>
      <c r="P201" s="152">
        <f t="shared" si="104"/>
        <v>567364.48642093875</v>
      </c>
      <c r="Q201" s="152">
        <f t="shared" si="104"/>
        <v>577713.33946456912</v>
      </c>
      <c r="R201" s="152">
        <f t="shared" si="104"/>
        <v>588269.16956907196</v>
      </c>
      <c r="S201" s="152">
        <f t="shared" si="104"/>
        <v>599036.11627566512</v>
      </c>
      <c r="T201" s="152">
        <f t="shared" si="104"/>
        <v>610018.40191639005</v>
      </c>
      <c r="U201" s="152">
        <f t="shared" si="104"/>
        <v>621220.33326992928</v>
      </c>
      <c r="V201" s="152">
        <f t="shared" si="104"/>
        <v>632646.30325053947</v>
      </c>
      <c r="W201" s="152">
        <f t="shared" si="104"/>
        <v>644300.79263076198</v>
      </c>
      <c r="X201" s="152">
        <f t="shared" si="104"/>
        <v>656188.37179858878</v>
      </c>
      <c r="Y201" s="152">
        <f t="shared" si="104"/>
        <v>668313.7025497721</v>
      </c>
      <c r="Z201" s="152">
        <f t="shared" si="104"/>
        <v>680681.53991597902</v>
      </c>
      <c r="AA201" s="152">
        <f t="shared" si="104"/>
        <v>693296.73402951029</v>
      </c>
      <c r="AB201" s="152">
        <f t="shared" si="104"/>
        <v>706164.23202531203</v>
      </c>
      <c r="AC201" s="152">
        <f t="shared" si="104"/>
        <v>719289.07998102996</v>
      </c>
      <c r="AD201" s="152">
        <f t="shared" si="104"/>
        <v>732676.424895862</v>
      </c>
      <c r="AE201" s="152">
        <f t="shared" si="104"/>
        <v>746331.51670899102</v>
      </c>
      <c r="AF201" s="152">
        <f t="shared" si="104"/>
        <v>3962935.9526109681</v>
      </c>
      <c r="AG201" s="152">
        <f t="shared" si="104"/>
        <v>0</v>
      </c>
      <c r="AH201" s="152">
        <f t="shared" si="104"/>
        <v>0</v>
      </c>
      <c r="AI201" s="152">
        <f t="shared" si="104"/>
        <v>0</v>
      </c>
      <c r="AJ201" s="152">
        <f t="shared" si="104"/>
        <v>0</v>
      </c>
      <c r="AK201" s="152">
        <f t="shared" si="104"/>
        <v>0</v>
      </c>
      <c r="AL201" s="152">
        <f t="shared" si="104"/>
        <v>0</v>
      </c>
      <c r="AM201" s="152">
        <f t="shared" si="104"/>
        <v>0</v>
      </c>
      <c r="AN201" s="152">
        <f t="shared" si="104"/>
        <v>0</v>
      </c>
      <c r="AO201" s="152">
        <f t="shared" si="104"/>
        <v>0</v>
      </c>
      <c r="AP201" s="152">
        <f t="shared" si="104"/>
        <v>0</v>
      </c>
    </row>
    <row r="202" spans="1:42">
      <c r="A202" s="180" t="s">
        <v>426</v>
      </c>
      <c r="B202" s="152"/>
      <c r="C202" s="152"/>
      <c r="D202" s="152"/>
      <c r="E202" s="152"/>
      <c r="F202" s="152"/>
      <c r="G202" s="152"/>
      <c r="H202" s="152"/>
      <c r="I202" s="152"/>
      <c r="J202" s="152"/>
      <c r="K202" s="152"/>
      <c r="L202" s="152"/>
      <c r="M202" s="152"/>
      <c r="N202" s="152"/>
      <c r="O202" s="152"/>
      <c r="P202" s="152"/>
      <c r="Q202" s="152"/>
      <c r="R202" s="152"/>
      <c r="S202" s="152"/>
      <c r="T202" s="152"/>
      <c r="U202" s="152"/>
      <c r="V202" s="152"/>
      <c r="W202" s="152"/>
      <c r="X202" s="152"/>
      <c r="Y202" s="152"/>
      <c r="Z202" s="152"/>
      <c r="AA202" s="152"/>
      <c r="AB202" s="152"/>
      <c r="AC202" s="152"/>
      <c r="AD202" s="152"/>
      <c r="AE202" s="152"/>
      <c r="AF202" s="152"/>
      <c r="AG202" s="152"/>
      <c r="AH202" s="152"/>
      <c r="AI202" s="152"/>
      <c r="AJ202" s="152"/>
      <c r="AK202" s="152"/>
      <c r="AL202" s="152"/>
      <c r="AM202" s="152"/>
      <c r="AN202" s="152"/>
      <c r="AO202" s="152"/>
      <c r="AP202" s="152"/>
    </row>
    <row r="203" spans="1:42">
      <c r="A203" s="184" t="s">
        <v>37</v>
      </c>
      <c r="B203" s="141">
        <f>B293</f>
        <v>0</v>
      </c>
      <c r="C203" s="186">
        <f>C293</f>
        <v>-62713.966686938431</v>
      </c>
      <c r="D203" s="186">
        <f t="shared" ref="D203:AP203" si="105">D293</f>
        <v>-63153.96668693838</v>
      </c>
      <c r="E203" s="186">
        <f t="shared" si="105"/>
        <v>-63602.766686938376</v>
      </c>
      <c r="F203" s="186">
        <f t="shared" si="105"/>
        <v>-64146.817527393039</v>
      </c>
      <c r="G203" s="186">
        <f t="shared" si="105"/>
        <v>-64613.749047393081</v>
      </c>
      <c r="H203" s="186">
        <f t="shared" si="105"/>
        <v>-65090.019197793066</v>
      </c>
      <c r="I203" s="186">
        <f t="shared" si="105"/>
        <v>-65666.03048617109</v>
      </c>
      <c r="J203" s="186">
        <f t="shared" si="105"/>
        <v>-66161.541950647224</v>
      </c>
      <c r="K203" s="186">
        <f t="shared" si="105"/>
        <v>-66666.963644412899</v>
      </c>
      <c r="L203" s="186">
        <f t="shared" si="105"/>
        <v>-67276.830415196833</v>
      </c>
      <c r="M203" s="186">
        <f t="shared" si="105"/>
        <v>-67802.671145390661</v>
      </c>
      <c r="N203" s="186">
        <f t="shared" si="105"/>
        <v>-68339.028690188352</v>
      </c>
      <c r="O203" s="186">
        <f t="shared" si="105"/>
        <v>-71625.082495777111</v>
      </c>
      <c r="P203" s="186">
        <f t="shared" si="105"/>
        <v>-72183.108885384587</v>
      </c>
      <c r="Q203" s="186">
        <f t="shared" si="105"/>
        <v>-72752.295802784225</v>
      </c>
      <c r="R203" s="186">
        <f t="shared" si="105"/>
        <v>-79086.805897442769</v>
      </c>
      <c r="S203" s="186">
        <f t="shared" si="105"/>
        <v>-79678.987966305445</v>
      </c>
      <c r="T203" s="186">
        <f t="shared" si="105"/>
        <v>-80283.013676545306</v>
      </c>
      <c r="U203" s="186">
        <f t="shared" si="105"/>
        <v>-81006.983473071887</v>
      </c>
      <c r="V203" s="186">
        <f t="shared" si="105"/>
        <v>-81635.411822005408</v>
      </c>
      <c r="W203" s="186">
        <f t="shared" si="105"/>
        <v>-82276.408737917664</v>
      </c>
      <c r="X203" s="186">
        <f t="shared" si="105"/>
        <v>-83043.016196924524</v>
      </c>
      <c r="Y203" s="186">
        <f t="shared" si="105"/>
        <v>-83709.909388239554</v>
      </c>
      <c r="Z203" s="186">
        <f t="shared" si="105"/>
        <v>-84390.140443380922</v>
      </c>
      <c r="AA203" s="186">
        <f t="shared" si="105"/>
        <v>-69064.2639193715</v>
      </c>
      <c r="AB203" s="186">
        <f t="shared" si="105"/>
        <v>-69771.97630914062</v>
      </c>
      <c r="AC203" s="186">
        <f t="shared" si="105"/>
        <v>-70493.842946705146</v>
      </c>
      <c r="AD203" s="186">
        <f t="shared" si="105"/>
        <v>-71353.477044049549</v>
      </c>
      <c r="AE203" s="186">
        <f t="shared" si="105"/>
        <v>-72104.507093771666</v>
      </c>
      <c r="AF203" s="186">
        <f t="shared" si="105"/>
        <v>-72870.557744488207</v>
      </c>
      <c r="AG203" s="186">
        <f t="shared" si="105"/>
        <v>0</v>
      </c>
      <c r="AH203" s="186">
        <f t="shared" si="105"/>
        <v>0</v>
      </c>
      <c r="AI203" s="186">
        <f t="shared" si="105"/>
        <v>0</v>
      </c>
      <c r="AJ203" s="186">
        <f t="shared" si="105"/>
        <v>0</v>
      </c>
      <c r="AK203" s="186">
        <f t="shared" si="105"/>
        <v>0</v>
      </c>
      <c r="AL203" s="186">
        <f t="shared" si="105"/>
        <v>0</v>
      </c>
      <c r="AM203" s="186">
        <f t="shared" si="105"/>
        <v>0</v>
      </c>
      <c r="AN203" s="186">
        <f t="shared" si="105"/>
        <v>0</v>
      </c>
      <c r="AO203" s="186">
        <f t="shared" si="105"/>
        <v>0</v>
      </c>
      <c r="AP203" s="186">
        <f t="shared" si="105"/>
        <v>0</v>
      </c>
    </row>
    <row r="204" spans="1:42">
      <c r="A204" s="184" t="s">
        <v>36</v>
      </c>
      <c r="B204" s="203">
        <f>B310</f>
        <v>0</v>
      </c>
      <c r="C204" s="187">
        <f>C310</f>
        <v>-377138.99057645246</v>
      </c>
      <c r="D204" s="187">
        <f t="shared" ref="D204:AP204" si="106">D310</f>
        <v>-379784.99057645211</v>
      </c>
      <c r="E204" s="187">
        <f t="shared" si="106"/>
        <v>-382483.91057645209</v>
      </c>
      <c r="F204" s="187">
        <f t="shared" si="106"/>
        <v>-385755.63449427718</v>
      </c>
      <c r="G204" s="187">
        <f t="shared" si="106"/>
        <v>-388563.59086227749</v>
      </c>
      <c r="H204" s="187">
        <f t="shared" si="106"/>
        <v>-391427.70635763742</v>
      </c>
      <c r="I204" s="187">
        <f t="shared" si="106"/>
        <v>-394891.6287872924</v>
      </c>
      <c r="J204" s="187">
        <f t="shared" si="106"/>
        <v>-397871.45454866491</v>
      </c>
      <c r="K204" s="187">
        <f t="shared" si="106"/>
        <v>-400910.87682526489</v>
      </c>
      <c r="L204" s="187">
        <f t="shared" si="106"/>
        <v>-404578.39381502464</v>
      </c>
      <c r="M204" s="187">
        <f t="shared" si="106"/>
        <v>-407740.60875159921</v>
      </c>
      <c r="N204" s="187">
        <f t="shared" si="106"/>
        <v>-410966.0679869054</v>
      </c>
      <c r="O204" s="187">
        <f t="shared" si="106"/>
        <v>-430727.20064505958</v>
      </c>
      <c r="P204" s="187">
        <f t="shared" si="106"/>
        <v>-434082.96843347175</v>
      </c>
      <c r="Q204" s="187">
        <f t="shared" si="106"/>
        <v>-437505.85157765239</v>
      </c>
      <c r="R204" s="187">
        <f t="shared" si="106"/>
        <v>-475599.29182871262</v>
      </c>
      <c r="S204" s="187">
        <f t="shared" si="106"/>
        <v>-479160.45945191861</v>
      </c>
      <c r="T204" s="187">
        <f t="shared" si="106"/>
        <v>-482792.85042758833</v>
      </c>
      <c r="U204" s="187">
        <f t="shared" si="106"/>
        <v>-487146.54152215499</v>
      </c>
      <c r="V204" s="187">
        <f t="shared" si="106"/>
        <v>-490925.68109324155</v>
      </c>
      <c r="W204" s="187">
        <f t="shared" si="106"/>
        <v>-494780.40345575026</v>
      </c>
      <c r="X204" s="187">
        <f t="shared" si="106"/>
        <v>-499390.50194786879</v>
      </c>
      <c r="Y204" s="187">
        <f t="shared" si="106"/>
        <v>-503400.95509382238</v>
      </c>
      <c r="Z204" s="187">
        <f t="shared" si="106"/>
        <v>-507491.61730269523</v>
      </c>
      <c r="AA204" s="187">
        <f t="shared" si="106"/>
        <v>-415327.36893331131</v>
      </c>
      <c r="AB204" s="187">
        <f t="shared" si="106"/>
        <v>-419583.29389542283</v>
      </c>
      <c r="AC204" s="187">
        <f t="shared" si="106"/>
        <v>-423924.33735677681</v>
      </c>
      <c r="AD204" s="187">
        <f t="shared" si="106"/>
        <v>-429093.86422398884</v>
      </c>
      <c r="AE204" s="187">
        <f t="shared" si="106"/>
        <v>-433610.28584118147</v>
      </c>
      <c r="AF204" s="187">
        <f t="shared" si="106"/>
        <v>-438217.03589071776</v>
      </c>
      <c r="AG204" s="187">
        <f t="shared" si="106"/>
        <v>0</v>
      </c>
      <c r="AH204" s="187">
        <f t="shared" si="106"/>
        <v>0</v>
      </c>
      <c r="AI204" s="187">
        <f t="shared" si="106"/>
        <v>0</v>
      </c>
      <c r="AJ204" s="187">
        <f t="shared" si="106"/>
        <v>0</v>
      </c>
      <c r="AK204" s="187">
        <f t="shared" si="106"/>
        <v>0</v>
      </c>
      <c r="AL204" s="187">
        <f t="shared" si="106"/>
        <v>0</v>
      </c>
      <c r="AM204" s="187">
        <f t="shared" si="106"/>
        <v>0</v>
      </c>
      <c r="AN204" s="187">
        <f t="shared" si="106"/>
        <v>0</v>
      </c>
      <c r="AO204" s="187">
        <f t="shared" si="106"/>
        <v>0</v>
      </c>
      <c r="AP204" s="187">
        <f t="shared" si="106"/>
        <v>0</v>
      </c>
    </row>
    <row r="205" spans="1:42">
      <c r="A205" s="184" t="s">
        <v>53</v>
      </c>
      <c r="B205" s="194">
        <f>SUM(B203:B204)</f>
        <v>0</v>
      </c>
      <c r="C205" s="194">
        <f>SUM(C203:C204)</f>
        <v>-439852.95726339088</v>
      </c>
      <c r="D205" s="194">
        <f>SUM(D203:D204)</f>
        <v>-442938.95726339048</v>
      </c>
      <c r="E205" s="194">
        <f t="shared" ref="E205:AP205" si="107">SUM(E203:E204)</f>
        <v>-446086.67726339045</v>
      </c>
      <c r="F205" s="194">
        <f t="shared" si="107"/>
        <v>-449902.45202167024</v>
      </c>
      <c r="G205" s="194">
        <f t="shared" si="107"/>
        <v>-453177.33990967058</v>
      </c>
      <c r="H205" s="194">
        <f t="shared" si="107"/>
        <v>-456517.72555543052</v>
      </c>
      <c r="I205" s="194">
        <f t="shared" si="107"/>
        <v>-460557.65927346348</v>
      </c>
      <c r="J205" s="194">
        <f t="shared" si="107"/>
        <v>-464032.99649931211</v>
      </c>
      <c r="K205" s="194">
        <f t="shared" si="107"/>
        <v>-467577.84046967782</v>
      </c>
      <c r="L205" s="194">
        <f t="shared" si="107"/>
        <v>-471855.22423022147</v>
      </c>
      <c r="M205" s="194">
        <f t="shared" si="107"/>
        <v>-475543.27989698987</v>
      </c>
      <c r="N205" s="194">
        <f t="shared" si="107"/>
        <v>-479305.09667709377</v>
      </c>
      <c r="O205" s="194">
        <f t="shared" si="107"/>
        <v>-502352.28314083669</v>
      </c>
      <c r="P205" s="194">
        <f t="shared" si="107"/>
        <v>-506266.07731885632</v>
      </c>
      <c r="Q205" s="194">
        <f t="shared" si="107"/>
        <v>-510258.1473804366</v>
      </c>
      <c r="R205" s="194">
        <f t="shared" si="107"/>
        <v>-554686.09772615542</v>
      </c>
      <c r="S205" s="194">
        <f t="shared" si="107"/>
        <v>-558839.44741822407</v>
      </c>
      <c r="T205" s="194">
        <f t="shared" si="107"/>
        <v>-563075.86410413368</v>
      </c>
      <c r="U205" s="194">
        <f t="shared" si="107"/>
        <v>-568153.52499522688</v>
      </c>
      <c r="V205" s="194">
        <f t="shared" si="107"/>
        <v>-572561.09291524696</v>
      </c>
      <c r="W205" s="194">
        <f t="shared" si="107"/>
        <v>-577056.81219366798</v>
      </c>
      <c r="X205" s="194">
        <f t="shared" si="107"/>
        <v>-582433.51814479334</v>
      </c>
      <c r="Y205" s="194">
        <f t="shared" si="107"/>
        <v>-587110.86448206194</v>
      </c>
      <c r="Z205" s="194">
        <f t="shared" si="107"/>
        <v>-591881.75774607621</v>
      </c>
      <c r="AA205" s="194">
        <f t="shared" si="107"/>
        <v>-484391.63285268284</v>
      </c>
      <c r="AB205" s="194">
        <f t="shared" si="107"/>
        <v>-489355.27020456345</v>
      </c>
      <c r="AC205" s="194">
        <f t="shared" si="107"/>
        <v>-494418.18030348199</v>
      </c>
      <c r="AD205" s="194">
        <f t="shared" si="107"/>
        <v>-500447.34126803838</v>
      </c>
      <c r="AE205" s="194">
        <f t="shared" si="107"/>
        <v>-505714.79293495312</v>
      </c>
      <c r="AF205" s="194">
        <f t="shared" si="107"/>
        <v>-511087.59363520599</v>
      </c>
      <c r="AG205" s="194">
        <f t="shared" si="107"/>
        <v>0</v>
      </c>
      <c r="AH205" s="194">
        <f t="shared" si="107"/>
        <v>0</v>
      </c>
      <c r="AI205" s="194">
        <f t="shared" si="107"/>
        <v>0</v>
      </c>
      <c r="AJ205" s="194">
        <f t="shared" si="107"/>
        <v>0</v>
      </c>
      <c r="AK205" s="194">
        <f t="shared" si="107"/>
        <v>0</v>
      </c>
      <c r="AL205" s="194">
        <f t="shared" si="107"/>
        <v>0</v>
      </c>
      <c r="AM205" s="194">
        <f t="shared" si="107"/>
        <v>0</v>
      </c>
      <c r="AN205" s="194">
        <f t="shared" si="107"/>
        <v>0</v>
      </c>
      <c r="AO205" s="194">
        <f t="shared" si="107"/>
        <v>0</v>
      </c>
      <c r="AP205" s="194">
        <f t="shared" si="107"/>
        <v>0</v>
      </c>
    </row>
    <row r="206" spans="1:42">
      <c r="A206" s="180" t="s">
        <v>388</v>
      </c>
      <c r="B206" s="152"/>
      <c r="C206" s="152"/>
      <c r="D206" s="152"/>
      <c r="E206" s="152"/>
      <c r="F206" s="152"/>
      <c r="G206" s="152"/>
      <c r="H206" s="152"/>
      <c r="I206" s="152"/>
      <c r="J206" s="152"/>
      <c r="K206" s="152"/>
      <c r="L206" s="152"/>
      <c r="M206" s="152"/>
      <c r="N206" s="152"/>
      <c r="O206" s="152"/>
      <c r="P206" s="152"/>
      <c r="Q206" s="152"/>
      <c r="R206" s="152"/>
      <c r="S206" s="152"/>
      <c r="T206" s="152"/>
      <c r="U206" s="152"/>
      <c r="V206" s="152"/>
      <c r="W206" s="152"/>
      <c r="X206" s="152"/>
      <c r="Y206" s="152"/>
      <c r="Z206" s="152"/>
      <c r="AA206" s="152"/>
      <c r="AB206" s="152"/>
      <c r="AC206" s="152"/>
      <c r="AD206" s="152"/>
      <c r="AE206" s="152"/>
      <c r="AF206" s="152"/>
      <c r="AG206" s="152"/>
      <c r="AH206" s="152"/>
      <c r="AI206" s="152"/>
      <c r="AJ206" s="152"/>
      <c r="AK206" s="152"/>
      <c r="AL206" s="152"/>
      <c r="AM206" s="152"/>
      <c r="AN206" s="152"/>
      <c r="AO206" s="152"/>
      <c r="AP206" s="152"/>
    </row>
    <row r="207" spans="1:42">
      <c r="A207" s="184" t="s">
        <v>37</v>
      </c>
      <c r="B207" s="141">
        <v>0</v>
      </c>
      <c r="C207" s="186">
        <f>B195*-StateTax</f>
        <v>-66374.797500000001</v>
      </c>
      <c r="D207" s="186">
        <v>0</v>
      </c>
      <c r="E207" s="186">
        <v>0</v>
      </c>
      <c r="F207" s="186">
        <v>0</v>
      </c>
      <c r="G207" s="186">
        <v>0</v>
      </c>
      <c r="H207" s="186">
        <v>0</v>
      </c>
      <c r="I207" s="186">
        <v>0</v>
      </c>
      <c r="J207" s="186">
        <v>0</v>
      </c>
      <c r="K207" s="186">
        <v>0</v>
      </c>
      <c r="L207" s="186">
        <v>0</v>
      </c>
      <c r="M207" s="186">
        <v>0</v>
      </c>
      <c r="N207" s="186">
        <v>0</v>
      </c>
      <c r="O207" s="186">
        <v>0</v>
      </c>
      <c r="P207" s="186">
        <v>0</v>
      </c>
      <c r="Q207" s="186">
        <v>0</v>
      </c>
      <c r="R207" s="186">
        <v>0</v>
      </c>
      <c r="S207" s="186">
        <v>0</v>
      </c>
      <c r="T207" s="186">
        <v>0</v>
      </c>
      <c r="U207" s="186">
        <v>0</v>
      </c>
      <c r="V207" s="186">
        <v>0</v>
      </c>
      <c r="W207" s="186">
        <v>0</v>
      </c>
      <c r="X207" s="186">
        <v>0</v>
      </c>
      <c r="Y207" s="186">
        <v>0</v>
      </c>
      <c r="Z207" s="186">
        <v>0</v>
      </c>
      <c r="AA207" s="186">
        <v>0</v>
      </c>
      <c r="AB207" s="186">
        <v>0</v>
      </c>
      <c r="AC207" s="186">
        <v>0</v>
      </c>
      <c r="AD207" s="186">
        <v>0</v>
      </c>
      <c r="AE207" s="186">
        <v>0</v>
      </c>
      <c r="AF207" s="186">
        <v>0</v>
      </c>
      <c r="AG207" s="186">
        <v>0</v>
      </c>
      <c r="AH207" s="186">
        <v>0</v>
      </c>
      <c r="AI207" s="186">
        <v>0</v>
      </c>
      <c r="AJ207" s="186">
        <v>0</v>
      </c>
      <c r="AK207" s="186">
        <v>0</v>
      </c>
      <c r="AL207" s="186">
        <v>0</v>
      </c>
      <c r="AM207" s="186">
        <v>0</v>
      </c>
      <c r="AN207" s="186">
        <v>0</v>
      </c>
      <c r="AO207" s="186">
        <v>0</v>
      </c>
      <c r="AP207" s="186">
        <v>0</v>
      </c>
    </row>
    <row r="208" spans="1:42">
      <c r="A208" s="184" t="s">
        <v>36</v>
      </c>
      <c r="B208" s="203">
        <v>0</v>
      </c>
      <c r="C208" s="187">
        <f>(B195+C207)*-FedTax</f>
        <v>-399153.89587499993</v>
      </c>
      <c r="D208" s="187">
        <v>0</v>
      </c>
      <c r="E208" s="187">
        <v>0</v>
      </c>
      <c r="F208" s="187">
        <v>0</v>
      </c>
      <c r="G208" s="187">
        <v>0</v>
      </c>
      <c r="H208" s="187">
        <v>0</v>
      </c>
      <c r="I208" s="187">
        <v>0</v>
      </c>
      <c r="J208" s="187">
        <v>0</v>
      </c>
      <c r="K208" s="187">
        <v>0</v>
      </c>
      <c r="L208" s="187">
        <v>0</v>
      </c>
      <c r="M208" s="187">
        <v>0</v>
      </c>
      <c r="N208" s="187">
        <v>0</v>
      </c>
      <c r="O208" s="187">
        <v>0</v>
      </c>
      <c r="P208" s="187">
        <v>0</v>
      </c>
      <c r="Q208" s="187">
        <v>0</v>
      </c>
      <c r="R208" s="187">
        <v>0</v>
      </c>
      <c r="S208" s="187">
        <v>0</v>
      </c>
      <c r="T208" s="187">
        <v>0</v>
      </c>
      <c r="U208" s="187">
        <v>0</v>
      </c>
      <c r="V208" s="187">
        <v>0</v>
      </c>
      <c r="W208" s="187">
        <v>0</v>
      </c>
      <c r="X208" s="187">
        <v>0</v>
      </c>
      <c r="Y208" s="187">
        <v>0</v>
      </c>
      <c r="Z208" s="187">
        <v>0</v>
      </c>
      <c r="AA208" s="187">
        <v>0</v>
      </c>
      <c r="AB208" s="187">
        <v>0</v>
      </c>
      <c r="AC208" s="187">
        <v>0</v>
      </c>
      <c r="AD208" s="187">
        <v>0</v>
      </c>
      <c r="AE208" s="187">
        <v>0</v>
      </c>
      <c r="AF208" s="187">
        <v>0</v>
      </c>
      <c r="AG208" s="187">
        <v>0</v>
      </c>
      <c r="AH208" s="187">
        <v>0</v>
      </c>
      <c r="AI208" s="187">
        <v>0</v>
      </c>
      <c r="AJ208" s="187">
        <v>0</v>
      </c>
      <c r="AK208" s="187">
        <v>0</v>
      </c>
      <c r="AL208" s="187">
        <v>0</v>
      </c>
      <c r="AM208" s="187">
        <v>0</v>
      </c>
      <c r="AN208" s="187">
        <v>0</v>
      </c>
      <c r="AO208" s="187">
        <v>0</v>
      </c>
      <c r="AP208" s="187">
        <v>0</v>
      </c>
    </row>
    <row r="209" spans="1:42">
      <c r="A209" s="184" t="s">
        <v>53</v>
      </c>
      <c r="B209" s="194">
        <f>SUM(B207:B208)</f>
        <v>0</v>
      </c>
      <c r="C209" s="194">
        <f>SUM(C207:C208)</f>
        <v>-465528.69337499992</v>
      </c>
      <c r="D209" s="194">
        <f>SUM(D207:D208)</f>
        <v>0</v>
      </c>
      <c r="E209" s="194">
        <f t="shared" ref="E209:AP209" si="108">SUM(E207:E208)</f>
        <v>0</v>
      </c>
      <c r="F209" s="194">
        <f t="shared" si="108"/>
        <v>0</v>
      </c>
      <c r="G209" s="194">
        <f t="shared" si="108"/>
        <v>0</v>
      </c>
      <c r="H209" s="194">
        <f t="shared" si="108"/>
        <v>0</v>
      </c>
      <c r="I209" s="194">
        <f t="shared" si="108"/>
        <v>0</v>
      </c>
      <c r="J209" s="194">
        <f t="shared" si="108"/>
        <v>0</v>
      </c>
      <c r="K209" s="194">
        <f t="shared" si="108"/>
        <v>0</v>
      </c>
      <c r="L209" s="194">
        <f t="shared" si="108"/>
        <v>0</v>
      </c>
      <c r="M209" s="194">
        <f t="shared" si="108"/>
        <v>0</v>
      </c>
      <c r="N209" s="194">
        <f t="shared" si="108"/>
        <v>0</v>
      </c>
      <c r="O209" s="194">
        <f t="shared" si="108"/>
        <v>0</v>
      </c>
      <c r="P209" s="194">
        <f t="shared" si="108"/>
        <v>0</v>
      </c>
      <c r="Q209" s="194">
        <f t="shared" si="108"/>
        <v>0</v>
      </c>
      <c r="R209" s="194">
        <f t="shared" si="108"/>
        <v>0</v>
      </c>
      <c r="S209" s="194">
        <f t="shared" si="108"/>
        <v>0</v>
      </c>
      <c r="T209" s="194">
        <f t="shared" si="108"/>
        <v>0</v>
      </c>
      <c r="U209" s="194">
        <f t="shared" si="108"/>
        <v>0</v>
      </c>
      <c r="V209" s="194">
        <f t="shared" si="108"/>
        <v>0</v>
      </c>
      <c r="W209" s="194">
        <f t="shared" si="108"/>
        <v>0</v>
      </c>
      <c r="X209" s="194">
        <f t="shared" si="108"/>
        <v>0</v>
      </c>
      <c r="Y209" s="194">
        <f t="shared" si="108"/>
        <v>0</v>
      </c>
      <c r="Z209" s="194">
        <f t="shared" si="108"/>
        <v>0</v>
      </c>
      <c r="AA209" s="194">
        <f t="shared" si="108"/>
        <v>0</v>
      </c>
      <c r="AB209" s="194">
        <f t="shared" si="108"/>
        <v>0</v>
      </c>
      <c r="AC209" s="194">
        <f t="shared" si="108"/>
        <v>0</v>
      </c>
      <c r="AD209" s="194">
        <f t="shared" si="108"/>
        <v>0</v>
      </c>
      <c r="AE209" s="194">
        <f t="shared" si="108"/>
        <v>0</v>
      </c>
      <c r="AF209" s="194">
        <f t="shared" si="108"/>
        <v>0</v>
      </c>
      <c r="AG209" s="194">
        <f t="shared" si="108"/>
        <v>0</v>
      </c>
      <c r="AH209" s="194">
        <f t="shared" si="108"/>
        <v>0</v>
      </c>
      <c r="AI209" s="194">
        <f t="shared" si="108"/>
        <v>0</v>
      </c>
      <c r="AJ209" s="194">
        <f t="shared" si="108"/>
        <v>0</v>
      </c>
      <c r="AK209" s="194">
        <f t="shared" si="108"/>
        <v>0</v>
      </c>
      <c r="AL209" s="194">
        <f t="shared" si="108"/>
        <v>0</v>
      </c>
      <c r="AM209" s="194">
        <f t="shared" si="108"/>
        <v>0</v>
      </c>
      <c r="AN209" s="194">
        <f t="shared" si="108"/>
        <v>0</v>
      </c>
      <c r="AO209" s="194">
        <f t="shared" si="108"/>
        <v>0</v>
      </c>
      <c r="AP209" s="194">
        <f t="shared" si="108"/>
        <v>0</v>
      </c>
    </row>
    <row r="210" spans="1:42">
      <c r="A210" s="180" t="s">
        <v>53</v>
      </c>
      <c r="B210" s="152">
        <f>B201+B205+B209</f>
        <v>-1995861.7422525855</v>
      </c>
      <c r="C210" s="152">
        <f t="shared" ref="C210:AP210" si="109">C201+C205+C209</f>
        <v>-455459.81639897055</v>
      </c>
      <c r="D210" s="152">
        <f t="shared" si="109"/>
        <v>14982.876976029773</v>
      </c>
      <c r="E210" s="152">
        <f t="shared" si="109"/>
        <v>19995.156976029801</v>
      </c>
      <c r="F210" s="152">
        <f t="shared" si="109"/>
        <v>24502.582217749965</v>
      </c>
      <c r="G210" s="152">
        <f t="shared" si="109"/>
        <v>29717.358329749666</v>
      </c>
      <c r="H210" s="152">
        <f t="shared" si="109"/>
        <v>35036.429963989765</v>
      </c>
      <c r="I210" s="152">
        <f t="shared" si="109"/>
        <v>39829.142671556794</v>
      </c>
      <c r="J210" s="152">
        <f t="shared" si="109"/>
        <v>45363.104799820052</v>
      </c>
      <c r="K210" s="152">
        <f t="shared" si="109"/>
        <v>51007.746170648665</v>
      </c>
      <c r="L210" s="152">
        <f t="shared" si="109"/>
        <v>56103.637458123034</v>
      </c>
      <c r="M210" s="152">
        <f t="shared" si="109"/>
        <v>61976.322340333194</v>
      </c>
      <c r="N210" s="152">
        <f t="shared" si="109"/>
        <v>67966.460920187295</v>
      </c>
      <c r="O210" s="152">
        <f t="shared" si="109"/>
        <v>54866.268923601659</v>
      </c>
      <c r="P210" s="152">
        <f t="shared" si="109"/>
        <v>61098.409102082427</v>
      </c>
      <c r="Q210" s="152">
        <f t="shared" si="109"/>
        <v>67455.192084132519</v>
      </c>
      <c r="R210" s="152">
        <f t="shared" si="109"/>
        <v>33583.071842916543</v>
      </c>
      <c r="S210" s="152">
        <f t="shared" si="109"/>
        <v>40196.668857441051</v>
      </c>
      <c r="T210" s="152">
        <f t="shared" si="109"/>
        <v>46942.537812256371</v>
      </c>
      <c r="U210" s="152">
        <f t="shared" si="109"/>
        <v>53066.808274702402</v>
      </c>
      <c r="V210" s="152">
        <f t="shared" si="109"/>
        <v>60085.210335292504</v>
      </c>
      <c r="W210" s="152">
        <f t="shared" si="109"/>
        <v>67243.980437093996</v>
      </c>
      <c r="X210" s="152">
        <f t="shared" si="109"/>
        <v>73754.853653795435</v>
      </c>
      <c r="Y210" s="152">
        <f t="shared" si="109"/>
        <v>81202.838067710167</v>
      </c>
      <c r="Z210" s="152">
        <f t="shared" si="109"/>
        <v>88799.782169902814</v>
      </c>
      <c r="AA210" s="152">
        <f t="shared" si="109"/>
        <v>208905.10117682745</v>
      </c>
      <c r="AB210" s="152">
        <f t="shared" si="109"/>
        <v>216808.96182074858</v>
      </c>
      <c r="AC210" s="152">
        <f t="shared" si="109"/>
        <v>224870.89967754798</v>
      </c>
      <c r="AD210" s="152">
        <f t="shared" si="109"/>
        <v>232229.08362782362</v>
      </c>
      <c r="AE210" s="152">
        <f t="shared" si="109"/>
        <v>240616.72377403791</v>
      </c>
      <c r="AF210" s="152">
        <f t="shared" si="109"/>
        <v>3451848.358975762</v>
      </c>
      <c r="AG210" s="152">
        <f t="shared" si="109"/>
        <v>0</v>
      </c>
      <c r="AH210" s="152">
        <f t="shared" si="109"/>
        <v>0</v>
      </c>
      <c r="AI210" s="152">
        <f t="shared" si="109"/>
        <v>0</v>
      </c>
      <c r="AJ210" s="152">
        <f t="shared" si="109"/>
        <v>0</v>
      </c>
      <c r="AK210" s="152">
        <f t="shared" si="109"/>
        <v>0</v>
      </c>
      <c r="AL210" s="152">
        <f t="shared" si="109"/>
        <v>0</v>
      </c>
      <c r="AM210" s="152">
        <f t="shared" si="109"/>
        <v>0</v>
      </c>
      <c r="AN210" s="152">
        <f t="shared" si="109"/>
        <v>0</v>
      </c>
      <c r="AO210" s="152">
        <f t="shared" si="109"/>
        <v>0</v>
      </c>
      <c r="AP210" s="152">
        <f t="shared" si="109"/>
        <v>0</v>
      </c>
    </row>
    <row r="211" spans="1:42">
      <c r="A211" s="184"/>
      <c r="B211" s="152"/>
      <c r="C211" s="152"/>
      <c r="D211" s="152"/>
      <c r="E211" s="152"/>
      <c r="F211" s="152"/>
      <c r="G211" s="152"/>
      <c r="H211" s="152"/>
      <c r="I211" s="152"/>
      <c r="J211" s="152"/>
      <c r="K211" s="152"/>
      <c r="L211" s="152"/>
      <c r="M211" s="152"/>
      <c r="N211" s="152"/>
      <c r="O211" s="152"/>
      <c r="P211" s="152"/>
      <c r="Q211" s="152"/>
      <c r="R211" s="152"/>
      <c r="S211" s="152"/>
      <c r="T211" s="152"/>
      <c r="U211" s="152"/>
      <c r="V211" s="152"/>
      <c r="W211" s="152"/>
      <c r="X211" s="152"/>
      <c r="Y211" s="152"/>
      <c r="Z211" s="152"/>
      <c r="AA211" s="152"/>
      <c r="AB211" s="152"/>
      <c r="AC211" s="152"/>
      <c r="AD211" s="152"/>
      <c r="AE211" s="152"/>
      <c r="AF211" s="152"/>
      <c r="AG211" s="152"/>
      <c r="AH211" s="152"/>
      <c r="AI211" s="152"/>
      <c r="AJ211" s="152"/>
      <c r="AK211" s="152"/>
      <c r="AL211" s="152"/>
      <c r="AM211" s="152"/>
      <c r="AN211" s="152"/>
      <c r="AO211" s="152"/>
      <c r="AP211" s="152"/>
    </row>
    <row r="212" spans="1:42" s="118" customFormat="1">
      <c r="A212" s="180" t="s">
        <v>401</v>
      </c>
      <c r="B212" s="268" t="str">
        <f>IF(ISERROR(IRR($B210:B210)),"N/A",ROUND(IRR($B210:B210),4))</f>
        <v>N/A</v>
      </c>
      <c r="C212" s="268" t="str">
        <f>IF(ISERROR(IRR($B210:C210)),"N/A",ROUND(IRR($B210:C210),4))</f>
        <v>N/A</v>
      </c>
      <c r="D212" s="268" t="str">
        <f>IF(ISERROR(IRR($B210:D210)),"N/A",ROUND(IRR($B210:D210),4))</f>
        <v>N/A</v>
      </c>
      <c r="E212" s="268" t="str">
        <f>IF(ISERROR(IRR($B210:E210)),"N/A",ROUND(IRR($B210:E210),4))</f>
        <v>N/A</v>
      </c>
      <c r="F212" s="268" t="str">
        <f>IF(ISERROR(IRR($B210:F210)),"N/A",ROUND(IRR($B210:F210),4))</f>
        <v>N/A</v>
      </c>
      <c r="G212" s="268" t="str">
        <f>IF(ISERROR(IRR($B210:G210)),"N/A",ROUND(IRR($B210:G210),4))</f>
        <v>N/A</v>
      </c>
      <c r="H212" s="268" t="str">
        <f>IF(ISERROR(IRR($B210:H210)),"N/A",ROUND(IRR($B210:H210),4))</f>
        <v>N/A</v>
      </c>
      <c r="I212" s="268" t="str">
        <f>IF(ISERROR(IRR($B210:I210)),"N/A",ROUND(IRR($B210:I210),4))</f>
        <v>N/A</v>
      </c>
      <c r="J212" s="268" t="str">
        <f>IF(ISERROR(IRR($B210:J210)),"N/A",ROUND(IRR($B210:J210),4))</f>
        <v>N/A</v>
      </c>
      <c r="K212" s="268" t="str">
        <f>IF(ISERROR(IRR($B210:K210)),"N/A",ROUND(IRR($B210:K210),4))</f>
        <v>N/A</v>
      </c>
      <c r="L212" s="268" t="str">
        <f>IF(ISERROR(IRR($B210:L210)),"N/A",ROUND(IRR($B210:L210),4))</f>
        <v>N/A</v>
      </c>
      <c r="M212" s="268" t="str">
        <f>IF(ISERROR(IRR($B210:M210)),"N/A",ROUND(IRR($B210:M210),4))</f>
        <v>N/A</v>
      </c>
      <c r="N212" s="268" t="str">
        <f>IF(ISERROR(IRR($B210:N210)),"N/A",ROUND(IRR($B210:N210),4))</f>
        <v>N/A</v>
      </c>
      <c r="O212" s="268" t="str">
        <f>IF(ISERROR(IRR($B210:O210)),"N/A",ROUND(IRR($B210:O210),4))</f>
        <v>N/A</v>
      </c>
      <c r="P212" s="268" t="str">
        <f>IF(ISERROR(IRR($B210:P210)),"N/A",ROUND(IRR($B210:P210),4))</f>
        <v>N/A</v>
      </c>
      <c r="Q212" s="268" t="str">
        <f>IF(ISERROR(IRR($B210:Q210)),"N/A",ROUND(IRR($B210:Q210),4))</f>
        <v>N/A</v>
      </c>
      <c r="R212" s="268">
        <f>IF(ISERROR(IRR($B210:R210)),"N/A",ROUND(IRR($B210:R210),4))</f>
        <v>-0.1132</v>
      </c>
      <c r="S212" s="268" t="str">
        <f>IF(ISERROR(IRR($B210:S210)),"N/A",ROUND(IRR($B210:S210),4))</f>
        <v>N/A</v>
      </c>
      <c r="T212" s="268" t="str">
        <f>IF(ISERROR(IRR($B210:T210)),"N/A",ROUND(IRR($B210:T210),4))</f>
        <v>N/A</v>
      </c>
      <c r="U212" s="268" t="str">
        <f>IF(ISERROR(IRR($B210:U210)),"N/A",ROUND(IRR($B210:U210),4))</f>
        <v>N/A</v>
      </c>
      <c r="V212" s="268" t="str">
        <f>IF(ISERROR(IRR($B210:V210)),"N/A",ROUND(IRR($B210:V210),4))</f>
        <v>N/A</v>
      </c>
      <c r="W212" s="268" t="str">
        <f>IF(ISERROR(IRR($B210:W210)),"N/A",ROUND(IRR($B210:W210),4))</f>
        <v>N/A</v>
      </c>
      <c r="X212" s="268" t="str">
        <f>IF(ISERROR(IRR($B210:X210)),"N/A",ROUND(IRR($B210:X210),4))</f>
        <v>N/A</v>
      </c>
      <c r="Y212" s="268" t="str">
        <f>IF(ISERROR(IRR($B210:Y210)),"N/A",ROUND(IRR($B210:Y210),4))</f>
        <v>N/A</v>
      </c>
      <c r="Z212" s="268" t="str">
        <f>IF(ISERROR(IRR($B210:Z210)),"N/A",ROUND(IRR($B210:Z210),4))</f>
        <v>N/A</v>
      </c>
      <c r="AA212" s="268" t="str">
        <f>IF(ISERROR(IRR($B210:AA210)),"N/A",ROUND(IRR($B210:AA210),4))</f>
        <v>N/A</v>
      </c>
      <c r="AB212" s="268" t="str">
        <f>IF(ISERROR(IRR($B210:AB210)),"N/A",ROUND(IRR($B210:AB210),4))</f>
        <v>N/A</v>
      </c>
      <c r="AC212" s="268" t="str">
        <f>IF(ISERROR(IRR($B210:AC210)),"N/A",ROUND(IRR($B210:AC210),4))</f>
        <v>N/A</v>
      </c>
      <c r="AD212" s="268">
        <f>IF(ISERROR(IRR($B210:AD210)),"N/A",ROUND(IRR($B210:AD210),4))</f>
        <v>-8.6999999999999994E-3</v>
      </c>
      <c r="AE212" s="268">
        <f>IF(ISERROR(IRR($B210:AE210)),"N/A",ROUND(IRR($B210:AE210),4))</f>
        <v>-3.0999999999999999E-3</v>
      </c>
      <c r="AF212" s="268">
        <f>IF(ISERROR(IRR($B210:AF210)),"N/A",ROUND(IRR($B210:AF210),4))</f>
        <v>3.4200000000000001E-2</v>
      </c>
      <c r="AG212" s="268">
        <f>IF(ISERROR(IRR($B210:AG210)),"N/A",ROUND(IRR($B210:AG210),4))</f>
        <v>3.4200000000000001E-2</v>
      </c>
      <c r="AH212" s="268">
        <f>IF(ISERROR(IRR($B210:AH210)),"N/A",ROUND(IRR($B210:AH210),4))</f>
        <v>3.4200000000000001E-2</v>
      </c>
      <c r="AI212" s="268">
        <f>IF(ISERROR(IRR($B210:AI210)),"N/A",ROUND(IRR($B210:AI210),4))</f>
        <v>3.4200000000000001E-2</v>
      </c>
      <c r="AJ212" s="268">
        <f>IF(ISERROR(IRR($B210:AJ210)),"N/A",ROUND(IRR($B210:AJ210),4))</f>
        <v>3.4200000000000001E-2</v>
      </c>
      <c r="AK212" s="268">
        <f>IF(ISERROR(IRR($B210:AK210)),"N/A",ROUND(IRR($B210:AK210),4))</f>
        <v>3.4200000000000001E-2</v>
      </c>
      <c r="AL212" s="268">
        <f>IF(ISERROR(IRR($B210:AL210)),"N/A",ROUND(IRR($B210:AL210),4))</f>
        <v>3.4200000000000001E-2</v>
      </c>
      <c r="AM212" s="268">
        <f>IF(ISERROR(IRR($B210:AM210)),"N/A",ROUND(IRR($B210:AM210),4))</f>
        <v>3.4200000000000001E-2</v>
      </c>
      <c r="AN212" s="268">
        <f>IF(ISERROR(IRR($B210:AN210)),"N/A",ROUND(IRR($B210:AN210),4))</f>
        <v>3.4200000000000001E-2</v>
      </c>
      <c r="AO212" s="268">
        <f>IF(ISERROR(IRR($B210:AO210)),"N/A",ROUND(IRR($B210:AO210),4))</f>
        <v>3.4200000000000001E-2</v>
      </c>
      <c r="AP212" s="268">
        <f>IF(ISERROR(IRR($B210:AP210)),"N/A",ROUND(IRR($B210:AP210),4))</f>
        <v>3.4200000000000001E-2</v>
      </c>
    </row>
    <row r="213" spans="1:42" s="118" customFormat="1">
      <c r="A213" s="180" t="s">
        <v>402</v>
      </c>
      <c r="B213" s="269">
        <f>B210</f>
        <v>-1995861.7422525855</v>
      </c>
      <c r="C213" s="269">
        <f>NPV(DiscountRate,$C210:C210)+$B210</f>
        <v>-2417583.7944738544</v>
      </c>
      <c r="D213" s="269">
        <f>NPV(DiscountRate,$C210:D210)+$B210</f>
        <v>-2404738.3924024985</v>
      </c>
      <c r="E213" s="269">
        <f>NPV(DiscountRate,$C210:E210)+$B210</f>
        <v>-2388865.5921306666</v>
      </c>
      <c r="F213" s="269">
        <f>NPV(DiscountRate,$C210:F210)+$B210</f>
        <v>-2370855.4627300208</v>
      </c>
      <c r="G213" s="269">
        <f>NPV(DiscountRate,$C210:G210)+$B210</f>
        <v>-2350630.3279905622</v>
      </c>
      <c r="H213" s="269">
        <f>NPV(DiscountRate,$C210:H210)+$B210</f>
        <v>-2328551.4339928385</v>
      </c>
      <c r="I213" s="269">
        <f>NPV(DiscountRate,$C210:I210)+$B210</f>
        <v>-2305311.51179246</v>
      </c>
      <c r="J213" s="269">
        <f>NPV(DiscountRate,$C210:J210)+$B210</f>
        <v>-2280803.2377647152</v>
      </c>
      <c r="K213" s="269">
        <f>NPV(DiscountRate,$C210:K210)+$B210</f>
        <v>-2255286.6654271446</v>
      </c>
      <c r="L213" s="269">
        <f>NPV(DiscountRate,$C210:L210)+$B210</f>
        <v>-2229299.825898678</v>
      </c>
      <c r="M213" s="269">
        <f>NPV(DiscountRate,$C210:M210)+$B210</f>
        <v>-2202719.2435621228</v>
      </c>
      <c r="N213" s="269">
        <f>NPV(DiscountRate,$C210:N210)+$B210</f>
        <v>-2175728.8268042412</v>
      </c>
      <c r="O213" s="269">
        <f>NPV(DiscountRate,$C210:O210)+$B210</f>
        <v>-2155554.6135865254</v>
      </c>
      <c r="P213" s="269">
        <f>NPV(DiscountRate,$C210:P210)+$B210</f>
        <v>-2134752.9855979979</v>
      </c>
      <c r="Q213" s="269">
        <f>NPV(DiscountRate,$C210:Q210)+$B210</f>
        <v>-2113488.2958365944</v>
      </c>
      <c r="R213" s="269">
        <f>NPV(DiscountRate,$C210:R210)+$B210</f>
        <v>-2103685.7172942306</v>
      </c>
      <c r="S213" s="269">
        <f>NPV(DiscountRate,$C210:S210)+$B210</f>
        <v>-2092821.8057505328</v>
      </c>
      <c r="T213" s="269">
        <f>NPV(DiscountRate,$C210:T210)+$B210</f>
        <v>-2081074.4812387701</v>
      </c>
      <c r="U213" s="269">
        <f>NPV(DiscountRate,$C210:U210)+$B210</f>
        <v>-2068778.2615637386</v>
      </c>
      <c r="V213" s="269">
        <f>NPV(DiscountRate,$C210:V210)+$B210</f>
        <v>-2055887.0873948059</v>
      </c>
      <c r="W213" s="269">
        <f>NPV(DiscountRate,$C210:W210)+$B210</f>
        <v>-2042528.6841897208</v>
      </c>
      <c r="X213" s="269">
        <f>NPV(DiscountRate,$C210:X210)+$B210</f>
        <v>-2028962.1790124485</v>
      </c>
      <c r="Y213" s="269">
        <f>NPV(DiscountRate,$C210:Y210)+$B210</f>
        <v>-2015132.0945617573</v>
      </c>
      <c r="Z213" s="269">
        <f>NPV(DiscountRate,$C210:Z210)+$B210</f>
        <v>-2001128.4277606513</v>
      </c>
      <c r="AA213" s="269">
        <f>NPV(DiscountRate,$C210:AA210)+$B210</f>
        <v>-1970624.5425611907</v>
      </c>
      <c r="AB213" s="269">
        <f>NPV(DiscountRate,$C210:AB210)+$B210</f>
        <v>-1941311.5885135892</v>
      </c>
      <c r="AC213" s="269">
        <f>NPV(DiscountRate,$C210:AC210)+$B210</f>
        <v>-1913160.7160454844</v>
      </c>
      <c r="AD213" s="269">
        <f>NPV(DiscountRate,$C210:AD210)+$B210</f>
        <v>-1886242.1789106627</v>
      </c>
      <c r="AE213" s="269">
        <f>NPV(DiscountRate,$C210:AE210)+$B210</f>
        <v>-1860417.3828810835</v>
      </c>
      <c r="AF213" s="269">
        <f>NPV(DiscountRate,$C210:AF210)+$B210</f>
        <v>-1517381.9005996641</v>
      </c>
      <c r="AG213" s="269">
        <f>NPV(DiscountRate,$C210:AG210)+$B210</f>
        <v>-1517381.9005996641</v>
      </c>
      <c r="AH213" s="269">
        <f>NPV(DiscountRate,$C210:AH210)+$B210</f>
        <v>-1517381.9005996641</v>
      </c>
      <c r="AI213" s="269">
        <f>NPV(DiscountRate,$C210:AI210)+$B210</f>
        <v>-1517381.9005996641</v>
      </c>
      <c r="AJ213" s="269">
        <f>NPV(DiscountRate,$C210:AJ210)+$B210</f>
        <v>-1517381.9005996641</v>
      </c>
      <c r="AK213" s="269">
        <f>NPV(DiscountRate,$C210:AK210)+$B210</f>
        <v>-1517381.9005996641</v>
      </c>
      <c r="AL213" s="269">
        <f>NPV(DiscountRate,$C210:AL210)+$B210</f>
        <v>-1517381.9005996641</v>
      </c>
      <c r="AM213" s="269">
        <f>NPV(DiscountRate,$C210:AM210)+$B210</f>
        <v>-1517381.9005996641</v>
      </c>
      <c r="AN213" s="269">
        <f>NPV(DiscountRate,$C210:AN210)+$B210</f>
        <v>-1517381.9005996641</v>
      </c>
      <c r="AO213" s="269">
        <f>NPV(DiscountRate,$C210:AO210)+$B210</f>
        <v>-1517381.9005996641</v>
      </c>
      <c r="AP213" s="269">
        <f>NPV(DiscountRate,$C210:AP210)+$B210</f>
        <v>-1517381.9005996641</v>
      </c>
    </row>
    <row r="214" spans="1:42" s="118" customFormat="1">
      <c r="A214" s="257"/>
      <c r="B214" s="198"/>
      <c r="C214" s="198"/>
      <c r="D214" s="198"/>
      <c r="E214" s="198"/>
      <c r="F214" s="198"/>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41"/>
      <c r="AM214" s="141"/>
      <c r="AN214" s="141"/>
      <c r="AO214" s="141"/>
      <c r="AP214" s="141"/>
    </row>
    <row r="215" spans="1:42">
      <c r="A215" s="180" t="s">
        <v>238</v>
      </c>
      <c r="B215" s="265">
        <f>IF(ISERROR(IRR(B210:AP210)),"N/A",IRR(B210:AP210))</f>
        <v>3.4213445331498019E-2</v>
      </c>
      <c r="C215" s="152"/>
      <c r="D215" s="152"/>
      <c r="E215" s="152"/>
      <c r="F215" s="152"/>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180" t="s">
        <v>217</v>
      </c>
      <c r="B216" s="196">
        <f>NPV(DiscountRate,$C210:$AP210)+B210</f>
        <v>-1517381.9005996641</v>
      </c>
      <c r="C216" s="152"/>
      <c r="D216" s="152"/>
      <c r="E216" s="152"/>
      <c r="F216" s="152"/>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198"/>
      <c r="AK217" s="198"/>
      <c r="AL217" s="198"/>
      <c r="AM217" s="198"/>
      <c r="AN217" s="186"/>
      <c r="AO217" s="186"/>
      <c r="AP217" s="186"/>
    </row>
    <row r="218" spans="1:42" s="118" customFormat="1">
      <c r="A218" s="179" t="s">
        <v>422</v>
      </c>
      <c r="B218" s="42"/>
    </row>
    <row r="219" spans="1:42" s="118" customFormat="1">
      <c r="A219" s="195" t="s">
        <v>418</v>
      </c>
      <c r="B219" s="42"/>
    </row>
    <row r="220" spans="1:42" s="118" customFormat="1">
      <c r="A220" s="42" t="s">
        <v>419</v>
      </c>
      <c r="C220" s="198">
        <f t="shared" ref="C220:AP220" si="110">C76</f>
        <v>4890302.1295758607</v>
      </c>
      <c r="D220" s="198">
        <f t="shared" si="110"/>
        <v>4933327.5188328158</v>
      </c>
      <c r="E220" s="198">
        <f t="shared" si="110"/>
        <v>4976189.6015447509</v>
      </c>
      <c r="F220" s="198">
        <f t="shared" si="110"/>
        <v>5015511.0702105928</v>
      </c>
      <c r="G220" s="198">
        <f t="shared" si="110"/>
        <v>5058056.5190571873</v>
      </c>
      <c r="H220" s="198">
        <f t="shared" si="110"/>
        <v>5100420.9247209392</v>
      </c>
      <c r="I220" s="198">
        <f t="shared" si="110"/>
        <v>5139072.5724151758</v>
      </c>
      <c r="J220" s="198">
        <f t="shared" si="110"/>
        <v>5181084.912123342</v>
      </c>
      <c r="K220" s="198">
        <f t="shared" si="110"/>
        <v>5222897.2420313396</v>
      </c>
      <c r="L220" s="198">
        <f t="shared" si="110"/>
        <v>5260816.3791882154</v>
      </c>
      <c r="M220" s="198">
        <f t="shared" si="110"/>
        <v>5302238.7293956364</v>
      </c>
      <c r="N220" s="198">
        <f t="shared" si="110"/>
        <v>5343440.7931166962</v>
      </c>
      <c r="O220" s="198">
        <f t="shared" si="110"/>
        <v>5281019.390732849</v>
      </c>
      <c r="P220" s="198">
        <f t="shared" si="110"/>
        <v>5322631.0195524516</v>
      </c>
      <c r="Q220" s="198">
        <f t="shared" si="110"/>
        <v>5364000.6898545725</v>
      </c>
      <c r="R220" s="198">
        <f t="shared" si="110"/>
        <v>5190569.5723522557</v>
      </c>
      <c r="S220" s="198">
        <f t="shared" si="110"/>
        <v>5233263.3071025787</v>
      </c>
      <c r="T220" s="198">
        <f t="shared" si="110"/>
        <v>5275691.9251586702</v>
      </c>
      <c r="U220" s="198">
        <f t="shared" si="110"/>
        <v>5313632.168904366</v>
      </c>
      <c r="V220" s="198">
        <f t="shared" si="110"/>
        <v>5355540.495705178</v>
      </c>
      <c r="W220" s="198">
        <f t="shared" si="110"/>
        <v>5397158.9648041232</v>
      </c>
      <c r="X220" s="198">
        <f t="shared" si="110"/>
        <v>5419740.3031346705</v>
      </c>
      <c r="Y220" s="198">
        <f t="shared" si="110"/>
        <v>5446457.9822864523</v>
      </c>
      <c r="Z220" s="198">
        <f t="shared" si="110"/>
        <v>5472859.3769442905</v>
      </c>
      <c r="AA220" s="198">
        <f t="shared" si="110"/>
        <v>5726121.6188261108</v>
      </c>
      <c r="AB220" s="198">
        <f t="shared" si="110"/>
        <v>5746765.4527849043</v>
      </c>
      <c r="AC220" s="198">
        <f t="shared" si="110"/>
        <v>5767064.7800426027</v>
      </c>
      <c r="AD220" s="198">
        <f t="shared" si="110"/>
        <v>5782190.1666202499</v>
      </c>
      <c r="AE220" s="198">
        <f t="shared" si="110"/>
        <v>5801810.0259299027</v>
      </c>
      <c r="AF220" s="198">
        <f t="shared" si="110"/>
        <v>5821055.2441727538</v>
      </c>
      <c r="AG220" s="198">
        <f t="shared" si="110"/>
        <v>0</v>
      </c>
      <c r="AH220" s="198">
        <f t="shared" si="110"/>
        <v>0</v>
      </c>
      <c r="AI220" s="198">
        <f t="shared" si="110"/>
        <v>0</v>
      </c>
      <c r="AJ220" s="198">
        <f t="shared" si="110"/>
        <v>0</v>
      </c>
      <c r="AK220" s="198">
        <f t="shared" si="110"/>
        <v>0</v>
      </c>
      <c r="AL220" s="198">
        <f t="shared" si="110"/>
        <v>0</v>
      </c>
      <c r="AM220" s="198">
        <f t="shared" si="110"/>
        <v>0</v>
      </c>
      <c r="AN220" s="198">
        <f t="shared" si="110"/>
        <v>0</v>
      </c>
      <c r="AO220" s="198">
        <f t="shared" si="110"/>
        <v>0</v>
      </c>
      <c r="AP220" s="198">
        <f t="shared" si="110"/>
        <v>0</v>
      </c>
    </row>
    <row r="221" spans="1:42" s="118" customFormat="1">
      <c r="A221" s="42" t="s">
        <v>441</v>
      </c>
      <c r="C221" s="198">
        <f t="shared" ref="C221:AP221" si="111">C19</f>
        <v>0</v>
      </c>
      <c r="D221" s="198">
        <f t="shared" si="111"/>
        <v>0</v>
      </c>
      <c r="E221" s="198">
        <f t="shared" si="111"/>
        <v>0</v>
      </c>
      <c r="F221" s="198">
        <f t="shared" si="111"/>
        <v>0</v>
      </c>
      <c r="G221" s="198">
        <f t="shared" si="111"/>
        <v>0</v>
      </c>
      <c r="H221" s="198">
        <f t="shared" si="111"/>
        <v>0</v>
      </c>
      <c r="I221" s="198">
        <f t="shared" si="111"/>
        <v>0</v>
      </c>
      <c r="J221" s="198">
        <f t="shared" si="111"/>
        <v>0</v>
      </c>
      <c r="K221" s="198">
        <f t="shared" si="111"/>
        <v>0</v>
      </c>
      <c r="L221" s="198">
        <f t="shared" si="111"/>
        <v>0</v>
      </c>
      <c r="M221" s="198">
        <f t="shared" si="111"/>
        <v>0</v>
      </c>
      <c r="N221" s="198">
        <f t="shared" si="111"/>
        <v>0</v>
      </c>
      <c r="O221" s="198">
        <f t="shared" si="111"/>
        <v>0</v>
      </c>
      <c r="P221" s="198">
        <f t="shared" si="111"/>
        <v>0</v>
      </c>
      <c r="Q221" s="198">
        <f t="shared" si="111"/>
        <v>0</v>
      </c>
      <c r="R221" s="198">
        <f t="shared" si="111"/>
        <v>0</v>
      </c>
      <c r="S221" s="198">
        <f t="shared" si="111"/>
        <v>0</v>
      </c>
      <c r="T221" s="198">
        <f t="shared" si="111"/>
        <v>0</v>
      </c>
      <c r="U221" s="198">
        <f t="shared" si="111"/>
        <v>0</v>
      </c>
      <c r="V221" s="198">
        <f t="shared" si="111"/>
        <v>0</v>
      </c>
      <c r="W221" s="198">
        <f t="shared" si="111"/>
        <v>0</v>
      </c>
      <c r="X221" s="198">
        <f t="shared" si="111"/>
        <v>0</v>
      </c>
      <c r="Y221" s="198">
        <f t="shared" si="111"/>
        <v>0</v>
      </c>
      <c r="Z221" s="198">
        <f t="shared" si="111"/>
        <v>0</v>
      </c>
      <c r="AA221" s="198">
        <f t="shared" si="111"/>
        <v>0</v>
      </c>
      <c r="AB221" s="198">
        <f t="shared" si="111"/>
        <v>0</v>
      </c>
      <c r="AC221" s="198">
        <f t="shared" si="111"/>
        <v>0</v>
      </c>
      <c r="AD221" s="198">
        <f t="shared" si="111"/>
        <v>0</v>
      </c>
      <c r="AE221" s="198">
        <f t="shared" si="111"/>
        <v>0</v>
      </c>
      <c r="AF221" s="198">
        <f t="shared" si="111"/>
        <v>4022715</v>
      </c>
      <c r="AG221" s="198">
        <f t="shared" si="111"/>
        <v>0</v>
      </c>
      <c r="AH221" s="198">
        <f t="shared" si="111"/>
        <v>0</v>
      </c>
      <c r="AI221" s="198">
        <f t="shared" si="111"/>
        <v>0</v>
      </c>
      <c r="AJ221" s="198">
        <f t="shared" si="111"/>
        <v>0</v>
      </c>
      <c r="AK221" s="198">
        <f t="shared" si="111"/>
        <v>0</v>
      </c>
      <c r="AL221" s="198">
        <f t="shared" si="111"/>
        <v>0</v>
      </c>
      <c r="AM221" s="198">
        <f t="shared" si="111"/>
        <v>0</v>
      </c>
      <c r="AN221" s="198">
        <f t="shared" si="111"/>
        <v>0</v>
      </c>
      <c r="AO221" s="198">
        <f t="shared" si="111"/>
        <v>0</v>
      </c>
      <c r="AP221" s="198">
        <f t="shared" si="111"/>
        <v>0</v>
      </c>
    </row>
    <row r="222" spans="1:42" s="42" customFormat="1">
      <c r="A222" s="42" t="s">
        <v>120</v>
      </c>
      <c r="B222" s="118"/>
      <c r="C222" s="203">
        <f t="shared" ref="C222:AP222" si="112">IF(C$2&lt;=AnalysisPeriod,-C363-C393-C419-C445,0)</f>
        <v>-9783150.7414490189</v>
      </c>
      <c r="D222" s="203">
        <f t="shared" si="112"/>
        <v>-12441619.574093286</v>
      </c>
      <c r="E222" s="203">
        <f t="shared" si="112"/>
        <v>-7535808.7654620372</v>
      </c>
      <c r="F222" s="203">
        <f t="shared" si="112"/>
        <v>-4590532.7993662879</v>
      </c>
      <c r="G222" s="203">
        <f t="shared" si="112"/>
        <v>-4572424.8468445381</v>
      </c>
      <c r="H222" s="203">
        <f t="shared" si="112"/>
        <v>-2367429.9616457256</v>
      </c>
      <c r="I222" s="203">
        <f t="shared" si="112"/>
        <v>-164093.60362758843</v>
      </c>
      <c r="J222" s="203">
        <f t="shared" si="112"/>
        <v>-144306.36234511845</v>
      </c>
      <c r="K222" s="203">
        <f t="shared" si="112"/>
        <v>-152756.39699269258</v>
      </c>
      <c r="L222" s="203">
        <f t="shared" si="112"/>
        <v>-166146.48796633625</v>
      </c>
      <c r="M222" s="203">
        <f t="shared" si="112"/>
        <v>-145650.04706104234</v>
      </c>
      <c r="N222" s="203">
        <f t="shared" si="112"/>
        <v>-743199.05551638966</v>
      </c>
      <c r="O222" s="203">
        <f t="shared" si="112"/>
        <v>-1110846.9440508538</v>
      </c>
      <c r="P222" s="203">
        <f t="shared" si="112"/>
        <v>-712209.12031966983</v>
      </c>
      <c r="Q222" s="203">
        <f t="shared" si="112"/>
        <v>-1727026.3445740808</v>
      </c>
      <c r="R222" s="203">
        <f t="shared" si="112"/>
        <v>-2440597.5311262826</v>
      </c>
      <c r="S222" s="203">
        <f t="shared" si="112"/>
        <v>-1419962.2566971648</v>
      </c>
      <c r="T222" s="203">
        <f t="shared" si="112"/>
        <v>-786858.94585123239</v>
      </c>
      <c r="U222" s="203">
        <f t="shared" si="112"/>
        <v>-802315.18982166029</v>
      </c>
      <c r="V222" s="203">
        <f t="shared" si="112"/>
        <v>-423987.96613788023</v>
      </c>
      <c r="W222" s="203">
        <f t="shared" si="112"/>
        <v>-63214.998491650331</v>
      </c>
      <c r="X222" s="203">
        <f t="shared" si="112"/>
        <v>-63399.75038275095</v>
      </c>
      <c r="Y222" s="203">
        <f t="shared" si="112"/>
        <v>-38741.009193104874</v>
      </c>
      <c r="Z222" s="203">
        <f t="shared" si="112"/>
        <v>-753334.28603412875</v>
      </c>
      <c r="AA222" s="203">
        <f t="shared" si="112"/>
        <v>-1192747.9582724089</v>
      </c>
      <c r="AB222" s="203">
        <f t="shared" si="112"/>
        <v>-716282.15638051496</v>
      </c>
      <c r="AC222" s="203">
        <f t="shared" si="112"/>
        <v>-456753.71199867898</v>
      </c>
      <c r="AD222" s="203">
        <f t="shared" si="112"/>
        <v>-474426.22641171387</v>
      </c>
      <c r="AE222" s="203">
        <f t="shared" si="112"/>
        <v>-244656.98169676878</v>
      </c>
      <c r="AF222" s="203">
        <f t="shared" si="112"/>
        <v>-1593208.1328528961</v>
      </c>
      <c r="AG222" s="203">
        <f t="shared" si="112"/>
        <v>0</v>
      </c>
      <c r="AH222" s="203">
        <f t="shared" si="112"/>
        <v>0</v>
      </c>
      <c r="AI222" s="203">
        <f t="shared" si="112"/>
        <v>0</v>
      </c>
      <c r="AJ222" s="203">
        <f t="shared" si="112"/>
        <v>0</v>
      </c>
      <c r="AK222" s="203">
        <f t="shared" si="112"/>
        <v>0</v>
      </c>
      <c r="AL222" s="203">
        <f t="shared" si="112"/>
        <v>0</v>
      </c>
      <c r="AM222" s="203">
        <f t="shared" si="112"/>
        <v>0</v>
      </c>
      <c r="AN222" s="203">
        <f t="shared" si="112"/>
        <v>0</v>
      </c>
      <c r="AO222" s="203">
        <f t="shared" si="112"/>
        <v>0</v>
      </c>
      <c r="AP222" s="203">
        <f t="shared" si="112"/>
        <v>0</v>
      </c>
    </row>
    <row r="223" spans="1:42" s="118" customFormat="1">
      <c r="A223" s="42" t="s">
        <v>118</v>
      </c>
      <c r="B223" s="141"/>
      <c r="C223" s="198">
        <f>SUM(C220:C222)</f>
        <v>-4892848.6118731583</v>
      </c>
      <c r="D223" s="198">
        <f t="shared" ref="D223:AP223" si="113">SUM(D220:D222)</f>
        <v>-7508292.0552604701</v>
      </c>
      <c r="E223" s="198">
        <f t="shared" si="113"/>
        <v>-2559619.1639172863</v>
      </c>
      <c r="F223" s="198">
        <f t="shared" si="113"/>
        <v>424978.27084430493</v>
      </c>
      <c r="G223" s="198">
        <f t="shared" si="113"/>
        <v>485631.67221264914</v>
      </c>
      <c r="H223" s="198">
        <f t="shared" si="113"/>
        <v>2732990.9630752136</v>
      </c>
      <c r="I223" s="198">
        <f t="shared" si="113"/>
        <v>4974978.9687875872</v>
      </c>
      <c r="J223" s="198">
        <f t="shared" si="113"/>
        <v>5036778.549778224</v>
      </c>
      <c r="K223" s="198">
        <f t="shared" si="113"/>
        <v>5070140.8450386468</v>
      </c>
      <c r="L223" s="198">
        <f t="shared" si="113"/>
        <v>5094669.8912218791</v>
      </c>
      <c r="M223" s="198">
        <f t="shared" si="113"/>
        <v>5156588.6823345944</v>
      </c>
      <c r="N223" s="198">
        <f t="shared" si="113"/>
        <v>4600241.737600306</v>
      </c>
      <c r="O223" s="198">
        <f t="shared" si="113"/>
        <v>4170172.4466819949</v>
      </c>
      <c r="P223" s="198">
        <f t="shared" si="113"/>
        <v>4610421.8992327815</v>
      </c>
      <c r="Q223" s="198">
        <f t="shared" si="113"/>
        <v>3636974.3452804917</v>
      </c>
      <c r="R223" s="198">
        <f t="shared" si="113"/>
        <v>2749972.0412259731</v>
      </c>
      <c r="S223" s="198">
        <f t="shared" si="113"/>
        <v>3813301.0504054138</v>
      </c>
      <c r="T223" s="198">
        <f t="shared" si="113"/>
        <v>4488832.9793074373</v>
      </c>
      <c r="U223" s="198">
        <f t="shared" si="113"/>
        <v>4511316.9790827055</v>
      </c>
      <c r="V223" s="198">
        <f t="shared" si="113"/>
        <v>4931552.5295672975</v>
      </c>
      <c r="W223" s="198">
        <f t="shared" si="113"/>
        <v>5333943.9663124727</v>
      </c>
      <c r="X223" s="198">
        <f t="shared" si="113"/>
        <v>5356340.5527519193</v>
      </c>
      <c r="Y223" s="198">
        <f t="shared" si="113"/>
        <v>5407716.9730933476</v>
      </c>
      <c r="Z223" s="198">
        <f t="shared" si="113"/>
        <v>4719525.0909101618</v>
      </c>
      <c r="AA223" s="198">
        <f t="shared" si="113"/>
        <v>4533373.6605537022</v>
      </c>
      <c r="AB223" s="198">
        <f t="shared" si="113"/>
        <v>5030483.2964043897</v>
      </c>
      <c r="AC223" s="198">
        <f t="shared" si="113"/>
        <v>5310311.0680439239</v>
      </c>
      <c r="AD223" s="198">
        <f t="shared" si="113"/>
        <v>5307763.9402085356</v>
      </c>
      <c r="AE223" s="198">
        <f t="shared" si="113"/>
        <v>5557153.044233134</v>
      </c>
      <c r="AF223" s="198">
        <f t="shared" si="113"/>
        <v>8250562.1113198576</v>
      </c>
      <c r="AG223" s="198">
        <f t="shared" si="113"/>
        <v>0</v>
      </c>
      <c r="AH223" s="198">
        <f t="shared" si="113"/>
        <v>0</v>
      </c>
      <c r="AI223" s="198">
        <f t="shared" si="113"/>
        <v>0</v>
      </c>
      <c r="AJ223" s="198">
        <f t="shared" si="113"/>
        <v>0</v>
      </c>
      <c r="AK223" s="198">
        <f t="shared" si="113"/>
        <v>0</v>
      </c>
      <c r="AL223" s="198">
        <f t="shared" si="113"/>
        <v>0</v>
      </c>
      <c r="AM223" s="198">
        <f t="shared" si="113"/>
        <v>0</v>
      </c>
      <c r="AN223" s="198">
        <f t="shared" si="113"/>
        <v>0</v>
      </c>
      <c r="AO223" s="198">
        <f t="shared" si="113"/>
        <v>0</v>
      </c>
      <c r="AP223" s="198">
        <f t="shared" si="113"/>
        <v>0</v>
      </c>
    </row>
    <row r="224" spans="1:42" s="118" customFormat="1">
      <c r="A224" s="42" t="s">
        <v>420</v>
      </c>
    </row>
    <row r="225" spans="1:42" s="118" customFormat="1">
      <c r="A225" s="204" t="str">
        <f>'Inputs &amp; Results'!A49</f>
        <v>Fixed Amount ($)</v>
      </c>
    </row>
    <row r="226" spans="1:42" s="118" customFormat="1">
      <c r="A226" s="205" t="str">
        <f>'Inputs &amp; Results'!A50</f>
        <v>Federal</v>
      </c>
      <c r="C226" s="198">
        <f>IF(IBIFedFixedStateTax="Yes",C597,0)</f>
        <v>1000</v>
      </c>
    </row>
    <row r="227" spans="1:42" s="118" customFormat="1">
      <c r="A227" s="205" t="str">
        <f>'Inputs &amp; Results'!A51</f>
        <v>State</v>
      </c>
      <c r="C227" s="198">
        <f>IF(IBIStateFixedStateTax="Yes",C598,0)</f>
        <v>2000</v>
      </c>
    </row>
    <row r="228" spans="1:42" s="118" customFormat="1">
      <c r="A228" s="205" t="str">
        <f>'Inputs &amp; Results'!A52</f>
        <v>Utility</v>
      </c>
      <c r="C228" s="198">
        <f>IF(IBIUtilityFixedStateTax="Yes",C599,0)</f>
        <v>500</v>
      </c>
    </row>
    <row r="229" spans="1:42">
      <c r="A229" s="205" t="str">
        <f>'Inputs &amp; Results'!A53</f>
        <v>Other</v>
      </c>
      <c r="C229" s="203">
        <f>IF(IBIOtherFixedStateTax="Yes",C600,0)</f>
        <v>250</v>
      </c>
      <c r="D229" s="186"/>
      <c r="E229" s="186"/>
      <c r="F229" s="186"/>
      <c r="G229" s="186"/>
      <c r="H229" s="186"/>
      <c r="I229" s="186"/>
      <c r="J229" s="186"/>
      <c r="K229" s="186"/>
      <c r="L229" s="186"/>
      <c r="M229" s="186"/>
      <c r="N229" s="186"/>
      <c r="O229" s="186"/>
      <c r="P229" s="186"/>
      <c r="Q229" s="186"/>
      <c r="R229" s="186"/>
      <c r="S229" s="186"/>
      <c r="T229" s="186"/>
      <c r="U229" s="186"/>
      <c r="V229" s="186"/>
      <c r="W229" s="186"/>
      <c r="X229" s="186"/>
      <c r="Y229" s="186"/>
      <c r="Z229" s="186"/>
      <c r="AA229" s="186"/>
      <c r="AB229" s="186"/>
      <c r="AC229" s="186"/>
      <c r="AD229" s="186"/>
      <c r="AE229" s="186"/>
      <c r="AF229" s="186"/>
      <c r="AG229" s="186"/>
      <c r="AH229" s="186"/>
      <c r="AI229" s="186"/>
      <c r="AJ229" s="186"/>
      <c r="AK229" s="186"/>
      <c r="AL229" s="186"/>
      <c r="AM229" s="186"/>
      <c r="AN229" s="186"/>
      <c r="AO229" s="186"/>
      <c r="AP229" s="186"/>
    </row>
    <row r="230" spans="1:42">
      <c r="A230" s="205" t="s">
        <v>53</v>
      </c>
      <c r="C230" s="186">
        <f>SUM(C226:C229)</f>
        <v>3750</v>
      </c>
      <c r="D230" s="186"/>
      <c r="E230" s="186"/>
      <c r="F230" s="186"/>
      <c r="G230" s="186"/>
      <c r="H230" s="186"/>
      <c r="I230" s="186"/>
      <c r="J230" s="186"/>
      <c r="K230" s="186"/>
      <c r="L230" s="186"/>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c r="AM230" s="186"/>
      <c r="AN230" s="186"/>
      <c r="AO230" s="186"/>
      <c r="AP230" s="186"/>
    </row>
    <row r="231" spans="1:42">
      <c r="A231" s="204" t="str">
        <f>'Inputs &amp; Results'!A54</f>
        <v>Percentage of Pre-Financing Costs</v>
      </c>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205" t="str">
        <f>'Inputs &amp; Results'!A55</f>
        <v>Federal</v>
      </c>
      <c r="C232" s="198">
        <f>IF(IBIFedPercentStateTax="Yes",C603,0)</f>
        <v>2011357.5</v>
      </c>
      <c r="D232" s="186"/>
      <c r="E232" s="186"/>
      <c r="F232" s="186"/>
      <c r="G232" s="186"/>
      <c r="H232" s="186"/>
      <c r="I232" s="186"/>
      <c r="J232" s="186"/>
      <c r="K232" s="186"/>
      <c r="L232" s="186"/>
      <c r="M232" s="186"/>
      <c r="N232" s="186"/>
      <c r="O232" s="186"/>
      <c r="P232" s="186"/>
      <c r="Q232" s="186"/>
      <c r="R232" s="186"/>
      <c r="S232" s="186"/>
      <c r="T232" s="186"/>
      <c r="U232" s="186"/>
      <c r="V232" s="186"/>
      <c r="W232" s="186"/>
      <c r="X232" s="186"/>
      <c r="Y232" s="186"/>
      <c r="Z232" s="186"/>
      <c r="AA232" s="186"/>
      <c r="AB232" s="186"/>
      <c r="AC232" s="186"/>
      <c r="AD232" s="186"/>
      <c r="AE232" s="186"/>
      <c r="AF232" s="186"/>
      <c r="AG232" s="186"/>
      <c r="AH232" s="186"/>
      <c r="AI232" s="186"/>
      <c r="AJ232" s="186"/>
      <c r="AK232" s="186"/>
      <c r="AL232" s="186"/>
      <c r="AM232" s="186"/>
      <c r="AN232" s="186"/>
      <c r="AO232" s="186"/>
      <c r="AP232" s="186"/>
    </row>
    <row r="233" spans="1:42">
      <c r="A233" s="205" t="str">
        <f>'Inputs &amp; Results'!A56</f>
        <v>State</v>
      </c>
      <c r="C233" s="198">
        <f>IF(IBIStatePercentStateTax="Yes",C604,0)</f>
        <v>4022715</v>
      </c>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row>
    <row r="234" spans="1:42">
      <c r="A234" s="205" t="str">
        <f>'Inputs &amp; Results'!A57</f>
        <v>Utility</v>
      </c>
      <c r="C234" s="198">
        <f>IF(IBIUtilityPercentStateTax="Yes",C605,0)</f>
        <v>402271.5</v>
      </c>
      <c r="D234" s="186"/>
      <c r="E234" s="186"/>
      <c r="F234" s="186"/>
      <c r="G234" s="186"/>
      <c r="H234" s="186"/>
      <c r="I234" s="186"/>
      <c r="J234" s="186"/>
      <c r="K234" s="186"/>
      <c r="L234" s="186"/>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row>
    <row r="235" spans="1:42">
      <c r="A235" s="205" t="str">
        <f>'Inputs &amp; Results'!A58</f>
        <v>Other</v>
      </c>
      <c r="C235" s="203">
        <f>IF(IBIOtherPercentStateTax="Yes",C606,0)</f>
        <v>201135.75</v>
      </c>
      <c r="D235" s="186"/>
      <c r="E235" s="186"/>
      <c r="F235" s="186"/>
      <c r="G235" s="186"/>
      <c r="H235" s="186"/>
      <c r="I235" s="186"/>
      <c r="J235" s="186"/>
      <c r="K235" s="186"/>
      <c r="L235" s="186"/>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row>
    <row r="236" spans="1:42">
      <c r="A236" s="205" t="s">
        <v>53</v>
      </c>
      <c r="C236" s="186">
        <f>SUM(C232:C235)</f>
        <v>6637479.75</v>
      </c>
      <c r="D236" s="186"/>
      <c r="E236" s="186"/>
      <c r="F236" s="186"/>
      <c r="G236" s="186"/>
      <c r="H236" s="186"/>
      <c r="I236" s="186"/>
      <c r="J236" s="186"/>
      <c r="K236" s="186"/>
      <c r="L236" s="186"/>
      <c r="M236" s="186"/>
      <c r="N236" s="186"/>
      <c r="O236" s="186"/>
      <c r="P236" s="186"/>
      <c r="Q236" s="186"/>
      <c r="R236" s="186"/>
      <c r="S236" s="186"/>
      <c r="T236" s="186"/>
      <c r="U236" s="186"/>
      <c r="V236" s="186"/>
      <c r="W236" s="186"/>
      <c r="X236" s="186"/>
      <c r="Y236" s="186"/>
      <c r="Z236" s="186"/>
      <c r="AA236" s="186"/>
      <c r="AB236" s="186"/>
      <c r="AC236" s="186"/>
      <c r="AD236" s="186"/>
      <c r="AE236" s="186"/>
      <c r="AF236" s="186"/>
      <c r="AG236" s="186"/>
      <c r="AH236" s="186"/>
      <c r="AI236" s="186"/>
      <c r="AJ236" s="186"/>
      <c r="AK236" s="186"/>
      <c r="AL236" s="186"/>
      <c r="AM236" s="186"/>
      <c r="AN236" s="186"/>
      <c r="AO236" s="186"/>
      <c r="AP236" s="186"/>
    </row>
    <row r="237" spans="1:42">
      <c r="A237" s="197" t="s">
        <v>421</v>
      </c>
      <c r="C237" s="186"/>
      <c r="D237" s="186"/>
      <c r="E237" s="186"/>
      <c r="F237" s="186"/>
      <c r="G237" s="186"/>
      <c r="H237" s="186"/>
      <c r="I237" s="186"/>
      <c r="J237" s="186"/>
      <c r="K237" s="186"/>
      <c r="L237" s="186"/>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c r="AM237" s="186"/>
      <c r="AN237" s="186"/>
      <c r="AO237" s="186"/>
      <c r="AP237" s="186"/>
    </row>
    <row r="238" spans="1:42">
      <c r="A238" s="204" t="str">
        <f>'Inputs &amp; Results'!A60</f>
        <v>Federal</v>
      </c>
      <c r="C238" s="141">
        <f>IF(CBIFedStateTax="Yes",C609,0)</f>
        <v>5000000</v>
      </c>
      <c r="D238" s="186"/>
      <c r="E238" s="186"/>
      <c r="F238" s="186"/>
      <c r="G238" s="186"/>
      <c r="H238" s="186"/>
      <c r="I238" s="186"/>
      <c r="J238" s="186"/>
      <c r="K238" s="186"/>
      <c r="L238" s="186"/>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c r="AM238" s="186"/>
      <c r="AN238" s="186"/>
      <c r="AO238" s="186"/>
      <c r="AP238" s="186"/>
    </row>
    <row r="239" spans="1:42">
      <c r="A239" s="204" t="str">
        <f>'Inputs &amp; Results'!A61</f>
        <v>State</v>
      </c>
      <c r="C239" s="141">
        <f>IF(CBIStateStateTax="Yes",C610,0)</f>
        <v>2000000</v>
      </c>
      <c r="D239" s="186"/>
      <c r="E239" s="186"/>
      <c r="F239" s="186"/>
      <c r="G239" s="186"/>
      <c r="H239" s="186"/>
      <c r="I239" s="186"/>
      <c r="J239" s="186"/>
      <c r="K239" s="186"/>
      <c r="L239" s="186"/>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c r="AN239" s="186"/>
      <c r="AO239" s="186"/>
      <c r="AP239" s="186"/>
    </row>
    <row r="240" spans="1:42">
      <c r="A240" s="204" t="str">
        <f>'Inputs &amp; Results'!A62</f>
        <v>Utility</v>
      </c>
      <c r="C240" s="141">
        <f>IF(CBIUtilityStateTax="Yes",C611,0)</f>
        <v>100000</v>
      </c>
      <c r="D240" s="186"/>
      <c r="E240" s="186"/>
      <c r="F240" s="186"/>
      <c r="G240" s="186"/>
      <c r="H240" s="186"/>
      <c r="I240" s="186"/>
      <c r="J240" s="186"/>
      <c r="K240" s="186"/>
      <c r="L240" s="186"/>
      <c r="M240" s="186"/>
      <c r="N240" s="186"/>
      <c r="O240" s="186"/>
      <c r="P240" s="186"/>
      <c r="Q240" s="186"/>
      <c r="R240" s="186"/>
      <c r="S240" s="186"/>
      <c r="T240" s="186"/>
      <c r="U240" s="186"/>
      <c r="V240" s="186"/>
      <c r="W240" s="186"/>
      <c r="X240" s="186"/>
      <c r="Y240" s="186"/>
      <c r="Z240" s="186"/>
      <c r="AA240" s="186"/>
      <c r="AB240" s="186"/>
      <c r="AC240" s="186"/>
      <c r="AD240" s="186"/>
      <c r="AE240" s="186"/>
      <c r="AF240" s="186"/>
      <c r="AG240" s="186"/>
      <c r="AH240" s="186"/>
      <c r="AI240" s="186"/>
      <c r="AJ240" s="186"/>
      <c r="AK240" s="186"/>
      <c r="AL240" s="186"/>
      <c r="AM240" s="186"/>
      <c r="AN240" s="186"/>
      <c r="AO240" s="186"/>
      <c r="AP240" s="186"/>
    </row>
    <row r="241" spans="1:52">
      <c r="A241" s="204" t="str">
        <f>'Inputs &amp; Results'!A63</f>
        <v>Other</v>
      </c>
      <c r="C241" s="203">
        <f>IF(CBIOtherStateTax="Yes",C612,0)</f>
        <v>50000</v>
      </c>
      <c r="D241" s="186"/>
      <c r="E241" s="186"/>
      <c r="F241" s="186"/>
      <c r="G241" s="186"/>
      <c r="H241" s="186"/>
      <c r="I241" s="186"/>
      <c r="J241" s="186"/>
      <c r="K241" s="186"/>
      <c r="L241" s="186"/>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c r="AM241" s="186"/>
      <c r="AN241" s="186"/>
      <c r="AO241" s="186"/>
      <c r="AP241" s="186"/>
    </row>
    <row r="242" spans="1:52">
      <c r="A242" s="204" t="s">
        <v>53</v>
      </c>
      <c r="C242" s="251">
        <f>SUM(C238:C241)</f>
        <v>7150000</v>
      </c>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c r="AA242" s="187"/>
      <c r="AB242" s="187"/>
      <c r="AC242" s="187"/>
      <c r="AD242" s="187"/>
      <c r="AE242" s="187"/>
      <c r="AF242" s="187"/>
      <c r="AG242" s="187"/>
      <c r="AH242" s="187"/>
      <c r="AI242" s="187"/>
      <c r="AJ242" s="187"/>
      <c r="AK242" s="187"/>
      <c r="AL242" s="187"/>
      <c r="AM242" s="187"/>
      <c r="AN242" s="187"/>
      <c r="AO242" s="187"/>
      <c r="AP242" s="187"/>
    </row>
    <row r="243" spans="1:52">
      <c r="A243" s="197" t="s">
        <v>131</v>
      </c>
      <c r="C243" s="251">
        <f>C230+C236+C242</f>
        <v>13791229.75</v>
      </c>
      <c r="D243" s="251">
        <f t="shared" ref="D243:AP243" si="114">D230+D236+D242</f>
        <v>0</v>
      </c>
      <c r="E243" s="251">
        <f t="shared" si="114"/>
        <v>0</v>
      </c>
      <c r="F243" s="251">
        <f t="shared" si="114"/>
        <v>0</v>
      </c>
      <c r="G243" s="251">
        <f t="shared" si="114"/>
        <v>0</v>
      </c>
      <c r="H243" s="251">
        <f t="shared" si="114"/>
        <v>0</v>
      </c>
      <c r="I243" s="251">
        <f t="shared" si="114"/>
        <v>0</v>
      </c>
      <c r="J243" s="251">
        <f t="shared" si="114"/>
        <v>0</v>
      </c>
      <c r="K243" s="251">
        <f t="shared" si="114"/>
        <v>0</v>
      </c>
      <c r="L243" s="251">
        <f t="shared" si="114"/>
        <v>0</v>
      </c>
      <c r="M243" s="251">
        <f t="shared" si="114"/>
        <v>0</v>
      </c>
      <c r="N243" s="251">
        <f t="shared" si="114"/>
        <v>0</v>
      </c>
      <c r="O243" s="251">
        <f t="shared" si="114"/>
        <v>0</v>
      </c>
      <c r="P243" s="251">
        <f t="shared" si="114"/>
        <v>0</v>
      </c>
      <c r="Q243" s="251">
        <f t="shared" si="114"/>
        <v>0</v>
      </c>
      <c r="R243" s="251">
        <f t="shared" si="114"/>
        <v>0</v>
      </c>
      <c r="S243" s="251">
        <f t="shared" si="114"/>
        <v>0</v>
      </c>
      <c r="T243" s="251">
        <f t="shared" si="114"/>
        <v>0</v>
      </c>
      <c r="U243" s="251">
        <f t="shared" si="114"/>
        <v>0</v>
      </c>
      <c r="V243" s="251">
        <f t="shared" si="114"/>
        <v>0</v>
      </c>
      <c r="W243" s="251">
        <f t="shared" si="114"/>
        <v>0</v>
      </c>
      <c r="X243" s="251">
        <f t="shared" si="114"/>
        <v>0</v>
      </c>
      <c r="Y243" s="251">
        <f t="shared" si="114"/>
        <v>0</v>
      </c>
      <c r="Z243" s="251">
        <f t="shared" si="114"/>
        <v>0</v>
      </c>
      <c r="AA243" s="251">
        <f t="shared" si="114"/>
        <v>0</v>
      </c>
      <c r="AB243" s="251">
        <f t="shared" si="114"/>
        <v>0</v>
      </c>
      <c r="AC243" s="251">
        <f t="shared" si="114"/>
        <v>0</v>
      </c>
      <c r="AD243" s="251">
        <f t="shared" si="114"/>
        <v>0</v>
      </c>
      <c r="AE243" s="251">
        <f t="shared" si="114"/>
        <v>0</v>
      </c>
      <c r="AF243" s="251">
        <f t="shared" si="114"/>
        <v>0</v>
      </c>
      <c r="AG243" s="251">
        <f t="shared" si="114"/>
        <v>0</v>
      </c>
      <c r="AH243" s="251">
        <f t="shared" si="114"/>
        <v>0</v>
      </c>
      <c r="AI243" s="251">
        <f t="shared" si="114"/>
        <v>0</v>
      </c>
      <c r="AJ243" s="251">
        <f t="shared" si="114"/>
        <v>0</v>
      </c>
      <c r="AK243" s="251">
        <f t="shared" si="114"/>
        <v>0</v>
      </c>
      <c r="AL243" s="251">
        <f t="shared" si="114"/>
        <v>0</v>
      </c>
      <c r="AM243" s="251">
        <f t="shared" si="114"/>
        <v>0</v>
      </c>
      <c r="AN243" s="251">
        <f t="shared" si="114"/>
        <v>0</v>
      </c>
      <c r="AO243" s="251">
        <f t="shared" si="114"/>
        <v>0</v>
      </c>
      <c r="AP243" s="251">
        <f t="shared" si="114"/>
        <v>0</v>
      </c>
      <c r="AQ243" s="40"/>
      <c r="AR243" s="40"/>
      <c r="AS243" s="40"/>
      <c r="AT243" s="40"/>
      <c r="AU243" s="40"/>
      <c r="AV243" s="40"/>
      <c r="AW243" s="40"/>
      <c r="AX243" s="40"/>
      <c r="AY243" s="40"/>
      <c r="AZ243" s="40"/>
    </row>
    <row r="244" spans="1:52" s="118" customFormat="1">
      <c r="A244" s="42" t="s">
        <v>417</v>
      </c>
      <c r="C244" s="198">
        <f>C223+C243</f>
        <v>8898381.1381268427</v>
      </c>
      <c r="D244" s="198">
        <f t="shared" ref="D244:L244" si="115">D223+D243</f>
        <v>-7508292.0552604701</v>
      </c>
      <c r="E244" s="198">
        <f t="shared" si="115"/>
        <v>-2559619.1639172863</v>
      </c>
      <c r="F244" s="198">
        <f t="shared" si="115"/>
        <v>424978.27084430493</v>
      </c>
      <c r="G244" s="198">
        <f t="shared" si="115"/>
        <v>485631.67221264914</v>
      </c>
      <c r="H244" s="198">
        <f t="shared" si="115"/>
        <v>2732990.9630752136</v>
      </c>
      <c r="I244" s="198">
        <f t="shared" si="115"/>
        <v>4974978.9687875872</v>
      </c>
      <c r="J244" s="198">
        <f t="shared" si="115"/>
        <v>5036778.549778224</v>
      </c>
      <c r="K244" s="198">
        <f t="shared" si="115"/>
        <v>5070140.8450386468</v>
      </c>
      <c r="L244" s="198">
        <f t="shared" si="115"/>
        <v>5094669.8912218791</v>
      </c>
      <c r="M244" s="198">
        <f t="shared" ref="M244" si="116">M223+M243</f>
        <v>5156588.6823345944</v>
      </c>
      <c r="N244" s="198">
        <f t="shared" ref="N244" si="117">N223+N243</f>
        <v>4600241.737600306</v>
      </c>
      <c r="O244" s="198">
        <f t="shared" ref="O244" si="118">O223+O243</f>
        <v>4170172.4466819949</v>
      </c>
      <c r="P244" s="198">
        <f t="shared" ref="P244" si="119">P223+P243</f>
        <v>4610421.8992327815</v>
      </c>
      <c r="Q244" s="198">
        <f t="shared" ref="Q244" si="120">Q223+Q243</f>
        <v>3636974.3452804917</v>
      </c>
      <c r="R244" s="198">
        <f t="shared" ref="R244" si="121">R223+R243</f>
        <v>2749972.0412259731</v>
      </c>
      <c r="S244" s="198">
        <f t="shared" ref="S244" si="122">S223+S243</f>
        <v>3813301.0504054138</v>
      </c>
      <c r="T244" s="198">
        <f t="shared" ref="T244:U244" si="123">T223+T243</f>
        <v>4488832.9793074373</v>
      </c>
      <c r="U244" s="198">
        <f t="shared" si="123"/>
        <v>4511316.9790827055</v>
      </c>
      <c r="V244" s="198">
        <f t="shared" ref="V244" si="124">V223+V243</f>
        <v>4931552.5295672975</v>
      </c>
      <c r="W244" s="198">
        <f t="shared" ref="W244" si="125">W223+W243</f>
        <v>5333943.9663124727</v>
      </c>
      <c r="X244" s="198">
        <f t="shared" ref="X244" si="126">X223+X243</f>
        <v>5356340.5527519193</v>
      </c>
      <c r="Y244" s="198">
        <f t="shared" ref="Y244" si="127">Y223+Y243</f>
        <v>5407716.9730933476</v>
      </c>
      <c r="Z244" s="198">
        <f t="shared" ref="Z244" si="128">Z223+Z243</f>
        <v>4719525.0909101618</v>
      </c>
      <c r="AA244" s="198">
        <f t="shared" ref="AA244" si="129">AA223+AA243</f>
        <v>4533373.6605537022</v>
      </c>
      <c r="AB244" s="198">
        <f t="shared" ref="AB244" si="130">AB223+AB243</f>
        <v>5030483.2964043897</v>
      </c>
      <c r="AC244" s="198">
        <f t="shared" ref="AC244:AD244" si="131">AC223+AC243</f>
        <v>5310311.0680439239</v>
      </c>
      <c r="AD244" s="198">
        <f t="shared" si="131"/>
        <v>5307763.9402085356</v>
      </c>
      <c r="AE244" s="198">
        <f t="shared" ref="AE244" si="132">AE223+AE243</f>
        <v>5557153.044233134</v>
      </c>
      <c r="AF244" s="198">
        <f t="shared" ref="AF244" si="133">AF223+AF243</f>
        <v>8250562.1113198576</v>
      </c>
      <c r="AG244" s="198">
        <f t="shared" ref="AG244" si="134">AG223+AG243</f>
        <v>0</v>
      </c>
      <c r="AH244" s="198">
        <f t="shared" ref="AH244" si="135">AH223+AH243</f>
        <v>0</v>
      </c>
      <c r="AI244" s="198">
        <f>AI223+AI243</f>
        <v>0</v>
      </c>
      <c r="AJ244" s="198">
        <f t="shared" ref="AJ244" si="136">AJ223+AJ243</f>
        <v>0</v>
      </c>
      <c r="AK244" s="198">
        <f t="shared" ref="AK244" si="137">AK223+AK243</f>
        <v>0</v>
      </c>
      <c r="AL244" s="198">
        <f t="shared" ref="AL244" si="138">AL223+AL243</f>
        <v>0</v>
      </c>
      <c r="AM244" s="198">
        <f t="shared" ref="AM244" si="139">AM223+AM243</f>
        <v>0</v>
      </c>
      <c r="AN244" s="198">
        <f t="shared" ref="AN244" si="140">AN223+AN243</f>
        <v>0</v>
      </c>
      <c r="AO244" s="198">
        <f t="shared" ref="AO244" si="141">AO223+AO243</f>
        <v>0</v>
      </c>
      <c r="AP244" s="198">
        <f t="shared" ref="AP244" si="142">AP223+AP243</f>
        <v>0</v>
      </c>
    </row>
    <row r="245" spans="1:52">
      <c r="A245" s="197" t="s">
        <v>130</v>
      </c>
      <c r="B245" s="40"/>
      <c r="C245" s="194">
        <f t="shared" ref="C245:AP245" si="143">C244*-StateTax</f>
        <v>-489410.96259697637</v>
      </c>
      <c r="D245" s="194">
        <f t="shared" si="143"/>
        <v>412956.06303932588</v>
      </c>
      <c r="E245" s="194">
        <f t="shared" si="143"/>
        <v>140779.05401545076</v>
      </c>
      <c r="F245" s="194">
        <f t="shared" si="143"/>
        <v>-23373.80489643677</v>
      </c>
      <c r="G245" s="194">
        <f t="shared" si="143"/>
        <v>-26709.741971695701</v>
      </c>
      <c r="H245" s="194">
        <f t="shared" si="143"/>
        <v>-150314.50296913675</v>
      </c>
      <c r="I245" s="194">
        <f t="shared" si="143"/>
        <v>-273623.84328331728</v>
      </c>
      <c r="J245" s="194">
        <f t="shared" si="143"/>
        <v>-277022.82023780234</v>
      </c>
      <c r="K245" s="194">
        <f t="shared" si="143"/>
        <v>-278857.74647712556</v>
      </c>
      <c r="L245" s="194">
        <f t="shared" si="143"/>
        <v>-280206.84401720337</v>
      </c>
      <c r="M245" s="194">
        <f t="shared" si="143"/>
        <v>-283612.37752840272</v>
      </c>
      <c r="N245" s="194">
        <f t="shared" si="143"/>
        <v>-253013.29556801682</v>
      </c>
      <c r="O245" s="194">
        <f t="shared" si="143"/>
        <v>-229359.48456750973</v>
      </c>
      <c r="P245" s="194">
        <f t="shared" si="143"/>
        <v>-253573.20445780299</v>
      </c>
      <c r="Q245" s="194">
        <f t="shared" si="143"/>
        <v>-200033.58899042706</v>
      </c>
      <c r="R245" s="194">
        <f t="shared" si="143"/>
        <v>-151248.46226742852</v>
      </c>
      <c r="S245" s="194">
        <f t="shared" si="143"/>
        <v>-209731.55777229776</v>
      </c>
      <c r="T245" s="194">
        <f t="shared" si="143"/>
        <v>-246885.81386190906</v>
      </c>
      <c r="U245" s="194">
        <f t="shared" si="143"/>
        <v>-248122.4338495488</v>
      </c>
      <c r="V245" s="194">
        <f t="shared" si="143"/>
        <v>-271235.38912620139</v>
      </c>
      <c r="W245" s="194">
        <f t="shared" si="143"/>
        <v>-293366.91814718599</v>
      </c>
      <c r="X245" s="194">
        <f t="shared" si="143"/>
        <v>-294598.73040135554</v>
      </c>
      <c r="Y245" s="194">
        <f t="shared" si="143"/>
        <v>-297424.43352013413</v>
      </c>
      <c r="Z245" s="194">
        <f t="shared" si="143"/>
        <v>-259573.88000005891</v>
      </c>
      <c r="AA245" s="194">
        <f t="shared" si="143"/>
        <v>-249335.55133045363</v>
      </c>
      <c r="AB245" s="194">
        <f t="shared" si="143"/>
        <v>-276676.58130224142</v>
      </c>
      <c r="AC245" s="194">
        <f t="shared" si="143"/>
        <v>-292067.10874241585</v>
      </c>
      <c r="AD245" s="194">
        <f t="shared" si="143"/>
        <v>-291927.01671146945</v>
      </c>
      <c r="AE245" s="194">
        <f t="shared" si="143"/>
        <v>-305643.41743282235</v>
      </c>
      <c r="AF245" s="194">
        <f t="shared" si="143"/>
        <v>-453780.91612259217</v>
      </c>
      <c r="AG245" s="194">
        <f t="shared" si="143"/>
        <v>0</v>
      </c>
      <c r="AH245" s="194">
        <f t="shared" si="143"/>
        <v>0</v>
      </c>
      <c r="AI245" s="194">
        <f t="shared" si="143"/>
        <v>0</v>
      </c>
      <c r="AJ245" s="194">
        <f t="shared" si="143"/>
        <v>0</v>
      </c>
      <c r="AK245" s="194">
        <f t="shared" si="143"/>
        <v>0</v>
      </c>
      <c r="AL245" s="194">
        <f t="shared" si="143"/>
        <v>0</v>
      </c>
      <c r="AM245" s="194">
        <f t="shared" si="143"/>
        <v>0</v>
      </c>
      <c r="AN245" s="194">
        <f t="shared" si="143"/>
        <v>0</v>
      </c>
      <c r="AO245" s="194">
        <f t="shared" si="143"/>
        <v>0</v>
      </c>
      <c r="AP245" s="194">
        <f t="shared" si="143"/>
        <v>0</v>
      </c>
    </row>
    <row r="246" spans="1:52">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198"/>
      <c r="AK246" s="198"/>
      <c r="AL246" s="198"/>
      <c r="AM246" s="198"/>
      <c r="AN246" s="186"/>
      <c r="AO246" s="186"/>
      <c r="AP246" s="186"/>
    </row>
    <row r="247" spans="1:52" s="118" customFormat="1">
      <c r="A247" s="195" t="s">
        <v>423</v>
      </c>
      <c r="B247" s="42"/>
    </row>
    <row r="248" spans="1:52" s="118" customFormat="1">
      <c r="A248" s="42" t="s">
        <v>419</v>
      </c>
      <c r="C248" s="198">
        <f t="shared" ref="C248:AP248" si="144">C220</f>
        <v>4890302.1295758607</v>
      </c>
      <c r="D248" s="198">
        <f t="shared" si="144"/>
        <v>4933327.5188328158</v>
      </c>
      <c r="E248" s="198">
        <f t="shared" si="144"/>
        <v>4976189.6015447509</v>
      </c>
      <c r="F248" s="198">
        <f t="shared" si="144"/>
        <v>5015511.0702105928</v>
      </c>
      <c r="G248" s="198">
        <f t="shared" si="144"/>
        <v>5058056.5190571873</v>
      </c>
      <c r="H248" s="198">
        <f t="shared" si="144"/>
        <v>5100420.9247209392</v>
      </c>
      <c r="I248" s="198">
        <f t="shared" si="144"/>
        <v>5139072.5724151758</v>
      </c>
      <c r="J248" s="198">
        <f t="shared" si="144"/>
        <v>5181084.912123342</v>
      </c>
      <c r="K248" s="198">
        <f t="shared" si="144"/>
        <v>5222897.2420313396</v>
      </c>
      <c r="L248" s="198">
        <f t="shared" si="144"/>
        <v>5260816.3791882154</v>
      </c>
      <c r="M248" s="198">
        <f t="shared" si="144"/>
        <v>5302238.7293956364</v>
      </c>
      <c r="N248" s="198">
        <f t="shared" si="144"/>
        <v>5343440.7931166962</v>
      </c>
      <c r="O248" s="198">
        <f t="shared" si="144"/>
        <v>5281019.390732849</v>
      </c>
      <c r="P248" s="198">
        <f t="shared" si="144"/>
        <v>5322631.0195524516</v>
      </c>
      <c r="Q248" s="198">
        <f t="shared" si="144"/>
        <v>5364000.6898545725</v>
      </c>
      <c r="R248" s="198">
        <f t="shared" si="144"/>
        <v>5190569.5723522557</v>
      </c>
      <c r="S248" s="198">
        <f t="shared" si="144"/>
        <v>5233263.3071025787</v>
      </c>
      <c r="T248" s="198">
        <f t="shared" si="144"/>
        <v>5275691.9251586702</v>
      </c>
      <c r="U248" s="198">
        <f t="shared" si="144"/>
        <v>5313632.168904366</v>
      </c>
      <c r="V248" s="198">
        <f t="shared" si="144"/>
        <v>5355540.495705178</v>
      </c>
      <c r="W248" s="198">
        <f t="shared" si="144"/>
        <v>5397158.9648041232</v>
      </c>
      <c r="X248" s="198">
        <f t="shared" si="144"/>
        <v>5419740.3031346705</v>
      </c>
      <c r="Y248" s="198">
        <f t="shared" si="144"/>
        <v>5446457.9822864523</v>
      </c>
      <c r="Z248" s="198">
        <f t="shared" si="144"/>
        <v>5472859.3769442905</v>
      </c>
      <c r="AA248" s="198">
        <f t="shared" si="144"/>
        <v>5726121.6188261108</v>
      </c>
      <c r="AB248" s="198">
        <f t="shared" si="144"/>
        <v>5746765.4527849043</v>
      </c>
      <c r="AC248" s="198">
        <f t="shared" si="144"/>
        <v>5767064.7800426027</v>
      </c>
      <c r="AD248" s="198">
        <f t="shared" si="144"/>
        <v>5782190.1666202499</v>
      </c>
      <c r="AE248" s="198">
        <f t="shared" si="144"/>
        <v>5801810.0259299027</v>
      </c>
      <c r="AF248" s="198">
        <f t="shared" si="144"/>
        <v>5821055.2441727538</v>
      </c>
      <c r="AG248" s="198">
        <f t="shared" si="144"/>
        <v>0</v>
      </c>
      <c r="AH248" s="198">
        <f t="shared" si="144"/>
        <v>0</v>
      </c>
      <c r="AI248" s="198">
        <f t="shared" si="144"/>
        <v>0</v>
      </c>
      <c r="AJ248" s="198">
        <f t="shared" si="144"/>
        <v>0</v>
      </c>
      <c r="AK248" s="198">
        <f t="shared" si="144"/>
        <v>0</v>
      </c>
      <c r="AL248" s="198">
        <f t="shared" si="144"/>
        <v>0</v>
      </c>
      <c r="AM248" s="198">
        <f t="shared" si="144"/>
        <v>0</v>
      </c>
      <c r="AN248" s="198">
        <f t="shared" si="144"/>
        <v>0</v>
      </c>
      <c r="AO248" s="198">
        <f t="shared" si="144"/>
        <v>0</v>
      </c>
      <c r="AP248" s="198">
        <f t="shared" si="144"/>
        <v>0</v>
      </c>
    </row>
    <row r="249" spans="1:52" s="118" customFormat="1">
      <c r="A249" s="42" t="s">
        <v>441</v>
      </c>
      <c r="C249" s="198">
        <f t="shared" ref="C249:AP249" si="145">C19</f>
        <v>0</v>
      </c>
      <c r="D249" s="198">
        <f t="shared" si="145"/>
        <v>0</v>
      </c>
      <c r="E249" s="198">
        <f t="shared" si="145"/>
        <v>0</v>
      </c>
      <c r="F249" s="198">
        <f t="shared" si="145"/>
        <v>0</v>
      </c>
      <c r="G249" s="198">
        <f t="shared" si="145"/>
        <v>0</v>
      </c>
      <c r="H249" s="198">
        <f t="shared" si="145"/>
        <v>0</v>
      </c>
      <c r="I249" s="198">
        <f t="shared" si="145"/>
        <v>0</v>
      </c>
      <c r="J249" s="198">
        <f t="shared" si="145"/>
        <v>0</v>
      </c>
      <c r="K249" s="198">
        <f t="shared" si="145"/>
        <v>0</v>
      </c>
      <c r="L249" s="198">
        <f t="shared" si="145"/>
        <v>0</v>
      </c>
      <c r="M249" s="198">
        <f t="shared" si="145"/>
        <v>0</v>
      </c>
      <c r="N249" s="198">
        <f t="shared" si="145"/>
        <v>0</v>
      </c>
      <c r="O249" s="198">
        <f t="shared" si="145"/>
        <v>0</v>
      </c>
      <c r="P249" s="198">
        <f t="shared" si="145"/>
        <v>0</v>
      </c>
      <c r="Q249" s="198">
        <f t="shared" si="145"/>
        <v>0</v>
      </c>
      <c r="R249" s="198">
        <f t="shared" si="145"/>
        <v>0</v>
      </c>
      <c r="S249" s="198">
        <f t="shared" si="145"/>
        <v>0</v>
      </c>
      <c r="T249" s="198">
        <f t="shared" si="145"/>
        <v>0</v>
      </c>
      <c r="U249" s="198">
        <f t="shared" si="145"/>
        <v>0</v>
      </c>
      <c r="V249" s="198">
        <f t="shared" si="145"/>
        <v>0</v>
      </c>
      <c r="W249" s="198">
        <f t="shared" si="145"/>
        <v>0</v>
      </c>
      <c r="X249" s="198">
        <f t="shared" si="145"/>
        <v>0</v>
      </c>
      <c r="Y249" s="198">
        <f t="shared" si="145"/>
        <v>0</v>
      </c>
      <c r="Z249" s="198">
        <f t="shared" si="145"/>
        <v>0</v>
      </c>
      <c r="AA249" s="198">
        <f t="shared" si="145"/>
        <v>0</v>
      </c>
      <c r="AB249" s="198">
        <f t="shared" si="145"/>
        <v>0</v>
      </c>
      <c r="AC249" s="198">
        <f t="shared" si="145"/>
        <v>0</v>
      </c>
      <c r="AD249" s="198">
        <f t="shared" si="145"/>
        <v>0</v>
      </c>
      <c r="AE249" s="198">
        <f t="shared" si="145"/>
        <v>0</v>
      </c>
      <c r="AF249" s="198">
        <f t="shared" si="145"/>
        <v>4022715</v>
      </c>
      <c r="AG249" s="198">
        <f t="shared" si="145"/>
        <v>0</v>
      </c>
      <c r="AH249" s="198">
        <f t="shared" si="145"/>
        <v>0</v>
      </c>
      <c r="AI249" s="198">
        <f t="shared" si="145"/>
        <v>0</v>
      </c>
      <c r="AJ249" s="198">
        <f t="shared" si="145"/>
        <v>0</v>
      </c>
      <c r="AK249" s="198">
        <f t="shared" si="145"/>
        <v>0</v>
      </c>
      <c r="AL249" s="198">
        <f t="shared" si="145"/>
        <v>0</v>
      </c>
      <c r="AM249" s="198">
        <f t="shared" si="145"/>
        <v>0</v>
      </c>
      <c r="AN249" s="198">
        <f t="shared" si="145"/>
        <v>0</v>
      </c>
      <c r="AO249" s="198">
        <f t="shared" si="145"/>
        <v>0</v>
      </c>
      <c r="AP249" s="198">
        <f t="shared" si="145"/>
        <v>0</v>
      </c>
    </row>
    <row r="250" spans="1:52" s="42" customFormat="1">
      <c r="A250" s="42" t="s">
        <v>120</v>
      </c>
      <c r="B250" s="118"/>
      <c r="C250" s="141">
        <f t="shared" ref="C250:AP250" si="146">IF(C$2&lt;=AnalysisPeriod,-C497-C528-C554-C580,0)</f>
        <v>-11403084.90444902</v>
      </c>
      <c r="D250" s="141">
        <f t="shared" si="146"/>
        <v>-11795645.908893285</v>
      </c>
      <c r="E250" s="141">
        <f t="shared" si="146"/>
        <v>-7148224.5663420372</v>
      </c>
      <c r="F250" s="141">
        <f t="shared" si="146"/>
        <v>-4357982.2798942877</v>
      </c>
      <c r="G250" s="141">
        <f t="shared" si="146"/>
        <v>-4339874.3273725379</v>
      </c>
      <c r="H250" s="141">
        <f t="shared" si="146"/>
        <v>-2251154.7019097256</v>
      </c>
      <c r="I250" s="141">
        <f t="shared" si="146"/>
        <v>-164093.60362758843</v>
      </c>
      <c r="J250" s="141">
        <f t="shared" si="146"/>
        <v>-144306.36234511845</v>
      </c>
      <c r="K250" s="141">
        <f t="shared" si="146"/>
        <v>-152756.39699269258</v>
      </c>
      <c r="L250" s="141">
        <f t="shared" si="146"/>
        <v>-166146.48796633625</v>
      </c>
      <c r="M250" s="141">
        <f t="shared" si="146"/>
        <v>-145650.04706104234</v>
      </c>
      <c r="N250" s="141">
        <f t="shared" si="146"/>
        <v>-743199.05551638966</v>
      </c>
      <c r="O250" s="141">
        <f t="shared" si="146"/>
        <v>-1110846.9440508538</v>
      </c>
      <c r="P250" s="141">
        <f t="shared" si="146"/>
        <v>-712209.12031966983</v>
      </c>
      <c r="Q250" s="141">
        <f t="shared" si="146"/>
        <v>-1727026.3445740808</v>
      </c>
      <c r="R250" s="141">
        <f t="shared" si="146"/>
        <v>-2440597.5311262826</v>
      </c>
      <c r="S250" s="141">
        <f t="shared" si="146"/>
        <v>-1419962.2566971648</v>
      </c>
      <c r="T250" s="141">
        <f t="shared" si="146"/>
        <v>-786858.94585123239</v>
      </c>
      <c r="U250" s="141">
        <f t="shared" si="146"/>
        <v>-802315.18982166029</v>
      </c>
      <c r="V250" s="141">
        <f t="shared" si="146"/>
        <v>-423987.96613788023</v>
      </c>
      <c r="W250" s="141">
        <f t="shared" si="146"/>
        <v>-63214.998491650331</v>
      </c>
      <c r="X250" s="141">
        <f t="shared" si="146"/>
        <v>-63399.75038275095</v>
      </c>
      <c r="Y250" s="141">
        <f t="shared" si="146"/>
        <v>-38741.009193104874</v>
      </c>
      <c r="Z250" s="141">
        <f t="shared" si="146"/>
        <v>-753334.28603412875</v>
      </c>
      <c r="AA250" s="141">
        <f t="shared" si="146"/>
        <v>-1192747.9582724089</v>
      </c>
      <c r="AB250" s="141">
        <f t="shared" si="146"/>
        <v>-716282.15638051496</v>
      </c>
      <c r="AC250" s="141">
        <f t="shared" si="146"/>
        <v>-456753.71199867898</v>
      </c>
      <c r="AD250" s="141">
        <f t="shared" si="146"/>
        <v>-474426.22641171387</v>
      </c>
      <c r="AE250" s="141">
        <f t="shared" si="146"/>
        <v>-244656.98169676878</v>
      </c>
      <c r="AF250" s="141">
        <f t="shared" si="146"/>
        <v>-1593208.1328528961</v>
      </c>
      <c r="AG250" s="141">
        <f t="shared" si="146"/>
        <v>0</v>
      </c>
      <c r="AH250" s="141">
        <f t="shared" si="146"/>
        <v>0</v>
      </c>
      <c r="AI250" s="141">
        <f t="shared" si="146"/>
        <v>0</v>
      </c>
      <c r="AJ250" s="141">
        <f t="shared" si="146"/>
        <v>0</v>
      </c>
      <c r="AK250" s="141">
        <f t="shared" si="146"/>
        <v>0</v>
      </c>
      <c r="AL250" s="141">
        <f t="shared" si="146"/>
        <v>0</v>
      </c>
      <c r="AM250" s="141">
        <f t="shared" si="146"/>
        <v>0</v>
      </c>
      <c r="AN250" s="141">
        <f t="shared" si="146"/>
        <v>0</v>
      </c>
      <c r="AO250" s="141">
        <f t="shared" si="146"/>
        <v>0</v>
      </c>
      <c r="AP250" s="141">
        <f t="shared" si="146"/>
        <v>0</v>
      </c>
    </row>
    <row r="251" spans="1:52" s="42" customFormat="1">
      <c r="A251" s="42" t="s">
        <v>130</v>
      </c>
      <c r="B251" s="118"/>
      <c r="C251" s="141">
        <f t="shared" ref="C251:AP251" si="147">C245</f>
        <v>-489410.96259697637</v>
      </c>
      <c r="D251" s="141">
        <f t="shared" si="147"/>
        <v>412956.06303932588</v>
      </c>
      <c r="E251" s="141">
        <f t="shared" si="147"/>
        <v>140779.05401545076</v>
      </c>
      <c r="F251" s="141">
        <f t="shared" si="147"/>
        <v>-23373.80489643677</v>
      </c>
      <c r="G251" s="141">
        <f t="shared" si="147"/>
        <v>-26709.741971695701</v>
      </c>
      <c r="H251" s="141">
        <f t="shared" si="147"/>
        <v>-150314.50296913675</v>
      </c>
      <c r="I251" s="141">
        <f t="shared" si="147"/>
        <v>-273623.84328331728</v>
      </c>
      <c r="J251" s="141">
        <f t="shared" si="147"/>
        <v>-277022.82023780234</v>
      </c>
      <c r="K251" s="141">
        <f t="shared" si="147"/>
        <v>-278857.74647712556</v>
      </c>
      <c r="L251" s="141">
        <f t="shared" si="147"/>
        <v>-280206.84401720337</v>
      </c>
      <c r="M251" s="141">
        <f t="shared" si="147"/>
        <v>-283612.37752840272</v>
      </c>
      <c r="N251" s="141">
        <f t="shared" si="147"/>
        <v>-253013.29556801682</v>
      </c>
      <c r="O251" s="141">
        <f t="shared" si="147"/>
        <v>-229359.48456750973</v>
      </c>
      <c r="P251" s="141">
        <f t="shared" si="147"/>
        <v>-253573.20445780299</v>
      </c>
      <c r="Q251" s="141">
        <f t="shared" si="147"/>
        <v>-200033.58899042706</v>
      </c>
      <c r="R251" s="141">
        <f t="shared" si="147"/>
        <v>-151248.46226742852</v>
      </c>
      <c r="S251" s="141">
        <f t="shared" si="147"/>
        <v>-209731.55777229776</v>
      </c>
      <c r="T251" s="141">
        <f t="shared" si="147"/>
        <v>-246885.81386190906</v>
      </c>
      <c r="U251" s="141">
        <f t="shared" si="147"/>
        <v>-248122.4338495488</v>
      </c>
      <c r="V251" s="141">
        <f t="shared" si="147"/>
        <v>-271235.38912620139</v>
      </c>
      <c r="W251" s="141">
        <f t="shared" si="147"/>
        <v>-293366.91814718599</v>
      </c>
      <c r="X251" s="141">
        <f t="shared" si="147"/>
        <v>-294598.73040135554</v>
      </c>
      <c r="Y251" s="141">
        <f t="shared" si="147"/>
        <v>-297424.43352013413</v>
      </c>
      <c r="Z251" s="141">
        <f t="shared" si="147"/>
        <v>-259573.88000005891</v>
      </c>
      <c r="AA251" s="141">
        <f t="shared" si="147"/>
        <v>-249335.55133045363</v>
      </c>
      <c r="AB251" s="141">
        <f t="shared" si="147"/>
        <v>-276676.58130224142</v>
      </c>
      <c r="AC251" s="141">
        <f t="shared" si="147"/>
        <v>-292067.10874241585</v>
      </c>
      <c r="AD251" s="141">
        <f t="shared" si="147"/>
        <v>-291927.01671146945</v>
      </c>
      <c r="AE251" s="141">
        <f t="shared" si="147"/>
        <v>-305643.41743282235</v>
      </c>
      <c r="AF251" s="141">
        <f t="shared" si="147"/>
        <v>-453780.91612259217</v>
      </c>
      <c r="AG251" s="141">
        <f t="shared" si="147"/>
        <v>0</v>
      </c>
      <c r="AH251" s="141">
        <f t="shared" si="147"/>
        <v>0</v>
      </c>
      <c r="AI251" s="141">
        <f t="shared" si="147"/>
        <v>0</v>
      </c>
      <c r="AJ251" s="141">
        <f t="shared" si="147"/>
        <v>0</v>
      </c>
      <c r="AK251" s="141">
        <f t="shared" si="147"/>
        <v>0</v>
      </c>
      <c r="AL251" s="141">
        <f t="shared" si="147"/>
        <v>0</v>
      </c>
      <c r="AM251" s="141">
        <f t="shared" si="147"/>
        <v>0</v>
      </c>
      <c r="AN251" s="141">
        <f t="shared" si="147"/>
        <v>0</v>
      </c>
      <c r="AO251" s="141">
        <f t="shared" si="147"/>
        <v>0</v>
      </c>
      <c r="AP251" s="141">
        <f t="shared" si="147"/>
        <v>0</v>
      </c>
    </row>
    <row r="252" spans="1:52" s="118" customFormat="1">
      <c r="A252" s="42" t="s">
        <v>159</v>
      </c>
      <c r="C252" s="141">
        <f>C157</f>
        <v>20000</v>
      </c>
      <c r="D252" s="141">
        <f t="shared" ref="D252:AP252" si="148">D157</f>
        <v>0</v>
      </c>
      <c r="E252" s="141">
        <f t="shared" si="148"/>
        <v>0</v>
      </c>
      <c r="F252" s="141">
        <f t="shared" si="148"/>
        <v>0</v>
      </c>
      <c r="G252" s="141">
        <f t="shared" si="148"/>
        <v>0</v>
      </c>
      <c r="H252" s="141">
        <f t="shared" si="148"/>
        <v>0</v>
      </c>
      <c r="I252" s="141">
        <f t="shared" si="148"/>
        <v>0</v>
      </c>
      <c r="J252" s="141">
        <f t="shared" si="148"/>
        <v>0</v>
      </c>
      <c r="K252" s="141">
        <f t="shared" si="148"/>
        <v>0</v>
      </c>
      <c r="L252" s="141">
        <f t="shared" si="148"/>
        <v>0</v>
      </c>
      <c r="M252" s="141">
        <f t="shared" si="148"/>
        <v>0</v>
      </c>
      <c r="N252" s="141">
        <f t="shared" si="148"/>
        <v>0</v>
      </c>
      <c r="O252" s="141">
        <f t="shared" si="148"/>
        <v>0</v>
      </c>
      <c r="P252" s="141">
        <f t="shared" si="148"/>
        <v>0</v>
      </c>
      <c r="Q252" s="141">
        <f t="shared" si="148"/>
        <v>0</v>
      </c>
      <c r="R252" s="141">
        <f t="shared" si="148"/>
        <v>0</v>
      </c>
      <c r="S252" s="141">
        <f t="shared" si="148"/>
        <v>0</v>
      </c>
      <c r="T252" s="141">
        <f t="shared" si="148"/>
        <v>0</v>
      </c>
      <c r="U252" s="141">
        <f t="shared" si="148"/>
        <v>0</v>
      </c>
      <c r="V252" s="141">
        <f t="shared" si="148"/>
        <v>0</v>
      </c>
      <c r="W252" s="141">
        <f t="shared" si="148"/>
        <v>0</v>
      </c>
      <c r="X252" s="141">
        <f t="shared" si="148"/>
        <v>0</v>
      </c>
      <c r="Y252" s="141">
        <f t="shared" si="148"/>
        <v>0</v>
      </c>
      <c r="Z252" s="141">
        <f t="shared" si="148"/>
        <v>0</v>
      </c>
      <c r="AA252" s="141">
        <f t="shared" si="148"/>
        <v>0</v>
      </c>
      <c r="AB252" s="141">
        <f t="shared" si="148"/>
        <v>0</v>
      </c>
      <c r="AC252" s="141">
        <f t="shared" si="148"/>
        <v>0</v>
      </c>
      <c r="AD252" s="141">
        <f t="shared" si="148"/>
        <v>0</v>
      </c>
      <c r="AE252" s="141">
        <f t="shared" si="148"/>
        <v>0</v>
      </c>
      <c r="AF252" s="141">
        <f t="shared" si="148"/>
        <v>0</v>
      </c>
      <c r="AG252" s="141">
        <f t="shared" si="148"/>
        <v>0</v>
      </c>
      <c r="AH252" s="141">
        <f t="shared" si="148"/>
        <v>0</v>
      </c>
      <c r="AI252" s="141">
        <f t="shared" si="148"/>
        <v>0</v>
      </c>
      <c r="AJ252" s="141">
        <f t="shared" si="148"/>
        <v>0</v>
      </c>
      <c r="AK252" s="141">
        <f t="shared" si="148"/>
        <v>0</v>
      </c>
      <c r="AL252" s="141">
        <f t="shared" si="148"/>
        <v>0</v>
      </c>
      <c r="AM252" s="141">
        <f t="shared" si="148"/>
        <v>0</v>
      </c>
      <c r="AN252" s="141">
        <f t="shared" si="148"/>
        <v>0</v>
      </c>
      <c r="AO252" s="141">
        <f t="shared" si="148"/>
        <v>0</v>
      </c>
      <c r="AP252" s="141">
        <f t="shared" si="148"/>
        <v>0</v>
      </c>
    </row>
    <row r="253" spans="1:52" s="118" customFormat="1">
      <c r="A253" s="42" t="s">
        <v>567</v>
      </c>
      <c r="C253" s="203">
        <f>C161</f>
        <v>0</v>
      </c>
      <c r="D253" s="203">
        <f t="shared" ref="D253:AP253" si="149">D161</f>
        <v>0</v>
      </c>
      <c r="E253" s="203">
        <f t="shared" si="149"/>
        <v>0</v>
      </c>
      <c r="F253" s="203">
        <f t="shared" si="149"/>
        <v>0</v>
      </c>
      <c r="G253" s="203">
        <f t="shared" si="149"/>
        <v>0</v>
      </c>
      <c r="H253" s="203">
        <f t="shared" si="149"/>
        <v>0</v>
      </c>
      <c r="I253" s="203">
        <f t="shared" si="149"/>
        <v>0</v>
      </c>
      <c r="J253" s="203">
        <f t="shared" si="149"/>
        <v>0</v>
      </c>
      <c r="K253" s="203">
        <f t="shared" si="149"/>
        <v>0</v>
      </c>
      <c r="L253" s="203">
        <f t="shared" si="149"/>
        <v>0</v>
      </c>
      <c r="M253" s="203">
        <f t="shared" si="149"/>
        <v>0</v>
      </c>
      <c r="N253" s="203">
        <f t="shared" si="149"/>
        <v>0</v>
      </c>
      <c r="O253" s="203">
        <f t="shared" si="149"/>
        <v>0</v>
      </c>
      <c r="P253" s="203">
        <f t="shared" si="149"/>
        <v>0</v>
      </c>
      <c r="Q253" s="203">
        <f t="shared" si="149"/>
        <v>0</v>
      </c>
      <c r="R253" s="203">
        <f t="shared" si="149"/>
        <v>0</v>
      </c>
      <c r="S253" s="203">
        <f t="shared" si="149"/>
        <v>0</v>
      </c>
      <c r="T253" s="203">
        <f t="shared" si="149"/>
        <v>0</v>
      </c>
      <c r="U253" s="203">
        <f t="shared" si="149"/>
        <v>0</v>
      </c>
      <c r="V253" s="203">
        <f t="shared" si="149"/>
        <v>0</v>
      </c>
      <c r="W253" s="203">
        <f t="shared" si="149"/>
        <v>0</v>
      </c>
      <c r="X253" s="203">
        <f t="shared" si="149"/>
        <v>0</v>
      </c>
      <c r="Y253" s="203">
        <f t="shared" si="149"/>
        <v>0</v>
      </c>
      <c r="Z253" s="203">
        <f t="shared" si="149"/>
        <v>0</v>
      </c>
      <c r="AA253" s="203">
        <f t="shared" si="149"/>
        <v>0</v>
      </c>
      <c r="AB253" s="203">
        <f t="shared" si="149"/>
        <v>0</v>
      </c>
      <c r="AC253" s="203">
        <f t="shared" si="149"/>
        <v>0</v>
      </c>
      <c r="AD253" s="203">
        <f t="shared" si="149"/>
        <v>0</v>
      </c>
      <c r="AE253" s="203">
        <f t="shared" si="149"/>
        <v>0</v>
      </c>
      <c r="AF253" s="203">
        <f t="shared" si="149"/>
        <v>0</v>
      </c>
      <c r="AG253" s="203">
        <f t="shared" si="149"/>
        <v>0</v>
      </c>
      <c r="AH253" s="203">
        <f t="shared" si="149"/>
        <v>0</v>
      </c>
      <c r="AI253" s="203">
        <f t="shared" si="149"/>
        <v>0</v>
      </c>
      <c r="AJ253" s="203">
        <f t="shared" si="149"/>
        <v>0</v>
      </c>
      <c r="AK253" s="203">
        <f t="shared" si="149"/>
        <v>0</v>
      </c>
      <c r="AL253" s="203">
        <f t="shared" si="149"/>
        <v>0</v>
      </c>
      <c r="AM253" s="203">
        <f t="shared" si="149"/>
        <v>0</v>
      </c>
      <c r="AN253" s="203">
        <f t="shared" si="149"/>
        <v>0</v>
      </c>
      <c r="AO253" s="203">
        <f t="shared" si="149"/>
        <v>0</v>
      </c>
      <c r="AP253" s="203">
        <f t="shared" si="149"/>
        <v>0</v>
      </c>
    </row>
    <row r="254" spans="1:52" s="118" customFormat="1">
      <c r="A254" s="42" t="s">
        <v>118</v>
      </c>
      <c r="C254" s="198">
        <f>SUM(C248:C253)</f>
        <v>-6982193.7374701351</v>
      </c>
      <c r="D254" s="198">
        <f t="shared" ref="D254:AP254" si="150">SUM(D248:D253)</f>
        <v>-6449362.3270211434</v>
      </c>
      <c r="E254" s="198">
        <f t="shared" si="150"/>
        <v>-2031255.9107818357</v>
      </c>
      <c r="F254" s="198">
        <f t="shared" si="150"/>
        <v>634154.98541986838</v>
      </c>
      <c r="G254" s="198">
        <f t="shared" si="150"/>
        <v>691472.44971295365</v>
      </c>
      <c r="H254" s="198">
        <f t="shared" si="150"/>
        <v>2698951.7198420768</v>
      </c>
      <c r="I254" s="198">
        <f t="shared" si="150"/>
        <v>4701355.1255042702</v>
      </c>
      <c r="J254" s="198">
        <f t="shared" si="150"/>
        <v>4759755.7295404216</v>
      </c>
      <c r="K254" s="198">
        <f t="shared" si="150"/>
        <v>4791283.0985615216</v>
      </c>
      <c r="L254" s="198">
        <f t="shared" si="150"/>
        <v>4814463.0472046761</v>
      </c>
      <c r="M254" s="198">
        <f t="shared" si="150"/>
        <v>4872976.3048061915</v>
      </c>
      <c r="N254" s="198">
        <f t="shared" si="150"/>
        <v>4347228.4420322888</v>
      </c>
      <c r="O254" s="198">
        <f t="shared" si="150"/>
        <v>3940812.962114485</v>
      </c>
      <c r="P254" s="198">
        <f t="shared" si="150"/>
        <v>4356848.6947749788</v>
      </c>
      <c r="Q254" s="198">
        <f t="shared" si="150"/>
        <v>3436940.7562900647</v>
      </c>
      <c r="R254" s="198">
        <f t="shared" si="150"/>
        <v>2598723.5789585444</v>
      </c>
      <c r="S254" s="198">
        <f t="shared" si="150"/>
        <v>3603569.492633116</v>
      </c>
      <c r="T254" s="198">
        <f t="shared" si="150"/>
        <v>4241947.165445528</v>
      </c>
      <c r="U254" s="198">
        <f t="shared" si="150"/>
        <v>4263194.5452331565</v>
      </c>
      <c r="V254" s="198">
        <f t="shared" si="150"/>
        <v>4660317.1404410964</v>
      </c>
      <c r="W254" s="198">
        <f t="shared" si="150"/>
        <v>5040577.0481652869</v>
      </c>
      <c r="X254" s="198">
        <f t="shared" si="150"/>
        <v>5061741.8223505635</v>
      </c>
      <c r="Y254" s="198">
        <f t="shared" si="150"/>
        <v>5110292.5395732131</v>
      </c>
      <c r="Z254" s="198">
        <f t="shared" si="150"/>
        <v>4459951.2109101033</v>
      </c>
      <c r="AA254" s="198">
        <f t="shared" si="150"/>
        <v>4284038.1092232484</v>
      </c>
      <c r="AB254" s="198">
        <f t="shared" si="150"/>
        <v>4753806.7151021482</v>
      </c>
      <c r="AC254" s="198">
        <f t="shared" si="150"/>
        <v>5018243.959301508</v>
      </c>
      <c r="AD254" s="198">
        <f t="shared" si="150"/>
        <v>5015836.9234970659</v>
      </c>
      <c r="AE254" s="198">
        <f t="shared" si="150"/>
        <v>5251509.6268003117</v>
      </c>
      <c r="AF254" s="198">
        <f t="shared" si="150"/>
        <v>7796781.1951972656</v>
      </c>
      <c r="AG254" s="198">
        <f t="shared" si="150"/>
        <v>0</v>
      </c>
      <c r="AH254" s="198">
        <f t="shared" si="150"/>
        <v>0</v>
      </c>
      <c r="AI254" s="198">
        <f t="shared" si="150"/>
        <v>0</v>
      </c>
      <c r="AJ254" s="198">
        <f t="shared" si="150"/>
        <v>0</v>
      </c>
      <c r="AK254" s="198">
        <f t="shared" si="150"/>
        <v>0</v>
      </c>
      <c r="AL254" s="198">
        <f t="shared" si="150"/>
        <v>0</v>
      </c>
      <c r="AM254" s="198">
        <f t="shared" si="150"/>
        <v>0</v>
      </c>
      <c r="AN254" s="198">
        <f t="shared" si="150"/>
        <v>0</v>
      </c>
      <c r="AO254" s="198">
        <f t="shared" si="150"/>
        <v>0</v>
      </c>
      <c r="AP254" s="198">
        <f t="shared" si="150"/>
        <v>0</v>
      </c>
    </row>
    <row r="255" spans="1:52" s="118" customFormat="1">
      <c r="A255" s="42" t="s">
        <v>420</v>
      </c>
    </row>
    <row r="256" spans="1:52" s="118" customFormat="1">
      <c r="A256" s="204" t="str">
        <f>'Inputs &amp; Results'!A49</f>
        <v>Fixed Amount ($)</v>
      </c>
    </row>
    <row r="257" spans="1:42" s="118" customFormat="1">
      <c r="A257" s="205" t="str">
        <f>'Inputs &amp; Results'!A50</f>
        <v>Federal</v>
      </c>
      <c r="C257" s="198">
        <f>IF(IBIFedFixedFedTax="Yes",C597,0)</f>
        <v>1000</v>
      </c>
    </row>
    <row r="258" spans="1:42" s="118" customFormat="1">
      <c r="A258" s="205" t="str">
        <f>'Inputs &amp; Results'!A51</f>
        <v>State</v>
      </c>
      <c r="C258" s="198">
        <f>IF(IBIStateFixedFedTax="Yes",C598,0)</f>
        <v>2000</v>
      </c>
    </row>
    <row r="259" spans="1:42" s="118" customFormat="1">
      <c r="A259" s="205" t="str">
        <f>'Inputs &amp; Results'!A52</f>
        <v>Utility</v>
      </c>
      <c r="C259" s="198">
        <f>IF(IBIUtilityFixedFedTax="Yes",C599,0)</f>
        <v>500</v>
      </c>
    </row>
    <row r="260" spans="1:42">
      <c r="A260" s="205" t="str">
        <f>'Inputs &amp; Results'!A53</f>
        <v>Other</v>
      </c>
      <c r="C260" s="203">
        <f>IF(IBIOtherFixedFedTax="Yes",C600,0)</f>
        <v>250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5" t="s">
        <v>53</v>
      </c>
      <c r="C261" s="186">
        <f>SUM(C257:C260)</f>
        <v>3750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204" t="str">
        <f>'Inputs &amp; Results'!A54</f>
        <v>Percentage of Pre-Financing Costs</v>
      </c>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5" t="str">
        <f>'Inputs &amp; Results'!A55</f>
        <v>Federal</v>
      </c>
      <c r="C263" s="198">
        <f>IF(IBIFedPercentFedTax="Yes",C603,0)</f>
        <v>2011357.5</v>
      </c>
      <c r="D263" s="186"/>
      <c r="E263" s="186"/>
      <c r="F263" s="186"/>
      <c r="G263" s="186"/>
      <c r="H263" s="186"/>
      <c r="I263" s="186"/>
      <c r="J263" s="186"/>
      <c r="K263" s="186"/>
      <c r="L263" s="186"/>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row>
    <row r="264" spans="1:42">
      <c r="A264" s="205" t="str">
        <f>'Inputs &amp; Results'!A56</f>
        <v>State</v>
      </c>
      <c r="C264" s="198">
        <f>IF(IBIStatePercentFedTax="Yes",C604,0)</f>
        <v>4022715</v>
      </c>
      <c r="D264" s="186"/>
      <c r="E264" s="186"/>
      <c r="F264" s="186"/>
      <c r="G264" s="186"/>
      <c r="H264" s="186"/>
      <c r="I264" s="186"/>
      <c r="J264" s="186"/>
      <c r="K264" s="186"/>
      <c r="L264" s="186"/>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row>
    <row r="265" spans="1:42">
      <c r="A265" s="205" t="str">
        <f>'Inputs &amp; Results'!A57</f>
        <v>Utility</v>
      </c>
      <c r="C265" s="198">
        <f>IF(IBIUtilityPercentFedTax="Yes",C605,0)</f>
        <v>402271.5</v>
      </c>
      <c r="D265" s="186"/>
      <c r="E265" s="186"/>
      <c r="F265" s="186"/>
      <c r="G265" s="186"/>
      <c r="H265" s="186"/>
      <c r="I265" s="186"/>
      <c r="J265" s="186"/>
      <c r="K265" s="186"/>
      <c r="L265" s="186"/>
      <c r="M265" s="186"/>
      <c r="N265" s="186"/>
      <c r="O265" s="186"/>
      <c r="P265" s="186"/>
      <c r="Q265" s="186"/>
      <c r="R265" s="186"/>
      <c r="S265" s="186"/>
      <c r="T265" s="186"/>
      <c r="U265" s="186"/>
      <c r="V265" s="186"/>
      <c r="W265" s="186"/>
      <c r="X265" s="186"/>
      <c r="Y265" s="186"/>
      <c r="Z265" s="186"/>
      <c r="AA265" s="186"/>
      <c r="AB265" s="186"/>
      <c r="AC265" s="186"/>
      <c r="AD265" s="186"/>
      <c r="AE265" s="186"/>
      <c r="AF265" s="186"/>
      <c r="AG265" s="186"/>
      <c r="AH265" s="186"/>
      <c r="AI265" s="186"/>
      <c r="AJ265" s="186"/>
      <c r="AK265" s="186"/>
      <c r="AL265" s="186"/>
      <c r="AM265" s="186"/>
      <c r="AN265" s="186"/>
      <c r="AO265" s="186"/>
      <c r="AP265" s="186"/>
    </row>
    <row r="266" spans="1:42">
      <c r="A266" s="205" t="str">
        <f>'Inputs &amp; Results'!A58</f>
        <v>Other</v>
      </c>
      <c r="C266" s="203">
        <f>IF(IBIOtherPercentFedTax="Yes",C606,0)</f>
        <v>201135.75</v>
      </c>
      <c r="D266" s="186"/>
      <c r="E266" s="186"/>
      <c r="F266" s="186"/>
      <c r="G266" s="186"/>
      <c r="H266" s="186"/>
      <c r="I266" s="186"/>
      <c r="J266" s="186"/>
      <c r="K266" s="186"/>
      <c r="L266" s="186"/>
      <c r="M266" s="186"/>
      <c r="N266" s="186"/>
      <c r="O266" s="186"/>
      <c r="P266" s="186"/>
      <c r="Q266" s="186"/>
      <c r="R266" s="186"/>
      <c r="S266" s="186"/>
      <c r="T266" s="186"/>
      <c r="U266" s="186"/>
      <c r="V266" s="186"/>
      <c r="W266" s="186"/>
      <c r="X266" s="186"/>
      <c r="Y266" s="186"/>
      <c r="Z266" s="186"/>
      <c r="AA266" s="186"/>
      <c r="AB266" s="186"/>
      <c r="AC266" s="186"/>
      <c r="AD266" s="186"/>
      <c r="AE266" s="186"/>
      <c r="AF266" s="186"/>
      <c r="AG266" s="186"/>
      <c r="AH266" s="186"/>
      <c r="AI266" s="186"/>
      <c r="AJ266" s="186"/>
      <c r="AK266" s="186"/>
      <c r="AL266" s="186"/>
      <c r="AM266" s="186"/>
      <c r="AN266" s="186"/>
      <c r="AO266" s="186"/>
      <c r="AP266" s="186"/>
    </row>
    <row r="267" spans="1:42">
      <c r="A267" s="205" t="s">
        <v>53</v>
      </c>
      <c r="C267" s="186">
        <f>SUM(C263:C266)</f>
        <v>6637479.75</v>
      </c>
      <c r="D267" s="186"/>
      <c r="E267" s="186"/>
      <c r="F267" s="186"/>
      <c r="G267" s="186"/>
      <c r="H267" s="186"/>
      <c r="I267" s="186"/>
      <c r="J267" s="186"/>
      <c r="K267" s="186"/>
      <c r="L267" s="186"/>
      <c r="M267" s="186"/>
      <c r="N267" s="186"/>
      <c r="O267" s="186"/>
      <c r="P267" s="186"/>
      <c r="Q267" s="186"/>
      <c r="R267" s="186"/>
      <c r="S267" s="186"/>
      <c r="T267" s="186"/>
      <c r="U267" s="186"/>
      <c r="V267" s="186"/>
      <c r="W267" s="186"/>
      <c r="X267" s="186"/>
      <c r="Y267" s="186"/>
      <c r="Z267" s="186"/>
      <c r="AA267" s="186"/>
      <c r="AB267" s="186"/>
      <c r="AC267" s="186"/>
      <c r="AD267" s="186"/>
      <c r="AE267" s="186"/>
      <c r="AF267" s="186"/>
      <c r="AG267" s="186"/>
      <c r="AH267" s="186"/>
      <c r="AI267" s="186"/>
      <c r="AJ267" s="186"/>
      <c r="AK267" s="186"/>
      <c r="AL267" s="186"/>
      <c r="AM267" s="186"/>
      <c r="AN267" s="186"/>
      <c r="AO267" s="186"/>
      <c r="AP267" s="186"/>
    </row>
    <row r="268" spans="1:42">
      <c r="A268" s="197" t="str">
        <f>'Inputs &amp; Results'!A59</f>
        <v>Capacity Based Incentive (CBI) ($/DC-Watt)</v>
      </c>
      <c r="C268" s="186"/>
      <c r="D268" s="186"/>
      <c r="E268" s="186"/>
      <c r="F268" s="186"/>
      <c r="G268" s="186"/>
      <c r="H268" s="186"/>
      <c r="I268" s="186"/>
      <c r="J268" s="186"/>
      <c r="K268" s="186"/>
      <c r="L268" s="186"/>
      <c r="M268" s="186"/>
      <c r="N268" s="186"/>
      <c r="O268" s="186"/>
      <c r="P268" s="186"/>
      <c r="Q268" s="186"/>
      <c r="R268" s="186"/>
      <c r="S268" s="186"/>
      <c r="T268" s="186"/>
      <c r="U268" s="186"/>
      <c r="V268" s="186"/>
      <c r="W268" s="186"/>
      <c r="X268" s="186"/>
      <c r="Y268" s="186"/>
      <c r="Z268" s="186"/>
      <c r="AA268" s="186"/>
      <c r="AB268" s="186"/>
      <c r="AC268" s="186"/>
      <c r="AD268" s="186"/>
      <c r="AE268" s="186"/>
      <c r="AF268" s="186"/>
      <c r="AG268" s="186"/>
      <c r="AH268" s="186"/>
      <c r="AI268" s="186"/>
      <c r="AJ268" s="186"/>
      <c r="AK268" s="186"/>
      <c r="AL268" s="186"/>
      <c r="AM268" s="186"/>
      <c r="AN268" s="186"/>
      <c r="AO268" s="186"/>
      <c r="AP268" s="186"/>
    </row>
    <row r="269" spans="1:42">
      <c r="A269" s="204" t="str">
        <f>'Inputs &amp; Results'!A60</f>
        <v>Federal</v>
      </c>
      <c r="C269" s="141">
        <f>IF(CBIFedFedTax="Yes",C609,0)</f>
        <v>5000000</v>
      </c>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204" t="str">
        <f>'Inputs &amp; Results'!A61</f>
        <v>State</v>
      </c>
      <c r="C270" s="141">
        <f>IF(CBIStateFedTax="Yes",C610,0)</f>
        <v>2000000</v>
      </c>
      <c r="D270" s="186"/>
      <c r="E270" s="186"/>
      <c r="F270" s="186"/>
      <c r="G270" s="186"/>
      <c r="H270" s="186"/>
      <c r="I270" s="186"/>
      <c r="J270" s="186"/>
      <c r="K270" s="186"/>
      <c r="L270" s="186"/>
      <c r="M270" s="186"/>
      <c r="N270" s="186"/>
      <c r="O270" s="186"/>
      <c r="P270" s="186"/>
      <c r="Q270" s="186"/>
      <c r="R270" s="186"/>
      <c r="S270" s="186"/>
      <c r="T270" s="186"/>
      <c r="U270" s="186"/>
      <c r="V270" s="186"/>
      <c r="W270" s="186"/>
      <c r="X270" s="186"/>
      <c r="Y270" s="186"/>
      <c r="Z270" s="186"/>
      <c r="AA270" s="186"/>
      <c r="AB270" s="186"/>
      <c r="AC270" s="186"/>
      <c r="AD270" s="186"/>
      <c r="AE270" s="186"/>
      <c r="AF270" s="186"/>
      <c r="AG270" s="186"/>
      <c r="AH270" s="186"/>
      <c r="AI270" s="186"/>
      <c r="AJ270" s="186"/>
      <c r="AK270" s="186"/>
      <c r="AL270" s="186"/>
      <c r="AM270" s="186"/>
      <c r="AN270" s="186"/>
      <c r="AO270" s="186"/>
      <c r="AP270" s="186"/>
    </row>
    <row r="271" spans="1:42">
      <c r="A271" s="204" t="str">
        <f>'Inputs &amp; Results'!A62</f>
        <v>Utility</v>
      </c>
      <c r="C271" s="141">
        <f>IF(CBIUtilityFedTax="Yes",C611,0)</f>
        <v>100000</v>
      </c>
      <c r="D271" s="186"/>
      <c r="E271" s="186"/>
      <c r="F271" s="186"/>
      <c r="G271" s="186"/>
      <c r="H271" s="186"/>
      <c r="I271" s="186"/>
      <c r="J271" s="186"/>
      <c r="K271" s="186"/>
      <c r="L271" s="186"/>
      <c r="M271" s="186"/>
      <c r="N271" s="186"/>
      <c r="O271" s="186"/>
      <c r="P271" s="186"/>
      <c r="Q271" s="186"/>
      <c r="R271" s="186"/>
      <c r="S271" s="186"/>
      <c r="T271" s="186"/>
      <c r="U271" s="186"/>
      <c r="V271" s="186"/>
      <c r="W271" s="186"/>
      <c r="X271" s="186"/>
      <c r="Y271" s="186"/>
      <c r="Z271" s="186"/>
      <c r="AA271" s="186"/>
      <c r="AB271" s="186"/>
      <c r="AC271" s="186"/>
      <c r="AD271" s="186"/>
      <c r="AE271" s="186"/>
      <c r="AF271" s="186"/>
      <c r="AG271" s="186"/>
      <c r="AH271" s="186"/>
      <c r="AI271" s="186"/>
      <c r="AJ271" s="186"/>
      <c r="AK271" s="186"/>
      <c r="AL271" s="186"/>
      <c r="AM271" s="186"/>
      <c r="AN271" s="186"/>
      <c r="AO271" s="186"/>
      <c r="AP271" s="186"/>
    </row>
    <row r="272" spans="1:42">
      <c r="A272" s="204" t="str">
        <f>'Inputs &amp; Results'!A63</f>
        <v>Other</v>
      </c>
      <c r="C272" s="203">
        <f>IF(CBIOtherFedTax="Yes",C612,0)</f>
        <v>50000</v>
      </c>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52">
      <c r="A273" s="204" t="s">
        <v>53</v>
      </c>
      <c r="C273" s="186">
        <f>SUM(C269:C272)</f>
        <v>7150000</v>
      </c>
      <c r="D273" s="186"/>
      <c r="E273" s="186"/>
      <c r="F273" s="186"/>
      <c r="G273" s="186"/>
      <c r="H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row>
    <row r="274" spans="1:52">
      <c r="A274" s="197" t="s">
        <v>131</v>
      </c>
      <c r="C274" s="251">
        <f>C261+C267+C273</f>
        <v>13791229.75</v>
      </c>
      <c r="D274" s="251">
        <f t="shared" ref="D274:AP274" si="151">D261+D267+D273</f>
        <v>0</v>
      </c>
      <c r="E274" s="251">
        <f t="shared" si="151"/>
        <v>0</v>
      </c>
      <c r="F274" s="251">
        <f t="shared" si="151"/>
        <v>0</v>
      </c>
      <c r="G274" s="251">
        <f t="shared" si="151"/>
        <v>0</v>
      </c>
      <c r="H274" s="251">
        <f t="shared" si="151"/>
        <v>0</v>
      </c>
      <c r="I274" s="251">
        <f t="shared" si="151"/>
        <v>0</v>
      </c>
      <c r="J274" s="251">
        <f t="shared" si="151"/>
        <v>0</v>
      </c>
      <c r="K274" s="251">
        <f t="shared" si="151"/>
        <v>0</v>
      </c>
      <c r="L274" s="251">
        <f t="shared" si="151"/>
        <v>0</v>
      </c>
      <c r="M274" s="251">
        <f t="shared" si="151"/>
        <v>0</v>
      </c>
      <c r="N274" s="251">
        <f t="shared" si="151"/>
        <v>0</v>
      </c>
      <c r="O274" s="251">
        <f t="shared" si="151"/>
        <v>0</v>
      </c>
      <c r="P274" s="251">
        <f t="shared" si="151"/>
        <v>0</v>
      </c>
      <c r="Q274" s="251">
        <f t="shared" si="151"/>
        <v>0</v>
      </c>
      <c r="R274" s="251">
        <f t="shared" si="151"/>
        <v>0</v>
      </c>
      <c r="S274" s="251">
        <f t="shared" si="151"/>
        <v>0</v>
      </c>
      <c r="T274" s="251">
        <f t="shared" si="151"/>
        <v>0</v>
      </c>
      <c r="U274" s="251">
        <f t="shared" si="151"/>
        <v>0</v>
      </c>
      <c r="V274" s="251">
        <f t="shared" si="151"/>
        <v>0</v>
      </c>
      <c r="W274" s="251">
        <f t="shared" si="151"/>
        <v>0</v>
      </c>
      <c r="X274" s="251">
        <f t="shared" si="151"/>
        <v>0</v>
      </c>
      <c r="Y274" s="251">
        <f t="shared" si="151"/>
        <v>0</v>
      </c>
      <c r="Z274" s="251">
        <f t="shared" si="151"/>
        <v>0</v>
      </c>
      <c r="AA274" s="251">
        <f t="shared" si="151"/>
        <v>0</v>
      </c>
      <c r="AB274" s="251">
        <f t="shared" si="151"/>
        <v>0</v>
      </c>
      <c r="AC274" s="251">
        <f t="shared" si="151"/>
        <v>0</v>
      </c>
      <c r="AD274" s="251">
        <f t="shared" si="151"/>
        <v>0</v>
      </c>
      <c r="AE274" s="251">
        <f t="shared" si="151"/>
        <v>0</v>
      </c>
      <c r="AF274" s="251">
        <f t="shared" si="151"/>
        <v>0</v>
      </c>
      <c r="AG274" s="251">
        <f t="shared" si="151"/>
        <v>0</v>
      </c>
      <c r="AH274" s="251">
        <f t="shared" si="151"/>
        <v>0</v>
      </c>
      <c r="AI274" s="251">
        <f t="shared" si="151"/>
        <v>0</v>
      </c>
      <c r="AJ274" s="251">
        <f t="shared" si="151"/>
        <v>0</v>
      </c>
      <c r="AK274" s="251">
        <f t="shared" si="151"/>
        <v>0</v>
      </c>
      <c r="AL274" s="251">
        <f t="shared" si="151"/>
        <v>0</v>
      </c>
      <c r="AM274" s="251">
        <f t="shared" si="151"/>
        <v>0</v>
      </c>
      <c r="AN274" s="251">
        <f t="shared" si="151"/>
        <v>0</v>
      </c>
      <c r="AO274" s="251">
        <f t="shared" si="151"/>
        <v>0</v>
      </c>
      <c r="AP274" s="251">
        <f t="shared" si="151"/>
        <v>0</v>
      </c>
      <c r="AQ274" s="40"/>
      <c r="AR274" s="40"/>
      <c r="AS274" s="40"/>
      <c r="AT274" s="40"/>
      <c r="AU274" s="40"/>
      <c r="AV274" s="40"/>
      <c r="AW274" s="40"/>
      <c r="AX274" s="40"/>
      <c r="AY274" s="40"/>
      <c r="AZ274" s="40"/>
    </row>
    <row r="275" spans="1:52" s="118" customFormat="1">
      <c r="A275" s="42" t="s">
        <v>417</v>
      </c>
      <c r="C275" s="198">
        <f>C254+C274</f>
        <v>6809036.0125298649</v>
      </c>
      <c r="D275" s="198">
        <f t="shared" ref="D275:AP275" si="152">D254+D274</f>
        <v>-6449362.3270211434</v>
      </c>
      <c r="E275" s="198">
        <f t="shared" si="152"/>
        <v>-2031255.9107818357</v>
      </c>
      <c r="F275" s="198">
        <f t="shared" si="152"/>
        <v>634154.98541986838</v>
      </c>
      <c r="G275" s="198">
        <f t="shared" si="152"/>
        <v>691472.44971295365</v>
      </c>
      <c r="H275" s="198">
        <f t="shared" si="152"/>
        <v>2698951.7198420768</v>
      </c>
      <c r="I275" s="198">
        <f t="shared" si="152"/>
        <v>4701355.1255042702</v>
      </c>
      <c r="J275" s="198">
        <f t="shared" si="152"/>
        <v>4759755.7295404216</v>
      </c>
      <c r="K275" s="198">
        <f t="shared" si="152"/>
        <v>4791283.0985615216</v>
      </c>
      <c r="L275" s="198">
        <f t="shared" si="152"/>
        <v>4814463.0472046761</v>
      </c>
      <c r="M275" s="198">
        <f t="shared" si="152"/>
        <v>4872976.3048061915</v>
      </c>
      <c r="N275" s="198">
        <f t="shared" si="152"/>
        <v>4347228.4420322888</v>
      </c>
      <c r="O275" s="198">
        <f t="shared" si="152"/>
        <v>3940812.962114485</v>
      </c>
      <c r="P275" s="198">
        <f t="shared" si="152"/>
        <v>4356848.6947749788</v>
      </c>
      <c r="Q275" s="198">
        <f t="shared" si="152"/>
        <v>3436940.7562900647</v>
      </c>
      <c r="R275" s="198">
        <f t="shared" si="152"/>
        <v>2598723.5789585444</v>
      </c>
      <c r="S275" s="198">
        <f t="shared" si="152"/>
        <v>3603569.492633116</v>
      </c>
      <c r="T275" s="198">
        <f t="shared" si="152"/>
        <v>4241947.165445528</v>
      </c>
      <c r="U275" s="198">
        <f t="shared" si="152"/>
        <v>4263194.5452331565</v>
      </c>
      <c r="V275" s="198">
        <f t="shared" si="152"/>
        <v>4660317.1404410964</v>
      </c>
      <c r="W275" s="198">
        <f t="shared" si="152"/>
        <v>5040577.0481652869</v>
      </c>
      <c r="X275" s="198">
        <f t="shared" si="152"/>
        <v>5061741.8223505635</v>
      </c>
      <c r="Y275" s="198">
        <f t="shared" si="152"/>
        <v>5110292.5395732131</v>
      </c>
      <c r="Z275" s="198">
        <f t="shared" si="152"/>
        <v>4459951.2109101033</v>
      </c>
      <c r="AA275" s="198">
        <f t="shared" si="152"/>
        <v>4284038.1092232484</v>
      </c>
      <c r="AB275" s="198">
        <f t="shared" si="152"/>
        <v>4753806.7151021482</v>
      </c>
      <c r="AC275" s="198">
        <f t="shared" si="152"/>
        <v>5018243.959301508</v>
      </c>
      <c r="AD275" s="198">
        <f t="shared" si="152"/>
        <v>5015836.9234970659</v>
      </c>
      <c r="AE275" s="198">
        <f t="shared" si="152"/>
        <v>5251509.6268003117</v>
      </c>
      <c r="AF275" s="198">
        <f t="shared" si="152"/>
        <v>7796781.1951972656</v>
      </c>
      <c r="AG275" s="198">
        <f t="shared" si="152"/>
        <v>0</v>
      </c>
      <c r="AH275" s="198">
        <f t="shared" si="152"/>
        <v>0</v>
      </c>
      <c r="AI275" s="198">
        <f t="shared" si="152"/>
        <v>0</v>
      </c>
      <c r="AJ275" s="198">
        <f t="shared" si="152"/>
        <v>0</v>
      </c>
      <c r="AK275" s="198">
        <f t="shared" si="152"/>
        <v>0</v>
      </c>
      <c r="AL275" s="198">
        <f t="shared" si="152"/>
        <v>0</v>
      </c>
      <c r="AM275" s="198">
        <f t="shared" si="152"/>
        <v>0</v>
      </c>
      <c r="AN275" s="198">
        <f t="shared" si="152"/>
        <v>0</v>
      </c>
      <c r="AO275" s="198">
        <f t="shared" si="152"/>
        <v>0</v>
      </c>
      <c r="AP275" s="198">
        <f t="shared" si="152"/>
        <v>0</v>
      </c>
    </row>
    <row r="276" spans="1:52">
      <c r="A276" s="197" t="s">
        <v>224</v>
      </c>
      <c r="B276" s="40"/>
      <c r="C276" s="194">
        <f t="shared" ref="C276:AP276" si="153">C275*-FedTax</f>
        <v>-2383162.6043854523</v>
      </c>
      <c r="D276" s="194">
        <f t="shared" si="153"/>
        <v>2257276.8144574002</v>
      </c>
      <c r="E276" s="194">
        <f t="shared" si="153"/>
        <v>710939.56877364242</v>
      </c>
      <c r="F276" s="194">
        <f t="shared" si="153"/>
        <v>-221954.24489695393</v>
      </c>
      <c r="G276" s="194">
        <f t="shared" si="153"/>
        <v>-242015.35739953376</v>
      </c>
      <c r="H276" s="194">
        <f t="shared" si="153"/>
        <v>-944633.10194472678</v>
      </c>
      <c r="I276" s="194">
        <f t="shared" si="153"/>
        <v>-1645474.2939264944</v>
      </c>
      <c r="J276" s="194">
        <f t="shared" si="153"/>
        <v>-1665914.5053391475</v>
      </c>
      <c r="K276" s="194">
        <f t="shared" si="153"/>
        <v>-1676949.0844965326</v>
      </c>
      <c r="L276" s="194">
        <f t="shared" si="153"/>
        <v>-1685062.0665216364</v>
      </c>
      <c r="M276" s="194">
        <f t="shared" si="153"/>
        <v>-1705541.706682167</v>
      </c>
      <c r="N276" s="194">
        <f t="shared" si="153"/>
        <v>-1521529.954711301</v>
      </c>
      <c r="O276" s="194">
        <f t="shared" si="153"/>
        <v>-1379284.5367400697</v>
      </c>
      <c r="P276" s="194">
        <f t="shared" si="153"/>
        <v>-1524897.0431712426</v>
      </c>
      <c r="Q276" s="194">
        <f t="shared" si="153"/>
        <v>-1202929.2647015227</v>
      </c>
      <c r="R276" s="194">
        <f t="shared" si="153"/>
        <v>-909553.2526354905</v>
      </c>
      <c r="S276" s="194">
        <f t="shared" si="153"/>
        <v>-1261249.3224215906</v>
      </c>
      <c r="T276" s="194">
        <f t="shared" si="153"/>
        <v>-1484681.5079059347</v>
      </c>
      <c r="U276" s="194">
        <f t="shared" si="153"/>
        <v>-1492118.0908316048</v>
      </c>
      <c r="V276" s="194">
        <f t="shared" si="153"/>
        <v>-1631110.9991543835</v>
      </c>
      <c r="W276" s="194">
        <f t="shared" si="153"/>
        <v>-1764201.9668578503</v>
      </c>
      <c r="X276" s="194">
        <f t="shared" si="153"/>
        <v>-1771609.6378226972</v>
      </c>
      <c r="Y276" s="194">
        <f t="shared" si="153"/>
        <v>-1788602.3888506244</v>
      </c>
      <c r="Z276" s="194">
        <f t="shared" si="153"/>
        <v>-1560982.9238185361</v>
      </c>
      <c r="AA276" s="194">
        <f t="shared" si="153"/>
        <v>-1499413.3382281368</v>
      </c>
      <c r="AB276" s="194">
        <f t="shared" si="153"/>
        <v>-1663832.3502857517</v>
      </c>
      <c r="AC276" s="194">
        <f t="shared" si="153"/>
        <v>-1756385.3857555278</v>
      </c>
      <c r="AD276" s="194">
        <f t="shared" si="153"/>
        <v>-1755542.923223973</v>
      </c>
      <c r="AE276" s="194">
        <f t="shared" si="153"/>
        <v>-1838028.369380109</v>
      </c>
      <c r="AF276" s="194">
        <f t="shared" si="153"/>
        <v>-2728873.4183190428</v>
      </c>
      <c r="AG276" s="194">
        <f t="shared" si="153"/>
        <v>0</v>
      </c>
      <c r="AH276" s="194">
        <f t="shared" si="153"/>
        <v>0</v>
      </c>
      <c r="AI276" s="194">
        <f t="shared" si="153"/>
        <v>0</v>
      </c>
      <c r="AJ276" s="194">
        <f t="shared" si="153"/>
        <v>0</v>
      </c>
      <c r="AK276" s="194">
        <f t="shared" si="153"/>
        <v>0</v>
      </c>
      <c r="AL276" s="194">
        <f t="shared" si="153"/>
        <v>0</v>
      </c>
      <c r="AM276" s="194">
        <f t="shared" si="153"/>
        <v>0</v>
      </c>
      <c r="AN276" s="194">
        <f t="shared" si="153"/>
        <v>0</v>
      </c>
      <c r="AO276" s="194">
        <f t="shared" si="153"/>
        <v>0</v>
      </c>
      <c r="AP276" s="194">
        <f t="shared" si="153"/>
        <v>0</v>
      </c>
    </row>
    <row r="277" spans="1:52" s="118" customFormat="1">
      <c r="A277" s="42"/>
    </row>
    <row r="278" spans="1:52">
      <c r="A278" s="179" t="s">
        <v>457</v>
      </c>
      <c r="C278" s="198"/>
    </row>
    <row r="279" spans="1:52" s="118" customFormat="1">
      <c r="A279" s="195" t="s">
        <v>482</v>
      </c>
      <c r="C279" s="198"/>
    </row>
    <row r="280" spans="1:52" s="118" customFormat="1">
      <c r="A280" s="42" t="s">
        <v>412</v>
      </c>
      <c r="B280" s="198">
        <f t="shared" ref="B280:AP280" si="154">B12</f>
        <v>0</v>
      </c>
      <c r="C280" s="198">
        <f t="shared" si="154"/>
        <v>6751763.4288489567</v>
      </c>
      <c r="D280" s="198">
        <f t="shared" si="154"/>
        <v>6785184.6578217577</v>
      </c>
      <c r="E280" s="198">
        <f t="shared" si="154"/>
        <v>6818771.321877975</v>
      </c>
      <c r="F280" s="198">
        <f t="shared" si="154"/>
        <v>6852524.2399212718</v>
      </c>
      <c r="G280" s="198">
        <f t="shared" si="154"/>
        <v>6886444.2349088825</v>
      </c>
      <c r="H280" s="198">
        <f t="shared" si="154"/>
        <v>6920532.1338716801</v>
      </c>
      <c r="I280" s="198">
        <f t="shared" si="154"/>
        <v>6954788.7679343466</v>
      </c>
      <c r="J280" s="198">
        <f t="shared" si="154"/>
        <v>6989214.9723356199</v>
      </c>
      <c r="K280" s="198">
        <f t="shared" si="154"/>
        <v>7023811.5864486834</v>
      </c>
      <c r="L280" s="198">
        <f t="shared" si="154"/>
        <v>7058579.4538016059</v>
      </c>
      <c r="M280" s="198">
        <f t="shared" si="154"/>
        <v>7093519.4220979242</v>
      </c>
      <c r="N280" s="198">
        <f t="shared" si="154"/>
        <v>7128632.3432373069</v>
      </c>
      <c r="O280" s="198">
        <f t="shared" si="154"/>
        <v>7163919.0733363321</v>
      </c>
      <c r="P280" s="198">
        <f t="shared" si="154"/>
        <v>7199380.472749345</v>
      </c>
      <c r="Q280" s="198">
        <f t="shared" si="154"/>
        <v>7235017.4060894577</v>
      </c>
      <c r="R280" s="198">
        <f t="shared" si="154"/>
        <v>7270830.7422495969</v>
      </c>
      <c r="S280" s="198">
        <f t="shared" si="154"/>
        <v>7306821.3544237344</v>
      </c>
      <c r="T280" s="198">
        <f t="shared" si="154"/>
        <v>7342990.1201281324</v>
      </c>
      <c r="U280" s="198">
        <f t="shared" si="154"/>
        <v>7379337.9212227669</v>
      </c>
      <c r="V280" s="198">
        <f t="shared" si="154"/>
        <v>7415865.6439328184</v>
      </c>
      <c r="W280" s="198">
        <f t="shared" si="154"/>
        <v>7452574.1788702859</v>
      </c>
      <c r="X280" s="198">
        <f t="shared" si="154"/>
        <v>7489464.4210556922</v>
      </c>
      <c r="Y280" s="198">
        <f t="shared" si="154"/>
        <v>7526537.2699399199</v>
      </c>
      <c r="Z280" s="198">
        <f t="shared" si="154"/>
        <v>7563793.6294261208</v>
      </c>
      <c r="AA280" s="198">
        <f t="shared" si="154"/>
        <v>7601234.4078917829</v>
      </c>
      <c r="AB280" s="198">
        <f t="shared" si="154"/>
        <v>7638860.5182108469</v>
      </c>
      <c r="AC280" s="198">
        <f t="shared" si="154"/>
        <v>7676672.8777759913</v>
      </c>
      <c r="AD280" s="198">
        <f t="shared" si="154"/>
        <v>7714672.4085209789</v>
      </c>
      <c r="AE280" s="198">
        <f t="shared" si="154"/>
        <v>7752860.0369431581</v>
      </c>
      <c r="AF280" s="198">
        <f t="shared" si="154"/>
        <v>7791236.6941260267</v>
      </c>
      <c r="AG280" s="198">
        <f t="shared" si="154"/>
        <v>0</v>
      </c>
      <c r="AH280" s="198">
        <f t="shared" si="154"/>
        <v>0</v>
      </c>
      <c r="AI280" s="198">
        <f t="shared" si="154"/>
        <v>0</v>
      </c>
      <c r="AJ280" s="198">
        <f t="shared" si="154"/>
        <v>0</v>
      </c>
      <c r="AK280" s="198">
        <f t="shared" si="154"/>
        <v>0</v>
      </c>
      <c r="AL280" s="198">
        <f t="shared" si="154"/>
        <v>0</v>
      </c>
      <c r="AM280" s="198">
        <f t="shared" si="154"/>
        <v>0</v>
      </c>
      <c r="AN280" s="198">
        <f t="shared" si="154"/>
        <v>0</v>
      </c>
      <c r="AO280" s="198">
        <f t="shared" si="154"/>
        <v>0</v>
      </c>
      <c r="AP280" s="198">
        <f t="shared" si="154"/>
        <v>0</v>
      </c>
    </row>
    <row r="281" spans="1:52" s="118" customFormat="1">
      <c r="A281" s="42" t="s">
        <v>473</v>
      </c>
      <c r="B281" s="198">
        <f t="shared" ref="B281:AP281" si="155">B49</f>
        <v>0</v>
      </c>
      <c r="C281" s="198">
        <f t="shared" si="155"/>
        <v>6125.0000000000009</v>
      </c>
      <c r="D281" s="198">
        <f t="shared" si="155"/>
        <v>18205.811846654171</v>
      </c>
      <c r="E281" s="198">
        <f t="shared" si="155"/>
        <v>30286.623693308342</v>
      </c>
      <c r="F281" s="198">
        <f t="shared" si="155"/>
        <v>40564.541789962517</v>
      </c>
      <c r="G281" s="198">
        <f t="shared" si="155"/>
        <v>52672.804722215893</v>
      </c>
      <c r="H281" s="198">
        <f t="shared" si="155"/>
        <v>64781.067654469291</v>
      </c>
      <c r="I281" s="198">
        <f t="shared" si="155"/>
        <v>75004.083579925034</v>
      </c>
      <c r="J281" s="198">
        <f t="shared" si="155"/>
        <v>87141.051518759807</v>
      </c>
      <c r="K281" s="198">
        <f t="shared" si="155"/>
        <v>99278.01945759455</v>
      </c>
      <c r="L281" s="198">
        <f t="shared" si="155"/>
        <v>109443.62536988755</v>
      </c>
      <c r="M281" s="198">
        <f t="shared" si="155"/>
        <v>121610.60951335869</v>
      </c>
      <c r="N281" s="198">
        <f t="shared" si="155"/>
        <v>133777.59365682982</v>
      </c>
      <c r="O281" s="198">
        <f t="shared" si="155"/>
        <v>92347.901148577046</v>
      </c>
      <c r="P281" s="198">
        <f t="shared" si="155"/>
        <v>105386.37546337843</v>
      </c>
      <c r="Q281" s="198">
        <f t="shared" si="155"/>
        <v>118424.84977817982</v>
      </c>
      <c r="R281" s="198">
        <f t="shared" si="155"/>
        <v>21529.125128545482</v>
      </c>
      <c r="S281" s="198">
        <f t="shared" si="155"/>
        <v>36398.398355727615</v>
      </c>
      <c r="T281" s="198">
        <f t="shared" si="155"/>
        <v>51267.671582909745</v>
      </c>
      <c r="U281" s="198">
        <f t="shared" si="155"/>
        <v>63882.909231071135</v>
      </c>
      <c r="V281" s="198">
        <f t="shared" si="155"/>
        <v>78786.502685733882</v>
      </c>
      <c r="W281" s="198">
        <f t="shared" si="155"/>
        <v>93690.096140396621</v>
      </c>
      <c r="X281" s="198">
        <f t="shared" si="155"/>
        <v>106236.69333359678</v>
      </c>
      <c r="Y281" s="198">
        <f t="shared" si="155"/>
        <v>121176.17470796108</v>
      </c>
      <c r="Z281" s="198">
        <f t="shared" si="155"/>
        <v>136115.65608232541</v>
      </c>
      <c r="AA281" s="198">
        <f t="shared" si="155"/>
        <v>86973.976921940499</v>
      </c>
      <c r="AB281" s="198">
        <f t="shared" si="155"/>
        <v>96816.277141678642</v>
      </c>
      <c r="AC281" s="198">
        <f t="shared" si="155"/>
        <v>106658.57736141678</v>
      </c>
      <c r="AD281" s="198">
        <f t="shared" si="155"/>
        <v>113923.63589592067</v>
      </c>
      <c r="AE281" s="198">
        <f t="shared" si="155"/>
        <v>123805.1775197134</v>
      </c>
      <c r="AF281" s="198">
        <f t="shared" si="155"/>
        <v>133686.71914350611</v>
      </c>
      <c r="AG281" s="198">
        <f t="shared" si="155"/>
        <v>0</v>
      </c>
      <c r="AH281" s="198">
        <f t="shared" si="155"/>
        <v>0</v>
      </c>
      <c r="AI281" s="198">
        <f t="shared" si="155"/>
        <v>0</v>
      </c>
      <c r="AJ281" s="198">
        <f t="shared" si="155"/>
        <v>0</v>
      </c>
      <c r="AK281" s="198">
        <f t="shared" si="155"/>
        <v>0</v>
      </c>
      <c r="AL281" s="198">
        <f t="shared" si="155"/>
        <v>0</v>
      </c>
      <c r="AM281" s="198">
        <f t="shared" si="155"/>
        <v>0</v>
      </c>
      <c r="AN281" s="198">
        <f t="shared" si="155"/>
        <v>0</v>
      </c>
      <c r="AO281" s="198">
        <f t="shared" si="155"/>
        <v>0</v>
      </c>
      <c r="AP281" s="198">
        <f t="shared" si="155"/>
        <v>0</v>
      </c>
    </row>
    <row r="282" spans="1:52" s="118" customFormat="1">
      <c r="A282" s="42" t="s">
        <v>472</v>
      </c>
      <c r="B282" s="198">
        <f>B750</f>
        <v>0</v>
      </c>
      <c r="C282" s="198">
        <f>C750</f>
        <v>49921.834239420248</v>
      </c>
      <c r="D282" s="198">
        <f t="shared" ref="D282:AP282" si="156">D750</f>
        <v>49921.834239420248</v>
      </c>
      <c r="E282" s="198">
        <f t="shared" si="156"/>
        <v>49921.834239420248</v>
      </c>
      <c r="F282" s="198">
        <f t="shared" si="156"/>
        <v>49921.834239420248</v>
      </c>
      <c r="G282" s="198">
        <f t="shared" si="156"/>
        <v>49921.834239420248</v>
      </c>
      <c r="H282" s="198">
        <f t="shared" si="156"/>
        <v>49921.834239420248</v>
      </c>
      <c r="I282" s="198">
        <f t="shared" si="156"/>
        <v>49921.834239420248</v>
      </c>
      <c r="J282" s="198">
        <f t="shared" si="156"/>
        <v>49921.834239420248</v>
      </c>
      <c r="K282" s="198">
        <f t="shared" si="156"/>
        <v>49921.834239420248</v>
      </c>
      <c r="L282" s="198">
        <f t="shared" si="156"/>
        <v>49921.834239420248</v>
      </c>
      <c r="M282" s="198">
        <f t="shared" si="156"/>
        <v>49921.834239420248</v>
      </c>
      <c r="N282" s="198">
        <f t="shared" si="156"/>
        <v>49921.834239420248</v>
      </c>
      <c r="O282" s="198">
        <f t="shared" si="156"/>
        <v>49921.834239420248</v>
      </c>
      <c r="P282" s="198">
        <f t="shared" si="156"/>
        <v>49921.834239420248</v>
      </c>
      <c r="Q282" s="198">
        <f t="shared" si="156"/>
        <v>49921.834239420248</v>
      </c>
      <c r="R282" s="198">
        <f t="shared" si="156"/>
        <v>49921.834239420248</v>
      </c>
      <c r="S282" s="198">
        <f t="shared" si="156"/>
        <v>49921.834239420248</v>
      </c>
      <c r="T282" s="198">
        <f t="shared" si="156"/>
        <v>49921.834239420248</v>
      </c>
      <c r="U282" s="198">
        <f t="shared" si="156"/>
        <v>49921.834239420248</v>
      </c>
      <c r="V282" s="198">
        <f t="shared" si="156"/>
        <v>49921.834239420248</v>
      </c>
      <c r="W282" s="198">
        <f t="shared" si="156"/>
        <v>49921.834239420248</v>
      </c>
      <c r="X282" s="198">
        <f t="shared" si="156"/>
        <v>49921.834239420248</v>
      </c>
      <c r="Y282" s="198">
        <f t="shared" si="156"/>
        <v>49921.834239420248</v>
      </c>
      <c r="Z282" s="198">
        <f t="shared" si="156"/>
        <v>49921.834239420248</v>
      </c>
      <c r="AA282" s="198">
        <f t="shared" si="156"/>
        <v>49921.834239420248</v>
      </c>
      <c r="AB282" s="198">
        <f t="shared" si="156"/>
        <v>49921.834239420248</v>
      </c>
      <c r="AC282" s="198">
        <f t="shared" si="156"/>
        <v>49921.834239420248</v>
      </c>
      <c r="AD282" s="198">
        <f t="shared" si="156"/>
        <v>49921.834239420248</v>
      </c>
      <c r="AE282" s="198">
        <f t="shared" si="156"/>
        <v>49921.834239420248</v>
      </c>
      <c r="AF282" s="198">
        <f t="shared" si="156"/>
        <v>49921.834239420248</v>
      </c>
      <c r="AG282" s="198">
        <f t="shared" si="156"/>
        <v>0</v>
      </c>
      <c r="AH282" s="198">
        <f t="shared" si="156"/>
        <v>0</v>
      </c>
      <c r="AI282" s="198">
        <f t="shared" si="156"/>
        <v>0</v>
      </c>
      <c r="AJ282" s="198">
        <f t="shared" si="156"/>
        <v>0</v>
      </c>
      <c r="AK282" s="198">
        <f t="shared" si="156"/>
        <v>0</v>
      </c>
      <c r="AL282" s="198">
        <f t="shared" si="156"/>
        <v>0</v>
      </c>
      <c r="AM282" s="198">
        <f t="shared" si="156"/>
        <v>0</v>
      </c>
      <c r="AN282" s="198">
        <f t="shared" si="156"/>
        <v>0</v>
      </c>
      <c r="AO282" s="198">
        <f t="shared" si="156"/>
        <v>0</v>
      </c>
      <c r="AP282" s="198">
        <f t="shared" si="156"/>
        <v>0</v>
      </c>
    </row>
    <row r="283" spans="1:52" s="118" customFormat="1">
      <c r="A283" s="42" t="s">
        <v>414</v>
      </c>
      <c r="B283" s="198">
        <f t="shared" ref="B283:AP283" si="157">-(B23+B27+B31+B39+B40)</f>
        <v>0</v>
      </c>
      <c r="C283" s="198">
        <f t="shared" si="157"/>
        <v>-777254.19374999998</v>
      </c>
      <c r="D283" s="198">
        <f t="shared" si="157"/>
        <v>-771730.84531250002</v>
      </c>
      <c r="E283" s="198">
        <f t="shared" si="157"/>
        <v>-766376.23850343737</v>
      </c>
      <c r="F283" s="198">
        <f t="shared" si="157"/>
        <v>-761193.77251473407</v>
      </c>
      <c r="G283" s="198">
        <f t="shared" si="157"/>
        <v>-756186.91758800286</v>
      </c>
      <c r="H283" s="198">
        <f t="shared" si="157"/>
        <v>-751359.21653930179</v>
      </c>
      <c r="I283" s="198">
        <f t="shared" si="157"/>
        <v>-746714.28631722322</v>
      </c>
      <c r="J283" s="198">
        <f t="shared" si="157"/>
        <v>-742255.81959505379</v>
      </c>
      <c r="K283" s="198">
        <f t="shared" si="157"/>
        <v>-737987.58639776008</v>
      </c>
      <c r="L283" s="198">
        <f t="shared" si="157"/>
        <v>-733913.4357645741</v>
      </c>
      <c r="M283" s="198">
        <f t="shared" si="157"/>
        <v>-730037.29744796408</v>
      </c>
      <c r="N283" s="198">
        <f t="shared" si="157"/>
        <v>-726363.18364979955</v>
      </c>
      <c r="O283" s="198">
        <f t="shared" si="157"/>
        <v>-722895.19079553359</v>
      </c>
      <c r="P283" s="198">
        <f t="shared" si="157"/>
        <v>-719637.50134724576</v>
      </c>
      <c r="Q283" s="198">
        <f t="shared" si="157"/>
        <v>-716594.38565640873</v>
      </c>
      <c r="R283" s="198">
        <f t="shared" si="157"/>
        <v>-713770.2038572568</v>
      </c>
      <c r="S283" s="198">
        <f t="shared" si="157"/>
        <v>-711169.40780165966</v>
      </c>
      <c r="T283" s="198">
        <f t="shared" si="157"/>
        <v>-708796.54303642223</v>
      </c>
      <c r="U283" s="198">
        <f t="shared" si="157"/>
        <v>-706656.25082394935</v>
      </c>
      <c r="V283" s="198">
        <f t="shared" si="157"/>
        <v>-704753.27020724164</v>
      </c>
      <c r="W283" s="198">
        <f t="shared" si="157"/>
        <v>-703092.440120204</v>
      </c>
      <c r="X283" s="198">
        <f t="shared" si="157"/>
        <v>-716009.62373177486</v>
      </c>
      <c r="Y283" s="198">
        <f t="shared" si="157"/>
        <v>-729178.94408740243</v>
      </c>
      <c r="Z283" s="198">
        <f t="shared" si="157"/>
        <v>-742605.55292392347</v>
      </c>
      <c r="AA283" s="198">
        <f t="shared" si="157"/>
        <v>-756294.71078391466</v>
      </c>
      <c r="AB283" s="198">
        <f t="shared" si="157"/>
        <v>-770251.78936812212</v>
      </c>
      <c r="AC283" s="198">
        <f t="shared" si="157"/>
        <v>-784482.27393958764</v>
      </c>
      <c r="AD283" s="198">
        <f t="shared" si="157"/>
        <v>-798991.765780624</v>
      </c>
      <c r="AE283" s="198">
        <f t="shared" si="157"/>
        <v>-813785.98470381368</v>
      </c>
      <c r="AF283" s="198">
        <f t="shared" si="157"/>
        <v>-828870.77161823248</v>
      </c>
      <c r="AG283" s="198">
        <f t="shared" si="157"/>
        <v>0</v>
      </c>
      <c r="AH283" s="198">
        <f t="shared" si="157"/>
        <v>0</v>
      </c>
      <c r="AI283" s="198">
        <f t="shared" si="157"/>
        <v>0</v>
      </c>
      <c r="AJ283" s="198">
        <f t="shared" si="157"/>
        <v>0</v>
      </c>
      <c r="AK283" s="198">
        <f t="shared" si="157"/>
        <v>0</v>
      </c>
      <c r="AL283" s="198">
        <f t="shared" si="157"/>
        <v>0</v>
      </c>
      <c r="AM283" s="198">
        <f t="shared" si="157"/>
        <v>0</v>
      </c>
      <c r="AN283" s="198">
        <f t="shared" si="157"/>
        <v>0</v>
      </c>
      <c r="AO283" s="198">
        <f t="shared" si="157"/>
        <v>0</v>
      </c>
      <c r="AP283" s="198">
        <f t="shared" si="157"/>
        <v>0</v>
      </c>
    </row>
    <row r="284" spans="1:52" s="118" customFormat="1">
      <c r="A284" s="42" t="s">
        <v>415</v>
      </c>
      <c r="B284" s="203">
        <f t="shared" ref="B284" si="158">-B76</f>
        <v>0</v>
      </c>
      <c r="C284" s="203">
        <f t="shared" ref="C284:AP284" si="159">-C76</f>
        <v>-4890302.1295758607</v>
      </c>
      <c r="D284" s="203">
        <f t="shared" si="159"/>
        <v>-4933327.5188328158</v>
      </c>
      <c r="E284" s="203">
        <f t="shared" si="159"/>
        <v>-4976189.6015447509</v>
      </c>
      <c r="F284" s="203">
        <f t="shared" si="159"/>
        <v>-5015511.0702105928</v>
      </c>
      <c r="G284" s="203">
        <f t="shared" si="159"/>
        <v>-5058056.5190571873</v>
      </c>
      <c r="H284" s="203">
        <f t="shared" si="159"/>
        <v>-5100420.9247209392</v>
      </c>
      <c r="I284" s="203">
        <f t="shared" si="159"/>
        <v>-5139072.5724151758</v>
      </c>
      <c r="J284" s="203">
        <f t="shared" si="159"/>
        <v>-5181084.912123342</v>
      </c>
      <c r="K284" s="203">
        <f t="shared" si="159"/>
        <v>-5222897.2420313396</v>
      </c>
      <c r="L284" s="203">
        <f t="shared" si="159"/>
        <v>-5260816.3791882154</v>
      </c>
      <c r="M284" s="203">
        <f t="shared" si="159"/>
        <v>-5302238.7293956364</v>
      </c>
      <c r="N284" s="203">
        <f t="shared" si="159"/>
        <v>-5343440.7931166962</v>
      </c>
      <c r="O284" s="203">
        <f t="shared" si="159"/>
        <v>-5281019.390732849</v>
      </c>
      <c r="P284" s="203">
        <f t="shared" si="159"/>
        <v>-5322631.0195524516</v>
      </c>
      <c r="Q284" s="203">
        <f t="shared" si="159"/>
        <v>-5364000.6898545725</v>
      </c>
      <c r="R284" s="203">
        <f t="shared" si="159"/>
        <v>-5190569.5723522557</v>
      </c>
      <c r="S284" s="203">
        <f t="shared" si="159"/>
        <v>-5233263.3071025787</v>
      </c>
      <c r="T284" s="203">
        <f t="shared" si="159"/>
        <v>-5275691.9251586702</v>
      </c>
      <c r="U284" s="203">
        <f t="shared" si="159"/>
        <v>-5313632.168904366</v>
      </c>
      <c r="V284" s="203">
        <f t="shared" si="159"/>
        <v>-5355540.495705178</v>
      </c>
      <c r="W284" s="203">
        <f t="shared" si="159"/>
        <v>-5397158.9648041232</v>
      </c>
      <c r="X284" s="203">
        <f t="shared" si="159"/>
        <v>-5419740.3031346705</v>
      </c>
      <c r="Y284" s="203">
        <f t="shared" si="159"/>
        <v>-5446457.9822864523</v>
      </c>
      <c r="Z284" s="203">
        <f t="shared" si="159"/>
        <v>-5472859.3769442905</v>
      </c>
      <c r="AA284" s="203">
        <f t="shared" si="159"/>
        <v>-5726121.6188261108</v>
      </c>
      <c r="AB284" s="203">
        <f t="shared" si="159"/>
        <v>-5746765.4527849043</v>
      </c>
      <c r="AC284" s="203">
        <f t="shared" si="159"/>
        <v>-5767064.7800426027</v>
      </c>
      <c r="AD284" s="203">
        <f t="shared" si="159"/>
        <v>-5782190.1666202499</v>
      </c>
      <c r="AE284" s="203">
        <f t="shared" si="159"/>
        <v>-5801810.0259299027</v>
      </c>
      <c r="AF284" s="203">
        <f t="shared" si="159"/>
        <v>-5821055.2441727538</v>
      </c>
      <c r="AG284" s="203">
        <f t="shared" si="159"/>
        <v>0</v>
      </c>
      <c r="AH284" s="203">
        <f t="shared" si="159"/>
        <v>0</v>
      </c>
      <c r="AI284" s="203">
        <f t="shared" si="159"/>
        <v>0</v>
      </c>
      <c r="AJ284" s="203">
        <f t="shared" si="159"/>
        <v>0</v>
      </c>
      <c r="AK284" s="203">
        <f t="shared" si="159"/>
        <v>0</v>
      </c>
      <c r="AL284" s="203">
        <f t="shared" si="159"/>
        <v>0</v>
      </c>
      <c r="AM284" s="203">
        <f t="shared" si="159"/>
        <v>0</v>
      </c>
      <c r="AN284" s="203">
        <f t="shared" si="159"/>
        <v>0</v>
      </c>
      <c r="AO284" s="203">
        <f t="shared" si="159"/>
        <v>0</v>
      </c>
      <c r="AP284" s="203">
        <f t="shared" si="159"/>
        <v>0</v>
      </c>
    </row>
    <row r="285" spans="1:52" s="118" customFormat="1">
      <c r="A285" s="42" t="s">
        <v>118</v>
      </c>
      <c r="B285" s="198">
        <f>SUM(B280:B284)</f>
        <v>0</v>
      </c>
      <c r="C285" s="198">
        <f>SUM(C280:C284)</f>
        <v>1140253.9397625169</v>
      </c>
      <c r="D285" s="198">
        <f t="shared" ref="D285:AP285" si="160">SUM(D280:D284)</f>
        <v>1148253.9397625159</v>
      </c>
      <c r="E285" s="198">
        <f t="shared" si="160"/>
        <v>1156413.9397625159</v>
      </c>
      <c r="F285" s="198">
        <f t="shared" si="160"/>
        <v>1166305.773225328</v>
      </c>
      <c r="G285" s="198">
        <f t="shared" si="160"/>
        <v>1174795.4372253288</v>
      </c>
      <c r="H285" s="198">
        <f t="shared" si="160"/>
        <v>1183454.8945053285</v>
      </c>
      <c r="I285" s="198">
        <f t="shared" si="160"/>
        <v>1193927.8270212924</v>
      </c>
      <c r="J285" s="198">
        <f t="shared" si="160"/>
        <v>1202937.1263754042</v>
      </c>
      <c r="K285" s="198">
        <f t="shared" si="160"/>
        <v>1212126.6117165983</v>
      </c>
      <c r="L285" s="198">
        <f t="shared" si="160"/>
        <v>1223215.0984581243</v>
      </c>
      <c r="M285" s="198">
        <f t="shared" si="160"/>
        <v>1232775.8390071029</v>
      </c>
      <c r="N285" s="198">
        <f t="shared" si="160"/>
        <v>1242527.794367061</v>
      </c>
      <c r="O285" s="198">
        <f t="shared" si="160"/>
        <v>1302274.2271959474</v>
      </c>
      <c r="P285" s="198">
        <f t="shared" si="160"/>
        <v>1312420.1615524469</v>
      </c>
      <c r="Q285" s="198">
        <f t="shared" si="160"/>
        <v>1322769.0145960767</v>
      </c>
      <c r="R285" s="198">
        <f t="shared" si="160"/>
        <v>1437941.9254080504</v>
      </c>
      <c r="S285" s="198">
        <f t="shared" si="160"/>
        <v>1448708.8721146444</v>
      </c>
      <c r="T285" s="198">
        <f t="shared" si="160"/>
        <v>1459691.1577553693</v>
      </c>
      <c r="U285" s="198">
        <f t="shared" si="160"/>
        <v>1472854.2449649433</v>
      </c>
      <c r="V285" s="198">
        <f t="shared" si="160"/>
        <v>1484280.2149455529</v>
      </c>
      <c r="W285" s="198">
        <f t="shared" si="160"/>
        <v>1495934.7043257756</v>
      </c>
      <c r="X285" s="198">
        <f t="shared" si="160"/>
        <v>1509873.021762264</v>
      </c>
      <c r="Y285" s="198">
        <f t="shared" si="160"/>
        <v>1521998.3525134465</v>
      </c>
      <c r="Z285" s="198">
        <f t="shared" si="160"/>
        <v>1534366.189879653</v>
      </c>
      <c r="AA285" s="198">
        <f t="shared" si="160"/>
        <v>1255713.8894431181</v>
      </c>
      <c r="AB285" s="198">
        <f t="shared" si="160"/>
        <v>1268581.3874389203</v>
      </c>
      <c r="AC285" s="198">
        <f t="shared" si="160"/>
        <v>1281706.235394639</v>
      </c>
      <c r="AD285" s="198">
        <f t="shared" si="160"/>
        <v>1297335.9462554464</v>
      </c>
      <c r="AE285" s="198">
        <f t="shared" si="160"/>
        <v>1310991.0380685758</v>
      </c>
      <c r="AF285" s="198">
        <f t="shared" si="160"/>
        <v>1324919.2317179674</v>
      </c>
      <c r="AG285" s="198">
        <f t="shared" si="160"/>
        <v>0</v>
      </c>
      <c r="AH285" s="198">
        <f t="shared" si="160"/>
        <v>0</v>
      </c>
      <c r="AI285" s="198">
        <f t="shared" si="160"/>
        <v>0</v>
      </c>
      <c r="AJ285" s="198">
        <f t="shared" si="160"/>
        <v>0</v>
      </c>
      <c r="AK285" s="198">
        <f t="shared" si="160"/>
        <v>0</v>
      </c>
      <c r="AL285" s="198">
        <f t="shared" si="160"/>
        <v>0</v>
      </c>
      <c r="AM285" s="198">
        <f t="shared" si="160"/>
        <v>0</v>
      </c>
      <c r="AN285" s="198">
        <f t="shared" si="160"/>
        <v>0</v>
      </c>
      <c r="AO285" s="198">
        <f t="shared" si="160"/>
        <v>0</v>
      </c>
      <c r="AP285" s="198">
        <f t="shared" si="160"/>
        <v>0</v>
      </c>
    </row>
    <row r="286" spans="1:52" s="118" customFormat="1">
      <c r="A286" s="42" t="s">
        <v>416</v>
      </c>
      <c r="B286" s="42"/>
    </row>
    <row r="287" spans="1:52">
      <c r="A287" s="204" t="str">
        <f>'Inputs &amp; Results'!A67</f>
        <v>Federal</v>
      </c>
      <c r="B287" s="141">
        <v>0</v>
      </c>
      <c r="C287" s="141">
        <f t="shared" ref="C287:AP287" si="161">IF(PBIFedStateTax="Yes",C619,0)</f>
        <v>0</v>
      </c>
      <c r="D287" s="141">
        <f t="shared" si="161"/>
        <v>0</v>
      </c>
      <c r="E287" s="141">
        <f t="shared" si="161"/>
        <v>0</v>
      </c>
      <c r="F287" s="141">
        <f t="shared" si="161"/>
        <v>0</v>
      </c>
      <c r="G287" s="141">
        <f t="shared" si="161"/>
        <v>0</v>
      </c>
      <c r="H287" s="141">
        <f t="shared" si="161"/>
        <v>0</v>
      </c>
      <c r="I287" s="141">
        <f t="shared" si="161"/>
        <v>0</v>
      </c>
      <c r="J287" s="141">
        <f t="shared" si="161"/>
        <v>0</v>
      </c>
      <c r="K287" s="141">
        <f t="shared" si="161"/>
        <v>0</v>
      </c>
      <c r="L287" s="141">
        <f t="shared" si="161"/>
        <v>0</v>
      </c>
      <c r="M287" s="141">
        <f t="shared" si="161"/>
        <v>0</v>
      </c>
      <c r="N287" s="141">
        <f t="shared" si="161"/>
        <v>0</v>
      </c>
      <c r="O287" s="141">
        <f t="shared" si="161"/>
        <v>0</v>
      </c>
      <c r="P287" s="141">
        <f t="shared" si="161"/>
        <v>0</v>
      </c>
      <c r="Q287" s="141">
        <f t="shared" si="161"/>
        <v>0</v>
      </c>
      <c r="R287" s="141">
        <f t="shared" si="161"/>
        <v>0</v>
      </c>
      <c r="S287" s="141">
        <f t="shared" si="161"/>
        <v>0</v>
      </c>
      <c r="T287" s="141">
        <f t="shared" si="161"/>
        <v>0</v>
      </c>
      <c r="U287" s="141">
        <f t="shared" si="161"/>
        <v>0</v>
      </c>
      <c r="V287" s="141">
        <f t="shared" si="161"/>
        <v>0</v>
      </c>
      <c r="W287" s="141">
        <f t="shared" si="161"/>
        <v>0</v>
      </c>
      <c r="X287" s="141">
        <f t="shared" si="161"/>
        <v>0</v>
      </c>
      <c r="Y287" s="141">
        <f t="shared" si="161"/>
        <v>0</v>
      </c>
      <c r="Z287" s="141">
        <f t="shared" si="161"/>
        <v>0</v>
      </c>
      <c r="AA287" s="141">
        <f t="shared" si="161"/>
        <v>0</v>
      </c>
      <c r="AB287" s="141">
        <f t="shared" si="161"/>
        <v>0</v>
      </c>
      <c r="AC287" s="141">
        <f t="shared" si="161"/>
        <v>0</v>
      </c>
      <c r="AD287" s="141">
        <f t="shared" si="161"/>
        <v>0</v>
      </c>
      <c r="AE287" s="141">
        <f t="shared" si="161"/>
        <v>0</v>
      </c>
      <c r="AF287" s="141">
        <f t="shared" si="161"/>
        <v>0</v>
      </c>
      <c r="AG287" s="141">
        <f t="shared" si="161"/>
        <v>0</v>
      </c>
      <c r="AH287" s="141">
        <f t="shared" si="161"/>
        <v>0</v>
      </c>
      <c r="AI287" s="141">
        <f t="shared" si="161"/>
        <v>0</v>
      </c>
      <c r="AJ287" s="141">
        <f t="shared" si="161"/>
        <v>0</v>
      </c>
      <c r="AK287" s="141">
        <f t="shared" si="161"/>
        <v>0</v>
      </c>
      <c r="AL287" s="141">
        <f t="shared" si="161"/>
        <v>0</v>
      </c>
      <c r="AM287" s="141">
        <f t="shared" si="161"/>
        <v>0</v>
      </c>
      <c r="AN287" s="141">
        <f t="shared" si="161"/>
        <v>0</v>
      </c>
      <c r="AO287" s="141">
        <f t="shared" si="161"/>
        <v>0</v>
      </c>
      <c r="AP287" s="141">
        <f t="shared" si="161"/>
        <v>0</v>
      </c>
    </row>
    <row r="288" spans="1:52">
      <c r="A288" s="204" t="str">
        <f>'Inputs &amp; Results'!A68</f>
        <v>State</v>
      </c>
      <c r="B288" s="141">
        <v>0</v>
      </c>
      <c r="C288" s="141">
        <f t="shared" ref="C288:AP288" si="162">IF(PBIStateStateTax="Yes",C623,0)</f>
        <v>0</v>
      </c>
      <c r="D288" s="141">
        <f t="shared" si="162"/>
        <v>0</v>
      </c>
      <c r="E288" s="141">
        <f t="shared" si="162"/>
        <v>0</v>
      </c>
      <c r="F288" s="141">
        <f t="shared" si="162"/>
        <v>0</v>
      </c>
      <c r="G288" s="141">
        <f t="shared" si="162"/>
        <v>0</v>
      </c>
      <c r="H288" s="141">
        <f t="shared" si="162"/>
        <v>0</v>
      </c>
      <c r="I288" s="141">
        <f t="shared" si="162"/>
        <v>0</v>
      </c>
      <c r="J288" s="141">
        <f t="shared" si="162"/>
        <v>0</v>
      </c>
      <c r="K288" s="141">
        <f t="shared" si="162"/>
        <v>0</v>
      </c>
      <c r="L288" s="141">
        <f t="shared" si="162"/>
        <v>0</v>
      </c>
      <c r="M288" s="141">
        <f t="shared" si="162"/>
        <v>0</v>
      </c>
      <c r="N288" s="141">
        <f t="shared" si="162"/>
        <v>0</v>
      </c>
      <c r="O288" s="141">
        <f t="shared" si="162"/>
        <v>0</v>
      </c>
      <c r="P288" s="141">
        <f t="shared" si="162"/>
        <v>0</v>
      </c>
      <c r="Q288" s="141">
        <f t="shared" si="162"/>
        <v>0</v>
      </c>
      <c r="R288" s="141">
        <f t="shared" si="162"/>
        <v>0</v>
      </c>
      <c r="S288" s="141">
        <f t="shared" si="162"/>
        <v>0</v>
      </c>
      <c r="T288" s="141">
        <f t="shared" si="162"/>
        <v>0</v>
      </c>
      <c r="U288" s="141">
        <f t="shared" si="162"/>
        <v>0</v>
      </c>
      <c r="V288" s="141">
        <f t="shared" si="162"/>
        <v>0</v>
      </c>
      <c r="W288" s="141">
        <f t="shared" si="162"/>
        <v>0</v>
      </c>
      <c r="X288" s="141">
        <f t="shared" si="162"/>
        <v>0</v>
      </c>
      <c r="Y288" s="141">
        <f t="shared" si="162"/>
        <v>0</v>
      </c>
      <c r="Z288" s="141">
        <f t="shared" si="162"/>
        <v>0</v>
      </c>
      <c r="AA288" s="141">
        <f t="shared" si="162"/>
        <v>0</v>
      </c>
      <c r="AB288" s="141">
        <f t="shared" si="162"/>
        <v>0</v>
      </c>
      <c r="AC288" s="141">
        <f t="shared" si="162"/>
        <v>0</v>
      </c>
      <c r="AD288" s="141">
        <f t="shared" si="162"/>
        <v>0</v>
      </c>
      <c r="AE288" s="141">
        <f t="shared" si="162"/>
        <v>0</v>
      </c>
      <c r="AF288" s="141">
        <f t="shared" si="162"/>
        <v>0</v>
      </c>
      <c r="AG288" s="141">
        <f t="shared" si="162"/>
        <v>0</v>
      </c>
      <c r="AH288" s="141">
        <f t="shared" si="162"/>
        <v>0</v>
      </c>
      <c r="AI288" s="141">
        <f t="shared" si="162"/>
        <v>0</v>
      </c>
      <c r="AJ288" s="141">
        <f t="shared" si="162"/>
        <v>0</v>
      </c>
      <c r="AK288" s="141">
        <f t="shared" si="162"/>
        <v>0</v>
      </c>
      <c r="AL288" s="141">
        <f t="shared" si="162"/>
        <v>0</v>
      </c>
      <c r="AM288" s="141">
        <f t="shared" si="162"/>
        <v>0</v>
      </c>
      <c r="AN288" s="141">
        <f t="shared" si="162"/>
        <v>0</v>
      </c>
      <c r="AO288" s="141">
        <f t="shared" si="162"/>
        <v>0</v>
      </c>
      <c r="AP288" s="141">
        <f t="shared" si="162"/>
        <v>0</v>
      </c>
    </row>
    <row r="289" spans="1:42">
      <c r="A289" s="204" t="str">
        <f>'Inputs &amp; Results'!A69</f>
        <v>Utility</v>
      </c>
      <c r="B289" s="141">
        <v>0</v>
      </c>
      <c r="C289" s="141">
        <f t="shared" ref="C289:AP289" si="163">IF(PBIUtilityStateTax="Yes",C627,0)</f>
        <v>0</v>
      </c>
      <c r="D289" s="141">
        <f t="shared" si="163"/>
        <v>0</v>
      </c>
      <c r="E289" s="141">
        <f t="shared" si="163"/>
        <v>0</v>
      </c>
      <c r="F289" s="141">
        <f t="shared" si="163"/>
        <v>0</v>
      </c>
      <c r="G289" s="141">
        <f t="shared" si="163"/>
        <v>0</v>
      </c>
      <c r="H289" s="141">
        <f t="shared" si="163"/>
        <v>0</v>
      </c>
      <c r="I289" s="141">
        <f t="shared" si="163"/>
        <v>0</v>
      </c>
      <c r="J289" s="141">
        <f t="shared" si="163"/>
        <v>0</v>
      </c>
      <c r="K289" s="141">
        <f t="shared" si="163"/>
        <v>0</v>
      </c>
      <c r="L289" s="141">
        <f t="shared" si="163"/>
        <v>0</v>
      </c>
      <c r="M289" s="141">
        <f t="shared" si="163"/>
        <v>0</v>
      </c>
      <c r="N289" s="141">
        <f t="shared" si="163"/>
        <v>0</v>
      </c>
      <c r="O289" s="141">
        <f t="shared" si="163"/>
        <v>0</v>
      </c>
      <c r="P289" s="141">
        <f t="shared" si="163"/>
        <v>0</v>
      </c>
      <c r="Q289" s="141">
        <f t="shared" si="163"/>
        <v>0</v>
      </c>
      <c r="R289" s="141">
        <f t="shared" si="163"/>
        <v>0</v>
      </c>
      <c r="S289" s="141">
        <f t="shared" si="163"/>
        <v>0</v>
      </c>
      <c r="T289" s="141">
        <f t="shared" si="163"/>
        <v>0</v>
      </c>
      <c r="U289" s="141">
        <f t="shared" si="163"/>
        <v>0</v>
      </c>
      <c r="V289" s="141">
        <f t="shared" si="163"/>
        <v>0</v>
      </c>
      <c r="W289" s="141">
        <f t="shared" si="163"/>
        <v>0</v>
      </c>
      <c r="X289" s="141">
        <f t="shared" si="163"/>
        <v>0</v>
      </c>
      <c r="Y289" s="141">
        <f t="shared" si="163"/>
        <v>0</v>
      </c>
      <c r="Z289" s="141">
        <f t="shared" si="163"/>
        <v>0</v>
      </c>
      <c r="AA289" s="141">
        <f t="shared" si="163"/>
        <v>0</v>
      </c>
      <c r="AB289" s="141">
        <f t="shared" si="163"/>
        <v>0</v>
      </c>
      <c r="AC289" s="141">
        <f t="shared" si="163"/>
        <v>0</v>
      </c>
      <c r="AD289" s="141">
        <f t="shared" si="163"/>
        <v>0</v>
      </c>
      <c r="AE289" s="141">
        <f t="shared" si="163"/>
        <v>0</v>
      </c>
      <c r="AF289" s="141">
        <f t="shared" si="163"/>
        <v>0</v>
      </c>
      <c r="AG289" s="141">
        <f t="shared" si="163"/>
        <v>0</v>
      </c>
      <c r="AH289" s="141">
        <f t="shared" si="163"/>
        <v>0</v>
      </c>
      <c r="AI289" s="141">
        <f t="shared" si="163"/>
        <v>0</v>
      </c>
      <c r="AJ289" s="141">
        <f t="shared" si="163"/>
        <v>0</v>
      </c>
      <c r="AK289" s="141">
        <f t="shared" si="163"/>
        <v>0</v>
      </c>
      <c r="AL289" s="141">
        <f t="shared" si="163"/>
        <v>0</v>
      </c>
      <c r="AM289" s="141">
        <f t="shared" si="163"/>
        <v>0</v>
      </c>
      <c r="AN289" s="141">
        <f t="shared" si="163"/>
        <v>0</v>
      </c>
      <c r="AO289" s="141">
        <f t="shared" si="163"/>
        <v>0</v>
      </c>
      <c r="AP289" s="141">
        <f t="shared" si="163"/>
        <v>0</v>
      </c>
    </row>
    <row r="290" spans="1:42">
      <c r="A290" s="204" t="str">
        <f>'Inputs &amp; Results'!A70</f>
        <v>Other</v>
      </c>
      <c r="B290" s="203">
        <v>0</v>
      </c>
      <c r="C290" s="203">
        <f t="shared" ref="C290:AP290" si="164">IF(PBIOtherStateTax="Yes",C631,0)</f>
        <v>0</v>
      </c>
      <c r="D290" s="203">
        <f t="shared" si="164"/>
        <v>0</v>
      </c>
      <c r="E290" s="203">
        <f t="shared" si="164"/>
        <v>0</v>
      </c>
      <c r="F290" s="203">
        <f t="shared" si="164"/>
        <v>0</v>
      </c>
      <c r="G290" s="203">
        <f t="shared" si="164"/>
        <v>0</v>
      </c>
      <c r="H290" s="203">
        <f t="shared" si="164"/>
        <v>0</v>
      </c>
      <c r="I290" s="203">
        <f t="shared" si="164"/>
        <v>0</v>
      </c>
      <c r="J290" s="203">
        <f t="shared" si="164"/>
        <v>0</v>
      </c>
      <c r="K290" s="203">
        <f t="shared" si="164"/>
        <v>0</v>
      </c>
      <c r="L290" s="203">
        <f t="shared" si="164"/>
        <v>0</v>
      </c>
      <c r="M290" s="203">
        <f t="shared" si="164"/>
        <v>0</v>
      </c>
      <c r="N290" s="203">
        <f t="shared" si="164"/>
        <v>0</v>
      </c>
      <c r="O290" s="203">
        <f t="shared" si="164"/>
        <v>0</v>
      </c>
      <c r="P290" s="203">
        <f t="shared" si="164"/>
        <v>0</v>
      </c>
      <c r="Q290" s="203">
        <f t="shared" si="164"/>
        <v>0</v>
      </c>
      <c r="R290" s="203">
        <f t="shared" si="164"/>
        <v>0</v>
      </c>
      <c r="S290" s="203">
        <f t="shared" si="164"/>
        <v>0</v>
      </c>
      <c r="T290" s="203">
        <f t="shared" si="164"/>
        <v>0</v>
      </c>
      <c r="U290" s="203">
        <f t="shared" si="164"/>
        <v>0</v>
      </c>
      <c r="V290" s="203">
        <f t="shared" si="164"/>
        <v>0</v>
      </c>
      <c r="W290" s="203">
        <f t="shared" si="164"/>
        <v>0</v>
      </c>
      <c r="X290" s="203">
        <f t="shared" si="164"/>
        <v>0</v>
      </c>
      <c r="Y290" s="203">
        <f t="shared" si="164"/>
        <v>0</v>
      </c>
      <c r="Z290" s="203">
        <f t="shared" si="164"/>
        <v>0</v>
      </c>
      <c r="AA290" s="203">
        <f t="shared" si="164"/>
        <v>0</v>
      </c>
      <c r="AB290" s="203">
        <f t="shared" si="164"/>
        <v>0</v>
      </c>
      <c r="AC290" s="203">
        <f t="shared" si="164"/>
        <v>0</v>
      </c>
      <c r="AD290" s="203">
        <f t="shared" si="164"/>
        <v>0</v>
      </c>
      <c r="AE290" s="203">
        <f t="shared" si="164"/>
        <v>0</v>
      </c>
      <c r="AF290" s="203">
        <f t="shared" si="164"/>
        <v>0</v>
      </c>
      <c r="AG290" s="203">
        <f t="shared" si="164"/>
        <v>0</v>
      </c>
      <c r="AH290" s="203">
        <f t="shared" si="164"/>
        <v>0</v>
      </c>
      <c r="AI290" s="203">
        <f t="shared" si="164"/>
        <v>0</v>
      </c>
      <c r="AJ290" s="203">
        <f t="shared" si="164"/>
        <v>0</v>
      </c>
      <c r="AK290" s="203">
        <f t="shared" si="164"/>
        <v>0</v>
      </c>
      <c r="AL290" s="203">
        <f t="shared" si="164"/>
        <v>0</v>
      </c>
      <c r="AM290" s="203">
        <f t="shared" si="164"/>
        <v>0</v>
      </c>
      <c r="AN290" s="203">
        <f t="shared" si="164"/>
        <v>0</v>
      </c>
      <c r="AO290" s="203">
        <f t="shared" si="164"/>
        <v>0</v>
      </c>
      <c r="AP290" s="203">
        <f t="shared" si="164"/>
        <v>0</v>
      </c>
    </row>
    <row r="291" spans="1:42">
      <c r="A291" s="204" t="s">
        <v>131</v>
      </c>
      <c r="B291" s="194">
        <f>SUM(B287:B290)</f>
        <v>0</v>
      </c>
      <c r="C291" s="194">
        <f>SUM(C287:C290)</f>
        <v>0</v>
      </c>
      <c r="D291" s="194">
        <f t="shared" ref="D291:AL291" si="165">SUM(D287:D290)</f>
        <v>0</v>
      </c>
      <c r="E291" s="194">
        <f t="shared" si="165"/>
        <v>0</v>
      </c>
      <c r="F291" s="194">
        <f t="shared" si="165"/>
        <v>0</v>
      </c>
      <c r="G291" s="194">
        <f t="shared" si="165"/>
        <v>0</v>
      </c>
      <c r="H291" s="194">
        <f t="shared" si="165"/>
        <v>0</v>
      </c>
      <c r="I291" s="194">
        <f t="shared" si="165"/>
        <v>0</v>
      </c>
      <c r="J291" s="194">
        <f t="shared" si="165"/>
        <v>0</v>
      </c>
      <c r="K291" s="194">
        <f t="shared" si="165"/>
        <v>0</v>
      </c>
      <c r="L291" s="194">
        <f t="shared" si="165"/>
        <v>0</v>
      </c>
      <c r="M291" s="194">
        <f t="shared" si="165"/>
        <v>0</v>
      </c>
      <c r="N291" s="194">
        <f t="shared" si="165"/>
        <v>0</v>
      </c>
      <c r="O291" s="194">
        <f t="shared" si="165"/>
        <v>0</v>
      </c>
      <c r="P291" s="194">
        <f t="shared" si="165"/>
        <v>0</v>
      </c>
      <c r="Q291" s="194">
        <f t="shared" si="165"/>
        <v>0</v>
      </c>
      <c r="R291" s="194">
        <f t="shared" si="165"/>
        <v>0</v>
      </c>
      <c r="S291" s="194">
        <f t="shared" si="165"/>
        <v>0</v>
      </c>
      <c r="T291" s="194">
        <f t="shared" si="165"/>
        <v>0</v>
      </c>
      <c r="U291" s="194">
        <f t="shared" si="165"/>
        <v>0</v>
      </c>
      <c r="V291" s="194">
        <f t="shared" si="165"/>
        <v>0</v>
      </c>
      <c r="W291" s="194">
        <f t="shared" si="165"/>
        <v>0</v>
      </c>
      <c r="X291" s="194">
        <f t="shared" si="165"/>
        <v>0</v>
      </c>
      <c r="Y291" s="194">
        <f t="shared" si="165"/>
        <v>0</v>
      </c>
      <c r="Z291" s="194">
        <f t="shared" si="165"/>
        <v>0</v>
      </c>
      <c r="AA291" s="194">
        <f t="shared" si="165"/>
        <v>0</v>
      </c>
      <c r="AB291" s="194">
        <f t="shared" si="165"/>
        <v>0</v>
      </c>
      <c r="AC291" s="194">
        <f t="shared" si="165"/>
        <v>0</v>
      </c>
      <c r="AD291" s="194">
        <f t="shared" si="165"/>
        <v>0</v>
      </c>
      <c r="AE291" s="194">
        <f t="shared" si="165"/>
        <v>0</v>
      </c>
      <c r="AF291" s="194">
        <f t="shared" si="165"/>
        <v>0</v>
      </c>
      <c r="AG291" s="194">
        <f t="shared" si="165"/>
        <v>0</v>
      </c>
      <c r="AH291" s="194">
        <f t="shared" si="165"/>
        <v>0</v>
      </c>
      <c r="AI291" s="194">
        <f t="shared" si="165"/>
        <v>0</v>
      </c>
      <c r="AJ291" s="194">
        <f t="shared" si="165"/>
        <v>0</v>
      </c>
      <c r="AK291" s="194">
        <f t="shared" si="165"/>
        <v>0</v>
      </c>
      <c r="AL291" s="194">
        <f t="shared" si="165"/>
        <v>0</v>
      </c>
      <c r="AM291" s="194">
        <f>SUM(AM287:AM290)</f>
        <v>0</v>
      </c>
      <c r="AN291" s="194">
        <f t="shared" ref="AN291:AP291" si="166">SUM(AN287:AN290)</f>
        <v>0</v>
      </c>
      <c r="AO291" s="194">
        <f t="shared" si="166"/>
        <v>0</v>
      </c>
      <c r="AP291" s="194">
        <f t="shared" si="166"/>
        <v>0</v>
      </c>
    </row>
    <row r="292" spans="1:42" s="118" customFormat="1">
      <c r="A292" s="42" t="s">
        <v>417</v>
      </c>
      <c r="B292" s="198">
        <f>B285+B291</f>
        <v>0</v>
      </c>
      <c r="C292" s="198">
        <f>C285+C291</f>
        <v>1140253.9397625169</v>
      </c>
      <c r="D292" s="198">
        <f t="shared" ref="D292:AP292" si="167">D285+D291</f>
        <v>1148253.9397625159</v>
      </c>
      <c r="E292" s="198">
        <f t="shared" si="167"/>
        <v>1156413.9397625159</v>
      </c>
      <c r="F292" s="198">
        <f t="shared" si="167"/>
        <v>1166305.773225328</v>
      </c>
      <c r="G292" s="198">
        <f t="shared" si="167"/>
        <v>1174795.4372253288</v>
      </c>
      <c r="H292" s="198">
        <f t="shared" si="167"/>
        <v>1183454.8945053285</v>
      </c>
      <c r="I292" s="198">
        <f t="shared" si="167"/>
        <v>1193927.8270212924</v>
      </c>
      <c r="J292" s="198">
        <f t="shared" si="167"/>
        <v>1202937.1263754042</v>
      </c>
      <c r="K292" s="198">
        <f t="shared" si="167"/>
        <v>1212126.6117165983</v>
      </c>
      <c r="L292" s="198">
        <f t="shared" si="167"/>
        <v>1223215.0984581243</v>
      </c>
      <c r="M292" s="198">
        <f t="shared" si="167"/>
        <v>1232775.8390071029</v>
      </c>
      <c r="N292" s="198">
        <f t="shared" si="167"/>
        <v>1242527.794367061</v>
      </c>
      <c r="O292" s="198">
        <f t="shared" si="167"/>
        <v>1302274.2271959474</v>
      </c>
      <c r="P292" s="198">
        <f t="shared" si="167"/>
        <v>1312420.1615524469</v>
      </c>
      <c r="Q292" s="198">
        <f t="shared" si="167"/>
        <v>1322769.0145960767</v>
      </c>
      <c r="R292" s="198">
        <f t="shared" si="167"/>
        <v>1437941.9254080504</v>
      </c>
      <c r="S292" s="198">
        <f t="shared" si="167"/>
        <v>1448708.8721146444</v>
      </c>
      <c r="T292" s="198">
        <f t="shared" si="167"/>
        <v>1459691.1577553693</v>
      </c>
      <c r="U292" s="198">
        <f t="shared" si="167"/>
        <v>1472854.2449649433</v>
      </c>
      <c r="V292" s="198">
        <f t="shared" si="167"/>
        <v>1484280.2149455529</v>
      </c>
      <c r="W292" s="198">
        <f t="shared" si="167"/>
        <v>1495934.7043257756</v>
      </c>
      <c r="X292" s="198">
        <f t="shared" si="167"/>
        <v>1509873.021762264</v>
      </c>
      <c r="Y292" s="198">
        <f t="shared" si="167"/>
        <v>1521998.3525134465</v>
      </c>
      <c r="Z292" s="198">
        <f t="shared" si="167"/>
        <v>1534366.189879653</v>
      </c>
      <c r="AA292" s="198">
        <f t="shared" si="167"/>
        <v>1255713.8894431181</v>
      </c>
      <c r="AB292" s="198">
        <f t="shared" si="167"/>
        <v>1268581.3874389203</v>
      </c>
      <c r="AC292" s="198">
        <f t="shared" si="167"/>
        <v>1281706.235394639</v>
      </c>
      <c r="AD292" s="198">
        <f t="shared" si="167"/>
        <v>1297335.9462554464</v>
      </c>
      <c r="AE292" s="198">
        <f t="shared" si="167"/>
        <v>1310991.0380685758</v>
      </c>
      <c r="AF292" s="198">
        <f t="shared" si="167"/>
        <v>1324919.2317179674</v>
      </c>
      <c r="AG292" s="198">
        <f t="shared" si="167"/>
        <v>0</v>
      </c>
      <c r="AH292" s="198">
        <f t="shared" si="167"/>
        <v>0</v>
      </c>
      <c r="AI292" s="198">
        <f t="shared" si="167"/>
        <v>0</v>
      </c>
      <c r="AJ292" s="198">
        <f t="shared" si="167"/>
        <v>0</v>
      </c>
      <c r="AK292" s="198">
        <f t="shared" si="167"/>
        <v>0</v>
      </c>
      <c r="AL292" s="198">
        <f t="shared" si="167"/>
        <v>0</v>
      </c>
      <c r="AM292" s="198">
        <f t="shared" si="167"/>
        <v>0</v>
      </c>
      <c r="AN292" s="198">
        <f t="shared" si="167"/>
        <v>0</v>
      </c>
      <c r="AO292" s="198">
        <f t="shared" si="167"/>
        <v>0</v>
      </c>
      <c r="AP292" s="198">
        <f t="shared" si="167"/>
        <v>0</v>
      </c>
    </row>
    <row r="293" spans="1:42">
      <c r="A293" s="197" t="s">
        <v>130</v>
      </c>
      <c r="B293" s="194">
        <f t="shared" ref="B293" si="168">B292*-StateTax</f>
        <v>0</v>
      </c>
      <c r="C293" s="194">
        <f t="shared" ref="C293:AP293" si="169">C292*-StateTax</f>
        <v>-62713.966686938431</v>
      </c>
      <c r="D293" s="194">
        <f t="shared" si="169"/>
        <v>-63153.96668693838</v>
      </c>
      <c r="E293" s="194">
        <f t="shared" si="169"/>
        <v>-63602.766686938376</v>
      </c>
      <c r="F293" s="194">
        <f t="shared" si="169"/>
        <v>-64146.817527393039</v>
      </c>
      <c r="G293" s="194">
        <f t="shared" si="169"/>
        <v>-64613.749047393081</v>
      </c>
      <c r="H293" s="194">
        <f t="shared" si="169"/>
        <v>-65090.019197793066</v>
      </c>
      <c r="I293" s="194">
        <f t="shared" si="169"/>
        <v>-65666.03048617109</v>
      </c>
      <c r="J293" s="194">
        <f t="shared" si="169"/>
        <v>-66161.541950647224</v>
      </c>
      <c r="K293" s="194">
        <f t="shared" si="169"/>
        <v>-66666.963644412899</v>
      </c>
      <c r="L293" s="194">
        <f t="shared" si="169"/>
        <v>-67276.830415196833</v>
      </c>
      <c r="M293" s="194">
        <f t="shared" si="169"/>
        <v>-67802.671145390661</v>
      </c>
      <c r="N293" s="194">
        <f t="shared" si="169"/>
        <v>-68339.028690188352</v>
      </c>
      <c r="O293" s="194">
        <f t="shared" si="169"/>
        <v>-71625.082495777111</v>
      </c>
      <c r="P293" s="194">
        <f t="shared" si="169"/>
        <v>-72183.108885384587</v>
      </c>
      <c r="Q293" s="194">
        <f t="shared" si="169"/>
        <v>-72752.295802784225</v>
      </c>
      <c r="R293" s="194">
        <f t="shared" si="169"/>
        <v>-79086.805897442769</v>
      </c>
      <c r="S293" s="194">
        <f t="shared" si="169"/>
        <v>-79678.987966305445</v>
      </c>
      <c r="T293" s="194">
        <f t="shared" si="169"/>
        <v>-80283.013676545306</v>
      </c>
      <c r="U293" s="194">
        <f t="shared" si="169"/>
        <v>-81006.983473071887</v>
      </c>
      <c r="V293" s="194">
        <f t="shared" si="169"/>
        <v>-81635.411822005408</v>
      </c>
      <c r="W293" s="194">
        <f t="shared" si="169"/>
        <v>-82276.408737917664</v>
      </c>
      <c r="X293" s="194">
        <f t="shared" si="169"/>
        <v>-83043.016196924524</v>
      </c>
      <c r="Y293" s="194">
        <f t="shared" si="169"/>
        <v>-83709.909388239554</v>
      </c>
      <c r="Z293" s="194">
        <f t="shared" si="169"/>
        <v>-84390.140443380922</v>
      </c>
      <c r="AA293" s="194">
        <f t="shared" si="169"/>
        <v>-69064.2639193715</v>
      </c>
      <c r="AB293" s="194">
        <f t="shared" si="169"/>
        <v>-69771.97630914062</v>
      </c>
      <c r="AC293" s="194">
        <f t="shared" si="169"/>
        <v>-70493.842946705146</v>
      </c>
      <c r="AD293" s="194">
        <f t="shared" si="169"/>
        <v>-71353.477044049549</v>
      </c>
      <c r="AE293" s="194">
        <f t="shared" si="169"/>
        <v>-72104.507093771666</v>
      </c>
      <c r="AF293" s="194">
        <f t="shared" si="169"/>
        <v>-72870.557744488207</v>
      </c>
      <c r="AG293" s="194">
        <f t="shared" si="169"/>
        <v>0</v>
      </c>
      <c r="AH293" s="194">
        <f t="shared" si="169"/>
        <v>0</v>
      </c>
      <c r="AI293" s="194">
        <f t="shared" si="169"/>
        <v>0</v>
      </c>
      <c r="AJ293" s="194">
        <f t="shared" si="169"/>
        <v>0</v>
      </c>
      <c r="AK293" s="194">
        <f t="shared" si="169"/>
        <v>0</v>
      </c>
      <c r="AL293" s="194">
        <f t="shared" si="169"/>
        <v>0</v>
      </c>
      <c r="AM293" s="194">
        <f t="shared" si="169"/>
        <v>0</v>
      </c>
      <c r="AN293" s="194">
        <f t="shared" si="169"/>
        <v>0</v>
      </c>
      <c r="AO293" s="194">
        <f t="shared" si="169"/>
        <v>0</v>
      </c>
      <c r="AP293" s="194">
        <f t="shared" si="169"/>
        <v>0</v>
      </c>
    </row>
    <row r="294" spans="1:42" s="118" customFormat="1">
      <c r="A294" s="42"/>
      <c r="B294" s="42"/>
    </row>
    <row r="295" spans="1:42" s="118" customFormat="1">
      <c r="A295" s="195" t="s">
        <v>483</v>
      </c>
    </row>
    <row r="296" spans="1:42" s="118" customFormat="1">
      <c r="A296" s="42" t="s">
        <v>412</v>
      </c>
      <c r="B296" s="141">
        <f t="shared" ref="B296:C298" si="170">B280</f>
        <v>0</v>
      </c>
      <c r="C296" s="198">
        <f t="shared" si="170"/>
        <v>6751763.4288489567</v>
      </c>
      <c r="D296" s="198">
        <f t="shared" ref="D296:AP296" si="171">D280</f>
        <v>6785184.6578217577</v>
      </c>
      <c r="E296" s="198">
        <f t="shared" si="171"/>
        <v>6818771.321877975</v>
      </c>
      <c r="F296" s="198">
        <f t="shared" si="171"/>
        <v>6852524.2399212718</v>
      </c>
      <c r="G296" s="198">
        <f t="shared" si="171"/>
        <v>6886444.2349088825</v>
      </c>
      <c r="H296" s="198">
        <f t="shared" si="171"/>
        <v>6920532.1338716801</v>
      </c>
      <c r="I296" s="198">
        <f t="shared" si="171"/>
        <v>6954788.7679343466</v>
      </c>
      <c r="J296" s="198">
        <f t="shared" si="171"/>
        <v>6989214.9723356199</v>
      </c>
      <c r="K296" s="198">
        <f t="shared" si="171"/>
        <v>7023811.5864486834</v>
      </c>
      <c r="L296" s="198">
        <f t="shared" si="171"/>
        <v>7058579.4538016059</v>
      </c>
      <c r="M296" s="198">
        <f t="shared" si="171"/>
        <v>7093519.4220979242</v>
      </c>
      <c r="N296" s="198">
        <f t="shared" si="171"/>
        <v>7128632.3432373069</v>
      </c>
      <c r="O296" s="198">
        <f t="shared" si="171"/>
        <v>7163919.0733363321</v>
      </c>
      <c r="P296" s="198">
        <f t="shared" si="171"/>
        <v>7199380.472749345</v>
      </c>
      <c r="Q296" s="198">
        <f t="shared" si="171"/>
        <v>7235017.4060894577</v>
      </c>
      <c r="R296" s="198">
        <f t="shared" si="171"/>
        <v>7270830.7422495969</v>
      </c>
      <c r="S296" s="198">
        <f t="shared" si="171"/>
        <v>7306821.3544237344</v>
      </c>
      <c r="T296" s="198">
        <f t="shared" si="171"/>
        <v>7342990.1201281324</v>
      </c>
      <c r="U296" s="198">
        <f t="shared" si="171"/>
        <v>7379337.9212227669</v>
      </c>
      <c r="V296" s="198">
        <f t="shared" si="171"/>
        <v>7415865.6439328184</v>
      </c>
      <c r="W296" s="198">
        <f t="shared" si="171"/>
        <v>7452574.1788702859</v>
      </c>
      <c r="X296" s="198">
        <f t="shared" si="171"/>
        <v>7489464.4210556922</v>
      </c>
      <c r="Y296" s="198">
        <f t="shared" si="171"/>
        <v>7526537.2699399199</v>
      </c>
      <c r="Z296" s="198">
        <f t="shared" si="171"/>
        <v>7563793.6294261208</v>
      </c>
      <c r="AA296" s="198">
        <f t="shared" si="171"/>
        <v>7601234.4078917829</v>
      </c>
      <c r="AB296" s="198">
        <f t="shared" si="171"/>
        <v>7638860.5182108469</v>
      </c>
      <c r="AC296" s="198">
        <f t="shared" si="171"/>
        <v>7676672.8777759913</v>
      </c>
      <c r="AD296" s="198">
        <f t="shared" si="171"/>
        <v>7714672.4085209789</v>
      </c>
      <c r="AE296" s="198">
        <f t="shared" si="171"/>
        <v>7752860.0369431581</v>
      </c>
      <c r="AF296" s="198">
        <f t="shared" si="171"/>
        <v>7791236.6941260267</v>
      </c>
      <c r="AG296" s="198">
        <f t="shared" si="171"/>
        <v>0</v>
      </c>
      <c r="AH296" s="198">
        <f t="shared" si="171"/>
        <v>0</v>
      </c>
      <c r="AI296" s="198">
        <f t="shared" si="171"/>
        <v>0</v>
      </c>
      <c r="AJ296" s="198">
        <f t="shared" si="171"/>
        <v>0</v>
      </c>
      <c r="AK296" s="198">
        <f t="shared" si="171"/>
        <v>0</v>
      </c>
      <c r="AL296" s="198">
        <f t="shared" si="171"/>
        <v>0</v>
      </c>
      <c r="AM296" s="198">
        <f t="shared" si="171"/>
        <v>0</v>
      </c>
      <c r="AN296" s="198">
        <f t="shared" si="171"/>
        <v>0</v>
      </c>
      <c r="AO296" s="198">
        <f t="shared" si="171"/>
        <v>0</v>
      </c>
      <c r="AP296" s="198">
        <f t="shared" si="171"/>
        <v>0</v>
      </c>
    </row>
    <row r="297" spans="1:42" s="118" customFormat="1">
      <c r="A297" s="42" t="s">
        <v>413</v>
      </c>
      <c r="B297" s="141">
        <f t="shared" si="170"/>
        <v>0</v>
      </c>
      <c r="C297" s="198">
        <f t="shared" si="170"/>
        <v>6125.0000000000009</v>
      </c>
      <c r="D297" s="198">
        <f t="shared" ref="D297:AP297" si="172">D281</f>
        <v>18205.811846654171</v>
      </c>
      <c r="E297" s="198">
        <f t="shared" si="172"/>
        <v>30286.623693308342</v>
      </c>
      <c r="F297" s="198">
        <f t="shared" si="172"/>
        <v>40564.541789962517</v>
      </c>
      <c r="G297" s="198">
        <f t="shared" si="172"/>
        <v>52672.804722215893</v>
      </c>
      <c r="H297" s="198">
        <f t="shared" si="172"/>
        <v>64781.067654469291</v>
      </c>
      <c r="I297" s="198">
        <f t="shared" si="172"/>
        <v>75004.083579925034</v>
      </c>
      <c r="J297" s="198">
        <f t="shared" si="172"/>
        <v>87141.051518759807</v>
      </c>
      <c r="K297" s="198">
        <f t="shared" si="172"/>
        <v>99278.01945759455</v>
      </c>
      <c r="L297" s="198">
        <f t="shared" si="172"/>
        <v>109443.62536988755</v>
      </c>
      <c r="M297" s="198">
        <f t="shared" si="172"/>
        <v>121610.60951335869</v>
      </c>
      <c r="N297" s="198">
        <f t="shared" si="172"/>
        <v>133777.59365682982</v>
      </c>
      <c r="O297" s="198">
        <f t="shared" si="172"/>
        <v>92347.901148577046</v>
      </c>
      <c r="P297" s="198">
        <f t="shared" si="172"/>
        <v>105386.37546337843</v>
      </c>
      <c r="Q297" s="198">
        <f t="shared" si="172"/>
        <v>118424.84977817982</v>
      </c>
      <c r="R297" s="198">
        <f t="shared" si="172"/>
        <v>21529.125128545482</v>
      </c>
      <c r="S297" s="198">
        <f t="shared" si="172"/>
        <v>36398.398355727615</v>
      </c>
      <c r="T297" s="198">
        <f t="shared" si="172"/>
        <v>51267.671582909745</v>
      </c>
      <c r="U297" s="198">
        <f t="shared" si="172"/>
        <v>63882.909231071135</v>
      </c>
      <c r="V297" s="198">
        <f t="shared" si="172"/>
        <v>78786.502685733882</v>
      </c>
      <c r="W297" s="198">
        <f t="shared" si="172"/>
        <v>93690.096140396621</v>
      </c>
      <c r="X297" s="198">
        <f t="shared" si="172"/>
        <v>106236.69333359678</v>
      </c>
      <c r="Y297" s="198">
        <f t="shared" si="172"/>
        <v>121176.17470796108</v>
      </c>
      <c r="Z297" s="198">
        <f t="shared" si="172"/>
        <v>136115.65608232541</v>
      </c>
      <c r="AA297" s="198">
        <f t="shared" si="172"/>
        <v>86973.976921940499</v>
      </c>
      <c r="AB297" s="198">
        <f t="shared" si="172"/>
        <v>96816.277141678642</v>
      </c>
      <c r="AC297" s="198">
        <f t="shared" si="172"/>
        <v>106658.57736141678</v>
      </c>
      <c r="AD297" s="198">
        <f t="shared" si="172"/>
        <v>113923.63589592067</v>
      </c>
      <c r="AE297" s="198">
        <f t="shared" si="172"/>
        <v>123805.1775197134</v>
      </c>
      <c r="AF297" s="198">
        <f t="shared" si="172"/>
        <v>133686.71914350611</v>
      </c>
      <c r="AG297" s="198">
        <f t="shared" si="172"/>
        <v>0</v>
      </c>
      <c r="AH297" s="198">
        <f t="shared" si="172"/>
        <v>0</v>
      </c>
      <c r="AI297" s="198">
        <f t="shared" si="172"/>
        <v>0</v>
      </c>
      <c r="AJ297" s="198">
        <f t="shared" si="172"/>
        <v>0</v>
      </c>
      <c r="AK297" s="198">
        <f t="shared" si="172"/>
        <v>0</v>
      </c>
      <c r="AL297" s="198">
        <f t="shared" si="172"/>
        <v>0</v>
      </c>
      <c r="AM297" s="198">
        <f t="shared" si="172"/>
        <v>0</v>
      </c>
      <c r="AN297" s="198">
        <f t="shared" si="172"/>
        <v>0</v>
      </c>
      <c r="AO297" s="198">
        <f t="shared" si="172"/>
        <v>0</v>
      </c>
      <c r="AP297" s="198">
        <f t="shared" si="172"/>
        <v>0</v>
      </c>
    </row>
    <row r="298" spans="1:42" s="118" customFormat="1">
      <c r="A298" s="42" t="s">
        <v>472</v>
      </c>
      <c r="B298" s="141">
        <f t="shared" si="170"/>
        <v>0</v>
      </c>
      <c r="C298" s="198">
        <f t="shared" si="170"/>
        <v>49921.834239420248</v>
      </c>
      <c r="D298" s="198">
        <f t="shared" ref="D298:AP298" si="173">D282</f>
        <v>49921.834239420248</v>
      </c>
      <c r="E298" s="198">
        <f t="shared" si="173"/>
        <v>49921.834239420248</v>
      </c>
      <c r="F298" s="198">
        <f t="shared" si="173"/>
        <v>49921.834239420248</v>
      </c>
      <c r="G298" s="198">
        <f t="shared" si="173"/>
        <v>49921.834239420248</v>
      </c>
      <c r="H298" s="198">
        <f t="shared" si="173"/>
        <v>49921.834239420248</v>
      </c>
      <c r="I298" s="198">
        <f t="shared" si="173"/>
        <v>49921.834239420248</v>
      </c>
      <c r="J298" s="198">
        <f t="shared" si="173"/>
        <v>49921.834239420248</v>
      </c>
      <c r="K298" s="198">
        <f t="shared" si="173"/>
        <v>49921.834239420248</v>
      </c>
      <c r="L298" s="198">
        <f t="shared" si="173"/>
        <v>49921.834239420248</v>
      </c>
      <c r="M298" s="198">
        <f t="shared" si="173"/>
        <v>49921.834239420248</v>
      </c>
      <c r="N298" s="198">
        <f t="shared" si="173"/>
        <v>49921.834239420248</v>
      </c>
      <c r="O298" s="198">
        <f t="shared" si="173"/>
        <v>49921.834239420248</v>
      </c>
      <c r="P298" s="198">
        <f t="shared" si="173"/>
        <v>49921.834239420248</v>
      </c>
      <c r="Q298" s="198">
        <f t="shared" si="173"/>
        <v>49921.834239420248</v>
      </c>
      <c r="R298" s="198">
        <f t="shared" si="173"/>
        <v>49921.834239420248</v>
      </c>
      <c r="S298" s="198">
        <f t="shared" si="173"/>
        <v>49921.834239420248</v>
      </c>
      <c r="T298" s="198">
        <f t="shared" si="173"/>
        <v>49921.834239420248</v>
      </c>
      <c r="U298" s="198">
        <f t="shared" si="173"/>
        <v>49921.834239420248</v>
      </c>
      <c r="V298" s="198">
        <f t="shared" si="173"/>
        <v>49921.834239420248</v>
      </c>
      <c r="W298" s="198">
        <f t="shared" si="173"/>
        <v>49921.834239420248</v>
      </c>
      <c r="X298" s="198">
        <f t="shared" si="173"/>
        <v>49921.834239420248</v>
      </c>
      <c r="Y298" s="198">
        <f t="shared" si="173"/>
        <v>49921.834239420248</v>
      </c>
      <c r="Z298" s="198">
        <f t="shared" si="173"/>
        <v>49921.834239420248</v>
      </c>
      <c r="AA298" s="198">
        <f t="shared" si="173"/>
        <v>49921.834239420248</v>
      </c>
      <c r="AB298" s="198">
        <f t="shared" si="173"/>
        <v>49921.834239420248</v>
      </c>
      <c r="AC298" s="198">
        <f t="shared" si="173"/>
        <v>49921.834239420248</v>
      </c>
      <c r="AD298" s="198">
        <f t="shared" si="173"/>
        <v>49921.834239420248</v>
      </c>
      <c r="AE298" s="198">
        <f t="shared" si="173"/>
        <v>49921.834239420248</v>
      </c>
      <c r="AF298" s="198">
        <f t="shared" si="173"/>
        <v>49921.834239420248</v>
      </c>
      <c r="AG298" s="198">
        <f t="shared" si="173"/>
        <v>0</v>
      </c>
      <c r="AH298" s="198">
        <f t="shared" si="173"/>
        <v>0</v>
      </c>
      <c r="AI298" s="198">
        <f t="shared" si="173"/>
        <v>0</v>
      </c>
      <c r="AJ298" s="198">
        <f t="shared" si="173"/>
        <v>0</v>
      </c>
      <c r="AK298" s="198">
        <f t="shared" si="173"/>
        <v>0</v>
      </c>
      <c r="AL298" s="198">
        <f t="shared" si="173"/>
        <v>0</v>
      </c>
      <c r="AM298" s="198">
        <f t="shared" si="173"/>
        <v>0</v>
      </c>
      <c r="AN298" s="198">
        <f t="shared" si="173"/>
        <v>0</v>
      </c>
      <c r="AO298" s="198">
        <f t="shared" si="173"/>
        <v>0</v>
      </c>
      <c r="AP298" s="198">
        <f t="shared" si="173"/>
        <v>0</v>
      </c>
    </row>
    <row r="299" spans="1:42" s="118" customFormat="1">
      <c r="A299" s="42" t="s">
        <v>414</v>
      </c>
      <c r="B299" s="141">
        <f t="shared" ref="B299:B300" si="174">B283</f>
        <v>0</v>
      </c>
      <c r="C299" s="198">
        <f t="shared" ref="C299:C300" si="175">C283</f>
        <v>-777254.19374999998</v>
      </c>
      <c r="D299" s="198">
        <f t="shared" ref="D299:AP299" si="176">D283</f>
        <v>-771730.84531250002</v>
      </c>
      <c r="E299" s="198">
        <f t="shared" si="176"/>
        <v>-766376.23850343737</v>
      </c>
      <c r="F299" s="198">
        <f t="shared" si="176"/>
        <v>-761193.77251473407</v>
      </c>
      <c r="G299" s="198">
        <f t="shared" si="176"/>
        <v>-756186.91758800286</v>
      </c>
      <c r="H299" s="198">
        <f t="shared" si="176"/>
        <v>-751359.21653930179</v>
      </c>
      <c r="I299" s="198">
        <f t="shared" si="176"/>
        <v>-746714.28631722322</v>
      </c>
      <c r="J299" s="198">
        <f t="shared" si="176"/>
        <v>-742255.81959505379</v>
      </c>
      <c r="K299" s="198">
        <f t="shared" si="176"/>
        <v>-737987.58639776008</v>
      </c>
      <c r="L299" s="198">
        <f t="shared" si="176"/>
        <v>-733913.4357645741</v>
      </c>
      <c r="M299" s="198">
        <f t="shared" si="176"/>
        <v>-730037.29744796408</v>
      </c>
      <c r="N299" s="198">
        <f t="shared" si="176"/>
        <v>-726363.18364979955</v>
      </c>
      <c r="O299" s="198">
        <f t="shared" si="176"/>
        <v>-722895.19079553359</v>
      </c>
      <c r="P299" s="198">
        <f t="shared" si="176"/>
        <v>-719637.50134724576</v>
      </c>
      <c r="Q299" s="198">
        <f t="shared" si="176"/>
        <v>-716594.38565640873</v>
      </c>
      <c r="R299" s="198">
        <f t="shared" si="176"/>
        <v>-713770.2038572568</v>
      </c>
      <c r="S299" s="198">
        <f t="shared" si="176"/>
        <v>-711169.40780165966</v>
      </c>
      <c r="T299" s="198">
        <f t="shared" si="176"/>
        <v>-708796.54303642223</v>
      </c>
      <c r="U299" s="198">
        <f t="shared" si="176"/>
        <v>-706656.25082394935</v>
      </c>
      <c r="V299" s="198">
        <f t="shared" si="176"/>
        <v>-704753.27020724164</v>
      </c>
      <c r="W299" s="198">
        <f t="shared" si="176"/>
        <v>-703092.440120204</v>
      </c>
      <c r="X299" s="198">
        <f t="shared" si="176"/>
        <v>-716009.62373177486</v>
      </c>
      <c r="Y299" s="198">
        <f t="shared" si="176"/>
        <v>-729178.94408740243</v>
      </c>
      <c r="Z299" s="198">
        <f t="shared" si="176"/>
        <v>-742605.55292392347</v>
      </c>
      <c r="AA299" s="198">
        <f t="shared" si="176"/>
        <v>-756294.71078391466</v>
      </c>
      <c r="AB299" s="198">
        <f t="shared" si="176"/>
        <v>-770251.78936812212</v>
      </c>
      <c r="AC299" s="198">
        <f t="shared" si="176"/>
        <v>-784482.27393958764</v>
      </c>
      <c r="AD299" s="198">
        <f t="shared" si="176"/>
        <v>-798991.765780624</v>
      </c>
      <c r="AE299" s="198">
        <f t="shared" si="176"/>
        <v>-813785.98470381368</v>
      </c>
      <c r="AF299" s="198">
        <f t="shared" si="176"/>
        <v>-828870.77161823248</v>
      </c>
      <c r="AG299" s="198">
        <f t="shared" si="176"/>
        <v>0</v>
      </c>
      <c r="AH299" s="198">
        <f t="shared" si="176"/>
        <v>0</v>
      </c>
      <c r="AI299" s="198">
        <f t="shared" si="176"/>
        <v>0</v>
      </c>
      <c r="AJ299" s="198">
        <f t="shared" si="176"/>
        <v>0</v>
      </c>
      <c r="AK299" s="198">
        <f t="shared" si="176"/>
        <v>0</v>
      </c>
      <c r="AL299" s="198">
        <f t="shared" si="176"/>
        <v>0</v>
      </c>
      <c r="AM299" s="198">
        <f t="shared" si="176"/>
        <v>0</v>
      </c>
      <c r="AN299" s="198">
        <f t="shared" si="176"/>
        <v>0</v>
      </c>
      <c r="AO299" s="198">
        <f t="shared" si="176"/>
        <v>0</v>
      </c>
      <c r="AP299" s="198">
        <f t="shared" si="176"/>
        <v>0</v>
      </c>
    </row>
    <row r="300" spans="1:42" s="118" customFormat="1">
      <c r="A300" s="42" t="s">
        <v>415</v>
      </c>
      <c r="B300" s="141">
        <f t="shared" si="174"/>
        <v>0</v>
      </c>
      <c r="C300" s="141">
        <f t="shared" si="175"/>
        <v>-4890302.1295758607</v>
      </c>
      <c r="D300" s="141">
        <f t="shared" ref="D300:AP300" si="177">D284</f>
        <v>-4933327.5188328158</v>
      </c>
      <c r="E300" s="141">
        <f t="shared" si="177"/>
        <v>-4976189.6015447509</v>
      </c>
      <c r="F300" s="141">
        <f t="shared" si="177"/>
        <v>-5015511.0702105928</v>
      </c>
      <c r="G300" s="141">
        <f t="shared" si="177"/>
        <v>-5058056.5190571873</v>
      </c>
      <c r="H300" s="141">
        <f t="shared" si="177"/>
        <v>-5100420.9247209392</v>
      </c>
      <c r="I300" s="141">
        <f t="shared" si="177"/>
        <v>-5139072.5724151758</v>
      </c>
      <c r="J300" s="141">
        <f t="shared" si="177"/>
        <v>-5181084.912123342</v>
      </c>
      <c r="K300" s="141">
        <f t="shared" si="177"/>
        <v>-5222897.2420313396</v>
      </c>
      <c r="L300" s="141">
        <f t="shared" si="177"/>
        <v>-5260816.3791882154</v>
      </c>
      <c r="M300" s="141">
        <f t="shared" si="177"/>
        <v>-5302238.7293956364</v>
      </c>
      <c r="N300" s="141">
        <f t="shared" si="177"/>
        <v>-5343440.7931166962</v>
      </c>
      <c r="O300" s="141">
        <f t="shared" si="177"/>
        <v>-5281019.390732849</v>
      </c>
      <c r="P300" s="141">
        <f t="shared" si="177"/>
        <v>-5322631.0195524516</v>
      </c>
      <c r="Q300" s="141">
        <f t="shared" si="177"/>
        <v>-5364000.6898545725</v>
      </c>
      <c r="R300" s="141">
        <f t="shared" si="177"/>
        <v>-5190569.5723522557</v>
      </c>
      <c r="S300" s="141">
        <f t="shared" si="177"/>
        <v>-5233263.3071025787</v>
      </c>
      <c r="T300" s="141">
        <f t="shared" si="177"/>
        <v>-5275691.9251586702</v>
      </c>
      <c r="U300" s="141">
        <f t="shared" si="177"/>
        <v>-5313632.168904366</v>
      </c>
      <c r="V300" s="141">
        <f t="shared" si="177"/>
        <v>-5355540.495705178</v>
      </c>
      <c r="W300" s="141">
        <f t="shared" si="177"/>
        <v>-5397158.9648041232</v>
      </c>
      <c r="X300" s="141">
        <f t="shared" si="177"/>
        <v>-5419740.3031346705</v>
      </c>
      <c r="Y300" s="141">
        <f t="shared" si="177"/>
        <v>-5446457.9822864523</v>
      </c>
      <c r="Z300" s="141">
        <f t="shared" si="177"/>
        <v>-5472859.3769442905</v>
      </c>
      <c r="AA300" s="141">
        <f t="shared" si="177"/>
        <v>-5726121.6188261108</v>
      </c>
      <c r="AB300" s="141">
        <f t="shared" si="177"/>
        <v>-5746765.4527849043</v>
      </c>
      <c r="AC300" s="141">
        <f t="shared" si="177"/>
        <v>-5767064.7800426027</v>
      </c>
      <c r="AD300" s="141">
        <f t="shared" si="177"/>
        <v>-5782190.1666202499</v>
      </c>
      <c r="AE300" s="141">
        <f t="shared" si="177"/>
        <v>-5801810.0259299027</v>
      </c>
      <c r="AF300" s="141">
        <f t="shared" si="177"/>
        <v>-5821055.2441727538</v>
      </c>
      <c r="AG300" s="141">
        <f t="shared" si="177"/>
        <v>0</v>
      </c>
      <c r="AH300" s="141">
        <f t="shared" si="177"/>
        <v>0</v>
      </c>
      <c r="AI300" s="141">
        <f t="shared" si="177"/>
        <v>0</v>
      </c>
      <c r="AJ300" s="141">
        <f t="shared" si="177"/>
        <v>0</v>
      </c>
      <c r="AK300" s="141">
        <f t="shared" si="177"/>
        <v>0</v>
      </c>
      <c r="AL300" s="141">
        <f t="shared" si="177"/>
        <v>0</v>
      </c>
      <c r="AM300" s="141">
        <f t="shared" si="177"/>
        <v>0</v>
      </c>
      <c r="AN300" s="141">
        <f t="shared" si="177"/>
        <v>0</v>
      </c>
      <c r="AO300" s="141">
        <f t="shared" si="177"/>
        <v>0</v>
      </c>
      <c r="AP300" s="141">
        <f t="shared" si="177"/>
        <v>0</v>
      </c>
    </row>
    <row r="301" spans="1:42" s="118" customFormat="1">
      <c r="A301" s="42" t="s">
        <v>130</v>
      </c>
      <c r="B301" s="203">
        <f>B293</f>
        <v>0</v>
      </c>
      <c r="C301" s="203">
        <f>C293</f>
        <v>-62713.966686938431</v>
      </c>
      <c r="D301" s="203">
        <f t="shared" ref="D301:AP301" si="178">D293</f>
        <v>-63153.96668693838</v>
      </c>
      <c r="E301" s="203">
        <f t="shared" si="178"/>
        <v>-63602.766686938376</v>
      </c>
      <c r="F301" s="203">
        <f t="shared" si="178"/>
        <v>-64146.817527393039</v>
      </c>
      <c r="G301" s="203">
        <f t="shared" si="178"/>
        <v>-64613.749047393081</v>
      </c>
      <c r="H301" s="203">
        <f t="shared" si="178"/>
        <v>-65090.019197793066</v>
      </c>
      <c r="I301" s="203">
        <f t="shared" si="178"/>
        <v>-65666.03048617109</v>
      </c>
      <c r="J301" s="203">
        <f t="shared" si="178"/>
        <v>-66161.541950647224</v>
      </c>
      <c r="K301" s="203">
        <f t="shared" si="178"/>
        <v>-66666.963644412899</v>
      </c>
      <c r="L301" s="203">
        <f t="shared" si="178"/>
        <v>-67276.830415196833</v>
      </c>
      <c r="M301" s="203">
        <f t="shared" si="178"/>
        <v>-67802.671145390661</v>
      </c>
      <c r="N301" s="203">
        <f t="shared" si="178"/>
        <v>-68339.028690188352</v>
      </c>
      <c r="O301" s="203">
        <f t="shared" si="178"/>
        <v>-71625.082495777111</v>
      </c>
      <c r="P301" s="203">
        <f t="shared" si="178"/>
        <v>-72183.108885384587</v>
      </c>
      <c r="Q301" s="203">
        <f t="shared" si="178"/>
        <v>-72752.295802784225</v>
      </c>
      <c r="R301" s="203">
        <f t="shared" si="178"/>
        <v>-79086.805897442769</v>
      </c>
      <c r="S301" s="203">
        <f t="shared" si="178"/>
        <v>-79678.987966305445</v>
      </c>
      <c r="T301" s="203">
        <f t="shared" si="178"/>
        <v>-80283.013676545306</v>
      </c>
      <c r="U301" s="203">
        <f t="shared" si="178"/>
        <v>-81006.983473071887</v>
      </c>
      <c r="V301" s="203">
        <f t="shared" si="178"/>
        <v>-81635.411822005408</v>
      </c>
      <c r="W301" s="203">
        <f t="shared" si="178"/>
        <v>-82276.408737917664</v>
      </c>
      <c r="X301" s="203">
        <f t="shared" si="178"/>
        <v>-83043.016196924524</v>
      </c>
      <c r="Y301" s="203">
        <f t="shared" si="178"/>
        <v>-83709.909388239554</v>
      </c>
      <c r="Z301" s="203">
        <f t="shared" si="178"/>
        <v>-84390.140443380922</v>
      </c>
      <c r="AA301" s="203">
        <f t="shared" si="178"/>
        <v>-69064.2639193715</v>
      </c>
      <c r="AB301" s="203">
        <f t="shared" si="178"/>
        <v>-69771.97630914062</v>
      </c>
      <c r="AC301" s="203">
        <f t="shared" si="178"/>
        <v>-70493.842946705146</v>
      </c>
      <c r="AD301" s="203">
        <f t="shared" si="178"/>
        <v>-71353.477044049549</v>
      </c>
      <c r="AE301" s="203">
        <f t="shared" si="178"/>
        <v>-72104.507093771666</v>
      </c>
      <c r="AF301" s="203">
        <f t="shared" si="178"/>
        <v>-72870.557744488207</v>
      </c>
      <c r="AG301" s="203">
        <f t="shared" si="178"/>
        <v>0</v>
      </c>
      <c r="AH301" s="203">
        <f t="shared" si="178"/>
        <v>0</v>
      </c>
      <c r="AI301" s="203">
        <f t="shared" si="178"/>
        <v>0</v>
      </c>
      <c r="AJ301" s="203">
        <f t="shared" si="178"/>
        <v>0</v>
      </c>
      <c r="AK301" s="203">
        <f t="shared" si="178"/>
        <v>0</v>
      </c>
      <c r="AL301" s="203">
        <f t="shared" si="178"/>
        <v>0</v>
      </c>
      <c r="AM301" s="203">
        <f t="shared" si="178"/>
        <v>0</v>
      </c>
      <c r="AN301" s="203">
        <f t="shared" si="178"/>
        <v>0</v>
      </c>
      <c r="AO301" s="203">
        <f t="shared" si="178"/>
        <v>0</v>
      </c>
      <c r="AP301" s="203">
        <f t="shared" si="178"/>
        <v>0</v>
      </c>
    </row>
    <row r="302" spans="1:42" s="118" customFormat="1">
      <c r="A302" s="42" t="s">
        <v>118</v>
      </c>
      <c r="B302" s="198">
        <f>SUM(B296:B301)</f>
        <v>0</v>
      </c>
      <c r="C302" s="198">
        <f>SUM(C296:C301)</f>
        <v>1077539.9730755785</v>
      </c>
      <c r="D302" s="198">
        <f t="shared" ref="D302:AP302" si="179">SUM(D296:D301)</f>
        <v>1085099.9730755775</v>
      </c>
      <c r="E302" s="198">
        <f t="shared" si="179"/>
        <v>1092811.1730755775</v>
      </c>
      <c r="F302" s="198">
        <f t="shared" si="179"/>
        <v>1102158.9556979348</v>
      </c>
      <c r="G302" s="198">
        <f t="shared" si="179"/>
        <v>1110181.6881779358</v>
      </c>
      <c r="H302" s="198">
        <f t="shared" si="179"/>
        <v>1118364.8753075355</v>
      </c>
      <c r="I302" s="198">
        <f t="shared" si="179"/>
        <v>1128261.7965351213</v>
      </c>
      <c r="J302" s="198">
        <f t="shared" si="179"/>
        <v>1136775.5844247569</v>
      </c>
      <c r="K302" s="198">
        <f t="shared" si="179"/>
        <v>1145459.6480721855</v>
      </c>
      <c r="L302" s="198">
        <f t="shared" si="179"/>
        <v>1155938.2680429276</v>
      </c>
      <c r="M302" s="198">
        <f t="shared" si="179"/>
        <v>1164973.1678617122</v>
      </c>
      <c r="N302" s="198">
        <f t="shared" si="179"/>
        <v>1174188.7656768726</v>
      </c>
      <c r="O302" s="198">
        <f t="shared" si="179"/>
        <v>1230649.1447001703</v>
      </c>
      <c r="P302" s="198">
        <f t="shared" si="179"/>
        <v>1240237.0526670623</v>
      </c>
      <c r="Q302" s="198">
        <f t="shared" si="179"/>
        <v>1250016.7187932925</v>
      </c>
      <c r="R302" s="198">
        <f t="shared" si="179"/>
        <v>1358855.1195106076</v>
      </c>
      <c r="S302" s="198">
        <f t="shared" si="179"/>
        <v>1369029.884148339</v>
      </c>
      <c r="T302" s="198">
        <f t="shared" si="179"/>
        <v>1379408.144078824</v>
      </c>
      <c r="U302" s="198">
        <f t="shared" si="179"/>
        <v>1391847.2614918714</v>
      </c>
      <c r="V302" s="198">
        <f t="shared" si="179"/>
        <v>1402644.8031235475</v>
      </c>
      <c r="W302" s="198">
        <f t="shared" si="179"/>
        <v>1413658.295587858</v>
      </c>
      <c r="X302" s="198">
        <f t="shared" si="179"/>
        <v>1426830.0055653395</v>
      </c>
      <c r="Y302" s="198">
        <f t="shared" si="179"/>
        <v>1438288.443125207</v>
      </c>
      <c r="Z302" s="198">
        <f t="shared" si="179"/>
        <v>1449976.0494362721</v>
      </c>
      <c r="AA302" s="198">
        <f t="shared" si="179"/>
        <v>1186649.6255237467</v>
      </c>
      <c r="AB302" s="198">
        <f t="shared" si="179"/>
        <v>1198809.4111297796</v>
      </c>
      <c r="AC302" s="198">
        <f t="shared" si="179"/>
        <v>1211212.3924479338</v>
      </c>
      <c r="AD302" s="198">
        <f t="shared" si="179"/>
        <v>1225982.4692113968</v>
      </c>
      <c r="AE302" s="198">
        <f t="shared" si="179"/>
        <v>1238886.5309748042</v>
      </c>
      <c r="AF302" s="198">
        <f t="shared" si="179"/>
        <v>1252048.6739734793</v>
      </c>
      <c r="AG302" s="198">
        <f t="shared" si="179"/>
        <v>0</v>
      </c>
      <c r="AH302" s="198">
        <f t="shared" si="179"/>
        <v>0</v>
      </c>
      <c r="AI302" s="198">
        <f t="shared" si="179"/>
        <v>0</v>
      </c>
      <c r="AJ302" s="198">
        <f t="shared" si="179"/>
        <v>0</v>
      </c>
      <c r="AK302" s="198">
        <f t="shared" si="179"/>
        <v>0</v>
      </c>
      <c r="AL302" s="198">
        <f t="shared" si="179"/>
        <v>0</v>
      </c>
      <c r="AM302" s="198">
        <f t="shared" si="179"/>
        <v>0</v>
      </c>
      <c r="AN302" s="198">
        <f t="shared" si="179"/>
        <v>0</v>
      </c>
      <c r="AO302" s="198">
        <f t="shared" si="179"/>
        <v>0</v>
      </c>
      <c r="AP302" s="198">
        <f t="shared" si="179"/>
        <v>0</v>
      </c>
    </row>
    <row r="303" spans="1:42" s="118" customFormat="1">
      <c r="A303" s="42" t="s">
        <v>416</v>
      </c>
      <c r="B303" s="42"/>
    </row>
    <row r="304" spans="1:42">
      <c r="A304" s="204" t="str">
        <f>'Inputs &amp; Results'!A67</f>
        <v>Federal</v>
      </c>
      <c r="B304" s="141">
        <v>0</v>
      </c>
      <c r="C304" s="141">
        <f t="shared" ref="C304:AP304" si="180">IF(PBIFedFedTax="Yes",C619,0)</f>
        <v>0</v>
      </c>
      <c r="D304" s="141">
        <f t="shared" si="180"/>
        <v>0</v>
      </c>
      <c r="E304" s="141">
        <f t="shared" si="180"/>
        <v>0</v>
      </c>
      <c r="F304" s="141">
        <f t="shared" si="180"/>
        <v>0</v>
      </c>
      <c r="G304" s="141">
        <f t="shared" si="180"/>
        <v>0</v>
      </c>
      <c r="H304" s="141">
        <f t="shared" si="180"/>
        <v>0</v>
      </c>
      <c r="I304" s="141">
        <f t="shared" si="180"/>
        <v>0</v>
      </c>
      <c r="J304" s="141">
        <f t="shared" si="180"/>
        <v>0</v>
      </c>
      <c r="K304" s="141">
        <f t="shared" si="180"/>
        <v>0</v>
      </c>
      <c r="L304" s="141">
        <f t="shared" si="180"/>
        <v>0</v>
      </c>
      <c r="M304" s="141">
        <f t="shared" si="180"/>
        <v>0</v>
      </c>
      <c r="N304" s="141">
        <f t="shared" si="180"/>
        <v>0</v>
      </c>
      <c r="O304" s="141">
        <f t="shared" si="180"/>
        <v>0</v>
      </c>
      <c r="P304" s="141">
        <f t="shared" si="180"/>
        <v>0</v>
      </c>
      <c r="Q304" s="141">
        <f t="shared" si="180"/>
        <v>0</v>
      </c>
      <c r="R304" s="141">
        <f t="shared" si="180"/>
        <v>0</v>
      </c>
      <c r="S304" s="141">
        <f t="shared" si="180"/>
        <v>0</v>
      </c>
      <c r="T304" s="141">
        <f t="shared" si="180"/>
        <v>0</v>
      </c>
      <c r="U304" s="141">
        <f t="shared" si="180"/>
        <v>0</v>
      </c>
      <c r="V304" s="141">
        <f t="shared" si="180"/>
        <v>0</v>
      </c>
      <c r="W304" s="141">
        <f t="shared" si="180"/>
        <v>0</v>
      </c>
      <c r="X304" s="141">
        <f t="shared" si="180"/>
        <v>0</v>
      </c>
      <c r="Y304" s="141">
        <f t="shared" si="180"/>
        <v>0</v>
      </c>
      <c r="Z304" s="141">
        <f t="shared" si="180"/>
        <v>0</v>
      </c>
      <c r="AA304" s="141">
        <f t="shared" si="180"/>
        <v>0</v>
      </c>
      <c r="AB304" s="141">
        <f t="shared" si="180"/>
        <v>0</v>
      </c>
      <c r="AC304" s="141">
        <f t="shared" si="180"/>
        <v>0</v>
      </c>
      <c r="AD304" s="141">
        <f t="shared" si="180"/>
        <v>0</v>
      </c>
      <c r="AE304" s="141">
        <f t="shared" si="180"/>
        <v>0</v>
      </c>
      <c r="AF304" s="141">
        <f t="shared" si="180"/>
        <v>0</v>
      </c>
      <c r="AG304" s="141">
        <f t="shared" si="180"/>
        <v>0</v>
      </c>
      <c r="AH304" s="141">
        <f t="shared" si="180"/>
        <v>0</v>
      </c>
      <c r="AI304" s="141">
        <f t="shared" si="180"/>
        <v>0</v>
      </c>
      <c r="AJ304" s="141">
        <f t="shared" si="180"/>
        <v>0</v>
      </c>
      <c r="AK304" s="141">
        <f t="shared" si="180"/>
        <v>0</v>
      </c>
      <c r="AL304" s="141">
        <f t="shared" si="180"/>
        <v>0</v>
      </c>
      <c r="AM304" s="141">
        <f t="shared" si="180"/>
        <v>0</v>
      </c>
      <c r="AN304" s="141">
        <f t="shared" si="180"/>
        <v>0</v>
      </c>
      <c r="AO304" s="141">
        <f t="shared" si="180"/>
        <v>0</v>
      </c>
      <c r="AP304" s="141">
        <f t="shared" si="180"/>
        <v>0</v>
      </c>
    </row>
    <row r="305" spans="1:42">
      <c r="A305" s="204" t="str">
        <f>'Inputs &amp; Results'!A68</f>
        <v>State</v>
      </c>
      <c r="B305" s="141">
        <v>0</v>
      </c>
      <c r="C305" s="141">
        <f t="shared" ref="C305:AP305" si="181">IF(PBIStateFedTax="Yes",C623,0)</f>
        <v>0</v>
      </c>
      <c r="D305" s="141">
        <f t="shared" si="181"/>
        <v>0</v>
      </c>
      <c r="E305" s="141">
        <f t="shared" si="181"/>
        <v>0</v>
      </c>
      <c r="F305" s="141">
        <f t="shared" si="181"/>
        <v>0</v>
      </c>
      <c r="G305" s="141">
        <f t="shared" si="181"/>
        <v>0</v>
      </c>
      <c r="H305" s="141">
        <f t="shared" si="181"/>
        <v>0</v>
      </c>
      <c r="I305" s="141">
        <f t="shared" si="181"/>
        <v>0</v>
      </c>
      <c r="J305" s="141">
        <f t="shared" si="181"/>
        <v>0</v>
      </c>
      <c r="K305" s="141">
        <f t="shared" si="181"/>
        <v>0</v>
      </c>
      <c r="L305" s="141">
        <f t="shared" si="181"/>
        <v>0</v>
      </c>
      <c r="M305" s="141">
        <f t="shared" si="181"/>
        <v>0</v>
      </c>
      <c r="N305" s="141">
        <f t="shared" si="181"/>
        <v>0</v>
      </c>
      <c r="O305" s="141">
        <f t="shared" si="181"/>
        <v>0</v>
      </c>
      <c r="P305" s="141">
        <f t="shared" si="181"/>
        <v>0</v>
      </c>
      <c r="Q305" s="141">
        <f t="shared" si="181"/>
        <v>0</v>
      </c>
      <c r="R305" s="141">
        <f t="shared" si="181"/>
        <v>0</v>
      </c>
      <c r="S305" s="141">
        <f t="shared" si="181"/>
        <v>0</v>
      </c>
      <c r="T305" s="141">
        <f t="shared" si="181"/>
        <v>0</v>
      </c>
      <c r="U305" s="141">
        <f t="shared" si="181"/>
        <v>0</v>
      </c>
      <c r="V305" s="141">
        <f t="shared" si="181"/>
        <v>0</v>
      </c>
      <c r="W305" s="141">
        <f t="shared" si="181"/>
        <v>0</v>
      </c>
      <c r="X305" s="141">
        <f t="shared" si="181"/>
        <v>0</v>
      </c>
      <c r="Y305" s="141">
        <f t="shared" si="181"/>
        <v>0</v>
      </c>
      <c r="Z305" s="141">
        <f t="shared" si="181"/>
        <v>0</v>
      </c>
      <c r="AA305" s="141">
        <f t="shared" si="181"/>
        <v>0</v>
      </c>
      <c r="AB305" s="141">
        <f t="shared" si="181"/>
        <v>0</v>
      </c>
      <c r="AC305" s="141">
        <f t="shared" si="181"/>
        <v>0</v>
      </c>
      <c r="AD305" s="141">
        <f t="shared" si="181"/>
        <v>0</v>
      </c>
      <c r="AE305" s="141">
        <f t="shared" si="181"/>
        <v>0</v>
      </c>
      <c r="AF305" s="141">
        <f t="shared" si="181"/>
        <v>0</v>
      </c>
      <c r="AG305" s="141">
        <f t="shared" si="181"/>
        <v>0</v>
      </c>
      <c r="AH305" s="141">
        <f t="shared" si="181"/>
        <v>0</v>
      </c>
      <c r="AI305" s="141">
        <f t="shared" si="181"/>
        <v>0</v>
      </c>
      <c r="AJ305" s="141">
        <f t="shared" si="181"/>
        <v>0</v>
      </c>
      <c r="AK305" s="141">
        <f t="shared" si="181"/>
        <v>0</v>
      </c>
      <c r="AL305" s="141">
        <f t="shared" si="181"/>
        <v>0</v>
      </c>
      <c r="AM305" s="141">
        <f t="shared" si="181"/>
        <v>0</v>
      </c>
      <c r="AN305" s="141">
        <f t="shared" si="181"/>
        <v>0</v>
      </c>
      <c r="AO305" s="141">
        <f t="shared" si="181"/>
        <v>0</v>
      </c>
      <c r="AP305" s="141">
        <f t="shared" si="181"/>
        <v>0</v>
      </c>
    </row>
    <row r="306" spans="1:42">
      <c r="A306" s="204" t="str">
        <f>'Inputs &amp; Results'!A69</f>
        <v>Utility</v>
      </c>
      <c r="B306" s="141">
        <v>0</v>
      </c>
      <c r="C306" s="141">
        <f t="shared" ref="C306:AP306" si="182">IF(PBIUtilityFedTax="Yes",C627,0)</f>
        <v>0</v>
      </c>
      <c r="D306" s="141">
        <f t="shared" si="182"/>
        <v>0</v>
      </c>
      <c r="E306" s="141">
        <f t="shared" si="182"/>
        <v>0</v>
      </c>
      <c r="F306" s="141">
        <f t="shared" si="182"/>
        <v>0</v>
      </c>
      <c r="G306" s="141">
        <f t="shared" si="182"/>
        <v>0</v>
      </c>
      <c r="H306" s="141">
        <f t="shared" si="182"/>
        <v>0</v>
      </c>
      <c r="I306" s="141">
        <f t="shared" si="182"/>
        <v>0</v>
      </c>
      <c r="J306" s="141">
        <f t="shared" si="182"/>
        <v>0</v>
      </c>
      <c r="K306" s="141">
        <f t="shared" si="182"/>
        <v>0</v>
      </c>
      <c r="L306" s="141">
        <f t="shared" si="182"/>
        <v>0</v>
      </c>
      <c r="M306" s="141">
        <f t="shared" si="182"/>
        <v>0</v>
      </c>
      <c r="N306" s="141">
        <f t="shared" si="182"/>
        <v>0</v>
      </c>
      <c r="O306" s="141">
        <f t="shared" si="182"/>
        <v>0</v>
      </c>
      <c r="P306" s="141">
        <f t="shared" si="182"/>
        <v>0</v>
      </c>
      <c r="Q306" s="141">
        <f t="shared" si="182"/>
        <v>0</v>
      </c>
      <c r="R306" s="141">
        <f t="shared" si="182"/>
        <v>0</v>
      </c>
      <c r="S306" s="141">
        <f t="shared" si="182"/>
        <v>0</v>
      </c>
      <c r="T306" s="141">
        <f t="shared" si="182"/>
        <v>0</v>
      </c>
      <c r="U306" s="141">
        <f t="shared" si="182"/>
        <v>0</v>
      </c>
      <c r="V306" s="141">
        <f t="shared" si="182"/>
        <v>0</v>
      </c>
      <c r="W306" s="141">
        <f t="shared" si="182"/>
        <v>0</v>
      </c>
      <c r="X306" s="141">
        <f t="shared" si="182"/>
        <v>0</v>
      </c>
      <c r="Y306" s="141">
        <f t="shared" si="182"/>
        <v>0</v>
      </c>
      <c r="Z306" s="141">
        <f t="shared" si="182"/>
        <v>0</v>
      </c>
      <c r="AA306" s="141">
        <f t="shared" si="182"/>
        <v>0</v>
      </c>
      <c r="AB306" s="141">
        <f t="shared" si="182"/>
        <v>0</v>
      </c>
      <c r="AC306" s="141">
        <f t="shared" si="182"/>
        <v>0</v>
      </c>
      <c r="AD306" s="141">
        <f t="shared" si="182"/>
        <v>0</v>
      </c>
      <c r="AE306" s="141">
        <f t="shared" si="182"/>
        <v>0</v>
      </c>
      <c r="AF306" s="141">
        <f t="shared" si="182"/>
        <v>0</v>
      </c>
      <c r="AG306" s="141">
        <f t="shared" si="182"/>
        <v>0</v>
      </c>
      <c r="AH306" s="141">
        <f t="shared" si="182"/>
        <v>0</v>
      </c>
      <c r="AI306" s="141">
        <f t="shared" si="182"/>
        <v>0</v>
      </c>
      <c r="AJ306" s="141">
        <f t="shared" si="182"/>
        <v>0</v>
      </c>
      <c r="AK306" s="141">
        <f t="shared" si="182"/>
        <v>0</v>
      </c>
      <c r="AL306" s="141">
        <f t="shared" si="182"/>
        <v>0</v>
      </c>
      <c r="AM306" s="141">
        <f t="shared" si="182"/>
        <v>0</v>
      </c>
      <c r="AN306" s="141">
        <f t="shared" si="182"/>
        <v>0</v>
      </c>
      <c r="AO306" s="141">
        <f t="shared" si="182"/>
        <v>0</v>
      </c>
      <c r="AP306" s="141">
        <f t="shared" si="182"/>
        <v>0</v>
      </c>
    </row>
    <row r="307" spans="1:42">
      <c r="A307" s="204" t="str">
        <f>'Inputs &amp; Results'!A70</f>
        <v>Other</v>
      </c>
      <c r="B307" s="203">
        <v>0</v>
      </c>
      <c r="C307" s="203">
        <f t="shared" ref="C307:AP307" si="183">IF(PBIOtherFedTax="Yes",C631,0)</f>
        <v>0</v>
      </c>
      <c r="D307" s="203">
        <f t="shared" si="183"/>
        <v>0</v>
      </c>
      <c r="E307" s="203">
        <f t="shared" si="183"/>
        <v>0</v>
      </c>
      <c r="F307" s="203">
        <f t="shared" si="183"/>
        <v>0</v>
      </c>
      <c r="G307" s="203">
        <f t="shared" si="183"/>
        <v>0</v>
      </c>
      <c r="H307" s="203">
        <f t="shared" si="183"/>
        <v>0</v>
      </c>
      <c r="I307" s="203">
        <f t="shared" si="183"/>
        <v>0</v>
      </c>
      <c r="J307" s="203">
        <f t="shared" si="183"/>
        <v>0</v>
      </c>
      <c r="K307" s="203">
        <f t="shared" si="183"/>
        <v>0</v>
      </c>
      <c r="L307" s="203">
        <f t="shared" si="183"/>
        <v>0</v>
      </c>
      <c r="M307" s="203">
        <f t="shared" si="183"/>
        <v>0</v>
      </c>
      <c r="N307" s="203">
        <f t="shared" si="183"/>
        <v>0</v>
      </c>
      <c r="O307" s="203">
        <f t="shared" si="183"/>
        <v>0</v>
      </c>
      <c r="P307" s="203">
        <f t="shared" si="183"/>
        <v>0</v>
      </c>
      <c r="Q307" s="203">
        <f t="shared" si="183"/>
        <v>0</v>
      </c>
      <c r="R307" s="203">
        <f t="shared" si="183"/>
        <v>0</v>
      </c>
      <c r="S307" s="203">
        <f t="shared" si="183"/>
        <v>0</v>
      </c>
      <c r="T307" s="203">
        <f t="shared" si="183"/>
        <v>0</v>
      </c>
      <c r="U307" s="203">
        <f t="shared" si="183"/>
        <v>0</v>
      </c>
      <c r="V307" s="203">
        <f t="shared" si="183"/>
        <v>0</v>
      </c>
      <c r="W307" s="203">
        <f t="shared" si="183"/>
        <v>0</v>
      </c>
      <c r="X307" s="203">
        <f t="shared" si="183"/>
        <v>0</v>
      </c>
      <c r="Y307" s="203">
        <f t="shared" si="183"/>
        <v>0</v>
      </c>
      <c r="Z307" s="203">
        <f t="shared" si="183"/>
        <v>0</v>
      </c>
      <c r="AA307" s="203">
        <f t="shared" si="183"/>
        <v>0</v>
      </c>
      <c r="AB307" s="203">
        <f t="shared" si="183"/>
        <v>0</v>
      </c>
      <c r="AC307" s="203">
        <f t="shared" si="183"/>
        <v>0</v>
      </c>
      <c r="AD307" s="203">
        <f t="shared" si="183"/>
        <v>0</v>
      </c>
      <c r="AE307" s="203">
        <f t="shared" si="183"/>
        <v>0</v>
      </c>
      <c r="AF307" s="203">
        <f t="shared" si="183"/>
        <v>0</v>
      </c>
      <c r="AG307" s="203">
        <f t="shared" si="183"/>
        <v>0</v>
      </c>
      <c r="AH307" s="203">
        <f t="shared" si="183"/>
        <v>0</v>
      </c>
      <c r="AI307" s="203">
        <f t="shared" si="183"/>
        <v>0</v>
      </c>
      <c r="AJ307" s="203">
        <f t="shared" si="183"/>
        <v>0</v>
      </c>
      <c r="AK307" s="203">
        <f t="shared" si="183"/>
        <v>0</v>
      </c>
      <c r="AL307" s="203">
        <f t="shared" si="183"/>
        <v>0</v>
      </c>
      <c r="AM307" s="203">
        <f t="shared" si="183"/>
        <v>0</v>
      </c>
      <c r="AN307" s="203">
        <f t="shared" si="183"/>
        <v>0</v>
      </c>
      <c r="AO307" s="203">
        <f t="shared" si="183"/>
        <v>0</v>
      </c>
      <c r="AP307" s="203">
        <f t="shared" si="183"/>
        <v>0</v>
      </c>
    </row>
    <row r="308" spans="1:42">
      <c r="A308" s="204" t="s">
        <v>53</v>
      </c>
      <c r="B308" s="194">
        <f>SUM(B304:B307)</f>
        <v>0</v>
      </c>
      <c r="C308" s="194">
        <f>SUM(C304:C307)</f>
        <v>0</v>
      </c>
      <c r="D308" s="194">
        <f t="shared" ref="D308:AL308" si="184">SUM(D304:D307)</f>
        <v>0</v>
      </c>
      <c r="E308" s="194">
        <f t="shared" si="184"/>
        <v>0</v>
      </c>
      <c r="F308" s="194">
        <f t="shared" si="184"/>
        <v>0</v>
      </c>
      <c r="G308" s="194">
        <f t="shared" si="184"/>
        <v>0</v>
      </c>
      <c r="H308" s="194">
        <f t="shared" si="184"/>
        <v>0</v>
      </c>
      <c r="I308" s="194">
        <f t="shared" si="184"/>
        <v>0</v>
      </c>
      <c r="J308" s="194">
        <f t="shared" si="184"/>
        <v>0</v>
      </c>
      <c r="K308" s="194">
        <f t="shared" si="184"/>
        <v>0</v>
      </c>
      <c r="L308" s="194">
        <f t="shared" si="184"/>
        <v>0</v>
      </c>
      <c r="M308" s="194">
        <f t="shared" si="184"/>
        <v>0</v>
      </c>
      <c r="N308" s="194">
        <f t="shared" si="184"/>
        <v>0</v>
      </c>
      <c r="O308" s="194">
        <f t="shared" si="184"/>
        <v>0</v>
      </c>
      <c r="P308" s="194">
        <f t="shared" si="184"/>
        <v>0</v>
      </c>
      <c r="Q308" s="194">
        <f t="shared" si="184"/>
        <v>0</v>
      </c>
      <c r="R308" s="194">
        <f t="shared" si="184"/>
        <v>0</v>
      </c>
      <c r="S308" s="194">
        <f t="shared" si="184"/>
        <v>0</v>
      </c>
      <c r="T308" s="194">
        <f t="shared" si="184"/>
        <v>0</v>
      </c>
      <c r="U308" s="194">
        <f t="shared" si="184"/>
        <v>0</v>
      </c>
      <c r="V308" s="194">
        <f t="shared" si="184"/>
        <v>0</v>
      </c>
      <c r="W308" s="194">
        <f t="shared" si="184"/>
        <v>0</v>
      </c>
      <c r="X308" s="194">
        <f t="shared" si="184"/>
        <v>0</v>
      </c>
      <c r="Y308" s="194">
        <f t="shared" si="184"/>
        <v>0</v>
      </c>
      <c r="Z308" s="194">
        <f t="shared" si="184"/>
        <v>0</v>
      </c>
      <c r="AA308" s="194">
        <f t="shared" si="184"/>
        <v>0</v>
      </c>
      <c r="AB308" s="194">
        <f t="shared" si="184"/>
        <v>0</v>
      </c>
      <c r="AC308" s="194">
        <f t="shared" si="184"/>
        <v>0</v>
      </c>
      <c r="AD308" s="194">
        <f t="shared" si="184"/>
        <v>0</v>
      </c>
      <c r="AE308" s="194">
        <f t="shared" si="184"/>
        <v>0</v>
      </c>
      <c r="AF308" s="194">
        <f t="shared" si="184"/>
        <v>0</v>
      </c>
      <c r="AG308" s="194">
        <f t="shared" si="184"/>
        <v>0</v>
      </c>
      <c r="AH308" s="194">
        <f t="shared" si="184"/>
        <v>0</v>
      </c>
      <c r="AI308" s="194">
        <f t="shared" si="184"/>
        <v>0</v>
      </c>
      <c r="AJ308" s="194">
        <f t="shared" si="184"/>
        <v>0</v>
      </c>
      <c r="AK308" s="194">
        <f t="shared" si="184"/>
        <v>0</v>
      </c>
      <c r="AL308" s="194">
        <f t="shared" si="184"/>
        <v>0</v>
      </c>
      <c r="AM308" s="194">
        <f>SUM(AM304:AM307)</f>
        <v>0</v>
      </c>
      <c r="AN308" s="194">
        <f t="shared" ref="AN308:AP308" si="185">SUM(AN304:AN307)</f>
        <v>0</v>
      </c>
      <c r="AO308" s="194">
        <f t="shared" si="185"/>
        <v>0</v>
      </c>
      <c r="AP308" s="194">
        <f t="shared" si="185"/>
        <v>0</v>
      </c>
    </row>
    <row r="309" spans="1:42" s="118" customFormat="1">
      <c r="A309" s="204" t="s">
        <v>131</v>
      </c>
      <c r="B309" s="198">
        <f>B302+B308</f>
        <v>0</v>
      </c>
      <c r="C309" s="198">
        <f>C302+C308</f>
        <v>1077539.9730755785</v>
      </c>
      <c r="D309" s="198">
        <f t="shared" ref="D309:AP309" si="186">D302+D308</f>
        <v>1085099.9730755775</v>
      </c>
      <c r="E309" s="198">
        <f t="shared" si="186"/>
        <v>1092811.1730755775</v>
      </c>
      <c r="F309" s="198">
        <f t="shared" si="186"/>
        <v>1102158.9556979348</v>
      </c>
      <c r="G309" s="198">
        <f t="shared" si="186"/>
        <v>1110181.6881779358</v>
      </c>
      <c r="H309" s="198">
        <f t="shared" si="186"/>
        <v>1118364.8753075355</v>
      </c>
      <c r="I309" s="198">
        <f t="shared" si="186"/>
        <v>1128261.7965351213</v>
      </c>
      <c r="J309" s="198">
        <f t="shared" si="186"/>
        <v>1136775.5844247569</v>
      </c>
      <c r="K309" s="198">
        <f t="shared" si="186"/>
        <v>1145459.6480721855</v>
      </c>
      <c r="L309" s="198">
        <f t="shared" si="186"/>
        <v>1155938.2680429276</v>
      </c>
      <c r="M309" s="198">
        <f t="shared" si="186"/>
        <v>1164973.1678617122</v>
      </c>
      <c r="N309" s="198">
        <f t="shared" si="186"/>
        <v>1174188.7656768726</v>
      </c>
      <c r="O309" s="198">
        <f t="shared" si="186"/>
        <v>1230649.1447001703</v>
      </c>
      <c r="P309" s="198">
        <f t="shared" si="186"/>
        <v>1240237.0526670623</v>
      </c>
      <c r="Q309" s="198">
        <f t="shared" si="186"/>
        <v>1250016.7187932925</v>
      </c>
      <c r="R309" s="198">
        <f t="shared" si="186"/>
        <v>1358855.1195106076</v>
      </c>
      <c r="S309" s="198">
        <f t="shared" si="186"/>
        <v>1369029.884148339</v>
      </c>
      <c r="T309" s="198">
        <f t="shared" si="186"/>
        <v>1379408.144078824</v>
      </c>
      <c r="U309" s="198">
        <f t="shared" si="186"/>
        <v>1391847.2614918714</v>
      </c>
      <c r="V309" s="198">
        <f t="shared" si="186"/>
        <v>1402644.8031235475</v>
      </c>
      <c r="W309" s="198">
        <f t="shared" si="186"/>
        <v>1413658.295587858</v>
      </c>
      <c r="X309" s="198">
        <f t="shared" si="186"/>
        <v>1426830.0055653395</v>
      </c>
      <c r="Y309" s="198">
        <f t="shared" si="186"/>
        <v>1438288.443125207</v>
      </c>
      <c r="Z309" s="198">
        <f t="shared" si="186"/>
        <v>1449976.0494362721</v>
      </c>
      <c r="AA309" s="198">
        <f t="shared" si="186"/>
        <v>1186649.6255237467</v>
      </c>
      <c r="AB309" s="198">
        <f t="shared" si="186"/>
        <v>1198809.4111297796</v>
      </c>
      <c r="AC309" s="198">
        <f t="shared" si="186"/>
        <v>1211212.3924479338</v>
      </c>
      <c r="AD309" s="198">
        <f t="shared" si="186"/>
        <v>1225982.4692113968</v>
      </c>
      <c r="AE309" s="198">
        <f t="shared" si="186"/>
        <v>1238886.5309748042</v>
      </c>
      <c r="AF309" s="198">
        <f t="shared" si="186"/>
        <v>1252048.6739734793</v>
      </c>
      <c r="AG309" s="198">
        <f t="shared" si="186"/>
        <v>0</v>
      </c>
      <c r="AH309" s="198">
        <f t="shared" si="186"/>
        <v>0</v>
      </c>
      <c r="AI309" s="198">
        <f t="shared" si="186"/>
        <v>0</v>
      </c>
      <c r="AJ309" s="198">
        <f t="shared" si="186"/>
        <v>0</v>
      </c>
      <c r="AK309" s="198">
        <f t="shared" si="186"/>
        <v>0</v>
      </c>
      <c r="AL309" s="198">
        <f t="shared" si="186"/>
        <v>0</v>
      </c>
      <c r="AM309" s="198">
        <f t="shared" si="186"/>
        <v>0</v>
      </c>
      <c r="AN309" s="198">
        <f t="shared" si="186"/>
        <v>0</v>
      </c>
      <c r="AO309" s="198">
        <f t="shared" si="186"/>
        <v>0</v>
      </c>
      <c r="AP309" s="198">
        <f t="shared" si="186"/>
        <v>0</v>
      </c>
    </row>
    <row r="310" spans="1:42">
      <c r="A310" s="197" t="s">
        <v>224</v>
      </c>
      <c r="B310" s="194">
        <f t="shared" ref="B310" si="187">B309*-FedTax</f>
        <v>0</v>
      </c>
      <c r="C310" s="194">
        <f t="shared" ref="C310:AP310" si="188">C309*-FedTax</f>
        <v>-377138.99057645246</v>
      </c>
      <c r="D310" s="194">
        <f t="shared" si="188"/>
        <v>-379784.99057645211</v>
      </c>
      <c r="E310" s="194">
        <f t="shared" si="188"/>
        <v>-382483.91057645209</v>
      </c>
      <c r="F310" s="194">
        <f t="shared" si="188"/>
        <v>-385755.63449427718</v>
      </c>
      <c r="G310" s="194">
        <f t="shared" si="188"/>
        <v>-388563.59086227749</v>
      </c>
      <c r="H310" s="194">
        <f t="shared" si="188"/>
        <v>-391427.70635763742</v>
      </c>
      <c r="I310" s="194">
        <f t="shared" si="188"/>
        <v>-394891.6287872924</v>
      </c>
      <c r="J310" s="194">
        <f t="shared" si="188"/>
        <v>-397871.45454866491</v>
      </c>
      <c r="K310" s="194">
        <f t="shared" si="188"/>
        <v>-400910.87682526489</v>
      </c>
      <c r="L310" s="194">
        <f t="shared" si="188"/>
        <v>-404578.39381502464</v>
      </c>
      <c r="M310" s="194">
        <f t="shared" si="188"/>
        <v>-407740.60875159921</v>
      </c>
      <c r="N310" s="194">
        <f t="shared" si="188"/>
        <v>-410966.0679869054</v>
      </c>
      <c r="O310" s="194">
        <f t="shared" si="188"/>
        <v>-430727.20064505958</v>
      </c>
      <c r="P310" s="194">
        <f t="shared" si="188"/>
        <v>-434082.96843347175</v>
      </c>
      <c r="Q310" s="194">
        <f t="shared" si="188"/>
        <v>-437505.85157765239</v>
      </c>
      <c r="R310" s="194">
        <f t="shared" si="188"/>
        <v>-475599.29182871262</v>
      </c>
      <c r="S310" s="194">
        <f t="shared" si="188"/>
        <v>-479160.45945191861</v>
      </c>
      <c r="T310" s="194">
        <f t="shared" si="188"/>
        <v>-482792.85042758833</v>
      </c>
      <c r="U310" s="194">
        <f t="shared" si="188"/>
        <v>-487146.54152215499</v>
      </c>
      <c r="V310" s="194">
        <f t="shared" si="188"/>
        <v>-490925.68109324155</v>
      </c>
      <c r="W310" s="194">
        <f t="shared" si="188"/>
        <v>-494780.40345575026</v>
      </c>
      <c r="X310" s="194">
        <f t="shared" si="188"/>
        <v>-499390.50194786879</v>
      </c>
      <c r="Y310" s="194">
        <f t="shared" si="188"/>
        <v>-503400.95509382238</v>
      </c>
      <c r="Z310" s="194">
        <f t="shared" si="188"/>
        <v>-507491.61730269523</v>
      </c>
      <c r="AA310" s="194">
        <f t="shared" si="188"/>
        <v>-415327.36893331131</v>
      </c>
      <c r="AB310" s="194">
        <f t="shared" si="188"/>
        <v>-419583.29389542283</v>
      </c>
      <c r="AC310" s="194">
        <f t="shared" si="188"/>
        <v>-423924.33735677681</v>
      </c>
      <c r="AD310" s="194">
        <f t="shared" si="188"/>
        <v>-429093.86422398884</v>
      </c>
      <c r="AE310" s="194">
        <f t="shared" si="188"/>
        <v>-433610.28584118147</v>
      </c>
      <c r="AF310" s="194">
        <f t="shared" si="188"/>
        <v>-438217.03589071776</v>
      </c>
      <c r="AG310" s="194">
        <f t="shared" si="188"/>
        <v>0</v>
      </c>
      <c r="AH310" s="194">
        <f t="shared" si="188"/>
        <v>0</v>
      </c>
      <c r="AI310" s="194">
        <f t="shared" si="188"/>
        <v>0</v>
      </c>
      <c r="AJ310" s="194">
        <f t="shared" si="188"/>
        <v>0</v>
      </c>
      <c r="AK310" s="194">
        <f t="shared" si="188"/>
        <v>0</v>
      </c>
      <c r="AL310" s="194">
        <f t="shared" si="188"/>
        <v>0</v>
      </c>
      <c r="AM310" s="194">
        <f t="shared" si="188"/>
        <v>0</v>
      </c>
      <c r="AN310" s="194">
        <f t="shared" si="188"/>
        <v>0</v>
      </c>
      <c r="AO310" s="194">
        <f t="shared" si="188"/>
        <v>0</v>
      </c>
      <c r="AP310" s="194">
        <f t="shared" si="188"/>
        <v>0</v>
      </c>
    </row>
    <row r="311" spans="1:42">
      <c r="A311" s="197"/>
      <c r="B311" s="40"/>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c r="AM311" s="186"/>
      <c r="AN311" s="186"/>
      <c r="AO311" s="186"/>
      <c r="AP311" s="186"/>
    </row>
    <row r="312" spans="1:42">
      <c r="A312" s="179" t="s">
        <v>499</v>
      </c>
    </row>
    <row r="313" spans="1:42">
      <c r="A313" s="195" t="s">
        <v>500</v>
      </c>
    </row>
    <row r="314" spans="1:42">
      <c r="A314" s="37" t="s">
        <v>82</v>
      </c>
      <c r="G314" s="293" t="s">
        <v>166</v>
      </c>
      <c r="H314" s="294"/>
      <c r="I314" s="294"/>
      <c r="J314" s="295"/>
      <c r="K314" s="226" t="s">
        <v>167</v>
      </c>
      <c r="L314" s="227"/>
    </row>
    <row r="315" spans="1:42" ht="51">
      <c r="B315" s="129" t="s">
        <v>154</v>
      </c>
      <c r="C315" s="129" t="s">
        <v>150</v>
      </c>
      <c r="D315" s="129" t="s">
        <v>152</v>
      </c>
      <c r="E315" s="206" t="s">
        <v>153</v>
      </c>
      <c r="F315" s="129" t="s">
        <v>155</v>
      </c>
      <c r="G315" s="129" t="s">
        <v>160</v>
      </c>
      <c r="H315" s="129" t="s">
        <v>162</v>
      </c>
      <c r="I315" s="129" t="s">
        <v>161</v>
      </c>
      <c r="J315" s="129" t="s">
        <v>163</v>
      </c>
      <c r="K315" s="228" t="s">
        <v>34</v>
      </c>
      <c r="L315" s="129" t="s">
        <v>163</v>
      </c>
      <c r="M315" s="207" t="s">
        <v>168</v>
      </c>
      <c r="N315" s="207" t="s">
        <v>169</v>
      </c>
      <c r="O315" s="129" t="s">
        <v>156</v>
      </c>
      <c r="P315" s="208" t="s">
        <v>319</v>
      </c>
      <c r="Q315" s="129" t="s">
        <v>324</v>
      </c>
    </row>
    <row r="316" spans="1:42" s="118" customFormat="1">
      <c r="A316" s="257" t="str">
        <f>'Inputs &amp; Results'!A217</f>
        <v>5-yr MACRS</v>
      </c>
      <c r="B316" s="351">
        <f t="shared" ref="B316:B321" si="189">C316/$C$323</f>
        <v>0.94999999999999984</v>
      </c>
      <c r="C316" s="141">
        <f>'Inputs &amp; Results'!D226</f>
        <v>40476354.074999996</v>
      </c>
      <c r="D316" s="141">
        <f>IF(StateBasisReduction="5-Yr MACRS",D323,$B316*D$323)</f>
        <v>3000</v>
      </c>
      <c r="E316" s="141">
        <f>IF(StateBasisReduction="5-Yr MACRS",E323,$B316*E$323)</f>
        <v>0</v>
      </c>
      <c r="F316" s="223">
        <f>C316-D316-E316</f>
        <v>40473354.074999996</v>
      </c>
      <c r="G316" s="352">
        <f>IF('Inputs &amp; Results'!B256="Yes",F316,0)</f>
        <v>40473354.074999996</v>
      </c>
      <c r="H316" s="353">
        <f>IF($G$323=0,0,G316/$G$323)</f>
        <v>1</v>
      </c>
      <c r="I316" s="353">
        <f t="shared" ref="I316:I321" si="190">$I$323*H316</f>
        <v>0</v>
      </c>
      <c r="J316" s="354">
        <f>I316*0.5</f>
        <v>0</v>
      </c>
      <c r="K316" s="355">
        <f t="shared" ref="K316:K321" si="191">H316*$K$323</f>
        <v>20000</v>
      </c>
      <c r="L316" s="354">
        <f>K316*0.5</f>
        <v>10000</v>
      </c>
      <c r="M316" s="141">
        <f t="shared" ref="M316:M321" si="192">IF(ITCStateFixedStateDeprec="Yes",L316,0)+IF(ITCStatePercentStateDeprec="Yes",J316,0)</f>
        <v>10000</v>
      </c>
      <c r="N316" s="141">
        <f t="shared" ref="N316:N321" si="193">IF(ITCFedFixedStateDeprec="Yes",L450,0)+IF(ITCFedPercentStateDeprec="Yes",J450,0)</f>
        <v>0</v>
      </c>
      <c r="O316" s="356">
        <f t="shared" ref="O316:O321" si="194">F316-M316-N316</f>
        <v>40463354.074999996</v>
      </c>
      <c r="P316" s="141">
        <f>IF('Inputs &amp; Results'!B238="Yes",O316*StateBonusDeprec,0)</f>
        <v>2023167.7037499999</v>
      </c>
      <c r="Q316" s="223">
        <f>O316-P316</f>
        <v>38440186.371249996</v>
      </c>
    </row>
    <row r="317" spans="1:42" s="118" customFormat="1">
      <c r="A317" s="257" t="str">
        <f>'Inputs &amp; Results'!A218</f>
        <v>15-yr MACRS</v>
      </c>
      <c r="B317" s="351">
        <f t="shared" si="189"/>
        <v>1.5000000000000001E-2</v>
      </c>
      <c r="C317" s="141">
        <f>'Inputs &amp; Results'!D227</f>
        <v>639100.32750000001</v>
      </c>
      <c r="D317" s="141">
        <f t="shared" ref="D317:E321" si="195">IF(StateBasisReduction="5-Yr MACRS",0,$B317*D$323)</f>
        <v>0</v>
      </c>
      <c r="E317" s="141">
        <f t="shared" si="195"/>
        <v>0</v>
      </c>
      <c r="F317" s="223">
        <f t="shared" ref="F317:F321" si="196">C317-D317-E317</f>
        <v>639100.32750000001</v>
      </c>
      <c r="G317" s="355">
        <f>IF('Inputs &amp; Results'!B257="Yes",F317,0)</f>
        <v>0</v>
      </c>
      <c r="H317" s="141">
        <f t="shared" ref="H317:H321" si="197">IF($G$323=0,0,G317/$G$323)</f>
        <v>0</v>
      </c>
      <c r="I317" s="141">
        <f t="shared" si="190"/>
        <v>0</v>
      </c>
      <c r="J317" s="326">
        <f t="shared" ref="J317:J321" si="198">I317*0.5</f>
        <v>0</v>
      </c>
      <c r="K317" s="355">
        <f t="shared" si="191"/>
        <v>0</v>
      </c>
      <c r="L317" s="326">
        <f t="shared" ref="L317:L321" si="199">K317*0.5</f>
        <v>0</v>
      </c>
      <c r="M317" s="141">
        <f t="shared" si="192"/>
        <v>0</v>
      </c>
      <c r="N317" s="141">
        <f t="shared" si="193"/>
        <v>0</v>
      </c>
      <c r="O317" s="223">
        <f t="shared" si="194"/>
        <v>639100.32750000001</v>
      </c>
      <c r="P317" s="141">
        <f>IF('Inputs &amp; Results'!B239="Yes",O317*StateBonusDeprec,0)</f>
        <v>0</v>
      </c>
      <c r="Q317" s="223">
        <f t="shared" ref="Q317:Q321" si="200">O317-P317</f>
        <v>639100.32750000001</v>
      </c>
    </row>
    <row r="318" spans="1:42" s="118" customFormat="1">
      <c r="A318" s="257" t="str">
        <f>'Inputs &amp; Results'!A219</f>
        <v>5-yr SL</v>
      </c>
      <c r="B318" s="351">
        <f t="shared" si="189"/>
        <v>0</v>
      </c>
      <c r="C318" s="141">
        <f>'Inputs &amp; Results'!D228</f>
        <v>0</v>
      </c>
      <c r="D318" s="141">
        <f t="shared" si="195"/>
        <v>0</v>
      </c>
      <c r="E318" s="141">
        <f t="shared" si="195"/>
        <v>0</v>
      </c>
      <c r="F318" s="223">
        <f t="shared" si="196"/>
        <v>0</v>
      </c>
      <c r="G318" s="355">
        <f>IF('Inputs &amp; Results'!B258="Yes",F318,0)</f>
        <v>0</v>
      </c>
      <c r="H318" s="141">
        <f t="shared" si="197"/>
        <v>0</v>
      </c>
      <c r="I318" s="141">
        <f t="shared" si="190"/>
        <v>0</v>
      </c>
      <c r="J318" s="326">
        <f t="shared" si="198"/>
        <v>0</v>
      </c>
      <c r="K318" s="355">
        <f t="shared" si="191"/>
        <v>0</v>
      </c>
      <c r="L318" s="326">
        <f t="shared" si="199"/>
        <v>0</v>
      </c>
      <c r="M318" s="141">
        <f t="shared" si="192"/>
        <v>0</v>
      </c>
      <c r="N318" s="141">
        <f t="shared" si="193"/>
        <v>0</v>
      </c>
      <c r="O318" s="223">
        <f t="shared" si="194"/>
        <v>0</v>
      </c>
      <c r="P318" s="141">
        <f>IF('Inputs &amp; Results'!B240="Yes",O318*StateBonusDeprec,0)</f>
        <v>0</v>
      </c>
      <c r="Q318" s="223">
        <f t="shared" si="200"/>
        <v>0</v>
      </c>
    </row>
    <row r="319" spans="1:42" s="118" customFormat="1">
      <c r="A319" s="257" t="str">
        <f>'Inputs &amp; Results'!A220</f>
        <v>15-yr SL</v>
      </c>
      <c r="B319" s="351">
        <f t="shared" si="189"/>
        <v>1.5000000000000001E-2</v>
      </c>
      <c r="C319" s="141">
        <f>'Inputs &amp; Results'!D229</f>
        <v>639100.32750000001</v>
      </c>
      <c r="D319" s="141">
        <f t="shared" si="195"/>
        <v>0</v>
      </c>
      <c r="E319" s="141">
        <f t="shared" si="195"/>
        <v>0</v>
      </c>
      <c r="F319" s="223">
        <f t="shared" si="196"/>
        <v>639100.32750000001</v>
      </c>
      <c r="G319" s="355">
        <f>IF('Inputs &amp; Results'!B259="Yes",F319,0)</f>
        <v>0</v>
      </c>
      <c r="H319" s="141">
        <f t="shared" si="197"/>
        <v>0</v>
      </c>
      <c r="I319" s="141">
        <f t="shared" si="190"/>
        <v>0</v>
      </c>
      <c r="J319" s="326">
        <f t="shared" si="198"/>
        <v>0</v>
      </c>
      <c r="K319" s="355">
        <f t="shared" si="191"/>
        <v>0</v>
      </c>
      <c r="L319" s="326">
        <f t="shared" si="199"/>
        <v>0</v>
      </c>
      <c r="M319" s="141">
        <f t="shared" si="192"/>
        <v>0</v>
      </c>
      <c r="N319" s="141">
        <f t="shared" si="193"/>
        <v>0</v>
      </c>
      <c r="O319" s="223">
        <f t="shared" si="194"/>
        <v>639100.32750000001</v>
      </c>
      <c r="P319" s="141">
        <f>IF('Inputs &amp; Results'!B241="Yes",O319*StateBonusDeprec,0)</f>
        <v>0</v>
      </c>
      <c r="Q319" s="223">
        <f t="shared" si="200"/>
        <v>639100.32750000001</v>
      </c>
    </row>
    <row r="320" spans="1:42" s="118" customFormat="1">
      <c r="A320" s="257" t="str">
        <f>'Inputs &amp; Results'!A221</f>
        <v>20-yr SL</v>
      </c>
      <c r="B320" s="351">
        <f t="shared" si="189"/>
        <v>1.5000000000000001E-2</v>
      </c>
      <c r="C320" s="141">
        <f>'Inputs &amp; Results'!D230</f>
        <v>639100.32750000001</v>
      </c>
      <c r="D320" s="141">
        <f t="shared" si="195"/>
        <v>0</v>
      </c>
      <c r="E320" s="141">
        <f t="shared" si="195"/>
        <v>0</v>
      </c>
      <c r="F320" s="223">
        <f t="shared" si="196"/>
        <v>639100.32750000001</v>
      </c>
      <c r="G320" s="355">
        <f>IF('Inputs &amp; Results'!B260="Yes",F320,0)</f>
        <v>0</v>
      </c>
      <c r="H320" s="141">
        <f t="shared" si="197"/>
        <v>0</v>
      </c>
      <c r="I320" s="141">
        <f t="shared" si="190"/>
        <v>0</v>
      </c>
      <c r="J320" s="326">
        <f t="shared" si="198"/>
        <v>0</v>
      </c>
      <c r="K320" s="355">
        <f t="shared" si="191"/>
        <v>0</v>
      </c>
      <c r="L320" s="326">
        <f t="shared" si="199"/>
        <v>0</v>
      </c>
      <c r="M320" s="141">
        <f t="shared" si="192"/>
        <v>0</v>
      </c>
      <c r="N320" s="141">
        <f t="shared" si="193"/>
        <v>0</v>
      </c>
      <c r="O320" s="223">
        <f t="shared" si="194"/>
        <v>639100.32750000001</v>
      </c>
      <c r="P320" s="141">
        <f>IF('Inputs &amp; Results'!B242="Yes",O320*StateBonusDeprec,0)</f>
        <v>0</v>
      </c>
      <c r="Q320" s="223">
        <f t="shared" si="200"/>
        <v>639100.32750000001</v>
      </c>
    </row>
    <row r="321" spans="1:17" s="118" customFormat="1">
      <c r="A321" s="257" t="str">
        <f>'Inputs &amp; Results'!A222</f>
        <v>39-yr SL</v>
      </c>
      <c r="B321" s="351">
        <f t="shared" si="189"/>
        <v>5.0000000000000001E-3</v>
      </c>
      <c r="C321" s="141">
        <f>'Inputs &amp; Results'!D231</f>
        <v>213033.4425</v>
      </c>
      <c r="D321" s="141">
        <f t="shared" si="195"/>
        <v>0</v>
      </c>
      <c r="E321" s="141">
        <f t="shared" si="195"/>
        <v>0</v>
      </c>
      <c r="F321" s="223">
        <f t="shared" si="196"/>
        <v>213033.4425</v>
      </c>
      <c r="G321" s="355">
        <f>IF('Inputs &amp; Results'!B261="Yes",F321,0)</f>
        <v>0</v>
      </c>
      <c r="H321" s="141">
        <f t="shared" si="197"/>
        <v>0</v>
      </c>
      <c r="I321" s="141">
        <f t="shared" si="190"/>
        <v>0</v>
      </c>
      <c r="J321" s="326">
        <f t="shared" si="198"/>
        <v>0</v>
      </c>
      <c r="K321" s="355">
        <f t="shared" si="191"/>
        <v>0</v>
      </c>
      <c r="L321" s="326">
        <f t="shared" si="199"/>
        <v>0</v>
      </c>
      <c r="M321" s="141">
        <f t="shared" si="192"/>
        <v>0</v>
      </c>
      <c r="N321" s="141">
        <f t="shared" si="193"/>
        <v>0</v>
      </c>
      <c r="O321" s="223">
        <f t="shared" si="194"/>
        <v>213033.4425</v>
      </c>
      <c r="P321" s="141">
        <f>IF('Inputs &amp; Results'!B243="Yes",O321*StateBonusDeprec,0)</f>
        <v>0</v>
      </c>
      <c r="Q321" s="223">
        <f t="shared" si="200"/>
        <v>213033.4425</v>
      </c>
    </row>
    <row r="322" spans="1:17">
      <c r="A322" s="261" t="s">
        <v>376</v>
      </c>
      <c r="B322" s="209"/>
      <c r="C322" s="210"/>
      <c r="D322" s="211"/>
      <c r="E322" s="211"/>
      <c r="F322" s="103"/>
      <c r="G322" s="209"/>
      <c r="H322" s="230"/>
      <c r="I322" s="230"/>
      <c r="J322" s="296"/>
      <c r="K322" s="209"/>
      <c r="L322" s="296"/>
      <c r="M322" s="211"/>
      <c r="N322" s="211"/>
      <c r="O322" s="103"/>
      <c r="P322" s="211"/>
      <c r="Q322" s="103"/>
    </row>
    <row r="323" spans="1:17" s="118" customFormat="1">
      <c r="B323" s="357">
        <f>SUM(B316:B322)</f>
        <v>0.99999999999999989</v>
      </c>
      <c r="C323" s="203">
        <f>SUM(C316:C322)</f>
        <v>42606688.5</v>
      </c>
      <c r="D323" s="203">
        <f>B332+B338</f>
        <v>3000</v>
      </c>
      <c r="E323" s="203">
        <f>B344</f>
        <v>0</v>
      </c>
      <c r="F323" s="224">
        <f t="shared" ref="F323:Q323" si="201">SUM(F316:F322)</f>
        <v>42603688.5</v>
      </c>
      <c r="G323" s="224">
        <f>SUM(G316:G322)</f>
        <v>40473354.074999996</v>
      </c>
      <c r="H323" s="358">
        <f>SUM(H316:H322)</f>
        <v>1</v>
      </c>
      <c r="I323" s="224">
        <f>MIN(ITCStateMax,ITCStatePercent*G323)</f>
        <v>0</v>
      </c>
      <c r="J323" s="224">
        <f>SUM(J316:J322)</f>
        <v>0</v>
      </c>
      <c r="K323" s="224">
        <f>ITCStateFixed</f>
        <v>20000</v>
      </c>
      <c r="L323" s="224">
        <f>SUM(L316:L322)</f>
        <v>10000</v>
      </c>
      <c r="M323" s="203">
        <f t="shared" si="201"/>
        <v>10000</v>
      </c>
      <c r="N323" s="203">
        <f t="shared" si="201"/>
        <v>0</v>
      </c>
      <c r="O323" s="224">
        <f t="shared" si="201"/>
        <v>42593688.5</v>
      </c>
      <c r="P323" s="224">
        <f t="shared" si="201"/>
        <v>2023167.7037499999</v>
      </c>
      <c r="Q323" s="224">
        <f t="shared" si="201"/>
        <v>40570520.796250001</v>
      </c>
    </row>
    <row r="325" spans="1:17">
      <c r="A325" s="37" t="s">
        <v>165</v>
      </c>
    </row>
    <row r="326" spans="1:17">
      <c r="A326" s="184" t="str">
        <f>A595</f>
        <v>Investment Based Incentive (IBI)</v>
      </c>
    </row>
    <row r="327" spans="1:17">
      <c r="A327" s="200" t="str">
        <f t="shared" ref="A327:A343" si="202">A596</f>
        <v>Fixed Amount ($)</v>
      </c>
    </row>
    <row r="328" spans="1:17">
      <c r="A328" s="213" t="str">
        <f t="shared" si="202"/>
        <v>Federal</v>
      </c>
      <c r="B328" s="152">
        <f>IF(IBIFedFixedStateDeprec="Yes",IBIFedFixed,0)</f>
        <v>1000</v>
      </c>
    </row>
    <row r="329" spans="1:17">
      <c r="A329" s="213" t="str">
        <f t="shared" si="202"/>
        <v>State</v>
      </c>
      <c r="B329" s="152">
        <f>IF(IBIStateFixedStateDeprec="Yes",IBIStateFixed,0)</f>
        <v>2000</v>
      </c>
    </row>
    <row r="330" spans="1:17">
      <c r="A330" s="213" t="str">
        <f t="shared" si="202"/>
        <v>Utility</v>
      </c>
      <c r="B330" s="152">
        <f>IF(IBIUtilityFixedStateDeprec="Yes",IBIUtilityFixed,0)</f>
        <v>0</v>
      </c>
    </row>
    <row r="331" spans="1:17">
      <c r="A331" s="213" t="str">
        <f t="shared" si="202"/>
        <v>Other</v>
      </c>
      <c r="B331" s="187">
        <f>IF(IBIOtherFixedStateDeprec="Yes",IBIOtherFixed,0)</f>
        <v>0</v>
      </c>
    </row>
    <row r="332" spans="1:17">
      <c r="A332" s="213" t="str">
        <f t="shared" si="202"/>
        <v>Total</v>
      </c>
      <c r="B332" s="152">
        <f>SUM(B328:B331)</f>
        <v>3000</v>
      </c>
    </row>
    <row r="333" spans="1:17">
      <c r="A333" s="200" t="str">
        <f t="shared" si="202"/>
        <v>Percentage of Pre-Financing Costs</v>
      </c>
    </row>
    <row r="334" spans="1:17">
      <c r="A334" s="213" t="str">
        <f t="shared" si="202"/>
        <v>Federal</v>
      </c>
      <c r="B334" s="152">
        <f>IF(IBIFedPercentStateDeprec="Yes",IBIFedPercent,0)</f>
        <v>0</v>
      </c>
    </row>
    <row r="335" spans="1:17">
      <c r="A335" s="213" t="str">
        <f>A604</f>
        <v>State</v>
      </c>
      <c r="B335" s="152">
        <f>IF(IBIStatePercentStateDeprec="Yes",IBIStatePercent,0)</f>
        <v>0</v>
      </c>
    </row>
    <row r="336" spans="1:17">
      <c r="A336" s="213" t="str">
        <f t="shared" si="202"/>
        <v>Utility</v>
      </c>
      <c r="B336" s="152">
        <f>IF(IBIUtilityPercentStateDeprec="Yes",IBIUtilityPercent,0)</f>
        <v>0</v>
      </c>
    </row>
    <row r="337" spans="1:42">
      <c r="A337" s="213" t="str">
        <f t="shared" si="202"/>
        <v>Other</v>
      </c>
      <c r="B337" s="187">
        <f>IF(IBIOtherPercentStateDeprec="Yes",IBIOtherPercent,0)</f>
        <v>0</v>
      </c>
    </row>
    <row r="338" spans="1:42">
      <c r="A338" s="213" t="str">
        <f t="shared" si="202"/>
        <v>Total</v>
      </c>
      <c r="B338" s="152">
        <f>SUM(B334:B337)</f>
        <v>0</v>
      </c>
    </row>
    <row r="339" spans="1:42">
      <c r="A339" s="184" t="str">
        <f t="shared" si="202"/>
        <v>Capacity Based Incentive (CBI)</v>
      </c>
    </row>
    <row r="340" spans="1:42">
      <c r="A340" s="200" t="str">
        <f t="shared" si="202"/>
        <v>Federal</v>
      </c>
      <c r="B340" s="152">
        <f>IF(CBIFedStateDeprec="Yes",CBIFed,0)</f>
        <v>0</v>
      </c>
    </row>
    <row r="341" spans="1:42">
      <c r="A341" s="200" t="str">
        <f>A610</f>
        <v>State</v>
      </c>
      <c r="B341" s="152">
        <f>IF(CBIStateStateDeprec="Yes",CBIState,0)</f>
        <v>0</v>
      </c>
    </row>
    <row r="342" spans="1:42">
      <c r="A342" s="200" t="str">
        <f t="shared" si="202"/>
        <v>Utility</v>
      </c>
      <c r="B342" s="152">
        <f>IF(CBIUtilityStateDeprec="Yes",CBIUtility,0)</f>
        <v>0</v>
      </c>
    </row>
    <row r="343" spans="1:42">
      <c r="A343" s="200" t="str">
        <f t="shared" si="202"/>
        <v>Other</v>
      </c>
      <c r="B343" s="187">
        <f>IF(CBIOtherStateDeprec="Yes",CBIOther,0)</f>
        <v>0</v>
      </c>
    </row>
    <row r="344" spans="1:42">
      <c r="A344" s="200" t="str">
        <f>A613</f>
        <v>Total</v>
      </c>
      <c r="B344" s="194">
        <f>SUM(B340:B343)</f>
        <v>0</v>
      </c>
    </row>
    <row r="345" spans="1:42">
      <c r="A345" s="184" t="s">
        <v>151</v>
      </c>
      <c r="B345" s="152">
        <f>B332+B338+B344</f>
        <v>3000</v>
      </c>
    </row>
    <row r="347" spans="1:42">
      <c r="A347" s="37" t="s">
        <v>252</v>
      </c>
    </row>
    <row r="348" spans="1:42">
      <c r="A348" s="184" t="s">
        <v>157</v>
      </c>
    </row>
    <row r="349" spans="1:42">
      <c r="A349" s="205" t="str">
        <f>A316</f>
        <v>5-yr MACRS</v>
      </c>
      <c r="B349" s="214">
        <f>SUM(C349:AP349)</f>
        <v>0.99999999999999989</v>
      </c>
      <c r="C349" s="215">
        <f>LOOKUP(C$2,'Depreciation Schedules'!$A$3:$A$42,'Depreciation Schedules'!$B$3:$B$42)</f>
        <v>0.2</v>
      </c>
      <c r="D349" s="215">
        <f>LOOKUP(D$2,'Depreciation Schedules'!$A$3:$A$42,'Depreciation Schedules'!$B$3:$B$42)</f>
        <v>0.32</v>
      </c>
      <c r="E349" s="215">
        <f>LOOKUP(E$2,'Depreciation Schedules'!$A$3:$A$42,'Depreciation Schedules'!$B$3:$B$42)</f>
        <v>0.192</v>
      </c>
      <c r="F349" s="215">
        <f>LOOKUP(F$2,'Depreciation Schedules'!$A$3:$A$42,'Depreciation Schedules'!$B$3:$B$42)</f>
        <v>0.1152</v>
      </c>
      <c r="G349" s="215">
        <f>LOOKUP(G$2,'Depreciation Schedules'!$A$3:$A$42,'Depreciation Schedules'!$B$3:$B$42)</f>
        <v>0.1152</v>
      </c>
      <c r="H349" s="215">
        <f>LOOKUP(H$2,'Depreciation Schedules'!$A$3:$A$42,'Depreciation Schedules'!$B$3:$B$42)</f>
        <v>5.7599999999999998E-2</v>
      </c>
      <c r="I349" s="215">
        <f>LOOKUP(I$2,'Depreciation Schedules'!$A$3:$A$42,'Depreciation Schedules'!$B$3:$B$42)</f>
        <v>0</v>
      </c>
      <c r="J349" s="215">
        <f>LOOKUP(J$2,'Depreciation Schedules'!$A$3:$A$42,'Depreciation Schedules'!$B$3:$B$42)</f>
        <v>0</v>
      </c>
      <c r="K349" s="215">
        <f>LOOKUP(K$2,'Depreciation Schedules'!$A$3:$A$42,'Depreciation Schedules'!$B$3:$B$42)</f>
        <v>0</v>
      </c>
      <c r="L349" s="215">
        <f>LOOKUP(L$2,'Depreciation Schedules'!$A$3:$A$42,'Depreciation Schedules'!$B$3:$B$42)</f>
        <v>0</v>
      </c>
      <c r="M349" s="215">
        <f>LOOKUP(M$2,'Depreciation Schedules'!$A$3:$A$42,'Depreciation Schedules'!$B$3:$B$42)</f>
        <v>0</v>
      </c>
      <c r="N349" s="215">
        <f>LOOKUP(N$2,'Depreciation Schedules'!$A$3:$A$42,'Depreciation Schedules'!$B$3:$B$42)</f>
        <v>0</v>
      </c>
      <c r="O349" s="215">
        <f>LOOKUP(O$2,'Depreciation Schedules'!$A$3:$A$42,'Depreciation Schedules'!$B$3:$B$42)</f>
        <v>0</v>
      </c>
      <c r="P349" s="215">
        <f>LOOKUP(P$2,'Depreciation Schedules'!$A$3:$A$42,'Depreciation Schedules'!$B$3:$B$42)</f>
        <v>0</v>
      </c>
      <c r="Q349" s="215">
        <f>LOOKUP(Q$2,'Depreciation Schedules'!$A$3:$A$42,'Depreciation Schedules'!$B$3:$B$42)</f>
        <v>0</v>
      </c>
      <c r="R349" s="215">
        <f>LOOKUP(R$2,'Depreciation Schedules'!$A$3:$A$42,'Depreciation Schedules'!$B$3:$B$42)</f>
        <v>0</v>
      </c>
      <c r="S349" s="215">
        <f>LOOKUP(S$2,'Depreciation Schedules'!$A$3:$A$42,'Depreciation Schedules'!$B$3:$B$42)</f>
        <v>0</v>
      </c>
      <c r="T349" s="215">
        <f>LOOKUP(T$2,'Depreciation Schedules'!$A$3:$A$42,'Depreciation Schedules'!$B$3:$B$42)</f>
        <v>0</v>
      </c>
      <c r="U349" s="215">
        <f>LOOKUP(U$2,'Depreciation Schedules'!$A$3:$A$42,'Depreciation Schedules'!$B$3:$B$42)</f>
        <v>0</v>
      </c>
      <c r="V349" s="215">
        <f>LOOKUP(V$2,'Depreciation Schedules'!$A$3:$A$42,'Depreciation Schedules'!$B$3:$B$42)</f>
        <v>0</v>
      </c>
      <c r="W349" s="215">
        <f>LOOKUP(W$2,'Depreciation Schedules'!$A$3:$A$42,'Depreciation Schedules'!$B$3:$B$42)</f>
        <v>0</v>
      </c>
      <c r="X349" s="215">
        <f>LOOKUP(X$2,'Depreciation Schedules'!$A$3:$A$42,'Depreciation Schedules'!$B$3:$B$42)</f>
        <v>0</v>
      </c>
      <c r="Y349" s="215">
        <f>LOOKUP(Y$2,'Depreciation Schedules'!$A$3:$A$42,'Depreciation Schedules'!$B$3:$B$42)</f>
        <v>0</v>
      </c>
      <c r="Z349" s="215">
        <f>LOOKUP(Z$2,'Depreciation Schedules'!$A$3:$A$42,'Depreciation Schedules'!$B$3:$B$42)</f>
        <v>0</v>
      </c>
      <c r="AA349" s="215">
        <f>LOOKUP(AA$2,'Depreciation Schedules'!$A$3:$A$42,'Depreciation Schedules'!$B$3:$B$42)</f>
        <v>0</v>
      </c>
      <c r="AB349" s="215">
        <f>LOOKUP(AB$2,'Depreciation Schedules'!$A$3:$A$42,'Depreciation Schedules'!$B$3:$B$42)</f>
        <v>0</v>
      </c>
      <c r="AC349" s="215">
        <f>LOOKUP(AC$2,'Depreciation Schedules'!$A$3:$A$42,'Depreciation Schedules'!$B$3:$B$42)</f>
        <v>0</v>
      </c>
      <c r="AD349" s="215">
        <f>LOOKUP(AD$2,'Depreciation Schedules'!$A$3:$A$42,'Depreciation Schedules'!$B$3:$B$42)</f>
        <v>0</v>
      </c>
      <c r="AE349" s="215">
        <f>LOOKUP(AE$2,'Depreciation Schedules'!$A$3:$A$42,'Depreciation Schedules'!$B$3:$B$42)</f>
        <v>0</v>
      </c>
      <c r="AF349" s="215">
        <f>LOOKUP(AF$2,'Depreciation Schedules'!$A$3:$A$42,'Depreciation Schedules'!$B$3:$B$42)</f>
        <v>0</v>
      </c>
      <c r="AG349" s="215">
        <f>LOOKUP(AG$2,'Depreciation Schedules'!$A$3:$A$42,'Depreciation Schedules'!$B$3:$B$42)</f>
        <v>0</v>
      </c>
      <c r="AH349" s="215">
        <f>LOOKUP(AH$2,'Depreciation Schedules'!$A$3:$A$42,'Depreciation Schedules'!$B$3:$B$42)</f>
        <v>0</v>
      </c>
      <c r="AI349" s="215">
        <f>LOOKUP(AI$2,'Depreciation Schedules'!$A$3:$A$42,'Depreciation Schedules'!$B$3:$B$42)</f>
        <v>0</v>
      </c>
      <c r="AJ349" s="215">
        <f>LOOKUP(AJ$2,'Depreciation Schedules'!$A$3:$A$42,'Depreciation Schedules'!$B$3:$B$42)</f>
        <v>0</v>
      </c>
      <c r="AK349" s="215">
        <f>LOOKUP(AK$2,'Depreciation Schedules'!$A$3:$A$42,'Depreciation Schedules'!$B$3:$B$42)</f>
        <v>0</v>
      </c>
      <c r="AL349" s="215">
        <f>LOOKUP(AL$2,'Depreciation Schedules'!$A$3:$A$42,'Depreciation Schedules'!$B$3:$B$42)</f>
        <v>0</v>
      </c>
      <c r="AM349" s="215">
        <f>LOOKUP(AM$2,'Depreciation Schedules'!$A$3:$A$42,'Depreciation Schedules'!$B$3:$B$42)</f>
        <v>0</v>
      </c>
      <c r="AN349" s="215">
        <f>LOOKUP(AN$2,'Depreciation Schedules'!$A$3:$A$42,'Depreciation Schedules'!$B$3:$B$42)</f>
        <v>0</v>
      </c>
      <c r="AO349" s="215">
        <f>LOOKUP(AO$2,'Depreciation Schedules'!$A$3:$A$42,'Depreciation Schedules'!$B$3:$B$42)</f>
        <v>0</v>
      </c>
      <c r="AP349" s="215">
        <f>LOOKUP(AP$2,'Depreciation Schedules'!$A$3:$A$42,'Depreciation Schedules'!$B$3:$B$42)</f>
        <v>0</v>
      </c>
    </row>
    <row r="350" spans="1:42">
      <c r="A350" s="205" t="str">
        <f t="shared" ref="A350:A354" si="203">A317</f>
        <v>15-yr MACRS</v>
      </c>
      <c r="B350" s="216">
        <f t="shared" ref="B350:B354" si="204">SUM(C350:AP350)</f>
        <v>1.0000000000000002</v>
      </c>
      <c r="C350" s="215">
        <f>LOOKUP(C$2,'Depreciation Schedules'!$A$3:$A$42,'Depreciation Schedules'!$C$3:$C$42)</f>
        <v>0.05</v>
      </c>
      <c r="D350" s="215">
        <f>LOOKUP(D$2,'Depreciation Schedules'!$A$3:$A$42,'Depreciation Schedules'!$C$3:$C$42)</f>
        <v>9.5000000000000001E-2</v>
      </c>
      <c r="E350" s="215">
        <f>LOOKUP(E$2,'Depreciation Schedules'!$A$3:$A$42,'Depreciation Schedules'!$C$3:$C$42)</f>
        <v>8.5500000000000007E-2</v>
      </c>
      <c r="F350" s="215">
        <f>LOOKUP(F$2,'Depreciation Schedules'!$A$3:$A$42,'Depreciation Schedules'!$C$3:$C$42)</f>
        <v>7.6999999999999999E-2</v>
      </c>
      <c r="G350" s="215">
        <f>LOOKUP(G$2,'Depreciation Schedules'!$A$3:$A$42,'Depreciation Schedules'!$C$3:$C$42)</f>
        <v>6.93E-2</v>
      </c>
      <c r="H350" s="215">
        <f>LOOKUP(H$2,'Depreciation Schedules'!$A$3:$A$42,'Depreciation Schedules'!$C$3:$C$42)</f>
        <v>6.2300000000000001E-2</v>
      </c>
      <c r="I350" s="215">
        <f>LOOKUP(I$2,'Depreciation Schedules'!$A$3:$A$42,'Depreciation Schedules'!$C$3:$C$42)</f>
        <v>5.8999999999999997E-2</v>
      </c>
      <c r="J350" s="215">
        <f>LOOKUP(J$2,'Depreciation Schedules'!$A$3:$A$42,'Depreciation Schedules'!$C$3:$C$42)</f>
        <v>5.8999999999999997E-2</v>
      </c>
      <c r="K350" s="215">
        <f>LOOKUP(K$2,'Depreciation Schedules'!$A$3:$A$42,'Depreciation Schedules'!$C$3:$C$42)</f>
        <v>5.91E-2</v>
      </c>
      <c r="L350" s="215">
        <f>LOOKUP(L$2,'Depreciation Schedules'!$A$3:$A$42,'Depreciation Schedules'!$C$3:$C$42)</f>
        <v>5.8999999999999997E-2</v>
      </c>
      <c r="M350" s="215">
        <f>LOOKUP(M$2,'Depreciation Schedules'!$A$3:$A$42,'Depreciation Schedules'!$C$3:$C$42)</f>
        <v>5.91E-2</v>
      </c>
      <c r="N350" s="215">
        <f>LOOKUP(N$2,'Depreciation Schedules'!$A$3:$A$42,'Depreciation Schedules'!$C$3:$C$42)</f>
        <v>5.8999999999999997E-2</v>
      </c>
      <c r="O350" s="215">
        <f>LOOKUP(O$2,'Depreciation Schedules'!$A$3:$A$42,'Depreciation Schedules'!$C$3:$C$42)</f>
        <v>5.91E-2</v>
      </c>
      <c r="P350" s="215">
        <f>LOOKUP(P$2,'Depreciation Schedules'!$A$3:$A$42,'Depreciation Schedules'!$C$3:$C$42)</f>
        <v>5.8999999999999997E-2</v>
      </c>
      <c r="Q350" s="215">
        <f>LOOKUP(Q$2,'Depreciation Schedules'!$A$3:$A$42,'Depreciation Schedules'!$C$3:$C$42)</f>
        <v>5.91E-2</v>
      </c>
      <c r="R350" s="215">
        <f>LOOKUP(R$2,'Depreciation Schedules'!$A$3:$A$42,'Depreciation Schedules'!$C$3:$C$42)</f>
        <v>2.9499999999999998E-2</v>
      </c>
      <c r="S350" s="215">
        <f>LOOKUP(S$2,'Depreciation Schedules'!$A$3:$A$42,'Depreciation Schedules'!$C$3:$C$42)</f>
        <v>0</v>
      </c>
      <c r="T350" s="215">
        <f>LOOKUP(T$2,'Depreciation Schedules'!$A$3:$A$42,'Depreciation Schedules'!$C$3:$C$42)</f>
        <v>0</v>
      </c>
      <c r="U350" s="215">
        <f>LOOKUP(U$2,'Depreciation Schedules'!$A$3:$A$42,'Depreciation Schedules'!$C$3:$C$42)</f>
        <v>0</v>
      </c>
      <c r="V350" s="215">
        <f>LOOKUP(V$2,'Depreciation Schedules'!$A$3:$A$42,'Depreciation Schedules'!$C$3:$C$42)</f>
        <v>0</v>
      </c>
      <c r="W350" s="215">
        <f>LOOKUP(W$2,'Depreciation Schedules'!$A$3:$A$42,'Depreciation Schedules'!$C$3:$C$42)</f>
        <v>0</v>
      </c>
      <c r="X350" s="215">
        <f>LOOKUP(X$2,'Depreciation Schedules'!$A$3:$A$42,'Depreciation Schedules'!$C$3:$C$42)</f>
        <v>0</v>
      </c>
      <c r="Y350" s="215">
        <f>LOOKUP(Y$2,'Depreciation Schedules'!$A$3:$A$42,'Depreciation Schedules'!$C$3:$C$42)</f>
        <v>0</v>
      </c>
      <c r="Z350" s="215">
        <f>LOOKUP(Z$2,'Depreciation Schedules'!$A$3:$A$42,'Depreciation Schedules'!$C$3:$C$42)</f>
        <v>0</v>
      </c>
      <c r="AA350" s="215">
        <f>LOOKUP(AA$2,'Depreciation Schedules'!$A$3:$A$42,'Depreciation Schedules'!$C$3:$C$42)</f>
        <v>0</v>
      </c>
      <c r="AB350" s="215">
        <f>LOOKUP(AB$2,'Depreciation Schedules'!$A$3:$A$42,'Depreciation Schedules'!$C$3:$C$42)</f>
        <v>0</v>
      </c>
      <c r="AC350" s="215">
        <f>LOOKUP(AC$2,'Depreciation Schedules'!$A$3:$A$42,'Depreciation Schedules'!$C$3:$C$42)</f>
        <v>0</v>
      </c>
      <c r="AD350" s="215">
        <f>LOOKUP(AD$2,'Depreciation Schedules'!$A$3:$A$42,'Depreciation Schedules'!$C$3:$C$42)</f>
        <v>0</v>
      </c>
      <c r="AE350" s="215">
        <f>LOOKUP(AE$2,'Depreciation Schedules'!$A$3:$A$42,'Depreciation Schedules'!$C$3:$C$42)</f>
        <v>0</v>
      </c>
      <c r="AF350" s="215">
        <f>LOOKUP(AF$2,'Depreciation Schedules'!$A$3:$A$42,'Depreciation Schedules'!$C$3:$C$42)</f>
        <v>0</v>
      </c>
      <c r="AG350" s="215">
        <f>LOOKUP(AG$2,'Depreciation Schedules'!$A$3:$A$42,'Depreciation Schedules'!$C$3:$C$42)</f>
        <v>0</v>
      </c>
      <c r="AH350" s="215">
        <f>LOOKUP(AH$2,'Depreciation Schedules'!$A$3:$A$42,'Depreciation Schedules'!$C$3:$C$42)</f>
        <v>0</v>
      </c>
      <c r="AI350" s="215">
        <f>LOOKUP(AI$2,'Depreciation Schedules'!$A$3:$A$42,'Depreciation Schedules'!$C$3:$C$42)</f>
        <v>0</v>
      </c>
      <c r="AJ350" s="215">
        <f>LOOKUP(AJ$2,'Depreciation Schedules'!$A$3:$A$42,'Depreciation Schedules'!$C$3:$C$42)</f>
        <v>0</v>
      </c>
      <c r="AK350" s="215">
        <f>LOOKUP(AK$2,'Depreciation Schedules'!$A$3:$A$42,'Depreciation Schedules'!$C$3:$C$42)</f>
        <v>0</v>
      </c>
      <c r="AL350" s="215">
        <f>LOOKUP(AL$2,'Depreciation Schedules'!$A$3:$A$42,'Depreciation Schedules'!$C$3:$C$42)</f>
        <v>0</v>
      </c>
      <c r="AM350" s="215">
        <f>LOOKUP(AM$2,'Depreciation Schedules'!$A$3:$A$42,'Depreciation Schedules'!$C$3:$C$42)</f>
        <v>0</v>
      </c>
      <c r="AN350" s="215">
        <f>LOOKUP(AN$2,'Depreciation Schedules'!$A$3:$A$42,'Depreciation Schedules'!$C$3:$C$42)</f>
        <v>0</v>
      </c>
      <c r="AO350" s="215">
        <f>LOOKUP(AO$2,'Depreciation Schedules'!$A$3:$A$42,'Depreciation Schedules'!$C$3:$C$42)</f>
        <v>0</v>
      </c>
      <c r="AP350" s="215">
        <f>LOOKUP(AP$2,'Depreciation Schedules'!$A$3:$A$42,'Depreciation Schedules'!$C$3:$C$42)</f>
        <v>0</v>
      </c>
    </row>
    <row r="351" spans="1:42">
      <c r="A351" s="205" t="str">
        <f t="shared" si="203"/>
        <v>5-yr SL</v>
      </c>
      <c r="B351" s="216">
        <f t="shared" si="204"/>
        <v>0.99999999999999989</v>
      </c>
      <c r="C351" s="215">
        <f>LOOKUP(C$2,'Depreciation Schedules'!$A$3:$A$42,'Depreciation Schedules'!$D$3:$D$42)</f>
        <v>0.1</v>
      </c>
      <c r="D351" s="215">
        <f>LOOKUP(D$2,'Depreciation Schedules'!$A$3:$A$42,'Depreciation Schedules'!$D$3:$D$42)</f>
        <v>0.2</v>
      </c>
      <c r="E351" s="215">
        <f>LOOKUP(E$2,'Depreciation Schedules'!$A$3:$A$42,'Depreciation Schedules'!$D$3:$D$42)</f>
        <v>0.2</v>
      </c>
      <c r="F351" s="215">
        <f>LOOKUP(F$2,'Depreciation Schedules'!$A$3:$A$42,'Depreciation Schedules'!$D$3:$D$42)</f>
        <v>0.2</v>
      </c>
      <c r="G351" s="215">
        <f>LOOKUP(G$2,'Depreciation Schedules'!$A$3:$A$42,'Depreciation Schedules'!$D$3:$D$42)</f>
        <v>0.2</v>
      </c>
      <c r="H351" s="215">
        <f>LOOKUP(H$2,'Depreciation Schedules'!$A$3:$A$42,'Depreciation Schedules'!$D$3:$D$42)</f>
        <v>0.1</v>
      </c>
      <c r="I351" s="215">
        <f>LOOKUP(I$2,'Depreciation Schedules'!$A$3:$A$42,'Depreciation Schedules'!$D$3:$D$42)</f>
        <v>0</v>
      </c>
      <c r="J351" s="215">
        <f>LOOKUP(J$2,'Depreciation Schedules'!$A$3:$A$42,'Depreciation Schedules'!$D$3:$D$42)</f>
        <v>0</v>
      </c>
      <c r="K351" s="215">
        <f>LOOKUP(K$2,'Depreciation Schedules'!$A$3:$A$42,'Depreciation Schedules'!$D$3:$D$42)</f>
        <v>0</v>
      </c>
      <c r="L351" s="215">
        <f>LOOKUP(L$2,'Depreciation Schedules'!$A$3:$A$42,'Depreciation Schedules'!$D$3:$D$42)</f>
        <v>0</v>
      </c>
      <c r="M351" s="215">
        <f>LOOKUP(M$2,'Depreciation Schedules'!$A$3:$A$42,'Depreciation Schedules'!$D$3:$D$42)</f>
        <v>0</v>
      </c>
      <c r="N351" s="215">
        <f>LOOKUP(N$2,'Depreciation Schedules'!$A$3:$A$42,'Depreciation Schedules'!$D$3:$D$42)</f>
        <v>0</v>
      </c>
      <c r="O351" s="215">
        <f>LOOKUP(O$2,'Depreciation Schedules'!$A$3:$A$42,'Depreciation Schedules'!$D$3:$D$42)</f>
        <v>0</v>
      </c>
      <c r="P351" s="215">
        <f>LOOKUP(P$2,'Depreciation Schedules'!$A$3:$A$42,'Depreciation Schedules'!$D$3:$D$42)</f>
        <v>0</v>
      </c>
      <c r="Q351" s="215">
        <f>LOOKUP(Q$2,'Depreciation Schedules'!$A$3:$A$42,'Depreciation Schedules'!$D$3:$D$42)</f>
        <v>0</v>
      </c>
      <c r="R351" s="215">
        <f>LOOKUP(R$2,'Depreciation Schedules'!$A$3:$A$42,'Depreciation Schedules'!$D$3:$D$42)</f>
        <v>0</v>
      </c>
      <c r="S351" s="215">
        <f>LOOKUP(S$2,'Depreciation Schedules'!$A$3:$A$42,'Depreciation Schedules'!$D$3:$D$42)</f>
        <v>0</v>
      </c>
      <c r="T351" s="215">
        <f>LOOKUP(T$2,'Depreciation Schedules'!$A$3:$A$42,'Depreciation Schedules'!$D$3:$D$42)</f>
        <v>0</v>
      </c>
      <c r="U351" s="215">
        <f>LOOKUP(U$2,'Depreciation Schedules'!$A$3:$A$42,'Depreciation Schedules'!$D$3:$D$42)</f>
        <v>0</v>
      </c>
      <c r="V351" s="215">
        <f>LOOKUP(V$2,'Depreciation Schedules'!$A$3:$A$42,'Depreciation Schedules'!$D$3:$D$42)</f>
        <v>0</v>
      </c>
      <c r="W351" s="215">
        <f>LOOKUP(W$2,'Depreciation Schedules'!$A$3:$A$42,'Depreciation Schedules'!$D$3:$D$42)</f>
        <v>0</v>
      </c>
      <c r="X351" s="215">
        <f>LOOKUP(X$2,'Depreciation Schedules'!$A$3:$A$42,'Depreciation Schedules'!$D$3:$D$42)</f>
        <v>0</v>
      </c>
      <c r="Y351" s="215">
        <f>LOOKUP(Y$2,'Depreciation Schedules'!$A$3:$A$42,'Depreciation Schedules'!$D$3:$D$42)</f>
        <v>0</v>
      </c>
      <c r="Z351" s="215">
        <f>LOOKUP(Z$2,'Depreciation Schedules'!$A$3:$A$42,'Depreciation Schedules'!$D$3:$D$42)</f>
        <v>0</v>
      </c>
      <c r="AA351" s="215">
        <f>LOOKUP(AA$2,'Depreciation Schedules'!$A$3:$A$42,'Depreciation Schedules'!$D$3:$D$42)</f>
        <v>0</v>
      </c>
      <c r="AB351" s="215">
        <f>LOOKUP(AB$2,'Depreciation Schedules'!$A$3:$A$42,'Depreciation Schedules'!$D$3:$D$42)</f>
        <v>0</v>
      </c>
      <c r="AC351" s="215">
        <f>LOOKUP(AC$2,'Depreciation Schedules'!$A$3:$A$42,'Depreciation Schedules'!$D$3:$D$42)</f>
        <v>0</v>
      </c>
      <c r="AD351" s="215">
        <f>LOOKUP(AD$2,'Depreciation Schedules'!$A$3:$A$42,'Depreciation Schedules'!$D$3:$D$42)</f>
        <v>0</v>
      </c>
      <c r="AE351" s="215">
        <f>LOOKUP(AE$2,'Depreciation Schedules'!$A$3:$A$42,'Depreciation Schedules'!$D$3:$D$42)</f>
        <v>0</v>
      </c>
      <c r="AF351" s="215">
        <f>LOOKUP(AF$2,'Depreciation Schedules'!$A$3:$A$42,'Depreciation Schedules'!$D$3:$D$42)</f>
        <v>0</v>
      </c>
      <c r="AG351" s="215">
        <f>LOOKUP(AG$2,'Depreciation Schedules'!$A$3:$A$42,'Depreciation Schedules'!$D$3:$D$42)</f>
        <v>0</v>
      </c>
      <c r="AH351" s="215">
        <f>LOOKUP(AH$2,'Depreciation Schedules'!$A$3:$A$42,'Depreciation Schedules'!$D$3:$D$42)</f>
        <v>0</v>
      </c>
      <c r="AI351" s="215">
        <f>LOOKUP(AI$2,'Depreciation Schedules'!$A$3:$A$42,'Depreciation Schedules'!$D$3:$D$42)</f>
        <v>0</v>
      </c>
      <c r="AJ351" s="215">
        <f>LOOKUP(AJ$2,'Depreciation Schedules'!$A$3:$A$42,'Depreciation Schedules'!$D$3:$D$42)</f>
        <v>0</v>
      </c>
      <c r="AK351" s="215">
        <f>LOOKUP(AK$2,'Depreciation Schedules'!$A$3:$A$42,'Depreciation Schedules'!$D$3:$D$42)</f>
        <v>0</v>
      </c>
      <c r="AL351" s="215">
        <f>LOOKUP(AL$2,'Depreciation Schedules'!$A$3:$A$42,'Depreciation Schedules'!$D$3:$D$42)</f>
        <v>0</v>
      </c>
      <c r="AM351" s="215">
        <f>LOOKUP(AM$2,'Depreciation Schedules'!$A$3:$A$42,'Depreciation Schedules'!$D$3:$D$42)</f>
        <v>0</v>
      </c>
      <c r="AN351" s="215">
        <f>LOOKUP(AN$2,'Depreciation Schedules'!$A$3:$A$42,'Depreciation Schedules'!$D$3:$D$42)</f>
        <v>0</v>
      </c>
      <c r="AO351" s="215">
        <f>LOOKUP(AO$2,'Depreciation Schedules'!$A$3:$A$42,'Depreciation Schedules'!$D$3:$D$42)</f>
        <v>0</v>
      </c>
      <c r="AP351" s="215">
        <f>LOOKUP(AP$2,'Depreciation Schedules'!$A$3:$A$42,'Depreciation Schedules'!$D$3:$D$42)</f>
        <v>0</v>
      </c>
    </row>
    <row r="352" spans="1:42">
      <c r="A352" s="205" t="str">
        <f t="shared" si="203"/>
        <v>15-yr SL</v>
      </c>
      <c r="B352" s="216">
        <f t="shared" si="204"/>
        <v>0.99999999999999989</v>
      </c>
      <c r="C352" s="215">
        <f>LOOKUP(C$2,'Depreciation Schedules'!$A$3:$A$42,'Depreciation Schedules'!$E$3:$E$42)</f>
        <v>3.3300000000000003E-2</v>
      </c>
      <c r="D352" s="215">
        <f>LOOKUP(D$2,'Depreciation Schedules'!$A$3:$A$42,'Depreciation Schedules'!$E$3:$E$42)</f>
        <v>6.6699999999999995E-2</v>
      </c>
      <c r="E352" s="215">
        <f>LOOKUP(E$2,'Depreciation Schedules'!$A$3:$A$42,'Depreciation Schedules'!$E$3:$E$42)</f>
        <v>6.6699999999999995E-2</v>
      </c>
      <c r="F352" s="215">
        <f>LOOKUP(F$2,'Depreciation Schedules'!$A$3:$A$42,'Depreciation Schedules'!$E$3:$E$42)</f>
        <v>6.6699999999999995E-2</v>
      </c>
      <c r="G352" s="215">
        <f>LOOKUP(G$2,'Depreciation Schedules'!$A$3:$A$42,'Depreciation Schedules'!$E$3:$E$42)</f>
        <v>6.6699999999999995E-2</v>
      </c>
      <c r="H352" s="215">
        <f>LOOKUP(H$2,'Depreciation Schedules'!$A$3:$A$42,'Depreciation Schedules'!$E$3:$E$42)</f>
        <v>6.6699999999999995E-2</v>
      </c>
      <c r="I352" s="215">
        <f>LOOKUP(I$2,'Depreciation Schedules'!$A$3:$A$42,'Depreciation Schedules'!$E$3:$E$42)</f>
        <v>6.6699999999999995E-2</v>
      </c>
      <c r="J352" s="215">
        <f>LOOKUP(J$2,'Depreciation Schedules'!$A$3:$A$42,'Depreciation Schedules'!$E$3:$E$42)</f>
        <v>6.6600000000000006E-2</v>
      </c>
      <c r="K352" s="215">
        <f>LOOKUP(K$2,'Depreciation Schedules'!$A$3:$A$42,'Depreciation Schedules'!$E$3:$E$42)</f>
        <v>6.6699999999999995E-2</v>
      </c>
      <c r="L352" s="215">
        <f>LOOKUP(L$2,'Depreciation Schedules'!$A$3:$A$42,'Depreciation Schedules'!$E$3:$E$42)</f>
        <v>6.6600000000000006E-2</v>
      </c>
      <c r="M352" s="215">
        <f>LOOKUP(M$2,'Depreciation Schedules'!$A$3:$A$42,'Depreciation Schedules'!$E$3:$E$42)</f>
        <v>6.6699999999999995E-2</v>
      </c>
      <c r="N352" s="215">
        <f>LOOKUP(N$2,'Depreciation Schedules'!$A$3:$A$42,'Depreciation Schedules'!$E$3:$E$42)</f>
        <v>6.6600000000000006E-2</v>
      </c>
      <c r="O352" s="215">
        <f>LOOKUP(O$2,'Depreciation Schedules'!$A$3:$A$42,'Depreciation Schedules'!$E$3:$E$42)</f>
        <v>6.6699999999999995E-2</v>
      </c>
      <c r="P352" s="215">
        <f>LOOKUP(P$2,'Depreciation Schedules'!$A$3:$A$42,'Depreciation Schedules'!$E$3:$E$42)</f>
        <v>6.6600000000000006E-2</v>
      </c>
      <c r="Q352" s="215">
        <f>LOOKUP(Q$2,'Depreciation Schedules'!$A$3:$A$42,'Depreciation Schedules'!$E$3:$E$42)</f>
        <v>6.6699999999999995E-2</v>
      </c>
      <c r="R352" s="215">
        <f>LOOKUP(R$2,'Depreciation Schedules'!$A$3:$A$42,'Depreciation Schedules'!$E$3:$E$42)</f>
        <v>3.3300000000000003E-2</v>
      </c>
      <c r="S352" s="215">
        <f>LOOKUP(S$2,'Depreciation Schedules'!$A$3:$A$42,'Depreciation Schedules'!$E$3:$E$42)</f>
        <v>0</v>
      </c>
      <c r="T352" s="215">
        <f>LOOKUP(T$2,'Depreciation Schedules'!$A$3:$A$42,'Depreciation Schedules'!$E$3:$E$42)</f>
        <v>0</v>
      </c>
      <c r="U352" s="215">
        <f>LOOKUP(U$2,'Depreciation Schedules'!$A$3:$A$42,'Depreciation Schedules'!$E$3:$E$42)</f>
        <v>0</v>
      </c>
      <c r="V352" s="215">
        <f>LOOKUP(V$2,'Depreciation Schedules'!$A$3:$A$42,'Depreciation Schedules'!$E$3:$E$42)</f>
        <v>0</v>
      </c>
      <c r="W352" s="215">
        <f>LOOKUP(W$2,'Depreciation Schedules'!$A$3:$A$42,'Depreciation Schedules'!$E$3:$E$42)</f>
        <v>0</v>
      </c>
      <c r="X352" s="215">
        <f>LOOKUP(X$2,'Depreciation Schedules'!$A$3:$A$42,'Depreciation Schedules'!$E$3:$E$42)</f>
        <v>0</v>
      </c>
      <c r="Y352" s="215">
        <f>LOOKUP(Y$2,'Depreciation Schedules'!$A$3:$A$42,'Depreciation Schedules'!$E$3:$E$42)</f>
        <v>0</v>
      </c>
      <c r="Z352" s="215">
        <f>LOOKUP(Z$2,'Depreciation Schedules'!$A$3:$A$42,'Depreciation Schedules'!$E$3:$E$42)</f>
        <v>0</v>
      </c>
      <c r="AA352" s="215">
        <f>LOOKUP(AA$2,'Depreciation Schedules'!$A$3:$A$42,'Depreciation Schedules'!$E$3:$E$42)</f>
        <v>0</v>
      </c>
      <c r="AB352" s="215">
        <f>LOOKUP(AB$2,'Depreciation Schedules'!$A$3:$A$42,'Depreciation Schedules'!$E$3:$E$42)</f>
        <v>0</v>
      </c>
      <c r="AC352" s="215">
        <f>LOOKUP(AC$2,'Depreciation Schedules'!$A$3:$A$42,'Depreciation Schedules'!$E$3:$E$42)</f>
        <v>0</v>
      </c>
      <c r="AD352" s="215">
        <f>LOOKUP(AD$2,'Depreciation Schedules'!$A$3:$A$42,'Depreciation Schedules'!$E$3:$E$42)</f>
        <v>0</v>
      </c>
      <c r="AE352" s="215">
        <f>LOOKUP(AE$2,'Depreciation Schedules'!$A$3:$A$42,'Depreciation Schedules'!$E$3:$E$42)</f>
        <v>0</v>
      </c>
      <c r="AF352" s="215">
        <f>LOOKUP(AF$2,'Depreciation Schedules'!$A$3:$A$42,'Depreciation Schedules'!$E$3:$E$42)</f>
        <v>0</v>
      </c>
      <c r="AG352" s="215">
        <f>LOOKUP(AG$2,'Depreciation Schedules'!$A$3:$A$42,'Depreciation Schedules'!$E$3:$E$42)</f>
        <v>0</v>
      </c>
      <c r="AH352" s="215">
        <f>LOOKUP(AH$2,'Depreciation Schedules'!$A$3:$A$42,'Depreciation Schedules'!$E$3:$E$42)</f>
        <v>0</v>
      </c>
      <c r="AI352" s="215">
        <f>LOOKUP(AI$2,'Depreciation Schedules'!$A$3:$A$42,'Depreciation Schedules'!$E$3:$E$42)</f>
        <v>0</v>
      </c>
      <c r="AJ352" s="215">
        <f>LOOKUP(AJ$2,'Depreciation Schedules'!$A$3:$A$42,'Depreciation Schedules'!$E$3:$E$42)</f>
        <v>0</v>
      </c>
      <c r="AK352" s="215">
        <f>LOOKUP(AK$2,'Depreciation Schedules'!$A$3:$A$42,'Depreciation Schedules'!$E$3:$E$42)</f>
        <v>0</v>
      </c>
      <c r="AL352" s="215">
        <f>LOOKUP(AL$2,'Depreciation Schedules'!$A$3:$A$42,'Depreciation Schedules'!$E$3:$E$42)</f>
        <v>0</v>
      </c>
      <c r="AM352" s="215">
        <f>LOOKUP(AM$2,'Depreciation Schedules'!$A$3:$A$42,'Depreciation Schedules'!$E$3:$E$42)</f>
        <v>0</v>
      </c>
      <c r="AN352" s="215">
        <f>LOOKUP(AN$2,'Depreciation Schedules'!$A$3:$A$42,'Depreciation Schedules'!$E$3:$E$42)</f>
        <v>0</v>
      </c>
      <c r="AO352" s="215">
        <f>LOOKUP(AO$2,'Depreciation Schedules'!$A$3:$A$42,'Depreciation Schedules'!$E$3:$E$42)</f>
        <v>0</v>
      </c>
      <c r="AP352" s="215">
        <f>LOOKUP(AP$2,'Depreciation Schedules'!$A$3:$A$42,'Depreciation Schedules'!$E$3:$E$42)</f>
        <v>0</v>
      </c>
    </row>
    <row r="353" spans="1:42">
      <c r="A353" s="205" t="str">
        <f t="shared" si="203"/>
        <v>20-yr SL</v>
      </c>
      <c r="B353" s="216">
        <f t="shared" si="204"/>
        <v>1.0000000000000002</v>
      </c>
      <c r="C353" s="215">
        <f>LOOKUP(C$2,'Depreciation Schedules'!$A$3:$A$42,'Depreciation Schedules'!$F$3:$F$42)</f>
        <v>2.5000000000000001E-2</v>
      </c>
      <c r="D353" s="215">
        <f>LOOKUP(D$2,'Depreciation Schedules'!$A$3:$A$42,'Depreciation Schedules'!$F$3:$F$42)</f>
        <v>0.05</v>
      </c>
      <c r="E353" s="215">
        <f>LOOKUP(E$2,'Depreciation Schedules'!$A$3:$A$42,'Depreciation Schedules'!$F$3:$F$42)</f>
        <v>0.05</v>
      </c>
      <c r="F353" s="215">
        <f>LOOKUP(F$2,'Depreciation Schedules'!$A$3:$A$42,'Depreciation Schedules'!$F$3:$F$42)</f>
        <v>0.05</v>
      </c>
      <c r="G353" s="215">
        <f>LOOKUP(G$2,'Depreciation Schedules'!$A$3:$A$42,'Depreciation Schedules'!$F$3:$F$42)</f>
        <v>0.05</v>
      </c>
      <c r="H353" s="215">
        <f>LOOKUP(H$2,'Depreciation Schedules'!$A$3:$A$42,'Depreciation Schedules'!$F$3:$F$42)</f>
        <v>0.05</v>
      </c>
      <c r="I353" s="215">
        <f>LOOKUP(I$2,'Depreciation Schedules'!$A$3:$A$42,'Depreciation Schedules'!$F$3:$F$42)</f>
        <v>0.05</v>
      </c>
      <c r="J353" s="215">
        <f>LOOKUP(J$2,'Depreciation Schedules'!$A$3:$A$42,'Depreciation Schedules'!$F$3:$F$42)</f>
        <v>0.05</v>
      </c>
      <c r="K353" s="215">
        <f>LOOKUP(K$2,'Depreciation Schedules'!$A$3:$A$42,'Depreciation Schedules'!$F$3:$F$42)</f>
        <v>0.05</v>
      </c>
      <c r="L353" s="215">
        <f>LOOKUP(L$2,'Depreciation Schedules'!$A$3:$A$42,'Depreciation Schedules'!$F$3:$F$42)</f>
        <v>0.05</v>
      </c>
      <c r="M353" s="215">
        <f>LOOKUP(M$2,'Depreciation Schedules'!$A$3:$A$42,'Depreciation Schedules'!$F$3:$F$42)</f>
        <v>0.05</v>
      </c>
      <c r="N353" s="215">
        <f>LOOKUP(N$2,'Depreciation Schedules'!$A$3:$A$42,'Depreciation Schedules'!$F$3:$F$42)</f>
        <v>0.05</v>
      </c>
      <c r="O353" s="215">
        <f>LOOKUP(O$2,'Depreciation Schedules'!$A$3:$A$42,'Depreciation Schedules'!$F$3:$F$42)</f>
        <v>0.05</v>
      </c>
      <c r="P353" s="215">
        <f>LOOKUP(P$2,'Depreciation Schedules'!$A$3:$A$42,'Depreciation Schedules'!$F$3:$F$42)</f>
        <v>0.05</v>
      </c>
      <c r="Q353" s="215">
        <f>LOOKUP(Q$2,'Depreciation Schedules'!$A$3:$A$42,'Depreciation Schedules'!$F$3:$F$42)</f>
        <v>0.05</v>
      </c>
      <c r="R353" s="215">
        <f>LOOKUP(R$2,'Depreciation Schedules'!$A$3:$A$42,'Depreciation Schedules'!$F$3:$F$42)</f>
        <v>0.05</v>
      </c>
      <c r="S353" s="215">
        <f>LOOKUP(S$2,'Depreciation Schedules'!$A$3:$A$42,'Depreciation Schedules'!$F$3:$F$42)</f>
        <v>0.05</v>
      </c>
      <c r="T353" s="215">
        <f>LOOKUP(T$2,'Depreciation Schedules'!$A$3:$A$42,'Depreciation Schedules'!$F$3:$F$42)</f>
        <v>0.05</v>
      </c>
      <c r="U353" s="215">
        <f>LOOKUP(U$2,'Depreciation Schedules'!$A$3:$A$42,'Depreciation Schedules'!$F$3:$F$42)</f>
        <v>0.05</v>
      </c>
      <c r="V353" s="215">
        <f>LOOKUP(V$2,'Depreciation Schedules'!$A$3:$A$42,'Depreciation Schedules'!$F$3:$F$42)</f>
        <v>0.05</v>
      </c>
      <c r="W353" s="215">
        <f>LOOKUP(W$2,'Depreciation Schedules'!$A$3:$A$42,'Depreciation Schedules'!$F$3:$F$42)</f>
        <v>2.5000000000000001E-2</v>
      </c>
      <c r="X353" s="215">
        <f>LOOKUP(X$2,'Depreciation Schedules'!$A$3:$A$42,'Depreciation Schedules'!$F$3:$F$42)</f>
        <v>0</v>
      </c>
      <c r="Y353" s="215">
        <f>LOOKUP(Y$2,'Depreciation Schedules'!$A$3:$A$42,'Depreciation Schedules'!$F$3:$F$42)</f>
        <v>0</v>
      </c>
      <c r="Z353" s="215">
        <f>LOOKUP(Z$2,'Depreciation Schedules'!$A$3:$A$42,'Depreciation Schedules'!$F$3:$F$42)</f>
        <v>0</v>
      </c>
      <c r="AA353" s="215">
        <f>LOOKUP(AA$2,'Depreciation Schedules'!$A$3:$A$42,'Depreciation Schedules'!$F$3:$F$42)</f>
        <v>0</v>
      </c>
      <c r="AB353" s="215">
        <f>LOOKUP(AB$2,'Depreciation Schedules'!$A$3:$A$42,'Depreciation Schedules'!$F$3:$F$42)</f>
        <v>0</v>
      </c>
      <c r="AC353" s="215">
        <f>LOOKUP(AC$2,'Depreciation Schedules'!$A$3:$A$42,'Depreciation Schedules'!$F$3:$F$42)</f>
        <v>0</v>
      </c>
      <c r="AD353" s="215">
        <f>LOOKUP(AD$2,'Depreciation Schedules'!$A$3:$A$42,'Depreciation Schedules'!$F$3:$F$42)</f>
        <v>0</v>
      </c>
      <c r="AE353" s="215">
        <f>LOOKUP(AE$2,'Depreciation Schedules'!$A$3:$A$42,'Depreciation Schedules'!$F$3:$F$42)</f>
        <v>0</v>
      </c>
      <c r="AF353" s="215">
        <f>LOOKUP(AF$2,'Depreciation Schedules'!$A$3:$A$42,'Depreciation Schedules'!$F$3:$F$42)</f>
        <v>0</v>
      </c>
      <c r="AG353" s="215">
        <f>LOOKUP(AG$2,'Depreciation Schedules'!$A$3:$A$42,'Depreciation Schedules'!$F$3:$F$42)</f>
        <v>0</v>
      </c>
      <c r="AH353" s="215">
        <f>LOOKUP(AH$2,'Depreciation Schedules'!$A$3:$A$42,'Depreciation Schedules'!$F$3:$F$42)</f>
        <v>0</v>
      </c>
      <c r="AI353" s="215">
        <f>LOOKUP(AI$2,'Depreciation Schedules'!$A$3:$A$42,'Depreciation Schedules'!$F$3:$F$42)</f>
        <v>0</v>
      </c>
      <c r="AJ353" s="215">
        <f>LOOKUP(AJ$2,'Depreciation Schedules'!$A$3:$A$42,'Depreciation Schedules'!$F$3:$F$42)</f>
        <v>0</v>
      </c>
      <c r="AK353" s="215">
        <f>LOOKUP(AK$2,'Depreciation Schedules'!$A$3:$A$42,'Depreciation Schedules'!$F$3:$F$42)</f>
        <v>0</v>
      </c>
      <c r="AL353" s="215">
        <f>LOOKUP(AL$2,'Depreciation Schedules'!$A$3:$A$42,'Depreciation Schedules'!$F$3:$F$42)</f>
        <v>0</v>
      </c>
      <c r="AM353" s="215">
        <f>LOOKUP(AM$2,'Depreciation Schedules'!$A$3:$A$42,'Depreciation Schedules'!$F$3:$F$42)</f>
        <v>0</v>
      </c>
      <c r="AN353" s="215">
        <f>LOOKUP(AN$2,'Depreciation Schedules'!$A$3:$A$42,'Depreciation Schedules'!$F$3:$F$42)</f>
        <v>0</v>
      </c>
      <c r="AO353" s="215">
        <f>LOOKUP(AO$2,'Depreciation Schedules'!$A$3:$A$42,'Depreciation Schedules'!$F$3:$F$42)</f>
        <v>0</v>
      </c>
      <c r="AP353" s="215">
        <f>LOOKUP(AP$2,'Depreciation Schedules'!$A$3:$A$42,'Depreciation Schedules'!$F$3:$F$42)</f>
        <v>0</v>
      </c>
    </row>
    <row r="354" spans="1:42">
      <c r="A354" s="205" t="str">
        <f t="shared" si="203"/>
        <v>39-yr SL</v>
      </c>
      <c r="B354" s="217">
        <f t="shared" si="204"/>
        <v>1.0000000000000004</v>
      </c>
      <c r="C354" s="215">
        <f>LOOKUP(C$2,'Depreciation Schedules'!$A$3:$A$42,'Depreciation Schedules'!$G$3:$G$42)</f>
        <v>1.2820512820512799E-2</v>
      </c>
      <c r="D354" s="215">
        <f>LOOKUP(D$2,'Depreciation Schedules'!$A$3:$A$42,'Depreciation Schedules'!$G$3:$G$42)</f>
        <v>2.564102564102564E-2</v>
      </c>
      <c r="E354" s="215">
        <f>LOOKUP(E$2,'Depreciation Schedules'!$A$3:$A$42,'Depreciation Schedules'!$G$3:$G$42)</f>
        <v>2.564102564102564E-2</v>
      </c>
      <c r="F354" s="215">
        <f>LOOKUP(F$2,'Depreciation Schedules'!$A$3:$A$42,'Depreciation Schedules'!$G$3:$G$42)</f>
        <v>2.564102564102564E-2</v>
      </c>
      <c r="G354" s="215">
        <f>LOOKUP(G$2,'Depreciation Schedules'!$A$3:$A$42,'Depreciation Schedules'!$G$3:$G$42)</f>
        <v>2.564102564102564E-2</v>
      </c>
      <c r="H354" s="215">
        <f>LOOKUP(H$2,'Depreciation Schedules'!$A$3:$A$42,'Depreciation Schedules'!$G$3:$G$42)</f>
        <v>2.564102564102564E-2</v>
      </c>
      <c r="I354" s="215">
        <f>LOOKUP(I$2,'Depreciation Schedules'!$A$3:$A$42,'Depreciation Schedules'!$G$3:$G$42)</f>
        <v>2.564102564102564E-2</v>
      </c>
      <c r="J354" s="215">
        <f>LOOKUP(J$2,'Depreciation Schedules'!$A$3:$A$42,'Depreciation Schedules'!$G$3:$G$42)</f>
        <v>2.564102564102564E-2</v>
      </c>
      <c r="K354" s="215">
        <f>LOOKUP(K$2,'Depreciation Schedules'!$A$3:$A$42,'Depreciation Schedules'!$G$3:$G$42)</f>
        <v>2.564102564102564E-2</v>
      </c>
      <c r="L354" s="215">
        <f>LOOKUP(L$2,'Depreciation Schedules'!$A$3:$A$42,'Depreciation Schedules'!$G$3:$G$42)</f>
        <v>2.564102564102564E-2</v>
      </c>
      <c r="M354" s="215">
        <f>LOOKUP(M$2,'Depreciation Schedules'!$A$3:$A$42,'Depreciation Schedules'!$G$3:$G$42)</f>
        <v>2.564102564102564E-2</v>
      </c>
      <c r="N354" s="215">
        <f>LOOKUP(N$2,'Depreciation Schedules'!$A$3:$A$42,'Depreciation Schedules'!$G$3:$G$42)</f>
        <v>2.564102564102564E-2</v>
      </c>
      <c r="O354" s="215">
        <f>LOOKUP(O$2,'Depreciation Schedules'!$A$3:$A$42,'Depreciation Schedules'!$G$3:$G$42)</f>
        <v>2.564102564102564E-2</v>
      </c>
      <c r="P354" s="215">
        <f>LOOKUP(P$2,'Depreciation Schedules'!$A$3:$A$42,'Depreciation Schedules'!$G$3:$G$42)</f>
        <v>2.564102564102564E-2</v>
      </c>
      <c r="Q354" s="215">
        <f>LOOKUP(Q$2,'Depreciation Schedules'!$A$3:$A$42,'Depreciation Schedules'!$G$3:$G$42)</f>
        <v>2.564102564102564E-2</v>
      </c>
      <c r="R354" s="215">
        <f>LOOKUP(R$2,'Depreciation Schedules'!$A$3:$A$42,'Depreciation Schedules'!$G$3:$G$42)</f>
        <v>2.564102564102564E-2</v>
      </c>
      <c r="S354" s="215">
        <f>LOOKUP(S$2,'Depreciation Schedules'!$A$3:$A$42,'Depreciation Schedules'!$G$3:$G$42)</f>
        <v>2.564102564102564E-2</v>
      </c>
      <c r="T354" s="215">
        <f>LOOKUP(T$2,'Depreciation Schedules'!$A$3:$A$42,'Depreciation Schedules'!$G$3:$G$42)</f>
        <v>2.564102564102564E-2</v>
      </c>
      <c r="U354" s="215">
        <f>LOOKUP(U$2,'Depreciation Schedules'!$A$3:$A$42,'Depreciation Schedules'!$G$3:$G$42)</f>
        <v>2.564102564102564E-2</v>
      </c>
      <c r="V354" s="215">
        <f>LOOKUP(V$2,'Depreciation Schedules'!$A$3:$A$42,'Depreciation Schedules'!$G$3:$G$42)</f>
        <v>2.564102564102564E-2</v>
      </c>
      <c r="W354" s="215">
        <f>LOOKUP(W$2,'Depreciation Schedules'!$A$3:$A$42,'Depreciation Schedules'!$G$3:$G$42)</f>
        <v>2.564102564102564E-2</v>
      </c>
      <c r="X354" s="215">
        <f>LOOKUP(X$2,'Depreciation Schedules'!$A$3:$A$42,'Depreciation Schedules'!$G$3:$G$42)</f>
        <v>2.564102564102564E-2</v>
      </c>
      <c r="Y354" s="215">
        <f>LOOKUP(Y$2,'Depreciation Schedules'!$A$3:$A$42,'Depreciation Schedules'!$G$3:$G$42)</f>
        <v>2.564102564102564E-2</v>
      </c>
      <c r="Z354" s="215">
        <f>LOOKUP(Z$2,'Depreciation Schedules'!$A$3:$A$42,'Depreciation Schedules'!$G$3:$G$42)</f>
        <v>2.564102564102564E-2</v>
      </c>
      <c r="AA354" s="215">
        <f>LOOKUP(AA$2,'Depreciation Schedules'!$A$3:$A$42,'Depreciation Schedules'!$G$3:$G$42)</f>
        <v>2.564102564102564E-2</v>
      </c>
      <c r="AB354" s="215">
        <f>LOOKUP(AB$2,'Depreciation Schedules'!$A$3:$A$42,'Depreciation Schedules'!$G$3:$G$42)</f>
        <v>2.564102564102564E-2</v>
      </c>
      <c r="AC354" s="215">
        <f>LOOKUP(AC$2,'Depreciation Schedules'!$A$3:$A$42,'Depreciation Schedules'!$G$3:$G$42)</f>
        <v>2.564102564102564E-2</v>
      </c>
      <c r="AD354" s="215">
        <f>LOOKUP(AD$2,'Depreciation Schedules'!$A$3:$A$42,'Depreciation Schedules'!$G$3:$G$42)</f>
        <v>2.564102564102564E-2</v>
      </c>
      <c r="AE354" s="215">
        <f>LOOKUP(AE$2,'Depreciation Schedules'!$A$3:$A$42,'Depreciation Schedules'!$G$3:$G$42)</f>
        <v>2.564102564102564E-2</v>
      </c>
      <c r="AF354" s="215">
        <f>LOOKUP(AF$2,'Depreciation Schedules'!$A$3:$A$42,'Depreciation Schedules'!$G$3:$G$42)</f>
        <v>2.564102564102564E-2</v>
      </c>
      <c r="AG354" s="215">
        <f>LOOKUP(AG$2,'Depreciation Schedules'!$A$3:$A$42,'Depreciation Schedules'!$G$3:$G$42)</f>
        <v>2.564102564102564E-2</v>
      </c>
      <c r="AH354" s="215">
        <f>LOOKUP(AH$2,'Depreciation Schedules'!$A$3:$A$42,'Depreciation Schedules'!$G$3:$G$42)</f>
        <v>2.564102564102564E-2</v>
      </c>
      <c r="AI354" s="215">
        <f>LOOKUP(AI$2,'Depreciation Schedules'!$A$3:$A$42,'Depreciation Schedules'!$G$3:$G$42)</f>
        <v>2.564102564102564E-2</v>
      </c>
      <c r="AJ354" s="215">
        <f>LOOKUP(AJ$2,'Depreciation Schedules'!$A$3:$A$42,'Depreciation Schedules'!$G$3:$G$42)</f>
        <v>2.564102564102564E-2</v>
      </c>
      <c r="AK354" s="215">
        <f>LOOKUP(AK$2,'Depreciation Schedules'!$A$3:$A$42,'Depreciation Schedules'!$G$3:$G$42)</f>
        <v>2.564102564102564E-2</v>
      </c>
      <c r="AL354" s="215">
        <f>LOOKUP(AL$2,'Depreciation Schedules'!$A$3:$A$42,'Depreciation Schedules'!$G$3:$G$42)</f>
        <v>2.564102564102564E-2</v>
      </c>
      <c r="AM354" s="215">
        <f>LOOKUP(AM$2,'Depreciation Schedules'!$A$3:$A$42,'Depreciation Schedules'!$G$3:$G$42)</f>
        <v>2.564102564102564E-2</v>
      </c>
      <c r="AN354" s="215">
        <f>LOOKUP(AN$2,'Depreciation Schedules'!$A$3:$A$42,'Depreciation Schedules'!$G$3:$G$42)</f>
        <v>2.564102564102564E-2</v>
      </c>
      <c r="AO354" s="215">
        <f>LOOKUP(AO$2,'Depreciation Schedules'!$A$3:$A$42,'Depreciation Schedules'!$G$3:$G$42)</f>
        <v>2.564102564102564E-2</v>
      </c>
      <c r="AP354" s="215">
        <f>LOOKUP(AP$2,'Depreciation Schedules'!$A$3:$A$42,'Depreciation Schedules'!$G$3:$G$42)</f>
        <v>1.2820512820512799E-2</v>
      </c>
    </row>
    <row r="355" spans="1:42">
      <c r="A355" s="184" t="s">
        <v>34</v>
      </c>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row>
    <row r="356" spans="1:42">
      <c r="A356" s="205" t="str">
        <f>A349</f>
        <v>5-yr MACRS</v>
      </c>
      <c r="B356" s="218">
        <f>SUM(C356:AP356)</f>
        <v>38440186.371250004</v>
      </c>
      <c r="C356" s="186">
        <f t="shared" ref="C356:AP356" si="205">C349*$Q316</f>
        <v>7688037.2742499998</v>
      </c>
      <c r="D356" s="186">
        <f t="shared" si="205"/>
        <v>12300859.638799999</v>
      </c>
      <c r="E356" s="186">
        <f t="shared" si="205"/>
        <v>7380515.7832799992</v>
      </c>
      <c r="F356" s="186">
        <f t="shared" si="205"/>
        <v>4428309.4699679995</v>
      </c>
      <c r="G356" s="186">
        <f t="shared" si="205"/>
        <v>4428309.4699679995</v>
      </c>
      <c r="H356" s="186">
        <f t="shared" si="205"/>
        <v>2214154.7349839997</v>
      </c>
      <c r="I356" s="186">
        <f t="shared" si="205"/>
        <v>0</v>
      </c>
      <c r="J356" s="186">
        <f t="shared" si="205"/>
        <v>0</v>
      </c>
      <c r="K356" s="186">
        <f t="shared" si="205"/>
        <v>0</v>
      </c>
      <c r="L356" s="186">
        <f t="shared" si="205"/>
        <v>0</v>
      </c>
      <c r="M356" s="186">
        <f t="shared" si="205"/>
        <v>0</v>
      </c>
      <c r="N356" s="186">
        <f t="shared" si="205"/>
        <v>0</v>
      </c>
      <c r="O356" s="186">
        <f t="shared" si="205"/>
        <v>0</v>
      </c>
      <c r="P356" s="186">
        <f t="shared" si="205"/>
        <v>0</v>
      </c>
      <c r="Q356" s="186">
        <f t="shared" si="205"/>
        <v>0</v>
      </c>
      <c r="R356" s="186">
        <f t="shared" si="205"/>
        <v>0</v>
      </c>
      <c r="S356" s="186">
        <f t="shared" si="205"/>
        <v>0</v>
      </c>
      <c r="T356" s="186">
        <f t="shared" si="205"/>
        <v>0</v>
      </c>
      <c r="U356" s="186">
        <f t="shared" si="205"/>
        <v>0</v>
      </c>
      <c r="V356" s="186">
        <f t="shared" si="205"/>
        <v>0</v>
      </c>
      <c r="W356" s="186">
        <f t="shared" si="205"/>
        <v>0</v>
      </c>
      <c r="X356" s="186">
        <f t="shared" si="205"/>
        <v>0</v>
      </c>
      <c r="Y356" s="186">
        <f t="shared" si="205"/>
        <v>0</v>
      </c>
      <c r="Z356" s="186">
        <f t="shared" si="205"/>
        <v>0</v>
      </c>
      <c r="AA356" s="186">
        <f t="shared" si="205"/>
        <v>0</v>
      </c>
      <c r="AB356" s="186">
        <f t="shared" si="205"/>
        <v>0</v>
      </c>
      <c r="AC356" s="186">
        <f t="shared" si="205"/>
        <v>0</v>
      </c>
      <c r="AD356" s="186">
        <f t="shared" si="205"/>
        <v>0</v>
      </c>
      <c r="AE356" s="186">
        <f t="shared" si="205"/>
        <v>0</v>
      </c>
      <c r="AF356" s="186">
        <f t="shared" si="205"/>
        <v>0</v>
      </c>
      <c r="AG356" s="186">
        <f t="shared" si="205"/>
        <v>0</v>
      </c>
      <c r="AH356" s="186">
        <f t="shared" si="205"/>
        <v>0</v>
      </c>
      <c r="AI356" s="186">
        <f t="shared" si="205"/>
        <v>0</v>
      </c>
      <c r="AJ356" s="186">
        <f t="shared" si="205"/>
        <v>0</v>
      </c>
      <c r="AK356" s="186">
        <f t="shared" si="205"/>
        <v>0</v>
      </c>
      <c r="AL356" s="186">
        <f t="shared" si="205"/>
        <v>0</v>
      </c>
      <c r="AM356" s="186">
        <f t="shared" si="205"/>
        <v>0</v>
      </c>
      <c r="AN356" s="186">
        <f t="shared" si="205"/>
        <v>0</v>
      </c>
      <c r="AO356" s="186">
        <f t="shared" si="205"/>
        <v>0</v>
      </c>
      <c r="AP356" s="186">
        <f t="shared" si="205"/>
        <v>0</v>
      </c>
    </row>
    <row r="357" spans="1:42">
      <c r="A357" s="205" t="str">
        <f t="shared" ref="A357:A361" si="206">A350</f>
        <v>15-yr MACRS</v>
      </c>
      <c r="B357" s="153">
        <f t="shared" ref="B357:B363" si="207">SUM(C357:AP357)</f>
        <v>639100.32750000001</v>
      </c>
      <c r="C357" s="186">
        <f t="shared" ref="C357:AP357" si="208">C350*$Q317</f>
        <v>31955.016375000003</v>
      </c>
      <c r="D357" s="186">
        <f t="shared" si="208"/>
        <v>60714.531112500001</v>
      </c>
      <c r="E357" s="186">
        <f t="shared" si="208"/>
        <v>54643.078001250004</v>
      </c>
      <c r="F357" s="186">
        <f t="shared" si="208"/>
        <v>49210.725217500003</v>
      </c>
      <c r="G357" s="186">
        <f t="shared" si="208"/>
        <v>44289.652695750003</v>
      </c>
      <c r="H357" s="186">
        <f t="shared" si="208"/>
        <v>39815.950403250004</v>
      </c>
      <c r="I357" s="186">
        <f t="shared" si="208"/>
        <v>37706.919322499998</v>
      </c>
      <c r="J357" s="186">
        <f t="shared" si="208"/>
        <v>37706.919322499998</v>
      </c>
      <c r="K357" s="186">
        <f t="shared" si="208"/>
        <v>37770.829355250004</v>
      </c>
      <c r="L357" s="186">
        <f t="shared" si="208"/>
        <v>37706.919322499998</v>
      </c>
      <c r="M357" s="186">
        <f t="shared" si="208"/>
        <v>37770.829355250004</v>
      </c>
      <c r="N357" s="186">
        <f t="shared" si="208"/>
        <v>37706.919322499998</v>
      </c>
      <c r="O357" s="186">
        <f t="shared" si="208"/>
        <v>37770.829355250004</v>
      </c>
      <c r="P357" s="186">
        <f t="shared" si="208"/>
        <v>37706.919322499998</v>
      </c>
      <c r="Q357" s="186">
        <f t="shared" si="208"/>
        <v>37770.829355250004</v>
      </c>
      <c r="R357" s="186">
        <f t="shared" si="208"/>
        <v>18853.459661249999</v>
      </c>
      <c r="S357" s="186">
        <f t="shared" si="208"/>
        <v>0</v>
      </c>
      <c r="T357" s="186">
        <f t="shared" si="208"/>
        <v>0</v>
      </c>
      <c r="U357" s="186">
        <f t="shared" si="208"/>
        <v>0</v>
      </c>
      <c r="V357" s="186">
        <f t="shared" si="208"/>
        <v>0</v>
      </c>
      <c r="W357" s="186">
        <f t="shared" si="208"/>
        <v>0</v>
      </c>
      <c r="X357" s="186">
        <f t="shared" si="208"/>
        <v>0</v>
      </c>
      <c r="Y357" s="186">
        <f t="shared" si="208"/>
        <v>0</v>
      </c>
      <c r="Z357" s="186">
        <f t="shared" si="208"/>
        <v>0</v>
      </c>
      <c r="AA357" s="186">
        <f t="shared" si="208"/>
        <v>0</v>
      </c>
      <c r="AB357" s="186">
        <f t="shared" si="208"/>
        <v>0</v>
      </c>
      <c r="AC357" s="186">
        <f t="shared" si="208"/>
        <v>0</v>
      </c>
      <c r="AD357" s="186">
        <f t="shared" si="208"/>
        <v>0</v>
      </c>
      <c r="AE357" s="186">
        <f t="shared" si="208"/>
        <v>0</v>
      </c>
      <c r="AF357" s="186">
        <f t="shared" si="208"/>
        <v>0</v>
      </c>
      <c r="AG357" s="186">
        <f t="shared" si="208"/>
        <v>0</v>
      </c>
      <c r="AH357" s="186">
        <f t="shared" si="208"/>
        <v>0</v>
      </c>
      <c r="AI357" s="186">
        <f t="shared" si="208"/>
        <v>0</v>
      </c>
      <c r="AJ357" s="186">
        <f t="shared" si="208"/>
        <v>0</v>
      </c>
      <c r="AK357" s="186">
        <f t="shared" si="208"/>
        <v>0</v>
      </c>
      <c r="AL357" s="186">
        <f t="shared" si="208"/>
        <v>0</v>
      </c>
      <c r="AM357" s="186">
        <f t="shared" si="208"/>
        <v>0</v>
      </c>
      <c r="AN357" s="186">
        <f t="shared" si="208"/>
        <v>0</v>
      </c>
      <c r="AO357" s="186">
        <f t="shared" si="208"/>
        <v>0</v>
      </c>
      <c r="AP357" s="186">
        <f t="shared" si="208"/>
        <v>0</v>
      </c>
    </row>
    <row r="358" spans="1:42">
      <c r="A358" s="205" t="str">
        <f t="shared" si="206"/>
        <v>5-yr SL</v>
      </c>
      <c r="B358" s="153">
        <f t="shared" si="207"/>
        <v>0</v>
      </c>
      <c r="C358" s="186">
        <f t="shared" ref="C358:AP358" si="209">C351*$Q318</f>
        <v>0</v>
      </c>
      <c r="D358" s="186">
        <f t="shared" si="209"/>
        <v>0</v>
      </c>
      <c r="E358" s="186">
        <f t="shared" si="209"/>
        <v>0</v>
      </c>
      <c r="F358" s="186">
        <f t="shared" si="209"/>
        <v>0</v>
      </c>
      <c r="G358" s="186">
        <f t="shared" si="209"/>
        <v>0</v>
      </c>
      <c r="H358" s="186">
        <f t="shared" si="209"/>
        <v>0</v>
      </c>
      <c r="I358" s="186">
        <f t="shared" si="209"/>
        <v>0</v>
      </c>
      <c r="J358" s="186">
        <f t="shared" si="209"/>
        <v>0</v>
      </c>
      <c r="K358" s="186">
        <f t="shared" si="209"/>
        <v>0</v>
      </c>
      <c r="L358" s="186">
        <f t="shared" si="209"/>
        <v>0</v>
      </c>
      <c r="M358" s="186">
        <f t="shared" si="209"/>
        <v>0</v>
      </c>
      <c r="N358" s="186">
        <f t="shared" si="209"/>
        <v>0</v>
      </c>
      <c r="O358" s="186">
        <f t="shared" si="209"/>
        <v>0</v>
      </c>
      <c r="P358" s="186">
        <f t="shared" si="209"/>
        <v>0</v>
      </c>
      <c r="Q358" s="186">
        <f t="shared" si="209"/>
        <v>0</v>
      </c>
      <c r="R358" s="186">
        <f t="shared" si="209"/>
        <v>0</v>
      </c>
      <c r="S358" s="186">
        <f t="shared" si="209"/>
        <v>0</v>
      </c>
      <c r="T358" s="186">
        <f t="shared" si="209"/>
        <v>0</v>
      </c>
      <c r="U358" s="186">
        <f t="shared" si="209"/>
        <v>0</v>
      </c>
      <c r="V358" s="186">
        <f t="shared" si="209"/>
        <v>0</v>
      </c>
      <c r="W358" s="186">
        <f t="shared" si="209"/>
        <v>0</v>
      </c>
      <c r="X358" s="186">
        <f t="shared" si="209"/>
        <v>0</v>
      </c>
      <c r="Y358" s="186">
        <f t="shared" si="209"/>
        <v>0</v>
      </c>
      <c r="Z358" s="186">
        <f t="shared" si="209"/>
        <v>0</v>
      </c>
      <c r="AA358" s="186">
        <f t="shared" si="209"/>
        <v>0</v>
      </c>
      <c r="AB358" s="186">
        <f t="shared" si="209"/>
        <v>0</v>
      </c>
      <c r="AC358" s="186">
        <f t="shared" si="209"/>
        <v>0</v>
      </c>
      <c r="AD358" s="186">
        <f t="shared" si="209"/>
        <v>0</v>
      </c>
      <c r="AE358" s="186">
        <f t="shared" si="209"/>
        <v>0</v>
      </c>
      <c r="AF358" s="186">
        <f t="shared" si="209"/>
        <v>0</v>
      </c>
      <c r="AG358" s="186">
        <f t="shared" si="209"/>
        <v>0</v>
      </c>
      <c r="AH358" s="186">
        <f t="shared" si="209"/>
        <v>0</v>
      </c>
      <c r="AI358" s="186">
        <f t="shared" si="209"/>
        <v>0</v>
      </c>
      <c r="AJ358" s="186">
        <f t="shared" si="209"/>
        <v>0</v>
      </c>
      <c r="AK358" s="186">
        <f t="shared" si="209"/>
        <v>0</v>
      </c>
      <c r="AL358" s="186">
        <f t="shared" si="209"/>
        <v>0</v>
      </c>
      <c r="AM358" s="186">
        <f t="shared" si="209"/>
        <v>0</v>
      </c>
      <c r="AN358" s="186">
        <f t="shared" si="209"/>
        <v>0</v>
      </c>
      <c r="AO358" s="186">
        <f t="shared" si="209"/>
        <v>0</v>
      </c>
      <c r="AP358" s="186">
        <f t="shared" si="209"/>
        <v>0</v>
      </c>
    </row>
    <row r="359" spans="1:42">
      <c r="A359" s="205" t="str">
        <f t="shared" si="206"/>
        <v>15-yr SL</v>
      </c>
      <c r="B359" s="153">
        <f t="shared" si="207"/>
        <v>639100.32750000001</v>
      </c>
      <c r="C359" s="186">
        <f t="shared" ref="C359:AP359" si="210">C352*$Q319</f>
        <v>21282.040905750004</v>
      </c>
      <c r="D359" s="186">
        <f t="shared" si="210"/>
        <v>42627.991844249998</v>
      </c>
      <c r="E359" s="186">
        <f t="shared" si="210"/>
        <v>42627.991844249998</v>
      </c>
      <c r="F359" s="186">
        <f t="shared" si="210"/>
        <v>42627.991844249998</v>
      </c>
      <c r="G359" s="186">
        <f t="shared" si="210"/>
        <v>42627.991844249998</v>
      </c>
      <c r="H359" s="186">
        <f t="shared" si="210"/>
        <v>42627.991844249998</v>
      </c>
      <c r="I359" s="186">
        <f t="shared" si="210"/>
        <v>42627.991844249998</v>
      </c>
      <c r="J359" s="186">
        <f t="shared" si="210"/>
        <v>42564.081811500007</v>
      </c>
      <c r="K359" s="186">
        <f t="shared" si="210"/>
        <v>42627.991844249998</v>
      </c>
      <c r="L359" s="186">
        <f t="shared" si="210"/>
        <v>42564.081811500007</v>
      </c>
      <c r="M359" s="186">
        <f t="shared" si="210"/>
        <v>42627.991844249998</v>
      </c>
      <c r="N359" s="186">
        <f t="shared" si="210"/>
        <v>42564.081811500007</v>
      </c>
      <c r="O359" s="186">
        <f t="shared" si="210"/>
        <v>42627.991844249998</v>
      </c>
      <c r="P359" s="186">
        <f t="shared" si="210"/>
        <v>42564.081811500007</v>
      </c>
      <c r="Q359" s="186">
        <f t="shared" si="210"/>
        <v>42627.991844249998</v>
      </c>
      <c r="R359" s="186">
        <f t="shared" si="210"/>
        <v>21282.040905750004</v>
      </c>
      <c r="S359" s="186">
        <f t="shared" si="210"/>
        <v>0</v>
      </c>
      <c r="T359" s="186">
        <f t="shared" si="210"/>
        <v>0</v>
      </c>
      <c r="U359" s="186">
        <f t="shared" si="210"/>
        <v>0</v>
      </c>
      <c r="V359" s="186">
        <f t="shared" si="210"/>
        <v>0</v>
      </c>
      <c r="W359" s="186">
        <f t="shared" si="210"/>
        <v>0</v>
      </c>
      <c r="X359" s="186">
        <f t="shared" si="210"/>
        <v>0</v>
      </c>
      <c r="Y359" s="186">
        <f t="shared" si="210"/>
        <v>0</v>
      </c>
      <c r="Z359" s="186">
        <f t="shared" si="210"/>
        <v>0</v>
      </c>
      <c r="AA359" s="186">
        <f t="shared" si="210"/>
        <v>0</v>
      </c>
      <c r="AB359" s="186">
        <f t="shared" si="210"/>
        <v>0</v>
      </c>
      <c r="AC359" s="186">
        <f t="shared" si="210"/>
        <v>0</v>
      </c>
      <c r="AD359" s="186">
        <f t="shared" si="210"/>
        <v>0</v>
      </c>
      <c r="AE359" s="186">
        <f t="shared" si="210"/>
        <v>0</v>
      </c>
      <c r="AF359" s="186">
        <f t="shared" si="210"/>
        <v>0</v>
      </c>
      <c r="AG359" s="186">
        <f t="shared" si="210"/>
        <v>0</v>
      </c>
      <c r="AH359" s="186">
        <f t="shared" si="210"/>
        <v>0</v>
      </c>
      <c r="AI359" s="186">
        <f t="shared" si="210"/>
        <v>0</v>
      </c>
      <c r="AJ359" s="186">
        <f t="shared" si="210"/>
        <v>0</v>
      </c>
      <c r="AK359" s="186">
        <f t="shared" si="210"/>
        <v>0</v>
      </c>
      <c r="AL359" s="186">
        <f t="shared" si="210"/>
        <v>0</v>
      </c>
      <c r="AM359" s="186">
        <f t="shared" si="210"/>
        <v>0</v>
      </c>
      <c r="AN359" s="186">
        <f t="shared" si="210"/>
        <v>0</v>
      </c>
      <c r="AO359" s="186">
        <f t="shared" si="210"/>
        <v>0</v>
      </c>
      <c r="AP359" s="186">
        <f t="shared" si="210"/>
        <v>0</v>
      </c>
    </row>
    <row r="360" spans="1:42">
      <c r="A360" s="205" t="str">
        <f t="shared" si="206"/>
        <v>20-yr SL</v>
      </c>
      <c r="B360" s="153">
        <f t="shared" si="207"/>
        <v>639100.32750000001</v>
      </c>
      <c r="C360" s="186">
        <f t="shared" ref="C360:AP360" si="211">C353*$Q320</f>
        <v>15977.508187500001</v>
      </c>
      <c r="D360" s="186">
        <f t="shared" si="211"/>
        <v>31955.016375000003</v>
      </c>
      <c r="E360" s="186">
        <f t="shared" si="211"/>
        <v>31955.016375000003</v>
      </c>
      <c r="F360" s="186">
        <f t="shared" si="211"/>
        <v>31955.016375000003</v>
      </c>
      <c r="G360" s="186">
        <f t="shared" si="211"/>
        <v>31955.016375000003</v>
      </c>
      <c r="H360" s="186">
        <f t="shared" si="211"/>
        <v>31955.016375000003</v>
      </c>
      <c r="I360" s="186">
        <f t="shared" si="211"/>
        <v>31955.016375000003</v>
      </c>
      <c r="J360" s="186">
        <f t="shared" si="211"/>
        <v>31955.016375000003</v>
      </c>
      <c r="K360" s="186">
        <f t="shared" si="211"/>
        <v>31955.016375000003</v>
      </c>
      <c r="L360" s="186">
        <f t="shared" si="211"/>
        <v>31955.016375000003</v>
      </c>
      <c r="M360" s="186">
        <f t="shared" si="211"/>
        <v>31955.016375000003</v>
      </c>
      <c r="N360" s="186">
        <f t="shared" si="211"/>
        <v>31955.016375000003</v>
      </c>
      <c r="O360" s="186">
        <f t="shared" si="211"/>
        <v>31955.016375000003</v>
      </c>
      <c r="P360" s="186">
        <f t="shared" si="211"/>
        <v>31955.016375000003</v>
      </c>
      <c r="Q360" s="186">
        <f t="shared" si="211"/>
        <v>31955.016375000003</v>
      </c>
      <c r="R360" s="186">
        <f t="shared" si="211"/>
        <v>31955.016375000003</v>
      </c>
      <c r="S360" s="186">
        <f t="shared" si="211"/>
        <v>31955.016375000003</v>
      </c>
      <c r="T360" s="186">
        <f t="shared" si="211"/>
        <v>31955.016375000003</v>
      </c>
      <c r="U360" s="186">
        <f t="shared" si="211"/>
        <v>31955.016375000003</v>
      </c>
      <c r="V360" s="186">
        <f t="shared" si="211"/>
        <v>31955.016375000003</v>
      </c>
      <c r="W360" s="186">
        <f t="shared" si="211"/>
        <v>15977.508187500001</v>
      </c>
      <c r="X360" s="186">
        <f t="shared" si="211"/>
        <v>0</v>
      </c>
      <c r="Y360" s="186">
        <f t="shared" si="211"/>
        <v>0</v>
      </c>
      <c r="Z360" s="186">
        <f t="shared" si="211"/>
        <v>0</v>
      </c>
      <c r="AA360" s="186">
        <f t="shared" si="211"/>
        <v>0</v>
      </c>
      <c r="AB360" s="186">
        <f t="shared" si="211"/>
        <v>0</v>
      </c>
      <c r="AC360" s="186">
        <f t="shared" si="211"/>
        <v>0</v>
      </c>
      <c r="AD360" s="186">
        <f t="shared" si="211"/>
        <v>0</v>
      </c>
      <c r="AE360" s="186">
        <f t="shared" si="211"/>
        <v>0</v>
      </c>
      <c r="AF360" s="186">
        <f t="shared" si="211"/>
        <v>0</v>
      </c>
      <c r="AG360" s="186">
        <f t="shared" si="211"/>
        <v>0</v>
      </c>
      <c r="AH360" s="186">
        <f t="shared" si="211"/>
        <v>0</v>
      </c>
      <c r="AI360" s="186">
        <f t="shared" si="211"/>
        <v>0</v>
      </c>
      <c r="AJ360" s="186">
        <f t="shared" si="211"/>
        <v>0</v>
      </c>
      <c r="AK360" s="186">
        <f t="shared" si="211"/>
        <v>0</v>
      </c>
      <c r="AL360" s="186">
        <f t="shared" si="211"/>
        <v>0</v>
      </c>
      <c r="AM360" s="186">
        <f t="shared" si="211"/>
        <v>0</v>
      </c>
      <c r="AN360" s="186">
        <f t="shared" si="211"/>
        <v>0</v>
      </c>
      <c r="AO360" s="186">
        <f t="shared" si="211"/>
        <v>0</v>
      </c>
      <c r="AP360" s="186">
        <f t="shared" si="211"/>
        <v>0</v>
      </c>
    </row>
    <row r="361" spans="1:42">
      <c r="A361" s="205" t="str">
        <f t="shared" si="206"/>
        <v>39-yr SL</v>
      </c>
      <c r="B361" s="153">
        <f t="shared" si="207"/>
        <v>213033.44249999992</v>
      </c>
      <c r="C361" s="186">
        <f t="shared" ref="C361:AP361" si="212">C354*$Q321</f>
        <v>2731.1979807692264</v>
      </c>
      <c r="D361" s="186">
        <f t="shared" si="212"/>
        <v>5462.3959615384611</v>
      </c>
      <c r="E361" s="186">
        <f t="shared" si="212"/>
        <v>5462.3959615384611</v>
      </c>
      <c r="F361" s="186">
        <f t="shared" si="212"/>
        <v>5462.3959615384611</v>
      </c>
      <c r="G361" s="186">
        <f t="shared" si="212"/>
        <v>5462.3959615384611</v>
      </c>
      <c r="H361" s="186">
        <f t="shared" si="212"/>
        <v>5462.3959615384611</v>
      </c>
      <c r="I361" s="186">
        <f t="shared" si="212"/>
        <v>5462.3959615384611</v>
      </c>
      <c r="J361" s="186">
        <f t="shared" si="212"/>
        <v>5462.3959615384611</v>
      </c>
      <c r="K361" s="186">
        <f t="shared" si="212"/>
        <v>5462.3959615384611</v>
      </c>
      <c r="L361" s="186">
        <f t="shared" si="212"/>
        <v>5462.3959615384611</v>
      </c>
      <c r="M361" s="186">
        <f t="shared" si="212"/>
        <v>5462.3959615384611</v>
      </c>
      <c r="N361" s="186">
        <f t="shared" si="212"/>
        <v>5462.3959615384611</v>
      </c>
      <c r="O361" s="186">
        <f t="shared" si="212"/>
        <v>5462.3959615384611</v>
      </c>
      <c r="P361" s="186">
        <f t="shared" si="212"/>
        <v>5462.3959615384611</v>
      </c>
      <c r="Q361" s="186">
        <f t="shared" si="212"/>
        <v>5462.3959615384611</v>
      </c>
      <c r="R361" s="186">
        <f t="shared" si="212"/>
        <v>5462.3959615384611</v>
      </c>
      <c r="S361" s="186">
        <f t="shared" si="212"/>
        <v>5462.3959615384611</v>
      </c>
      <c r="T361" s="186">
        <f t="shared" si="212"/>
        <v>5462.3959615384611</v>
      </c>
      <c r="U361" s="186">
        <f t="shared" si="212"/>
        <v>5462.3959615384611</v>
      </c>
      <c r="V361" s="186">
        <f t="shared" si="212"/>
        <v>5462.3959615384611</v>
      </c>
      <c r="W361" s="186">
        <f t="shared" si="212"/>
        <v>5462.3959615384611</v>
      </c>
      <c r="X361" s="186">
        <f t="shared" si="212"/>
        <v>5462.3959615384611</v>
      </c>
      <c r="Y361" s="186">
        <f t="shared" si="212"/>
        <v>5462.3959615384611</v>
      </c>
      <c r="Z361" s="186">
        <f t="shared" si="212"/>
        <v>5462.3959615384611</v>
      </c>
      <c r="AA361" s="186">
        <f t="shared" si="212"/>
        <v>5462.3959615384611</v>
      </c>
      <c r="AB361" s="186">
        <f t="shared" si="212"/>
        <v>5462.3959615384611</v>
      </c>
      <c r="AC361" s="186">
        <f t="shared" si="212"/>
        <v>5462.3959615384611</v>
      </c>
      <c r="AD361" s="186">
        <f t="shared" si="212"/>
        <v>5462.3959615384611</v>
      </c>
      <c r="AE361" s="186">
        <f t="shared" si="212"/>
        <v>5462.3959615384611</v>
      </c>
      <c r="AF361" s="186">
        <f t="shared" si="212"/>
        <v>5462.3959615384611</v>
      </c>
      <c r="AG361" s="186">
        <f t="shared" si="212"/>
        <v>5462.3959615384611</v>
      </c>
      <c r="AH361" s="186">
        <f t="shared" si="212"/>
        <v>5462.3959615384611</v>
      </c>
      <c r="AI361" s="186">
        <f t="shared" si="212"/>
        <v>5462.3959615384611</v>
      </c>
      <c r="AJ361" s="186">
        <f t="shared" si="212"/>
        <v>5462.3959615384611</v>
      </c>
      <c r="AK361" s="186">
        <f t="shared" si="212"/>
        <v>5462.3959615384611</v>
      </c>
      <c r="AL361" s="186">
        <f t="shared" si="212"/>
        <v>5462.3959615384611</v>
      </c>
      <c r="AM361" s="186">
        <f t="shared" si="212"/>
        <v>5462.3959615384611</v>
      </c>
      <c r="AN361" s="186">
        <f t="shared" si="212"/>
        <v>5462.3959615384611</v>
      </c>
      <c r="AO361" s="186">
        <f t="shared" si="212"/>
        <v>5462.3959615384611</v>
      </c>
      <c r="AP361" s="186">
        <f t="shared" si="212"/>
        <v>2731.1979807692264</v>
      </c>
    </row>
    <row r="362" spans="1:42">
      <c r="A362" s="205" t="s">
        <v>319</v>
      </c>
      <c r="B362" s="212">
        <f t="shared" si="207"/>
        <v>2023167.7037499999</v>
      </c>
      <c r="C362" s="187">
        <f>P323</f>
        <v>2023167.7037499999</v>
      </c>
      <c r="D362" s="187">
        <v>0</v>
      </c>
      <c r="E362" s="187">
        <v>0</v>
      </c>
      <c r="F362" s="187">
        <v>0</v>
      </c>
      <c r="G362" s="187">
        <v>0</v>
      </c>
      <c r="H362" s="187">
        <v>0</v>
      </c>
      <c r="I362" s="187">
        <v>0</v>
      </c>
      <c r="J362" s="187">
        <v>0</v>
      </c>
      <c r="K362" s="187">
        <v>0</v>
      </c>
      <c r="L362" s="187">
        <v>0</v>
      </c>
      <c r="M362" s="187">
        <v>0</v>
      </c>
      <c r="N362" s="187">
        <v>0</v>
      </c>
      <c r="O362" s="187">
        <v>0</v>
      </c>
      <c r="P362" s="187">
        <v>0</v>
      </c>
      <c r="Q362" s="187">
        <v>0</v>
      </c>
      <c r="R362" s="187">
        <v>0</v>
      </c>
      <c r="S362" s="187">
        <v>0</v>
      </c>
      <c r="T362" s="187">
        <v>0</v>
      </c>
      <c r="U362" s="187">
        <v>0</v>
      </c>
      <c r="V362" s="187">
        <v>0</v>
      </c>
      <c r="W362" s="187">
        <v>0</v>
      </c>
      <c r="X362" s="187">
        <v>0</v>
      </c>
      <c r="Y362" s="187">
        <v>0</v>
      </c>
      <c r="Z362" s="187">
        <v>0</v>
      </c>
      <c r="AA362" s="187">
        <v>0</v>
      </c>
      <c r="AB362" s="187">
        <v>0</v>
      </c>
      <c r="AC362" s="187">
        <v>0</v>
      </c>
      <c r="AD362" s="187">
        <v>0</v>
      </c>
      <c r="AE362" s="187">
        <v>0</v>
      </c>
      <c r="AF362" s="187">
        <v>0</v>
      </c>
      <c r="AG362" s="187">
        <v>0</v>
      </c>
      <c r="AH362" s="187">
        <v>0</v>
      </c>
      <c r="AI362" s="187">
        <v>0</v>
      </c>
      <c r="AJ362" s="187">
        <v>0</v>
      </c>
      <c r="AK362" s="187">
        <v>0</v>
      </c>
      <c r="AL362" s="187">
        <v>0</v>
      </c>
      <c r="AM362" s="187">
        <v>0</v>
      </c>
      <c r="AN362" s="187">
        <v>0</v>
      </c>
      <c r="AO362" s="187">
        <v>0</v>
      </c>
      <c r="AP362" s="187">
        <v>0</v>
      </c>
    </row>
    <row r="363" spans="1:42">
      <c r="A363" s="204"/>
      <c r="B363" s="212">
        <f t="shared" si="207"/>
        <v>42593688.499999955</v>
      </c>
      <c r="C363" s="186">
        <f>SUM(C356:C362)</f>
        <v>9783150.7414490189</v>
      </c>
      <c r="D363" s="186">
        <f t="shared" ref="D363:AP363" si="213">SUM(D356:D362)</f>
        <v>12441619.574093286</v>
      </c>
      <c r="E363" s="186">
        <f t="shared" si="213"/>
        <v>7515204.2654620372</v>
      </c>
      <c r="F363" s="186">
        <f t="shared" si="213"/>
        <v>4557565.5993662877</v>
      </c>
      <c r="G363" s="186">
        <f t="shared" si="213"/>
        <v>4552644.5268445378</v>
      </c>
      <c r="H363" s="186">
        <f t="shared" si="213"/>
        <v>2334016.089568038</v>
      </c>
      <c r="I363" s="186">
        <f t="shared" si="213"/>
        <v>117752.32350328847</v>
      </c>
      <c r="J363" s="186">
        <f t="shared" si="213"/>
        <v>117688.41347053848</v>
      </c>
      <c r="K363" s="186">
        <f t="shared" si="213"/>
        <v>117816.23353603847</v>
      </c>
      <c r="L363" s="186">
        <f t="shared" si="213"/>
        <v>117688.41347053848</v>
      </c>
      <c r="M363" s="186">
        <f t="shared" si="213"/>
        <v>117816.23353603847</v>
      </c>
      <c r="N363" s="186">
        <f t="shared" si="213"/>
        <v>117688.41347053848</v>
      </c>
      <c r="O363" s="186">
        <f t="shared" si="213"/>
        <v>117816.23353603847</v>
      </c>
      <c r="P363" s="186">
        <f t="shared" si="213"/>
        <v>117688.41347053848</v>
      </c>
      <c r="Q363" s="186">
        <f t="shared" si="213"/>
        <v>117816.23353603847</v>
      </c>
      <c r="R363" s="186">
        <f t="shared" si="213"/>
        <v>77552.912903538469</v>
      </c>
      <c r="S363" s="186">
        <f t="shared" si="213"/>
        <v>37417.412336538466</v>
      </c>
      <c r="T363" s="186">
        <f t="shared" si="213"/>
        <v>37417.412336538466</v>
      </c>
      <c r="U363" s="186">
        <f t="shared" si="213"/>
        <v>37417.412336538466</v>
      </c>
      <c r="V363" s="186">
        <f t="shared" si="213"/>
        <v>37417.412336538466</v>
      </c>
      <c r="W363" s="186">
        <f t="shared" si="213"/>
        <v>21439.904149038462</v>
      </c>
      <c r="X363" s="186">
        <f t="shared" si="213"/>
        <v>5462.3959615384611</v>
      </c>
      <c r="Y363" s="186">
        <f t="shared" si="213"/>
        <v>5462.3959615384611</v>
      </c>
      <c r="Z363" s="186">
        <f t="shared" si="213"/>
        <v>5462.3959615384611</v>
      </c>
      <c r="AA363" s="186">
        <f t="shared" si="213"/>
        <v>5462.3959615384611</v>
      </c>
      <c r="AB363" s="186">
        <f t="shared" si="213"/>
        <v>5462.3959615384611</v>
      </c>
      <c r="AC363" s="186">
        <f t="shared" si="213"/>
        <v>5462.3959615384611</v>
      </c>
      <c r="AD363" s="186">
        <f t="shared" si="213"/>
        <v>5462.3959615384611</v>
      </c>
      <c r="AE363" s="186">
        <f t="shared" si="213"/>
        <v>5462.3959615384611</v>
      </c>
      <c r="AF363" s="186">
        <f t="shared" si="213"/>
        <v>5462.3959615384611</v>
      </c>
      <c r="AG363" s="186">
        <f t="shared" si="213"/>
        <v>5462.3959615384611</v>
      </c>
      <c r="AH363" s="186">
        <f t="shared" si="213"/>
        <v>5462.3959615384611</v>
      </c>
      <c r="AI363" s="186">
        <f t="shared" si="213"/>
        <v>5462.3959615384611</v>
      </c>
      <c r="AJ363" s="186">
        <f t="shared" si="213"/>
        <v>5462.3959615384611</v>
      </c>
      <c r="AK363" s="186">
        <f t="shared" si="213"/>
        <v>5462.3959615384611</v>
      </c>
      <c r="AL363" s="186">
        <f t="shared" si="213"/>
        <v>5462.3959615384611</v>
      </c>
      <c r="AM363" s="186">
        <f t="shared" si="213"/>
        <v>5462.3959615384611</v>
      </c>
      <c r="AN363" s="186">
        <f t="shared" si="213"/>
        <v>5462.3959615384611</v>
      </c>
      <c r="AO363" s="186">
        <f t="shared" si="213"/>
        <v>5462.3959615384611</v>
      </c>
      <c r="AP363" s="186">
        <f t="shared" si="213"/>
        <v>2731.1979807692264</v>
      </c>
    </row>
    <row r="364" spans="1:42">
      <c r="A364" s="204"/>
      <c r="C364" s="186"/>
      <c r="D364" s="186"/>
      <c r="E364" s="186"/>
      <c r="F364" s="186"/>
      <c r="G364" s="186"/>
      <c r="H364" s="186"/>
      <c r="I364" s="186"/>
      <c r="J364" s="186"/>
      <c r="K364" s="186"/>
      <c r="L364" s="186"/>
      <c r="M364" s="186"/>
      <c r="N364" s="186"/>
      <c r="O364" s="186"/>
      <c r="P364" s="186"/>
      <c r="Q364" s="186"/>
      <c r="R364" s="186"/>
      <c r="S364" s="186"/>
      <c r="T364" s="186"/>
      <c r="U364" s="186"/>
      <c r="V364" s="186"/>
      <c r="W364" s="186"/>
      <c r="X364" s="186"/>
      <c r="Y364" s="186"/>
      <c r="Z364" s="186"/>
      <c r="AA364" s="186"/>
      <c r="AB364" s="186"/>
      <c r="AC364" s="186"/>
      <c r="AD364" s="186"/>
      <c r="AE364" s="186"/>
      <c r="AF364" s="186"/>
      <c r="AG364" s="186"/>
      <c r="AH364" s="186"/>
      <c r="AI364" s="186"/>
      <c r="AJ364" s="186"/>
      <c r="AK364" s="186"/>
      <c r="AL364" s="186"/>
      <c r="AM364" s="186"/>
      <c r="AN364" s="186"/>
      <c r="AO364" s="186"/>
      <c r="AP364" s="186"/>
    </row>
    <row r="365" spans="1:42">
      <c r="A365" s="197" t="s">
        <v>206</v>
      </c>
      <c r="C365" s="186"/>
      <c r="D365" s="186"/>
      <c r="E365" s="186"/>
      <c r="F365" s="186"/>
      <c r="G365" s="186"/>
      <c r="H365" s="186"/>
      <c r="I365" s="186"/>
      <c r="J365" s="186"/>
      <c r="K365" s="186"/>
      <c r="L365" s="186"/>
      <c r="M365" s="186"/>
      <c r="N365" s="186"/>
      <c r="O365" s="186"/>
      <c r="P365" s="186"/>
      <c r="Q365" s="186"/>
      <c r="R365" s="186"/>
      <c r="S365" s="186"/>
      <c r="T365" s="186"/>
      <c r="U365" s="186"/>
      <c r="V365" s="186"/>
      <c r="W365" s="186"/>
      <c r="X365" s="186"/>
      <c r="Y365" s="186"/>
      <c r="Z365" s="186"/>
      <c r="AA365" s="186"/>
      <c r="AB365" s="186"/>
      <c r="AC365" s="186"/>
      <c r="AD365" s="186"/>
      <c r="AE365" s="186"/>
      <c r="AF365" s="186"/>
      <c r="AG365" s="186"/>
      <c r="AH365" s="186"/>
      <c r="AI365" s="186"/>
      <c r="AJ365" s="186"/>
      <c r="AK365" s="186"/>
      <c r="AL365" s="186"/>
      <c r="AM365" s="186"/>
      <c r="AN365" s="186"/>
      <c r="AO365" s="186"/>
      <c r="AP365" s="186"/>
    </row>
    <row r="366" spans="1:42">
      <c r="A366" s="204" t="s">
        <v>208</v>
      </c>
      <c r="B366" s="219" t="str">
        <f>MMStateTaxTreatment</f>
        <v>5-yr MACRS</v>
      </c>
      <c r="C366" s="186"/>
      <c r="D366" s="186"/>
      <c r="E366" s="186"/>
      <c r="F366" s="186"/>
      <c r="G366" s="186"/>
      <c r="H366" s="186"/>
      <c r="I366" s="186"/>
      <c r="J366" s="186"/>
      <c r="K366" s="186"/>
      <c r="L366" s="186"/>
      <c r="M366" s="186"/>
      <c r="N366" s="186"/>
      <c r="O366" s="186"/>
      <c r="P366" s="186"/>
      <c r="Q366" s="186"/>
      <c r="R366" s="186"/>
      <c r="S366" s="186"/>
      <c r="T366" s="186"/>
      <c r="U366" s="186"/>
      <c r="V366" s="186"/>
      <c r="W366" s="186"/>
      <c r="X366" s="186"/>
      <c r="Y366" s="186"/>
      <c r="Z366" s="186"/>
      <c r="AA366" s="186"/>
      <c r="AB366" s="186"/>
      <c r="AC366" s="186"/>
      <c r="AD366" s="186"/>
      <c r="AE366" s="186"/>
      <c r="AF366" s="186"/>
      <c r="AG366" s="186"/>
      <c r="AH366" s="186"/>
      <c r="AI366" s="186"/>
      <c r="AJ366" s="186"/>
      <c r="AK366" s="186"/>
      <c r="AL366" s="186"/>
      <c r="AM366" s="186"/>
      <c r="AN366" s="186"/>
      <c r="AO366" s="186"/>
      <c r="AP366" s="186"/>
    </row>
    <row r="367" spans="1:42">
      <c r="A367" s="204" t="s">
        <v>209</v>
      </c>
      <c r="B367" s="186">
        <f t="shared" ref="B367:AP367" si="214">B2</f>
        <v>0</v>
      </c>
      <c r="C367" s="186">
        <f t="shared" si="214"/>
        <v>1</v>
      </c>
      <c r="D367" s="186">
        <f t="shared" si="214"/>
        <v>2</v>
      </c>
      <c r="E367" s="186">
        <f t="shared" si="214"/>
        <v>3</v>
      </c>
      <c r="F367" s="186">
        <f t="shared" si="214"/>
        <v>4</v>
      </c>
      <c r="G367" s="186">
        <f t="shared" si="214"/>
        <v>5</v>
      </c>
      <c r="H367" s="186">
        <f t="shared" si="214"/>
        <v>6</v>
      </c>
      <c r="I367" s="186">
        <f t="shared" si="214"/>
        <v>7</v>
      </c>
      <c r="J367" s="186">
        <f t="shared" si="214"/>
        <v>8</v>
      </c>
      <c r="K367" s="186">
        <f t="shared" si="214"/>
        <v>9</v>
      </c>
      <c r="L367" s="186">
        <f t="shared" si="214"/>
        <v>10</v>
      </c>
      <c r="M367" s="186">
        <f t="shared" si="214"/>
        <v>11</v>
      </c>
      <c r="N367" s="186">
        <f t="shared" si="214"/>
        <v>12</v>
      </c>
      <c r="O367" s="186">
        <f t="shared" si="214"/>
        <v>13</v>
      </c>
      <c r="P367" s="186">
        <f t="shared" si="214"/>
        <v>14</v>
      </c>
      <c r="Q367" s="186">
        <f t="shared" si="214"/>
        <v>15</v>
      </c>
      <c r="R367" s="186">
        <f t="shared" si="214"/>
        <v>16</v>
      </c>
      <c r="S367" s="186">
        <f t="shared" si="214"/>
        <v>17</v>
      </c>
      <c r="T367" s="186">
        <f t="shared" si="214"/>
        <v>18</v>
      </c>
      <c r="U367" s="186">
        <f t="shared" si="214"/>
        <v>19</v>
      </c>
      <c r="V367" s="186">
        <f t="shared" si="214"/>
        <v>20</v>
      </c>
      <c r="W367" s="186">
        <f t="shared" si="214"/>
        <v>21</v>
      </c>
      <c r="X367" s="186">
        <f t="shared" si="214"/>
        <v>22</v>
      </c>
      <c r="Y367" s="186">
        <f t="shared" si="214"/>
        <v>23</v>
      </c>
      <c r="Z367" s="186">
        <f t="shared" si="214"/>
        <v>24</v>
      </c>
      <c r="AA367" s="186">
        <f t="shared" si="214"/>
        <v>25</v>
      </c>
      <c r="AB367" s="186">
        <f t="shared" si="214"/>
        <v>26</v>
      </c>
      <c r="AC367" s="186">
        <f t="shared" si="214"/>
        <v>27</v>
      </c>
      <c r="AD367" s="186">
        <f t="shared" si="214"/>
        <v>28</v>
      </c>
      <c r="AE367" s="186">
        <f t="shared" si="214"/>
        <v>29</v>
      </c>
      <c r="AF367" s="186">
        <f t="shared" si="214"/>
        <v>30</v>
      </c>
      <c r="AG367" s="186">
        <f t="shared" si="214"/>
        <v>31</v>
      </c>
      <c r="AH367" s="186">
        <f t="shared" si="214"/>
        <v>32</v>
      </c>
      <c r="AI367" s="186">
        <f t="shared" si="214"/>
        <v>33</v>
      </c>
      <c r="AJ367" s="186">
        <f t="shared" si="214"/>
        <v>34</v>
      </c>
      <c r="AK367" s="186">
        <f t="shared" si="214"/>
        <v>35</v>
      </c>
      <c r="AL367" s="186">
        <f t="shared" si="214"/>
        <v>36</v>
      </c>
      <c r="AM367" s="186">
        <f t="shared" si="214"/>
        <v>37</v>
      </c>
      <c r="AN367" s="186">
        <f t="shared" si="214"/>
        <v>38</v>
      </c>
      <c r="AO367" s="186">
        <f t="shared" si="214"/>
        <v>39</v>
      </c>
      <c r="AP367" s="186">
        <f t="shared" si="214"/>
        <v>40</v>
      </c>
    </row>
    <row r="368" spans="1:42">
      <c r="A368" s="204" t="s">
        <v>210</v>
      </c>
      <c r="B368" s="220">
        <v>0</v>
      </c>
      <c r="C368" s="215">
        <f t="shared" ref="C368:AP368" si="215">IF($B$366=$A349,C349,0)+IF($B$366=$A350,C350,0)+IF($B$366=$A351,C351,0)+IF($B$366=$A352,C352,0)+IF($B$366=$A353,C353,0)+IF($B$366=$A354,C354,0)</f>
        <v>0.2</v>
      </c>
      <c r="D368" s="215">
        <f t="shared" si="215"/>
        <v>0.32</v>
      </c>
      <c r="E368" s="215">
        <f t="shared" si="215"/>
        <v>0.192</v>
      </c>
      <c r="F368" s="215">
        <f t="shared" si="215"/>
        <v>0.1152</v>
      </c>
      <c r="G368" s="215">
        <f t="shared" si="215"/>
        <v>0.1152</v>
      </c>
      <c r="H368" s="215">
        <f t="shared" si="215"/>
        <v>5.7599999999999998E-2</v>
      </c>
      <c r="I368" s="215">
        <f t="shared" si="215"/>
        <v>0</v>
      </c>
      <c r="J368" s="215">
        <f t="shared" si="215"/>
        <v>0</v>
      </c>
      <c r="K368" s="215">
        <f t="shared" si="215"/>
        <v>0</v>
      </c>
      <c r="L368" s="215">
        <f t="shared" si="215"/>
        <v>0</v>
      </c>
      <c r="M368" s="215">
        <f t="shared" si="215"/>
        <v>0</v>
      </c>
      <c r="N368" s="215">
        <f t="shared" si="215"/>
        <v>0</v>
      </c>
      <c r="O368" s="215">
        <f t="shared" si="215"/>
        <v>0</v>
      </c>
      <c r="P368" s="215">
        <f t="shared" si="215"/>
        <v>0</v>
      </c>
      <c r="Q368" s="215">
        <f t="shared" si="215"/>
        <v>0</v>
      </c>
      <c r="R368" s="215">
        <f t="shared" si="215"/>
        <v>0</v>
      </c>
      <c r="S368" s="215">
        <f t="shared" si="215"/>
        <v>0</v>
      </c>
      <c r="T368" s="215">
        <f t="shared" si="215"/>
        <v>0</v>
      </c>
      <c r="U368" s="215">
        <f t="shared" si="215"/>
        <v>0</v>
      </c>
      <c r="V368" s="215">
        <f t="shared" si="215"/>
        <v>0</v>
      </c>
      <c r="W368" s="215">
        <f t="shared" si="215"/>
        <v>0</v>
      </c>
      <c r="X368" s="215">
        <f t="shared" si="215"/>
        <v>0</v>
      </c>
      <c r="Y368" s="215">
        <f t="shared" si="215"/>
        <v>0</v>
      </c>
      <c r="Z368" s="215">
        <f t="shared" si="215"/>
        <v>0</v>
      </c>
      <c r="AA368" s="215">
        <f t="shared" si="215"/>
        <v>0</v>
      </c>
      <c r="AB368" s="215">
        <f t="shared" si="215"/>
        <v>0</v>
      </c>
      <c r="AC368" s="215">
        <f t="shared" si="215"/>
        <v>0</v>
      </c>
      <c r="AD368" s="215">
        <f t="shared" si="215"/>
        <v>0</v>
      </c>
      <c r="AE368" s="215">
        <f t="shared" si="215"/>
        <v>0</v>
      </c>
      <c r="AF368" s="215">
        <f t="shared" si="215"/>
        <v>0</v>
      </c>
      <c r="AG368" s="215">
        <f t="shared" si="215"/>
        <v>0</v>
      </c>
      <c r="AH368" s="215">
        <f t="shared" si="215"/>
        <v>0</v>
      </c>
      <c r="AI368" s="215">
        <f t="shared" si="215"/>
        <v>0</v>
      </c>
      <c r="AJ368" s="215">
        <f t="shared" si="215"/>
        <v>0</v>
      </c>
      <c r="AK368" s="215">
        <f t="shared" si="215"/>
        <v>0</v>
      </c>
      <c r="AL368" s="215">
        <f t="shared" si="215"/>
        <v>0</v>
      </c>
      <c r="AM368" s="215">
        <f t="shared" si="215"/>
        <v>0</v>
      </c>
      <c r="AN368" s="215">
        <f t="shared" si="215"/>
        <v>0</v>
      </c>
      <c r="AO368" s="215">
        <f t="shared" si="215"/>
        <v>0</v>
      </c>
      <c r="AP368" s="215">
        <f t="shared" si="215"/>
        <v>0</v>
      </c>
    </row>
    <row r="369" spans="1:42">
      <c r="A369" s="204"/>
      <c r="B369" s="220"/>
      <c r="C369" s="215"/>
      <c r="D369" s="215"/>
      <c r="E369" s="215"/>
      <c r="F369" s="215"/>
      <c r="G369" s="215"/>
      <c r="H369" s="215"/>
      <c r="I369" s="215"/>
      <c r="J369" s="215"/>
      <c r="K369" s="215"/>
      <c r="L369" s="215"/>
      <c r="M369" s="215"/>
      <c r="N369" s="215"/>
      <c r="O369" s="215"/>
      <c r="P369" s="215"/>
      <c r="Q369" s="215"/>
      <c r="R369" s="215"/>
      <c r="S369" s="215"/>
      <c r="T369" s="215"/>
      <c r="U369" s="215"/>
      <c r="V369" s="215"/>
      <c r="W369" s="215"/>
      <c r="X369" s="215"/>
      <c r="Y369" s="215"/>
      <c r="Z369" s="215"/>
      <c r="AA369" s="215"/>
      <c r="AB369" s="215"/>
      <c r="AC369" s="215"/>
      <c r="AD369" s="215"/>
      <c r="AE369" s="215"/>
      <c r="AF369" s="215"/>
      <c r="AG369" s="215"/>
      <c r="AH369" s="215"/>
      <c r="AI369" s="215"/>
      <c r="AJ369" s="215"/>
      <c r="AK369" s="215"/>
      <c r="AL369" s="215"/>
      <c r="AM369" s="215"/>
      <c r="AN369" s="215"/>
      <c r="AO369" s="215"/>
      <c r="AP369" s="215"/>
    </row>
    <row r="370" spans="1:42">
      <c r="A370" s="197" t="s">
        <v>368</v>
      </c>
      <c r="C370" s="186"/>
      <c r="D370" s="186"/>
      <c r="E370" s="186"/>
      <c r="F370" s="186"/>
      <c r="G370" s="186"/>
      <c r="H370" s="186"/>
      <c r="I370" s="186"/>
      <c r="J370" s="186"/>
      <c r="K370" s="186"/>
      <c r="L370" s="186"/>
      <c r="M370" s="186"/>
      <c r="N370" s="186"/>
      <c r="O370" s="186"/>
      <c r="P370" s="186"/>
      <c r="Q370" s="186"/>
      <c r="R370" s="186"/>
      <c r="S370" s="186"/>
      <c r="T370" s="186"/>
      <c r="U370" s="186"/>
      <c r="V370" s="186"/>
      <c r="W370" s="186"/>
      <c r="X370" s="186"/>
      <c r="Y370" s="186"/>
      <c r="Z370" s="186"/>
      <c r="AA370" s="186"/>
      <c r="AB370" s="186"/>
      <c r="AC370" s="186"/>
      <c r="AD370" s="186"/>
      <c r="AE370" s="186"/>
      <c r="AF370" s="186"/>
      <c r="AG370" s="186"/>
      <c r="AH370" s="186"/>
      <c r="AI370" s="186"/>
      <c r="AJ370" s="186"/>
      <c r="AK370" s="186"/>
      <c r="AL370" s="186"/>
      <c r="AM370" s="186"/>
      <c r="AN370" s="186"/>
      <c r="AO370" s="186"/>
      <c r="AP370" s="186"/>
    </row>
    <row r="371" spans="1:42">
      <c r="A371" s="204" t="s">
        <v>207</v>
      </c>
      <c r="C371" s="186"/>
      <c r="D371" s="186"/>
      <c r="E371" s="186"/>
      <c r="F371" s="186"/>
      <c r="G371" s="186"/>
      <c r="H371" s="186"/>
      <c r="I371" s="186"/>
      <c r="J371" s="186"/>
      <c r="K371" s="186"/>
      <c r="L371" s="186"/>
      <c r="M371" s="186"/>
      <c r="N371" s="186"/>
      <c r="O371" s="186"/>
      <c r="P371" s="186"/>
      <c r="Q371" s="186"/>
      <c r="R371" s="186"/>
      <c r="S371" s="186"/>
      <c r="T371" s="186"/>
      <c r="U371" s="186"/>
      <c r="V371" s="186"/>
      <c r="W371" s="186"/>
      <c r="X371" s="186"/>
      <c r="Y371" s="186"/>
      <c r="Z371" s="186"/>
      <c r="AA371" s="186"/>
      <c r="AB371" s="186"/>
      <c r="AC371" s="186"/>
      <c r="AD371" s="186"/>
      <c r="AE371" s="186"/>
      <c r="AF371" s="186"/>
      <c r="AG371" s="186"/>
      <c r="AH371" s="186"/>
      <c r="AI371" s="186"/>
      <c r="AJ371" s="186"/>
      <c r="AK371" s="186"/>
      <c r="AL371" s="186"/>
      <c r="AM371" s="186"/>
      <c r="AN371" s="186"/>
      <c r="AO371" s="186"/>
      <c r="AP371" s="186"/>
    </row>
    <row r="372" spans="1:42">
      <c r="A372" s="37">
        <v>1</v>
      </c>
      <c r="C372" s="186">
        <f>IF(C$2&lt;=AnalysisPeriod,IF(SUM($C656:C656)&gt;0,B372+1,0),0)</f>
        <v>0</v>
      </c>
      <c r="D372" s="186">
        <f>IF(D$2&lt;=AnalysisPeriod,IF(SUM($C656:D656)&gt;0,C372+1,0),0)</f>
        <v>0</v>
      </c>
      <c r="E372" s="186">
        <f>IF(E$2&lt;=AnalysisPeriod,IF(SUM($C656:E656)&gt;0,D372+1,0),0)</f>
        <v>0</v>
      </c>
      <c r="F372" s="186">
        <f>IF(F$2&lt;=AnalysisPeriod,IF(SUM($C656:F656)&gt;0,E372+1,0),0)</f>
        <v>0</v>
      </c>
      <c r="G372" s="186">
        <f>IF(G$2&lt;=AnalysisPeriod,IF(SUM($C656:G656)&gt;0,F372+1,0),0)</f>
        <v>0</v>
      </c>
      <c r="H372" s="186">
        <f>IF(H$2&lt;=AnalysisPeriod,IF(SUM($C656:H656)&gt;0,G372+1,0),0)</f>
        <v>0</v>
      </c>
      <c r="I372" s="186">
        <f>IF(I$2&lt;=AnalysisPeriod,IF(SUM($C656:I656)&gt;0,H372+1,0),0)</f>
        <v>0</v>
      </c>
      <c r="J372" s="186">
        <f>IF(J$2&lt;=AnalysisPeriod,IF(SUM($C656:J656)&gt;0,I372+1,0),0)</f>
        <v>0</v>
      </c>
      <c r="K372" s="186">
        <f>IF(K$2&lt;=AnalysisPeriod,IF(SUM($C656:K656)&gt;0,J372+1,0),0)</f>
        <v>0</v>
      </c>
      <c r="L372" s="186">
        <f>IF(L$2&lt;=AnalysisPeriod,IF(SUM($C656:L656)&gt;0,K372+1,0),0)</f>
        <v>0</v>
      </c>
      <c r="M372" s="186">
        <f>IF(M$2&lt;=AnalysisPeriod,IF(SUM($C656:M656)&gt;0,L372+1,0),0)</f>
        <v>0</v>
      </c>
      <c r="N372" s="186">
        <f>IF(N$2&lt;=AnalysisPeriod,IF(SUM($C656:N656)&gt;0,M372+1,0),0)</f>
        <v>1</v>
      </c>
      <c r="O372" s="186">
        <f>IF(O$2&lt;=AnalysisPeriod,IF(SUM($C656:O656)&gt;0,N372+1,0),0)</f>
        <v>2</v>
      </c>
      <c r="P372" s="186">
        <f>IF(P$2&lt;=AnalysisPeriod,IF(SUM($C656:P656)&gt;0,O372+1,0),0)</f>
        <v>3</v>
      </c>
      <c r="Q372" s="186">
        <f>IF(Q$2&lt;=AnalysisPeriod,IF(SUM($C656:Q656)&gt;0,P372+1,0),0)</f>
        <v>4</v>
      </c>
      <c r="R372" s="186">
        <f>IF(R$2&lt;=AnalysisPeriod,IF(SUM($C656:R656)&gt;0,Q372+1,0),0)</f>
        <v>5</v>
      </c>
      <c r="S372" s="186">
        <f>IF(S$2&lt;=AnalysisPeriod,IF(SUM($C656:S656)&gt;0,R372+1,0),0)</f>
        <v>6</v>
      </c>
      <c r="T372" s="186">
        <f>IF(T$2&lt;=AnalysisPeriod,IF(SUM($C656:T656)&gt;0,S372+1,0),0)</f>
        <v>7</v>
      </c>
      <c r="U372" s="186">
        <f>IF(U$2&lt;=AnalysisPeriod,IF(SUM($C656:U656)&gt;0,T372+1,0),0)</f>
        <v>8</v>
      </c>
      <c r="V372" s="186">
        <f>IF(V$2&lt;=AnalysisPeriod,IF(SUM($C656:V656)&gt;0,U372+1,0),0)</f>
        <v>9</v>
      </c>
      <c r="W372" s="186">
        <f>IF(W$2&lt;=AnalysisPeriod,IF(SUM($C656:W656)&gt;0,V372+1,0),0)</f>
        <v>10</v>
      </c>
      <c r="X372" s="186">
        <f>IF(X$2&lt;=AnalysisPeriod,IF(SUM($C656:X656)&gt;0,W372+1,0),0)</f>
        <v>11</v>
      </c>
      <c r="Y372" s="186">
        <f>IF(Y$2&lt;=AnalysisPeriod,IF(SUM($C656:Y656)&gt;0,X372+1,0),0)</f>
        <v>12</v>
      </c>
      <c r="Z372" s="186">
        <f>IF(Z$2&lt;=AnalysisPeriod,IF(SUM($C656:Z656)&gt;0,Y372+1,0),0)</f>
        <v>13</v>
      </c>
      <c r="AA372" s="186">
        <f>IF(AA$2&lt;=AnalysisPeriod,IF(SUM($C656:AA656)&gt;0,Z372+1,0),0)</f>
        <v>14</v>
      </c>
      <c r="AB372" s="186">
        <f>IF(AB$2&lt;=AnalysisPeriod,IF(SUM($C656:AB656)&gt;0,AA372+1,0),0)</f>
        <v>15</v>
      </c>
      <c r="AC372" s="186">
        <f>IF(AC$2&lt;=AnalysisPeriod,IF(SUM($C656:AC656)&gt;0,AB372+1,0),0)</f>
        <v>16</v>
      </c>
      <c r="AD372" s="186">
        <f>IF(AD$2&lt;=AnalysisPeriod,IF(SUM($C656:AD656)&gt;0,AC372+1,0),0)</f>
        <v>17</v>
      </c>
      <c r="AE372" s="186">
        <f>IF(AE$2&lt;=AnalysisPeriod,IF(SUM($C656:AE656)&gt;0,AD372+1,0),0)</f>
        <v>18</v>
      </c>
      <c r="AF372" s="186">
        <f>IF(AF$2&lt;=AnalysisPeriod,IF(SUM($C656:AF656)&gt;0,AE372+1,0),0)</f>
        <v>19</v>
      </c>
      <c r="AG372" s="186">
        <f>IF(AG$2&lt;=AnalysisPeriod,IF(SUM($C656:AG656)&gt;0,AF372+1,0),0)</f>
        <v>0</v>
      </c>
      <c r="AH372" s="186">
        <f>IF(AH$2&lt;=AnalysisPeriod,IF(SUM($C656:AH656)&gt;0,AG372+1,0),0)</f>
        <v>0</v>
      </c>
      <c r="AI372" s="186">
        <f>IF(AI$2&lt;=AnalysisPeriod,IF(SUM($C656:AI656)&gt;0,AH372+1,0),0)</f>
        <v>0</v>
      </c>
      <c r="AJ372" s="186">
        <f>IF(AJ$2&lt;=AnalysisPeriod,IF(SUM($C656:AJ656)&gt;0,AI372+1,0),0)</f>
        <v>0</v>
      </c>
      <c r="AK372" s="186">
        <f>IF(AK$2&lt;=AnalysisPeriod,IF(SUM($C656:AK656)&gt;0,AJ372+1,0),0)</f>
        <v>0</v>
      </c>
      <c r="AL372" s="186">
        <f>IF(AL$2&lt;=AnalysisPeriod,IF(SUM($C656:AL656)&gt;0,AK372+1,0),0)</f>
        <v>0</v>
      </c>
      <c r="AM372" s="186">
        <f>IF(AM$2&lt;=AnalysisPeriod,IF(SUM($C656:AM656)&gt;0,AL372+1,0),0)</f>
        <v>0</v>
      </c>
      <c r="AN372" s="186">
        <f>IF(AN$2&lt;=AnalysisPeriod,IF(SUM($C656:AN656)&gt;0,AM372+1,0),0)</f>
        <v>0</v>
      </c>
      <c r="AO372" s="186">
        <f>IF(AO$2&lt;=AnalysisPeriod,IF(SUM($C656:AO656)&gt;0,AN372+1,0),0)</f>
        <v>0</v>
      </c>
      <c r="AP372" s="186">
        <f>IF(AP$2&lt;=AnalysisPeriod,IF(SUM($C656:AP656)&gt;0,AO372+1,0),0)</f>
        <v>0</v>
      </c>
    </row>
    <row r="373" spans="1:42">
      <c r="A373" s="37">
        <f>A372+1</f>
        <v>2</v>
      </c>
      <c r="C373" s="186">
        <f>IF(C$2&lt;=AnalysisPeriod,IF(SUM($C657:C657)&gt;0,B373+1,0),0)</f>
        <v>0</v>
      </c>
      <c r="D373" s="186">
        <f>IF(D$2&lt;=AnalysisPeriod,IF(SUM($C657:D657)&gt;0,C373+1,0),0)</f>
        <v>0</v>
      </c>
      <c r="E373" s="186">
        <f>IF(E$2&lt;=AnalysisPeriod,IF(SUM($C657:E657)&gt;0,D373+1,0),0)</f>
        <v>0</v>
      </c>
      <c r="F373" s="186">
        <f>IF(F$2&lt;=AnalysisPeriod,IF(SUM($C657:F657)&gt;0,E373+1,0),0)</f>
        <v>0</v>
      </c>
      <c r="G373" s="186">
        <f>IF(G$2&lt;=AnalysisPeriod,IF(SUM($C657:G657)&gt;0,F373+1,0),0)</f>
        <v>0</v>
      </c>
      <c r="H373" s="186">
        <f>IF(H$2&lt;=AnalysisPeriod,IF(SUM($C657:H657)&gt;0,G373+1,0),0)</f>
        <v>0</v>
      </c>
      <c r="I373" s="186">
        <f>IF(I$2&lt;=AnalysisPeriod,IF(SUM($C657:I657)&gt;0,H373+1,0),0)</f>
        <v>0</v>
      </c>
      <c r="J373" s="186">
        <f>IF(J$2&lt;=AnalysisPeriod,IF(SUM($C657:J657)&gt;0,I373+1,0),0)</f>
        <v>0</v>
      </c>
      <c r="K373" s="186">
        <f>IF(K$2&lt;=AnalysisPeriod,IF(SUM($C657:K657)&gt;0,J373+1,0),0)</f>
        <v>0</v>
      </c>
      <c r="L373" s="186">
        <f>IF(L$2&lt;=AnalysisPeriod,IF(SUM($C657:L657)&gt;0,K373+1,0),0)</f>
        <v>0</v>
      </c>
      <c r="M373" s="186">
        <f>IF(M$2&lt;=AnalysisPeriod,IF(SUM($C657:M657)&gt;0,L373+1,0),0)</f>
        <v>0</v>
      </c>
      <c r="N373" s="186">
        <f>IF(N$2&lt;=AnalysisPeriod,IF(SUM($C657:N657)&gt;0,M373+1,0),0)</f>
        <v>0</v>
      </c>
      <c r="O373" s="186">
        <f>IF(O$2&lt;=AnalysisPeriod,IF(SUM($C657:O657)&gt;0,N373+1,0),0)</f>
        <v>0</v>
      </c>
      <c r="P373" s="186">
        <f>IF(P$2&lt;=AnalysisPeriod,IF(SUM($C657:P657)&gt;0,O373+1,0),0)</f>
        <v>0</v>
      </c>
      <c r="Q373" s="186">
        <f>IF(Q$2&lt;=AnalysisPeriod,IF(SUM($C657:Q657)&gt;0,P373+1,0),0)</f>
        <v>0</v>
      </c>
      <c r="R373" s="186">
        <f>IF(R$2&lt;=AnalysisPeriod,IF(SUM($C657:R657)&gt;0,Q373+1,0),0)</f>
        <v>0</v>
      </c>
      <c r="S373" s="186">
        <f>IF(S$2&lt;=AnalysisPeriod,IF(SUM($C657:S657)&gt;0,R373+1,0),0)</f>
        <v>0</v>
      </c>
      <c r="T373" s="186">
        <f>IF(T$2&lt;=AnalysisPeriod,IF(SUM($C657:T657)&gt;0,S373+1,0),0)</f>
        <v>0</v>
      </c>
      <c r="U373" s="186">
        <f>IF(U$2&lt;=AnalysisPeriod,IF(SUM($C657:U657)&gt;0,T373+1,0),0)</f>
        <v>0</v>
      </c>
      <c r="V373" s="186">
        <f>IF(V$2&lt;=AnalysisPeriod,IF(SUM($C657:V657)&gt;0,U373+1,0),0)</f>
        <v>0</v>
      </c>
      <c r="W373" s="186">
        <f>IF(W$2&lt;=AnalysisPeriod,IF(SUM($C657:W657)&gt;0,V373+1,0),0)</f>
        <v>0</v>
      </c>
      <c r="X373" s="186">
        <f>IF(X$2&lt;=AnalysisPeriod,IF(SUM($C657:X657)&gt;0,W373+1,0),0)</f>
        <v>0</v>
      </c>
      <c r="Y373" s="186">
        <f>IF(Y$2&lt;=AnalysisPeriod,IF(SUM($C657:Y657)&gt;0,X373+1,0),0)</f>
        <v>0</v>
      </c>
      <c r="Z373" s="186">
        <f>IF(Z$2&lt;=AnalysisPeriod,IF(SUM($C657:Z657)&gt;0,Y373+1,0),0)</f>
        <v>1</v>
      </c>
      <c r="AA373" s="186">
        <f>IF(AA$2&lt;=AnalysisPeriod,IF(SUM($C657:AA657)&gt;0,Z373+1,0),0)</f>
        <v>2</v>
      </c>
      <c r="AB373" s="186">
        <f>IF(AB$2&lt;=AnalysisPeriod,IF(SUM($C657:AB657)&gt;0,AA373+1,0),0)</f>
        <v>3</v>
      </c>
      <c r="AC373" s="186">
        <f>IF(AC$2&lt;=AnalysisPeriod,IF(SUM($C657:AC657)&gt;0,AB373+1,0),0)</f>
        <v>4</v>
      </c>
      <c r="AD373" s="186">
        <f>IF(AD$2&lt;=AnalysisPeriod,IF(SUM($C657:AD657)&gt;0,AC373+1,0),0)</f>
        <v>5</v>
      </c>
      <c r="AE373" s="186">
        <f>IF(AE$2&lt;=AnalysisPeriod,IF(SUM($C657:AE657)&gt;0,AD373+1,0),0)</f>
        <v>6</v>
      </c>
      <c r="AF373" s="186">
        <f>IF(AF$2&lt;=AnalysisPeriod,IF(SUM($C657:AF657)&gt;0,AE373+1,0),0)</f>
        <v>7</v>
      </c>
      <c r="AG373" s="186">
        <f>IF(AG$2&lt;=AnalysisPeriod,IF(SUM($C657:AG657)&gt;0,AF373+1,0),0)</f>
        <v>0</v>
      </c>
      <c r="AH373" s="186">
        <f>IF(AH$2&lt;=AnalysisPeriod,IF(SUM($C657:AH657)&gt;0,AG373+1,0),0)</f>
        <v>0</v>
      </c>
      <c r="AI373" s="186">
        <f>IF(AI$2&lt;=AnalysisPeriod,IF(SUM($C657:AI657)&gt;0,AH373+1,0),0)</f>
        <v>0</v>
      </c>
      <c r="AJ373" s="186">
        <f>IF(AJ$2&lt;=AnalysisPeriod,IF(SUM($C657:AJ657)&gt;0,AI373+1,0),0)</f>
        <v>0</v>
      </c>
      <c r="AK373" s="186">
        <f>IF(AK$2&lt;=AnalysisPeriod,IF(SUM($C657:AK657)&gt;0,AJ373+1,0),0)</f>
        <v>0</v>
      </c>
      <c r="AL373" s="186">
        <f>IF(AL$2&lt;=AnalysisPeriod,IF(SUM($C657:AL657)&gt;0,AK373+1,0),0)</f>
        <v>0</v>
      </c>
      <c r="AM373" s="186">
        <f>IF(AM$2&lt;=AnalysisPeriod,IF(SUM($C657:AM657)&gt;0,AL373+1,0),0)</f>
        <v>0</v>
      </c>
      <c r="AN373" s="186">
        <f>IF(AN$2&lt;=AnalysisPeriod,IF(SUM($C657:AN657)&gt;0,AM373+1,0),0)</f>
        <v>0</v>
      </c>
      <c r="AO373" s="186">
        <f>IF(AO$2&lt;=AnalysisPeriod,IF(SUM($C657:AO657)&gt;0,AN373+1,0),0)</f>
        <v>0</v>
      </c>
      <c r="AP373" s="186">
        <f>IF(AP$2&lt;=AnalysisPeriod,IF(SUM($C657:AP657)&gt;0,AO373+1,0),0)</f>
        <v>0</v>
      </c>
    </row>
    <row r="374" spans="1:42">
      <c r="A374" s="37">
        <f t="shared" ref="A374:A381" si="216">A373+1</f>
        <v>3</v>
      </c>
      <c r="C374" s="186">
        <f>IF(C$2&lt;=AnalysisPeriod,IF(SUM($C658:C658)&gt;0,B374+1,0),0)</f>
        <v>0</v>
      </c>
      <c r="D374" s="186">
        <f>IF(D$2&lt;=AnalysisPeriod,IF(SUM($C658:D658)&gt;0,C374+1,0),0)</f>
        <v>0</v>
      </c>
      <c r="E374" s="186">
        <f>IF(E$2&lt;=AnalysisPeriod,IF(SUM($C658:E658)&gt;0,D374+1,0),0)</f>
        <v>0</v>
      </c>
      <c r="F374" s="186">
        <f>IF(F$2&lt;=AnalysisPeriod,IF(SUM($C658:F658)&gt;0,E374+1,0),0)</f>
        <v>0</v>
      </c>
      <c r="G374" s="186">
        <f>IF(G$2&lt;=AnalysisPeriod,IF(SUM($C658:G658)&gt;0,F374+1,0),0)</f>
        <v>0</v>
      </c>
      <c r="H374" s="186">
        <f>IF(H$2&lt;=AnalysisPeriod,IF(SUM($C658:H658)&gt;0,G374+1,0),0)</f>
        <v>0</v>
      </c>
      <c r="I374" s="186">
        <f>IF(I$2&lt;=AnalysisPeriod,IF(SUM($C658:I658)&gt;0,H374+1,0),0)</f>
        <v>0</v>
      </c>
      <c r="J374" s="186">
        <f>IF(J$2&lt;=AnalysisPeriod,IF(SUM($C658:J658)&gt;0,I374+1,0),0)</f>
        <v>0</v>
      </c>
      <c r="K374" s="186">
        <f>IF(K$2&lt;=AnalysisPeriod,IF(SUM($C658:K658)&gt;0,J374+1,0),0)</f>
        <v>0</v>
      </c>
      <c r="L374" s="186">
        <f>IF(L$2&lt;=AnalysisPeriod,IF(SUM($C658:L658)&gt;0,K374+1,0),0)</f>
        <v>0</v>
      </c>
      <c r="M374" s="186">
        <f>IF(M$2&lt;=AnalysisPeriod,IF(SUM($C658:M658)&gt;0,L374+1,0),0)</f>
        <v>0</v>
      </c>
      <c r="N374" s="186">
        <f>IF(N$2&lt;=AnalysisPeriod,IF(SUM($C658:N658)&gt;0,M374+1,0),0)</f>
        <v>0</v>
      </c>
      <c r="O374" s="186">
        <f>IF(O$2&lt;=AnalysisPeriod,IF(SUM($C658:O658)&gt;0,N374+1,0),0)</f>
        <v>0</v>
      </c>
      <c r="P374" s="186">
        <f>IF(P$2&lt;=AnalysisPeriod,IF(SUM($C658:P658)&gt;0,O374+1,0),0)</f>
        <v>0</v>
      </c>
      <c r="Q374" s="186">
        <f>IF(Q$2&lt;=AnalysisPeriod,IF(SUM($C658:Q658)&gt;0,P374+1,0),0)</f>
        <v>0</v>
      </c>
      <c r="R374" s="186">
        <f>IF(R$2&lt;=AnalysisPeriod,IF(SUM($C658:R658)&gt;0,Q374+1,0),0)</f>
        <v>0</v>
      </c>
      <c r="S374" s="186">
        <f>IF(S$2&lt;=AnalysisPeriod,IF(SUM($C658:S658)&gt;0,R374+1,0),0)</f>
        <v>0</v>
      </c>
      <c r="T374" s="186">
        <f>IF(T$2&lt;=AnalysisPeriod,IF(SUM($C658:T658)&gt;0,S374+1,0),0)</f>
        <v>0</v>
      </c>
      <c r="U374" s="186">
        <f>IF(U$2&lt;=AnalysisPeriod,IF(SUM($C658:U658)&gt;0,T374+1,0),0)</f>
        <v>0</v>
      </c>
      <c r="V374" s="186">
        <f>IF(V$2&lt;=AnalysisPeriod,IF(SUM($C658:V658)&gt;0,U374+1,0),0)</f>
        <v>0</v>
      </c>
      <c r="W374" s="186">
        <f>IF(W$2&lt;=AnalysisPeriod,IF(SUM($C658:W658)&gt;0,V374+1,0),0)</f>
        <v>0</v>
      </c>
      <c r="X374" s="186">
        <f>IF(X$2&lt;=AnalysisPeriod,IF(SUM($C658:X658)&gt;0,W374+1,0),0)</f>
        <v>0</v>
      </c>
      <c r="Y374" s="186">
        <f>IF(Y$2&lt;=AnalysisPeriod,IF(SUM($C658:Y658)&gt;0,X374+1,0),0)</f>
        <v>0</v>
      </c>
      <c r="Z374" s="186">
        <f>IF(Z$2&lt;=AnalysisPeriod,IF(SUM($C658:Z658)&gt;0,Y374+1,0),0)</f>
        <v>0</v>
      </c>
      <c r="AA374" s="186">
        <f>IF(AA$2&lt;=AnalysisPeriod,IF(SUM($C658:AA658)&gt;0,Z374+1,0),0)</f>
        <v>0</v>
      </c>
      <c r="AB374" s="186">
        <f>IF(AB$2&lt;=AnalysisPeriod,IF(SUM($C658:AB658)&gt;0,AA374+1,0),0)</f>
        <v>0</v>
      </c>
      <c r="AC374" s="186">
        <f>IF(AC$2&lt;=AnalysisPeriod,IF(SUM($C658:AC658)&gt;0,AB374+1,0),0)</f>
        <v>0</v>
      </c>
      <c r="AD374" s="186">
        <f>IF(AD$2&lt;=AnalysisPeriod,IF(SUM($C658:AD658)&gt;0,AC374+1,0),0)</f>
        <v>0</v>
      </c>
      <c r="AE374" s="186">
        <f>IF(AE$2&lt;=AnalysisPeriod,IF(SUM($C658:AE658)&gt;0,AD374+1,0),0)</f>
        <v>0</v>
      </c>
      <c r="AF374" s="186">
        <f>IF(AF$2&lt;=AnalysisPeriod,IF(SUM($C658:AF658)&gt;0,AE374+1,0),0)</f>
        <v>0</v>
      </c>
      <c r="AG374" s="186">
        <f>IF(AG$2&lt;=AnalysisPeriod,IF(SUM($C658:AG658)&gt;0,AF374+1,0),0)</f>
        <v>0</v>
      </c>
      <c r="AH374" s="186">
        <f>IF(AH$2&lt;=AnalysisPeriod,IF(SUM($C658:AH658)&gt;0,AG374+1,0),0)</f>
        <v>0</v>
      </c>
      <c r="AI374" s="186">
        <f>IF(AI$2&lt;=AnalysisPeriod,IF(SUM($C658:AI658)&gt;0,AH374+1,0),0)</f>
        <v>0</v>
      </c>
      <c r="AJ374" s="186">
        <f>IF(AJ$2&lt;=AnalysisPeriod,IF(SUM($C658:AJ658)&gt;0,AI374+1,0),0)</f>
        <v>0</v>
      </c>
      <c r="AK374" s="186">
        <f>IF(AK$2&lt;=AnalysisPeriod,IF(SUM($C658:AK658)&gt;0,AJ374+1,0),0)</f>
        <v>0</v>
      </c>
      <c r="AL374" s="186">
        <f>IF(AL$2&lt;=AnalysisPeriod,IF(SUM($C658:AL658)&gt;0,AK374+1,0),0)</f>
        <v>0</v>
      </c>
      <c r="AM374" s="186">
        <f>IF(AM$2&lt;=AnalysisPeriod,IF(SUM($C658:AM658)&gt;0,AL374+1,0),0)</f>
        <v>0</v>
      </c>
      <c r="AN374" s="186">
        <f>IF(AN$2&lt;=AnalysisPeriod,IF(SUM($C658:AN658)&gt;0,AM374+1,0),0)</f>
        <v>0</v>
      </c>
      <c r="AO374" s="186">
        <f>IF(AO$2&lt;=AnalysisPeriod,IF(SUM($C658:AO658)&gt;0,AN374+1,0),0)</f>
        <v>0</v>
      </c>
      <c r="AP374" s="186">
        <f>IF(AP$2&lt;=AnalysisPeriod,IF(SUM($C658:AP658)&gt;0,AO374+1,0),0)</f>
        <v>0</v>
      </c>
    </row>
    <row r="375" spans="1:42">
      <c r="A375" s="37">
        <f t="shared" si="216"/>
        <v>4</v>
      </c>
      <c r="C375" s="186">
        <f>IF(C$2&lt;=AnalysisPeriod,IF(SUM($C659:C659)&gt;0,B375+1,0),0)</f>
        <v>0</v>
      </c>
      <c r="D375" s="186">
        <f>IF(D$2&lt;=AnalysisPeriod,IF(SUM($C659:D659)&gt;0,C375+1,0),0)</f>
        <v>0</v>
      </c>
      <c r="E375" s="186">
        <f>IF(E$2&lt;=AnalysisPeriod,IF(SUM($C659:E659)&gt;0,D375+1,0),0)</f>
        <v>0</v>
      </c>
      <c r="F375" s="186">
        <f>IF(F$2&lt;=AnalysisPeriod,IF(SUM($C659:F659)&gt;0,E375+1,0),0)</f>
        <v>0</v>
      </c>
      <c r="G375" s="186">
        <f>IF(G$2&lt;=AnalysisPeriod,IF(SUM($C659:G659)&gt;0,F375+1,0),0)</f>
        <v>0</v>
      </c>
      <c r="H375" s="186">
        <f>IF(H$2&lt;=AnalysisPeriod,IF(SUM($C659:H659)&gt;0,G375+1,0),0)</f>
        <v>0</v>
      </c>
      <c r="I375" s="186">
        <f>IF(I$2&lt;=AnalysisPeriod,IF(SUM($C659:I659)&gt;0,H375+1,0),0)</f>
        <v>0</v>
      </c>
      <c r="J375" s="186">
        <f>IF(J$2&lt;=AnalysisPeriod,IF(SUM($C659:J659)&gt;0,I375+1,0),0)</f>
        <v>0</v>
      </c>
      <c r="K375" s="186">
        <f>IF(K$2&lt;=AnalysisPeriod,IF(SUM($C659:K659)&gt;0,J375+1,0),0)</f>
        <v>0</v>
      </c>
      <c r="L375" s="186">
        <f>IF(L$2&lt;=AnalysisPeriod,IF(SUM($C659:L659)&gt;0,K375+1,0),0)</f>
        <v>0</v>
      </c>
      <c r="M375" s="186">
        <f>IF(M$2&lt;=AnalysisPeriod,IF(SUM($C659:M659)&gt;0,L375+1,0),0)</f>
        <v>0</v>
      </c>
      <c r="N375" s="186">
        <f>IF(N$2&lt;=AnalysisPeriod,IF(SUM($C659:N659)&gt;0,M375+1,0),0)</f>
        <v>0</v>
      </c>
      <c r="O375" s="186">
        <f>IF(O$2&lt;=AnalysisPeriod,IF(SUM($C659:O659)&gt;0,N375+1,0),0)</f>
        <v>0</v>
      </c>
      <c r="P375" s="186">
        <f>IF(P$2&lt;=AnalysisPeriod,IF(SUM($C659:P659)&gt;0,O375+1,0),0)</f>
        <v>0</v>
      </c>
      <c r="Q375" s="186">
        <f>IF(Q$2&lt;=AnalysisPeriod,IF(SUM($C659:Q659)&gt;0,P375+1,0),0)</f>
        <v>0</v>
      </c>
      <c r="R375" s="186">
        <f>IF(R$2&lt;=AnalysisPeriod,IF(SUM($C659:R659)&gt;0,Q375+1,0),0)</f>
        <v>0</v>
      </c>
      <c r="S375" s="186">
        <f>IF(S$2&lt;=AnalysisPeriod,IF(SUM($C659:S659)&gt;0,R375+1,0),0)</f>
        <v>0</v>
      </c>
      <c r="T375" s="186">
        <f>IF(T$2&lt;=AnalysisPeriod,IF(SUM($C659:T659)&gt;0,S375+1,0),0)</f>
        <v>0</v>
      </c>
      <c r="U375" s="186">
        <f>IF(U$2&lt;=AnalysisPeriod,IF(SUM($C659:U659)&gt;0,T375+1,0),0)</f>
        <v>0</v>
      </c>
      <c r="V375" s="186">
        <f>IF(V$2&lt;=AnalysisPeriod,IF(SUM($C659:V659)&gt;0,U375+1,0),0)</f>
        <v>0</v>
      </c>
      <c r="W375" s="186">
        <f>IF(W$2&lt;=AnalysisPeriod,IF(SUM($C659:W659)&gt;0,V375+1,0),0)</f>
        <v>0</v>
      </c>
      <c r="X375" s="186">
        <f>IF(X$2&lt;=AnalysisPeriod,IF(SUM($C659:X659)&gt;0,W375+1,0),0)</f>
        <v>0</v>
      </c>
      <c r="Y375" s="186">
        <f>IF(Y$2&lt;=AnalysisPeriod,IF(SUM($C659:Y659)&gt;0,X375+1,0),0)</f>
        <v>0</v>
      </c>
      <c r="Z375" s="186">
        <f>IF(Z$2&lt;=AnalysisPeriod,IF(SUM($C659:Z659)&gt;0,Y375+1,0),0)</f>
        <v>0</v>
      </c>
      <c r="AA375" s="186">
        <f>IF(AA$2&lt;=AnalysisPeriod,IF(SUM($C659:AA659)&gt;0,Z375+1,0),0)</f>
        <v>0</v>
      </c>
      <c r="AB375" s="186">
        <f>IF(AB$2&lt;=AnalysisPeriod,IF(SUM($C659:AB659)&gt;0,AA375+1,0),0)</f>
        <v>0</v>
      </c>
      <c r="AC375" s="186">
        <f>IF(AC$2&lt;=AnalysisPeriod,IF(SUM($C659:AC659)&gt;0,AB375+1,0),0)</f>
        <v>0</v>
      </c>
      <c r="AD375" s="186">
        <f>IF(AD$2&lt;=AnalysisPeriod,IF(SUM($C659:AD659)&gt;0,AC375+1,0),0)</f>
        <v>0</v>
      </c>
      <c r="AE375" s="186">
        <f>IF(AE$2&lt;=AnalysisPeriod,IF(SUM($C659:AE659)&gt;0,AD375+1,0),0)</f>
        <v>0</v>
      </c>
      <c r="AF375" s="186">
        <f>IF(AF$2&lt;=AnalysisPeriod,IF(SUM($C659:AF659)&gt;0,AE375+1,0),0)</f>
        <v>0</v>
      </c>
      <c r="AG375" s="186">
        <f>IF(AG$2&lt;=AnalysisPeriod,IF(SUM($C659:AG659)&gt;0,AF375+1,0),0)</f>
        <v>0</v>
      </c>
      <c r="AH375" s="186">
        <f>IF(AH$2&lt;=AnalysisPeriod,IF(SUM($C659:AH659)&gt;0,AG375+1,0),0)</f>
        <v>0</v>
      </c>
      <c r="AI375" s="186">
        <f>IF(AI$2&lt;=AnalysisPeriod,IF(SUM($C659:AI659)&gt;0,AH375+1,0),0)</f>
        <v>0</v>
      </c>
      <c r="AJ375" s="186">
        <f>IF(AJ$2&lt;=AnalysisPeriod,IF(SUM($C659:AJ659)&gt;0,AI375+1,0),0)</f>
        <v>0</v>
      </c>
      <c r="AK375" s="186">
        <f>IF(AK$2&lt;=AnalysisPeriod,IF(SUM($C659:AK659)&gt;0,AJ375+1,0),0)</f>
        <v>0</v>
      </c>
      <c r="AL375" s="186">
        <f>IF(AL$2&lt;=AnalysisPeriod,IF(SUM($C659:AL659)&gt;0,AK375+1,0),0)</f>
        <v>0</v>
      </c>
      <c r="AM375" s="186">
        <f>IF(AM$2&lt;=AnalysisPeriod,IF(SUM($C659:AM659)&gt;0,AL375+1,0),0)</f>
        <v>0</v>
      </c>
      <c r="AN375" s="186">
        <f>IF(AN$2&lt;=AnalysisPeriod,IF(SUM($C659:AN659)&gt;0,AM375+1,0),0)</f>
        <v>0</v>
      </c>
      <c r="AO375" s="186">
        <f>IF(AO$2&lt;=AnalysisPeriod,IF(SUM($C659:AO659)&gt;0,AN375+1,0),0)</f>
        <v>0</v>
      </c>
      <c r="AP375" s="186">
        <f>IF(AP$2&lt;=AnalysisPeriod,IF(SUM($C659:AP659)&gt;0,AO375+1,0),0)</f>
        <v>0</v>
      </c>
    </row>
    <row r="376" spans="1:42">
      <c r="A376" s="37">
        <f t="shared" si="216"/>
        <v>5</v>
      </c>
      <c r="C376" s="186">
        <f>IF(C$2&lt;=AnalysisPeriod,IF(SUM($C660:C660)&gt;0,B376+1,0),0)</f>
        <v>0</v>
      </c>
      <c r="D376" s="186">
        <f>IF(D$2&lt;=AnalysisPeriod,IF(SUM($C660:D660)&gt;0,C376+1,0),0)</f>
        <v>0</v>
      </c>
      <c r="E376" s="186">
        <f>IF(E$2&lt;=AnalysisPeriod,IF(SUM($C660:E660)&gt;0,D376+1,0),0)</f>
        <v>0</v>
      </c>
      <c r="F376" s="186">
        <f>IF(F$2&lt;=AnalysisPeriod,IF(SUM($C660:F660)&gt;0,E376+1,0),0)</f>
        <v>0</v>
      </c>
      <c r="G376" s="186">
        <f>IF(G$2&lt;=AnalysisPeriod,IF(SUM($C660:G660)&gt;0,F376+1,0),0)</f>
        <v>0</v>
      </c>
      <c r="H376" s="186">
        <f>IF(H$2&lt;=AnalysisPeriod,IF(SUM($C660:H660)&gt;0,G376+1,0),0)</f>
        <v>0</v>
      </c>
      <c r="I376" s="186">
        <f>IF(I$2&lt;=AnalysisPeriod,IF(SUM($C660:I660)&gt;0,H376+1,0),0)</f>
        <v>0</v>
      </c>
      <c r="J376" s="186">
        <f>IF(J$2&lt;=AnalysisPeriod,IF(SUM($C660:J660)&gt;0,I376+1,0),0)</f>
        <v>0</v>
      </c>
      <c r="K376" s="186">
        <f>IF(K$2&lt;=AnalysisPeriod,IF(SUM($C660:K660)&gt;0,J376+1,0),0)</f>
        <v>0</v>
      </c>
      <c r="L376" s="186">
        <f>IF(L$2&lt;=AnalysisPeriod,IF(SUM($C660:L660)&gt;0,K376+1,0),0)</f>
        <v>0</v>
      </c>
      <c r="M376" s="186">
        <f>IF(M$2&lt;=AnalysisPeriod,IF(SUM($C660:M660)&gt;0,L376+1,0),0)</f>
        <v>0</v>
      </c>
      <c r="N376" s="186">
        <f>IF(N$2&lt;=AnalysisPeriod,IF(SUM($C660:N660)&gt;0,M376+1,0),0)</f>
        <v>0</v>
      </c>
      <c r="O376" s="186">
        <f>IF(O$2&lt;=AnalysisPeriod,IF(SUM($C660:O660)&gt;0,N376+1,0),0)</f>
        <v>0</v>
      </c>
      <c r="P376" s="186">
        <f>IF(P$2&lt;=AnalysisPeriod,IF(SUM($C660:P660)&gt;0,O376+1,0),0)</f>
        <v>0</v>
      </c>
      <c r="Q376" s="186">
        <f>IF(Q$2&lt;=AnalysisPeriod,IF(SUM($C660:Q660)&gt;0,P376+1,0),0)</f>
        <v>0</v>
      </c>
      <c r="R376" s="186">
        <f>IF(R$2&lt;=AnalysisPeriod,IF(SUM($C660:R660)&gt;0,Q376+1,0),0)</f>
        <v>0</v>
      </c>
      <c r="S376" s="186">
        <f>IF(S$2&lt;=AnalysisPeriod,IF(SUM($C660:S660)&gt;0,R376+1,0),0)</f>
        <v>0</v>
      </c>
      <c r="T376" s="186">
        <f>IF(T$2&lt;=AnalysisPeriod,IF(SUM($C660:T660)&gt;0,S376+1,0),0)</f>
        <v>0</v>
      </c>
      <c r="U376" s="186">
        <f>IF(U$2&lt;=AnalysisPeriod,IF(SUM($C660:U660)&gt;0,T376+1,0),0)</f>
        <v>0</v>
      </c>
      <c r="V376" s="186">
        <f>IF(V$2&lt;=AnalysisPeriod,IF(SUM($C660:V660)&gt;0,U376+1,0),0)</f>
        <v>0</v>
      </c>
      <c r="W376" s="186">
        <f>IF(W$2&lt;=AnalysisPeriod,IF(SUM($C660:W660)&gt;0,V376+1,0),0)</f>
        <v>0</v>
      </c>
      <c r="X376" s="186">
        <f>IF(X$2&lt;=AnalysisPeriod,IF(SUM($C660:X660)&gt;0,W376+1,0),0)</f>
        <v>0</v>
      </c>
      <c r="Y376" s="186">
        <f>IF(Y$2&lt;=AnalysisPeriod,IF(SUM($C660:Y660)&gt;0,X376+1,0),0)</f>
        <v>0</v>
      </c>
      <c r="Z376" s="186">
        <f>IF(Z$2&lt;=AnalysisPeriod,IF(SUM($C660:Z660)&gt;0,Y376+1,0),0)</f>
        <v>0</v>
      </c>
      <c r="AA376" s="186">
        <f>IF(AA$2&lt;=AnalysisPeriod,IF(SUM($C660:AA660)&gt;0,Z376+1,0),0)</f>
        <v>0</v>
      </c>
      <c r="AB376" s="186">
        <f>IF(AB$2&lt;=AnalysisPeriod,IF(SUM($C660:AB660)&gt;0,AA376+1,0),0)</f>
        <v>0</v>
      </c>
      <c r="AC376" s="186">
        <f>IF(AC$2&lt;=AnalysisPeriod,IF(SUM($C660:AC660)&gt;0,AB376+1,0),0)</f>
        <v>0</v>
      </c>
      <c r="AD376" s="186">
        <f>IF(AD$2&lt;=AnalysisPeriod,IF(SUM($C660:AD660)&gt;0,AC376+1,0),0)</f>
        <v>0</v>
      </c>
      <c r="AE376" s="186">
        <f>IF(AE$2&lt;=AnalysisPeriod,IF(SUM($C660:AE660)&gt;0,AD376+1,0),0)</f>
        <v>0</v>
      </c>
      <c r="AF376" s="186">
        <f>IF(AF$2&lt;=AnalysisPeriod,IF(SUM($C660:AF660)&gt;0,AE376+1,0),0)</f>
        <v>0</v>
      </c>
      <c r="AG376" s="186">
        <f>IF(AG$2&lt;=AnalysisPeriod,IF(SUM($C660:AG660)&gt;0,AF376+1,0),0)</f>
        <v>0</v>
      </c>
      <c r="AH376" s="186">
        <f>IF(AH$2&lt;=AnalysisPeriod,IF(SUM($C660:AH660)&gt;0,AG376+1,0),0)</f>
        <v>0</v>
      </c>
      <c r="AI376" s="186">
        <f>IF(AI$2&lt;=AnalysisPeriod,IF(SUM($C660:AI660)&gt;0,AH376+1,0),0)</f>
        <v>0</v>
      </c>
      <c r="AJ376" s="186">
        <f>IF(AJ$2&lt;=AnalysisPeriod,IF(SUM($C660:AJ660)&gt;0,AI376+1,0),0)</f>
        <v>0</v>
      </c>
      <c r="AK376" s="186">
        <f>IF(AK$2&lt;=AnalysisPeriod,IF(SUM($C660:AK660)&gt;0,AJ376+1,0),0)</f>
        <v>0</v>
      </c>
      <c r="AL376" s="186">
        <f>IF(AL$2&lt;=AnalysisPeriod,IF(SUM($C660:AL660)&gt;0,AK376+1,0),0)</f>
        <v>0</v>
      </c>
      <c r="AM376" s="186">
        <f>IF(AM$2&lt;=AnalysisPeriod,IF(SUM($C660:AM660)&gt;0,AL376+1,0),0)</f>
        <v>0</v>
      </c>
      <c r="AN376" s="186">
        <f>IF(AN$2&lt;=AnalysisPeriod,IF(SUM($C660:AN660)&gt;0,AM376+1,0),0)</f>
        <v>0</v>
      </c>
      <c r="AO376" s="186">
        <f>IF(AO$2&lt;=AnalysisPeriod,IF(SUM($C660:AO660)&gt;0,AN376+1,0),0)</f>
        <v>0</v>
      </c>
      <c r="AP376" s="186">
        <f>IF(AP$2&lt;=AnalysisPeriod,IF(SUM($C660:AP660)&gt;0,AO376+1,0),0)</f>
        <v>0</v>
      </c>
    </row>
    <row r="377" spans="1:42">
      <c r="A377" s="37">
        <f t="shared" si="216"/>
        <v>6</v>
      </c>
      <c r="C377" s="186">
        <f>IF(C$2&lt;=AnalysisPeriod,IF(SUM($C661:C661)&gt;0,B377+1,0),0)</f>
        <v>0</v>
      </c>
      <c r="D377" s="186">
        <f>IF(D$2&lt;=AnalysisPeriod,IF(SUM($C661:D661)&gt;0,C377+1,0),0)</f>
        <v>0</v>
      </c>
      <c r="E377" s="186">
        <f>IF(E$2&lt;=AnalysisPeriod,IF(SUM($C661:E661)&gt;0,D377+1,0),0)</f>
        <v>0</v>
      </c>
      <c r="F377" s="186">
        <f>IF(F$2&lt;=AnalysisPeriod,IF(SUM($C661:F661)&gt;0,E377+1,0),0)</f>
        <v>0</v>
      </c>
      <c r="G377" s="186">
        <f>IF(G$2&lt;=AnalysisPeriod,IF(SUM($C661:G661)&gt;0,F377+1,0),0)</f>
        <v>0</v>
      </c>
      <c r="H377" s="186">
        <f>IF(H$2&lt;=AnalysisPeriod,IF(SUM($C661:H661)&gt;0,G377+1,0),0)</f>
        <v>0</v>
      </c>
      <c r="I377" s="186">
        <f>IF(I$2&lt;=AnalysisPeriod,IF(SUM($C661:I661)&gt;0,H377+1,0),0)</f>
        <v>0</v>
      </c>
      <c r="J377" s="186">
        <f>IF(J$2&lt;=AnalysisPeriod,IF(SUM($C661:J661)&gt;0,I377+1,0),0)</f>
        <v>0</v>
      </c>
      <c r="K377" s="186">
        <f>IF(K$2&lt;=AnalysisPeriod,IF(SUM($C661:K661)&gt;0,J377+1,0),0)</f>
        <v>0</v>
      </c>
      <c r="L377" s="186">
        <f>IF(L$2&lt;=AnalysisPeriod,IF(SUM($C661:L661)&gt;0,K377+1,0),0)</f>
        <v>0</v>
      </c>
      <c r="M377" s="186">
        <f>IF(M$2&lt;=AnalysisPeriod,IF(SUM($C661:M661)&gt;0,L377+1,0),0)</f>
        <v>0</v>
      </c>
      <c r="N377" s="186">
        <f>IF(N$2&lt;=AnalysisPeriod,IF(SUM($C661:N661)&gt;0,M377+1,0),0)</f>
        <v>0</v>
      </c>
      <c r="O377" s="186">
        <f>IF(O$2&lt;=AnalysisPeriod,IF(SUM($C661:O661)&gt;0,N377+1,0),0)</f>
        <v>0</v>
      </c>
      <c r="P377" s="186">
        <f>IF(P$2&lt;=AnalysisPeriod,IF(SUM($C661:P661)&gt;0,O377+1,0),0)</f>
        <v>0</v>
      </c>
      <c r="Q377" s="186">
        <f>IF(Q$2&lt;=AnalysisPeriod,IF(SUM($C661:Q661)&gt;0,P377+1,0),0)</f>
        <v>0</v>
      </c>
      <c r="R377" s="186">
        <f>IF(R$2&lt;=AnalysisPeriod,IF(SUM($C661:R661)&gt;0,Q377+1,0),0)</f>
        <v>0</v>
      </c>
      <c r="S377" s="186">
        <f>IF(S$2&lt;=AnalysisPeriod,IF(SUM($C661:S661)&gt;0,R377+1,0),0)</f>
        <v>0</v>
      </c>
      <c r="T377" s="186">
        <f>IF(T$2&lt;=AnalysisPeriod,IF(SUM($C661:T661)&gt;0,S377+1,0),0)</f>
        <v>0</v>
      </c>
      <c r="U377" s="186">
        <f>IF(U$2&lt;=AnalysisPeriod,IF(SUM($C661:U661)&gt;0,T377+1,0),0)</f>
        <v>0</v>
      </c>
      <c r="V377" s="186">
        <f>IF(V$2&lt;=AnalysisPeriod,IF(SUM($C661:V661)&gt;0,U377+1,0),0)</f>
        <v>0</v>
      </c>
      <c r="W377" s="186">
        <f>IF(W$2&lt;=AnalysisPeriod,IF(SUM($C661:W661)&gt;0,V377+1,0),0)</f>
        <v>0</v>
      </c>
      <c r="X377" s="186">
        <f>IF(X$2&lt;=AnalysisPeriod,IF(SUM($C661:X661)&gt;0,W377+1,0),0)</f>
        <v>0</v>
      </c>
      <c r="Y377" s="186">
        <f>IF(Y$2&lt;=AnalysisPeriod,IF(SUM($C661:Y661)&gt;0,X377+1,0),0)</f>
        <v>0</v>
      </c>
      <c r="Z377" s="186">
        <f>IF(Z$2&lt;=AnalysisPeriod,IF(SUM($C661:Z661)&gt;0,Y377+1,0),0)</f>
        <v>0</v>
      </c>
      <c r="AA377" s="186">
        <f>IF(AA$2&lt;=AnalysisPeriod,IF(SUM($C661:AA661)&gt;0,Z377+1,0),0)</f>
        <v>0</v>
      </c>
      <c r="AB377" s="186">
        <f>IF(AB$2&lt;=AnalysisPeriod,IF(SUM($C661:AB661)&gt;0,AA377+1,0),0)</f>
        <v>0</v>
      </c>
      <c r="AC377" s="186">
        <f>IF(AC$2&lt;=AnalysisPeriod,IF(SUM($C661:AC661)&gt;0,AB377+1,0),0)</f>
        <v>0</v>
      </c>
      <c r="AD377" s="186">
        <f>IF(AD$2&lt;=AnalysisPeriod,IF(SUM($C661:AD661)&gt;0,AC377+1,0),0)</f>
        <v>0</v>
      </c>
      <c r="AE377" s="186">
        <f>IF(AE$2&lt;=AnalysisPeriod,IF(SUM($C661:AE661)&gt;0,AD377+1,0),0)</f>
        <v>0</v>
      </c>
      <c r="AF377" s="186">
        <f>IF(AF$2&lt;=AnalysisPeriod,IF(SUM($C661:AF661)&gt;0,AE377+1,0),0)</f>
        <v>0</v>
      </c>
      <c r="AG377" s="186">
        <f>IF(AG$2&lt;=AnalysisPeriod,IF(SUM($C661:AG661)&gt;0,AF377+1,0),0)</f>
        <v>0</v>
      </c>
      <c r="AH377" s="186">
        <f>IF(AH$2&lt;=AnalysisPeriod,IF(SUM($C661:AH661)&gt;0,AG377+1,0),0)</f>
        <v>0</v>
      </c>
      <c r="AI377" s="186">
        <f>IF(AI$2&lt;=AnalysisPeriod,IF(SUM($C661:AI661)&gt;0,AH377+1,0),0)</f>
        <v>0</v>
      </c>
      <c r="AJ377" s="186">
        <f>IF(AJ$2&lt;=AnalysisPeriod,IF(SUM($C661:AJ661)&gt;0,AI377+1,0),0)</f>
        <v>0</v>
      </c>
      <c r="AK377" s="186">
        <f>IF(AK$2&lt;=AnalysisPeriod,IF(SUM($C661:AK661)&gt;0,AJ377+1,0),0)</f>
        <v>0</v>
      </c>
      <c r="AL377" s="186">
        <f>IF(AL$2&lt;=AnalysisPeriod,IF(SUM($C661:AL661)&gt;0,AK377+1,0),0)</f>
        <v>0</v>
      </c>
      <c r="AM377" s="186">
        <f>IF(AM$2&lt;=AnalysisPeriod,IF(SUM($C661:AM661)&gt;0,AL377+1,0),0)</f>
        <v>0</v>
      </c>
      <c r="AN377" s="186">
        <f>IF(AN$2&lt;=AnalysisPeriod,IF(SUM($C661:AN661)&gt;0,AM377+1,0),0)</f>
        <v>0</v>
      </c>
      <c r="AO377" s="186">
        <f>IF(AO$2&lt;=AnalysisPeriod,IF(SUM($C661:AO661)&gt;0,AN377+1,0),0)</f>
        <v>0</v>
      </c>
      <c r="AP377" s="186">
        <f>IF(AP$2&lt;=AnalysisPeriod,IF(SUM($C661:AP661)&gt;0,AO377+1,0),0)</f>
        <v>0</v>
      </c>
    </row>
    <row r="378" spans="1:42">
      <c r="A378" s="37">
        <f t="shared" si="216"/>
        <v>7</v>
      </c>
      <c r="C378" s="186">
        <f>IF(C$2&lt;=AnalysisPeriod,IF(SUM($C662:C662)&gt;0,B378+1,0),0)</f>
        <v>0</v>
      </c>
      <c r="D378" s="186">
        <f>IF(D$2&lt;=AnalysisPeriod,IF(SUM($C662:D662)&gt;0,C378+1,0),0)</f>
        <v>0</v>
      </c>
      <c r="E378" s="186">
        <f>IF(E$2&lt;=AnalysisPeriod,IF(SUM($C662:E662)&gt;0,D378+1,0),0)</f>
        <v>0</v>
      </c>
      <c r="F378" s="186">
        <f>IF(F$2&lt;=AnalysisPeriod,IF(SUM($C662:F662)&gt;0,E378+1,0),0)</f>
        <v>0</v>
      </c>
      <c r="G378" s="186">
        <f>IF(G$2&lt;=AnalysisPeriod,IF(SUM($C662:G662)&gt;0,F378+1,0),0)</f>
        <v>0</v>
      </c>
      <c r="H378" s="186">
        <f>IF(H$2&lt;=AnalysisPeriod,IF(SUM($C662:H662)&gt;0,G378+1,0),0)</f>
        <v>0</v>
      </c>
      <c r="I378" s="186">
        <f>IF(I$2&lt;=AnalysisPeriod,IF(SUM($C662:I662)&gt;0,H378+1,0),0)</f>
        <v>0</v>
      </c>
      <c r="J378" s="186">
        <f>IF(J$2&lt;=AnalysisPeriod,IF(SUM($C662:J662)&gt;0,I378+1,0),0)</f>
        <v>0</v>
      </c>
      <c r="K378" s="186">
        <f>IF(K$2&lt;=AnalysisPeriod,IF(SUM($C662:K662)&gt;0,J378+1,0),0)</f>
        <v>0</v>
      </c>
      <c r="L378" s="186">
        <f>IF(L$2&lt;=AnalysisPeriod,IF(SUM($C662:L662)&gt;0,K378+1,0),0)</f>
        <v>0</v>
      </c>
      <c r="M378" s="186">
        <f>IF(M$2&lt;=AnalysisPeriod,IF(SUM($C662:M662)&gt;0,L378+1,0),0)</f>
        <v>0</v>
      </c>
      <c r="N378" s="186">
        <f>IF(N$2&lt;=AnalysisPeriod,IF(SUM($C662:N662)&gt;0,M378+1,0),0)</f>
        <v>0</v>
      </c>
      <c r="O378" s="186">
        <f>IF(O$2&lt;=AnalysisPeriod,IF(SUM($C662:O662)&gt;0,N378+1,0),0)</f>
        <v>0</v>
      </c>
      <c r="P378" s="186">
        <f>IF(P$2&lt;=AnalysisPeriod,IF(SUM($C662:P662)&gt;0,O378+1,0),0)</f>
        <v>0</v>
      </c>
      <c r="Q378" s="186">
        <f>IF(Q$2&lt;=AnalysisPeriod,IF(SUM($C662:Q662)&gt;0,P378+1,0),0)</f>
        <v>0</v>
      </c>
      <c r="R378" s="186">
        <f>IF(R$2&lt;=AnalysisPeriod,IF(SUM($C662:R662)&gt;0,Q378+1,0),0)</f>
        <v>0</v>
      </c>
      <c r="S378" s="186">
        <f>IF(S$2&lt;=AnalysisPeriod,IF(SUM($C662:S662)&gt;0,R378+1,0),0)</f>
        <v>0</v>
      </c>
      <c r="T378" s="186">
        <f>IF(T$2&lt;=AnalysisPeriod,IF(SUM($C662:T662)&gt;0,S378+1,0),0)</f>
        <v>0</v>
      </c>
      <c r="U378" s="186">
        <f>IF(U$2&lt;=AnalysisPeriod,IF(SUM($C662:U662)&gt;0,T378+1,0),0)</f>
        <v>0</v>
      </c>
      <c r="V378" s="186">
        <f>IF(V$2&lt;=AnalysisPeriod,IF(SUM($C662:V662)&gt;0,U378+1,0),0)</f>
        <v>0</v>
      </c>
      <c r="W378" s="186">
        <f>IF(W$2&lt;=AnalysisPeriod,IF(SUM($C662:W662)&gt;0,V378+1,0),0)</f>
        <v>0</v>
      </c>
      <c r="X378" s="186">
        <f>IF(X$2&lt;=AnalysisPeriod,IF(SUM($C662:X662)&gt;0,W378+1,0),0)</f>
        <v>0</v>
      </c>
      <c r="Y378" s="186">
        <f>IF(Y$2&lt;=AnalysisPeriod,IF(SUM($C662:Y662)&gt;0,X378+1,0),0)</f>
        <v>0</v>
      </c>
      <c r="Z378" s="186">
        <f>IF(Z$2&lt;=AnalysisPeriod,IF(SUM($C662:Z662)&gt;0,Y378+1,0),0)</f>
        <v>0</v>
      </c>
      <c r="AA378" s="186">
        <f>IF(AA$2&lt;=AnalysisPeriod,IF(SUM($C662:AA662)&gt;0,Z378+1,0),0)</f>
        <v>0</v>
      </c>
      <c r="AB378" s="186">
        <f>IF(AB$2&lt;=AnalysisPeriod,IF(SUM($C662:AB662)&gt;0,AA378+1,0),0)</f>
        <v>0</v>
      </c>
      <c r="AC378" s="186">
        <f>IF(AC$2&lt;=AnalysisPeriod,IF(SUM($C662:AC662)&gt;0,AB378+1,0),0)</f>
        <v>0</v>
      </c>
      <c r="AD378" s="186">
        <f>IF(AD$2&lt;=AnalysisPeriod,IF(SUM($C662:AD662)&gt;0,AC378+1,0),0)</f>
        <v>0</v>
      </c>
      <c r="AE378" s="186">
        <f>IF(AE$2&lt;=AnalysisPeriod,IF(SUM($C662:AE662)&gt;0,AD378+1,0),0)</f>
        <v>0</v>
      </c>
      <c r="AF378" s="186">
        <f>IF(AF$2&lt;=AnalysisPeriod,IF(SUM($C662:AF662)&gt;0,AE378+1,0),0)</f>
        <v>0</v>
      </c>
      <c r="AG378" s="186">
        <f>IF(AG$2&lt;=AnalysisPeriod,IF(SUM($C662:AG662)&gt;0,AF378+1,0),0)</f>
        <v>0</v>
      </c>
      <c r="AH378" s="186">
        <f>IF(AH$2&lt;=AnalysisPeriod,IF(SUM($C662:AH662)&gt;0,AG378+1,0),0)</f>
        <v>0</v>
      </c>
      <c r="AI378" s="186">
        <f>IF(AI$2&lt;=AnalysisPeriod,IF(SUM($C662:AI662)&gt;0,AH378+1,0),0)</f>
        <v>0</v>
      </c>
      <c r="AJ378" s="186">
        <f>IF(AJ$2&lt;=AnalysisPeriod,IF(SUM($C662:AJ662)&gt;0,AI378+1,0),0)</f>
        <v>0</v>
      </c>
      <c r="AK378" s="186">
        <f>IF(AK$2&lt;=AnalysisPeriod,IF(SUM($C662:AK662)&gt;0,AJ378+1,0),0)</f>
        <v>0</v>
      </c>
      <c r="AL378" s="186">
        <f>IF(AL$2&lt;=AnalysisPeriod,IF(SUM($C662:AL662)&gt;0,AK378+1,0),0)</f>
        <v>0</v>
      </c>
      <c r="AM378" s="186">
        <f>IF(AM$2&lt;=AnalysisPeriod,IF(SUM($C662:AM662)&gt;0,AL378+1,0),0)</f>
        <v>0</v>
      </c>
      <c r="AN378" s="186">
        <f>IF(AN$2&lt;=AnalysisPeriod,IF(SUM($C662:AN662)&gt;0,AM378+1,0),0)</f>
        <v>0</v>
      </c>
      <c r="AO378" s="186">
        <f>IF(AO$2&lt;=AnalysisPeriod,IF(SUM($C662:AO662)&gt;0,AN378+1,0),0)</f>
        <v>0</v>
      </c>
      <c r="AP378" s="186">
        <f>IF(AP$2&lt;=AnalysisPeriod,IF(SUM($C662:AP662)&gt;0,AO378+1,0),0)</f>
        <v>0</v>
      </c>
    </row>
    <row r="379" spans="1:42">
      <c r="A379" s="37">
        <f t="shared" si="216"/>
        <v>8</v>
      </c>
      <c r="C379" s="186">
        <f>IF(C$2&lt;=AnalysisPeriod,IF(SUM($C663:C663)&gt;0,B379+1,0),0)</f>
        <v>0</v>
      </c>
      <c r="D379" s="186">
        <f>IF(D$2&lt;=AnalysisPeriod,IF(SUM($C663:D663)&gt;0,C379+1,0),0)</f>
        <v>0</v>
      </c>
      <c r="E379" s="186">
        <f>IF(E$2&lt;=AnalysisPeriod,IF(SUM($C663:E663)&gt;0,D379+1,0),0)</f>
        <v>0</v>
      </c>
      <c r="F379" s="186">
        <f>IF(F$2&lt;=AnalysisPeriod,IF(SUM($C663:F663)&gt;0,E379+1,0),0)</f>
        <v>0</v>
      </c>
      <c r="G379" s="186">
        <f>IF(G$2&lt;=AnalysisPeriod,IF(SUM($C663:G663)&gt;0,F379+1,0),0)</f>
        <v>0</v>
      </c>
      <c r="H379" s="186">
        <f>IF(H$2&lt;=AnalysisPeriod,IF(SUM($C663:H663)&gt;0,G379+1,0),0)</f>
        <v>0</v>
      </c>
      <c r="I379" s="186">
        <f>IF(I$2&lt;=AnalysisPeriod,IF(SUM($C663:I663)&gt;0,H379+1,0),0)</f>
        <v>0</v>
      </c>
      <c r="J379" s="186">
        <f>IF(J$2&lt;=AnalysisPeriod,IF(SUM($C663:J663)&gt;0,I379+1,0),0)</f>
        <v>0</v>
      </c>
      <c r="K379" s="186">
        <f>IF(K$2&lt;=AnalysisPeriod,IF(SUM($C663:K663)&gt;0,J379+1,0),0)</f>
        <v>0</v>
      </c>
      <c r="L379" s="186">
        <f>IF(L$2&lt;=AnalysisPeriod,IF(SUM($C663:L663)&gt;0,K379+1,0),0)</f>
        <v>0</v>
      </c>
      <c r="M379" s="186">
        <f>IF(M$2&lt;=AnalysisPeriod,IF(SUM($C663:M663)&gt;0,L379+1,0),0)</f>
        <v>0</v>
      </c>
      <c r="N379" s="186">
        <f>IF(N$2&lt;=AnalysisPeriod,IF(SUM($C663:N663)&gt;0,M379+1,0),0)</f>
        <v>0</v>
      </c>
      <c r="O379" s="186">
        <f>IF(O$2&lt;=AnalysisPeriod,IF(SUM($C663:O663)&gt;0,N379+1,0),0)</f>
        <v>0</v>
      </c>
      <c r="P379" s="186">
        <f>IF(P$2&lt;=AnalysisPeriod,IF(SUM($C663:P663)&gt;0,O379+1,0),0)</f>
        <v>0</v>
      </c>
      <c r="Q379" s="186">
        <f>IF(Q$2&lt;=AnalysisPeriod,IF(SUM($C663:Q663)&gt;0,P379+1,0),0)</f>
        <v>0</v>
      </c>
      <c r="R379" s="186">
        <f>IF(R$2&lt;=AnalysisPeriod,IF(SUM($C663:R663)&gt;0,Q379+1,0),0)</f>
        <v>0</v>
      </c>
      <c r="S379" s="186">
        <f>IF(S$2&lt;=AnalysisPeriod,IF(SUM($C663:S663)&gt;0,R379+1,0),0)</f>
        <v>0</v>
      </c>
      <c r="T379" s="186">
        <f>IF(T$2&lt;=AnalysisPeriod,IF(SUM($C663:T663)&gt;0,S379+1,0),0)</f>
        <v>0</v>
      </c>
      <c r="U379" s="186">
        <f>IF(U$2&lt;=AnalysisPeriod,IF(SUM($C663:U663)&gt;0,T379+1,0),0)</f>
        <v>0</v>
      </c>
      <c r="V379" s="186">
        <f>IF(V$2&lt;=AnalysisPeriod,IF(SUM($C663:V663)&gt;0,U379+1,0),0)</f>
        <v>0</v>
      </c>
      <c r="W379" s="186">
        <f>IF(W$2&lt;=AnalysisPeriod,IF(SUM($C663:W663)&gt;0,V379+1,0),0)</f>
        <v>0</v>
      </c>
      <c r="X379" s="186">
        <f>IF(X$2&lt;=AnalysisPeriod,IF(SUM($C663:X663)&gt;0,W379+1,0),0)</f>
        <v>0</v>
      </c>
      <c r="Y379" s="186">
        <f>IF(Y$2&lt;=AnalysisPeriod,IF(SUM($C663:Y663)&gt;0,X379+1,0),0)</f>
        <v>0</v>
      </c>
      <c r="Z379" s="186">
        <f>IF(Z$2&lt;=AnalysisPeriod,IF(SUM($C663:Z663)&gt;0,Y379+1,0),0)</f>
        <v>0</v>
      </c>
      <c r="AA379" s="186">
        <f>IF(AA$2&lt;=AnalysisPeriod,IF(SUM($C663:AA663)&gt;0,Z379+1,0),0)</f>
        <v>0</v>
      </c>
      <c r="AB379" s="186">
        <f>IF(AB$2&lt;=AnalysisPeriod,IF(SUM($C663:AB663)&gt;0,AA379+1,0),0)</f>
        <v>0</v>
      </c>
      <c r="AC379" s="186">
        <f>IF(AC$2&lt;=AnalysisPeriod,IF(SUM($C663:AC663)&gt;0,AB379+1,0),0)</f>
        <v>0</v>
      </c>
      <c r="AD379" s="186">
        <f>IF(AD$2&lt;=AnalysisPeriod,IF(SUM($C663:AD663)&gt;0,AC379+1,0),0)</f>
        <v>0</v>
      </c>
      <c r="AE379" s="186">
        <f>IF(AE$2&lt;=AnalysisPeriod,IF(SUM($C663:AE663)&gt;0,AD379+1,0),0)</f>
        <v>0</v>
      </c>
      <c r="AF379" s="186">
        <f>IF(AF$2&lt;=AnalysisPeriod,IF(SUM($C663:AF663)&gt;0,AE379+1,0),0)</f>
        <v>0</v>
      </c>
      <c r="AG379" s="186">
        <f>IF(AG$2&lt;=AnalysisPeriod,IF(SUM($C663:AG663)&gt;0,AF379+1,0),0)</f>
        <v>0</v>
      </c>
      <c r="AH379" s="186">
        <f>IF(AH$2&lt;=AnalysisPeriod,IF(SUM($C663:AH663)&gt;0,AG379+1,0),0)</f>
        <v>0</v>
      </c>
      <c r="AI379" s="186">
        <f>IF(AI$2&lt;=AnalysisPeriod,IF(SUM($C663:AI663)&gt;0,AH379+1,0),0)</f>
        <v>0</v>
      </c>
      <c r="AJ379" s="186">
        <f>IF(AJ$2&lt;=AnalysisPeriod,IF(SUM($C663:AJ663)&gt;0,AI379+1,0),0)</f>
        <v>0</v>
      </c>
      <c r="AK379" s="186">
        <f>IF(AK$2&lt;=AnalysisPeriod,IF(SUM($C663:AK663)&gt;0,AJ379+1,0),0)</f>
        <v>0</v>
      </c>
      <c r="AL379" s="186">
        <f>IF(AL$2&lt;=AnalysisPeriod,IF(SUM($C663:AL663)&gt;0,AK379+1,0),0)</f>
        <v>0</v>
      </c>
      <c r="AM379" s="186">
        <f>IF(AM$2&lt;=AnalysisPeriod,IF(SUM($C663:AM663)&gt;0,AL379+1,0),0)</f>
        <v>0</v>
      </c>
      <c r="AN379" s="186">
        <f>IF(AN$2&lt;=AnalysisPeriod,IF(SUM($C663:AN663)&gt;0,AM379+1,0),0)</f>
        <v>0</v>
      </c>
      <c r="AO379" s="186">
        <f>IF(AO$2&lt;=AnalysisPeriod,IF(SUM($C663:AO663)&gt;0,AN379+1,0),0)</f>
        <v>0</v>
      </c>
      <c r="AP379" s="186">
        <f>IF(AP$2&lt;=AnalysisPeriod,IF(SUM($C663:AP663)&gt;0,AO379+1,0),0)</f>
        <v>0</v>
      </c>
    </row>
    <row r="380" spans="1:42">
      <c r="A380" s="37">
        <f>A379+1</f>
        <v>9</v>
      </c>
      <c r="C380" s="186">
        <f>IF(C$2&lt;=AnalysisPeriod,IF(SUM($C664:C664)&gt;0,B380+1,0),0)</f>
        <v>0</v>
      </c>
      <c r="D380" s="186">
        <f>IF(D$2&lt;=AnalysisPeriod,IF(SUM($C664:D664)&gt;0,C380+1,0),0)</f>
        <v>0</v>
      </c>
      <c r="E380" s="186">
        <f>IF(E$2&lt;=AnalysisPeriod,IF(SUM($C664:E664)&gt;0,D380+1,0),0)</f>
        <v>0</v>
      </c>
      <c r="F380" s="186">
        <f>IF(F$2&lt;=AnalysisPeriod,IF(SUM($C664:F664)&gt;0,E380+1,0),0)</f>
        <v>0</v>
      </c>
      <c r="G380" s="186">
        <f>IF(G$2&lt;=AnalysisPeriod,IF(SUM($C664:G664)&gt;0,F380+1,0),0)</f>
        <v>0</v>
      </c>
      <c r="H380" s="186">
        <f>IF(H$2&lt;=AnalysisPeriod,IF(SUM($C664:H664)&gt;0,G380+1,0),0)</f>
        <v>0</v>
      </c>
      <c r="I380" s="186">
        <f>IF(I$2&lt;=AnalysisPeriod,IF(SUM($C664:I664)&gt;0,H380+1,0),0)</f>
        <v>0</v>
      </c>
      <c r="J380" s="186">
        <f>IF(J$2&lt;=AnalysisPeriod,IF(SUM($C664:J664)&gt;0,I380+1,0),0)</f>
        <v>0</v>
      </c>
      <c r="K380" s="186">
        <f>IF(K$2&lt;=AnalysisPeriod,IF(SUM($C664:K664)&gt;0,J380+1,0),0)</f>
        <v>0</v>
      </c>
      <c r="L380" s="186">
        <f>IF(L$2&lt;=AnalysisPeriod,IF(SUM($C664:L664)&gt;0,K380+1,0),0)</f>
        <v>0</v>
      </c>
      <c r="M380" s="186">
        <f>IF(M$2&lt;=AnalysisPeriod,IF(SUM($C664:M664)&gt;0,L380+1,0),0)</f>
        <v>0</v>
      </c>
      <c r="N380" s="186">
        <f>IF(N$2&lt;=AnalysisPeriod,IF(SUM($C664:N664)&gt;0,M380+1,0),0)</f>
        <v>0</v>
      </c>
      <c r="O380" s="186">
        <f>IF(O$2&lt;=AnalysisPeriod,IF(SUM($C664:O664)&gt;0,N380+1,0),0)</f>
        <v>0</v>
      </c>
      <c r="P380" s="186">
        <f>IF(P$2&lt;=AnalysisPeriod,IF(SUM($C664:P664)&gt;0,O380+1,0),0)</f>
        <v>0</v>
      </c>
      <c r="Q380" s="186">
        <f>IF(Q$2&lt;=AnalysisPeriod,IF(SUM($C664:Q664)&gt;0,P380+1,0),0)</f>
        <v>0</v>
      </c>
      <c r="R380" s="186">
        <f>IF(R$2&lt;=AnalysisPeriod,IF(SUM($C664:R664)&gt;0,Q380+1,0),0)</f>
        <v>0</v>
      </c>
      <c r="S380" s="186">
        <f>IF(S$2&lt;=AnalysisPeriod,IF(SUM($C664:S664)&gt;0,R380+1,0),0)</f>
        <v>0</v>
      </c>
      <c r="T380" s="186">
        <f>IF(T$2&lt;=AnalysisPeriod,IF(SUM($C664:T664)&gt;0,S380+1,0),0)</f>
        <v>0</v>
      </c>
      <c r="U380" s="186">
        <f>IF(U$2&lt;=AnalysisPeriod,IF(SUM($C664:U664)&gt;0,T380+1,0),0)</f>
        <v>0</v>
      </c>
      <c r="V380" s="186">
        <f>IF(V$2&lt;=AnalysisPeriod,IF(SUM($C664:V664)&gt;0,U380+1,0),0)</f>
        <v>0</v>
      </c>
      <c r="W380" s="186">
        <f>IF(W$2&lt;=AnalysisPeriod,IF(SUM($C664:W664)&gt;0,V380+1,0),0)</f>
        <v>0</v>
      </c>
      <c r="X380" s="186">
        <f>IF(X$2&lt;=AnalysisPeriod,IF(SUM($C664:X664)&gt;0,W380+1,0),0)</f>
        <v>0</v>
      </c>
      <c r="Y380" s="186">
        <f>IF(Y$2&lt;=AnalysisPeriod,IF(SUM($C664:Y664)&gt;0,X380+1,0),0)</f>
        <v>0</v>
      </c>
      <c r="Z380" s="186">
        <f>IF(Z$2&lt;=AnalysisPeriod,IF(SUM($C664:Z664)&gt;0,Y380+1,0),0)</f>
        <v>0</v>
      </c>
      <c r="AA380" s="186">
        <f>IF(AA$2&lt;=AnalysisPeriod,IF(SUM($C664:AA664)&gt;0,Z380+1,0),0)</f>
        <v>0</v>
      </c>
      <c r="AB380" s="186">
        <f>IF(AB$2&lt;=AnalysisPeriod,IF(SUM($C664:AB664)&gt;0,AA380+1,0),0)</f>
        <v>0</v>
      </c>
      <c r="AC380" s="186">
        <f>IF(AC$2&lt;=AnalysisPeriod,IF(SUM($C664:AC664)&gt;0,AB380+1,0),0)</f>
        <v>0</v>
      </c>
      <c r="AD380" s="186">
        <f>IF(AD$2&lt;=AnalysisPeriod,IF(SUM($C664:AD664)&gt;0,AC380+1,0),0)</f>
        <v>0</v>
      </c>
      <c r="AE380" s="186">
        <f>IF(AE$2&lt;=AnalysisPeriod,IF(SUM($C664:AE664)&gt;0,AD380+1,0),0)</f>
        <v>0</v>
      </c>
      <c r="AF380" s="186">
        <f>IF(AF$2&lt;=AnalysisPeriod,IF(SUM($C664:AF664)&gt;0,AE380+1,0),0)</f>
        <v>0</v>
      </c>
      <c r="AG380" s="186">
        <f>IF(AG$2&lt;=AnalysisPeriod,IF(SUM($C664:AG664)&gt;0,AF380+1,0),0)</f>
        <v>0</v>
      </c>
      <c r="AH380" s="186">
        <f>IF(AH$2&lt;=AnalysisPeriod,IF(SUM($C664:AH664)&gt;0,AG380+1,0),0)</f>
        <v>0</v>
      </c>
      <c r="AI380" s="186">
        <f>IF(AI$2&lt;=AnalysisPeriod,IF(SUM($C664:AI664)&gt;0,AH380+1,0),0)</f>
        <v>0</v>
      </c>
      <c r="AJ380" s="186">
        <f>IF(AJ$2&lt;=AnalysisPeriod,IF(SUM($C664:AJ664)&gt;0,AI380+1,0),0)</f>
        <v>0</v>
      </c>
      <c r="AK380" s="186">
        <f>IF(AK$2&lt;=AnalysisPeriod,IF(SUM($C664:AK664)&gt;0,AJ380+1,0),0)</f>
        <v>0</v>
      </c>
      <c r="AL380" s="186">
        <f>IF(AL$2&lt;=AnalysisPeriod,IF(SUM($C664:AL664)&gt;0,AK380+1,0),0)</f>
        <v>0</v>
      </c>
      <c r="AM380" s="186">
        <f>IF(AM$2&lt;=AnalysisPeriod,IF(SUM($C664:AM664)&gt;0,AL380+1,0),0)</f>
        <v>0</v>
      </c>
      <c r="AN380" s="186">
        <f>IF(AN$2&lt;=AnalysisPeriod,IF(SUM($C664:AN664)&gt;0,AM380+1,0),0)</f>
        <v>0</v>
      </c>
      <c r="AO380" s="186">
        <f>IF(AO$2&lt;=AnalysisPeriod,IF(SUM($C664:AO664)&gt;0,AN380+1,0),0)</f>
        <v>0</v>
      </c>
      <c r="AP380" s="186">
        <f>IF(AP$2&lt;=AnalysisPeriod,IF(SUM($C664:AP664)&gt;0,AO380+1,0),0)</f>
        <v>0</v>
      </c>
    </row>
    <row r="381" spans="1:42">
      <c r="A381" s="37">
        <f t="shared" si="216"/>
        <v>10</v>
      </c>
      <c r="C381" s="186">
        <f>IF(C$2&lt;=AnalysisPeriod,IF(SUM($C665:C665)&gt;0,B381+1,0),0)</f>
        <v>0</v>
      </c>
      <c r="D381" s="186">
        <f>IF(D$2&lt;=AnalysisPeriod,IF(SUM($C665:D665)&gt;0,C381+1,0),0)</f>
        <v>0</v>
      </c>
      <c r="E381" s="186">
        <f>IF(E$2&lt;=AnalysisPeriod,IF(SUM($C665:E665)&gt;0,D381+1,0),0)</f>
        <v>0</v>
      </c>
      <c r="F381" s="186">
        <f>IF(F$2&lt;=AnalysisPeriod,IF(SUM($C665:F665)&gt;0,E381+1,0),0)</f>
        <v>0</v>
      </c>
      <c r="G381" s="186">
        <f>IF(G$2&lt;=AnalysisPeriod,IF(SUM($C665:G665)&gt;0,F381+1,0),0)</f>
        <v>0</v>
      </c>
      <c r="H381" s="186">
        <f>IF(H$2&lt;=AnalysisPeriod,IF(SUM($C665:H665)&gt;0,G381+1,0),0)</f>
        <v>0</v>
      </c>
      <c r="I381" s="186">
        <f>IF(I$2&lt;=AnalysisPeriod,IF(SUM($C665:I665)&gt;0,H381+1,0),0)</f>
        <v>0</v>
      </c>
      <c r="J381" s="186">
        <f>IF(J$2&lt;=AnalysisPeriod,IF(SUM($C665:J665)&gt;0,I381+1,0),0)</f>
        <v>0</v>
      </c>
      <c r="K381" s="186">
        <f>IF(K$2&lt;=AnalysisPeriod,IF(SUM($C665:K665)&gt;0,J381+1,0),0)</f>
        <v>0</v>
      </c>
      <c r="L381" s="186">
        <f>IF(L$2&lt;=AnalysisPeriod,IF(SUM($C665:L665)&gt;0,K381+1,0),0)</f>
        <v>0</v>
      </c>
      <c r="M381" s="186">
        <f>IF(M$2&lt;=AnalysisPeriod,IF(SUM($C665:M665)&gt;0,L381+1,0),0)</f>
        <v>0</v>
      </c>
      <c r="N381" s="186">
        <f>IF(N$2&lt;=AnalysisPeriod,IF(SUM($C665:N665)&gt;0,M381+1,0),0)</f>
        <v>0</v>
      </c>
      <c r="O381" s="186">
        <f>IF(O$2&lt;=AnalysisPeriod,IF(SUM($C665:O665)&gt;0,N381+1,0),0)</f>
        <v>0</v>
      </c>
      <c r="P381" s="186">
        <f>IF(P$2&lt;=AnalysisPeriod,IF(SUM($C665:P665)&gt;0,O381+1,0),0)</f>
        <v>0</v>
      </c>
      <c r="Q381" s="186">
        <f>IF(Q$2&lt;=AnalysisPeriod,IF(SUM($C665:Q665)&gt;0,P381+1,0),0)</f>
        <v>0</v>
      </c>
      <c r="R381" s="186">
        <f>IF(R$2&lt;=AnalysisPeriod,IF(SUM($C665:R665)&gt;0,Q381+1,0),0)</f>
        <v>0</v>
      </c>
      <c r="S381" s="186">
        <f>IF(S$2&lt;=AnalysisPeriod,IF(SUM($C665:S665)&gt;0,R381+1,0),0)</f>
        <v>0</v>
      </c>
      <c r="T381" s="186">
        <f>IF(T$2&lt;=AnalysisPeriod,IF(SUM($C665:T665)&gt;0,S381+1,0),0)</f>
        <v>0</v>
      </c>
      <c r="U381" s="186">
        <f>IF(U$2&lt;=AnalysisPeriod,IF(SUM($C665:U665)&gt;0,T381+1,0),0)</f>
        <v>0</v>
      </c>
      <c r="V381" s="186">
        <f>IF(V$2&lt;=AnalysisPeriod,IF(SUM($C665:V665)&gt;0,U381+1,0),0)</f>
        <v>0</v>
      </c>
      <c r="W381" s="186">
        <f>IF(W$2&lt;=AnalysisPeriod,IF(SUM($C665:W665)&gt;0,V381+1,0),0)</f>
        <v>0</v>
      </c>
      <c r="X381" s="186">
        <f>IF(X$2&lt;=AnalysisPeriod,IF(SUM($C665:X665)&gt;0,W381+1,0),0)</f>
        <v>0</v>
      </c>
      <c r="Y381" s="186">
        <f>IF(Y$2&lt;=AnalysisPeriod,IF(SUM($C665:Y665)&gt;0,X381+1,0),0)</f>
        <v>0</v>
      </c>
      <c r="Z381" s="186">
        <f>IF(Z$2&lt;=AnalysisPeriod,IF(SUM($C665:Z665)&gt;0,Y381+1,0),0)</f>
        <v>0</v>
      </c>
      <c r="AA381" s="186">
        <f>IF(AA$2&lt;=AnalysisPeriod,IF(SUM($C665:AA665)&gt;0,Z381+1,0),0)</f>
        <v>0</v>
      </c>
      <c r="AB381" s="186">
        <f>IF(AB$2&lt;=AnalysisPeriod,IF(SUM($C665:AB665)&gt;0,AA381+1,0),0)</f>
        <v>0</v>
      </c>
      <c r="AC381" s="186">
        <f>IF(AC$2&lt;=AnalysisPeriod,IF(SUM($C665:AC665)&gt;0,AB381+1,0),0)</f>
        <v>0</v>
      </c>
      <c r="AD381" s="186">
        <f>IF(AD$2&lt;=AnalysisPeriod,IF(SUM($C665:AD665)&gt;0,AC381+1,0),0)</f>
        <v>0</v>
      </c>
      <c r="AE381" s="186">
        <f>IF(AE$2&lt;=AnalysisPeriod,IF(SUM($C665:AE665)&gt;0,AD381+1,0),0)</f>
        <v>0</v>
      </c>
      <c r="AF381" s="186">
        <f>IF(AF$2&lt;=AnalysisPeriod,IF(SUM($C665:AF665)&gt;0,AE381+1,0),0)</f>
        <v>0</v>
      </c>
      <c r="AG381" s="186">
        <f>IF(AG$2&lt;=AnalysisPeriod,IF(SUM($C665:AG665)&gt;0,AF381+1,0),0)</f>
        <v>0</v>
      </c>
      <c r="AH381" s="186">
        <f>IF(AH$2&lt;=AnalysisPeriod,IF(SUM($C665:AH665)&gt;0,AG381+1,0),0)</f>
        <v>0</v>
      </c>
      <c r="AI381" s="186">
        <f>IF(AI$2&lt;=AnalysisPeriod,IF(SUM($C665:AI665)&gt;0,AH381+1,0),0)</f>
        <v>0</v>
      </c>
      <c r="AJ381" s="186">
        <f>IF(AJ$2&lt;=AnalysisPeriod,IF(SUM($C665:AJ665)&gt;0,AI381+1,0),0)</f>
        <v>0</v>
      </c>
      <c r="AK381" s="186">
        <f>IF(AK$2&lt;=AnalysisPeriod,IF(SUM($C665:AK665)&gt;0,AJ381+1,0),0)</f>
        <v>0</v>
      </c>
      <c r="AL381" s="186">
        <f>IF(AL$2&lt;=AnalysisPeriod,IF(SUM($C665:AL665)&gt;0,AK381+1,0),0)</f>
        <v>0</v>
      </c>
      <c r="AM381" s="186">
        <f>IF(AM$2&lt;=AnalysisPeriod,IF(SUM($C665:AM665)&gt;0,AL381+1,0),0)</f>
        <v>0</v>
      </c>
      <c r="AN381" s="186">
        <f>IF(AN$2&lt;=AnalysisPeriod,IF(SUM($C665:AN665)&gt;0,AM381+1,0),0)</f>
        <v>0</v>
      </c>
      <c r="AO381" s="186">
        <f>IF(AO$2&lt;=AnalysisPeriod,IF(SUM($C665:AO665)&gt;0,AN381+1,0),0)</f>
        <v>0</v>
      </c>
      <c r="AP381" s="186">
        <f>IF(AP$2&lt;=AnalysisPeriod,IF(SUM($C665:AP665)&gt;0,AO381+1,0),0)</f>
        <v>0</v>
      </c>
    </row>
    <row r="382" spans="1:42">
      <c r="A382" s="204" t="s">
        <v>211</v>
      </c>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c r="AM382" s="186"/>
      <c r="AN382" s="186"/>
      <c r="AO382" s="186"/>
      <c r="AP382" s="186"/>
    </row>
    <row r="383" spans="1:42">
      <c r="A383" s="37">
        <v>1</v>
      </c>
      <c r="B383" s="196">
        <f t="shared" ref="B383:B392" si="217">SUM(C383:AP383)</f>
        <v>2944872.3435013141</v>
      </c>
      <c r="C383" s="186">
        <f t="shared" ref="C383:AP383" si="218">LOOKUP(C372,$B$367:$AP$367,$B$368:$AP$368)*$B656</f>
        <v>0</v>
      </c>
      <c r="D383" s="186">
        <f t="shared" si="218"/>
        <v>0</v>
      </c>
      <c r="E383" s="186">
        <f t="shared" si="218"/>
        <v>0</v>
      </c>
      <c r="F383" s="186">
        <f t="shared" si="218"/>
        <v>0</v>
      </c>
      <c r="G383" s="186">
        <f t="shared" si="218"/>
        <v>0</v>
      </c>
      <c r="H383" s="186">
        <f t="shared" si="218"/>
        <v>0</v>
      </c>
      <c r="I383" s="186">
        <f t="shared" si="218"/>
        <v>0</v>
      </c>
      <c r="J383" s="186">
        <f t="shared" si="218"/>
        <v>0</v>
      </c>
      <c r="K383" s="186">
        <f t="shared" si="218"/>
        <v>0</v>
      </c>
      <c r="L383" s="186">
        <f t="shared" si="218"/>
        <v>0</v>
      </c>
      <c r="M383" s="186">
        <f t="shared" si="218"/>
        <v>0</v>
      </c>
      <c r="N383" s="186">
        <f t="shared" si="218"/>
        <v>588974.46870026283</v>
      </c>
      <c r="O383" s="186">
        <f t="shared" si="218"/>
        <v>942359.14992042049</v>
      </c>
      <c r="P383" s="186">
        <f t="shared" si="218"/>
        <v>565415.48995225236</v>
      </c>
      <c r="Q383" s="186">
        <f t="shared" si="218"/>
        <v>339249.29397135135</v>
      </c>
      <c r="R383" s="186">
        <f t="shared" si="218"/>
        <v>339249.29397135135</v>
      </c>
      <c r="S383" s="186">
        <f t="shared" si="218"/>
        <v>169624.64698567567</v>
      </c>
      <c r="T383" s="186">
        <f t="shared" si="218"/>
        <v>0</v>
      </c>
      <c r="U383" s="186">
        <f t="shared" si="218"/>
        <v>0</v>
      </c>
      <c r="V383" s="186">
        <f t="shared" si="218"/>
        <v>0</v>
      </c>
      <c r="W383" s="186">
        <f t="shared" si="218"/>
        <v>0</v>
      </c>
      <c r="X383" s="186">
        <f t="shared" si="218"/>
        <v>0</v>
      </c>
      <c r="Y383" s="186">
        <f t="shared" si="218"/>
        <v>0</v>
      </c>
      <c r="Z383" s="186">
        <f t="shared" si="218"/>
        <v>0</v>
      </c>
      <c r="AA383" s="186">
        <f t="shared" si="218"/>
        <v>0</v>
      </c>
      <c r="AB383" s="186">
        <f t="shared" si="218"/>
        <v>0</v>
      </c>
      <c r="AC383" s="186">
        <f t="shared" si="218"/>
        <v>0</v>
      </c>
      <c r="AD383" s="186">
        <f t="shared" si="218"/>
        <v>0</v>
      </c>
      <c r="AE383" s="186">
        <f t="shared" si="218"/>
        <v>0</v>
      </c>
      <c r="AF383" s="186">
        <f t="shared" si="218"/>
        <v>0</v>
      </c>
      <c r="AG383" s="186">
        <f t="shared" si="218"/>
        <v>0</v>
      </c>
      <c r="AH383" s="186">
        <f t="shared" si="218"/>
        <v>0</v>
      </c>
      <c r="AI383" s="186">
        <f t="shared" si="218"/>
        <v>0</v>
      </c>
      <c r="AJ383" s="186">
        <f t="shared" si="218"/>
        <v>0</v>
      </c>
      <c r="AK383" s="186">
        <f t="shared" si="218"/>
        <v>0</v>
      </c>
      <c r="AL383" s="186">
        <f t="shared" si="218"/>
        <v>0</v>
      </c>
      <c r="AM383" s="186">
        <f t="shared" si="218"/>
        <v>0</v>
      </c>
      <c r="AN383" s="186">
        <f t="shared" si="218"/>
        <v>0</v>
      </c>
      <c r="AO383" s="186">
        <f t="shared" si="218"/>
        <v>0</v>
      </c>
      <c r="AP383" s="186">
        <f t="shared" si="218"/>
        <v>0</v>
      </c>
    </row>
    <row r="384" spans="1:42">
      <c r="A384" s="37">
        <f>A383+1</f>
        <v>2</v>
      </c>
      <c r="B384" s="196">
        <f t="shared" si="217"/>
        <v>3520942.886524681</v>
      </c>
      <c r="C384" s="186">
        <f t="shared" ref="C384:AP384" si="219">LOOKUP(C373,$B$367:$AP$367,$B$368:$AP$368)*$B657</f>
        <v>0</v>
      </c>
      <c r="D384" s="186">
        <f t="shared" si="219"/>
        <v>0</v>
      </c>
      <c r="E384" s="186">
        <f t="shared" si="219"/>
        <v>0</v>
      </c>
      <c r="F384" s="186">
        <f t="shared" si="219"/>
        <v>0</v>
      </c>
      <c r="G384" s="186">
        <f t="shared" si="219"/>
        <v>0</v>
      </c>
      <c r="H384" s="186">
        <f t="shared" si="219"/>
        <v>0</v>
      </c>
      <c r="I384" s="186">
        <f t="shared" si="219"/>
        <v>0</v>
      </c>
      <c r="J384" s="186">
        <f t="shared" si="219"/>
        <v>0</v>
      </c>
      <c r="K384" s="186">
        <f t="shared" si="219"/>
        <v>0</v>
      </c>
      <c r="L384" s="186">
        <f t="shared" si="219"/>
        <v>0</v>
      </c>
      <c r="M384" s="186">
        <f t="shared" si="219"/>
        <v>0</v>
      </c>
      <c r="N384" s="186">
        <f t="shared" si="219"/>
        <v>0</v>
      </c>
      <c r="O384" s="186">
        <f t="shared" si="219"/>
        <v>0</v>
      </c>
      <c r="P384" s="186">
        <f t="shared" si="219"/>
        <v>0</v>
      </c>
      <c r="Q384" s="186">
        <f t="shared" si="219"/>
        <v>0</v>
      </c>
      <c r="R384" s="186">
        <f t="shared" si="219"/>
        <v>0</v>
      </c>
      <c r="S384" s="186">
        <f t="shared" si="219"/>
        <v>0</v>
      </c>
      <c r="T384" s="186">
        <f t="shared" si="219"/>
        <v>0</v>
      </c>
      <c r="U384" s="186">
        <f t="shared" si="219"/>
        <v>0</v>
      </c>
      <c r="V384" s="186">
        <f t="shared" si="219"/>
        <v>0</v>
      </c>
      <c r="W384" s="186">
        <f t="shared" si="219"/>
        <v>0</v>
      </c>
      <c r="X384" s="186">
        <f t="shared" si="219"/>
        <v>0</v>
      </c>
      <c r="Y384" s="186">
        <f t="shared" si="219"/>
        <v>0</v>
      </c>
      <c r="Z384" s="186">
        <f t="shared" si="219"/>
        <v>704188.57730493625</v>
      </c>
      <c r="AA384" s="186">
        <f t="shared" si="219"/>
        <v>1126701.7236878979</v>
      </c>
      <c r="AB384" s="186">
        <f t="shared" si="219"/>
        <v>676021.03421273874</v>
      </c>
      <c r="AC384" s="186">
        <f t="shared" si="219"/>
        <v>405612.62052764324</v>
      </c>
      <c r="AD384" s="186">
        <f t="shared" si="219"/>
        <v>405612.62052764324</v>
      </c>
      <c r="AE384" s="186">
        <f t="shared" si="219"/>
        <v>202806.31026382162</v>
      </c>
      <c r="AF384" s="186">
        <f t="shared" si="219"/>
        <v>0</v>
      </c>
      <c r="AG384" s="186">
        <f t="shared" si="219"/>
        <v>0</v>
      </c>
      <c r="AH384" s="186">
        <f t="shared" si="219"/>
        <v>0</v>
      </c>
      <c r="AI384" s="186">
        <f t="shared" si="219"/>
        <v>0</v>
      </c>
      <c r="AJ384" s="186">
        <f t="shared" si="219"/>
        <v>0</v>
      </c>
      <c r="AK384" s="186">
        <f t="shared" si="219"/>
        <v>0</v>
      </c>
      <c r="AL384" s="186">
        <f t="shared" si="219"/>
        <v>0</v>
      </c>
      <c r="AM384" s="186">
        <f t="shared" si="219"/>
        <v>0</v>
      </c>
      <c r="AN384" s="186">
        <f t="shared" si="219"/>
        <v>0</v>
      </c>
      <c r="AO384" s="186">
        <f t="shared" si="219"/>
        <v>0</v>
      </c>
      <c r="AP384" s="186">
        <f t="shared" si="219"/>
        <v>0</v>
      </c>
    </row>
    <row r="385" spans="1:42">
      <c r="A385" s="37">
        <f t="shared" ref="A385:A392" si="220">A384+1</f>
        <v>3</v>
      </c>
      <c r="B385" s="196">
        <f t="shared" si="217"/>
        <v>0</v>
      </c>
      <c r="C385" s="186">
        <f t="shared" ref="C385:AP385" si="221">LOOKUP(C374,$B$367:$AP$367,$B$368:$AP$368)*$B658</f>
        <v>0</v>
      </c>
      <c r="D385" s="186">
        <f t="shared" si="221"/>
        <v>0</v>
      </c>
      <c r="E385" s="186">
        <f t="shared" si="221"/>
        <v>0</v>
      </c>
      <c r="F385" s="186">
        <f t="shared" si="221"/>
        <v>0</v>
      </c>
      <c r="G385" s="186">
        <f t="shared" si="221"/>
        <v>0</v>
      </c>
      <c r="H385" s="186">
        <f t="shared" si="221"/>
        <v>0</v>
      </c>
      <c r="I385" s="186">
        <f t="shared" si="221"/>
        <v>0</v>
      </c>
      <c r="J385" s="186">
        <f t="shared" si="221"/>
        <v>0</v>
      </c>
      <c r="K385" s="186">
        <f t="shared" si="221"/>
        <v>0</v>
      </c>
      <c r="L385" s="186">
        <f t="shared" si="221"/>
        <v>0</v>
      </c>
      <c r="M385" s="186">
        <f t="shared" si="221"/>
        <v>0</v>
      </c>
      <c r="N385" s="186">
        <f t="shared" si="221"/>
        <v>0</v>
      </c>
      <c r="O385" s="186">
        <f t="shared" si="221"/>
        <v>0</v>
      </c>
      <c r="P385" s="186">
        <f t="shared" si="221"/>
        <v>0</v>
      </c>
      <c r="Q385" s="186">
        <f t="shared" si="221"/>
        <v>0</v>
      </c>
      <c r="R385" s="186">
        <f t="shared" si="221"/>
        <v>0</v>
      </c>
      <c r="S385" s="186">
        <f t="shared" si="221"/>
        <v>0</v>
      </c>
      <c r="T385" s="186">
        <f t="shared" si="221"/>
        <v>0</v>
      </c>
      <c r="U385" s="186">
        <f t="shared" si="221"/>
        <v>0</v>
      </c>
      <c r="V385" s="186">
        <f t="shared" si="221"/>
        <v>0</v>
      </c>
      <c r="W385" s="186">
        <f t="shared" si="221"/>
        <v>0</v>
      </c>
      <c r="X385" s="186">
        <f t="shared" si="221"/>
        <v>0</v>
      </c>
      <c r="Y385" s="186">
        <f t="shared" si="221"/>
        <v>0</v>
      </c>
      <c r="Z385" s="186">
        <f t="shared" si="221"/>
        <v>0</v>
      </c>
      <c r="AA385" s="186">
        <f t="shared" si="221"/>
        <v>0</v>
      </c>
      <c r="AB385" s="186">
        <f t="shared" si="221"/>
        <v>0</v>
      </c>
      <c r="AC385" s="186">
        <f t="shared" si="221"/>
        <v>0</v>
      </c>
      <c r="AD385" s="186">
        <f t="shared" si="221"/>
        <v>0</v>
      </c>
      <c r="AE385" s="186">
        <f t="shared" si="221"/>
        <v>0</v>
      </c>
      <c r="AF385" s="186">
        <f t="shared" si="221"/>
        <v>0</v>
      </c>
      <c r="AG385" s="186">
        <f t="shared" si="221"/>
        <v>0</v>
      </c>
      <c r="AH385" s="186">
        <f t="shared" si="221"/>
        <v>0</v>
      </c>
      <c r="AI385" s="186">
        <f t="shared" si="221"/>
        <v>0</v>
      </c>
      <c r="AJ385" s="186">
        <f t="shared" si="221"/>
        <v>0</v>
      </c>
      <c r="AK385" s="186">
        <f t="shared" si="221"/>
        <v>0</v>
      </c>
      <c r="AL385" s="186">
        <f t="shared" si="221"/>
        <v>0</v>
      </c>
      <c r="AM385" s="186">
        <f t="shared" si="221"/>
        <v>0</v>
      </c>
      <c r="AN385" s="186">
        <f t="shared" si="221"/>
        <v>0</v>
      </c>
      <c r="AO385" s="186">
        <f t="shared" si="221"/>
        <v>0</v>
      </c>
      <c r="AP385" s="186">
        <f t="shared" si="221"/>
        <v>0</v>
      </c>
    </row>
    <row r="386" spans="1:42">
      <c r="A386" s="37">
        <f t="shared" si="220"/>
        <v>4</v>
      </c>
      <c r="B386" s="196">
        <f t="shared" si="217"/>
        <v>0</v>
      </c>
      <c r="C386" s="186">
        <f t="shared" ref="C386:AP386" si="222">LOOKUP(C375,$B$367:$AP$367,$B$368:$AP$368)*$B659</f>
        <v>0</v>
      </c>
      <c r="D386" s="186">
        <f t="shared" si="222"/>
        <v>0</v>
      </c>
      <c r="E386" s="186">
        <f t="shared" si="222"/>
        <v>0</v>
      </c>
      <c r="F386" s="186">
        <f t="shared" si="222"/>
        <v>0</v>
      </c>
      <c r="G386" s="186">
        <f t="shared" si="222"/>
        <v>0</v>
      </c>
      <c r="H386" s="186">
        <f t="shared" si="222"/>
        <v>0</v>
      </c>
      <c r="I386" s="186">
        <f t="shared" si="222"/>
        <v>0</v>
      </c>
      <c r="J386" s="186">
        <f t="shared" si="222"/>
        <v>0</v>
      </c>
      <c r="K386" s="186">
        <f t="shared" si="222"/>
        <v>0</v>
      </c>
      <c r="L386" s="186">
        <f t="shared" si="222"/>
        <v>0</v>
      </c>
      <c r="M386" s="186">
        <f t="shared" si="222"/>
        <v>0</v>
      </c>
      <c r="N386" s="186">
        <f t="shared" si="222"/>
        <v>0</v>
      </c>
      <c r="O386" s="186">
        <f t="shared" si="222"/>
        <v>0</v>
      </c>
      <c r="P386" s="186">
        <f t="shared" si="222"/>
        <v>0</v>
      </c>
      <c r="Q386" s="186">
        <f t="shared" si="222"/>
        <v>0</v>
      </c>
      <c r="R386" s="186">
        <f t="shared" si="222"/>
        <v>0</v>
      </c>
      <c r="S386" s="186">
        <f t="shared" si="222"/>
        <v>0</v>
      </c>
      <c r="T386" s="186">
        <f t="shared" si="222"/>
        <v>0</v>
      </c>
      <c r="U386" s="186">
        <f t="shared" si="222"/>
        <v>0</v>
      </c>
      <c r="V386" s="186">
        <f t="shared" si="222"/>
        <v>0</v>
      </c>
      <c r="W386" s="186">
        <f t="shared" si="222"/>
        <v>0</v>
      </c>
      <c r="X386" s="186">
        <f t="shared" si="222"/>
        <v>0</v>
      </c>
      <c r="Y386" s="186">
        <f t="shared" si="222"/>
        <v>0</v>
      </c>
      <c r="Z386" s="186">
        <f t="shared" si="222"/>
        <v>0</v>
      </c>
      <c r="AA386" s="186">
        <f t="shared" si="222"/>
        <v>0</v>
      </c>
      <c r="AB386" s="186">
        <f t="shared" si="222"/>
        <v>0</v>
      </c>
      <c r="AC386" s="186">
        <f t="shared" si="222"/>
        <v>0</v>
      </c>
      <c r="AD386" s="186">
        <f t="shared" si="222"/>
        <v>0</v>
      </c>
      <c r="AE386" s="186">
        <f t="shared" si="222"/>
        <v>0</v>
      </c>
      <c r="AF386" s="186">
        <f t="shared" si="222"/>
        <v>0</v>
      </c>
      <c r="AG386" s="186">
        <f t="shared" si="222"/>
        <v>0</v>
      </c>
      <c r="AH386" s="186">
        <f t="shared" si="222"/>
        <v>0</v>
      </c>
      <c r="AI386" s="186">
        <f t="shared" si="222"/>
        <v>0</v>
      </c>
      <c r="AJ386" s="186">
        <f t="shared" si="222"/>
        <v>0</v>
      </c>
      <c r="AK386" s="186">
        <f t="shared" si="222"/>
        <v>0</v>
      </c>
      <c r="AL386" s="186">
        <f t="shared" si="222"/>
        <v>0</v>
      </c>
      <c r="AM386" s="186">
        <f t="shared" si="222"/>
        <v>0</v>
      </c>
      <c r="AN386" s="186">
        <f t="shared" si="222"/>
        <v>0</v>
      </c>
      <c r="AO386" s="186">
        <f t="shared" si="222"/>
        <v>0</v>
      </c>
      <c r="AP386" s="186">
        <f t="shared" si="222"/>
        <v>0</v>
      </c>
    </row>
    <row r="387" spans="1:42">
      <c r="A387" s="37">
        <f t="shared" si="220"/>
        <v>5</v>
      </c>
      <c r="B387" s="196">
        <f t="shared" si="217"/>
        <v>0</v>
      </c>
      <c r="C387" s="186">
        <f t="shared" ref="C387:AP387" si="223">LOOKUP(C376,$B$367:$AP$367,$B$368:$AP$368)*$B660</f>
        <v>0</v>
      </c>
      <c r="D387" s="186">
        <f t="shared" si="223"/>
        <v>0</v>
      </c>
      <c r="E387" s="186">
        <f t="shared" si="223"/>
        <v>0</v>
      </c>
      <c r="F387" s="186">
        <f t="shared" si="223"/>
        <v>0</v>
      </c>
      <c r="G387" s="186">
        <f t="shared" si="223"/>
        <v>0</v>
      </c>
      <c r="H387" s="186">
        <f t="shared" si="223"/>
        <v>0</v>
      </c>
      <c r="I387" s="186">
        <f t="shared" si="223"/>
        <v>0</v>
      </c>
      <c r="J387" s="186">
        <f t="shared" si="223"/>
        <v>0</v>
      </c>
      <c r="K387" s="186">
        <f t="shared" si="223"/>
        <v>0</v>
      </c>
      <c r="L387" s="186">
        <f t="shared" si="223"/>
        <v>0</v>
      </c>
      <c r="M387" s="186">
        <f t="shared" si="223"/>
        <v>0</v>
      </c>
      <c r="N387" s="186">
        <f t="shared" si="223"/>
        <v>0</v>
      </c>
      <c r="O387" s="186">
        <f t="shared" si="223"/>
        <v>0</v>
      </c>
      <c r="P387" s="186">
        <f t="shared" si="223"/>
        <v>0</v>
      </c>
      <c r="Q387" s="186">
        <f t="shared" si="223"/>
        <v>0</v>
      </c>
      <c r="R387" s="186">
        <f t="shared" si="223"/>
        <v>0</v>
      </c>
      <c r="S387" s="186">
        <f t="shared" si="223"/>
        <v>0</v>
      </c>
      <c r="T387" s="186">
        <f t="shared" si="223"/>
        <v>0</v>
      </c>
      <c r="U387" s="186">
        <f t="shared" si="223"/>
        <v>0</v>
      </c>
      <c r="V387" s="186">
        <f t="shared" si="223"/>
        <v>0</v>
      </c>
      <c r="W387" s="186">
        <f t="shared" si="223"/>
        <v>0</v>
      </c>
      <c r="X387" s="186">
        <f t="shared" si="223"/>
        <v>0</v>
      </c>
      <c r="Y387" s="186">
        <f t="shared" si="223"/>
        <v>0</v>
      </c>
      <c r="Z387" s="186">
        <f t="shared" si="223"/>
        <v>0</v>
      </c>
      <c r="AA387" s="186">
        <f t="shared" si="223"/>
        <v>0</v>
      </c>
      <c r="AB387" s="186">
        <f t="shared" si="223"/>
        <v>0</v>
      </c>
      <c r="AC387" s="186">
        <f t="shared" si="223"/>
        <v>0</v>
      </c>
      <c r="AD387" s="186">
        <f t="shared" si="223"/>
        <v>0</v>
      </c>
      <c r="AE387" s="186">
        <f t="shared" si="223"/>
        <v>0</v>
      </c>
      <c r="AF387" s="186">
        <f t="shared" si="223"/>
        <v>0</v>
      </c>
      <c r="AG387" s="186">
        <f t="shared" si="223"/>
        <v>0</v>
      </c>
      <c r="AH387" s="186">
        <f t="shared" si="223"/>
        <v>0</v>
      </c>
      <c r="AI387" s="186">
        <f t="shared" si="223"/>
        <v>0</v>
      </c>
      <c r="AJ387" s="186">
        <f t="shared" si="223"/>
        <v>0</v>
      </c>
      <c r="AK387" s="186">
        <f t="shared" si="223"/>
        <v>0</v>
      </c>
      <c r="AL387" s="186">
        <f t="shared" si="223"/>
        <v>0</v>
      </c>
      <c r="AM387" s="186">
        <f t="shared" si="223"/>
        <v>0</v>
      </c>
      <c r="AN387" s="186">
        <f t="shared" si="223"/>
        <v>0</v>
      </c>
      <c r="AO387" s="186">
        <f t="shared" si="223"/>
        <v>0</v>
      </c>
      <c r="AP387" s="186">
        <f t="shared" si="223"/>
        <v>0</v>
      </c>
    </row>
    <row r="388" spans="1:42">
      <c r="A388" s="118">
        <f t="shared" si="220"/>
        <v>6</v>
      </c>
      <c r="B388" s="196">
        <f t="shared" si="217"/>
        <v>0</v>
      </c>
      <c r="C388" s="186">
        <f t="shared" ref="C388:AP388" si="224">LOOKUP(C377,$B$367:$AP$367,$B$368:$AP$368)*$B661</f>
        <v>0</v>
      </c>
      <c r="D388" s="186">
        <f t="shared" si="224"/>
        <v>0</v>
      </c>
      <c r="E388" s="186">
        <f t="shared" si="224"/>
        <v>0</v>
      </c>
      <c r="F388" s="186">
        <f t="shared" si="224"/>
        <v>0</v>
      </c>
      <c r="G388" s="186">
        <f t="shared" si="224"/>
        <v>0</v>
      </c>
      <c r="H388" s="186">
        <f t="shared" si="224"/>
        <v>0</v>
      </c>
      <c r="I388" s="186">
        <f t="shared" si="224"/>
        <v>0</v>
      </c>
      <c r="J388" s="186">
        <f t="shared" si="224"/>
        <v>0</v>
      </c>
      <c r="K388" s="186">
        <f t="shared" si="224"/>
        <v>0</v>
      </c>
      <c r="L388" s="186">
        <f t="shared" si="224"/>
        <v>0</v>
      </c>
      <c r="M388" s="186">
        <f t="shared" si="224"/>
        <v>0</v>
      </c>
      <c r="N388" s="186">
        <f t="shared" si="224"/>
        <v>0</v>
      </c>
      <c r="O388" s="186">
        <f t="shared" si="224"/>
        <v>0</v>
      </c>
      <c r="P388" s="186">
        <f t="shared" si="224"/>
        <v>0</v>
      </c>
      <c r="Q388" s="186">
        <f t="shared" si="224"/>
        <v>0</v>
      </c>
      <c r="R388" s="186">
        <f t="shared" si="224"/>
        <v>0</v>
      </c>
      <c r="S388" s="186">
        <f t="shared" si="224"/>
        <v>0</v>
      </c>
      <c r="T388" s="186">
        <f t="shared" si="224"/>
        <v>0</v>
      </c>
      <c r="U388" s="186">
        <f t="shared" si="224"/>
        <v>0</v>
      </c>
      <c r="V388" s="186">
        <f t="shared" si="224"/>
        <v>0</v>
      </c>
      <c r="W388" s="186">
        <f t="shared" si="224"/>
        <v>0</v>
      </c>
      <c r="X388" s="186">
        <f t="shared" si="224"/>
        <v>0</v>
      </c>
      <c r="Y388" s="186">
        <f t="shared" si="224"/>
        <v>0</v>
      </c>
      <c r="Z388" s="186">
        <f t="shared" si="224"/>
        <v>0</v>
      </c>
      <c r="AA388" s="186">
        <f t="shared" si="224"/>
        <v>0</v>
      </c>
      <c r="AB388" s="186">
        <f t="shared" si="224"/>
        <v>0</v>
      </c>
      <c r="AC388" s="186">
        <f t="shared" si="224"/>
        <v>0</v>
      </c>
      <c r="AD388" s="186">
        <f t="shared" si="224"/>
        <v>0</v>
      </c>
      <c r="AE388" s="186">
        <f t="shared" si="224"/>
        <v>0</v>
      </c>
      <c r="AF388" s="186">
        <f t="shared" si="224"/>
        <v>0</v>
      </c>
      <c r="AG388" s="186">
        <f t="shared" si="224"/>
        <v>0</v>
      </c>
      <c r="AH388" s="186">
        <f t="shared" si="224"/>
        <v>0</v>
      </c>
      <c r="AI388" s="186">
        <f t="shared" si="224"/>
        <v>0</v>
      </c>
      <c r="AJ388" s="186">
        <f t="shared" si="224"/>
        <v>0</v>
      </c>
      <c r="AK388" s="186">
        <f t="shared" si="224"/>
        <v>0</v>
      </c>
      <c r="AL388" s="186">
        <f t="shared" si="224"/>
        <v>0</v>
      </c>
      <c r="AM388" s="186">
        <f t="shared" si="224"/>
        <v>0</v>
      </c>
      <c r="AN388" s="186">
        <f t="shared" si="224"/>
        <v>0</v>
      </c>
      <c r="AO388" s="186">
        <f t="shared" si="224"/>
        <v>0</v>
      </c>
      <c r="AP388" s="186">
        <f t="shared" si="224"/>
        <v>0</v>
      </c>
    </row>
    <row r="389" spans="1:42">
      <c r="A389" s="118">
        <f t="shared" si="220"/>
        <v>7</v>
      </c>
      <c r="B389" s="196">
        <f t="shared" si="217"/>
        <v>0</v>
      </c>
      <c r="C389" s="186">
        <f t="shared" ref="C389:AP389" si="225">LOOKUP(C378,$B$367:$AP$367,$B$368:$AP$368)*$B662</f>
        <v>0</v>
      </c>
      <c r="D389" s="186">
        <f t="shared" si="225"/>
        <v>0</v>
      </c>
      <c r="E389" s="186">
        <f t="shared" si="225"/>
        <v>0</v>
      </c>
      <c r="F389" s="186">
        <f t="shared" si="225"/>
        <v>0</v>
      </c>
      <c r="G389" s="186">
        <f t="shared" si="225"/>
        <v>0</v>
      </c>
      <c r="H389" s="186">
        <f t="shared" si="225"/>
        <v>0</v>
      </c>
      <c r="I389" s="186">
        <f t="shared" si="225"/>
        <v>0</v>
      </c>
      <c r="J389" s="186">
        <f t="shared" si="225"/>
        <v>0</v>
      </c>
      <c r="K389" s="186">
        <f t="shared" si="225"/>
        <v>0</v>
      </c>
      <c r="L389" s="186">
        <f t="shared" si="225"/>
        <v>0</v>
      </c>
      <c r="M389" s="186">
        <f t="shared" si="225"/>
        <v>0</v>
      </c>
      <c r="N389" s="186">
        <f t="shared" si="225"/>
        <v>0</v>
      </c>
      <c r="O389" s="186">
        <f t="shared" si="225"/>
        <v>0</v>
      </c>
      <c r="P389" s="186">
        <f t="shared" si="225"/>
        <v>0</v>
      </c>
      <c r="Q389" s="186">
        <f t="shared" si="225"/>
        <v>0</v>
      </c>
      <c r="R389" s="186">
        <f t="shared" si="225"/>
        <v>0</v>
      </c>
      <c r="S389" s="186">
        <f t="shared" si="225"/>
        <v>0</v>
      </c>
      <c r="T389" s="186">
        <f t="shared" si="225"/>
        <v>0</v>
      </c>
      <c r="U389" s="186">
        <f t="shared" si="225"/>
        <v>0</v>
      </c>
      <c r="V389" s="186">
        <f t="shared" si="225"/>
        <v>0</v>
      </c>
      <c r="W389" s="186">
        <f t="shared" si="225"/>
        <v>0</v>
      </c>
      <c r="X389" s="186">
        <f t="shared" si="225"/>
        <v>0</v>
      </c>
      <c r="Y389" s="186">
        <f t="shared" si="225"/>
        <v>0</v>
      </c>
      <c r="Z389" s="186">
        <f t="shared" si="225"/>
        <v>0</v>
      </c>
      <c r="AA389" s="186">
        <f t="shared" si="225"/>
        <v>0</v>
      </c>
      <c r="AB389" s="186">
        <f t="shared" si="225"/>
        <v>0</v>
      </c>
      <c r="AC389" s="186">
        <f t="shared" si="225"/>
        <v>0</v>
      </c>
      <c r="AD389" s="186">
        <f t="shared" si="225"/>
        <v>0</v>
      </c>
      <c r="AE389" s="186">
        <f t="shared" si="225"/>
        <v>0</v>
      </c>
      <c r="AF389" s="186">
        <f t="shared" si="225"/>
        <v>0</v>
      </c>
      <c r="AG389" s="186">
        <f t="shared" si="225"/>
        <v>0</v>
      </c>
      <c r="AH389" s="186">
        <f t="shared" si="225"/>
        <v>0</v>
      </c>
      <c r="AI389" s="186">
        <f t="shared" si="225"/>
        <v>0</v>
      </c>
      <c r="AJ389" s="186">
        <f t="shared" si="225"/>
        <v>0</v>
      </c>
      <c r="AK389" s="186">
        <f t="shared" si="225"/>
        <v>0</v>
      </c>
      <c r="AL389" s="186">
        <f t="shared" si="225"/>
        <v>0</v>
      </c>
      <c r="AM389" s="186">
        <f t="shared" si="225"/>
        <v>0</v>
      </c>
      <c r="AN389" s="186">
        <f t="shared" si="225"/>
        <v>0</v>
      </c>
      <c r="AO389" s="186">
        <f t="shared" si="225"/>
        <v>0</v>
      </c>
      <c r="AP389" s="186">
        <f t="shared" si="225"/>
        <v>0</v>
      </c>
    </row>
    <row r="390" spans="1:42">
      <c r="A390" s="118">
        <f t="shared" si="220"/>
        <v>8</v>
      </c>
      <c r="B390" s="196">
        <f t="shared" si="217"/>
        <v>0</v>
      </c>
      <c r="C390" s="186">
        <f t="shared" ref="C390:AP390" si="226">LOOKUP(C379,$B$367:$AP$367,$B$368:$AP$368)*$B663</f>
        <v>0</v>
      </c>
      <c r="D390" s="186">
        <f t="shared" si="226"/>
        <v>0</v>
      </c>
      <c r="E390" s="186">
        <f t="shared" si="226"/>
        <v>0</v>
      </c>
      <c r="F390" s="186">
        <f t="shared" si="226"/>
        <v>0</v>
      </c>
      <c r="G390" s="186">
        <f t="shared" si="226"/>
        <v>0</v>
      </c>
      <c r="H390" s="186">
        <f t="shared" si="226"/>
        <v>0</v>
      </c>
      <c r="I390" s="186">
        <f t="shared" si="226"/>
        <v>0</v>
      </c>
      <c r="J390" s="186">
        <f t="shared" si="226"/>
        <v>0</v>
      </c>
      <c r="K390" s="186">
        <f t="shared" si="226"/>
        <v>0</v>
      </c>
      <c r="L390" s="186">
        <f t="shared" si="226"/>
        <v>0</v>
      </c>
      <c r="M390" s="186">
        <f t="shared" si="226"/>
        <v>0</v>
      </c>
      <c r="N390" s="186">
        <f t="shared" si="226"/>
        <v>0</v>
      </c>
      <c r="O390" s="186">
        <f t="shared" si="226"/>
        <v>0</v>
      </c>
      <c r="P390" s="186">
        <f t="shared" si="226"/>
        <v>0</v>
      </c>
      <c r="Q390" s="186">
        <f t="shared" si="226"/>
        <v>0</v>
      </c>
      <c r="R390" s="186">
        <f t="shared" si="226"/>
        <v>0</v>
      </c>
      <c r="S390" s="186">
        <f t="shared" si="226"/>
        <v>0</v>
      </c>
      <c r="T390" s="186">
        <f t="shared" si="226"/>
        <v>0</v>
      </c>
      <c r="U390" s="186">
        <f t="shared" si="226"/>
        <v>0</v>
      </c>
      <c r="V390" s="186">
        <f t="shared" si="226"/>
        <v>0</v>
      </c>
      <c r="W390" s="186">
        <f t="shared" si="226"/>
        <v>0</v>
      </c>
      <c r="X390" s="186">
        <f t="shared" si="226"/>
        <v>0</v>
      </c>
      <c r="Y390" s="186">
        <f t="shared" si="226"/>
        <v>0</v>
      </c>
      <c r="Z390" s="186">
        <f t="shared" si="226"/>
        <v>0</v>
      </c>
      <c r="AA390" s="186">
        <f t="shared" si="226"/>
        <v>0</v>
      </c>
      <c r="AB390" s="186">
        <f t="shared" si="226"/>
        <v>0</v>
      </c>
      <c r="AC390" s="186">
        <f t="shared" si="226"/>
        <v>0</v>
      </c>
      <c r="AD390" s="186">
        <f t="shared" si="226"/>
        <v>0</v>
      </c>
      <c r="AE390" s="186">
        <f t="shared" si="226"/>
        <v>0</v>
      </c>
      <c r="AF390" s="186">
        <f t="shared" si="226"/>
        <v>0</v>
      </c>
      <c r="AG390" s="186">
        <f t="shared" si="226"/>
        <v>0</v>
      </c>
      <c r="AH390" s="186">
        <f t="shared" si="226"/>
        <v>0</v>
      </c>
      <c r="AI390" s="186">
        <f t="shared" si="226"/>
        <v>0</v>
      </c>
      <c r="AJ390" s="186">
        <f t="shared" si="226"/>
        <v>0</v>
      </c>
      <c r="AK390" s="186">
        <f t="shared" si="226"/>
        <v>0</v>
      </c>
      <c r="AL390" s="186">
        <f t="shared" si="226"/>
        <v>0</v>
      </c>
      <c r="AM390" s="186">
        <f t="shared" si="226"/>
        <v>0</v>
      </c>
      <c r="AN390" s="186">
        <f t="shared" si="226"/>
        <v>0</v>
      </c>
      <c r="AO390" s="186">
        <f t="shared" si="226"/>
        <v>0</v>
      </c>
      <c r="AP390" s="186">
        <f t="shared" si="226"/>
        <v>0</v>
      </c>
    </row>
    <row r="391" spans="1:42">
      <c r="A391" s="118">
        <f>A390+1</f>
        <v>9</v>
      </c>
      <c r="B391" s="196">
        <f t="shared" si="217"/>
        <v>0</v>
      </c>
      <c r="C391" s="186">
        <f t="shared" ref="C391:AP391" si="227">LOOKUP(C380,$B$367:$AP$367,$B$368:$AP$368)*$B664</f>
        <v>0</v>
      </c>
      <c r="D391" s="186">
        <f t="shared" si="227"/>
        <v>0</v>
      </c>
      <c r="E391" s="186">
        <f t="shared" si="227"/>
        <v>0</v>
      </c>
      <c r="F391" s="186">
        <f t="shared" si="227"/>
        <v>0</v>
      </c>
      <c r="G391" s="186">
        <f t="shared" si="227"/>
        <v>0</v>
      </c>
      <c r="H391" s="186">
        <f t="shared" si="227"/>
        <v>0</v>
      </c>
      <c r="I391" s="186">
        <f t="shared" si="227"/>
        <v>0</v>
      </c>
      <c r="J391" s="186">
        <f t="shared" si="227"/>
        <v>0</v>
      </c>
      <c r="K391" s="186">
        <f t="shared" si="227"/>
        <v>0</v>
      </c>
      <c r="L391" s="186">
        <f t="shared" si="227"/>
        <v>0</v>
      </c>
      <c r="M391" s="186">
        <f t="shared" si="227"/>
        <v>0</v>
      </c>
      <c r="N391" s="186">
        <f t="shared" si="227"/>
        <v>0</v>
      </c>
      <c r="O391" s="186">
        <f t="shared" si="227"/>
        <v>0</v>
      </c>
      <c r="P391" s="186">
        <f t="shared" si="227"/>
        <v>0</v>
      </c>
      <c r="Q391" s="186">
        <f t="shared" si="227"/>
        <v>0</v>
      </c>
      <c r="R391" s="186">
        <f t="shared" si="227"/>
        <v>0</v>
      </c>
      <c r="S391" s="186">
        <f t="shared" si="227"/>
        <v>0</v>
      </c>
      <c r="T391" s="186">
        <f t="shared" si="227"/>
        <v>0</v>
      </c>
      <c r="U391" s="186">
        <f t="shared" si="227"/>
        <v>0</v>
      </c>
      <c r="V391" s="186">
        <f t="shared" si="227"/>
        <v>0</v>
      </c>
      <c r="W391" s="186">
        <f t="shared" si="227"/>
        <v>0</v>
      </c>
      <c r="X391" s="186">
        <f t="shared" si="227"/>
        <v>0</v>
      </c>
      <c r="Y391" s="186">
        <f t="shared" si="227"/>
        <v>0</v>
      </c>
      <c r="Z391" s="186">
        <f t="shared" si="227"/>
        <v>0</v>
      </c>
      <c r="AA391" s="186">
        <f t="shared" si="227"/>
        <v>0</v>
      </c>
      <c r="AB391" s="186">
        <f t="shared" si="227"/>
        <v>0</v>
      </c>
      <c r="AC391" s="186">
        <f t="shared" si="227"/>
        <v>0</v>
      </c>
      <c r="AD391" s="186">
        <f t="shared" si="227"/>
        <v>0</v>
      </c>
      <c r="AE391" s="186">
        <f t="shared" si="227"/>
        <v>0</v>
      </c>
      <c r="AF391" s="186">
        <f t="shared" si="227"/>
        <v>0</v>
      </c>
      <c r="AG391" s="186">
        <f t="shared" si="227"/>
        <v>0</v>
      </c>
      <c r="AH391" s="186">
        <f t="shared" si="227"/>
        <v>0</v>
      </c>
      <c r="AI391" s="186">
        <f t="shared" si="227"/>
        <v>0</v>
      </c>
      <c r="AJ391" s="186">
        <f t="shared" si="227"/>
        <v>0</v>
      </c>
      <c r="AK391" s="186">
        <f t="shared" si="227"/>
        <v>0</v>
      </c>
      <c r="AL391" s="186">
        <f t="shared" si="227"/>
        <v>0</v>
      </c>
      <c r="AM391" s="186">
        <f t="shared" si="227"/>
        <v>0</v>
      </c>
      <c r="AN391" s="186">
        <f t="shared" si="227"/>
        <v>0</v>
      </c>
      <c r="AO391" s="186">
        <f t="shared" si="227"/>
        <v>0</v>
      </c>
      <c r="AP391" s="186">
        <f t="shared" si="227"/>
        <v>0</v>
      </c>
    </row>
    <row r="392" spans="1:42">
      <c r="A392" s="118">
        <f t="shared" si="220"/>
        <v>10</v>
      </c>
      <c r="B392" s="196">
        <f t="shared" si="217"/>
        <v>0</v>
      </c>
      <c r="C392" s="221">
        <f t="shared" ref="C392:AP392" si="228">LOOKUP(C381,$B$367:$AP$367,$B$368:$AP$368)*$B665</f>
        <v>0</v>
      </c>
      <c r="D392" s="187">
        <f t="shared" si="228"/>
        <v>0</v>
      </c>
      <c r="E392" s="187">
        <f t="shared" si="228"/>
        <v>0</v>
      </c>
      <c r="F392" s="187">
        <f t="shared" si="228"/>
        <v>0</v>
      </c>
      <c r="G392" s="187">
        <f t="shared" si="228"/>
        <v>0</v>
      </c>
      <c r="H392" s="187">
        <f t="shared" si="228"/>
        <v>0</v>
      </c>
      <c r="I392" s="187">
        <f t="shared" si="228"/>
        <v>0</v>
      </c>
      <c r="J392" s="187">
        <f t="shared" si="228"/>
        <v>0</v>
      </c>
      <c r="K392" s="187">
        <f t="shared" si="228"/>
        <v>0</v>
      </c>
      <c r="L392" s="187">
        <f t="shared" si="228"/>
        <v>0</v>
      </c>
      <c r="M392" s="187">
        <f t="shared" si="228"/>
        <v>0</v>
      </c>
      <c r="N392" s="187">
        <f t="shared" si="228"/>
        <v>0</v>
      </c>
      <c r="O392" s="187">
        <f t="shared" si="228"/>
        <v>0</v>
      </c>
      <c r="P392" s="187">
        <f t="shared" si="228"/>
        <v>0</v>
      </c>
      <c r="Q392" s="187">
        <f t="shared" si="228"/>
        <v>0</v>
      </c>
      <c r="R392" s="187">
        <f t="shared" si="228"/>
        <v>0</v>
      </c>
      <c r="S392" s="187">
        <f t="shared" si="228"/>
        <v>0</v>
      </c>
      <c r="T392" s="187">
        <f t="shared" si="228"/>
        <v>0</v>
      </c>
      <c r="U392" s="187">
        <f t="shared" si="228"/>
        <v>0</v>
      </c>
      <c r="V392" s="187">
        <f t="shared" si="228"/>
        <v>0</v>
      </c>
      <c r="W392" s="187">
        <f t="shared" si="228"/>
        <v>0</v>
      </c>
      <c r="X392" s="187">
        <f t="shared" si="228"/>
        <v>0</v>
      </c>
      <c r="Y392" s="187">
        <f t="shared" si="228"/>
        <v>0</v>
      </c>
      <c r="Z392" s="187">
        <f t="shared" si="228"/>
        <v>0</v>
      </c>
      <c r="AA392" s="187">
        <f t="shared" si="228"/>
        <v>0</v>
      </c>
      <c r="AB392" s="187">
        <f t="shared" si="228"/>
        <v>0</v>
      </c>
      <c r="AC392" s="187">
        <f t="shared" si="228"/>
        <v>0</v>
      </c>
      <c r="AD392" s="187">
        <f t="shared" si="228"/>
        <v>0</v>
      </c>
      <c r="AE392" s="187">
        <f t="shared" si="228"/>
        <v>0</v>
      </c>
      <c r="AF392" s="187">
        <f t="shared" si="228"/>
        <v>0</v>
      </c>
      <c r="AG392" s="187">
        <f t="shared" si="228"/>
        <v>0</v>
      </c>
      <c r="AH392" s="187">
        <f t="shared" si="228"/>
        <v>0</v>
      </c>
      <c r="AI392" s="187">
        <f t="shared" si="228"/>
        <v>0</v>
      </c>
      <c r="AJ392" s="187">
        <f t="shared" si="228"/>
        <v>0</v>
      </c>
      <c r="AK392" s="187">
        <f t="shared" si="228"/>
        <v>0</v>
      </c>
      <c r="AL392" s="187">
        <f t="shared" si="228"/>
        <v>0</v>
      </c>
      <c r="AM392" s="187">
        <f t="shared" si="228"/>
        <v>0</v>
      </c>
      <c r="AN392" s="187">
        <f t="shared" si="228"/>
        <v>0</v>
      </c>
      <c r="AO392" s="187">
        <f t="shared" si="228"/>
        <v>0</v>
      </c>
      <c r="AP392" s="187">
        <f t="shared" si="228"/>
        <v>0</v>
      </c>
    </row>
    <row r="393" spans="1:42" s="118" customFormat="1" ht="12" customHeight="1">
      <c r="A393" s="222" t="s">
        <v>53</v>
      </c>
      <c r="B393" s="141"/>
      <c r="C393" s="141">
        <f>SUM(C383:C392)</f>
        <v>0</v>
      </c>
      <c r="D393" s="141">
        <f t="shared" ref="D393:AP393" si="229">SUM(D383:D392)</f>
        <v>0</v>
      </c>
      <c r="E393" s="141">
        <f t="shared" si="229"/>
        <v>0</v>
      </c>
      <c r="F393" s="141">
        <f t="shared" si="229"/>
        <v>0</v>
      </c>
      <c r="G393" s="141">
        <f t="shared" si="229"/>
        <v>0</v>
      </c>
      <c r="H393" s="141">
        <f t="shared" si="229"/>
        <v>0</v>
      </c>
      <c r="I393" s="141">
        <f t="shared" si="229"/>
        <v>0</v>
      </c>
      <c r="J393" s="141">
        <f t="shared" si="229"/>
        <v>0</v>
      </c>
      <c r="K393" s="141">
        <f t="shared" si="229"/>
        <v>0</v>
      </c>
      <c r="L393" s="141">
        <f t="shared" si="229"/>
        <v>0</v>
      </c>
      <c r="M393" s="141">
        <f t="shared" si="229"/>
        <v>0</v>
      </c>
      <c r="N393" s="141">
        <f t="shared" si="229"/>
        <v>588974.46870026283</v>
      </c>
      <c r="O393" s="141">
        <f t="shared" si="229"/>
        <v>942359.14992042049</v>
      </c>
      <c r="P393" s="141">
        <f t="shared" si="229"/>
        <v>565415.48995225236</v>
      </c>
      <c r="Q393" s="141">
        <f t="shared" si="229"/>
        <v>339249.29397135135</v>
      </c>
      <c r="R393" s="141">
        <f t="shared" si="229"/>
        <v>339249.29397135135</v>
      </c>
      <c r="S393" s="141">
        <f t="shared" si="229"/>
        <v>169624.64698567567</v>
      </c>
      <c r="T393" s="141">
        <f t="shared" si="229"/>
        <v>0</v>
      </c>
      <c r="U393" s="141">
        <f t="shared" si="229"/>
        <v>0</v>
      </c>
      <c r="V393" s="141">
        <f t="shared" si="229"/>
        <v>0</v>
      </c>
      <c r="W393" s="141">
        <f t="shared" si="229"/>
        <v>0</v>
      </c>
      <c r="X393" s="141">
        <f t="shared" si="229"/>
        <v>0</v>
      </c>
      <c r="Y393" s="141">
        <f t="shared" si="229"/>
        <v>0</v>
      </c>
      <c r="Z393" s="141">
        <f t="shared" si="229"/>
        <v>704188.57730493625</v>
      </c>
      <c r="AA393" s="141">
        <f t="shared" si="229"/>
        <v>1126701.7236878979</v>
      </c>
      <c r="AB393" s="141">
        <f t="shared" si="229"/>
        <v>676021.03421273874</v>
      </c>
      <c r="AC393" s="141">
        <f t="shared" si="229"/>
        <v>405612.62052764324</v>
      </c>
      <c r="AD393" s="141">
        <f t="shared" si="229"/>
        <v>405612.62052764324</v>
      </c>
      <c r="AE393" s="141">
        <f t="shared" si="229"/>
        <v>202806.31026382162</v>
      </c>
      <c r="AF393" s="141">
        <f t="shared" si="229"/>
        <v>0</v>
      </c>
      <c r="AG393" s="141">
        <f t="shared" si="229"/>
        <v>0</v>
      </c>
      <c r="AH393" s="141">
        <f t="shared" si="229"/>
        <v>0</v>
      </c>
      <c r="AI393" s="141">
        <f t="shared" si="229"/>
        <v>0</v>
      </c>
      <c r="AJ393" s="141">
        <f t="shared" si="229"/>
        <v>0</v>
      </c>
      <c r="AK393" s="141">
        <f t="shared" si="229"/>
        <v>0</v>
      </c>
      <c r="AL393" s="141">
        <f t="shared" si="229"/>
        <v>0</v>
      </c>
      <c r="AM393" s="141">
        <f t="shared" si="229"/>
        <v>0</v>
      </c>
      <c r="AN393" s="141">
        <f t="shared" si="229"/>
        <v>0</v>
      </c>
      <c r="AO393" s="141">
        <f t="shared" si="229"/>
        <v>0</v>
      </c>
      <c r="AP393" s="141">
        <f t="shared" si="229"/>
        <v>0</v>
      </c>
    </row>
    <row r="394" spans="1:42">
      <c r="A394" s="204"/>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197" t="s">
        <v>369</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204" t="s">
        <v>207</v>
      </c>
      <c r="C396" s="186"/>
      <c r="D396" s="186"/>
      <c r="E396" s="186"/>
      <c r="F396" s="186"/>
      <c r="G396" s="186"/>
      <c r="H396" s="186"/>
      <c r="I396" s="186"/>
      <c r="J396" s="186"/>
      <c r="K396" s="186"/>
      <c r="L396" s="186"/>
      <c r="M396" s="186"/>
      <c r="N396" s="186"/>
      <c r="O396" s="186"/>
      <c r="P396" s="186"/>
      <c r="Q396" s="186"/>
      <c r="R396" s="186"/>
      <c r="S396" s="186"/>
      <c r="T396" s="186"/>
      <c r="U396" s="186"/>
      <c r="V396" s="186"/>
      <c r="W396" s="186"/>
      <c r="X396" s="186"/>
      <c r="Y396" s="186"/>
      <c r="Z396" s="186"/>
      <c r="AA396" s="186"/>
      <c r="AB396" s="186"/>
      <c r="AC396" s="186"/>
      <c r="AD396" s="186"/>
      <c r="AE396" s="186"/>
      <c r="AF396" s="186"/>
      <c r="AG396" s="186"/>
      <c r="AH396" s="186"/>
      <c r="AI396" s="186"/>
      <c r="AJ396" s="186"/>
      <c r="AK396" s="186"/>
      <c r="AL396" s="186"/>
      <c r="AM396" s="186"/>
      <c r="AN396" s="186"/>
      <c r="AO396" s="186"/>
      <c r="AP396" s="186"/>
    </row>
    <row r="397" spans="1:42">
      <c r="A397" s="118">
        <v>1</v>
      </c>
      <c r="C397" s="186">
        <f>IF(C$2&lt;=AnalysisPeriod,IF(SUM($C688:C688)&gt;0,B397+1,0),0)</f>
        <v>0</v>
      </c>
      <c r="D397" s="186">
        <f>IF(D$2&lt;=AnalysisPeriod,IF(SUM($C688:D688)&gt;0,C397+1,0),0)</f>
        <v>0</v>
      </c>
      <c r="E397" s="186">
        <f>IF(E$2&lt;=AnalysisPeriod,IF(SUM($C688:E688)&gt;0,D397+1,0),0)</f>
        <v>0</v>
      </c>
      <c r="F397" s="186">
        <f>IF(F$2&lt;=AnalysisPeriod,IF(SUM($C688:F688)&gt;0,E397+1,0),0)</f>
        <v>0</v>
      </c>
      <c r="G397" s="186">
        <f>IF(G$2&lt;=AnalysisPeriod,IF(SUM($C688:G688)&gt;0,F397+1,0),0)</f>
        <v>0</v>
      </c>
      <c r="H397" s="186">
        <f>IF(H$2&lt;=AnalysisPeriod,IF(SUM($C688:H688)&gt;0,G397+1,0),0)</f>
        <v>0</v>
      </c>
      <c r="I397" s="186">
        <f>IF(I$2&lt;=AnalysisPeriod,IF(SUM($C688:I688)&gt;0,H397+1,0),0)</f>
        <v>0</v>
      </c>
      <c r="J397" s="186">
        <f>IF(J$2&lt;=AnalysisPeriod,IF(SUM($C688:J688)&gt;0,I397+1,0),0)</f>
        <v>0</v>
      </c>
      <c r="K397" s="186">
        <f>IF(K$2&lt;=AnalysisPeriod,IF(SUM($C688:K688)&gt;0,J397+1,0),0)</f>
        <v>0</v>
      </c>
      <c r="L397" s="186">
        <f>IF(L$2&lt;=AnalysisPeriod,IF(SUM($C688:L688)&gt;0,K397+1,0),0)</f>
        <v>0</v>
      </c>
      <c r="M397" s="186">
        <f>IF(M$2&lt;=AnalysisPeriod,IF(SUM($C688:M688)&gt;0,L397+1,0),0)</f>
        <v>0</v>
      </c>
      <c r="N397" s="186">
        <f>IF(N$2&lt;=AnalysisPeriod,IF(SUM($C688:N688)&gt;0,M397+1,0),0)</f>
        <v>0</v>
      </c>
      <c r="O397" s="186">
        <f>IF(O$2&lt;=AnalysisPeriod,IF(SUM($C688:O688)&gt;0,N397+1,0),0)</f>
        <v>0</v>
      </c>
      <c r="P397" s="186">
        <f>IF(P$2&lt;=AnalysisPeriod,IF(SUM($C688:P688)&gt;0,O397+1,0),0)</f>
        <v>0</v>
      </c>
      <c r="Q397" s="186">
        <f>IF(Q$2&lt;=AnalysisPeriod,IF(SUM($C688:Q688)&gt;0,P397+1,0),0)</f>
        <v>1</v>
      </c>
      <c r="R397" s="186">
        <f>IF(R$2&lt;=AnalysisPeriod,IF(SUM($C688:R688)&gt;0,Q397+1,0),0)</f>
        <v>2</v>
      </c>
      <c r="S397" s="186">
        <f>IF(S$2&lt;=AnalysisPeriod,IF(SUM($C688:S688)&gt;0,R397+1,0),0)</f>
        <v>3</v>
      </c>
      <c r="T397" s="186">
        <f>IF(T$2&lt;=AnalysisPeriod,IF(SUM($C688:T688)&gt;0,S397+1,0),0)</f>
        <v>4</v>
      </c>
      <c r="U397" s="186">
        <f>IF(U$2&lt;=AnalysisPeriod,IF(SUM($C688:U688)&gt;0,T397+1,0),0)</f>
        <v>5</v>
      </c>
      <c r="V397" s="186">
        <f>IF(V$2&lt;=AnalysisPeriod,IF(SUM($C688:V688)&gt;0,U397+1,0),0)</f>
        <v>6</v>
      </c>
      <c r="W397" s="186">
        <f>IF(W$2&lt;=AnalysisPeriod,IF(SUM($C688:W688)&gt;0,V397+1,0),0)</f>
        <v>7</v>
      </c>
      <c r="X397" s="186">
        <f>IF(X$2&lt;=AnalysisPeriod,IF(SUM($C688:X688)&gt;0,W397+1,0),0)</f>
        <v>8</v>
      </c>
      <c r="Y397" s="186">
        <f>IF(Y$2&lt;=AnalysisPeriod,IF(SUM($C688:Y688)&gt;0,X397+1,0),0)</f>
        <v>9</v>
      </c>
      <c r="Z397" s="186">
        <f>IF(Z$2&lt;=AnalysisPeriod,IF(SUM($C688:Z688)&gt;0,Y397+1,0),0)</f>
        <v>10</v>
      </c>
      <c r="AA397" s="186">
        <f>IF(AA$2&lt;=AnalysisPeriod,IF(SUM($C688:AA688)&gt;0,Z397+1,0),0)</f>
        <v>11</v>
      </c>
      <c r="AB397" s="186">
        <f>IF(AB$2&lt;=AnalysisPeriod,IF(SUM($C688:AB688)&gt;0,AA397+1,0),0)</f>
        <v>12</v>
      </c>
      <c r="AC397" s="186">
        <f>IF(AC$2&lt;=AnalysisPeriod,IF(SUM($C688:AC688)&gt;0,AB397+1,0),0)</f>
        <v>13</v>
      </c>
      <c r="AD397" s="186">
        <f>IF(AD$2&lt;=AnalysisPeriod,IF(SUM($C688:AD688)&gt;0,AC397+1,0),0)</f>
        <v>14</v>
      </c>
      <c r="AE397" s="186">
        <f>IF(AE$2&lt;=AnalysisPeriod,IF(SUM($C688:AE688)&gt;0,AD397+1,0),0)</f>
        <v>15</v>
      </c>
      <c r="AF397" s="186">
        <f>IF(AF$2&lt;=AnalysisPeriod,IF(SUM($C688:AF688)&gt;0,AE397+1,0),0)</f>
        <v>16</v>
      </c>
      <c r="AG397" s="186">
        <f>IF(AG$2&lt;=AnalysisPeriod,IF(SUM($C688:AG688)&gt;0,AF397+1,0),0)</f>
        <v>0</v>
      </c>
      <c r="AH397" s="186">
        <f>IF(AH$2&lt;=AnalysisPeriod,IF(SUM($C688:AH688)&gt;0,AG397+1,0),0)</f>
        <v>0</v>
      </c>
      <c r="AI397" s="186">
        <f>IF(AI$2&lt;=AnalysisPeriod,IF(SUM($C688:AI688)&gt;0,AH397+1,0),0)</f>
        <v>0</v>
      </c>
      <c r="AJ397" s="186">
        <f>IF(AJ$2&lt;=AnalysisPeriod,IF(SUM($C688:AJ688)&gt;0,AI397+1,0),0)</f>
        <v>0</v>
      </c>
      <c r="AK397" s="186">
        <f>IF(AK$2&lt;=AnalysisPeriod,IF(SUM($C688:AK688)&gt;0,AJ397+1,0),0)</f>
        <v>0</v>
      </c>
      <c r="AL397" s="186">
        <f>IF(AL$2&lt;=AnalysisPeriod,IF(SUM($C688:AL688)&gt;0,AK397+1,0),0)</f>
        <v>0</v>
      </c>
      <c r="AM397" s="186">
        <f>IF(AM$2&lt;=AnalysisPeriod,IF(SUM($C688:AM688)&gt;0,AL397+1,0),0)</f>
        <v>0</v>
      </c>
      <c r="AN397" s="186">
        <f>IF(AN$2&lt;=AnalysisPeriod,IF(SUM($C688:AN688)&gt;0,AM397+1,0),0)</f>
        <v>0</v>
      </c>
      <c r="AO397" s="186">
        <f>IF(AO$2&lt;=AnalysisPeriod,IF(SUM($C688:AO688)&gt;0,AN397+1,0),0)</f>
        <v>0</v>
      </c>
      <c r="AP397" s="186">
        <f>IF(AP$2&lt;=AnalysisPeriod,IF(SUM($C688:AP688)&gt;0,AO397+1,0),0)</f>
        <v>0</v>
      </c>
    </row>
    <row r="398" spans="1:42">
      <c r="A398" s="118">
        <f>A397+1</f>
        <v>2</v>
      </c>
      <c r="C398" s="186">
        <f>IF(C$2&lt;=AnalysisPeriod,IF(SUM($C689:C689)&gt;0,B398+1,0),0)</f>
        <v>0</v>
      </c>
      <c r="D398" s="186">
        <f>IF(D$2&lt;=AnalysisPeriod,IF(SUM($C689:D689)&gt;0,C398+1,0),0)</f>
        <v>0</v>
      </c>
      <c r="E398" s="186">
        <f>IF(E$2&lt;=AnalysisPeriod,IF(SUM($C689:E689)&gt;0,D398+1,0),0)</f>
        <v>0</v>
      </c>
      <c r="F398" s="186">
        <f>IF(F$2&lt;=AnalysisPeriod,IF(SUM($C689:F689)&gt;0,E398+1,0),0)</f>
        <v>0</v>
      </c>
      <c r="G398" s="186">
        <f>IF(G$2&lt;=AnalysisPeriod,IF(SUM($C689:G689)&gt;0,F398+1,0),0)</f>
        <v>0</v>
      </c>
      <c r="H398" s="186">
        <f>IF(H$2&lt;=AnalysisPeriod,IF(SUM($C689:H689)&gt;0,G398+1,0),0)</f>
        <v>0</v>
      </c>
      <c r="I398" s="186">
        <f>IF(I$2&lt;=AnalysisPeriod,IF(SUM($C689:I689)&gt;0,H398+1,0),0)</f>
        <v>0</v>
      </c>
      <c r="J398" s="186">
        <f>IF(J$2&lt;=AnalysisPeriod,IF(SUM($C689:J689)&gt;0,I398+1,0),0)</f>
        <v>0</v>
      </c>
      <c r="K398" s="186">
        <f>IF(K$2&lt;=AnalysisPeriod,IF(SUM($C689:K689)&gt;0,J398+1,0),0)</f>
        <v>0</v>
      </c>
      <c r="L398" s="186">
        <f>IF(L$2&lt;=AnalysisPeriod,IF(SUM($C689:L689)&gt;0,K398+1,0),0)</f>
        <v>0</v>
      </c>
      <c r="M398" s="186">
        <f>IF(M$2&lt;=AnalysisPeriod,IF(SUM($C689:M689)&gt;0,L398+1,0),0)</f>
        <v>0</v>
      </c>
      <c r="N398" s="186">
        <f>IF(N$2&lt;=AnalysisPeriod,IF(SUM($C689:N689)&gt;0,M398+1,0),0)</f>
        <v>0</v>
      </c>
      <c r="O398" s="186">
        <f>IF(O$2&lt;=AnalysisPeriod,IF(SUM($C689:O689)&gt;0,N398+1,0),0)</f>
        <v>0</v>
      </c>
      <c r="P398" s="186">
        <f>IF(P$2&lt;=AnalysisPeriod,IF(SUM($C689:P689)&gt;0,O398+1,0),0)</f>
        <v>0</v>
      </c>
      <c r="Q398" s="186">
        <f>IF(Q$2&lt;=AnalysisPeriod,IF(SUM($C689:Q689)&gt;0,P398+1,0),0)</f>
        <v>0</v>
      </c>
      <c r="R398" s="186">
        <f>IF(R$2&lt;=AnalysisPeriod,IF(SUM($C689:R689)&gt;0,Q398+1,0),0)</f>
        <v>0</v>
      </c>
      <c r="S398" s="186">
        <f>IF(S$2&lt;=AnalysisPeriod,IF(SUM($C689:S689)&gt;0,R398+1,0),0)</f>
        <v>0</v>
      </c>
      <c r="T398" s="186">
        <f>IF(T$2&lt;=AnalysisPeriod,IF(SUM($C689:T689)&gt;0,S398+1,0),0)</f>
        <v>0</v>
      </c>
      <c r="U398" s="186">
        <f>IF(U$2&lt;=AnalysisPeriod,IF(SUM($C689:U689)&gt;0,T398+1,0),0)</f>
        <v>0</v>
      </c>
      <c r="V398" s="186">
        <f>IF(V$2&lt;=AnalysisPeriod,IF(SUM($C689:V689)&gt;0,U398+1,0),0)</f>
        <v>0</v>
      </c>
      <c r="W398" s="186">
        <f>IF(W$2&lt;=AnalysisPeriod,IF(SUM($C689:W689)&gt;0,V398+1,0),0)</f>
        <v>0</v>
      </c>
      <c r="X398" s="186">
        <f>IF(X$2&lt;=AnalysisPeriod,IF(SUM($C689:X689)&gt;0,W398+1,0),0)</f>
        <v>0</v>
      </c>
      <c r="Y398" s="186">
        <f>IF(Y$2&lt;=AnalysisPeriod,IF(SUM($C689:Y689)&gt;0,X398+1,0),0)</f>
        <v>0</v>
      </c>
      <c r="Z398" s="186">
        <f>IF(Z$2&lt;=AnalysisPeriod,IF(SUM($C689:Z689)&gt;0,Y398+1,0),0)</f>
        <v>0</v>
      </c>
      <c r="AA398" s="186">
        <f>IF(AA$2&lt;=AnalysisPeriod,IF(SUM($C689:AA689)&gt;0,Z398+1,0),0)</f>
        <v>0</v>
      </c>
      <c r="AB398" s="186">
        <f>IF(AB$2&lt;=AnalysisPeriod,IF(SUM($C689:AB689)&gt;0,AA398+1,0),0)</f>
        <v>0</v>
      </c>
      <c r="AC398" s="186">
        <f>IF(AC$2&lt;=AnalysisPeriod,IF(SUM($C689:AC689)&gt;0,AB398+1,0),0)</f>
        <v>0</v>
      </c>
      <c r="AD398" s="186">
        <f>IF(AD$2&lt;=AnalysisPeriod,IF(SUM($C689:AD689)&gt;0,AC398+1,0),0)</f>
        <v>0</v>
      </c>
      <c r="AE398" s="186">
        <f>IF(AE$2&lt;=AnalysisPeriod,IF(SUM($C689:AE689)&gt;0,AD398+1,0),0)</f>
        <v>0</v>
      </c>
      <c r="AF398" s="186">
        <f>IF(AF$2&lt;=AnalysisPeriod,IF(SUM($C689:AF689)&gt;0,AE398+1,0),0)</f>
        <v>1</v>
      </c>
      <c r="AG398" s="186">
        <f>IF(AG$2&lt;=AnalysisPeriod,IF(SUM($C689:AG689)&gt;0,AF398+1,0),0)</f>
        <v>0</v>
      </c>
      <c r="AH398" s="186">
        <f>IF(AH$2&lt;=AnalysisPeriod,IF(SUM($C689:AH689)&gt;0,AG398+1,0),0)</f>
        <v>0</v>
      </c>
      <c r="AI398" s="186">
        <f>IF(AI$2&lt;=AnalysisPeriod,IF(SUM($C689:AI689)&gt;0,AH398+1,0),0)</f>
        <v>0</v>
      </c>
      <c r="AJ398" s="186">
        <f>IF(AJ$2&lt;=AnalysisPeriod,IF(SUM($C689:AJ689)&gt;0,AI398+1,0),0)</f>
        <v>0</v>
      </c>
      <c r="AK398" s="186">
        <f>IF(AK$2&lt;=AnalysisPeriod,IF(SUM($C689:AK689)&gt;0,AJ398+1,0),0)</f>
        <v>0</v>
      </c>
      <c r="AL398" s="186">
        <f>IF(AL$2&lt;=AnalysisPeriod,IF(SUM($C689:AL689)&gt;0,AK398+1,0),0)</f>
        <v>0</v>
      </c>
      <c r="AM398" s="186">
        <f>IF(AM$2&lt;=AnalysisPeriod,IF(SUM($C689:AM689)&gt;0,AL398+1,0),0)</f>
        <v>0</v>
      </c>
      <c r="AN398" s="186">
        <f>IF(AN$2&lt;=AnalysisPeriod,IF(SUM($C689:AN689)&gt;0,AM398+1,0),0)</f>
        <v>0</v>
      </c>
      <c r="AO398" s="186">
        <f>IF(AO$2&lt;=AnalysisPeriod,IF(SUM($C689:AO689)&gt;0,AN398+1,0),0)</f>
        <v>0</v>
      </c>
      <c r="AP398" s="186">
        <f>IF(AP$2&lt;=AnalysisPeriod,IF(SUM($C689:AP689)&gt;0,AO398+1,0),0)</f>
        <v>0</v>
      </c>
    </row>
    <row r="399" spans="1:42">
      <c r="A399" s="118">
        <f t="shared" ref="A399:A406" si="230">A398+1</f>
        <v>3</v>
      </c>
      <c r="C399" s="186">
        <f>IF(C$2&lt;=AnalysisPeriod,IF(SUM($C690:C690)&gt;0,B399+1,0),0)</f>
        <v>0</v>
      </c>
      <c r="D399" s="186">
        <f>IF(D$2&lt;=AnalysisPeriod,IF(SUM($C690:D690)&gt;0,C399+1,0),0)</f>
        <v>0</v>
      </c>
      <c r="E399" s="186">
        <f>IF(E$2&lt;=AnalysisPeriod,IF(SUM($C690:E690)&gt;0,D399+1,0),0)</f>
        <v>0</v>
      </c>
      <c r="F399" s="186">
        <f>IF(F$2&lt;=AnalysisPeriod,IF(SUM($C690:F690)&gt;0,E399+1,0),0)</f>
        <v>0</v>
      </c>
      <c r="G399" s="186">
        <f>IF(G$2&lt;=AnalysisPeriod,IF(SUM($C690:G690)&gt;0,F399+1,0),0)</f>
        <v>0</v>
      </c>
      <c r="H399" s="186">
        <f>IF(H$2&lt;=AnalysisPeriod,IF(SUM($C690:H690)&gt;0,G399+1,0),0)</f>
        <v>0</v>
      </c>
      <c r="I399" s="186">
        <f>IF(I$2&lt;=AnalysisPeriod,IF(SUM($C690:I690)&gt;0,H399+1,0),0)</f>
        <v>0</v>
      </c>
      <c r="J399" s="186">
        <f>IF(J$2&lt;=AnalysisPeriod,IF(SUM($C690:J690)&gt;0,I399+1,0),0)</f>
        <v>0</v>
      </c>
      <c r="K399" s="186">
        <f>IF(K$2&lt;=AnalysisPeriod,IF(SUM($C690:K690)&gt;0,J399+1,0),0)</f>
        <v>0</v>
      </c>
      <c r="L399" s="186">
        <f>IF(L$2&lt;=AnalysisPeriod,IF(SUM($C690:L690)&gt;0,K399+1,0),0)</f>
        <v>0</v>
      </c>
      <c r="M399" s="186">
        <f>IF(M$2&lt;=AnalysisPeriod,IF(SUM($C690:M690)&gt;0,L399+1,0),0)</f>
        <v>0</v>
      </c>
      <c r="N399" s="186">
        <f>IF(N$2&lt;=AnalysisPeriod,IF(SUM($C690:N690)&gt;0,M399+1,0),0)</f>
        <v>0</v>
      </c>
      <c r="O399" s="186">
        <f>IF(O$2&lt;=AnalysisPeriod,IF(SUM($C690:O690)&gt;0,N399+1,0),0)</f>
        <v>0</v>
      </c>
      <c r="P399" s="186">
        <f>IF(P$2&lt;=AnalysisPeriod,IF(SUM($C690:P690)&gt;0,O399+1,0),0)</f>
        <v>0</v>
      </c>
      <c r="Q399" s="186">
        <f>IF(Q$2&lt;=AnalysisPeriod,IF(SUM($C690:Q690)&gt;0,P399+1,0),0)</f>
        <v>0</v>
      </c>
      <c r="R399" s="186">
        <f>IF(R$2&lt;=AnalysisPeriod,IF(SUM($C690:R690)&gt;0,Q399+1,0),0)</f>
        <v>0</v>
      </c>
      <c r="S399" s="186">
        <f>IF(S$2&lt;=AnalysisPeriod,IF(SUM($C690:S690)&gt;0,R399+1,0),0)</f>
        <v>0</v>
      </c>
      <c r="T399" s="186">
        <f>IF(T$2&lt;=AnalysisPeriod,IF(SUM($C690:T690)&gt;0,S399+1,0),0)</f>
        <v>0</v>
      </c>
      <c r="U399" s="186">
        <f>IF(U$2&lt;=AnalysisPeriod,IF(SUM($C690:U690)&gt;0,T399+1,0),0)</f>
        <v>0</v>
      </c>
      <c r="V399" s="186">
        <f>IF(V$2&lt;=AnalysisPeriod,IF(SUM($C690:V690)&gt;0,U399+1,0),0)</f>
        <v>0</v>
      </c>
      <c r="W399" s="186">
        <f>IF(W$2&lt;=AnalysisPeriod,IF(SUM($C690:W690)&gt;0,V399+1,0),0)</f>
        <v>0</v>
      </c>
      <c r="X399" s="186">
        <f>IF(X$2&lt;=AnalysisPeriod,IF(SUM($C690:X690)&gt;0,W399+1,0),0)</f>
        <v>0</v>
      </c>
      <c r="Y399" s="186">
        <f>IF(Y$2&lt;=AnalysisPeriod,IF(SUM($C690:Y690)&gt;0,X399+1,0),0)</f>
        <v>0</v>
      </c>
      <c r="Z399" s="186">
        <f>IF(Z$2&lt;=AnalysisPeriod,IF(SUM($C690:Z690)&gt;0,Y399+1,0),0)</f>
        <v>0</v>
      </c>
      <c r="AA399" s="186">
        <f>IF(AA$2&lt;=AnalysisPeriod,IF(SUM($C690:AA690)&gt;0,Z399+1,0),0)</f>
        <v>0</v>
      </c>
      <c r="AB399" s="186">
        <f>IF(AB$2&lt;=AnalysisPeriod,IF(SUM($C690:AB690)&gt;0,AA399+1,0),0)</f>
        <v>0</v>
      </c>
      <c r="AC399" s="186">
        <f>IF(AC$2&lt;=AnalysisPeriod,IF(SUM($C690:AC690)&gt;0,AB399+1,0),0)</f>
        <v>0</v>
      </c>
      <c r="AD399" s="186">
        <f>IF(AD$2&lt;=AnalysisPeriod,IF(SUM($C690:AD690)&gt;0,AC399+1,0),0)</f>
        <v>0</v>
      </c>
      <c r="AE399" s="186">
        <f>IF(AE$2&lt;=AnalysisPeriod,IF(SUM($C690:AE690)&gt;0,AD399+1,0),0)</f>
        <v>0</v>
      </c>
      <c r="AF399" s="186">
        <f>IF(AF$2&lt;=AnalysisPeriod,IF(SUM($C690:AF690)&gt;0,AE399+1,0),0)</f>
        <v>0</v>
      </c>
      <c r="AG399" s="186">
        <f>IF(AG$2&lt;=AnalysisPeriod,IF(SUM($C690:AG690)&gt;0,AF399+1,0),0)</f>
        <v>0</v>
      </c>
      <c r="AH399" s="186">
        <f>IF(AH$2&lt;=AnalysisPeriod,IF(SUM($C690:AH690)&gt;0,AG399+1,0),0)</f>
        <v>0</v>
      </c>
      <c r="AI399" s="186">
        <f>IF(AI$2&lt;=AnalysisPeriod,IF(SUM($C690:AI690)&gt;0,AH399+1,0),0)</f>
        <v>0</v>
      </c>
      <c r="AJ399" s="186">
        <f>IF(AJ$2&lt;=AnalysisPeriod,IF(SUM($C690:AJ690)&gt;0,AI399+1,0),0)</f>
        <v>0</v>
      </c>
      <c r="AK399" s="186">
        <f>IF(AK$2&lt;=AnalysisPeriod,IF(SUM($C690:AK690)&gt;0,AJ399+1,0),0)</f>
        <v>0</v>
      </c>
      <c r="AL399" s="186">
        <f>IF(AL$2&lt;=AnalysisPeriod,IF(SUM($C690:AL690)&gt;0,AK399+1,0),0)</f>
        <v>0</v>
      </c>
      <c r="AM399" s="186">
        <f>IF(AM$2&lt;=AnalysisPeriod,IF(SUM($C690:AM690)&gt;0,AL399+1,0),0)</f>
        <v>0</v>
      </c>
      <c r="AN399" s="186">
        <f>IF(AN$2&lt;=AnalysisPeriod,IF(SUM($C690:AN690)&gt;0,AM399+1,0),0)</f>
        <v>0</v>
      </c>
      <c r="AO399" s="186">
        <f>IF(AO$2&lt;=AnalysisPeriod,IF(SUM($C690:AO690)&gt;0,AN399+1,0),0)</f>
        <v>0</v>
      </c>
      <c r="AP399" s="186">
        <f>IF(AP$2&lt;=AnalysisPeriod,IF(SUM($C690:AP690)&gt;0,AO399+1,0),0)</f>
        <v>0</v>
      </c>
    </row>
    <row r="400" spans="1:42">
      <c r="A400" s="118">
        <f t="shared" si="230"/>
        <v>4</v>
      </c>
      <c r="C400" s="186">
        <f>IF(C$2&lt;=AnalysisPeriod,IF(SUM($C691:C691)&gt;0,B400+1,0),0)</f>
        <v>0</v>
      </c>
      <c r="D400" s="186">
        <f>IF(D$2&lt;=AnalysisPeriod,IF(SUM($C691:D691)&gt;0,C400+1,0),0)</f>
        <v>0</v>
      </c>
      <c r="E400" s="186">
        <f>IF(E$2&lt;=AnalysisPeriod,IF(SUM($C691:E691)&gt;0,D400+1,0),0)</f>
        <v>0</v>
      </c>
      <c r="F400" s="186">
        <f>IF(F$2&lt;=AnalysisPeriod,IF(SUM($C691:F691)&gt;0,E400+1,0),0)</f>
        <v>0</v>
      </c>
      <c r="G400" s="186">
        <f>IF(G$2&lt;=AnalysisPeriod,IF(SUM($C691:G691)&gt;0,F400+1,0),0)</f>
        <v>0</v>
      </c>
      <c r="H400" s="186">
        <f>IF(H$2&lt;=AnalysisPeriod,IF(SUM($C691:H691)&gt;0,G400+1,0),0)</f>
        <v>0</v>
      </c>
      <c r="I400" s="186">
        <f>IF(I$2&lt;=AnalysisPeriod,IF(SUM($C691:I691)&gt;0,H400+1,0),0)</f>
        <v>0</v>
      </c>
      <c r="J400" s="186">
        <f>IF(J$2&lt;=AnalysisPeriod,IF(SUM($C691:J691)&gt;0,I400+1,0),0)</f>
        <v>0</v>
      </c>
      <c r="K400" s="186">
        <f>IF(K$2&lt;=AnalysisPeriod,IF(SUM($C691:K691)&gt;0,J400+1,0),0)</f>
        <v>0</v>
      </c>
      <c r="L400" s="186">
        <f>IF(L$2&lt;=AnalysisPeriod,IF(SUM($C691:L691)&gt;0,K400+1,0),0)</f>
        <v>0</v>
      </c>
      <c r="M400" s="186">
        <f>IF(M$2&lt;=AnalysisPeriod,IF(SUM($C691:M691)&gt;0,L400+1,0),0)</f>
        <v>0</v>
      </c>
      <c r="N400" s="186">
        <f>IF(N$2&lt;=AnalysisPeriod,IF(SUM($C691:N691)&gt;0,M400+1,0),0)</f>
        <v>0</v>
      </c>
      <c r="O400" s="186">
        <f>IF(O$2&lt;=AnalysisPeriod,IF(SUM($C691:O691)&gt;0,N400+1,0),0)</f>
        <v>0</v>
      </c>
      <c r="P400" s="186">
        <f>IF(P$2&lt;=AnalysisPeriod,IF(SUM($C691:P691)&gt;0,O400+1,0),0)</f>
        <v>0</v>
      </c>
      <c r="Q400" s="186">
        <f>IF(Q$2&lt;=AnalysisPeriod,IF(SUM($C691:Q691)&gt;0,P400+1,0),0)</f>
        <v>0</v>
      </c>
      <c r="R400" s="186">
        <f>IF(R$2&lt;=AnalysisPeriod,IF(SUM($C691:R691)&gt;0,Q400+1,0),0)</f>
        <v>0</v>
      </c>
      <c r="S400" s="186">
        <f>IF(S$2&lt;=AnalysisPeriod,IF(SUM($C691:S691)&gt;0,R400+1,0),0)</f>
        <v>0</v>
      </c>
      <c r="T400" s="186">
        <f>IF(T$2&lt;=AnalysisPeriod,IF(SUM($C691:T691)&gt;0,S400+1,0),0)</f>
        <v>0</v>
      </c>
      <c r="U400" s="186">
        <f>IF(U$2&lt;=AnalysisPeriod,IF(SUM($C691:U691)&gt;0,T400+1,0),0)</f>
        <v>0</v>
      </c>
      <c r="V400" s="186">
        <f>IF(V$2&lt;=AnalysisPeriod,IF(SUM($C691:V691)&gt;0,U400+1,0),0)</f>
        <v>0</v>
      </c>
      <c r="W400" s="186">
        <f>IF(W$2&lt;=AnalysisPeriod,IF(SUM($C691:W691)&gt;0,V400+1,0),0)</f>
        <v>0</v>
      </c>
      <c r="X400" s="186">
        <f>IF(X$2&lt;=AnalysisPeriod,IF(SUM($C691:X691)&gt;0,W400+1,0),0)</f>
        <v>0</v>
      </c>
      <c r="Y400" s="186">
        <f>IF(Y$2&lt;=AnalysisPeriod,IF(SUM($C691:Y691)&gt;0,X400+1,0),0)</f>
        <v>0</v>
      </c>
      <c r="Z400" s="186">
        <f>IF(Z$2&lt;=AnalysisPeriod,IF(SUM($C691:Z691)&gt;0,Y400+1,0),0)</f>
        <v>0</v>
      </c>
      <c r="AA400" s="186">
        <f>IF(AA$2&lt;=AnalysisPeriod,IF(SUM($C691:AA691)&gt;0,Z400+1,0),0)</f>
        <v>0</v>
      </c>
      <c r="AB400" s="186">
        <f>IF(AB$2&lt;=AnalysisPeriod,IF(SUM($C691:AB691)&gt;0,AA400+1,0),0)</f>
        <v>0</v>
      </c>
      <c r="AC400" s="186">
        <f>IF(AC$2&lt;=AnalysisPeriod,IF(SUM($C691:AC691)&gt;0,AB400+1,0),0)</f>
        <v>0</v>
      </c>
      <c r="AD400" s="186">
        <f>IF(AD$2&lt;=AnalysisPeriod,IF(SUM($C691:AD691)&gt;0,AC400+1,0),0)</f>
        <v>0</v>
      </c>
      <c r="AE400" s="186">
        <f>IF(AE$2&lt;=AnalysisPeriod,IF(SUM($C691:AE691)&gt;0,AD400+1,0),0)</f>
        <v>0</v>
      </c>
      <c r="AF400" s="186">
        <f>IF(AF$2&lt;=AnalysisPeriod,IF(SUM($C691:AF691)&gt;0,AE400+1,0),0)</f>
        <v>0</v>
      </c>
      <c r="AG400" s="186">
        <f>IF(AG$2&lt;=AnalysisPeriod,IF(SUM($C691:AG691)&gt;0,AF400+1,0),0)</f>
        <v>0</v>
      </c>
      <c r="AH400" s="186">
        <f>IF(AH$2&lt;=AnalysisPeriod,IF(SUM($C691:AH691)&gt;0,AG400+1,0),0)</f>
        <v>0</v>
      </c>
      <c r="AI400" s="186">
        <f>IF(AI$2&lt;=AnalysisPeriod,IF(SUM($C691:AI691)&gt;0,AH400+1,0),0)</f>
        <v>0</v>
      </c>
      <c r="AJ400" s="186">
        <f>IF(AJ$2&lt;=AnalysisPeriod,IF(SUM($C691:AJ691)&gt;0,AI400+1,0),0)</f>
        <v>0</v>
      </c>
      <c r="AK400" s="186">
        <f>IF(AK$2&lt;=AnalysisPeriod,IF(SUM($C691:AK691)&gt;0,AJ400+1,0),0)</f>
        <v>0</v>
      </c>
      <c r="AL400" s="186">
        <f>IF(AL$2&lt;=AnalysisPeriod,IF(SUM($C691:AL691)&gt;0,AK400+1,0),0)</f>
        <v>0</v>
      </c>
      <c r="AM400" s="186">
        <f>IF(AM$2&lt;=AnalysisPeriod,IF(SUM($C691:AM691)&gt;0,AL400+1,0),0)</f>
        <v>0</v>
      </c>
      <c r="AN400" s="186">
        <f>IF(AN$2&lt;=AnalysisPeriod,IF(SUM($C691:AN691)&gt;0,AM400+1,0),0)</f>
        <v>0</v>
      </c>
      <c r="AO400" s="186">
        <f>IF(AO$2&lt;=AnalysisPeriod,IF(SUM($C691:AO691)&gt;0,AN400+1,0),0)</f>
        <v>0</v>
      </c>
      <c r="AP400" s="186">
        <f>IF(AP$2&lt;=AnalysisPeriod,IF(SUM($C691:AP691)&gt;0,AO400+1,0),0)</f>
        <v>0</v>
      </c>
    </row>
    <row r="401" spans="1:42">
      <c r="A401" s="118">
        <f t="shared" si="230"/>
        <v>5</v>
      </c>
      <c r="C401" s="186">
        <f>IF(C$2&lt;=AnalysisPeriod,IF(SUM($C692:C692)&gt;0,B401+1,0),0)</f>
        <v>0</v>
      </c>
      <c r="D401" s="186">
        <f>IF(D$2&lt;=AnalysisPeriod,IF(SUM($C692:D692)&gt;0,C401+1,0),0)</f>
        <v>0</v>
      </c>
      <c r="E401" s="186">
        <f>IF(E$2&lt;=AnalysisPeriod,IF(SUM($C692:E692)&gt;0,D401+1,0),0)</f>
        <v>0</v>
      </c>
      <c r="F401" s="186">
        <f>IF(F$2&lt;=AnalysisPeriod,IF(SUM($C692:F692)&gt;0,E401+1,0),0)</f>
        <v>0</v>
      </c>
      <c r="G401" s="186">
        <f>IF(G$2&lt;=AnalysisPeriod,IF(SUM($C692:G692)&gt;0,F401+1,0),0)</f>
        <v>0</v>
      </c>
      <c r="H401" s="186">
        <f>IF(H$2&lt;=AnalysisPeriod,IF(SUM($C692:H692)&gt;0,G401+1,0),0)</f>
        <v>0</v>
      </c>
      <c r="I401" s="186">
        <f>IF(I$2&lt;=AnalysisPeriod,IF(SUM($C692:I692)&gt;0,H401+1,0),0)</f>
        <v>0</v>
      </c>
      <c r="J401" s="186">
        <f>IF(J$2&lt;=AnalysisPeriod,IF(SUM($C692:J692)&gt;0,I401+1,0),0)</f>
        <v>0</v>
      </c>
      <c r="K401" s="186">
        <f>IF(K$2&lt;=AnalysisPeriod,IF(SUM($C692:K692)&gt;0,J401+1,0),0)</f>
        <v>0</v>
      </c>
      <c r="L401" s="186">
        <f>IF(L$2&lt;=AnalysisPeriod,IF(SUM($C692:L692)&gt;0,K401+1,0),0)</f>
        <v>0</v>
      </c>
      <c r="M401" s="186">
        <f>IF(M$2&lt;=AnalysisPeriod,IF(SUM($C692:M692)&gt;0,L401+1,0),0)</f>
        <v>0</v>
      </c>
      <c r="N401" s="186">
        <f>IF(N$2&lt;=AnalysisPeriod,IF(SUM($C692:N692)&gt;0,M401+1,0),0)</f>
        <v>0</v>
      </c>
      <c r="O401" s="186">
        <f>IF(O$2&lt;=AnalysisPeriod,IF(SUM($C692:O692)&gt;0,N401+1,0),0)</f>
        <v>0</v>
      </c>
      <c r="P401" s="186">
        <f>IF(P$2&lt;=AnalysisPeriod,IF(SUM($C692:P692)&gt;0,O401+1,0),0)</f>
        <v>0</v>
      </c>
      <c r="Q401" s="186">
        <f>IF(Q$2&lt;=AnalysisPeriod,IF(SUM($C692:Q692)&gt;0,P401+1,0),0)</f>
        <v>0</v>
      </c>
      <c r="R401" s="186">
        <f>IF(R$2&lt;=AnalysisPeriod,IF(SUM($C692:R692)&gt;0,Q401+1,0),0)</f>
        <v>0</v>
      </c>
      <c r="S401" s="186">
        <f>IF(S$2&lt;=AnalysisPeriod,IF(SUM($C692:S692)&gt;0,R401+1,0),0)</f>
        <v>0</v>
      </c>
      <c r="T401" s="186">
        <f>IF(T$2&lt;=AnalysisPeriod,IF(SUM($C692:T692)&gt;0,S401+1,0),0)</f>
        <v>0</v>
      </c>
      <c r="U401" s="186">
        <f>IF(U$2&lt;=AnalysisPeriod,IF(SUM($C692:U692)&gt;0,T401+1,0),0)</f>
        <v>0</v>
      </c>
      <c r="V401" s="186">
        <f>IF(V$2&lt;=AnalysisPeriod,IF(SUM($C692:V692)&gt;0,U401+1,0),0)</f>
        <v>0</v>
      </c>
      <c r="W401" s="186">
        <f>IF(W$2&lt;=AnalysisPeriod,IF(SUM($C692:W692)&gt;0,V401+1,0),0)</f>
        <v>0</v>
      </c>
      <c r="X401" s="186">
        <f>IF(X$2&lt;=AnalysisPeriod,IF(SUM($C692:X692)&gt;0,W401+1,0),0)</f>
        <v>0</v>
      </c>
      <c r="Y401" s="186">
        <f>IF(Y$2&lt;=AnalysisPeriod,IF(SUM($C692:Y692)&gt;0,X401+1,0),0)</f>
        <v>0</v>
      </c>
      <c r="Z401" s="186">
        <f>IF(Z$2&lt;=AnalysisPeriod,IF(SUM($C692:Z692)&gt;0,Y401+1,0),0)</f>
        <v>0</v>
      </c>
      <c r="AA401" s="186">
        <f>IF(AA$2&lt;=AnalysisPeriod,IF(SUM($C692:AA692)&gt;0,Z401+1,0),0)</f>
        <v>0</v>
      </c>
      <c r="AB401" s="186">
        <f>IF(AB$2&lt;=AnalysisPeriod,IF(SUM($C692:AB692)&gt;0,AA401+1,0),0)</f>
        <v>0</v>
      </c>
      <c r="AC401" s="186">
        <f>IF(AC$2&lt;=AnalysisPeriod,IF(SUM($C692:AC692)&gt;0,AB401+1,0),0)</f>
        <v>0</v>
      </c>
      <c r="AD401" s="186">
        <f>IF(AD$2&lt;=AnalysisPeriod,IF(SUM($C692:AD692)&gt;0,AC401+1,0),0)</f>
        <v>0</v>
      </c>
      <c r="AE401" s="186">
        <f>IF(AE$2&lt;=AnalysisPeriod,IF(SUM($C692:AE692)&gt;0,AD401+1,0),0)</f>
        <v>0</v>
      </c>
      <c r="AF401" s="186">
        <f>IF(AF$2&lt;=AnalysisPeriod,IF(SUM($C692:AF692)&gt;0,AE401+1,0),0)</f>
        <v>0</v>
      </c>
      <c r="AG401" s="186">
        <f>IF(AG$2&lt;=AnalysisPeriod,IF(SUM($C692:AG692)&gt;0,AF401+1,0),0)</f>
        <v>0</v>
      </c>
      <c r="AH401" s="186">
        <f>IF(AH$2&lt;=AnalysisPeriod,IF(SUM($C692:AH692)&gt;0,AG401+1,0),0)</f>
        <v>0</v>
      </c>
      <c r="AI401" s="186">
        <f>IF(AI$2&lt;=AnalysisPeriod,IF(SUM($C692:AI692)&gt;0,AH401+1,0),0)</f>
        <v>0</v>
      </c>
      <c r="AJ401" s="186">
        <f>IF(AJ$2&lt;=AnalysisPeriod,IF(SUM($C692:AJ692)&gt;0,AI401+1,0),0)</f>
        <v>0</v>
      </c>
      <c r="AK401" s="186">
        <f>IF(AK$2&lt;=AnalysisPeriod,IF(SUM($C692:AK692)&gt;0,AJ401+1,0),0)</f>
        <v>0</v>
      </c>
      <c r="AL401" s="186">
        <f>IF(AL$2&lt;=AnalysisPeriod,IF(SUM($C692:AL692)&gt;0,AK401+1,0),0)</f>
        <v>0</v>
      </c>
      <c r="AM401" s="186">
        <f>IF(AM$2&lt;=AnalysisPeriod,IF(SUM($C692:AM692)&gt;0,AL401+1,0),0)</f>
        <v>0</v>
      </c>
      <c r="AN401" s="186">
        <f>IF(AN$2&lt;=AnalysisPeriod,IF(SUM($C692:AN692)&gt;0,AM401+1,0),0)</f>
        <v>0</v>
      </c>
      <c r="AO401" s="186">
        <f>IF(AO$2&lt;=AnalysisPeriod,IF(SUM($C692:AO692)&gt;0,AN401+1,0),0)</f>
        <v>0</v>
      </c>
      <c r="AP401" s="186">
        <f>IF(AP$2&lt;=AnalysisPeriod,IF(SUM($C692:AP692)&gt;0,AO401+1,0),0)</f>
        <v>0</v>
      </c>
    </row>
    <row r="402" spans="1:42">
      <c r="A402" s="118">
        <f t="shared" si="230"/>
        <v>6</v>
      </c>
      <c r="C402" s="186">
        <f>IF(C$2&lt;=AnalysisPeriod,IF(SUM($C693:C693)&gt;0,B402+1,0),0)</f>
        <v>0</v>
      </c>
      <c r="D402" s="186">
        <f>IF(D$2&lt;=AnalysisPeriod,IF(SUM($C693:D693)&gt;0,C402+1,0),0)</f>
        <v>0</v>
      </c>
      <c r="E402" s="186">
        <f>IF(E$2&lt;=AnalysisPeriod,IF(SUM($C693:E693)&gt;0,D402+1,0),0)</f>
        <v>0</v>
      </c>
      <c r="F402" s="186">
        <f>IF(F$2&lt;=AnalysisPeriod,IF(SUM($C693:F693)&gt;0,E402+1,0),0)</f>
        <v>0</v>
      </c>
      <c r="G402" s="186">
        <f>IF(G$2&lt;=AnalysisPeriod,IF(SUM($C693:G693)&gt;0,F402+1,0),0)</f>
        <v>0</v>
      </c>
      <c r="H402" s="186">
        <f>IF(H$2&lt;=AnalysisPeriod,IF(SUM($C693:H693)&gt;0,G402+1,0),0)</f>
        <v>0</v>
      </c>
      <c r="I402" s="186">
        <f>IF(I$2&lt;=AnalysisPeriod,IF(SUM($C693:I693)&gt;0,H402+1,0),0)</f>
        <v>0</v>
      </c>
      <c r="J402" s="186">
        <f>IF(J$2&lt;=AnalysisPeriod,IF(SUM($C693:J693)&gt;0,I402+1,0),0)</f>
        <v>0</v>
      </c>
      <c r="K402" s="186">
        <f>IF(K$2&lt;=AnalysisPeriod,IF(SUM($C693:K693)&gt;0,J402+1,0),0)</f>
        <v>0</v>
      </c>
      <c r="L402" s="186">
        <f>IF(L$2&lt;=AnalysisPeriod,IF(SUM($C693:L693)&gt;0,K402+1,0),0)</f>
        <v>0</v>
      </c>
      <c r="M402" s="186">
        <f>IF(M$2&lt;=AnalysisPeriod,IF(SUM($C693:M693)&gt;0,L402+1,0),0)</f>
        <v>0</v>
      </c>
      <c r="N402" s="186">
        <f>IF(N$2&lt;=AnalysisPeriod,IF(SUM($C693:N693)&gt;0,M402+1,0),0)</f>
        <v>0</v>
      </c>
      <c r="O402" s="186">
        <f>IF(O$2&lt;=AnalysisPeriod,IF(SUM($C693:O693)&gt;0,N402+1,0),0)</f>
        <v>0</v>
      </c>
      <c r="P402" s="186">
        <f>IF(P$2&lt;=AnalysisPeriod,IF(SUM($C693:P693)&gt;0,O402+1,0),0)</f>
        <v>0</v>
      </c>
      <c r="Q402" s="186">
        <f>IF(Q$2&lt;=AnalysisPeriod,IF(SUM($C693:Q693)&gt;0,P402+1,0),0)</f>
        <v>0</v>
      </c>
      <c r="R402" s="186">
        <f>IF(R$2&lt;=AnalysisPeriod,IF(SUM($C693:R693)&gt;0,Q402+1,0),0)</f>
        <v>0</v>
      </c>
      <c r="S402" s="186">
        <f>IF(S$2&lt;=AnalysisPeriod,IF(SUM($C693:S693)&gt;0,R402+1,0),0)</f>
        <v>0</v>
      </c>
      <c r="T402" s="186">
        <f>IF(T$2&lt;=AnalysisPeriod,IF(SUM($C693:T693)&gt;0,S402+1,0),0)</f>
        <v>0</v>
      </c>
      <c r="U402" s="186">
        <f>IF(U$2&lt;=AnalysisPeriod,IF(SUM($C693:U693)&gt;0,T402+1,0),0)</f>
        <v>0</v>
      </c>
      <c r="V402" s="186">
        <f>IF(V$2&lt;=AnalysisPeriod,IF(SUM($C693:V693)&gt;0,U402+1,0),0)</f>
        <v>0</v>
      </c>
      <c r="W402" s="186">
        <f>IF(W$2&lt;=AnalysisPeriod,IF(SUM($C693:W693)&gt;0,V402+1,0),0)</f>
        <v>0</v>
      </c>
      <c r="X402" s="186">
        <f>IF(X$2&lt;=AnalysisPeriod,IF(SUM($C693:X693)&gt;0,W402+1,0),0)</f>
        <v>0</v>
      </c>
      <c r="Y402" s="186">
        <f>IF(Y$2&lt;=AnalysisPeriod,IF(SUM($C693:Y693)&gt;0,X402+1,0),0)</f>
        <v>0</v>
      </c>
      <c r="Z402" s="186">
        <f>IF(Z$2&lt;=AnalysisPeriod,IF(SUM($C693:Z693)&gt;0,Y402+1,0),0)</f>
        <v>0</v>
      </c>
      <c r="AA402" s="186">
        <f>IF(AA$2&lt;=AnalysisPeriod,IF(SUM($C693:AA693)&gt;0,Z402+1,0),0)</f>
        <v>0</v>
      </c>
      <c r="AB402" s="186">
        <f>IF(AB$2&lt;=AnalysisPeriod,IF(SUM($C693:AB693)&gt;0,AA402+1,0),0)</f>
        <v>0</v>
      </c>
      <c r="AC402" s="186">
        <f>IF(AC$2&lt;=AnalysisPeriod,IF(SUM($C693:AC693)&gt;0,AB402+1,0),0)</f>
        <v>0</v>
      </c>
      <c r="AD402" s="186">
        <f>IF(AD$2&lt;=AnalysisPeriod,IF(SUM($C693:AD693)&gt;0,AC402+1,0),0)</f>
        <v>0</v>
      </c>
      <c r="AE402" s="186">
        <f>IF(AE$2&lt;=AnalysisPeriod,IF(SUM($C693:AE693)&gt;0,AD402+1,0),0)</f>
        <v>0</v>
      </c>
      <c r="AF402" s="186">
        <f>IF(AF$2&lt;=AnalysisPeriod,IF(SUM($C693:AF693)&gt;0,AE402+1,0),0)</f>
        <v>0</v>
      </c>
      <c r="AG402" s="186">
        <f>IF(AG$2&lt;=AnalysisPeriod,IF(SUM($C693:AG693)&gt;0,AF402+1,0),0)</f>
        <v>0</v>
      </c>
      <c r="AH402" s="186">
        <f>IF(AH$2&lt;=AnalysisPeriod,IF(SUM($C693:AH693)&gt;0,AG402+1,0),0)</f>
        <v>0</v>
      </c>
      <c r="AI402" s="186">
        <f>IF(AI$2&lt;=AnalysisPeriod,IF(SUM($C693:AI693)&gt;0,AH402+1,0),0)</f>
        <v>0</v>
      </c>
      <c r="AJ402" s="186">
        <f>IF(AJ$2&lt;=AnalysisPeriod,IF(SUM($C693:AJ693)&gt;0,AI402+1,0),0)</f>
        <v>0</v>
      </c>
      <c r="AK402" s="186">
        <f>IF(AK$2&lt;=AnalysisPeriod,IF(SUM($C693:AK693)&gt;0,AJ402+1,0),0)</f>
        <v>0</v>
      </c>
      <c r="AL402" s="186">
        <f>IF(AL$2&lt;=AnalysisPeriod,IF(SUM($C693:AL693)&gt;0,AK402+1,0),0)</f>
        <v>0</v>
      </c>
      <c r="AM402" s="186">
        <f>IF(AM$2&lt;=AnalysisPeriod,IF(SUM($C693:AM693)&gt;0,AL402+1,0),0)</f>
        <v>0</v>
      </c>
      <c r="AN402" s="186">
        <f>IF(AN$2&lt;=AnalysisPeriod,IF(SUM($C693:AN693)&gt;0,AM402+1,0),0)</f>
        <v>0</v>
      </c>
      <c r="AO402" s="186">
        <f>IF(AO$2&lt;=AnalysisPeriod,IF(SUM($C693:AO693)&gt;0,AN402+1,0),0)</f>
        <v>0</v>
      </c>
      <c r="AP402" s="186">
        <f>IF(AP$2&lt;=AnalysisPeriod,IF(SUM($C693:AP693)&gt;0,AO402+1,0),0)</f>
        <v>0</v>
      </c>
    </row>
    <row r="403" spans="1:42">
      <c r="A403" s="118">
        <f t="shared" si="230"/>
        <v>7</v>
      </c>
      <c r="C403" s="186">
        <f>IF(C$2&lt;=AnalysisPeriod,IF(SUM($C694:C694)&gt;0,B403+1,0),0)</f>
        <v>0</v>
      </c>
      <c r="D403" s="186">
        <f>IF(D$2&lt;=AnalysisPeriod,IF(SUM($C694:D694)&gt;0,C403+1,0),0)</f>
        <v>0</v>
      </c>
      <c r="E403" s="186">
        <f>IF(E$2&lt;=AnalysisPeriod,IF(SUM($C694:E694)&gt;0,D403+1,0),0)</f>
        <v>0</v>
      </c>
      <c r="F403" s="186">
        <f>IF(F$2&lt;=AnalysisPeriod,IF(SUM($C694:F694)&gt;0,E403+1,0),0)</f>
        <v>0</v>
      </c>
      <c r="G403" s="186">
        <f>IF(G$2&lt;=AnalysisPeriod,IF(SUM($C694:G694)&gt;0,F403+1,0),0)</f>
        <v>0</v>
      </c>
      <c r="H403" s="186">
        <f>IF(H$2&lt;=AnalysisPeriod,IF(SUM($C694:H694)&gt;0,G403+1,0),0)</f>
        <v>0</v>
      </c>
      <c r="I403" s="186">
        <f>IF(I$2&lt;=AnalysisPeriod,IF(SUM($C694:I694)&gt;0,H403+1,0),0)</f>
        <v>0</v>
      </c>
      <c r="J403" s="186">
        <f>IF(J$2&lt;=AnalysisPeriod,IF(SUM($C694:J694)&gt;0,I403+1,0),0)</f>
        <v>0</v>
      </c>
      <c r="K403" s="186">
        <f>IF(K$2&lt;=AnalysisPeriod,IF(SUM($C694:K694)&gt;0,J403+1,0),0)</f>
        <v>0</v>
      </c>
      <c r="L403" s="186">
        <f>IF(L$2&lt;=AnalysisPeriod,IF(SUM($C694:L694)&gt;0,K403+1,0),0)</f>
        <v>0</v>
      </c>
      <c r="M403" s="186">
        <f>IF(M$2&lt;=AnalysisPeriod,IF(SUM($C694:M694)&gt;0,L403+1,0),0)</f>
        <v>0</v>
      </c>
      <c r="N403" s="186">
        <f>IF(N$2&lt;=AnalysisPeriod,IF(SUM($C694:N694)&gt;0,M403+1,0),0)</f>
        <v>0</v>
      </c>
      <c r="O403" s="186">
        <f>IF(O$2&lt;=AnalysisPeriod,IF(SUM($C694:O694)&gt;0,N403+1,0),0)</f>
        <v>0</v>
      </c>
      <c r="P403" s="186">
        <f>IF(P$2&lt;=AnalysisPeriod,IF(SUM($C694:P694)&gt;0,O403+1,0),0)</f>
        <v>0</v>
      </c>
      <c r="Q403" s="186">
        <f>IF(Q$2&lt;=AnalysisPeriod,IF(SUM($C694:Q694)&gt;0,P403+1,0),0)</f>
        <v>0</v>
      </c>
      <c r="R403" s="186">
        <f>IF(R$2&lt;=AnalysisPeriod,IF(SUM($C694:R694)&gt;0,Q403+1,0),0)</f>
        <v>0</v>
      </c>
      <c r="S403" s="186">
        <f>IF(S$2&lt;=AnalysisPeriod,IF(SUM($C694:S694)&gt;0,R403+1,0),0)</f>
        <v>0</v>
      </c>
      <c r="T403" s="186">
        <f>IF(T$2&lt;=AnalysisPeriod,IF(SUM($C694:T694)&gt;0,S403+1,0),0)</f>
        <v>0</v>
      </c>
      <c r="U403" s="186">
        <f>IF(U$2&lt;=AnalysisPeriod,IF(SUM($C694:U694)&gt;0,T403+1,0),0)</f>
        <v>0</v>
      </c>
      <c r="V403" s="186">
        <f>IF(V$2&lt;=AnalysisPeriod,IF(SUM($C694:V694)&gt;0,U403+1,0),0)</f>
        <v>0</v>
      </c>
      <c r="W403" s="186">
        <f>IF(W$2&lt;=AnalysisPeriod,IF(SUM($C694:W694)&gt;0,V403+1,0),0)</f>
        <v>0</v>
      </c>
      <c r="X403" s="186">
        <f>IF(X$2&lt;=AnalysisPeriod,IF(SUM($C694:X694)&gt;0,W403+1,0),0)</f>
        <v>0</v>
      </c>
      <c r="Y403" s="186">
        <f>IF(Y$2&lt;=AnalysisPeriod,IF(SUM($C694:Y694)&gt;0,X403+1,0),0)</f>
        <v>0</v>
      </c>
      <c r="Z403" s="186">
        <f>IF(Z$2&lt;=AnalysisPeriod,IF(SUM($C694:Z694)&gt;0,Y403+1,0),0)</f>
        <v>0</v>
      </c>
      <c r="AA403" s="186">
        <f>IF(AA$2&lt;=AnalysisPeriod,IF(SUM($C694:AA694)&gt;0,Z403+1,0),0)</f>
        <v>0</v>
      </c>
      <c r="AB403" s="186">
        <f>IF(AB$2&lt;=AnalysisPeriod,IF(SUM($C694:AB694)&gt;0,AA403+1,0),0)</f>
        <v>0</v>
      </c>
      <c r="AC403" s="186">
        <f>IF(AC$2&lt;=AnalysisPeriod,IF(SUM($C694:AC694)&gt;0,AB403+1,0),0)</f>
        <v>0</v>
      </c>
      <c r="AD403" s="186">
        <f>IF(AD$2&lt;=AnalysisPeriod,IF(SUM($C694:AD694)&gt;0,AC403+1,0),0)</f>
        <v>0</v>
      </c>
      <c r="AE403" s="186">
        <f>IF(AE$2&lt;=AnalysisPeriod,IF(SUM($C694:AE694)&gt;0,AD403+1,0),0)</f>
        <v>0</v>
      </c>
      <c r="AF403" s="186">
        <f>IF(AF$2&lt;=AnalysisPeriod,IF(SUM($C694:AF694)&gt;0,AE403+1,0),0)</f>
        <v>0</v>
      </c>
      <c r="AG403" s="186">
        <f>IF(AG$2&lt;=AnalysisPeriod,IF(SUM($C694:AG694)&gt;0,AF403+1,0),0)</f>
        <v>0</v>
      </c>
      <c r="AH403" s="186">
        <f>IF(AH$2&lt;=AnalysisPeriod,IF(SUM($C694:AH694)&gt;0,AG403+1,0),0)</f>
        <v>0</v>
      </c>
      <c r="AI403" s="186">
        <f>IF(AI$2&lt;=AnalysisPeriod,IF(SUM($C694:AI694)&gt;0,AH403+1,0),0)</f>
        <v>0</v>
      </c>
      <c r="AJ403" s="186">
        <f>IF(AJ$2&lt;=AnalysisPeriod,IF(SUM($C694:AJ694)&gt;0,AI403+1,0),0)</f>
        <v>0</v>
      </c>
      <c r="AK403" s="186">
        <f>IF(AK$2&lt;=AnalysisPeriod,IF(SUM($C694:AK694)&gt;0,AJ403+1,0),0)</f>
        <v>0</v>
      </c>
      <c r="AL403" s="186">
        <f>IF(AL$2&lt;=AnalysisPeriod,IF(SUM($C694:AL694)&gt;0,AK403+1,0),0)</f>
        <v>0</v>
      </c>
      <c r="AM403" s="186">
        <f>IF(AM$2&lt;=AnalysisPeriod,IF(SUM($C694:AM694)&gt;0,AL403+1,0),0)</f>
        <v>0</v>
      </c>
      <c r="AN403" s="186">
        <f>IF(AN$2&lt;=AnalysisPeriod,IF(SUM($C694:AN694)&gt;0,AM403+1,0),0)</f>
        <v>0</v>
      </c>
      <c r="AO403" s="186">
        <f>IF(AO$2&lt;=AnalysisPeriod,IF(SUM($C694:AO694)&gt;0,AN403+1,0),0)</f>
        <v>0</v>
      </c>
      <c r="AP403" s="186">
        <f>IF(AP$2&lt;=AnalysisPeriod,IF(SUM($C694:AP694)&gt;0,AO403+1,0),0)</f>
        <v>0</v>
      </c>
    </row>
    <row r="404" spans="1:42">
      <c r="A404" s="118">
        <f t="shared" si="230"/>
        <v>8</v>
      </c>
      <c r="C404" s="186">
        <f>IF(C$2&lt;=AnalysisPeriod,IF(SUM($C695:C695)&gt;0,B404+1,0),0)</f>
        <v>0</v>
      </c>
      <c r="D404" s="186">
        <f>IF(D$2&lt;=AnalysisPeriod,IF(SUM($C695:D695)&gt;0,C404+1,0),0)</f>
        <v>0</v>
      </c>
      <c r="E404" s="186">
        <f>IF(E$2&lt;=AnalysisPeriod,IF(SUM($C695:E695)&gt;0,D404+1,0),0)</f>
        <v>0</v>
      </c>
      <c r="F404" s="186">
        <f>IF(F$2&lt;=AnalysisPeriod,IF(SUM($C695:F695)&gt;0,E404+1,0),0)</f>
        <v>0</v>
      </c>
      <c r="G404" s="186">
        <f>IF(G$2&lt;=AnalysisPeriod,IF(SUM($C695:G695)&gt;0,F404+1,0),0)</f>
        <v>0</v>
      </c>
      <c r="H404" s="186">
        <f>IF(H$2&lt;=AnalysisPeriod,IF(SUM($C695:H695)&gt;0,G404+1,0),0)</f>
        <v>0</v>
      </c>
      <c r="I404" s="186">
        <f>IF(I$2&lt;=AnalysisPeriod,IF(SUM($C695:I695)&gt;0,H404+1,0),0)</f>
        <v>0</v>
      </c>
      <c r="J404" s="186">
        <f>IF(J$2&lt;=AnalysisPeriod,IF(SUM($C695:J695)&gt;0,I404+1,0),0)</f>
        <v>0</v>
      </c>
      <c r="K404" s="186">
        <f>IF(K$2&lt;=AnalysisPeriod,IF(SUM($C695:K695)&gt;0,J404+1,0),0)</f>
        <v>0</v>
      </c>
      <c r="L404" s="186">
        <f>IF(L$2&lt;=AnalysisPeriod,IF(SUM($C695:L695)&gt;0,K404+1,0),0)</f>
        <v>0</v>
      </c>
      <c r="M404" s="186">
        <f>IF(M$2&lt;=AnalysisPeriod,IF(SUM($C695:M695)&gt;0,L404+1,0),0)</f>
        <v>0</v>
      </c>
      <c r="N404" s="186">
        <f>IF(N$2&lt;=AnalysisPeriod,IF(SUM($C695:N695)&gt;0,M404+1,0),0)</f>
        <v>0</v>
      </c>
      <c r="O404" s="186">
        <f>IF(O$2&lt;=AnalysisPeriod,IF(SUM($C695:O695)&gt;0,N404+1,0),0)</f>
        <v>0</v>
      </c>
      <c r="P404" s="186">
        <f>IF(P$2&lt;=AnalysisPeriod,IF(SUM($C695:P695)&gt;0,O404+1,0),0)</f>
        <v>0</v>
      </c>
      <c r="Q404" s="186">
        <f>IF(Q$2&lt;=AnalysisPeriod,IF(SUM($C695:Q695)&gt;0,P404+1,0),0)</f>
        <v>0</v>
      </c>
      <c r="R404" s="186">
        <f>IF(R$2&lt;=AnalysisPeriod,IF(SUM($C695:R695)&gt;0,Q404+1,0),0)</f>
        <v>0</v>
      </c>
      <c r="S404" s="186">
        <f>IF(S$2&lt;=AnalysisPeriod,IF(SUM($C695:S695)&gt;0,R404+1,0),0)</f>
        <v>0</v>
      </c>
      <c r="T404" s="186">
        <f>IF(T$2&lt;=AnalysisPeriod,IF(SUM($C695:T695)&gt;0,S404+1,0),0)</f>
        <v>0</v>
      </c>
      <c r="U404" s="186">
        <f>IF(U$2&lt;=AnalysisPeriod,IF(SUM($C695:U695)&gt;0,T404+1,0),0)</f>
        <v>0</v>
      </c>
      <c r="V404" s="186">
        <f>IF(V$2&lt;=AnalysisPeriod,IF(SUM($C695:V695)&gt;0,U404+1,0),0)</f>
        <v>0</v>
      </c>
      <c r="W404" s="186">
        <f>IF(W$2&lt;=AnalysisPeriod,IF(SUM($C695:W695)&gt;0,V404+1,0),0)</f>
        <v>0</v>
      </c>
      <c r="X404" s="186">
        <f>IF(X$2&lt;=AnalysisPeriod,IF(SUM($C695:X695)&gt;0,W404+1,0),0)</f>
        <v>0</v>
      </c>
      <c r="Y404" s="186">
        <f>IF(Y$2&lt;=AnalysisPeriod,IF(SUM($C695:Y695)&gt;0,X404+1,0),0)</f>
        <v>0</v>
      </c>
      <c r="Z404" s="186">
        <f>IF(Z$2&lt;=AnalysisPeriod,IF(SUM($C695:Z695)&gt;0,Y404+1,0),0)</f>
        <v>0</v>
      </c>
      <c r="AA404" s="186">
        <f>IF(AA$2&lt;=AnalysisPeriod,IF(SUM($C695:AA695)&gt;0,Z404+1,0),0)</f>
        <v>0</v>
      </c>
      <c r="AB404" s="186">
        <f>IF(AB$2&lt;=AnalysisPeriod,IF(SUM($C695:AB695)&gt;0,AA404+1,0),0)</f>
        <v>0</v>
      </c>
      <c r="AC404" s="186">
        <f>IF(AC$2&lt;=AnalysisPeriod,IF(SUM($C695:AC695)&gt;0,AB404+1,0),0)</f>
        <v>0</v>
      </c>
      <c r="AD404" s="186">
        <f>IF(AD$2&lt;=AnalysisPeriod,IF(SUM($C695:AD695)&gt;0,AC404+1,0),0)</f>
        <v>0</v>
      </c>
      <c r="AE404" s="186">
        <f>IF(AE$2&lt;=AnalysisPeriod,IF(SUM($C695:AE695)&gt;0,AD404+1,0),0)</f>
        <v>0</v>
      </c>
      <c r="AF404" s="186">
        <f>IF(AF$2&lt;=AnalysisPeriod,IF(SUM($C695:AF695)&gt;0,AE404+1,0),0)</f>
        <v>0</v>
      </c>
      <c r="AG404" s="186">
        <f>IF(AG$2&lt;=AnalysisPeriod,IF(SUM($C695:AG695)&gt;0,AF404+1,0),0)</f>
        <v>0</v>
      </c>
      <c r="AH404" s="186">
        <f>IF(AH$2&lt;=AnalysisPeriod,IF(SUM($C695:AH695)&gt;0,AG404+1,0),0)</f>
        <v>0</v>
      </c>
      <c r="AI404" s="186">
        <f>IF(AI$2&lt;=AnalysisPeriod,IF(SUM($C695:AI695)&gt;0,AH404+1,0),0)</f>
        <v>0</v>
      </c>
      <c r="AJ404" s="186">
        <f>IF(AJ$2&lt;=AnalysisPeriod,IF(SUM($C695:AJ695)&gt;0,AI404+1,0),0)</f>
        <v>0</v>
      </c>
      <c r="AK404" s="186">
        <f>IF(AK$2&lt;=AnalysisPeriod,IF(SUM($C695:AK695)&gt;0,AJ404+1,0),0)</f>
        <v>0</v>
      </c>
      <c r="AL404" s="186">
        <f>IF(AL$2&lt;=AnalysisPeriod,IF(SUM($C695:AL695)&gt;0,AK404+1,0),0)</f>
        <v>0</v>
      </c>
      <c r="AM404" s="186">
        <f>IF(AM$2&lt;=AnalysisPeriod,IF(SUM($C695:AM695)&gt;0,AL404+1,0),0)</f>
        <v>0</v>
      </c>
      <c r="AN404" s="186">
        <f>IF(AN$2&lt;=AnalysisPeriod,IF(SUM($C695:AN695)&gt;0,AM404+1,0),0)</f>
        <v>0</v>
      </c>
      <c r="AO404" s="186">
        <f>IF(AO$2&lt;=AnalysisPeriod,IF(SUM($C695:AO695)&gt;0,AN404+1,0),0)</f>
        <v>0</v>
      </c>
      <c r="AP404" s="186">
        <f>IF(AP$2&lt;=AnalysisPeriod,IF(SUM($C695:AP695)&gt;0,AO404+1,0),0)</f>
        <v>0</v>
      </c>
    </row>
    <row r="405" spans="1:42">
      <c r="A405" s="118">
        <f>A404+1</f>
        <v>9</v>
      </c>
      <c r="C405" s="186">
        <f>IF(C$2&lt;=AnalysisPeriod,IF(SUM($C696:C696)&gt;0,B405+1,0),0)</f>
        <v>0</v>
      </c>
      <c r="D405" s="186">
        <f>IF(D$2&lt;=AnalysisPeriod,IF(SUM($C696:D696)&gt;0,C405+1,0),0)</f>
        <v>0</v>
      </c>
      <c r="E405" s="186">
        <f>IF(E$2&lt;=AnalysisPeriod,IF(SUM($C696:E696)&gt;0,D405+1,0),0)</f>
        <v>0</v>
      </c>
      <c r="F405" s="186">
        <f>IF(F$2&lt;=AnalysisPeriod,IF(SUM($C696:F696)&gt;0,E405+1,0),0)</f>
        <v>0</v>
      </c>
      <c r="G405" s="186">
        <f>IF(G$2&lt;=AnalysisPeriod,IF(SUM($C696:G696)&gt;0,F405+1,0),0)</f>
        <v>0</v>
      </c>
      <c r="H405" s="186">
        <f>IF(H$2&lt;=AnalysisPeriod,IF(SUM($C696:H696)&gt;0,G405+1,0),0)</f>
        <v>0</v>
      </c>
      <c r="I405" s="186">
        <f>IF(I$2&lt;=AnalysisPeriod,IF(SUM($C696:I696)&gt;0,H405+1,0),0)</f>
        <v>0</v>
      </c>
      <c r="J405" s="186">
        <f>IF(J$2&lt;=AnalysisPeriod,IF(SUM($C696:J696)&gt;0,I405+1,0),0)</f>
        <v>0</v>
      </c>
      <c r="K405" s="186">
        <f>IF(K$2&lt;=AnalysisPeriod,IF(SUM($C696:K696)&gt;0,J405+1,0),0)</f>
        <v>0</v>
      </c>
      <c r="L405" s="186">
        <f>IF(L$2&lt;=AnalysisPeriod,IF(SUM($C696:L696)&gt;0,K405+1,0),0)</f>
        <v>0</v>
      </c>
      <c r="M405" s="186">
        <f>IF(M$2&lt;=AnalysisPeriod,IF(SUM($C696:M696)&gt;0,L405+1,0),0)</f>
        <v>0</v>
      </c>
      <c r="N405" s="186">
        <f>IF(N$2&lt;=AnalysisPeriod,IF(SUM($C696:N696)&gt;0,M405+1,0),0)</f>
        <v>0</v>
      </c>
      <c r="O405" s="186">
        <f>IF(O$2&lt;=AnalysisPeriod,IF(SUM($C696:O696)&gt;0,N405+1,0),0)</f>
        <v>0</v>
      </c>
      <c r="P405" s="186">
        <f>IF(P$2&lt;=AnalysisPeriod,IF(SUM($C696:P696)&gt;0,O405+1,0),0)</f>
        <v>0</v>
      </c>
      <c r="Q405" s="186">
        <f>IF(Q$2&lt;=AnalysisPeriod,IF(SUM($C696:Q696)&gt;0,P405+1,0),0)</f>
        <v>0</v>
      </c>
      <c r="R405" s="186">
        <f>IF(R$2&lt;=AnalysisPeriod,IF(SUM($C696:R696)&gt;0,Q405+1,0),0)</f>
        <v>0</v>
      </c>
      <c r="S405" s="186">
        <f>IF(S$2&lt;=AnalysisPeriod,IF(SUM($C696:S696)&gt;0,R405+1,0),0)</f>
        <v>0</v>
      </c>
      <c r="T405" s="186">
        <f>IF(T$2&lt;=AnalysisPeriod,IF(SUM($C696:T696)&gt;0,S405+1,0),0)</f>
        <v>0</v>
      </c>
      <c r="U405" s="186">
        <f>IF(U$2&lt;=AnalysisPeriod,IF(SUM($C696:U696)&gt;0,T405+1,0),0)</f>
        <v>0</v>
      </c>
      <c r="V405" s="186">
        <f>IF(V$2&lt;=AnalysisPeriod,IF(SUM($C696:V696)&gt;0,U405+1,0),0)</f>
        <v>0</v>
      </c>
      <c r="W405" s="186">
        <f>IF(W$2&lt;=AnalysisPeriod,IF(SUM($C696:W696)&gt;0,V405+1,0),0)</f>
        <v>0</v>
      </c>
      <c r="X405" s="186">
        <f>IF(X$2&lt;=AnalysisPeriod,IF(SUM($C696:X696)&gt;0,W405+1,0),0)</f>
        <v>0</v>
      </c>
      <c r="Y405" s="186">
        <f>IF(Y$2&lt;=AnalysisPeriod,IF(SUM($C696:Y696)&gt;0,X405+1,0),0)</f>
        <v>0</v>
      </c>
      <c r="Z405" s="186">
        <f>IF(Z$2&lt;=AnalysisPeriod,IF(SUM($C696:Z696)&gt;0,Y405+1,0),0)</f>
        <v>0</v>
      </c>
      <c r="AA405" s="186">
        <f>IF(AA$2&lt;=AnalysisPeriod,IF(SUM($C696:AA696)&gt;0,Z405+1,0),0)</f>
        <v>0</v>
      </c>
      <c r="AB405" s="186">
        <f>IF(AB$2&lt;=AnalysisPeriod,IF(SUM($C696:AB696)&gt;0,AA405+1,0),0)</f>
        <v>0</v>
      </c>
      <c r="AC405" s="186">
        <f>IF(AC$2&lt;=AnalysisPeriod,IF(SUM($C696:AC696)&gt;0,AB405+1,0),0)</f>
        <v>0</v>
      </c>
      <c r="AD405" s="186">
        <f>IF(AD$2&lt;=AnalysisPeriod,IF(SUM($C696:AD696)&gt;0,AC405+1,0),0)</f>
        <v>0</v>
      </c>
      <c r="AE405" s="186">
        <f>IF(AE$2&lt;=AnalysisPeriod,IF(SUM($C696:AE696)&gt;0,AD405+1,0),0)</f>
        <v>0</v>
      </c>
      <c r="AF405" s="186">
        <f>IF(AF$2&lt;=AnalysisPeriod,IF(SUM($C696:AF696)&gt;0,AE405+1,0),0)</f>
        <v>0</v>
      </c>
      <c r="AG405" s="186">
        <f>IF(AG$2&lt;=AnalysisPeriod,IF(SUM($C696:AG696)&gt;0,AF405+1,0),0)</f>
        <v>0</v>
      </c>
      <c r="AH405" s="186">
        <f>IF(AH$2&lt;=AnalysisPeriod,IF(SUM($C696:AH696)&gt;0,AG405+1,0),0)</f>
        <v>0</v>
      </c>
      <c r="AI405" s="186">
        <f>IF(AI$2&lt;=AnalysisPeriod,IF(SUM($C696:AI696)&gt;0,AH405+1,0),0)</f>
        <v>0</v>
      </c>
      <c r="AJ405" s="186">
        <f>IF(AJ$2&lt;=AnalysisPeriod,IF(SUM($C696:AJ696)&gt;0,AI405+1,0),0)</f>
        <v>0</v>
      </c>
      <c r="AK405" s="186">
        <f>IF(AK$2&lt;=AnalysisPeriod,IF(SUM($C696:AK696)&gt;0,AJ405+1,0),0)</f>
        <v>0</v>
      </c>
      <c r="AL405" s="186">
        <f>IF(AL$2&lt;=AnalysisPeriod,IF(SUM($C696:AL696)&gt;0,AK405+1,0),0)</f>
        <v>0</v>
      </c>
      <c r="AM405" s="186">
        <f>IF(AM$2&lt;=AnalysisPeriod,IF(SUM($C696:AM696)&gt;0,AL405+1,0),0)</f>
        <v>0</v>
      </c>
      <c r="AN405" s="186">
        <f>IF(AN$2&lt;=AnalysisPeriod,IF(SUM($C696:AN696)&gt;0,AM405+1,0),0)</f>
        <v>0</v>
      </c>
      <c r="AO405" s="186">
        <f>IF(AO$2&lt;=AnalysisPeriod,IF(SUM($C696:AO696)&gt;0,AN405+1,0),0)</f>
        <v>0</v>
      </c>
      <c r="AP405" s="186">
        <f>IF(AP$2&lt;=AnalysisPeriod,IF(SUM($C696:AP696)&gt;0,AO405+1,0),0)</f>
        <v>0</v>
      </c>
    </row>
    <row r="406" spans="1:42">
      <c r="A406" s="118">
        <f t="shared" si="230"/>
        <v>10</v>
      </c>
      <c r="C406" s="186">
        <f>IF(C$2&lt;=AnalysisPeriod,IF(SUM($C697:C697)&gt;0,B406+1,0),0)</f>
        <v>0</v>
      </c>
      <c r="D406" s="186">
        <f>IF(D$2&lt;=AnalysisPeriod,IF(SUM($C697:D697)&gt;0,C406+1,0),0)</f>
        <v>0</v>
      </c>
      <c r="E406" s="186">
        <f>IF(E$2&lt;=AnalysisPeriod,IF(SUM($C697:E697)&gt;0,D406+1,0),0)</f>
        <v>0</v>
      </c>
      <c r="F406" s="186">
        <f>IF(F$2&lt;=AnalysisPeriod,IF(SUM($C697:F697)&gt;0,E406+1,0),0)</f>
        <v>0</v>
      </c>
      <c r="G406" s="186">
        <f>IF(G$2&lt;=AnalysisPeriod,IF(SUM($C697:G697)&gt;0,F406+1,0),0)</f>
        <v>0</v>
      </c>
      <c r="H406" s="186">
        <f>IF(H$2&lt;=AnalysisPeriod,IF(SUM($C697:H697)&gt;0,G406+1,0),0)</f>
        <v>0</v>
      </c>
      <c r="I406" s="186">
        <f>IF(I$2&lt;=AnalysisPeriod,IF(SUM($C697:I697)&gt;0,H406+1,0),0)</f>
        <v>0</v>
      </c>
      <c r="J406" s="186">
        <f>IF(J$2&lt;=AnalysisPeriod,IF(SUM($C697:J697)&gt;0,I406+1,0),0)</f>
        <v>0</v>
      </c>
      <c r="K406" s="186">
        <f>IF(K$2&lt;=AnalysisPeriod,IF(SUM($C697:K697)&gt;0,J406+1,0),0)</f>
        <v>0</v>
      </c>
      <c r="L406" s="186">
        <f>IF(L$2&lt;=AnalysisPeriod,IF(SUM($C697:L697)&gt;0,K406+1,0),0)</f>
        <v>0</v>
      </c>
      <c r="M406" s="186">
        <f>IF(M$2&lt;=AnalysisPeriod,IF(SUM($C697:M697)&gt;0,L406+1,0),0)</f>
        <v>0</v>
      </c>
      <c r="N406" s="186">
        <f>IF(N$2&lt;=AnalysisPeriod,IF(SUM($C697:N697)&gt;0,M406+1,0),0)</f>
        <v>0</v>
      </c>
      <c r="O406" s="186">
        <f>IF(O$2&lt;=AnalysisPeriod,IF(SUM($C697:O697)&gt;0,N406+1,0),0)</f>
        <v>0</v>
      </c>
      <c r="P406" s="186">
        <f>IF(P$2&lt;=AnalysisPeriod,IF(SUM($C697:P697)&gt;0,O406+1,0),0)</f>
        <v>0</v>
      </c>
      <c r="Q406" s="186">
        <f>IF(Q$2&lt;=AnalysisPeriod,IF(SUM($C697:Q697)&gt;0,P406+1,0),0)</f>
        <v>0</v>
      </c>
      <c r="R406" s="186">
        <f>IF(R$2&lt;=AnalysisPeriod,IF(SUM($C697:R697)&gt;0,Q406+1,0),0)</f>
        <v>0</v>
      </c>
      <c r="S406" s="186">
        <f>IF(S$2&lt;=AnalysisPeriod,IF(SUM($C697:S697)&gt;0,R406+1,0),0)</f>
        <v>0</v>
      </c>
      <c r="T406" s="186">
        <f>IF(T$2&lt;=AnalysisPeriod,IF(SUM($C697:T697)&gt;0,S406+1,0),0)</f>
        <v>0</v>
      </c>
      <c r="U406" s="186">
        <f>IF(U$2&lt;=AnalysisPeriod,IF(SUM($C697:U697)&gt;0,T406+1,0),0)</f>
        <v>0</v>
      </c>
      <c r="V406" s="186">
        <f>IF(V$2&lt;=AnalysisPeriod,IF(SUM($C697:V697)&gt;0,U406+1,0),0)</f>
        <v>0</v>
      </c>
      <c r="W406" s="186">
        <f>IF(W$2&lt;=AnalysisPeriod,IF(SUM($C697:W697)&gt;0,V406+1,0),0)</f>
        <v>0</v>
      </c>
      <c r="X406" s="186">
        <f>IF(X$2&lt;=AnalysisPeriod,IF(SUM($C697:X697)&gt;0,W406+1,0),0)</f>
        <v>0</v>
      </c>
      <c r="Y406" s="186">
        <f>IF(Y$2&lt;=AnalysisPeriod,IF(SUM($C697:Y697)&gt;0,X406+1,0),0)</f>
        <v>0</v>
      </c>
      <c r="Z406" s="186">
        <f>IF(Z$2&lt;=AnalysisPeriod,IF(SUM($C697:Z697)&gt;0,Y406+1,0),0)</f>
        <v>0</v>
      </c>
      <c r="AA406" s="186">
        <f>IF(AA$2&lt;=AnalysisPeriod,IF(SUM($C697:AA697)&gt;0,Z406+1,0),0)</f>
        <v>0</v>
      </c>
      <c r="AB406" s="186">
        <f>IF(AB$2&lt;=AnalysisPeriod,IF(SUM($C697:AB697)&gt;0,AA406+1,0),0)</f>
        <v>0</v>
      </c>
      <c r="AC406" s="186">
        <f>IF(AC$2&lt;=AnalysisPeriod,IF(SUM($C697:AC697)&gt;0,AB406+1,0),0)</f>
        <v>0</v>
      </c>
      <c r="AD406" s="186">
        <f>IF(AD$2&lt;=AnalysisPeriod,IF(SUM($C697:AD697)&gt;0,AC406+1,0),0)</f>
        <v>0</v>
      </c>
      <c r="AE406" s="186">
        <f>IF(AE$2&lt;=AnalysisPeriod,IF(SUM($C697:AE697)&gt;0,AD406+1,0),0)</f>
        <v>0</v>
      </c>
      <c r="AF406" s="186">
        <f>IF(AF$2&lt;=AnalysisPeriod,IF(SUM($C697:AF697)&gt;0,AE406+1,0),0)</f>
        <v>0</v>
      </c>
      <c r="AG406" s="186">
        <f>IF(AG$2&lt;=AnalysisPeriod,IF(SUM($C697:AG697)&gt;0,AF406+1,0),0)</f>
        <v>0</v>
      </c>
      <c r="AH406" s="186">
        <f>IF(AH$2&lt;=AnalysisPeriod,IF(SUM($C697:AH697)&gt;0,AG406+1,0),0)</f>
        <v>0</v>
      </c>
      <c r="AI406" s="186">
        <f>IF(AI$2&lt;=AnalysisPeriod,IF(SUM($C697:AI697)&gt;0,AH406+1,0),0)</f>
        <v>0</v>
      </c>
      <c r="AJ406" s="186">
        <f>IF(AJ$2&lt;=AnalysisPeriod,IF(SUM($C697:AJ697)&gt;0,AI406+1,0),0)</f>
        <v>0</v>
      </c>
      <c r="AK406" s="186">
        <f>IF(AK$2&lt;=AnalysisPeriod,IF(SUM($C697:AK697)&gt;0,AJ406+1,0),0)</f>
        <v>0</v>
      </c>
      <c r="AL406" s="186">
        <f>IF(AL$2&lt;=AnalysisPeriod,IF(SUM($C697:AL697)&gt;0,AK406+1,0),0)</f>
        <v>0</v>
      </c>
      <c r="AM406" s="186">
        <f>IF(AM$2&lt;=AnalysisPeriod,IF(SUM($C697:AM697)&gt;0,AL406+1,0),0)</f>
        <v>0</v>
      </c>
      <c r="AN406" s="186">
        <f>IF(AN$2&lt;=AnalysisPeriod,IF(SUM($C697:AN697)&gt;0,AM406+1,0),0)</f>
        <v>0</v>
      </c>
      <c r="AO406" s="186">
        <f>IF(AO$2&lt;=AnalysisPeriod,IF(SUM($C697:AO697)&gt;0,AN406+1,0),0)</f>
        <v>0</v>
      </c>
      <c r="AP406" s="186">
        <f>IF(AP$2&lt;=AnalysisPeriod,IF(SUM($C697:AP697)&gt;0,AO406+1,0),0)</f>
        <v>0</v>
      </c>
    </row>
    <row r="407" spans="1:42">
      <c r="A407" s="204"/>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204" t="s">
        <v>211</v>
      </c>
      <c r="C408" s="186"/>
      <c r="D408" s="186"/>
      <c r="E408" s="186"/>
      <c r="F408" s="186"/>
      <c r="G408" s="186"/>
      <c r="H408" s="186"/>
      <c r="I408" s="186"/>
      <c r="J408" s="186"/>
      <c r="K408" s="186"/>
      <c r="L408" s="186"/>
      <c r="M408" s="186"/>
      <c r="N408" s="186"/>
      <c r="O408" s="186"/>
      <c r="P408" s="186"/>
      <c r="Q408" s="186"/>
      <c r="R408" s="186"/>
      <c r="S408" s="186"/>
      <c r="T408" s="186"/>
      <c r="U408" s="186"/>
      <c r="V408" s="186"/>
      <c r="W408" s="186"/>
      <c r="X408" s="186"/>
      <c r="Y408" s="186"/>
      <c r="Z408" s="186"/>
      <c r="AA408" s="186"/>
      <c r="AB408" s="186"/>
      <c r="AC408" s="186"/>
      <c r="AD408" s="186"/>
      <c r="AE408" s="186"/>
      <c r="AF408" s="186"/>
      <c r="AG408" s="186"/>
      <c r="AH408" s="186"/>
      <c r="AI408" s="186"/>
      <c r="AJ408" s="186"/>
      <c r="AK408" s="186"/>
      <c r="AL408" s="186"/>
      <c r="AM408" s="186"/>
      <c r="AN408" s="186"/>
      <c r="AO408" s="186"/>
      <c r="AP408" s="186"/>
    </row>
    <row r="409" spans="1:42">
      <c r="A409" s="118">
        <v>1</v>
      </c>
      <c r="B409" s="196">
        <f t="shared" ref="B409:B418" si="231">SUM(C409:AP409)</f>
        <v>6158778.6534697898</v>
      </c>
      <c r="C409" s="225">
        <f t="shared" ref="C409:AP409" si="232">LOOKUP(C397,$B$367:$AP$367,$B$368:$AP$368)*$B688</f>
        <v>0</v>
      </c>
      <c r="D409" s="186">
        <f t="shared" si="232"/>
        <v>0</v>
      </c>
      <c r="E409" s="186">
        <f t="shared" si="232"/>
        <v>0</v>
      </c>
      <c r="F409" s="186">
        <f t="shared" si="232"/>
        <v>0</v>
      </c>
      <c r="G409" s="186">
        <f t="shared" si="232"/>
        <v>0</v>
      </c>
      <c r="H409" s="186">
        <f t="shared" si="232"/>
        <v>0</v>
      </c>
      <c r="I409" s="186">
        <f t="shared" si="232"/>
        <v>0</v>
      </c>
      <c r="J409" s="186">
        <f t="shared" si="232"/>
        <v>0</v>
      </c>
      <c r="K409" s="186">
        <f t="shared" si="232"/>
        <v>0</v>
      </c>
      <c r="L409" s="186">
        <f t="shared" si="232"/>
        <v>0</v>
      </c>
      <c r="M409" s="186">
        <f t="shared" si="232"/>
        <v>0</v>
      </c>
      <c r="N409" s="186">
        <f t="shared" si="232"/>
        <v>0</v>
      </c>
      <c r="O409" s="186">
        <f t="shared" si="232"/>
        <v>0</v>
      </c>
      <c r="P409" s="186">
        <f t="shared" si="232"/>
        <v>0</v>
      </c>
      <c r="Q409" s="186">
        <f t="shared" si="232"/>
        <v>1231755.7306939578</v>
      </c>
      <c r="R409" s="186">
        <f t="shared" si="232"/>
        <v>1970809.1691103324</v>
      </c>
      <c r="S409" s="186">
        <f t="shared" si="232"/>
        <v>1182485.5014661995</v>
      </c>
      <c r="T409" s="186">
        <f t="shared" si="232"/>
        <v>709491.30087971967</v>
      </c>
      <c r="U409" s="186">
        <f t="shared" si="232"/>
        <v>709491.30087971967</v>
      </c>
      <c r="V409" s="186">
        <f t="shared" si="232"/>
        <v>354745.65043985983</v>
      </c>
      <c r="W409" s="186">
        <f t="shared" si="232"/>
        <v>0</v>
      </c>
      <c r="X409" s="186">
        <f t="shared" si="232"/>
        <v>0</v>
      </c>
      <c r="Y409" s="186">
        <f t="shared" si="232"/>
        <v>0</v>
      </c>
      <c r="Z409" s="186">
        <f t="shared" si="232"/>
        <v>0</v>
      </c>
      <c r="AA409" s="186">
        <f t="shared" si="232"/>
        <v>0</v>
      </c>
      <c r="AB409" s="186">
        <f t="shared" si="232"/>
        <v>0</v>
      </c>
      <c r="AC409" s="186">
        <f t="shared" si="232"/>
        <v>0</v>
      </c>
      <c r="AD409" s="186">
        <f t="shared" si="232"/>
        <v>0</v>
      </c>
      <c r="AE409" s="186">
        <f t="shared" si="232"/>
        <v>0</v>
      </c>
      <c r="AF409" s="186">
        <f t="shared" si="232"/>
        <v>0</v>
      </c>
      <c r="AG409" s="186">
        <f t="shared" si="232"/>
        <v>0</v>
      </c>
      <c r="AH409" s="186">
        <f t="shared" si="232"/>
        <v>0</v>
      </c>
      <c r="AI409" s="186">
        <f t="shared" si="232"/>
        <v>0</v>
      </c>
      <c r="AJ409" s="186">
        <f t="shared" si="232"/>
        <v>0</v>
      </c>
      <c r="AK409" s="186">
        <f t="shared" si="232"/>
        <v>0</v>
      </c>
      <c r="AL409" s="186">
        <f t="shared" si="232"/>
        <v>0</v>
      </c>
      <c r="AM409" s="186">
        <f t="shared" si="232"/>
        <v>0</v>
      </c>
      <c r="AN409" s="186">
        <f t="shared" si="232"/>
        <v>0</v>
      </c>
      <c r="AO409" s="186">
        <f t="shared" si="232"/>
        <v>0</v>
      </c>
      <c r="AP409" s="186">
        <f t="shared" si="232"/>
        <v>0</v>
      </c>
    </row>
    <row r="410" spans="1:42">
      <c r="A410" s="118">
        <f>A409+1</f>
        <v>2</v>
      </c>
      <c r="B410" s="196">
        <f t="shared" si="231"/>
        <v>1539980.512798867</v>
      </c>
      <c r="C410" s="225">
        <f t="shared" ref="C410:AP410" si="233">LOOKUP(C398,$B$367:$AP$367,$B$368:$AP$368)*$B689</f>
        <v>0</v>
      </c>
      <c r="D410" s="186">
        <f t="shared" si="233"/>
        <v>0</v>
      </c>
      <c r="E410" s="186">
        <f t="shared" si="233"/>
        <v>0</v>
      </c>
      <c r="F410" s="186">
        <f t="shared" si="233"/>
        <v>0</v>
      </c>
      <c r="G410" s="186">
        <f t="shared" si="233"/>
        <v>0</v>
      </c>
      <c r="H410" s="186">
        <f t="shared" si="233"/>
        <v>0</v>
      </c>
      <c r="I410" s="186">
        <f t="shared" si="233"/>
        <v>0</v>
      </c>
      <c r="J410" s="186">
        <f t="shared" si="233"/>
        <v>0</v>
      </c>
      <c r="K410" s="186">
        <f t="shared" si="233"/>
        <v>0</v>
      </c>
      <c r="L410" s="186">
        <f t="shared" si="233"/>
        <v>0</v>
      </c>
      <c r="M410" s="186">
        <f t="shared" si="233"/>
        <v>0</v>
      </c>
      <c r="N410" s="186">
        <f t="shared" si="233"/>
        <v>0</v>
      </c>
      <c r="O410" s="186">
        <f t="shared" si="233"/>
        <v>0</v>
      </c>
      <c r="P410" s="186">
        <f t="shared" si="233"/>
        <v>0</v>
      </c>
      <c r="Q410" s="186">
        <f t="shared" si="233"/>
        <v>0</v>
      </c>
      <c r="R410" s="186">
        <f t="shared" si="233"/>
        <v>0</v>
      </c>
      <c r="S410" s="186">
        <f t="shared" si="233"/>
        <v>0</v>
      </c>
      <c r="T410" s="186">
        <f t="shared" si="233"/>
        <v>0</v>
      </c>
      <c r="U410" s="186">
        <f t="shared" si="233"/>
        <v>0</v>
      </c>
      <c r="V410" s="186">
        <f t="shared" si="233"/>
        <v>0</v>
      </c>
      <c r="W410" s="186">
        <f t="shared" si="233"/>
        <v>0</v>
      </c>
      <c r="X410" s="186">
        <f t="shared" si="233"/>
        <v>0</v>
      </c>
      <c r="Y410" s="186">
        <f t="shared" si="233"/>
        <v>0</v>
      </c>
      <c r="Z410" s="186">
        <f t="shared" si="233"/>
        <v>0</v>
      </c>
      <c r="AA410" s="186">
        <f t="shared" si="233"/>
        <v>0</v>
      </c>
      <c r="AB410" s="186">
        <f t="shared" si="233"/>
        <v>0</v>
      </c>
      <c r="AC410" s="186">
        <f t="shared" si="233"/>
        <v>0</v>
      </c>
      <c r="AD410" s="186">
        <f t="shared" si="233"/>
        <v>0</v>
      </c>
      <c r="AE410" s="186">
        <f t="shared" si="233"/>
        <v>0</v>
      </c>
      <c r="AF410" s="186">
        <f t="shared" si="233"/>
        <v>1539980.512798867</v>
      </c>
      <c r="AG410" s="186">
        <f t="shared" si="233"/>
        <v>0</v>
      </c>
      <c r="AH410" s="186">
        <f t="shared" si="233"/>
        <v>0</v>
      </c>
      <c r="AI410" s="186">
        <f t="shared" si="233"/>
        <v>0</v>
      </c>
      <c r="AJ410" s="186">
        <f t="shared" si="233"/>
        <v>0</v>
      </c>
      <c r="AK410" s="186">
        <f t="shared" si="233"/>
        <v>0</v>
      </c>
      <c r="AL410" s="186">
        <f t="shared" si="233"/>
        <v>0</v>
      </c>
      <c r="AM410" s="186">
        <f t="shared" si="233"/>
        <v>0</v>
      </c>
      <c r="AN410" s="186">
        <f t="shared" si="233"/>
        <v>0</v>
      </c>
      <c r="AO410" s="186">
        <f t="shared" si="233"/>
        <v>0</v>
      </c>
      <c r="AP410" s="186">
        <f t="shared" si="233"/>
        <v>0</v>
      </c>
    </row>
    <row r="411" spans="1:42">
      <c r="A411" s="118">
        <f t="shared" ref="A411:A418" si="234">A410+1</f>
        <v>3</v>
      </c>
      <c r="B411" s="196">
        <f t="shared" si="231"/>
        <v>0</v>
      </c>
      <c r="C411" s="225">
        <f t="shared" ref="C411:AP411" si="235">LOOKUP(C399,$B$367:$AP$367,$B$368:$AP$368)*$B690</f>
        <v>0</v>
      </c>
      <c r="D411" s="186">
        <f t="shared" si="235"/>
        <v>0</v>
      </c>
      <c r="E411" s="186">
        <f t="shared" si="235"/>
        <v>0</v>
      </c>
      <c r="F411" s="186">
        <f t="shared" si="235"/>
        <v>0</v>
      </c>
      <c r="G411" s="186">
        <f t="shared" si="235"/>
        <v>0</v>
      </c>
      <c r="H411" s="186">
        <f t="shared" si="235"/>
        <v>0</v>
      </c>
      <c r="I411" s="186">
        <f t="shared" si="235"/>
        <v>0</v>
      </c>
      <c r="J411" s="186">
        <f t="shared" si="235"/>
        <v>0</v>
      </c>
      <c r="K411" s="186">
        <f t="shared" si="235"/>
        <v>0</v>
      </c>
      <c r="L411" s="186">
        <f t="shared" si="235"/>
        <v>0</v>
      </c>
      <c r="M411" s="186">
        <f t="shared" si="235"/>
        <v>0</v>
      </c>
      <c r="N411" s="186">
        <f t="shared" si="235"/>
        <v>0</v>
      </c>
      <c r="O411" s="186">
        <f t="shared" si="235"/>
        <v>0</v>
      </c>
      <c r="P411" s="186">
        <f t="shared" si="235"/>
        <v>0</v>
      </c>
      <c r="Q411" s="186">
        <f t="shared" si="235"/>
        <v>0</v>
      </c>
      <c r="R411" s="186">
        <f t="shared" si="235"/>
        <v>0</v>
      </c>
      <c r="S411" s="186">
        <f t="shared" si="235"/>
        <v>0</v>
      </c>
      <c r="T411" s="186">
        <f t="shared" si="235"/>
        <v>0</v>
      </c>
      <c r="U411" s="186">
        <f t="shared" si="235"/>
        <v>0</v>
      </c>
      <c r="V411" s="186">
        <f t="shared" si="235"/>
        <v>0</v>
      </c>
      <c r="W411" s="186">
        <f t="shared" si="235"/>
        <v>0</v>
      </c>
      <c r="X411" s="186">
        <f t="shared" si="235"/>
        <v>0</v>
      </c>
      <c r="Y411" s="186">
        <f t="shared" si="235"/>
        <v>0</v>
      </c>
      <c r="Z411" s="186">
        <f t="shared" si="235"/>
        <v>0</v>
      </c>
      <c r="AA411" s="186">
        <f t="shared" si="235"/>
        <v>0</v>
      </c>
      <c r="AB411" s="186">
        <f t="shared" si="235"/>
        <v>0</v>
      </c>
      <c r="AC411" s="186">
        <f t="shared" si="235"/>
        <v>0</v>
      </c>
      <c r="AD411" s="186">
        <f t="shared" si="235"/>
        <v>0</v>
      </c>
      <c r="AE411" s="186">
        <f t="shared" si="235"/>
        <v>0</v>
      </c>
      <c r="AF411" s="186">
        <f t="shared" si="235"/>
        <v>0</v>
      </c>
      <c r="AG411" s="186">
        <f t="shared" si="235"/>
        <v>0</v>
      </c>
      <c r="AH411" s="186">
        <f t="shared" si="235"/>
        <v>0</v>
      </c>
      <c r="AI411" s="186">
        <f t="shared" si="235"/>
        <v>0</v>
      </c>
      <c r="AJ411" s="186">
        <f t="shared" si="235"/>
        <v>0</v>
      </c>
      <c r="AK411" s="186">
        <f t="shared" si="235"/>
        <v>0</v>
      </c>
      <c r="AL411" s="186">
        <f t="shared" si="235"/>
        <v>0</v>
      </c>
      <c r="AM411" s="186">
        <f t="shared" si="235"/>
        <v>0</v>
      </c>
      <c r="AN411" s="186">
        <f t="shared" si="235"/>
        <v>0</v>
      </c>
      <c r="AO411" s="186">
        <f t="shared" si="235"/>
        <v>0</v>
      </c>
      <c r="AP411" s="186">
        <f t="shared" si="235"/>
        <v>0</v>
      </c>
    </row>
    <row r="412" spans="1:42">
      <c r="A412" s="118">
        <f t="shared" si="234"/>
        <v>4</v>
      </c>
      <c r="B412" s="196">
        <f t="shared" si="231"/>
        <v>0</v>
      </c>
      <c r="C412" s="225">
        <f t="shared" ref="C412:AP412" si="236">LOOKUP(C400,$B$367:$AP$367,$B$368:$AP$368)*$B691</f>
        <v>0</v>
      </c>
      <c r="D412" s="186">
        <f t="shared" si="236"/>
        <v>0</v>
      </c>
      <c r="E412" s="186">
        <f t="shared" si="236"/>
        <v>0</v>
      </c>
      <c r="F412" s="186">
        <f t="shared" si="236"/>
        <v>0</v>
      </c>
      <c r="G412" s="186">
        <f t="shared" si="236"/>
        <v>0</v>
      </c>
      <c r="H412" s="186">
        <f t="shared" si="236"/>
        <v>0</v>
      </c>
      <c r="I412" s="186">
        <f t="shared" si="236"/>
        <v>0</v>
      </c>
      <c r="J412" s="186">
        <f t="shared" si="236"/>
        <v>0</v>
      </c>
      <c r="K412" s="186">
        <f t="shared" si="236"/>
        <v>0</v>
      </c>
      <c r="L412" s="186">
        <f t="shared" si="236"/>
        <v>0</v>
      </c>
      <c r="M412" s="186">
        <f t="shared" si="236"/>
        <v>0</v>
      </c>
      <c r="N412" s="186">
        <f t="shared" si="236"/>
        <v>0</v>
      </c>
      <c r="O412" s="186">
        <f t="shared" si="236"/>
        <v>0</v>
      </c>
      <c r="P412" s="186">
        <f t="shared" si="236"/>
        <v>0</v>
      </c>
      <c r="Q412" s="186">
        <f t="shared" si="236"/>
        <v>0</v>
      </c>
      <c r="R412" s="186">
        <f t="shared" si="236"/>
        <v>0</v>
      </c>
      <c r="S412" s="186">
        <f t="shared" si="236"/>
        <v>0</v>
      </c>
      <c r="T412" s="186">
        <f t="shared" si="236"/>
        <v>0</v>
      </c>
      <c r="U412" s="186">
        <f t="shared" si="236"/>
        <v>0</v>
      </c>
      <c r="V412" s="186">
        <f t="shared" si="236"/>
        <v>0</v>
      </c>
      <c r="W412" s="186">
        <f t="shared" si="236"/>
        <v>0</v>
      </c>
      <c r="X412" s="186">
        <f t="shared" si="236"/>
        <v>0</v>
      </c>
      <c r="Y412" s="186">
        <f t="shared" si="236"/>
        <v>0</v>
      </c>
      <c r="Z412" s="186">
        <f t="shared" si="236"/>
        <v>0</v>
      </c>
      <c r="AA412" s="186">
        <f t="shared" si="236"/>
        <v>0</v>
      </c>
      <c r="AB412" s="186">
        <f t="shared" si="236"/>
        <v>0</v>
      </c>
      <c r="AC412" s="186">
        <f t="shared" si="236"/>
        <v>0</v>
      </c>
      <c r="AD412" s="186">
        <f t="shared" si="236"/>
        <v>0</v>
      </c>
      <c r="AE412" s="186">
        <f t="shared" si="236"/>
        <v>0</v>
      </c>
      <c r="AF412" s="186">
        <f t="shared" si="236"/>
        <v>0</v>
      </c>
      <c r="AG412" s="186">
        <f t="shared" si="236"/>
        <v>0</v>
      </c>
      <c r="AH412" s="186">
        <f t="shared" si="236"/>
        <v>0</v>
      </c>
      <c r="AI412" s="186">
        <f t="shared" si="236"/>
        <v>0</v>
      </c>
      <c r="AJ412" s="186">
        <f t="shared" si="236"/>
        <v>0</v>
      </c>
      <c r="AK412" s="186">
        <f t="shared" si="236"/>
        <v>0</v>
      </c>
      <c r="AL412" s="186">
        <f t="shared" si="236"/>
        <v>0</v>
      </c>
      <c r="AM412" s="186">
        <f t="shared" si="236"/>
        <v>0</v>
      </c>
      <c r="AN412" s="186">
        <f t="shared" si="236"/>
        <v>0</v>
      </c>
      <c r="AO412" s="186">
        <f t="shared" si="236"/>
        <v>0</v>
      </c>
      <c r="AP412" s="186">
        <f t="shared" si="236"/>
        <v>0</v>
      </c>
    </row>
    <row r="413" spans="1:42">
      <c r="A413" s="118">
        <f t="shared" si="234"/>
        <v>5</v>
      </c>
      <c r="B413" s="196">
        <f t="shared" si="231"/>
        <v>0</v>
      </c>
      <c r="C413" s="225">
        <f t="shared" ref="C413:AP413" si="237">LOOKUP(C401,$B$367:$AP$367,$B$368:$AP$368)*$B692</f>
        <v>0</v>
      </c>
      <c r="D413" s="186">
        <f t="shared" si="237"/>
        <v>0</v>
      </c>
      <c r="E413" s="186">
        <f t="shared" si="237"/>
        <v>0</v>
      </c>
      <c r="F413" s="186">
        <f t="shared" si="237"/>
        <v>0</v>
      </c>
      <c r="G413" s="186">
        <f t="shared" si="237"/>
        <v>0</v>
      </c>
      <c r="H413" s="186">
        <f t="shared" si="237"/>
        <v>0</v>
      </c>
      <c r="I413" s="186">
        <f t="shared" si="237"/>
        <v>0</v>
      </c>
      <c r="J413" s="186">
        <f t="shared" si="237"/>
        <v>0</v>
      </c>
      <c r="K413" s="186">
        <f t="shared" si="237"/>
        <v>0</v>
      </c>
      <c r="L413" s="186">
        <f t="shared" si="237"/>
        <v>0</v>
      </c>
      <c r="M413" s="186">
        <f t="shared" si="237"/>
        <v>0</v>
      </c>
      <c r="N413" s="186">
        <f t="shared" si="237"/>
        <v>0</v>
      </c>
      <c r="O413" s="186">
        <f t="shared" si="237"/>
        <v>0</v>
      </c>
      <c r="P413" s="186">
        <f t="shared" si="237"/>
        <v>0</v>
      </c>
      <c r="Q413" s="186">
        <f t="shared" si="237"/>
        <v>0</v>
      </c>
      <c r="R413" s="186">
        <f t="shared" si="237"/>
        <v>0</v>
      </c>
      <c r="S413" s="186">
        <f t="shared" si="237"/>
        <v>0</v>
      </c>
      <c r="T413" s="186">
        <f t="shared" si="237"/>
        <v>0</v>
      </c>
      <c r="U413" s="186">
        <f t="shared" si="237"/>
        <v>0</v>
      </c>
      <c r="V413" s="186">
        <f t="shared" si="237"/>
        <v>0</v>
      </c>
      <c r="W413" s="186">
        <f t="shared" si="237"/>
        <v>0</v>
      </c>
      <c r="X413" s="186">
        <f t="shared" si="237"/>
        <v>0</v>
      </c>
      <c r="Y413" s="186">
        <f t="shared" si="237"/>
        <v>0</v>
      </c>
      <c r="Z413" s="186">
        <f t="shared" si="237"/>
        <v>0</v>
      </c>
      <c r="AA413" s="186">
        <f t="shared" si="237"/>
        <v>0</v>
      </c>
      <c r="AB413" s="186">
        <f t="shared" si="237"/>
        <v>0</v>
      </c>
      <c r="AC413" s="186">
        <f t="shared" si="237"/>
        <v>0</v>
      </c>
      <c r="AD413" s="186">
        <f t="shared" si="237"/>
        <v>0</v>
      </c>
      <c r="AE413" s="186">
        <f t="shared" si="237"/>
        <v>0</v>
      </c>
      <c r="AF413" s="186">
        <f t="shared" si="237"/>
        <v>0</v>
      </c>
      <c r="AG413" s="186">
        <f t="shared" si="237"/>
        <v>0</v>
      </c>
      <c r="AH413" s="186">
        <f t="shared" si="237"/>
        <v>0</v>
      </c>
      <c r="AI413" s="186">
        <f t="shared" si="237"/>
        <v>0</v>
      </c>
      <c r="AJ413" s="186">
        <f t="shared" si="237"/>
        <v>0</v>
      </c>
      <c r="AK413" s="186">
        <f t="shared" si="237"/>
        <v>0</v>
      </c>
      <c r="AL413" s="186">
        <f t="shared" si="237"/>
        <v>0</v>
      </c>
      <c r="AM413" s="186">
        <f t="shared" si="237"/>
        <v>0</v>
      </c>
      <c r="AN413" s="186">
        <f t="shared" si="237"/>
        <v>0</v>
      </c>
      <c r="AO413" s="186">
        <f t="shared" si="237"/>
        <v>0</v>
      </c>
      <c r="AP413" s="186">
        <f t="shared" si="237"/>
        <v>0</v>
      </c>
    </row>
    <row r="414" spans="1:42">
      <c r="A414" s="118">
        <f t="shared" si="234"/>
        <v>6</v>
      </c>
      <c r="B414" s="196">
        <f t="shared" si="231"/>
        <v>0</v>
      </c>
      <c r="C414" s="225">
        <f t="shared" ref="C414:AP414" si="238">LOOKUP(C402,$B$367:$AP$367,$B$368:$AP$368)*$B693</f>
        <v>0</v>
      </c>
      <c r="D414" s="186">
        <f t="shared" si="238"/>
        <v>0</v>
      </c>
      <c r="E414" s="186">
        <f t="shared" si="238"/>
        <v>0</v>
      </c>
      <c r="F414" s="186">
        <f t="shared" si="238"/>
        <v>0</v>
      </c>
      <c r="G414" s="186">
        <f t="shared" si="238"/>
        <v>0</v>
      </c>
      <c r="H414" s="186">
        <f t="shared" si="238"/>
        <v>0</v>
      </c>
      <c r="I414" s="186">
        <f t="shared" si="238"/>
        <v>0</v>
      </c>
      <c r="J414" s="186">
        <f t="shared" si="238"/>
        <v>0</v>
      </c>
      <c r="K414" s="186">
        <f t="shared" si="238"/>
        <v>0</v>
      </c>
      <c r="L414" s="186">
        <f t="shared" si="238"/>
        <v>0</v>
      </c>
      <c r="M414" s="186">
        <f t="shared" si="238"/>
        <v>0</v>
      </c>
      <c r="N414" s="186">
        <f t="shared" si="238"/>
        <v>0</v>
      </c>
      <c r="O414" s="186">
        <f t="shared" si="238"/>
        <v>0</v>
      </c>
      <c r="P414" s="186">
        <f t="shared" si="238"/>
        <v>0</v>
      </c>
      <c r="Q414" s="186">
        <f t="shared" si="238"/>
        <v>0</v>
      </c>
      <c r="R414" s="186">
        <f t="shared" si="238"/>
        <v>0</v>
      </c>
      <c r="S414" s="186">
        <f t="shared" si="238"/>
        <v>0</v>
      </c>
      <c r="T414" s="186">
        <f t="shared" si="238"/>
        <v>0</v>
      </c>
      <c r="U414" s="186">
        <f t="shared" si="238"/>
        <v>0</v>
      </c>
      <c r="V414" s="186">
        <f t="shared" si="238"/>
        <v>0</v>
      </c>
      <c r="W414" s="186">
        <f t="shared" si="238"/>
        <v>0</v>
      </c>
      <c r="X414" s="186">
        <f t="shared" si="238"/>
        <v>0</v>
      </c>
      <c r="Y414" s="186">
        <f t="shared" si="238"/>
        <v>0</v>
      </c>
      <c r="Z414" s="186">
        <f t="shared" si="238"/>
        <v>0</v>
      </c>
      <c r="AA414" s="186">
        <f t="shared" si="238"/>
        <v>0</v>
      </c>
      <c r="AB414" s="186">
        <f t="shared" si="238"/>
        <v>0</v>
      </c>
      <c r="AC414" s="186">
        <f t="shared" si="238"/>
        <v>0</v>
      </c>
      <c r="AD414" s="186">
        <f t="shared" si="238"/>
        <v>0</v>
      </c>
      <c r="AE414" s="186">
        <f t="shared" si="238"/>
        <v>0</v>
      </c>
      <c r="AF414" s="186">
        <f t="shared" si="238"/>
        <v>0</v>
      </c>
      <c r="AG414" s="186">
        <f t="shared" si="238"/>
        <v>0</v>
      </c>
      <c r="AH414" s="186">
        <f t="shared" si="238"/>
        <v>0</v>
      </c>
      <c r="AI414" s="186">
        <f t="shared" si="238"/>
        <v>0</v>
      </c>
      <c r="AJ414" s="186">
        <f t="shared" si="238"/>
        <v>0</v>
      </c>
      <c r="AK414" s="186">
        <f t="shared" si="238"/>
        <v>0</v>
      </c>
      <c r="AL414" s="186">
        <f t="shared" si="238"/>
        <v>0</v>
      </c>
      <c r="AM414" s="186">
        <f t="shared" si="238"/>
        <v>0</v>
      </c>
      <c r="AN414" s="186">
        <f t="shared" si="238"/>
        <v>0</v>
      </c>
      <c r="AO414" s="186">
        <f t="shared" si="238"/>
        <v>0</v>
      </c>
      <c r="AP414" s="186">
        <f t="shared" si="238"/>
        <v>0</v>
      </c>
    </row>
    <row r="415" spans="1:42">
      <c r="A415" s="118">
        <f t="shared" si="234"/>
        <v>7</v>
      </c>
      <c r="B415" s="196">
        <f t="shared" si="231"/>
        <v>0</v>
      </c>
      <c r="C415" s="225">
        <f t="shared" ref="C415:AP415" si="239">LOOKUP(C403,$B$367:$AP$367,$B$368:$AP$368)*$B694</f>
        <v>0</v>
      </c>
      <c r="D415" s="186">
        <f t="shared" si="239"/>
        <v>0</v>
      </c>
      <c r="E415" s="186">
        <f t="shared" si="239"/>
        <v>0</v>
      </c>
      <c r="F415" s="186">
        <f t="shared" si="239"/>
        <v>0</v>
      </c>
      <c r="G415" s="186">
        <f t="shared" si="239"/>
        <v>0</v>
      </c>
      <c r="H415" s="186">
        <f t="shared" si="239"/>
        <v>0</v>
      </c>
      <c r="I415" s="186">
        <f t="shared" si="239"/>
        <v>0</v>
      </c>
      <c r="J415" s="186">
        <f t="shared" si="239"/>
        <v>0</v>
      </c>
      <c r="K415" s="186">
        <f t="shared" si="239"/>
        <v>0</v>
      </c>
      <c r="L415" s="186">
        <f t="shared" si="239"/>
        <v>0</v>
      </c>
      <c r="M415" s="186">
        <f t="shared" si="239"/>
        <v>0</v>
      </c>
      <c r="N415" s="186">
        <f t="shared" si="239"/>
        <v>0</v>
      </c>
      <c r="O415" s="186">
        <f t="shared" si="239"/>
        <v>0</v>
      </c>
      <c r="P415" s="186">
        <f t="shared" si="239"/>
        <v>0</v>
      </c>
      <c r="Q415" s="186">
        <f t="shared" si="239"/>
        <v>0</v>
      </c>
      <c r="R415" s="186">
        <f t="shared" si="239"/>
        <v>0</v>
      </c>
      <c r="S415" s="186">
        <f t="shared" si="239"/>
        <v>0</v>
      </c>
      <c r="T415" s="186">
        <f t="shared" si="239"/>
        <v>0</v>
      </c>
      <c r="U415" s="186">
        <f t="shared" si="239"/>
        <v>0</v>
      </c>
      <c r="V415" s="186">
        <f t="shared" si="239"/>
        <v>0</v>
      </c>
      <c r="W415" s="186">
        <f t="shared" si="239"/>
        <v>0</v>
      </c>
      <c r="X415" s="186">
        <f t="shared" si="239"/>
        <v>0</v>
      </c>
      <c r="Y415" s="186">
        <f t="shared" si="239"/>
        <v>0</v>
      </c>
      <c r="Z415" s="186">
        <f t="shared" si="239"/>
        <v>0</v>
      </c>
      <c r="AA415" s="186">
        <f t="shared" si="239"/>
        <v>0</v>
      </c>
      <c r="AB415" s="186">
        <f t="shared" si="239"/>
        <v>0</v>
      </c>
      <c r="AC415" s="186">
        <f t="shared" si="239"/>
        <v>0</v>
      </c>
      <c r="AD415" s="186">
        <f t="shared" si="239"/>
        <v>0</v>
      </c>
      <c r="AE415" s="186">
        <f t="shared" si="239"/>
        <v>0</v>
      </c>
      <c r="AF415" s="186">
        <f t="shared" si="239"/>
        <v>0</v>
      </c>
      <c r="AG415" s="186">
        <f t="shared" si="239"/>
        <v>0</v>
      </c>
      <c r="AH415" s="186">
        <f t="shared" si="239"/>
        <v>0</v>
      </c>
      <c r="AI415" s="186">
        <f t="shared" si="239"/>
        <v>0</v>
      </c>
      <c r="AJ415" s="186">
        <f t="shared" si="239"/>
        <v>0</v>
      </c>
      <c r="AK415" s="186">
        <f t="shared" si="239"/>
        <v>0</v>
      </c>
      <c r="AL415" s="186">
        <f t="shared" si="239"/>
        <v>0</v>
      </c>
      <c r="AM415" s="186">
        <f t="shared" si="239"/>
        <v>0</v>
      </c>
      <c r="AN415" s="186">
        <f t="shared" si="239"/>
        <v>0</v>
      </c>
      <c r="AO415" s="186">
        <f t="shared" si="239"/>
        <v>0</v>
      </c>
      <c r="AP415" s="186">
        <f t="shared" si="239"/>
        <v>0</v>
      </c>
    </row>
    <row r="416" spans="1:42">
      <c r="A416" s="118">
        <f t="shared" si="234"/>
        <v>8</v>
      </c>
      <c r="B416" s="196">
        <f t="shared" si="231"/>
        <v>0</v>
      </c>
      <c r="C416" s="225">
        <f t="shared" ref="C416:AP416" si="240">LOOKUP(C404,$B$367:$AP$367,$B$368:$AP$368)*$B695</f>
        <v>0</v>
      </c>
      <c r="D416" s="186">
        <f t="shared" si="240"/>
        <v>0</v>
      </c>
      <c r="E416" s="186">
        <f t="shared" si="240"/>
        <v>0</v>
      </c>
      <c r="F416" s="186">
        <f t="shared" si="240"/>
        <v>0</v>
      </c>
      <c r="G416" s="186">
        <f t="shared" si="240"/>
        <v>0</v>
      </c>
      <c r="H416" s="186">
        <f t="shared" si="240"/>
        <v>0</v>
      </c>
      <c r="I416" s="186">
        <f t="shared" si="240"/>
        <v>0</v>
      </c>
      <c r="J416" s="186">
        <f t="shared" si="240"/>
        <v>0</v>
      </c>
      <c r="K416" s="186">
        <f t="shared" si="240"/>
        <v>0</v>
      </c>
      <c r="L416" s="186">
        <f t="shared" si="240"/>
        <v>0</v>
      </c>
      <c r="M416" s="186">
        <f t="shared" si="240"/>
        <v>0</v>
      </c>
      <c r="N416" s="186">
        <f t="shared" si="240"/>
        <v>0</v>
      </c>
      <c r="O416" s="186">
        <f t="shared" si="240"/>
        <v>0</v>
      </c>
      <c r="P416" s="186">
        <f t="shared" si="240"/>
        <v>0</v>
      </c>
      <c r="Q416" s="186">
        <f t="shared" si="240"/>
        <v>0</v>
      </c>
      <c r="R416" s="186">
        <f t="shared" si="240"/>
        <v>0</v>
      </c>
      <c r="S416" s="186">
        <f t="shared" si="240"/>
        <v>0</v>
      </c>
      <c r="T416" s="186">
        <f t="shared" si="240"/>
        <v>0</v>
      </c>
      <c r="U416" s="186">
        <f t="shared" si="240"/>
        <v>0</v>
      </c>
      <c r="V416" s="186">
        <f t="shared" si="240"/>
        <v>0</v>
      </c>
      <c r="W416" s="186">
        <f t="shared" si="240"/>
        <v>0</v>
      </c>
      <c r="X416" s="186">
        <f t="shared" si="240"/>
        <v>0</v>
      </c>
      <c r="Y416" s="186">
        <f t="shared" si="240"/>
        <v>0</v>
      </c>
      <c r="Z416" s="186">
        <f t="shared" si="240"/>
        <v>0</v>
      </c>
      <c r="AA416" s="186">
        <f t="shared" si="240"/>
        <v>0</v>
      </c>
      <c r="AB416" s="186">
        <f t="shared" si="240"/>
        <v>0</v>
      </c>
      <c r="AC416" s="186">
        <f t="shared" si="240"/>
        <v>0</v>
      </c>
      <c r="AD416" s="186">
        <f t="shared" si="240"/>
        <v>0</v>
      </c>
      <c r="AE416" s="186">
        <f t="shared" si="240"/>
        <v>0</v>
      </c>
      <c r="AF416" s="186">
        <f t="shared" si="240"/>
        <v>0</v>
      </c>
      <c r="AG416" s="186">
        <f t="shared" si="240"/>
        <v>0</v>
      </c>
      <c r="AH416" s="186">
        <f t="shared" si="240"/>
        <v>0</v>
      </c>
      <c r="AI416" s="186">
        <f t="shared" si="240"/>
        <v>0</v>
      </c>
      <c r="AJ416" s="186">
        <f t="shared" si="240"/>
        <v>0</v>
      </c>
      <c r="AK416" s="186">
        <f t="shared" si="240"/>
        <v>0</v>
      </c>
      <c r="AL416" s="186">
        <f t="shared" si="240"/>
        <v>0</v>
      </c>
      <c r="AM416" s="186">
        <f t="shared" si="240"/>
        <v>0</v>
      </c>
      <c r="AN416" s="186">
        <f t="shared" si="240"/>
        <v>0</v>
      </c>
      <c r="AO416" s="186">
        <f t="shared" si="240"/>
        <v>0</v>
      </c>
      <c r="AP416" s="186">
        <f t="shared" si="240"/>
        <v>0</v>
      </c>
    </row>
    <row r="417" spans="1:42">
      <c r="A417" s="118">
        <f>A416+1</f>
        <v>9</v>
      </c>
      <c r="B417" s="196">
        <f t="shared" si="231"/>
        <v>0</v>
      </c>
      <c r="C417" s="225">
        <f t="shared" ref="C417:AP417" si="241">LOOKUP(C405,$B$367:$AP$367,$B$368:$AP$368)*$B696</f>
        <v>0</v>
      </c>
      <c r="D417" s="186">
        <f t="shared" si="241"/>
        <v>0</v>
      </c>
      <c r="E417" s="186">
        <f t="shared" si="241"/>
        <v>0</v>
      </c>
      <c r="F417" s="186">
        <f t="shared" si="241"/>
        <v>0</v>
      </c>
      <c r="G417" s="186">
        <f t="shared" si="241"/>
        <v>0</v>
      </c>
      <c r="H417" s="186">
        <f t="shared" si="241"/>
        <v>0</v>
      </c>
      <c r="I417" s="186">
        <f t="shared" si="241"/>
        <v>0</v>
      </c>
      <c r="J417" s="186">
        <f t="shared" si="241"/>
        <v>0</v>
      </c>
      <c r="K417" s="186">
        <f t="shared" si="241"/>
        <v>0</v>
      </c>
      <c r="L417" s="186">
        <f t="shared" si="241"/>
        <v>0</v>
      </c>
      <c r="M417" s="186">
        <f t="shared" si="241"/>
        <v>0</v>
      </c>
      <c r="N417" s="186">
        <f t="shared" si="241"/>
        <v>0</v>
      </c>
      <c r="O417" s="186">
        <f t="shared" si="241"/>
        <v>0</v>
      </c>
      <c r="P417" s="186">
        <f t="shared" si="241"/>
        <v>0</v>
      </c>
      <c r="Q417" s="186">
        <f t="shared" si="241"/>
        <v>0</v>
      </c>
      <c r="R417" s="186">
        <f t="shared" si="241"/>
        <v>0</v>
      </c>
      <c r="S417" s="186">
        <f t="shared" si="241"/>
        <v>0</v>
      </c>
      <c r="T417" s="186">
        <f t="shared" si="241"/>
        <v>0</v>
      </c>
      <c r="U417" s="186">
        <f t="shared" si="241"/>
        <v>0</v>
      </c>
      <c r="V417" s="186">
        <f t="shared" si="241"/>
        <v>0</v>
      </c>
      <c r="W417" s="186">
        <f t="shared" si="241"/>
        <v>0</v>
      </c>
      <c r="X417" s="186">
        <f t="shared" si="241"/>
        <v>0</v>
      </c>
      <c r="Y417" s="186">
        <f t="shared" si="241"/>
        <v>0</v>
      </c>
      <c r="Z417" s="186">
        <f t="shared" si="241"/>
        <v>0</v>
      </c>
      <c r="AA417" s="186">
        <f t="shared" si="241"/>
        <v>0</v>
      </c>
      <c r="AB417" s="186">
        <f t="shared" si="241"/>
        <v>0</v>
      </c>
      <c r="AC417" s="186">
        <f t="shared" si="241"/>
        <v>0</v>
      </c>
      <c r="AD417" s="186">
        <f t="shared" si="241"/>
        <v>0</v>
      </c>
      <c r="AE417" s="186">
        <f t="shared" si="241"/>
        <v>0</v>
      </c>
      <c r="AF417" s="186">
        <f t="shared" si="241"/>
        <v>0</v>
      </c>
      <c r="AG417" s="186">
        <f t="shared" si="241"/>
        <v>0</v>
      </c>
      <c r="AH417" s="186">
        <f t="shared" si="241"/>
        <v>0</v>
      </c>
      <c r="AI417" s="186">
        <f t="shared" si="241"/>
        <v>0</v>
      </c>
      <c r="AJ417" s="186">
        <f t="shared" si="241"/>
        <v>0</v>
      </c>
      <c r="AK417" s="186">
        <f t="shared" si="241"/>
        <v>0</v>
      </c>
      <c r="AL417" s="186">
        <f t="shared" si="241"/>
        <v>0</v>
      </c>
      <c r="AM417" s="186">
        <f t="shared" si="241"/>
        <v>0</v>
      </c>
      <c r="AN417" s="186">
        <f t="shared" si="241"/>
        <v>0</v>
      </c>
      <c r="AO417" s="186">
        <f t="shared" si="241"/>
        <v>0</v>
      </c>
      <c r="AP417" s="186">
        <f t="shared" si="241"/>
        <v>0</v>
      </c>
    </row>
    <row r="418" spans="1:42">
      <c r="A418" s="118">
        <f t="shared" si="234"/>
        <v>10</v>
      </c>
      <c r="B418" s="196">
        <f t="shared" si="231"/>
        <v>0</v>
      </c>
      <c r="C418" s="221">
        <f t="shared" ref="C418:AP418" si="242">LOOKUP(C406,$B$367:$AP$367,$B$368:$AP$368)*$B697</f>
        <v>0</v>
      </c>
      <c r="D418" s="187">
        <f t="shared" si="242"/>
        <v>0</v>
      </c>
      <c r="E418" s="187">
        <f t="shared" si="242"/>
        <v>0</v>
      </c>
      <c r="F418" s="187">
        <f t="shared" si="242"/>
        <v>0</v>
      </c>
      <c r="G418" s="187">
        <f t="shared" si="242"/>
        <v>0</v>
      </c>
      <c r="H418" s="187">
        <f t="shared" si="242"/>
        <v>0</v>
      </c>
      <c r="I418" s="187">
        <f t="shared" si="242"/>
        <v>0</v>
      </c>
      <c r="J418" s="187">
        <f t="shared" si="242"/>
        <v>0</v>
      </c>
      <c r="K418" s="187">
        <f t="shared" si="242"/>
        <v>0</v>
      </c>
      <c r="L418" s="187">
        <f t="shared" si="242"/>
        <v>0</v>
      </c>
      <c r="M418" s="187">
        <f t="shared" si="242"/>
        <v>0</v>
      </c>
      <c r="N418" s="187">
        <f t="shared" si="242"/>
        <v>0</v>
      </c>
      <c r="O418" s="187">
        <f t="shared" si="242"/>
        <v>0</v>
      </c>
      <c r="P418" s="187">
        <f t="shared" si="242"/>
        <v>0</v>
      </c>
      <c r="Q418" s="187">
        <f t="shared" si="242"/>
        <v>0</v>
      </c>
      <c r="R418" s="187">
        <f t="shared" si="242"/>
        <v>0</v>
      </c>
      <c r="S418" s="187">
        <f t="shared" si="242"/>
        <v>0</v>
      </c>
      <c r="T418" s="187">
        <f t="shared" si="242"/>
        <v>0</v>
      </c>
      <c r="U418" s="187">
        <f t="shared" si="242"/>
        <v>0</v>
      </c>
      <c r="V418" s="187">
        <f t="shared" si="242"/>
        <v>0</v>
      </c>
      <c r="W418" s="187">
        <f t="shared" si="242"/>
        <v>0</v>
      </c>
      <c r="X418" s="187">
        <f t="shared" si="242"/>
        <v>0</v>
      </c>
      <c r="Y418" s="187">
        <f t="shared" si="242"/>
        <v>0</v>
      </c>
      <c r="Z418" s="187">
        <f t="shared" si="242"/>
        <v>0</v>
      </c>
      <c r="AA418" s="187">
        <f t="shared" si="242"/>
        <v>0</v>
      </c>
      <c r="AB418" s="187">
        <f t="shared" si="242"/>
        <v>0</v>
      </c>
      <c r="AC418" s="187">
        <f t="shared" si="242"/>
        <v>0</v>
      </c>
      <c r="AD418" s="187">
        <f t="shared" si="242"/>
        <v>0</v>
      </c>
      <c r="AE418" s="187">
        <f t="shared" si="242"/>
        <v>0</v>
      </c>
      <c r="AF418" s="187">
        <f t="shared" si="242"/>
        <v>0</v>
      </c>
      <c r="AG418" s="187">
        <f t="shared" si="242"/>
        <v>0</v>
      </c>
      <c r="AH418" s="187">
        <f t="shared" si="242"/>
        <v>0</v>
      </c>
      <c r="AI418" s="187">
        <f t="shared" si="242"/>
        <v>0</v>
      </c>
      <c r="AJ418" s="187">
        <f t="shared" si="242"/>
        <v>0</v>
      </c>
      <c r="AK418" s="187">
        <f t="shared" si="242"/>
        <v>0</v>
      </c>
      <c r="AL418" s="187">
        <f t="shared" si="242"/>
        <v>0</v>
      </c>
      <c r="AM418" s="187">
        <f t="shared" si="242"/>
        <v>0</v>
      </c>
      <c r="AN418" s="187">
        <f t="shared" si="242"/>
        <v>0</v>
      </c>
      <c r="AO418" s="187">
        <f t="shared" si="242"/>
        <v>0</v>
      </c>
      <c r="AP418" s="187">
        <f t="shared" si="242"/>
        <v>0</v>
      </c>
    </row>
    <row r="419" spans="1:42" s="118" customFormat="1" ht="12" customHeight="1">
      <c r="A419" s="222" t="s">
        <v>53</v>
      </c>
      <c r="B419" s="141"/>
      <c r="C419" s="141">
        <f>SUM(C409:C418)</f>
        <v>0</v>
      </c>
      <c r="D419" s="141">
        <f t="shared" ref="D419:AP419" si="243">SUM(D409:D418)</f>
        <v>0</v>
      </c>
      <c r="E419" s="141">
        <f t="shared" si="243"/>
        <v>0</v>
      </c>
      <c r="F419" s="141">
        <f t="shared" si="243"/>
        <v>0</v>
      </c>
      <c r="G419" s="141">
        <f t="shared" si="243"/>
        <v>0</v>
      </c>
      <c r="H419" s="141">
        <f t="shared" si="243"/>
        <v>0</v>
      </c>
      <c r="I419" s="141">
        <f t="shared" si="243"/>
        <v>0</v>
      </c>
      <c r="J419" s="141">
        <f t="shared" si="243"/>
        <v>0</v>
      </c>
      <c r="K419" s="141">
        <f t="shared" si="243"/>
        <v>0</v>
      </c>
      <c r="L419" s="141">
        <f t="shared" si="243"/>
        <v>0</v>
      </c>
      <c r="M419" s="141">
        <f t="shared" si="243"/>
        <v>0</v>
      </c>
      <c r="N419" s="141">
        <f t="shared" si="243"/>
        <v>0</v>
      </c>
      <c r="O419" s="141">
        <f t="shared" si="243"/>
        <v>0</v>
      </c>
      <c r="P419" s="141">
        <f t="shared" si="243"/>
        <v>0</v>
      </c>
      <c r="Q419" s="141">
        <f t="shared" si="243"/>
        <v>1231755.7306939578</v>
      </c>
      <c r="R419" s="141">
        <f t="shared" si="243"/>
        <v>1970809.1691103324</v>
      </c>
      <c r="S419" s="141">
        <f t="shared" si="243"/>
        <v>1182485.5014661995</v>
      </c>
      <c r="T419" s="141">
        <f t="shared" si="243"/>
        <v>709491.30087971967</v>
      </c>
      <c r="U419" s="141">
        <f t="shared" si="243"/>
        <v>709491.30087971967</v>
      </c>
      <c r="V419" s="141">
        <f t="shared" si="243"/>
        <v>354745.65043985983</v>
      </c>
      <c r="W419" s="141">
        <f t="shared" si="243"/>
        <v>0</v>
      </c>
      <c r="X419" s="141">
        <f t="shared" si="243"/>
        <v>0</v>
      </c>
      <c r="Y419" s="141">
        <f t="shared" si="243"/>
        <v>0</v>
      </c>
      <c r="Z419" s="141">
        <f t="shared" si="243"/>
        <v>0</v>
      </c>
      <c r="AA419" s="141">
        <f t="shared" si="243"/>
        <v>0</v>
      </c>
      <c r="AB419" s="141">
        <f t="shared" si="243"/>
        <v>0</v>
      </c>
      <c r="AC419" s="141">
        <f t="shared" si="243"/>
        <v>0</v>
      </c>
      <c r="AD419" s="141">
        <f t="shared" si="243"/>
        <v>0</v>
      </c>
      <c r="AE419" s="141">
        <f t="shared" si="243"/>
        <v>0</v>
      </c>
      <c r="AF419" s="141">
        <f t="shared" si="243"/>
        <v>1539980.512798867</v>
      </c>
      <c r="AG419" s="141">
        <f t="shared" si="243"/>
        <v>0</v>
      </c>
      <c r="AH419" s="141">
        <f t="shared" si="243"/>
        <v>0</v>
      </c>
      <c r="AI419" s="141">
        <f t="shared" si="243"/>
        <v>0</v>
      </c>
      <c r="AJ419" s="141">
        <f t="shared" si="243"/>
        <v>0</v>
      </c>
      <c r="AK419" s="141">
        <f t="shared" si="243"/>
        <v>0</v>
      </c>
      <c r="AL419" s="141">
        <f t="shared" si="243"/>
        <v>0</v>
      </c>
      <c r="AM419" s="141">
        <f t="shared" si="243"/>
        <v>0</v>
      </c>
      <c r="AN419" s="141">
        <f t="shared" si="243"/>
        <v>0</v>
      </c>
      <c r="AO419" s="141">
        <f t="shared" si="243"/>
        <v>0</v>
      </c>
      <c r="AP419" s="141">
        <f t="shared" si="243"/>
        <v>0</v>
      </c>
    </row>
    <row r="420" spans="1:42">
      <c r="A420" s="204"/>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row>
    <row r="421" spans="1:42">
      <c r="A421" s="197" t="s">
        <v>370</v>
      </c>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c r="AM421" s="186"/>
      <c r="AN421" s="186"/>
      <c r="AO421" s="186"/>
      <c r="AP421" s="186"/>
    </row>
    <row r="422" spans="1:42">
      <c r="A422" s="204" t="s">
        <v>207</v>
      </c>
      <c r="C422" s="186"/>
      <c r="D422" s="186"/>
      <c r="E422" s="186"/>
      <c r="F422" s="186"/>
      <c r="G422" s="186"/>
      <c r="H422" s="186"/>
      <c r="I422" s="186"/>
      <c r="J422" s="186"/>
      <c r="K422" s="186"/>
      <c r="L422" s="186"/>
      <c r="M422" s="186"/>
      <c r="N422" s="186"/>
      <c r="O422" s="186"/>
      <c r="P422" s="186"/>
      <c r="Q422" s="186"/>
      <c r="R422" s="186"/>
      <c r="S422" s="186"/>
      <c r="T422" s="186"/>
      <c r="U422" s="186"/>
      <c r="V422" s="186"/>
      <c r="W422" s="186"/>
      <c r="X422" s="186"/>
      <c r="Y422" s="186"/>
      <c r="Z422" s="186"/>
      <c r="AA422" s="186"/>
      <c r="AB422" s="186"/>
      <c r="AC422" s="186"/>
      <c r="AD422" s="186"/>
      <c r="AE422" s="186"/>
      <c r="AF422" s="186"/>
      <c r="AG422" s="186"/>
      <c r="AH422" s="186"/>
      <c r="AI422" s="186"/>
      <c r="AJ422" s="186"/>
      <c r="AK422" s="186"/>
      <c r="AL422" s="186"/>
      <c r="AM422" s="186"/>
      <c r="AN422" s="186"/>
      <c r="AO422" s="186"/>
      <c r="AP422" s="186"/>
    </row>
    <row r="423" spans="1:42">
      <c r="A423" s="118">
        <v>1</v>
      </c>
      <c r="C423" s="186">
        <f>IF(C$2&lt;=AnalysisPeriod,IF(SUM($C720:C720)&gt;0,B423+1,0),0)</f>
        <v>0</v>
      </c>
      <c r="D423" s="186">
        <f>IF(D$2&lt;=AnalysisPeriod,IF(SUM($C720:D720)&gt;0,C423+1,0),0)</f>
        <v>0</v>
      </c>
      <c r="E423" s="186">
        <f>IF(E$2&lt;=AnalysisPeriod,IF(SUM($C720:E720)&gt;0,D423+1,0),0)</f>
        <v>1</v>
      </c>
      <c r="F423" s="186">
        <f>IF(F$2&lt;=AnalysisPeriod,IF(SUM($C720:F720)&gt;0,E423+1,0),0)</f>
        <v>2</v>
      </c>
      <c r="G423" s="186">
        <f>IF(G$2&lt;=AnalysisPeriod,IF(SUM($C720:G720)&gt;0,F423+1,0),0)</f>
        <v>3</v>
      </c>
      <c r="H423" s="186">
        <f>IF(H$2&lt;=AnalysisPeriod,IF(SUM($C720:H720)&gt;0,G423+1,0),0)</f>
        <v>4</v>
      </c>
      <c r="I423" s="186">
        <f>IF(I$2&lt;=AnalysisPeriod,IF(SUM($C720:I720)&gt;0,H423+1,0),0)</f>
        <v>5</v>
      </c>
      <c r="J423" s="186">
        <f>IF(J$2&lt;=AnalysisPeriod,IF(SUM($C720:J720)&gt;0,I423+1,0),0)</f>
        <v>6</v>
      </c>
      <c r="K423" s="186">
        <f>IF(K$2&lt;=AnalysisPeriod,IF(SUM($C720:K720)&gt;0,J423+1,0),0)</f>
        <v>7</v>
      </c>
      <c r="L423" s="186">
        <f>IF(L$2&lt;=AnalysisPeriod,IF(SUM($C720:L720)&gt;0,K423+1,0),0)</f>
        <v>8</v>
      </c>
      <c r="M423" s="186">
        <f>IF(M$2&lt;=AnalysisPeriod,IF(SUM($C720:M720)&gt;0,L423+1,0),0)</f>
        <v>9</v>
      </c>
      <c r="N423" s="186">
        <f>IF(N$2&lt;=AnalysisPeriod,IF(SUM($C720:N720)&gt;0,M423+1,0),0)</f>
        <v>10</v>
      </c>
      <c r="O423" s="186">
        <f>IF(O$2&lt;=AnalysisPeriod,IF(SUM($C720:O720)&gt;0,N423+1,0),0)</f>
        <v>11</v>
      </c>
      <c r="P423" s="186">
        <f>IF(P$2&lt;=AnalysisPeriod,IF(SUM($C720:P720)&gt;0,O423+1,0),0)</f>
        <v>12</v>
      </c>
      <c r="Q423" s="186">
        <f>IF(Q$2&lt;=AnalysisPeriod,IF(SUM($C720:Q720)&gt;0,P423+1,0),0)</f>
        <v>13</v>
      </c>
      <c r="R423" s="186">
        <f>IF(R$2&lt;=AnalysisPeriod,IF(SUM($C720:R720)&gt;0,Q423+1,0),0)</f>
        <v>14</v>
      </c>
      <c r="S423" s="186">
        <f>IF(S$2&lt;=AnalysisPeriod,IF(SUM($C720:S720)&gt;0,R423+1,0),0)</f>
        <v>15</v>
      </c>
      <c r="T423" s="186">
        <f>IF(T$2&lt;=AnalysisPeriod,IF(SUM($C720:T720)&gt;0,S423+1,0),0)</f>
        <v>16</v>
      </c>
      <c r="U423" s="186">
        <f>IF(U$2&lt;=AnalysisPeriod,IF(SUM($C720:U720)&gt;0,T423+1,0),0)</f>
        <v>17</v>
      </c>
      <c r="V423" s="186">
        <f>IF(V$2&lt;=AnalysisPeriod,IF(SUM($C720:V720)&gt;0,U423+1,0),0)</f>
        <v>18</v>
      </c>
      <c r="W423" s="186">
        <f>IF(W$2&lt;=AnalysisPeriod,IF(SUM($C720:W720)&gt;0,V423+1,0),0)</f>
        <v>19</v>
      </c>
      <c r="X423" s="186">
        <f>IF(X$2&lt;=AnalysisPeriod,IF(SUM($C720:X720)&gt;0,W423+1,0),0)</f>
        <v>20</v>
      </c>
      <c r="Y423" s="186">
        <f>IF(Y$2&lt;=AnalysisPeriod,IF(SUM($C720:Y720)&gt;0,X423+1,0),0)</f>
        <v>21</v>
      </c>
      <c r="Z423" s="186">
        <f>IF(Z$2&lt;=AnalysisPeriod,IF(SUM($C720:Z720)&gt;0,Y423+1,0),0)</f>
        <v>22</v>
      </c>
      <c r="AA423" s="186">
        <f>IF(AA$2&lt;=AnalysisPeriod,IF(SUM($C720:AA720)&gt;0,Z423+1,0),0)</f>
        <v>23</v>
      </c>
      <c r="AB423" s="186">
        <f>IF(AB$2&lt;=AnalysisPeriod,IF(SUM($C720:AB720)&gt;0,AA423+1,0),0)</f>
        <v>24</v>
      </c>
      <c r="AC423" s="186">
        <f>IF(AC$2&lt;=AnalysisPeriod,IF(SUM($C720:AC720)&gt;0,AB423+1,0),0)</f>
        <v>25</v>
      </c>
      <c r="AD423" s="186">
        <f>IF(AD$2&lt;=AnalysisPeriod,IF(SUM($C720:AD720)&gt;0,AC423+1,0),0)</f>
        <v>26</v>
      </c>
      <c r="AE423" s="186">
        <f>IF(AE$2&lt;=AnalysisPeriod,IF(SUM($C720:AE720)&gt;0,AD423+1,0),0)</f>
        <v>27</v>
      </c>
      <c r="AF423" s="186">
        <f>IF(AF$2&lt;=AnalysisPeriod,IF(SUM($C720:AF720)&gt;0,AE423+1,0),0)</f>
        <v>28</v>
      </c>
      <c r="AG423" s="186">
        <f>IF(AG$2&lt;=AnalysisPeriod,IF(SUM($C720:AG720)&gt;0,AF423+1,0),0)</f>
        <v>0</v>
      </c>
      <c r="AH423" s="186">
        <f>IF(AH$2&lt;=AnalysisPeriod,IF(SUM($C720:AH720)&gt;0,AG423+1,0),0)</f>
        <v>0</v>
      </c>
      <c r="AI423" s="186">
        <f>IF(AI$2&lt;=AnalysisPeriod,IF(SUM($C720:AI720)&gt;0,AH423+1,0),0)</f>
        <v>0</v>
      </c>
      <c r="AJ423" s="186">
        <f>IF(AJ$2&lt;=AnalysisPeriod,IF(SUM($C720:AJ720)&gt;0,AI423+1,0),0)</f>
        <v>0</v>
      </c>
      <c r="AK423" s="186">
        <f>IF(AK$2&lt;=AnalysisPeriod,IF(SUM($C720:AK720)&gt;0,AJ423+1,0),0)</f>
        <v>0</v>
      </c>
      <c r="AL423" s="186">
        <f>IF(AL$2&lt;=AnalysisPeriod,IF(SUM($C720:AL720)&gt;0,AK423+1,0),0)</f>
        <v>0</v>
      </c>
      <c r="AM423" s="186">
        <f>IF(AM$2&lt;=AnalysisPeriod,IF(SUM($C720:AM720)&gt;0,AL423+1,0),0)</f>
        <v>0</v>
      </c>
      <c r="AN423" s="186">
        <f>IF(AN$2&lt;=AnalysisPeriod,IF(SUM($C720:AN720)&gt;0,AM423+1,0),0)</f>
        <v>0</v>
      </c>
      <c r="AO423" s="186">
        <f>IF(AO$2&lt;=AnalysisPeriod,IF(SUM($C720:AO720)&gt;0,AN423+1,0),0)</f>
        <v>0</v>
      </c>
      <c r="AP423" s="186">
        <f>IF(AP$2&lt;=AnalysisPeriod,IF(SUM($C720:AP720)&gt;0,AO423+1,0),0)</f>
        <v>0</v>
      </c>
    </row>
    <row r="424" spans="1:42">
      <c r="A424" s="118">
        <f>A423+1</f>
        <v>2</v>
      </c>
      <c r="C424" s="186">
        <f>IF(C$2&lt;=AnalysisPeriod,IF(SUM($C721:C721)&gt;0,B424+1,0),0)</f>
        <v>0</v>
      </c>
      <c r="D424" s="186">
        <f>IF(D$2&lt;=AnalysisPeriod,IF(SUM($C721:D721)&gt;0,C424+1,0),0)</f>
        <v>0</v>
      </c>
      <c r="E424" s="186">
        <f>IF(E$2&lt;=AnalysisPeriod,IF(SUM($C721:E721)&gt;0,D424+1,0),0)</f>
        <v>0</v>
      </c>
      <c r="F424" s="186">
        <f>IF(F$2&lt;=AnalysisPeriod,IF(SUM($C721:F721)&gt;0,E424+1,0),0)</f>
        <v>0</v>
      </c>
      <c r="G424" s="186">
        <f>IF(G$2&lt;=AnalysisPeriod,IF(SUM($C721:G721)&gt;0,F424+1,0),0)</f>
        <v>0</v>
      </c>
      <c r="H424" s="186">
        <f>IF(H$2&lt;=AnalysisPeriod,IF(SUM($C721:H721)&gt;0,G424+1,0),0)</f>
        <v>1</v>
      </c>
      <c r="I424" s="186">
        <f>IF(I$2&lt;=AnalysisPeriod,IF(SUM($C721:I721)&gt;0,H424+1,0),0)</f>
        <v>2</v>
      </c>
      <c r="J424" s="186">
        <f>IF(J$2&lt;=AnalysisPeriod,IF(SUM($C721:J721)&gt;0,I424+1,0),0)</f>
        <v>3</v>
      </c>
      <c r="K424" s="186">
        <f>IF(K$2&lt;=AnalysisPeriod,IF(SUM($C721:K721)&gt;0,J424+1,0),0)</f>
        <v>4</v>
      </c>
      <c r="L424" s="186">
        <f>IF(L$2&lt;=AnalysisPeriod,IF(SUM($C721:L721)&gt;0,K424+1,0),0)</f>
        <v>5</v>
      </c>
      <c r="M424" s="186">
        <f>IF(M$2&lt;=AnalysisPeriod,IF(SUM($C721:M721)&gt;0,L424+1,0),0)</f>
        <v>6</v>
      </c>
      <c r="N424" s="186">
        <f>IF(N$2&lt;=AnalysisPeriod,IF(SUM($C721:N721)&gt;0,M424+1,0),0)</f>
        <v>7</v>
      </c>
      <c r="O424" s="186">
        <f>IF(O$2&lt;=AnalysisPeriod,IF(SUM($C721:O721)&gt;0,N424+1,0),0)</f>
        <v>8</v>
      </c>
      <c r="P424" s="186">
        <f>IF(P$2&lt;=AnalysisPeriod,IF(SUM($C721:P721)&gt;0,O424+1,0),0)</f>
        <v>9</v>
      </c>
      <c r="Q424" s="186">
        <f>IF(Q$2&lt;=AnalysisPeriod,IF(SUM($C721:Q721)&gt;0,P424+1,0),0)</f>
        <v>10</v>
      </c>
      <c r="R424" s="186">
        <f>IF(R$2&lt;=AnalysisPeriod,IF(SUM($C721:R721)&gt;0,Q424+1,0),0)</f>
        <v>11</v>
      </c>
      <c r="S424" s="186">
        <f>IF(S$2&lt;=AnalysisPeriod,IF(SUM($C721:S721)&gt;0,R424+1,0),0)</f>
        <v>12</v>
      </c>
      <c r="T424" s="186">
        <f>IF(T$2&lt;=AnalysisPeriod,IF(SUM($C721:T721)&gt;0,S424+1,0),0)</f>
        <v>13</v>
      </c>
      <c r="U424" s="186">
        <f>IF(U$2&lt;=AnalysisPeriod,IF(SUM($C721:U721)&gt;0,T424+1,0),0)</f>
        <v>14</v>
      </c>
      <c r="V424" s="186">
        <f>IF(V$2&lt;=AnalysisPeriod,IF(SUM($C721:V721)&gt;0,U424+1,0),0)</f>
        <v>15</v>
      </c>
      <c r="W424" s="186">
        <f>IF(W$2&lt;=AnalysisPeriod,IF(SUM($C721:W721)&gt;0,V424+1,0),0)</f>
        <v>16</v>
      </c>
      <c r="X424" s="186">
        <f>IF(X$2&lt;=AnalysisPeriod,IF(SUM($C721:X721)&gt;0,W424+1,0),0)</f>
        <v>17</v>
      </c>
      <c r="Y424" s="186">
        <f>IF(Y$2&lt;=AnalysisPeriod,IF(SUM($C721:Y721)&gt;0,X424+1,0),0)</f>
        <v>18</v>
      </c>
      <c r="Z424" s="186">
        <f>IF(Z$2&lt;=AnalysisPeriod,IF(SUM($C721:Z721)&gt;0,Y424+1,0),0)</f>
        <v>19</v>
      </c>
      <c r="AA424" s="186">
        <f>IF(AA$2&lt;=AnalysisPeriod,IF(SUM($C721:AA721)&gt;0,Z424+1,0),0)</f>
        <v>20</v>
      </c>
      <c r="AB424" s="186">
        <f>IF(AB$2&lt;=AnalysisPeriod,IF(SUM($C721:AB721)&gt;0,AA424+1,0),0)</f>
        <v>21</v>
      </c>
      <c r="AC424" s="186">
        <f>IF(AC$2&lt;=AnalysisPeriod,IF(SUM($C721:AC721)&gt;0,AB424+1,0),0)</f>
        <v>22</v>
      </c>
      <c r="AD424" s="186">
        <f>IF(AD$2&lt;=AnalysisPeriod,IF(SUM($C721:AD721)&gt;0,AC424+1,0),0)</f>
        <v>23</v>
      </c>
      <c r="AE424" s="186">
        <f>IF(AE$2&lt;=AnalysisPeriod,IF(SUM($C721:AE721)&gt;0,AD424+1,0),0)</f>
        <v>24</v>
      </c>
      <c r="AF424" s="186">
        <f>IF(AF$2&lt;=AnalysisPeriod,IF(SUM($C721:AF721)&gt;0,AE424+1,0),0)</f>
        <v>25</v>
      </c>
      <c r="AG424" s="186">
        <f>IF(AG$2&lt;=AnalysisPeriod,IF(SUM($C721:AG721)&gt;0,AF424+1,0),0)</f>
        <v>0</v>
      </c>
      <c r="AH424" s="186">
        <f>IF(AH$2&lt;=AnalysisPeriod,IF(SUM($C721:AH721)&gt;0,AG424+1,0),0)</f>
        <v>0</v>
      </c>
      <c r="AI424" s="186">
        <f>IF(AI$2&lt;=AnalysisPeriod,IF(SUM($C721:AI721)&gt;0,AH424+1,0),0)</f>
        <v>0</v>
      </c>
      <c r="AJ424" s="186">
        <f>IF(AJ$2&lt;=AnalysisPeriod,IF(SUM($C721:AJ721)&gt;0,AI424+1,0),0)</f>
        <v>0</v>
      </c>
      <c r="AK424" s="186">
        <f>IF(AK$2&lt;=AnalysisPeriod,IF(SUM($C721:AK721)&gt;0,AJ424+1,0),0)</f>
        <v>0</v>
      </c>
      <c r="AL424" s="186">
        <f>IF(AL$2&lt;=AnalysisPeriod,IF(SUM($C721:AL721)&gt;0,AK424+1,0),0)</f>
        <v>0</v>
      </c>
      <c r="AM424" s="186">
        <f>IF(AM$2&lt;=AnalysisPeriod,IF(SUM($C721:AM721)&gt;0,AL424+1,0),0)</f>
        <v>0</v>
      </c>
      <c r="AN424" s="186">
        <f>IF(AN$2&lt;=AnalysisPeriod,IF(SUM($C721:AN721)&gt;0,AM424+1,0),0)</f>
        <v>0</v>
      </c>
      <c r="AO424" s="186">
        <f>IF(AO$2&lt;=AnalysisPeriod,IF(SUM($C721:AO721)&gt;0,AN424+1,0),0)</f>
        <v>0</v>
      </c>
      <c r="AP424" s="186">
        <f>IF(AP$2&lt;=AnalysisPeriod,IF(SUM($C721:AP721)&gt;0,AO424+1,0),0)</f>
        <v>0</v>
      </c>
    </row>
    <row r="425" spans="1:42">
      <c r="A425" s="118">
        <f t="shared" ref="A425:A432" si="244">A424+1</f>
        <v>3</v>
      </c>
      <c r="C425" s="186">
        <f>IF(C$2&lt;=AnalysisPeriod,IF(SUM($C722:C722)&gt;0,B425+1,0),0)</f>
        <v>0</v>
      </c>
      <c r="D425" s="186">
        <f>IF(D$2&lt;=AnalysisPeriod,IF(SUM($C722:D722)&gt;0,C425+1,0),0)</f>
        <v>0</v>
      </c>
      <c r="E425" s="186">
        <f>IF(E$2&lt;=AnalysisPeriod,IF(SUM($C722:E722)&gt;0,D425+1,0),0)</f>
        <v>0</v>
      </c>
      <c r="F425" s="186">
        <f>IF(F$2&lt;=AnalysisPeriod,IF(SUM($C722:F722)&gt;0,E425+1,0),0)</f>
        <v>0</v>
      </c>
      <c r="G425" s="186">
        <f>IF(G$2&lt;=AnalysisPeriod,IF(SUM($C722:G722)&gt;0,F425+1,0),0)</f>
        <v>0</v>
      </c>
      <c r="H425" s="186">
        <f>IF(H$2&lt;=AnalysisPeriod,IF(SUM($C722:H722)&gt;0,G425+1,0),0)</f>
        <v>0</v>
      </c>
      <c r="I425" s="186">
        <f>IF(I$2&lt;=AnalysisPeriod,IF(SUM($C722:I722)&gt;0,H425+1,0),0)</f>
        <v>0</v>
      </c>
      <c r="J425" s="186">
        <f>IF(J$2&lt;=AnalysisPeriod,IF(SUM($C722:J722)&gt;0,I425+1,0),0)</f>
        <v>0</v>
      </c>
      <c r="K425" s="186">
        <f>IF(K$2&lt;=AnalysisPeriod,IF(SUM($C722:K722)&gt;0,J425+1,0),0)</f>
        <v>1</v>
      </c>
      <c r="L425" s="186">
        <f>IF(L$2&lt;=AnalysisPeriod,IF(SUM($C722:L722)&gt;0,K425+1,0),0)</f>
        <v>2</v>
      </c>
      <c r="M425" s="186">
        <f>IF(M$2&lt;=AnalysisPeriod,IF(SUM($C722:M722)&gt;0,L425+1,0),0)</f>
        <v>3</v>
      </c>
      <c r="N425" s="186">
        <f>IF(N$2&lt;=AnalysisPeriod,IF(SUM($C722:N722)&gt;0,M425+1,0),0)</f>
        <v>4</v>
      </c>
      <c r="O425" s="186">
        <f>IF(O$2&lt;=AnalysisPeriod,IF(SUM($C722:O722)&gt;0,N425+1,0),0)</f>
        <v>5</v>
      </c>
      <c r="P425" s="186">
        <f>IF(P$2&lt;=AnalysisPeriod,IF(SUM($C722:P722)&gt;0,O425+1,0),0)</f>
        <v>6</v>
      </c>
      <c r="Q425" s="186">
        <f>IF(Q$2&lt;=AnalysisPeriod,IF(SUM($C722:Q722)&gt;0,P425+1,0),0)</f>
        <v>7</v>
      </c>
      <c r="R425" s="186">
        <f>IF(R$2&lt;=AnalysisPeriod,IF(SUM($C722:R722)&gt;0,Q425+1,0),0)</f>
        <v>8</v>
      </c>
      <c r="S425" s="186">
        <f>IF(S$2&lt;=AnalysisPeriod,IF(SUM($C722:S722)&gt;0,R425+1,0),0)</f>
        <v>9</v>
      </c>
      <c r="T425" s="186">
        <f>IF(T$2&lt;=AnalysisPeriod,IF(SUM($C722:T722)&gt;0,S425+1,0),0)</f>
        <v>10</v>
      </c>
      <c r="U425" s="186">
        <f>IF(U$2&lt;=AnalysisPeriod,IF(SUM($C722:U722)&gt;0,T425+1,0),0)</f>
        <v>11</v>
      </c>
      <c r="V425" s="186">
        <f>IF(V$2&lt;=AnalysisPeriod,IF(SUM($C722:V722)&gt;0,U425+1,0),0)</f>
        <v>12</v>
      </c>
      <c r="W425" s="186">
        <f>IF(W$2&lt;=AnalysisPeriod,IF(SUM($C722:W722)&gt;0,V425+1,0),0)</f>
        <v>13</v>
      </c>
      <c r="X425" s="186">
        <f>IF(X$2&lt;=AnalysisPeriod,IF(SUM($C722:X722)&gt;0,W425+1,0),0)</f>
        <v>14</v>
      </c>
      <c r="Y425" s="186">
        <f>IF(Y$2&lt;=AnalysisPeriod,IF(SUM($C722:Y722)&gt;0,X425+1,0),0)</f>
        <v>15</v>
      </c>
      <c r="Z425" s="186">
        <f>IF(Z$2&lt;=AnalysisPeriod,IF(SUM($C722:Z722)&gt;0,Y425+1,0),0)</f>
        <v>16</v>
      </c>
      <c r="AA425" s="186">
        <f>IF(AA$2&lt;=AnalysisPeriod,IF(SUM($C722:AA722)&gt;0,Z425+1,0),0)</f>
        <v>17</v>
      </c>
      <c r="AB425" s="186">
        <f>IF(AB$2&lt;=AnalysisPeriod,IF(SUM($C722:AB722)&gt;0,AA425+1,0),0)</f>
        <v>18</v>
      </c>
      <c r="AC425" s="186">
        <f>IF(AC$2&lt;=AnalysisPeriod,IF(SUM($C722:AC722)&gt;0,AB425+1,0),0)</f>
        <v>19</v>
      </c>
      <c r="AD425" s="186">
        <f>IF(AD$2&lt;=AnalysisPeriod,IF(SUM($C722:AD722)&gt;0,AC425+1,0),0)</f>
        <v>20</v>
      </c>
      <c r="AE425" s="186">
        <f>IF(AE$2&lt;=AnalysisPeriod,IF(SUM($C722:AE722)&gt;0,AD425+1,0),0)</f>
        <v>21</v>
      </c>
      <c r="AF425" s="186">
        <f>IF(AF$2&lt;=AnalysisPeriod,IF(SUM($C722:AF722)&gt;0,AE425+1,0),0)</f>
        <v>22</v>
      </c>
      <c r="AG425" s="186">
        <f>IF(AG$2&lt;=AnalysisPeriod,IF(SUM($C722:AG722)&gt;0,AF425+1,0),0)</f>
        <v>0</v>
      </c>
      <c r="AH425" s="186">
        <f>IF(AH$2&lt;=AnalysisPeriod,IF(SUM($C722:AH722)&gt;0,AG425+1,0),0)</f>
        <v>0</v>
      </c>
      <c r="AI425" s="186">
        <f>IF(AI$2&lt;=AnalysisPeriod,IF(SUM($C722:AI722)&gt;0,AH425+1,0),0)</f>
        <v>0</v>
      </c>
      <c r="AJ425" s="186">
        <f>IF(AJ$2&lt;=AnalysisPeriod,IF(SUM($C722:AJ722)&gt;0,AI425+1,0),0)</f>
        <v>0</v>
      </c>
      <c r="AK425" s="186">
        <f>IF(AK$2&lt;=AnalysisPeriod,IF(SUM($C722:AK722)&gt;0,AJ425+1,0),0)</f>
        <v>0</v>
      </c>
      <c r="AL425" s="186">
        <f>IF(AL$2&lt;=AnalysisPeriod,IF(SUM($C722:AL722)&gt;0,AK425+1,0),0)</f>
        <v>0</v>
      </c>
      <c r="AM425" s="186">
        <f>IF(AM$2&lt;=AnalysisPeriod,IF(SUM($C722:AM722)&gt;0,AL425+1,0),0)</f>
        <v>0</v>
      </c>
      <c r="AN425" s="186">
        <f>IF(AN$2&lt;=AnalysisPeriod,IF(SUM($C722:AN722)&gt;0,AM425+1,0),0)</f>
        <v>0</v>
      </c>
      <c r="AO425" s="186">
        <f>IF(AO$2&lt;=AnalysisPeriod,IF(SUM($C722:AO722)&gt;0,AN425+1,0),0)</f>
        <v>0</v>
      </c>
      <c r="AP425" s="186">
        <f>IF(AP$2&lt;=AnalysisPeriod,IF(SUM($C722:AP722)&gt;0,AO425+1,0),0)</f>
        <v>0</v>
      </c>
    </row>
    <row r="426" spans="1:42">
      <c r="A426" s="118">
        <f t="shared" si="244"/>
        <v>4</v>
      </c>
      <c r="C426" s="186">
        <f>IF(C$2&lt;=AnalysisPeriod,IF(SUM($C723:C723)&gt;0,B426+1,0),0)</f>
        <v>0</v>
      </c>
      <c r="D426" s="186">
        <f>IF(D$2&lt;=AnalysisPeriod,IF(SUM($C723:D723)&gt;0,C426+1,0),0)</f>
        <v>0</v>
      </c>
      <c r="E426" s="186">
        <f>IF(E$2&lt;=AnalysisPeriod,IF(SUM($C723:E723)&gt;0,D426+1,0),0)</f>
        <v>0</v>
      </c>
      <c r="F426" s="186">
        <f>IF(F$2&lt;=AnalysisPeriod,IF(SUM($C723:F723)&gt;0,E426+1,0),0)</f>
        <v>0</v>
      </c>
      <c r="G426" s="186">
        <f>IF(G$2&lt;=AnalysisPeriod,IF(SUM($C723:G723)&gt;0,F426+1,0),0)</f>
        <v>0</v>
      </c>
      <c r="H426" s="186">
        <f>IF(H$2&lt;=AnalysisPeriod,IF(SUM($C723:H723)&gt;0,G426+1,0),0)</f>
        <v>0</v>
      </c>
      <c r="I426" s="186">
        <f>IF(I$2&lt;=AnalysisPeriod,IF(SUM($C723:I723)&gt;0,H426+1,0),0)</f>
        <v>0</v>
      </c>
      <c r="J426" s="186">
        <f>IF(J$2&lt;=AnalysisPeriod,IF(SUM($C723:J723)&gt;0,I426+1,0),0)</f>
        <v>0</v>
      </c>
      <c r="K426" s="186">
        <f>IF(K$2&lt;=AnalysisPeriod,IF(SUM($C723:K723)&gt;0,J426+1,0),0)</f>
        <v>0</v>
      </c>
      <c r="L426" s="186">
        <f>IF(L$2&lt;=AnalysisPeriod,IF(SUM($C723:L723)&gt;0,K426+1,0),0)</f>
        <v>0</v>
      </c>
      <c r="M426" s="186">
        <f>IF(M$2&lt;=AnalysisPeriod,IF(SUM($C723:M723)&gt;0,L426+1,0),0)</f>
        <v>0</v>
      </c>
      <c r="N426" s="186">
        <f>IF(N$2&lt;=AnalysisPeriod,IF(SUM($C723:N723)&gt;0,M426+1,0),0)</f>
        <v>1</v>
      </c>
      <c r="O426" s="186">
        <f>IF(O$2&lt;=AnalysisPeriod,IF(SUM($C723:O723)&gt;0,N426+1,0),0)</f>
        <v>2</v>
      </c>
      <c r="P426" s="186">
        <f>IF(P$2&lt;=AnalysisPeriod,IF(SUM($C723:P723)&gt;0,O426+1,0),0)</f>
        <v>3</v>
      </c>
      <c r="Q426" s="186">
        <f>IF(Q$2&lt;=AnalysisPeriod,IF(SUM($C723:Q723)&gt;0,P426+1,0),0)</f>
        <v>4</v>
      </c>
      <c r="R426" s="186">
        <f>IF(R$2&lt;=AnalysisPeriod,IF(SUM($C723:R723)&gt;0,Q426+1,0),0)</f>
        <v>5</v>
      </c>
      <c r="S426" s="186">
        <f>IF(S$2&lt;=AnalysisPeriod,IF(SUM($C723:S723)&gt;0,R426+1,0),0)</f>
        <v>6</v>
      </c>
      <c r="T426" s="186">
        <f>IF(T$2&lt;=AnalysisPeriod,IF(SUM($C723:T723)&gt;0,S426+1,0),0)</f>
        <v>7</v>
      </c>
      <c r="U426" s="186">
        <f>IF(U$2&lt;=AnalysisPeriod,IF(SUM($C723:U723)&gt;0,T426+1,0),0)</f>
        <v>8</v>
      </c>
      <c r="V426" s="186">
        <f>IF(V$2&lt;=AnalysisPeriod,IF(SUM($C723:V723)&gt;0,U426+1,0),0)</f>
        <v>9</v>
      </c>
      <c r="W426" s="186">
        <f>IF(W$2&lt;=AnalysisPeriod,IF(SUM($C723:W723)&gt;0,V426+1,0),0)</f>
        <v>10</v>
      </c>
      <c r="X426" s="186">
        <f>IF(X$2&lt;=AnalysisPeriod,IF(SUM($C723:X723)&gt;0,W426+1,0),0)</f>
        <v>11</v>
      </c>
      <c r="Y426" s="186">
        <f>IF(Y$2&lt;=AnalysisPeriod,IF(SUM($C723:Y723)&gt;0,X426+1,0),0)</f>
        <v>12</v>
      </c>
      <c r="Z426" s="186">
        <f>IF(Z$2&lt;=AnalysisPeriod,IF(SUM($C723:Z723)&gt;0,Y426+1,0),0)</f>
        <v>13</v>
      </c>
      <c r="AA426" s="186">
        <f>IF(AA$2&lt;=AnalysisPeriod,IF(SUM($C723:AA723)&gt;0,Z426+1,0),0)</f>
        <v>14</v>
      </c>
      <c r="AB426" s="186">
        <f>IF(AB$2&lt;=AnalysisPeriod,IF(SUM($C723:AB723)&gt;0,AA426+1,0),0)</f>
        <v>15</v>
      </c>
      <c r="AC426" s="186">
        <f>IF(AC$2&lt;=AnalysisPeriod,IF(SUM($C723:AC723)&gt;0,AB426+1,0),0)</f>
        <v>16</v>
      </c>
      <c r="AD426" s="186">
        <f>IF(AD$2&lt;=AnalysisPeriod,IF(SUM($C723:AD723)&gt;0,AC426+1,0),0)</f>
        <v>17</v>
      </c>
      <c r="AE426" s="186">
        <f>IF(AE$2&lt;=AnalysisPeriod,IF(SUM($C723:AE723)&gt;0,AD426+1,0),0)</f>
        <v>18</v>
      </c>
      <c r="AF426" s="186">
        <f>IF(AF$2&lt;=AnalysisPeriod,IF(SUM($C723:AF723)&gt;0,AE426+1,0),0)</f>
        <v>19</v>
      </c>
      <c r="AG426" s="186">
        <f>IF(AG$2&lt;=AnalysisPeriod,IF(SUM($C723:AG723)&gt;0,AF426+1,0),0)</f>
        <v>0</v>
      </c>
      <c r="AH426" s="186">
        <f>IF(AH$2&lt;=AnalysisPeriod,IF(SUM($C723:AH723)&gt;0,AG426+1,0),0)</f>
        <v>0</v>
      </c>
      <c r="AI426" s="186">
        <f>IF(AI$2&lt;=AnalysisPeriod,IF(SUM($C723:AI723)&gt;0,AH426+1,0),0)</f>
        <v>0</v>
      </c>
      <c r="AJ426" s="186">
        <f>IF(AJ$2&lt;=AnalysisPeriod,IF(SUM($C723:AJ723)&gt;0,AI426+1,0),0)</f>
        <v>0</v>
      </c>
      <c r="AK426" s="186">
        <f>IF(AK$2&lt;=AnalysisPeriod,IF(SUM($C723:AK723)&gt;0,AJ426+1,0),0)</f>
        <v>0</v>
      </c>
      <c r="AL426" s="186">
        <f>IF(AL$2&lt;=AnalysisPeriod,IF(SUM($C723:AL723)&gt;0,AK426+1,0),0)</f>
        <v>0</v>
      </c>
      <c r="AM426" s="186">
        <f>IF(AM$2&lt;=AnalysisPeriod,IF(SUM($C723:AM723)&gt;0,AL426+1,0),0)</f>
        <v>0</v>
      </c>
      <c r="AN426" s="186">
        <f>IF(AN$2&lt;=AnalysisPeriod,IF(SUM($C723:AN723)&gt;0,AM426+1,0),0)</f>
        <v>0</v>
      </c>
      <c r="AO426" s="186">
        <f>IF(AO$2&lt;=AnalysisPeriod,IF(SUM($C723:AO723)&gt;0,AN426+1,0),0)</f>
        <v>0</v>
      </c>
      <c r="AP426" s="186">
        <f>IF(AP$2&lt;=AnalysisPeriod,IF(SUM($C723:AP723)&gt;0,AO426+1,0),0)</f>
        <v>0</v>
      </c>
    </row>
    <row r="427" spans="1:42">
      <c r="A427" s="118">
        <f t="shared" si="244"/>
        <v>5</v>
      </c>
      <c r="C427" s="186">
        <f>IF(C$2&lt;=AnalysisPeriod,IF(SUM($C724:C724)&gt;0,B427+1,0),0)</f>
        <v>0</v>
      </c>
      <c r="D427" s="186">
        <f>IF(D$2&lt;=AnalysisPeriod,IF(SUM($C724:D724)&gt;0,C427+1,0),0)</f>
        <v>0</v>
      </c>
      <c r="E427" s="186">
        <f>IF(E$2&lt;=AnalysisPeriod,IF(SUM($C724:E724)&gt;0,D427+1,0),0)</f>
        <v>0</v>
      </c>
      <c r="F427" s="186">
        <f>IF(F$2&lt;=AnalysisPeriod,IF(SUM($C724:F724)&gt;0,E427+1,0),0)</f>
        <v>0</v>
      </c>
      <c r="G427" s="186">
        <f>IF(G$2&lt;=AnalysisPeriod,IF(SUM($C724:G724)&gt;0,F427+1,0),0)</f>
        <v>0</v>
      </c>
      <c r="H427" s="186">
        <f>IF(H$2&lt;=AnalysisPeriod,IF(SUM($C724:H724)&gt;0,G427+1,0),0)</f>
        <v>0</v>
      </c>
      <c r="I427" s="186">
        <f>IF(I$2&lt;=AnalysisPeriod,IF(SUM($C724:I724)&gt;0,H427+1,0),0)</f>
        <v>0</v>
      </c>
      <c r="J427" s="186">
        <f>IF(J$2&lt;=AnalysisPeriod,IF(SUM($C724:J724)&gt;0,I427+1,0),0)</f>
        <v>0</v>
      </c>
      <c r="K427" s="186">
        <f>IF(K$2&lt;=AnalysisPeriod,IF(SUM($C724:K724)&gt;0,J427+1,0),0)</f>
        <v>0</v>
      </c>
      <c r="L427" s="186">
        <f>IF(L$2&lt;=AnalysisPeriod,IF(SUM($C724:L724)&gt;0,K427+1,0),0)</f>
        <v>0</v>
      </c>
      <c r="M427" s="186">
        <f>IF(M$2&lt;=AnalysisPeriod,IF(SUM($C724:M724)&gt;0,L427+1,0),0)</f>
        <v>0</v>
      </c>
      <c r="N427" s="186">
        <f>IF(N$2&lt;=AnalysisPeriod,IF(SUM($C724:N724)&gt;0,M427+1,0),0)</f>
        <v>0</v>
      </c>
      <c r="O427" s="186">
        <f>IF(O$2&lt;=AnalysisPeriod,IF(SUM($C724:O724)&gt;0,N427+1,0),0)</f>
        <v>0</v>
      </c>
      <c r="P427" s="186">
        <f>IF(P$2&lt;=AnalysisPeriod,IF(SUM($C724:P724)&gt;0,O427+1,0),0)</f>
        <v>0</v>
      </c>
      <c r="Q427" s="186">
        <f>IF(Q$2&lt;=AnalysisPeriod,IF(SUM($C724:Q724)&gt;0,P427+1,0),0)</f>
        <v>1</v>
      </c>
      <c r="R427" s="186">
        <f>IF(R$2&lt;=AnalysisPeriod,IF(SUM($C724:R724)&gt;0,Q427+1,0),0)</f>
        <v>2</v>
      </c>
      <c r="S427" s="186">
        <f>IF(S$2&lt;=AnalysisPeriod,IF(SUM($C724:S724)&gt;0,R427+1,0),0)</f>
        <v>3</v>
      </c>
      <c r="T427" s="186">
        <f>IF(T$2&lt;=AnalysisPeriod,IF(SUM($C724:T724)&gt;0,S427+1,0),0)</f>
        <v>4</v>
      </c>
      <c r="U427" s="186">
        <f>IF(U$2&lt;=AnalysisPeriod,IF(SUM($C724:U724)&gt;0,T427+1,0),0)</f>
        <v>5</v>
      </c>
      <c r="V427" s="186">
        <f>IF(V$2&lt;=AnalysisPeriod,IF(SUM($C724:V724)&gt;0,U427+1,0),0)</f>
        <v>6</v>
      </c>
      <c r="W427" s="186">
        <f>IF(W$2&lt;=AnalysisPeriod,IF(SUM($C724:W724)&gt;0,V427+1,0),0)</f>
        <v>7</v>
      </c>
      <c r="X427" s="186">
        <f>IF(X$2&lt;=AnalysisPeriod,IF(SUM($C724:X724)&gt;0,W427+1,0),0)</f>
        <v>8</v>
      </c>
      <c r="Y427" s="186">
        <f>IF(Y$2&lt;=AnalysisPeriod,IF(SUM($C724:Y724)&gt;0,X427+1,0),0)</f>
        <v>9</v>
      </c>
      <c r="Z427" s="186">
        <f>IF(Z$2&lt;=AnalysisPeriod,IF(SUM($C724:Z724)&gt;0,Y427+1,0),0)</f>
        <v>10</v>
      </c>
      <c r="AA427" s="186">
        <f>IF(AA$2&lt;=AnalysisPeriod,IF(SUM($C724:AA724)&gt;0,Z427+1,0),0)</f>
        <v>11</v>
      </c>
      <c r="AB427" s="186">
        <f>IF(AB$2&lt;=AnalysisPeriod,IF(SUM($C724:AB724)&gt;0,AA427+1,0),0)</f>
        <v>12</v>
      </c>
      <c r="AC427" s="186">
        <f>IF(AC$2&lt;=AnalysisPeriod,IF(SUM($C724:AC724)&gt;0,AB427+1,0),0)</f>
        <v>13</v>
      </c>
      <c r="AD427" s="186">
        <f>IF(AD$2&lt;=AnalysisPeriod,IF(SUM($C724:AD724)&gt;0,AC427+1,0),0)</f>
        <v>14</v>
      </c>
      <c r="AE427" s="186">
        <f>IF(AE$2&lt;=AnalysisPeriod,IF(SUM($C724:AE724)&gt;0,AD427+1,0),0)</f>
        <v>15</v>
      </c>
      <c r="AF427" s="186">
        <f>IF(AF$2&lt;=AnalysisPeriod,IF(SUM($C724:AF724)&gt;0,AE427+1,0),0)</f>
        <v>16</v>
      </c>
      <c r="AG427" s="186">
        <f>IF(AG$2&lt;=AnalysisPeriod,IF(SUM($C724:AG724)&gt;0,AF427+1,0),0)</f>
        <v>0</v>
      </c>
      <c r="AH427" s="186">
        <f>IF(AH$2&lt;=AnalysisPeriod,IF(SUM($C724:AH724)&gt;0,AG427+1,0),0)</f>
        <v>0</v>
      </c>
      <c r="AI427" s="186">
        <f>IF(AI$2&lt;=AnalysisPeriod,IF(SUM($C724:AI724)&gt;0,AH427+1,0),0)</f>
        <v>0</v>
      </c>
      <c r="AJ427" s="186">
        <f>IF(AJ$2&lt;=AnalysisPeriod,IF(SUM($C724:AJ724)&gt;0,AI427+1,0),0)</f>
        <v>0</v>
      </c>
      <c r="AK427" s="186">
        <f>IF(AK$2&lt;=AnalysisPeriod,IF(SUM($C724:AK724)&gt;0,AJ427+1,0),0)</f>
        <v>0</v>
      </c>
      <c r="AL427" s="186">
        <f>IF(AL$2&lt;=AnalysisPeriod,IF(SUM($C724:AL724)&gt;0,AK427+1,0),0)</f>
        <v>0</v>
      </c>
      <c r="AM427" s="186">
        <f>IF(AM$2&lt;=AnalysisPeriod,IF(SUM($C724:AM724)&gt;0,AL427+1,0),0)</f>
        <v>0</v>
      </c>
      <c r="AN427" s="186">
        <f>IF(AN$2&lt;=AnalysisPeriod,IF(SUM($C724:AN724)&gt;0,AM427+1,0),0)</f>
        <v>0</v>
      </c>
      <c r="AO427" s="186">
        <f>IF(AO$2&lt;=AnalysisPeriod,IF(SUM($C724:AO724)&gt;0,AN427+1,0),0)</f>
        <v>0</v>
      </c>
      <c r="AP427" s="186">
        <f>IF(AP$2&lt;=AnalysisPeriod,IF(SUM($C724:AP724)&gt;0,AO427+1,0),0)</f>
        <v>0</v>
      </c>
    </row>
    <row r="428" spans="1:42">
      <c r="A428" s="118">
        <f t="shared" si="244"/>
        <v>6</v>
      </c>
      <c r="C428" s="186">
        <f>IF(C$2&lt;=AnalysisPeriod,IF(SUM($C725:C725)&gt;0,B428+1,0),0)</f>
        <v>0</v>
      </c>
      <c r="D428" s="186">
        <f>IF(D$2&lt;=AnalysisPeriod,IF(SUM($C725:D725)&gt;0,C428+1,0),0)</f>
        <v>0</v>
      </c>
      <c r="E428" s="186">
        <f>IF(E$2&lt;=AnalysisPeriod,IF(SUM($C725:E725)&gt;0,D428+1,0),0)</f>
        <v>0</v>
      </c>
      <c r="F428" s="186">
        <f>IF(F$2&lt;=AnalysisPeriod,IF(SUM($C725:F725)&gt;0,E428+1,0),0)</f>
        <v>0</v>
      </c>
      <c r="G428" s="186">
        <f>IF(G$2&lt;=AnalysisPeriod,IF(SUM($C725:G725)&gt;0,F428+1,0),0)</f>
        <v>0</v>
      </c>
      <c r="H428" s="186">
        <f>IF(H$2&lt;=AnalysisPeriod,IF(SUM($C725:H725)&gt;0,G428+1,0),0)</f>
        <v>0</v>
      </c>
      <c r="I428" s="186">
        <f>IF(I$2&lt;=AnalysisPeriod,IF(SUM($C725:I725)&gt;0,H428+1,0),0)</f>
        <v>0</v>
      </c>
      <c r="J428" s="186">
        <f>IF(J$2&lt;=AnalysisPeriod,IF(SUM($C725:J725)&gt;0,I428+1,0),0)</f>
        <v>0</v>
      </c>
      <c r="K428" s="186">
        <f>IF(K$2&lt;=AnalysisPeriod,IF(SUM($C725:K725)&gt;0,J428+1,0),0)</f>
        <v>0</v>
      </c>
      <c r="L428" s="186">
        <f>IF(L$2&lt;=AnalysisPeriod,IF(SUM($C725:L725)&gt;0,K428+1,0),0)</f>
        <v>0</v>
      </c>
      <c r="M428" s="186">
        <f>IF(M$2&lt;=AnalysisPeriod,IF(SUM($C725:M725)&gt;0,L428+1,0),0)</f>
        <v>0</v>
      </c>
      <c r="N428" s="186">
        <f>IF(N$2&lt;=AnalysisPeriod,IF(SUM($C725:N725)&gt;0,M428+1,0),0)</f>
        <v>0</v>
      </c>
      <c r="O428" s="186">
        <f>IF(O$2&lt;=AnalysisPeriod,IF(SUM($C725:O725)&gt;0,N428+1,0),0)</f>
        <v>0</v>
      </c>
      <c r="P428" s="186">
        <f>IF(P$2&lt;=AnalysisPeriod,IF(SUM($C725:P725)&gt;0,O428+1,0),0)</f>
        <v>0</v>
      </c>
      <c r="Q428" s="186">
        <f>IF(Q$2&lt;=AnalysisPeriod,IF(SUM($C725:Q725)&gt;0,P428+1,0),0)</f>
        <v>0</v>
      </c>
      <c r="R428" s="186">
        <f>IF(R$2&lt;=AnalysisPeriod,IF(SUM($C725:R725)&gt;0,Q428+1,0),0)</f>
        <v>0</v>
      </c>
      <c r="S428" s="186">
        <f>IF(S$2&lt;=AnalysisPeriod,IF(SUM($C725:S725)&gt;0,R428+1,0),0)</f>
        <v>0</v>
      </c>
      <c r="T428" s="186">
        <f>IF(T$2&lt;=AnalysisPeriod,IF(SUM($C725:T725)&gt;0,S428+1,0),0)</f>
        <v>1</v>
      </c>
      <c r="U428" s="186">
        <f>IF(U$2&lt;=AnalysisPeriod,IF(SUM($C725:U725)&gt;0,T428+1,0),0)</f>
        <v>2</v>
      </c>
      <c r="V428" s="186">
        <f>IF(V$2&lt;=AnalysisPeriod,IF(SUM($C725:V725)&gt;0,U428+1,0),0)</f>
        <v>3</v>
      </c>
      <c r="W428" s="186">
        <f>IF(W$2&lt;=AnalysisPeriod,IF(SUM($C725:W725)&gt;0,V428+1,0),0)</f>
        <v>4</v>
      </c>
      <c r="X428" s="186">
        <f>IF(X$2&lt;=AnalysisPeriod,IF(SUM($C725:X725)&gt;0,W428+1,0),0)</f>
        <v>5</v>
      </c>
      <c r="Y428" s="186">
        <f>IF(Y$2&lt;=AnalysisPeriod,IF(SUM($C725:Y725)&gt;0,X428+1,0),0)</f>
        <v>6</v>
      </c>
      <c r="Z428" s="186">
        <f>IF(Z$2&lt;=AnalysisPeriod,IF(SUM($C725:Z725)&gt;0,Y428+1,0),0)</f>
        <v>7</v>
      </c>
      <c r="AA428" s="186">
        <f>IF(AA$2&lt;=AnalysisPeriod,IF(SUM($C725:AA725)&gt;0,Z428+1,0),0)</f>
        <v>8</v>
      </c>
      <c r="AB428" s="186">
        <f>IF(AB$2&lt;=AnalysisPeriod,IF(SUM($C725:AB725)&gt;0,AA428+1,0),0)</f>
        <v>9</v>
      </c>
      <c r="AC428" s="186">
        <f>IF(AC$2&lt;=AnalysisPeriod,IF(SUM($C725:AC725)&gt;0,AB428+1,0),0)</f>
        <v>10</v>
      </c>
      <c r="AD428" s="186">
        <f>IF(AD$2&lt;=AnalysisPeriod,IF(SUM($C725:AD725)&gt;0,AC428+1,0),0)</f>
        <v>11</v>
      </c>
      <c r="AE428" s="186">
        <f>IF(AE$2&lt;=AnalysisPeriod,IF(SUM($C725:AE725)&gt;0,AD428+1,0),0)</f>
        <v>12</v>
      </c>
      <c r="AF428" s="186">
        <f>IF(AF$2&lt;=AnalysisPeriod,IF(SUM($C725:AF725)&gt;0,AE428+1,0),0)</f>
        <v>13</v>
      </c>
      <c r="AG428" s="186">
        <f>IF(AG$2&lt;=AnalysisPeriod,IF(SUM($C725:AG725)&gt;0,AF428+1,0),0)</f>
        <v>0</v>
      </c>
      <c r="AH428" s="186">
        <f>IF(AH$2&lt;=AnalysisPeriod,IF(SUM($C725:AH725)&gt;0,AG428+1,0),0)</f>
        <v>0</v>
      </c>
      <c r="AI428" s="186">
        <f>IF(AI$2&lt;=AnalysisPeriod,IF(SUM($C725:AI725)&gt;0,AH428+1,0),0)</f>
        <v>0</v>
      </c>
      <c r="AJ428" s="186">
        <f>IF(AJ$2&lt;=AnalysisPeriod,IF(SUM($C725:AJ725)&gt;0,AI428+1,0),0)</f>
        <v>0</v>
      </c>
      <c r="AK428" s="186">
        <f>IF(AK$2&lt;=AnalysisPeriod,IF(SUM($C725:AK725)&gt;0,AJ428+1,0),0)</f>
        <v>0</v>
      </c>
      <c r="AL428" s="186">
        <f>IF(AL$2&lt;=AnalysisPeriod,IF(SUM($C725:AL725)&gt;0,AK428+1,0),0)</f>
        <v>0</v>
      </c>
      <c r="AM428" s="186">
        <f>IF(AM$2&lt;=AnalysisPeriod,IF(SUM($C725:AM725)&gt;0,AL428+1,0),0)</f>
        <v>0</v>
      </c>
      <c r="AN428" s="186">
        <f>IF(AN$2&lt;=AnalysisPeriod,IF(SUM($C725:AN725)&gt;0,AM428+1,0),0)</f>
        <v>0</v>
      </c>
      <c r="AO428" s="186">
        <f>IF(AO$2&lt;=AnalysisPeriod,IF(SUM($C725:AO725)&gt;0,AN428+1,0),0)</f>
        <v>0</v>
      </c>
      <c r="AP428" s="186">
        <f>IF(AP$2&lt;=AnalysisPeriod,IF(SUM($C725:AP725)&gt;0,AO428+1,0),0)</f>
        <v>0</v>
      </c>
    </row>
    <row r="429" spans="1:42">
      <c r="A429" s="118">
        <f t="shared" si="244"/>
        <v>7</v>
      </c>
      <c r="C429" s="186">
        <f>IF(C$2&lt;=AnalysisPeriod,IF(SUM($C726:C726)&gt;0,B429+1,0),0)</f>
        <v>0</v>
      </c>
      <c r="D429" s="186">
        <f>IF(D$2&lt;=AnalysisPeriod,IF(SUM($C726:D726)&gt;0,C429+1,0),0)</f>
        <v>0</v>
      </c>
      <c r="E429" s="186">
        <f>IF(E$2&lt;=AnalysisPeriod,IF(SUM($C726:E726)&gt;0,D429+1,0),0)</f>
        <v>0</v>
      </c>
      <c r="F429" s="186">
        <f>IF(F$2&lt;=AnalysisPeriod,IF(SUM($C726:F726)&gt;0,E429+1,0),0)</f>
        <v>0</v>
      </c>
      <c r="G429" s="186">
        <f>IF(G$2&lt;=AnalysisPeriod,IF(SUM($C726:G726)&gt;0,F429+1,0),0)</f>
        <v>0</v>
      </c>
      <c r="H429" s="186">
        <f>IF(H$2&lt;=AnalysisPeriod,IF(SUM($C726:H726)&gt;0,G429+1,0),0)</f>
        <v>0</v>
      </c>
      <c r="I429" s="186">
        <f>IF(I$2&lt;=AnalysisPeriod,IF(SUM($C726:I726)&gt;0,H429+1,0),0)</f>
        <v>0</v>
      </c>
      <c r="J429" s="186">
        <f>IF(J$2&lt;=AnalysisPeriod,IF(SUM($C726:J726)&gt;0,I429+1,0),0)</f>
        <v>0</v>
      </c>
      <c r="K429" s="186">
        <f>IF(K$2&lt;=AnalysisPeriod,IF(SUM($C726:K726)&gt;0,J429+1,0),0)</f>
        <v>0</v>
      </c>
      <c r="L429" s="186">
        <f>IF(L$2&lt;=AnalysisPeriod,IF(SUM($C726:L726)&gt;0,K429+1,0),0)</f>
        <v>0</v>
      </c>
      <c r="M429" s="186">
        <f>IF(M$2&lt;=AnalysisPeriod,IF(SUM($C726:M726)&gt;0,L429+1,0),0)</f>
        <v>0</v>
      </c>
      <c r="N429" s="186">
        <f>IF(N$2&lt;=AnalysisPeriod,IF(SUM($C726:N726)&gt;0,M429+1,0),0)</f>
        <v>0</v>
      </c>
      <c r="O429" s="186">
        <f>IF(O$2&lt;=AnalysisPeriod,IF(SUM($C726:O726)&gt;0,N429+1,0),0)</f>
        <v>0</v>
      </c>
      <c r="P429" s="186">
        <f>IF(P$2&lt;=AnalysisPeriod,IF(SUM($C726:P726)&gt;0,O429+1,0),0)</f>
        <v>0</v>
      </c>
      <c r="Q429" s="186">
        <f>IF(Q$2&lt;=AnalysisPeriod,IF(SUM($C726:Q726)&gt;0,P429+1,0),0)</f>
        <v>0</v>
      </c>
      <c r="R429" s="186">
        <f>IF(R$2&lt;=AnalysisPeriod,IF(SUM($C726:R726)&gt;0,Q429+1,0),0)</f>
        <v>0</v>
      </c>
      <c r="S429" s="186">
        <f>IF(S$2&lt;=AnalysisPeriod,IF(SUM($C726:S726)&gt;0,R429+1,0),0)</f>
        <v>0</v>
      </c>
      <c r="T429" s="186">
        <f>IF(T$2&lt;=AnalysisPeriod,IF(SUM($C726:T726)&gt;0,S429+1,0),0)</f>
        <v>0</v>
      </c>
      <c r="U429" s="186">
        <f>IF(U$2&lt;=AnalysisPeriod,IF(SUM($C726:U726)&gt;0,T429+1,0),0)</f>
        <v>0</v>
      </c>
      <c r="V429" s="186">
        <f>IF(V$2&lt;=AnalysisPeriod,IF(SUM($C726:V726)&gt;0,U429+1,0),0)</f>
        <v>0</v>
      </c>
      <c r="W429" s="186">
        <f>IF(W$2&lt;=AnalysisPeriod,IF(SUM($C726:W726)&gt;0,V429+1,0),0)</f>
        <v>1</v>
      </c>
      <c r="X429" s="186">
        <f>IF(X$2&lt;=AnalysisPeriod,IF(SUM($C726:X726)&gt;0,W429+1,0),0)</f>
        <v>2</v>
      </c>
      <c r="Y429" s="186">
        <f>IF(Y$2&lt;=AnalysisPeriod,IF(SUM($C726:Y726)&gt;0,X429+1,0),0)</f>
        <v>3</v>
      </c>
      <c r="Z429" s="186">
        <f>IF(Z$2&lt;=AnalysisPeriod,IF(SUM($C726:Z726)&gt;0,Y429+1,0),0)</f>
        <v>4</v>
      </c>
      <c r="AA429" s="186">
        <f>IF(AA$2&lt;=AnalysisPeriod,IF(SUM($C726:AA726)&gt;0,Z429+1,0),0)</f>
        <v>5</v>
      </c>
      <c r="AB429" s="186">
        <f>IF(AB$2&lt;=AnalysisPeriod,IF(SUM($C726:AB726)&gt;0,AA429+1,0),0)</f>
        <v>6</v>
      </c>
      <c r="AC429" s="186">
        <f>IF(AC$2&lt;=AnalysisPeriod,IF(SUM($C726:AC726)&gt;0,AB429+1,0),0)</f>
        <v>7</v>
      </c>
      <c r="AD429" s="186">
        <f>IF(AD$2&lt;=AnalysisPeriod,IF(SUM($C726:AD726)&gt;0,AC429+1,0),0)</f>
        <v>8</v>
      </c>
      <c r="AE429" s="186">
        <f>IF(AE$2&lt;=AnalysisPeriod,IF(SUM($C726:AE726)&gt;0,AD429+1,0),0)</f>
        <v>9</v>
      </c>
      <c r="AF429" s="186">
        <f>IF(AF$2&lt;=AnalysisPeriod,IF(SUM($C726:AF726)&gt;0,AE429+1,0),0)</f>
        <v>10</v>
      </c>
      <c r="AG429" s="186">
        <f>IF(AG$2&lt;=AnalysisPeriod,IF(SUM($C726:AG726)&gt;0,AF429+1,0),0)</f>
        <v>0</v>
      </c>
      <c r="AH429" s="186">
        <f>IF(AH$2&lt;=AnalysisPeriod,IF(SUM($C726:AH726)&gt;0,AG429+1,0),0)</f>
        <v>0</v>
      </c>
      <c r="AI429" s="186">
        <f>IF(AI$2&lt;=AnalysisPeriod,IF(SUM($C726:AI726)&gt;0,AH429+1,0),0)</f>
        <v>0</v>
      </c>
      <c r="AJ429" s="186">
        <f>IF(AJ$2&lt;=AnalysisPeriod,IF(SUM($C726:AJ726)&gt;0,AI429+1,0),0)</f>
        <v>0</v>
      </c>
      <c r="AK429" s="186">
        <f>IF(AK$2&lt;=AnalysisPeriod,IF(SUM($C726:AK726)&gt;0,AJ429+1,0),0)</f>
        <v>0</v>
      </c>
      <c r="AL429" s="186">
        <f>IF(AL$2&lt;=AnalysisPeriod,IF(SUM($C726:AL726)&gt;0,AK429+1,0),0)</f>
        <v>0</v>
      </c>
      <c r="AM429" s="186">
        <f>IF(AM$2&lt;=AnalysisPeriod,IF(SUM($C726:AM726)&gt;0,AL429+1,0),0)</f>
        <v>0</v>
      </c>
      <c r="AN429" s="186">
        <f>IF(AN$2&lt;=AnalysisPeriod,IF(SUM($C726:AN726)&gt;0,AM429+1,0),0)</f>
        <v>0</v>
      </c>
      <c r="AO429" s="186">
        <f>IF(AO$2&lt;=AnalysisPeriod,IF(SUM($C726:AO726)&gt;0,AN429+1,0),0)</f>
        <v>0</v>
      </c>
      <c r="AP429" s="186">
        <f>IF(AP$2&lt;=AnalysisPeriod,IF(SUM($C726:AP726)&gt;0,AO429+1,0),0)</f>
        <v>0</v>
      </c>
    </row>
    <row r="430" spans="1:42">
      <c r="A430" s="118">
        <f t="shared" si="244"/>
        <v>8</v>
      </c>
      <c r="C430" s="186">
        <f>IF(C$2&lt;=AnalysisPeriod,IF(SUM($C727:C727)&gt;0,B430+1,0),0)</f>
        <v>0</v>
      </c>
      <c r="D430" s="186">
        <f>IF(D$2&lt;=AnalysisPeriod,IF(SUM($C727:D727)&gt;0,C430+1,0),0)</f>
        <v>0</v>
      </c>
      <c r="E430" s="186">
        <f>IF(E$2&lt;=AnalysisPeriod,IF(SUM($C727:E727)&gt;0,D430+1,0),0)</f>
        <v>0</v>
      </c>
      <c r="F430" s="186">
        <f>IF(F$2&lt;=AnalysisPeriod,IF(SUM($C727:F727)&gt;0,E430+1,0),0)</f>
        <v>0</v>
      </c>
      <c r="G430" s="186">
        <f>IF(G$2&lt;=AnalysisPeriod,IF(SUM($C727:G727)&gt;0,F430+1,0),0)</f>
        <v>0</v>
      </c>
      <c r="H430" s="186">
        <f>IF(H$2&lt;=AnalysisPeriod,IF(SUM($C727:H727)&gt;0,G430+1,0),0)</f>
        <v>0</v>
      </c>
      <c r="I430" s="186">
        <f>IF(I$2&lt;=AnalysisPeriod,IF(SUM($C727:I727)&gt;0,H430+1,0),0)</f>
        <v>0</v>
      </c>
      <c r="J430" s="186">
        <f>IF(J$2&lt;=AnalysisPeriod,IF(SUM($C727:J727)&gt;0,I430+1,0),0)</f>
        <v>0</v>
      </c>
      <c r="K430" s="186">
        <f>IF(K$2&lt;=AnalysisPeriod,IF(SUM($C727:K727)&gt;0,J430+1,0),0)</f>
        <v>0</v>
      </c>
      <c r="L430" s="186">
        <f>IF(L$2&lt;=AnalysisPeriod,IF(SUM($C727:L727)&gt;0,K430+1,0),0)</f>
        <v>0</v>
      </c>
      <c r="M430" s="186">
        <f>IF(M$2&lt;=AnalysisPeriod,IF(SUM($C727:M727)&gt;0,L430+1,0),0)</f>
        <v>0</v>
      </c>
      <c r="N430" s="186">
        <f>IF(N$2&lt;=AnalysisPeriod,IF(SUM($C727:N727)&gt;0,M430+1,0),0)</f>
        <v>0</v>
      </c>
      <c r="O430" s="186">
        <f>IF(O$2&lt;=AnalysisPeriod,IF(SUM($C727:O727)&gt;0,N430+1,0),0)</f>
        <v>0</v>
      </c>
      <c r="P430" s="186">
        <f>IF(P$2&lt;=AnalysisPeriod,IF(SUM($C727:P727)&gt;0,O430+1,0),0)</f>
        <v>0</v>
      </c>
      <c r="Q430" s="186">
        <f>IF(Q$2&lt;=AnalysisPeriod,IF(SUM($C727:Q727)&gt;0,P430+1,0),0)</f>
        <v>0</v>
      </c>
      <c r="R430" s="186">
        <f>IF(R$2&lt;=AnalysisPeriod,IF(SUM($C727:R727)&gt;0,Q430+1,0),0)</f>
        <v>0</v>
      </c>
      <c r="S430" s="186">
        <f>IF(S$2&lt;=AnalysisPeriod,IF(SUM($C727:S727)&gt;0,R430+1,0),0)</f>
        <v>0</v>
      </c>
      <c r="T430" s="186">
        <f>IF(T$2&lt;=AnalysisPeriod,IF(SUM($C727:T727)&gt;0,S430+1,0),0)</f>
        <v>0</v>
      </c>
      <c r="U430" s="186">
        <f>IF(U$2&lt;=AnalysisPeriod,IF(SUM($C727:U727)&gt;0,T430+1,0),0)</f>
        <v>0</v>
      </c>
      <c r="V430" s="186">
        <f>IF(V$2&lt;=AnalysisPeriod,IF(SUM($C727:V727)&gt;0,U430+1,0),0)</f>
        <v>0</v>
      </c>
      <c r="W430" s="186">
        <f>IF(W$2&lt;=AnalysisPeriod,IF(SUM($C727:W727)&gt;0,V430+1,0),0)</f>
        <v>0</v>
      </c>
      <c r="X430" s="186">
        <f>IF(X$2&lt;=AnalysisPeriod,IF(SUM($C727:X727)&gt;0,W430+1,0),0)</f>
        <v>0</v>
      </c>
      <c r="Y430" s="186">
        <f>IF(Y$2&lt;=AnalysisPeriod,IF(SUM($C727:Y727)&gt;0,X430+1,0),0)</f>
        <v>0</v>
      </c>
      <c r="Z430" s="186">
        <f>IF(Z$2&lt;=AnalysisPeriod,IF(SUM($C727:Z727)&gt;0,Y430+1,0),0)</f>
        <v>1</v>
      </c>
      <c r="AA430" s="186">
        <f>IF(AA$2&lt;=AnalysisPeriod,IF(SUM($C727:AA727)&gt;0,Z430+1,0),0)</f>
        <v>2</v>
      </c>
      <c r="AB430" s="186">
        <f>IF(AB$2&lt;=AnalysisPeriod,IF(SUM($C727:AB727)&gt;0,AA430+1,0),0)</f>
        <v>3</v>
      </c>
      <c r="AC430" s="186">
        <f>IF(AC$2&lt;=AnalysisPeriod,IF(SUM($C727:AC727)&gt;0,AB430+1,0),0)</f>
        <v>4</v>
      </c>
      <c r="AD430" s="186">
        <f>IF(AD$2&lt;=AnalysisPeriod,IF(SUM($C727:AD727)&gt;0,AC430+1,0),0)</f>
        <v>5</v>
      </c>
      <c r="AE430" s="186">
        <f>IF(AE$2&lt;=AnalysisPeriod,IF(SUM($C727:AE727)&gt;0,AD430+1,0),0)</f>
        <v>6</v>
      </c>
      <c r="AF430" s="186">
        <f>IF(AF$2&lt;=AnalysisPeriod,IF(SUM($C727:AF727)&gt;0,AE430+1,0),0)</f>
        <v>7</v>
      </c>
      <c r="AG430" s="186">
        <f>IF(AG$2&lt;=AnalysisPeriod,IF(SUM($C727:AG727)&gt;0,AF430+1,0),0)</f>
        <v>0</v>
      </c>
      <c r="AH430" s="186">
        <f>IF(AH$2&lt;=AnalysisPeriod,IF(SUM($C727:AH727)&gt;0,AG430+1,0),0)</f>
        <v>0</v>
      </c>
      <c r="AI430" s="186">
        <f>IF(AI$2&lt;=AnalysisPeriod,IF(SUM($C727:AI727)&gt;0,AH430+1,0),0)</f>
        <v>0</v>
      </c>
      <c r="AJ430" s="186">
        <f>IF(AJ$2&lt;=AnalysisPeriod,IF(SUM($C727:AJ727)&gt;0,AI430+1,0),0)</f>
        <v>0</v>
      </c>
      <c r="AK430" s="186">
        <f>IF(AK$2&lt;=AnalysisPeriod,IF(SUM($C727:AK727)&gt;0,AJ430+1,0),0)</f>
        <v>0</v>
      </c>
      <c r="AL430" s="186">
        <f>IF(AL$2&lt;=AnalysisPeriod,IF(SUM($C727:AL727)&gt;0,AK430+1,0),0)</f>
        <v>0</v>
      </c>
      <c r="AM430" s="186">
        <f>IF(AM$2&lt;=AnalysisPeriod,IF(SUM($C727:AM727)&gt;0,AL430+1,0),0)</f>
        <v>0</v>
      </c>
      <c r="AN430" s="186">
        <f>IF(AN$2&lt;=AnalysisPeriod,IF(SUM($C727:AN727)&gt;0,AM430+1,0),0)</f>
        <v>0</v>
      </c>
      <c r="AO430" s="186">
        <f>IF(AO$2&lt;=AnalysisPeriod,IF(SUM($C727:AO727)&gt;0,AN430+1,0),0)</f>
        <v>0</v>
      </c>
      <c r="AP430" s="186">
        <f>IF(AP$2&lt;=AnalysisPeriod,IF(SUM($C727:AP727)&gt;0,AO430+1,0),0)</f>
        <v>0</v>
      </c>
    </row>
    <row r="431" spans="1:42">
      <c r="A431" s="118">
        <f>A430+1</f>
        <v>9</v>
      </c>
      <c r="C431" s="186">
        <f>IF(C$2&lt;=AnalysisPeriod,IF(SUM($C728:C728)&gt;0,B431+1,0),0)</f>
        <v>0</v>
      </c>
      <c r="D431" s="186">
        <f>IF(D$2&lt;=AnalysisPeriod,IF(SUM($C728:D728)&gt;0,C431+1,0),0)</f>
        <v>0</v>
      </c>
      <c r="E431" s="186">
        <f>IF(E$2&lt;=AnalysisPeriod,IF(SUM($C728:E728)&gt;0,D431+1,0),0)</f>
        <v>0</v>
      </c>
      <c r="F431" s="186">
        <f>IF(F$2&lt;=AnalysisPeriod,IF(SUM($C728:F728)&gt;0,E431+1,0),0)</f>
        <v>0</v>
      </c>
      <c r="G431" s="186">
        <f>IF(G$2&lt;=AnalysisPeriod,IF(SUM($C728:G728)&gt;0,F431+1,0),0)</f>
        <v>0</v>
      </c>
      <c r="H431" s="186">
        <f>IF(H$2&lt;=AnalysisPeriod,IF(SUM($C728:H728)&gt;0,G431+1,0),0)</f>
        <v>0</v>
      </c>
      <c r="I431" s="186">
        <f>IF(I$2&lt;=AnalysisPeriod,IF(SUM($C728:I728)&gt;0,H431+1,0),0)</f>
        <v>0</v>
      </c>
      <c r="J431" s="186">
        <f>IF(J$2&lt;=AnalysisPeriod,IF(SUM($C728:J728)&gt;0,I431+1,0),0)</f>
        <v>0</v>
      </c>
      <c r="K431" s="186">
        <f>IF(K$2&lt;=AnalysisPeriod,IF(SUM($C728:K728)&gt;0,J431+1,0),0)</f>
        <v>0</v>
      </c>
      <c r="L431" s="186">
        <f>IF(L$2&lt;=AnalysisPeriod,IF(SUM($C728:L728)&gt;0,K431+1,0),0)</f>
        <v>0</v>
      </c>
      <c r="M431" s="186">
        <f>IF(M$2&lt;=AnalysisPeriod,IF(SUM($C728:M728)&gt;0,L431+1,0),0)</f>
        <v>0</v>
      </c>
      <c r="N431" s="186">
        <f>IF(N$2&lt;=AnalysisPeriod,IF(SUM($C728:N728)&gt;0,M431+1,0),0)</f>
        <v>0</v>
      </c>
      <c r="O431" s="186">
        <f>IF(O$2&lt;=AnalysisPeriod,IF(SUM($C728:O728)&gt;0,N431+1,0),0)</f>
        <v>0</v>
      </c>
      <c r="P431" s="186">
        <f>IF(P$2&lt;=AnalysisPeriod,IF(SUM($C728:P728)&gt;0,O431+1,0),0)</f>
        <v>0</v>
      </c>
      <c r="Q431" s="186">
        <f>IF(Q$2&lt;=AnalysisPeriod,IF(SUM($C728:Q728)&gt;0,P431+1,0),0)</f>
        <v>0</v>
      </c>
      <c r="R431" s="186">
        <f>IF(R$2&lt;=AnalysisPeriod,IF(SUM($C728:R728)&gt;0,Q431+1,0),0)</f>
        <v>0</v>
      </c>
      <c r="S431" s="186">
        <f>IF(S$2&lt;=AnalysisPeriod,IF(SUM($C728:S728)&gt;0,R431+1,0),0)</f>
        <v>0</v>
      </c>
      <c r="T431" s="186">
        <f>IF(T$2&lt;=AnalysisPeriod,IF(SUM($C728:T728)&gt;0,S431+1,0),0)</f>
        <v>0</v>
      </c>
      <c r="U431" s="186">
        <f>IF(U$2&lt;=AnalysisPeriod,IF(SUM($C728:U728)&gt;0,T431+1,0),0)</f>
        <v>0</v>
      </c>
      <c r="V431" s="186">
        <f>IF(V$2&lt;=AnalysisPeriod,IF(SUM($C728:V728)&gt;0,U431+1,0),0)</f>
        <v>0</v>
      </c>
      <c r="W431" s="186">
        <f>IF(W$2&lt;=AnalysisPeriod,IF(SUM($C728:W728)&gt;0,V431+1,0),0)</f>
        <v>0</v>
      </c>
      <c r="X431" s="186">
        <f>IF(X$2&lt;=AnalysisPeriod,IF(SUM($C728:X728)&gt;0,W431+1,0),0)</f>
        <v>0</v>
      </c>
      <c r="Y431" s="186">
        <f>IF(Y$2&lt;=AnalysisPeriod,IF(SUM($C728:Y728)&gt;0,X431+1,0),0)</f>
        <v>0</v>
      </c>
      <c r="Z431" s="186">
        <f>IF(Z$2&lt;=AnalysisPeriod,IF(SUM($C728:Z728)&gt;0,Y431+1,0),0)</f>
        <v>0</v>
      </c>
      <c r="AA431" s="186">
        <f>IF(AA$2&lt;=AnalysisPeriod,IF(SUM($C728:AA728)&gt;0,Z431+1,0),0)</f>
        <v>0</v>
      </c>
      <c r="AB431" s="186">
        <f>IF(AB$2&lt;=AnalysisPeriod,IF(SUM($C728:AB728)&gt;0,AA431+1,0),0)</f>
        <v>0</v>
      </c>
      <c r="AC431" s="186">
        <f>IF(AC$2&lt;=AnalysisPeriod,IF(SUM($C728:AC728)&gt;0,AB431+1,0),0)</f>
        <v>1</v>
      </c>
      <c r="AD431" s="186">
        <f>IF(AD$2&lt;=AnalysisPeriod,IF(SUM($C728:AD728)&gt;0,AC431+1,0),0)</f>
        <v>2</v>
      </c>
      <c r="AE431" s="186">
        <f>IF(AE$2&lt;=AnalysisPeriod,IF(SUM($C728:AE728)&gt;0,AD431+1,0),0)</f>
        <v>3</v>
      </c>
      <c r="AF431" s="186">
        <f>IF(AF$2&lt;=AnalysisPeriod,IF(SUM($C728:AF728)&gt;0,AE431+1,0),0)</f>
        <v>4</v>
      </c>
      <c r="AG431" s="186">
        <f>IF(AG$2&lt;=AnalysisPeriod,IF(SUM($C728:AG728)&gt;0,AF431+1,0),0)</f>
        <v>0</v>
      </c>
      <c r="AH431" s="186">
        <f>IF(AH$2&lt;=AnalysisPeriod,IF(SUM($C728:AH728)&gt;0,AG431+1,0),0)</f>
        <v>0</v>
      </c>
      <c r="AI431" s="186">
        <f>IF(AI$2&lt;=AnalysisPeriod,IF(SUM($C728:AI728)&gt;0,AH431+1,0),0)</f>
        <v>0</v>
      </c>
      <c r="AJ431" s="186">
        <f>IF(AJ$2&lt;=AnalysisPeriod,IF(SUM($C728:AJ728)&gt;0,AI431+1,0),0)</f>
        <v>0</v>
      </c>
      <c r="AK431" s="186">
        <f>IF(AK$2&lt;=AnalysisPeriod,IF(SUM($C728:AK728)&gt;0,AJ431+1,0),0)</f>
        <v>0</v>
      </c>
      <c r="AL431" s="186">
        <f>IF(AL$2&lt;=AnalysisPeriod,IF(SUM($C728:AL728)&gt;0,AK431+1,0),0)</f>
        <v>0</v>
      </c>
      <c r="AM431" s="186">
        <f>IF(AM$2&lt;=AnalysisPeriod,IF(SUM($C728:AM728)&gt;0,AL431+1,0),0)</f>
        <v>0</v>
      </c>
      <c r="AN431" s="186">
        <f>IF(AN$2&lt;=AnalysisPeriod,IF(SUM($C728:AN728)&gt;0,AM431+1,0),0)</f>
        <v>0</v>
      </c>
      <c r="AO431" s="186">
        <f>IF(AO$2&lt;=AnalysisPeriod,IF(SUM($C728:AO728)&gt;0,AN431+1,0),0)</f>
        <v>0</v>
      </c>
      <c r="AP431" s="186">
        <f>IF(AP$2&lt;=AnalysisPeriod,IF(SUM($C728:AP728)&gt;0,AO431+1,0),0)</f>
        <v>0</v>
      </c>
    </row>
    <row r="432" spans="1:42">
      <c r="A432" s="118">
        <f t="shared" si="244"/>
        <v>10</v>
      </c>
      <c r="C432" s="186">
        <f>IF(C$2&lt;=AnalysisPeriod,IF(SUM($C729:C729)&gt;0,B432+1,0),0)</f>
        <v>0</v>
      </c>
      <c r="D432" s="186">
        <f>IF(D$2&lt;=AnalysisPeriod,IF(SUM($C729:D729)&gt;0,C432+1,0),0)</f>
        <v>0</v>
      </c>
      <c r="E432" s="186">
        <f>IF(E$2&lt;=AnalysisPeriod,IF(SUM($C729:E729)&gt;0,D432+1,0),0)</f>
        <v>0</v>
      </c>
      <c r="F432" s="186">
        <f>IF(F$2&lt;=AnalysisPeriod,IF(SUM($C729:F729)&gt;0,E432+1,0),0)</f>
        <v>0</v>
      </c>
      <c r="G432" s="186">
        <f>IF(G$2&lt;=AnalysisPeriod,IF(SUM($C729:G729)&gt;0,F432+1,0),0)</f>
        <v>0</v>
      </c>
      <c r="H432" s="186">
        <f>IF(H$2&lt;=AnalysisPeriod,IF(SUM($C729:H729)&gt;0,G432+1,0),0)</f>
        <v>0</v>
      </c>
      <c r="I432" s="186">
        <f>IF(I$2&lt;=AnalysisPeriod,IF(SUM($C729:I729)&gt;0,H432+1,0),0)</f>
        <v>0</v>
      </c>
      <c r="J432" s="186">
        <f>IF(J$2&lt;=AnalysisPeriod,IF(SUM($C729:J729)&gt;0,I432+1,0),0)</f>
        <v>0</v>
      </c>
      <c r="K432" s="186">
        <f>IF(K$2&lt;=AnalysisPeriod,IF(SUM($C729:K729)&gt;0,J432+1,0),0)</f>
        <v>0</v>
      </c>
      <c r="L432" s="186">
        <f>IF(L$2&lt;=AnalysisPeriod,IF(SUM($C729:L729)&gt;0,K432+1,0),0)</f>
        <v>0</v>
      </c>
      <c r="M432" s="186">
        <f>IF(M$2&lt;=AnalysisPeriod,IF(SUM($C729:M729)&gt;0,L432+1,0),0)</f>
        <v>0</v>
      </c>
      <c r="N432" s="186">
        <f>IF(N$2&lt;=AnalysisPeriod,IF(SUM($C729:N729)&gt;0,M432+1,0),0)</f>
        <v>0</v>
      </c>
      <c r="O432" s="186">
        <f>IF(O$2&lt;=AnalysisPeriod,IF(SUM($C729:O729)&gt;0,N432+1,0),0)</f>
        <v>0</v>
      </c>
      <c r="P432" s="186">
        <f>IF(P$2&lt;=AnalysisPeriod,IF(SUM($C729:P729)&gt;0,O432+1,0),0)</f>
        <v>0</v>
      </c>
      <c r="Q432" s="186">
        <f>IF(Q$2&lt;=AnalysisPeriod,IF(SUM($C729:Q729)&gt;0,P432+1,0),0)</f>
        <v>0</v>
      </c>
      <c r="R432" s="186">
        <f>IF(R$2&lt;=AnalysisPeriod,IF(SUM($C729:R729)&gt;0,Q432+1,0),0)</f>
        <v>0</v>
      </c>
      <c r="S432" s="186">
        <f>IF(S$2&lt;=AnalysisPeriod,IF(SUM($C729:S729)&gt;0,R432+1,0),0)</f>
        <v>0</v>
      </c>
      <c r="T432" s="186">
        <f>IF(T$2&lt;=AnalysisPeriod,IF(SUM($C729:T729)&gt;0,S432+1,0),0)</f>
        <v>0</v>
      </c>
      <c r="U432" s="186">
        <f>IF(U$2&lt;=AnalysisPeriod,IF(SUM($C729:U729)&gt;0,T432+1,0),0)</f>
        <v>0</v>
      </c>
      <c r="V432" s="186">
        <f>IF(V$2&lt;=AnalysisPeriod,IF(SUM($C729:V729)&gt;0,U432+1,0),0)</f>
        <v>0</v>
      </c>
      <c r="W432" s="186">
        <f>IF(W$2&lt;=AnalysisPeriod,IF(SUM($C729:W729)&gt;0,V432+1,0),0)</f>
        <v>0</v>
      </c>
      <c r="X432" s="186">
        <f>IF(X$2&lt;=AnalysisPeriod,IF(SUM($C729:X729)&gt;0,W432+1,0),0)</f>
        <v>0</v>
      </c>
      <c r="Y432" s="186">
        <f>IF(Y$2&lt;=AnalysisPeriod,IF(SUM($C729:Y729)&gt;0,X432+1,0),0)</f>
        <v>0</v>
      </c>
      <c r="Z432" s="186">
        <f>IF(Z$2&lt;=AnalysisPeriod,IF(SUM($C729:Z729)&gt;0,Y432+1,0),0)</f>
        <v>0</v>
      </c>
      <c r="AA432" s="186">
        <f>IF(AA$2&lt;=AnalysisPeriod,IF(SUM($C729:AA729)&gt;0,Z432+1,0),0)</f>
        <v>0</v>
      </c>
      <c r="AB432" s="186">
        <f>IF(AB$2&lt;=AnalysisPeriod,IF(SUM($C729:AB729)&gt;0,AA432+1,0),0)</f>
        <v>0</v>
      </c>
      <c r="AC432" s="186">
        <f>IF(AC$2&lt;=AnalysisPeriod,IF(SUM($C729:AC729)&gt;0,AB432+1,0),0)</f>
        <v>0</v>
      </c>
      <c r="AD432" s="186">
        <f>IF(AD$2&lt;=AnalysisPeriod,IF(SUM($C729:AD729)&gt;0,AC432+1,0),0)</f>
        <v>0</v>
      </c>
      <c r="AE432" s="186">
        <f>IF(AE$2&lt;=AnalysisPeriod,IF(SUM($C729:AE729)&gt;0,AD432+1,0),0)</f>
        <v>0</v>
      </c>
      <c r="AF432" s="186">
        <f>IF(AF$2&lt;=AnalysisPeriod,IF(SUM($C729:AF729)&gt;0,AE432+1,0),0)</f>
        <v>1</v>
      </c>
      <c r="AG432" s="186">
        <f>IF(AG$2&lt;=AnalysisPeriod,IF(SUM($C729:AG729)&gt;0,AF432+1,0),0)</f>
        <v>0</v>
      </c>
      <c r="AH432" s="186">
        <f>IF(AH$2&lt;=AnalysisPeriod,IF(SUM($C729:AH729)&gt;0,AG432+1,0),0)</f>
        <v>0</v>
      </c>
      <c r="AI432" s="186">
        <f>IF(AI$2&lt;=AnalysisPeriod,IF(SUM($C729:AI729)&gt;0,AH432+1,0),0)</f>
        <v>0</v>
      </c>
      <c r="AJ432" s="186">
        <f>IF(AJ$2&lt;=AnalysisPeriod,IF(SUM($C729:AJ729)&gt;0,AI432+1,0),0)</f>
        <v>0</v>
      </c>
      <c r="AK432" s="186">
        <f>IF(AK$2&lt;=AnalysisPeriod,IF(SUM($C729:AK729)&gt;0,AJ432+1,0),0)</f>
        <v>0</v>
      </c>
      <c r="AL432" s="186">
        <f>IF(AL$2&lt;=AnalysisPeriod,IF(SUM($C729:AL729)&gt;0,AK432+1,0),0)</f>
        <v>0</v>
      </c>
      <c r="AM432" s="186">
        <f>IF(AM$2&lt;=AnalysisPeriod,IF(SUM($C729:AM729)&gt;0,AL432+1,0),0)</f>
        <v>0</v>
      </c>
      <c r="AN432" s="186">
        <f>IF(AN$2&lt;=AnalysisPeriod,IF(SUM($C729:AN729)&gt;0,AM432+1,0),0)</f>
        <v>0</v>
      </c>
      <c r="AO432" s="186">
        <f>IF(AO$2&lt;=AnalysisPeriod,IF(SUM($C729:AO729)&gt;0,AN432+1,0),0)</f>
        <v>0</v>
      </c>
      <c r="AP432" s="186">
        <f>IF(AP$2&lt;=AnalysisPeriod,IF(SUM($C729:AP729)&gt;0,AO432+1,0),0)</f>
        <v>0</v>
      </c>
    </row>
    <row r="433" spans="1:42">
      <c r="A433" s="204"/>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c r="AM433" s="186"/>
      <c r="AN433" s="186"/>
      <c r="AO433" s="186"/>
      <c r="AP433" s="186"/>
    </row>
    <row r="434" spans="1:42">
      <c r="A434" s="204" t="s">
        <v>211</v>
      </c>
      <c r="C434" s="186"/>
      <c r="D434" s="186"/>
      <c r="E434" s="186"/>
      <c r="F434" s="186"/>
      <c r="G434" s="186"/>
      <c r="H434" s="186"/>
      <c r="I434" s="186"/>
      <c r="J434" s="186"/>
      <c r="K434" s="186"/>
      <c r="L434" s="186"/>
      <c r="M434" s="186"/>
      <c r="N434" s="186"/>
      <c r="O434" s="186"/>
      <c r="P434" s="186"/>
      <c r="Q434" s="186"/>
      <c r="R434" s="186"/>
      <c r="S434" s="186"/>
      <c r="T434" s="186"/>
      <c r="U434" s="186"/>
      <c r="V434" s="186"/>
      <c r="W434" s="186"/>
      <c r="X434" s="186"/>
      <c r="Y434" s="186"/>
      <c r="Z434" s="186"/>
      <c r="AA434" s="186"/>
      <c r="AB434" s="186"/>
      <c r="AC434" s="186"/>
      <c r="AD434" s="186"/>
      <c r="AE434" s="186"/>
      <c r="AF434" s="186"/>
      <c r="AG434" s="186"/>
      <c r="AH434" s="186"/>
      <c r="AI434" s="186"/>
      <c r="AJ434" s="186"/>
      <c r="AK434" s="186"/>
      <c r="AL434" s="186"/>
      <c r="AM434" s="186"/>
      <c r="AN434" s="186"/>
      <c r="AO434" s="186"/>
      <c r="AP434" s="186"/>
    </row>
    <row r="435" spans="1:42">
      <c r="A435" s="118">
        <v>1</v>
      </c>
      <c r="B435" s="196">
        <f t="shared" ref="B435:B444" si="245">SUM(C435:AP435)</f>
        <v>103022.49999999997</v>
      </c>
      <c r="C435" s="225">
        <f t="shared" ref="C435:AP435" si="246">LOOKUP(C423,$B$367:$AP$367,$B$368:$AP$368)*$B720</f>
        <v>0</v>
      </c>
      <c r="D435" s="186">
        <f t="shared" si="246"/>
        <v>0</v>
      </c>
      <c r="E435" s="186">
        <f t="shared" si="246"/>
        <v>20604.499999999996</v>
      </c>
      <c r="F435" s="186">
        <f t="shared" si="246"/>
        <v>32967.19999999999</v>
      </c>
      <c r="G435" s="186">
        <f t="shared" si="246"/>
        <v>19780.319999999996</v>
      </c>
      <c r="H435" s="186">
        <f t="shared" si="246"/>
        <v>11868.191999999995</v>
      </c>
      <c r="I435" s="186">
        <f t="shared" si="246"/>
        <v>11868.191999999995</v>
      </c>
      <c r="J435" s="186">
        <f t="shared" si="246"/>
        <v>5934.0959999999977</v>
      </c>
      <c r="K435" s="186">
        <f t="shared" si="246"/>
        <v>0</v>
      </c>
      <c r="L435" s="186">
        <f t="shared" si="246"/>
        <v>0</v>
      </c>
      <c r="M435" s="186">
        <f t="shared" si="246"/>
        <v>0</v>
      </c>
      <c r="N435" s="186">
        <f t="shared" si="246"/>
        <v>0</v>
      </c>
      <c r="O435" s="186">
        <f t="shared" si="246"/>
        <v>0</v>
      </c>
      <c r="P435" s="186">
        <f t="shared" si="246"/>
        <v>0</v>
      </c>
      <c r="Q435" s="186">
        <f t="shared" si="246"/>
        <v>0</v>
      </c>
      <c r="R435" s="186">
        <f t="shared" si="246"/>
        <v>0</v>
      </c>
      <c r="S435" s="186">
        <f t="shared" si="246"/>
        <v>0</v>
      </c>
      <c r="T435" s="186">
        <f t="shared" si="246"/>
        <v>0</v>
      </c>
      <c r="U435" s="186">
        <f t="shared" si="246"/>
        <v>0</v>
      </c>
      <c r="V435" s="186">
        <f t="shared" si="246"/>
        <v>0</v>
      </c>
      <c r="W435" s="186">
        <f t="shared" si="246"/>
        <v>0</v>
      </c>
      <c r="X435" s="186">
        <f t="shared" si="246"/>
        <v>0</v>
      </c>
      <c r="Y435" s="186">
        <f t="shared" si="246"/>
        <v>0</v>
      </c>
      <c r="Z435" s="186">
        <f t="shared" si="246"/>
        <v>0</v>
      </c>
      <c r="AA435" s="186">
        <f t="shared" si="246"/>
        <v>0</v>
      </c>
      <c r="AB435" s="186">
        <f t="shared" si="246"/>
        <v>0</v>
      </c>
      <c r="AC435" s="186">
        <f t="shared" si="246"/>
        <v>0</v>
      </c>
      <c r="AD435" s="186">
        <f t="shared" si="246"/>
        <v>0</v>
      </c>
      <c r="AE435" s="186">
        <f t="shared" si="246"/>
        <v>0</v>
      </c>
      <c r="AF435" s="186">
        <f t="shared" si="246"/>
        <v>0</v>
      </c>
      <c r="AG435" s="186">
        <f t="shared" si="246"/>
        <v>0</v>
      </c>
      <c r="AH435" s="186">
        <f t="shared" si="246"/>
        <v>0</v>
      </c>
      <c r="AI435" s="186">
        <f t="shared" si="246"/>
        <v>0</v>
      </c>
      <c r="AJ435" s="186">
        <f t="shared" si="246"/>
        <v>0</v>
      </c>
      <c r="AK435" s="186">
        <f t="shared" si="246"/>
        <v>0</v>
      </c>
      <c r="AL435" s="186">
        <f t="shared" si="246"/>
        <v>0</v>
      </c>
      <c r="AM435" s="186">
        <f t="shared" si="246"/>
        <v>0</v>
      </c>
      <c r="AN435" s="186">
        <f t="shared" si="246"/>
        <v>0</v>
      </c>
      <c r="AO435" s="186">
        <f t="shared" si="246"/>
        <v>0</v>
      </c>
      <c r="AP435" s="186">
        <f t="shared" si="246"/>
        <v>0</v>
      </c>
    </row>
    <row r="436" spans="1:42">
      <c r="A436" s="118">
        <f>A435+1</f>
        <v>2</v>
      </c>
      <c r="B436" s="196">
        <f t="shared" si="245"/>
        <v>107728.40038843744</v>
      </c>
      <c r="C436" s="225">
        <f t="shared" ref="C436:AP436" si="247">LOOKUP(C424,$B$367:$AP$367,$B$368:$AP$368)*$B721</f>
        <v>0</v>
      </c>
      <c r="D436" s="186">
        <f t="shared" si="247"/>
        <v>0</v>
      </c>
      <c r="E436" s="186">
        <f t="shared" si="247"/>
        <v>0</v>
      </c>
      <c r="F436" s="186">
        <f t="shared" si="247"/>
        <v>0</v>
      </c>
      <c r="G436" s="186">
        <f t="shared" si="247"/>
        <v>0</v>
      </c>
      <c r="H436" s="186">
        <f t="shared" si="247"/>
        <v>21545.680077687488</v>
      </c>
      <c r="I436" s="186">
        <f t="shared" si="247"/>
        <v>34473.088124299975</v>
      </c>
      <c r="J436" s="186">
        <f t="shared" si="247"/>
        <v>20683.852874579985</v>
      </c>
      <c r="K436" s="186">
        <f t="shared" si="247"/>
        <v>12410.311724747991</v>
      </c>
      <c r="L436" s="186">
        <f t="shared" si="247"/>
        <v>12410.311724747991</v>
      </c>
      <c r="M436" s="186">
        <f t="shared" si="247"/>
        <v>6205.1558623739957</v>
      </c>
      <c r="N436" s="186">
        <f t="shared" si="247"/>
        <v>0</v>
      </c>
      <c r="O436" s="186">
        <f t="shared" si="247"/>
        <v>0</v>
      </c>
      <c r="P436" s="186">
        <f t="shared" si="247"/>
        <v>0</v>
      </c>
      <c r="Q436" s="186">
        <f t="shared" si="247"/>
        <v>0</v>
      </c>
      <c r="R436" s="186">
        <f t="shared" si="247"/>
        <v>0</v>
      </c>
      <c r="S436" s="186">
        <f t="shared" si="247"/>
        <v>0</v>
      </c>
      <c r="T436" s="186">
        <f t="shared" si="247"/>
        <v>0</v>
      </c>
      <c r="U436" s="186">
        <f t="shared" si="247"/>
        <v>0</v>
      </c>
      <c r="V436" s="186">
        <f t="shared" si="247"/>
        <v>0</v>
      </c>
      <c r="W436" s="186">
        <f t="shared" si="247"/>
        <v>0</v>
      </c>
      <c r="X436" s="186">
        <f t="shared" si="247"/>
        <v>0</v>
      </c>
      <c r="Y436" s="186">
        <f t="shared" si="247"/>
        <v>0</v>
      </c>
      <c r="Z436" s="186">
        <f t="shared" si="247"/>
        <v>0</v>
      </c>
      <c r="AA436" s="186">
        <f t="shared" si="247"/>
        <v>0</v>
      </c>
      <c r="AB436" s="186">
        <f t="shared" si="247"/>
        <v>0</v>
      </c>
      <c r="AC436" s="186">
        <f t="shared" si="247"/>
        <v>0</v>
      </c>
      <c r="AD436" s="186">
        <f t="shared" si="247"/>
        <v>0</v>
      </c>
      <c r="AE436" s="186">
        <f t="shared" si="247"/>
        <v>0</v>
      </c>
      <c r="AF436" s="186">
        <f t="shared" si="247"/>
        <v>0</v>
      </c>
      <c r="AG436" s="186">
        <f t="shared" si="247"/>
        <v>0</v>
      </c>
      <c r="AH436" s="186">
        <f t="shared" si="247"/>
        <v>0</v>
      </c>
      <c r="AI436" s="186">
        <f t="shared" si="247"/>
        <v>0</v>
      </c>
      <c r="AJ436" s="186">
        <f t="shared" si="247"/>
        <v>0</v>
      </c>
      <c r="AK436" s="186">
        <f t="shared" si="247"/>
        <v>0</v>
      </c>
      <c r="AL436" s="186">
        <f t="shared" si="247"/>
        <v>0</v>
      </c>
      <c r="AM436" s="186">
        <f t="shared" si="247"/>
        <v>0</v>
      </c>
      <c r="AN436" s="186">
        <f t="shared" si="247"/>
        <v>0</v>
      </c>
      <c r="AO436" s="186">
        <f t="shared" si="247"/>
        <v>0</v>
      </c>
      <c r="AP436" s="186">
        <f t="shared" si="247"/>
        <v>0</v>
      </c>
    </row>
    <row r="437" spans="1:42">
      <c r="A437" s="118">
        <f t="shared" ref="A437:A444" si="248">A436+1</f>
        <v>3</v>
      </c>
      <c r="B437" s="196">
        <f t="shared" si="245"/>
        <v>112649.25865953058</v>
      </c>
      <c r="C437" s="225">
        <f t="shared" ref="C437:AP437" si="249">LOOKUP(C425,$B$367:$AP$367,$B$368:$AP$368)*$B722</f>
        <v>0</v>
      </c>
      <c r="D437" s="186">
        <f t="shared" si="249"/>
        <v>0</v>
      </c>
      <c r="E437" s="186">
        <f t="shared" si="249"/>
        <v>0</v>
      </c>
      <c r="F437" s="186">
        <f t="shared" si="249"/>
        <v>0</v>
      </c>
      <c r="G437" s="186">
        <f t="shared" si="249"/>
        <v>0</v>
      </c>
      <c r="H437" s="186">
        <f t="shared" si="249"/>
        <v>0</v>
      </c>
      <c r="I437" s="186">
        <f t="shared" si="249"/>
        <v>0</v>
      </c>
      <c r="J437" s="186">
        <f t="shared" si="249"/>
        <v>0</v>
      </c>
      <c r="K437" s="186">
        <f t="shared" si="249"/>
        <v>22529.851731906117</v>
      </c>
      <c r="L437" s="186">
        <f t="shared" si="249"/>
        <v>36047.762771049784</v>
      </c>
      <c r="M437" s="186">
        <f t="shared" si="249"/>
        <v>21628.65766262987</v>
      </c>
      <c r="N437" s="186">
        <f t="shared" si="249"/>
        <v>12977.194597577922</v>
      </c>
      <c r="O437" s="186">
        <f t="shared" si="249"/>
        <v>12977.194597577922</v>
      </c>
      <c r="P437" s="186">
        <f t="shared" si="249"/>
        <v>6488.5972987889609</v>
      </c>
      <c r="Q437" s="186">
        <f t="shared" si="249"/>
        <v>0</v>
      </c>
      <c r="R437" s="186">
        <f t="shared" si="249"/>
        <v>0</v>
      </c>
      <c r="S437" s="186">
        <f t="shared" si="249"/>
        <v>0</v>
      </c>
      <c r="T437" s="186">
        <f t="shared" si="249"/>
        <v>0</v>
      </c>
      <c r="U437" s="186">
        <f t="shared" si="249"/>
        <v>0</v>
      </c>
      <c r="V437" s="186">
        <f t="shared" si="249"/>
        <v>0</v>
      </c>
      <c r="W437" s="186">
        <f t="shared" si="249"/>
        <v>0</v>
      </c>
      <c r="X437" s="186">
        <f t="shared" si="249"/>
        <v>0</v>
      </c>
      <c r="Y437" s="186">
        <f t="shared" si="249"/>
        <v>0</v>
      </c>
      <c r="Z437" s="186">
        <f t="shared" si="249"/>
        <v>0</v>
      </c>
      <c r="AA437" s="186">
        <f t="shared" si="249"/>
        <v>0</v>
      </c>
      <c r="AB437" s="186">
        <f t="shared" si="249"/>
        <v>0</v>
      </c>
      <c r="AC437" s="186">
        <f t="shared" si="249"/>
        <v>0</v>
      </c>
      <c r="AD437" s="186">
        <f t="shared" si="249"/>
        <v>0</v>
      </c>
      <c r="AE437" s="186">
        <f t="shared" si="249"/>
        <v>0</v>
      </c>
      <c r="AF437" s="186">
        <f t="shared" si="249"/>
        <v>0</v>
      </c>
      <c r="AG437" s="186">
        <f t="shared" si="249"/>
        <v>0</v>
      </c>
      <c r="AH437" s="186">
        <f t="shared" si="249"/>
        <v>0</v>
      </c>
      <c r="AI437" s="186">
        <f t="shared" si="249"/>
        <v>0</v>
      </c>
      <c r="AJ437" s="186">
        <f t="shared" si="249"/>
        <v>0</v>
      </c>
      <c r="AK437" s="186">
        <f t="shared" si="249"/>
        <v>0</v>
      </c>
      <c r="AL437" s="186">
        <f t="shared" si="249"/>
        <v>0</v>
      </c>
      <c r="AM437" s="186">
        <f t="shared" si="249"/>
        <v>0</v>
      </c>
      <c r="AN437" s="186">
        <f t="shared" si="249"/>
        <v>0</v>
      </c>
      <c r="AO437" s="186">
        <f t="shared" si="249"/>
        <v>0</v>
      </c>
      <c r="AP437" s="186">
        <f t="shared" si="249"/>
        <v>0</v>
      </c>
    </row>
    <row r="438" spans="1:42">
      <c r="A438" s="118">
        <f t="shared" si="248"/>
        <v>4</v>
      </c>
      <c r="B438" s="196">
        <f t="shared" si="245"/>
        <v>117794.89374005256</v>
      </c>
      <c r="C438" s="225">
        <f t="shared" ref="C438:AP438" si="250">LOOKUP(C426,$B$367:$AP$367,$B$368:$AP$368)*$B723</f>
        <v>0</v>
      </c>
      <c r="D438" s="186">
        <f t="shared" si="250"/>
        <v>0</v>
      </c>
      <c r="E438" s="186">
        <f t="shared" si="250"/>
        <v>0</v>
      </c>
      <c r="F438" s="186">
        <f t="shared" si="250"/>
        <v>0</v>
      </c>
      <c r="G438" s="186">
        <f t="shared" si="250"/>
        <v>0</v>
      </c>
      <c r="H438" s="186">
        <f t="shared" si="250"/>
        <v>0</v>
      </c>
      <c r="I438" s="186">
        <f t="shared" si="250"/>
        <v>0</v>
      </c>
      <c r="J438" s="186">
        <f t="shared" si="250"/>
        <v>0</v>
      </c>
      <c r="K438" s="186">
        <f t="shared" si="250"/>
        <v>0</v>
      </c>
      <c r="L438" s="186">
        <f t="shared" si="250"/>
        <v>0</v>
      </c>
      <c r="M438" s="186">
        <f t="shared" si="250"/>
        <v>0</v>
      </c>
      <c r="N438" s="186">
        <f t="shared" si="250"/>
        <v>23558.978748010515</v>
      </c>
      <c r="O438" s="186">
        <f t="shared" si="250"/>
        <v>37694.365996816821</v>
      </c>
      <c r="P438" s="186">
        <f t="shared" si="250"/>
        <v>22616.619598090092</v>
      </c>
      <c r="Q438" s="186">
        <f t="shared" si="250"/>
        <v>13569.971758854055</v>
      </c>
      <c r="R438" s="186">
        <f t="shared" si="250"/>
        <v>13569.971758854055</v>
      </c>
      <c r="S438" s="186">
        <f t="shared" si="250"/>
        <v>6784.9858794270276</v>
      </c>
      <c r="T438" s="186">
        <f t="shared" si="250"/>
        <v>0</v>
      </c>
      <c r="U438" s="186">
        <f t="shared" si="250"/>
        <v>0</v>
      </c>
      <c r="V438" s="186">
        <f t="shared" si="250"/>
        <v>0</v>
      </c>
      <c r="W438" s="186">
        <f t="shared" si="250"/>
        <v>0</v>
      </c>
      <c r="X438" s="186">
        <f t="shared" si="250"/>
        <v>0</v>
      </c>
      <c r="Y438" s="186">
        <f t="shared" si="250"/>
        <v>0</v>
      </c>
      <c r="Z438" s="186">
        <f t="shared" si="250"/>
        <v>0</v>
      </c>
      <c r="AA438" s="186">
        <f t="shared" si="250"/>
        <v>0</v>
      </c>
      <c r="AB438" s="186">
        <f t="shared" si="250"/>
        <v>0</v>
      </c>
      <c r="AC438" s="186">
        <f t="shared" si="250"/>
        <v>0</v>
      </c>
      <c r="AD438" s="186">
        <f t="shared" si="250"/>
        <v>0</v>
      </c>
      <c r="AE438" s="186">
        <f t="shared" si="250"/>
        <v>0</v>
      </c>
      <c r="AF438" s="186">
        <f t="shared" si="250"/>
        <v>0</v>
      </c>
      <c r="AG438" s="186">
        <f t="shared" si="250"/>
        <v>0</v>
      </c>
      <c r="AH438" s="186">
        <f t="shared" si="250"/>
        <v>0</v>
      </c>
      <c r="AI438" s="186">
        <f t="shared" si="250"/>
        <v>0</v>
      </c>
      <c r="AJ438" s="186">
        <f t="shared" si="250"/>
        <v>0</v>
      </c>
      <c r="AK438" s="186">
        <f t="shared" si="250"/>
        <v>0</v>
      </c>
      <c r="AL438" s="186">
        <f t="shared" si="250"/>
        <v>0</v>
      </c>
      <c r="AM438" s="186">
        <f t="shared" si="250"/>
        <v>0</v>
      </c>
      <c r="AN438" s="186">
        <f t="shared" si="250"/>
        <v>0</v>
      </c>
      <c r="AO438" s="186">
        <f t="shared" si="250"/>
        <v>0</v>
      </c>
      <c r="AP438" s="186">
        <f t="shared" si="250"/>
        <v>0</v>
      </c>
    </row>
    <row r="439" spans="1:42">
      <c r="A439" s="118">
        <f t="shared" si="248"/>
        <v>5</v>
      </c>
      <c r="B439" s="196">
        <f t="shared" si="245"/>
        <v>123175.57306939577</v>
      </c>
      <c r="C439" s="225">
        <f t="shared" ref="C439:AP439" si="251">LOOKUP(C427,$B$367:$AP$367,$B$368:$AP$368)*$B724</f>
        <v>0</v>
      </c>
      <c r="D439" s="186">
        <f t="shared" si="251"/>
        <v>0</v>
      </c>
      <c r="E439" s="186">
        <f t="shared" si="251"/>
        <v>0</v>
      </c>
      <c r="F439" s="186">
        <f t="shared" si="251"/>
        <v>0</v>
      </c>
      <c r="G439" s="186">
        <f t="shared" si="251"/>
        <v>0</v>
      </c>
      <c r="H439" s="186">
        <f t="shared" si="251"/>
        <v>0</v>
      </c>
      <c r="I439" s="186">
        <f t="shared" si="251"/>
        <v>0</v>
      </c>
      <c r="J439" s="186">
        <f t="shared" si="251"/>
        <v>0</v>
      </c>
      <c r="K439" s="186">
        <f t="shared" si="251"/>
        <v>0</v>
      </c>
      <c r="L439" s="186">
        <f t="shared" si="251"/>
        <v>0</v>
      </c>
      <c r="M439" s="186">
        <f t="shared" si="251"/>
        <v>0</v>
      </c>
      <c r="N439" s="186">
        <f t="shared" si="251"/>
        <v>0</v>
      </c>
      <c r="O439" s="186">
        <f t="shared" si="251"/>
        <v>0</v>
      </c>
      <c r="P439" s="186">
        <f t="shared" si="251"/>
        <v>0</v>
      </c>
      <c r="Q439" s="186">
        <f t="shared" si="251"/>
        <v>24635.114613879156</v>
      </c>
      <c r="R439" s="186">
        <f t="shared" si="251"/>
        <v>39416.183382206647</v>
      </c>
      <c r="S439" s="186">
        <f t="shared" si="251"/>
        <v>23649.710029323989</v>
      </c>
      <c r="T439" s="186">
        <f t="shared" si="251"/>
        <v>14189.826017594392</v>
      </c>
      <c r="U439" s="186">
        <f t="shared" si="251"/>
        <v>14189.826017594392</v>
      </c>
      <c r="V439" s="186">
        <f t="shared" si="251"/>
        <v>7094.9130087971962</v>
      </c>
      <c r="W439" s="186">
        <f t="shared" si="251"/>
        <v>0</v>
      </c>
      <c r="X439" s="186">
        <f t="shared" si="251"/>
        <v>0</v>
      </c>
      <c r="Y439" s="186">
        <f t="shared" si="251"/>
        <v>0</v>
      </c>
      <c r="Z439" s="186">
        <f t="shared" si="251"/>
        <v>0</v>
      </c>
      <c r="AA439" s="186">
        <f t="shared" si="251"/>
        <v>0</v>
      </c>
      <c r="AB439" s="186">
        <f t="shared" si="251"/>
        <v>0</v>
      </c>
      <c r="AC439" s="186">
        <f t="shared" si="251"/>
        <v>0</v>
      </c>
      <c r="AD439" s="186">
        <f t="shared" si="251"/>
        <v>0</v>
      </c>
      <c r="AE439" s="186">
        <f t="shared" si="251"/>
        <v>0</v>
      </c>
      <c r="AF439" s="186">
        <f t="shared" si="251"/>
        <v>0</v>
      </c>
      <c r="AG439" s="186">
        <f t="shared" si="251"/>
        <v>0</v>
      </c>
      <c r="AH439" s="186">
        <f t="shared" si="251"/>
        <v>0</v>
      </c>
      <c r="AI439" s="186">
        <f t="shared" si="251"/>
        <v>0</v>
      </c>
      <c r="AJ439" s="186">
        <f t="shared" si="251"/>
        <v>0</v>
      </c>
      <c r="AK439" s="186">
        <f t="shared" si="251"/>
        <v>0</v>
      </c>
      <c r="AL439" s="186">
        <f t="shared" si="251"/>
        <v>0</v>
      </c>
      <c r="AM439" s="186">
        <f t="shared" si="251"/>
        <v>0</v>
      </c>
      <c r="AN439" s="186">
        <f t="shared" si="251"/>
        <v>0</v>
      </c>
      <c r="AO439" s="186">
        <f t="shared" si="251"/>
        <v>0</v>
      </c>
      <c r="AP439" s="186">
        <f t="shared" si="251"/>
        <v>0</v>
      </c>
    </row>
    <row r="440" spans="1:42">
      <c r="A440" s="118">
        <f t="shared" si="248"/>
        <v>6</v>
      </c>
      <c r="B440" s="196">
        <f t="shared" si="245"/>
        <v>128802.03308689946</v>
      </c>
      <c r="C440" s="225">
        <f t="shared" ref="C440:AP440" si="252">LOOKUP(C428,$B$367:$AP$367,$B$368:$AP$368)*$B725</f>
        <v>0</v>
      </c>
      <c r="D440" s="186">
        <f t="shared" si="252"/>
        <v>0</v>
      </c>
      <c r="E440" s="186">
        <f t="shared" si="252"/>
        <v>0</v>
      </c>
      <c r="F440" s="186">
        <f t="shared" si="252"/>
        <v>0</v>
      </c>
      <c r="G440" s="186">
        <f t="shared" si="252"/>
        <v>0</v>
      </c>
      <c r="H440" s="186">
        <f t="shared" si="252"/>
        <v>0</v>
      </c>
      <c r="I440" s="186">
        <f t="shared" si="252"/>
        <v>0</v>
      </c>
      <c r="J440" s="186">
        <f t="shared" si="252"/>
        <v>0</v>
      </c>
      <c r="K440" s="186">
        <f t="shared" si="252"/>
        <v>0</v>
      </c>
      <c r="L440" s="186">
        <f t="shared" si="252"/>
        <v>0</v>
      </c>
      <c r="M440" s="186">
        <f t="shared" si="252"/>
        <v>0</v>
      </c>
      <c r="N440" s="186">
        <f t="shared" si="252"/>
        <v>0</v>
      </c>
      <c r="O440" s="186">
        <f t="shared" si="252"/>
        <v>0</v>
      </c>
      <c r="P440" s="186">
        <f t="shared" si="252"/>
        <v>0</v>
      </c>
      <c r="Q440" s="186">
        <f t="shared" si="252"/>
        <v>0</v>
      </c>
      <c r="R440" s="186">
        <f t="shared" si="252"/>
        <v>0</v>
      </c>
      <c r="S440" s="186">
        <f t="shared" si="252"/>
        <v>0</v>
      </c>
      <c r="T440" s="186">
        <f t="shared" si="252"/>
        <v>25760.406617379896</v>
      </c>
      <c r="U440" s="186">
        <f t="shared" si="252"/>
        <v>41216.650587807831</v>
      </c>
      <c r="V440" s="186">
        <f t="shared" si="252"/>
        <v>24729.990352684701</v>
      </c>
      <c r="W440" s="186">
        <f t="shared" si="252"/>
        <v>14837.99421161082</v>
      </c>
      <c r="X440" s="186">
        <f t="shared" si="252"/>
        <v>14837.99421161082</v>
      </c>
      <c r="Y440" s="186">
        <f t="shared" si="252"/>
        <v>7418.9971058054098</v>
      </c>
      <c r="Z440" s="186">
        <f t="shared" si="252"/>
        <v>0</v>
      </c>
      <c r="AA440" s="186">
        <f t="shared" si="252"/>
        <v>0</v>
      </c>
      <c r="AB440" s="186">
        <f t="shared" si="252"/>
        <v>0</v>
      </c>
      <c r="AC440" s="186">
        <f t="shared" si="252"/>
        <v>0</v>
      </c>
      <c r="AD440" s="186">
        <f t="shared" si="252"/>
        <v>0</v>
      </c>
      <c r="AE440" s="186">
        <f t="shared" si="252"/>
        <v>0</v>
      </c>
      <c r="AF440" s="186">
        <f t="shared" si="252"/>
        <v>0</v>
      </c>
      <c r="AG440" s="186">
        <f t="shared" si="252"/>
        <v>0</v>
      </c>
      <c r="AH440" s="186">
        <f t="shared" si="252"/>
        <v>0</v>
      </c>
      <c r="AI440" s="186">
        <f t="shared" si="252"/>
        <v>0</v>
      </c>
      <c r="AJ440" s="186">
        <f t="shared" si="252"/>
        <v>0</v>
      </c>
      <c r="AK440" s="186">
        <f t="shared" si="252"/>
        <v>0</v>
      </c>
      <c r="AL440" s="186">
        <f t="shared" si="252"/>
        <v>0</v>
      </c>
      <c r="AM440" s="186">
        <f t="shared" si="252"/>
        <v>0</v>
      </c>
      <c r="AN440" s="186">
        <f t="shared" si="252"/>
        <v>0</v>
      </c>
      <c r="AO440" s="186">
        <f t="shared" si="252"/>
        <v>0</v>
      </c>
      <c r="AP440" s="186">
        <f t="shared" si="252"/>
        <v>0</v>
      </c>
    </row>
    <row r="441" spans="1:42">
      <c r="A441" s="118">
        <f t="shared" si="248"/>
        <v>7</v>
      </c>
      <c r="B441" s="196">
        <f t="shared" si="245"/>
        <v>134685.50065500522</v>
      </c>
      <c r="C441" s="225">
        <f t="shared" ref="C441:AP441" si="253">LOOKUP(C429,$B$367:$AP$367,$B$368:$AP$368)*$B726</f>
        <v>0</v>
      </c>
      <c r="D441" s="186">
        <f t="shared" si="253"/>
        <v>0</v>
      </c>
      <c r="E441" s="186">
        <f t="shared" si="253"/>
        <v>0</v>
      </c>
      <c r="F441" s="186">
        <f t="shared" si="253"/>
        <v>0</v>
      </c>
      <c r="G441" s="186">
        <f t="shared" si="253"/>
        <v>0</v>
      </c>
      <c r="H441" s="186">
        <f t="shared" si="253"/>
        <v>0</v>
      </c>
      <c r="I441" s="186">
        <f t="shared" si="253"/>
        <v>0</v>
      </c>
      <c r="J441" s="186">
        <f t="shared" si="253"/>
        <v>0</v>
      </c>
      <c r="K441" s="186">
        <f t="shared" si="253"/>
        <v>0</v>
      </c>
      <c r="L441" s="186">
        <f t="shared" si="253"/>
        <v>0</v>
      </c>
      <c r="M441" s="186">
        <f t="shared" si="253"/>
        <v>0</v>
      </c>
      <c r="N441" s="186">
        <f t="shared" si="253"/>
        <v>0</v>
      </c>
      <c r="O441" s="186">
        <f t="shared" si="253"/>
        <v>0</v>
      </c>
      <c r="P441" s="186">
        <f t="shared" si="253"/>
        <v>0</v>
      </c>
      <c r="Q441" s="186">
        <f t="shared" si="253"/>
        <v>0</v>
      </c>
      <c r="R441" s="186">
        <f t="shared" si="253"/>
        <v>0</v>
      </c>
      <c r="S441" s="186">
        <f t="shared" si="253"/>
        <v>0</v>
      </c>
      <c r="T441" s="186">
        <f t="shared" si="253"/>
        <v>0</v>
      </c>
      <c r="U441" s="186">
        <f t="shared" si="253"/>
        <v>0</v>
      </c>
      <c r="V441" s="186">
        <f t="shared" si="253"/>
        <v>0</v>
      </c>
      <c r="W441" s="186">
        <f t="shared" si="253"/>
        <v>26937.100131001047</v>
      </c>
      <c r="X441" s="186">
        <f t="shared" si="253"/>
        <v>43099.360209601669</v>
      </c>
      <c r="Y441" s="186">
        <f t="shared" si="253"/>
        <v>25859.616125761004</v>
      </c>
      <c r="Z441" s="186">
        <f t="shared" si="253"/>
        <v>15515.7696754566</v>
      </c>
      <c r="AA441" s="186">
        <f t="shared" si="253"/>
        <v>15515.7696754566</v>
      </c>
      <c r="AB441" s="186">
        <f t="shared" si="253"/>
        <v>7757.8848377283002</v>
      </c>
      <c r="AC441" s="186">
        <f t="shared" si="253"/>
        <v>0</v>
      </c>
      <c r="AD441" s="186">
        <f t="shared" si="253"/>
        <v>0</v>
      </c>
      <c r="AE441" s="186">
        <f t="shared" si="253"/>
        <v>0</v>
      </c>
      <c r="AF441" s="186">
        <f t="shared" si="253"/>
        <v>0</v>
      </c>
      <c r="AG441" s="186">
        <f t="shared" si="253"/>
        <v>0</v>
      </c>
      <c r="AH441" s="186">
        <f t="shared" si="253"/>
        <v>0</v>
      </c>
      <c r="AI441" s="186">
        <f t="shared" si="253"/>
        <v>0</v>
      </c>
      <c r="AJ441" s="186">
        <f t="shared" si="253"/>
        <v>0</v>
      </c>
      <c r="AK441" s="186">
        <f t="shared" si="253"/>
        <v>0</v>
      </c>
      <c r="AL441" s="186">
        <f t="shared" si="253"/>
        <v>0</v>
      </c>
      <c r="AM441" s="186">
        <f t="shared" si="253"/>
        <v>0</v>
      </c>
      <c r="AN441" s="186">
        <f t="shared" si="253"/>
        <v>0</v>
      </c>
      <c r="AO441" s="186">
        <f t="shared" si="253"/>
        <v>0</v>
      </c>
      <c r="AP441" s="186">
        <f t="shared" si="253"/>
        <v>0</v>
      </c>
    </row>
    <row r="442" spans="1:42">
      <c r="A442" s="118">
        <f t="shared" si="248"/>
        <v>8</v>
      </c>
      <c r="B442" s="196">
        <f t="shared" si="245"/>
        <v>140837.71546098724</v>
      </c>
      <c r="C442" s="225">
        <f t="shared" ref="C442:AP442" si="254">LOOKUP(C430,$B$367:$AP$367,$B$368:$AP$368)*$B727</f>
        <v>0</v>
      </c>
      <c r="D442" s="186">
        <f t="shared" si="254"/>
        <v>0</v>
      </c>
      <c r="E442" s="186">
        <f t="shared" si="254"/>
        <v>0</v>
      </c>
      <c r="F442" s="186">
        <f t="shared" si="254"/>
        <v>0</v>
      </c>
      <c r="G442" s="186">
        <f t="shared" si="254"/>
        <v>0</v>
      </c>
      <c r="H442" s="186">
        <f t="shared" si="254"/>
        <v>0</v>
      </c>
      <c r="I442" s="186">
        <f t="shared" si="254"/>
        <v>0</v>
      </c>
      <c r="J442" s="186">
        <f t="shared" si="254"/>
        <v>0</v>
      </c>
      <c r="K442" s="186">
        <f t="shared" si="254"/>
        <v>0</v>
      </c>
      <c r="L442" s="186">
        <f t="shared" si="254"/>
        <v>0</v>
      </c>
      <c r="M442" s="186">
        <f t="shared" si="254"/>
        <v>0</v>
      </c>
      <c r="N442" s="186">
        <f t="shared" si="254"/>
        <v>0</v>
      </c>
      <c r="O442" s="186">
        <f t="shared" si="254"/>
        <v>0</v>
      </c>
      <c r="P442" s="186">
        <f t="shared" si="254"/>
        <v>0</v>
      </c>
      <c r="Q442" s="186">
        <f t="shared" si="254"/>
        <v>0</v>
      </c>
      <c r="R442" s="186">
        <f t="shared" si="254"/>
        <v>0</v>
      </c>
      <c r="S442" s="186">
        <f t="shared" si="254"/>
        <v>0</v>
      </c>
      <c r="T442" s="186">
        <f t="shared" si="254"/>
        <v>0</v>
      </c>
      <c r="U442" s="186">
        <f t="shared" si="254"/>
        <v>0</v>
      </c>
      <c r="V442" s="186">
        <f t="shared" si="254"/>
        <v>0</v>
      </c>
      <c r="W442" s="186">
        <f t="shared" si="254"/>
        <v>0</v>
      </c>
      <c r="X442" s="186">
        <f t="shared" si="254"/>
        <v>0</v>
      </c>
      <c r="Y442" s="186">
        <f t="shared" si="254"/>
        <v>0</v>
      </c>
      <c r="Z442" s="186">
        <f t="shared" si="254"/>
        <v>28167.543092197448</v>
      </c>
      <c r="AA442" s="186">
        <f t="shared" si="254"/>
        <v>45068.068947515916</v>
      </c>
      <c r="AB442" s="186">
        <f t="shared" si="254"/>
        <v>27040.841368509551</v>
      </c>
      <c r="AC442" s="186">
        <f t="shared" si="254"/>
        <v>16224.504821105729</v>
      </c>
      <c r="AD442" s="186">
        <f t="shared" si="254"/>
        <v>16224.504821105729</v>
      </c>
      <c r="AE442" s="186">
        <f t="shared" si="254"/>
        <v>8112.2524105528646</v>
      </c>
      <c r="AF442" s="186">
        <f t="shared" si="254"/>
        <v>0</v>
      </c>
      <c r="AG442" s="186">
        <f t="shared" si="254"/>
        <v>0</v>
      </c>
      <c r="AH442" s="186">
        <f t="shared" si="254"/>
        <v>0</v>
      </c>
      <c r="AI442" s="186">
        <f t="shared" si="254"/>
        <v>0</v>
      </c>
      <c r="AJ442" s="186">
        <f t="shared" si="254"/>
        <v>0</v>
      </c>
      <c r="AK442" s="186">
        <f t="shared" si="254"/>
        <v>0</v>
      </c>
      <c r="AL442" s="186">
        <f t="shared" si="254"/>
        <v>0</v>
      </c>
      <c r="AM442" s="186">
        <f t="shared" si="254"/>
        <v>0</v>
      </c>
      <c r="AN442" s="186">
        <f t="shared" si="254"/>
        <v>0</v>
      </c>
      <c r="AO442" s="186">
        <f t="shared" si="254"/>
        <v>0</v>
      </c>
      <c r="AP442" s="186">
        <f t="shared" si="254"/>
        <v>0</v>
      </c>
    </row>
    <row r="443" spans="1:42">
      <c r="A443" s="118">
        <f>A442+1</f>
        <v>9</v>
      </c>
      <c r="B443" s="196">
        <f t="shared" si="245"/>
        <v>121822.53268718722</v>
      </c>
      <c r="C443" s="225">
        <f t="shared" ref="C443:AP443" si="255">LOOKUP(C431,$B$367:$AP$367,$B$368:$AP$368)*$B728</f>
        <v>0</v>
      </c>
      <c r="D443" s="186">
        <f t="shared" si="255"/>
        <v>0</v>
      </c>
      <c r="E443" s="186">
        <f t="shared" si="255"/>
        <v>0</v>
      </c>
      <c r="F443" s="186">
        <f t="shared" si="255"/>
        <v>0</v>
      </c>
      <c r="G443" s="186">
        <f t="shared" si="255"/>
        <v>0</v>
      </c>
      <c r="H443" s="186">
        <f t="shared" si="255"/>
        <v>0</v>
      </c>
      <c r="I443" s="186">
        <f t="shared" si="255"/>
        <v>0</v>
      </c>
      <c r="J443" s="186">
        <f t="shared" si="255"/>
        <v>0</v>
      </c>
      <c r="K443" s="186">
        <f t="shared" si="255"/>
        <v>0</v>
      </c>
      <c r="L443" s="186">
        <f t="shared" si="255"/>
        <v>0</v>
      </c>
      <c r="M443" s="186">
        <f t="shared" si="255"/>
        <v>0</v>
      </c>
      <c r="N443" s="186">
        <f t="shared" si="255"/>
        <v>0</v>
      </c>
      <c r="O443" s="186">
        <f t="shared" si="255"/>
        <v>0</v>
      </c>
      <c r="P443" s="186">
        <f t="shared" si="255"/>
        <v>0</v>
      </c>
      <c r="Q443" s="186">
        <f t="shared" si="255"/>
        <v>0</v>
      </c>
      <c r="R443" s="186">
        <f t="shared" si="255"/>
        <v>0</v>
      </c>
      <c r="S443" s="186">
        <f t="shared" si="255"/>
        <v>0</v>
      </c>
      <c r="T443" s="186">
        <f t="shared" si="255"/>
        <v>0</v>
      </c>
      <c r="U443" s="186">
        <f t="shared" si="255"/>
        <v>0</v>
      </c>
      <c r="V443" s="186">
        <f t="shared" si="255"/>
        <v>0</v>
      </c>
      <c r="W443" s="186">
        <f t="shared" si="255"/>
        <v>0</v>
      </c>
      <c r="X443" s="186">
        <f t="shared" si="255"/>
        <v>0</v>
      </c>
      <c r="Y443" s="186">
        <f t="shared" si="255"/>
        <v>0</v>
      </c>
      <c r="Z443" s="186">
        <f t="shared" si="255"/>
        <v>0</v>
      </c>
      <c r="AA443" s="186">
        <f t="shared" si="255"/>
        <v>0</v>
      </c>
      <c r="AB443" s="186">
        <f t="shared" si="255"/>
        <v>0</v>
      </c>
      <c r="AC443" s="186">
        <f t="shared" si="255"/>
        <v>29454.190688391496</v>
      </c>
      <c r="AD443" s="186">
        <f t="shared" si="255"/>
        <v>47126.705101426393</v>
      </c>
      <c r="AE443" s="186">
        <f t="shared" si="255"/>
        <v>28276.023060855838</v>
      </c>
      <c r="AF443" s="186">
        <f t="shared" si="255"/>
        <v>16965.613836513501</v>
      </c>
      <c r="AG443" s="186">
        <f t="shared" si="255"/>
        <v>0</v>
      </c>
      <c r="AH443" s="186">
        <f t="shared" si="255"/>
        <v>0</v>
      </c>
      <c r="AI443" s="186">
        <f t="shared" si="255"/>
        <v>0</v>
      </c>
      <c r="AJ443" s="186">
        <f t="shared" si="255"/>
        <v>0</v>
      </c>
      <c r="AK443" s="186">
        <f t="shared" si="255"/>
        <v>0</v>
      </c>
      <c r="AL443" s="186">
        <f t="shared" si="255"/>
        <v>0</v>
      </c>
      <c r="AM443" s="186">
        <f t="shared" si="255"/>
        <v>0</v>
      </c>
      <c r="AN443" s="186">
        <f t="shared" si="255"/>
        <v>0</v>
      </c>
      <c r="AO443" s="186">
        <f t="shared" si="255"/>
        <v>0</v>
      </c>
      <c r="AP443" s="186">
        <f t="shared" si="255"/>
        <v>0</v>
      </c>
    </row>
    <row r="444" spans="1:42">
      <c r="A444" s="118">
        <f t="shared" si="248"/>
        <v>10</v>
      </c>
      <c r="B444" s="196">
        <f t="shared" si="245"/>
        <v>30799.610255977339</v>
      </c>
      <c r="C444" s="221">
        <f t="shared" ref="C444:AP444" si="256">LOOKUP(C432,$B$367:$AP$367,$B$368:$AP$368)*$B729</f>
        <v>0</v>
      </c>
      <c r="D444" s="187">
        <f t="shared" si="256"/>
        <v>0</v>
      </c>
      <c r="E444" s="187">
        <f t="shared" si="256"/>
        <v>0</v>
      </c>
      <c r="F444" s="187">
        <f t="shared" si="256"/>
        <v>0</v>
      </c>
      <c r="G444" s="187">
        <f t="shared" si="256"/>
        <v>0</v>
      </c>
      <c r="H444" s="187">
        <f t="shared" si="256"/>
        <v>0</v>
      </c>
      <c r="I444" s="187">
        <f t="shared" si="256"/>
        <v>0</v>
      </c>
      <c r="J444" s="187">
        <f t="shared" si="256"/>
        <v>0</v>
      </c>
      <c r="K444" s="187">
        <f t="shared" si="256"/>
        <v>0</v>
      </c>
      <c r="L444" s="187">
        <f t="shared" si="256"/>
        <v>0</v>
      </c>
      <c r="M444" s="187">
        <f t="shared" si="256"/>
        <v>0</v>
      </c>
      <c r="N444" s="187">
        <f t="shared" si="256"/>
        <v>0</v>
      </c>
      <c r="O444" s="187">
        <f t="shared" si="256"/>
        <v>0</v>
      </c>
      <c r="P444" s="187">
        <f t="shared" si="256"/>
        <v>0</v>
      </c>
      <c r="Q444" s="187">
        <f t="shared" si="256"/>
        <v>0</v>
      </c>
      <c r="R444" s="187">
        <f t="shared" si="256"/>
        <v>0</v>
      </c>
      <c r="S444" s="187">
        <f t="shared" si="256"/>
        <v>0</v>
      </c>
      <c r="T444" s="187">
        <f t="shared" si="256"/>
        <v>0</v>
      </c>
      <c r="U444" s="187">
        <f t="shared" si="256"/>
        <v>0</v>
      </c>
      <c r="V444" s="187">
        <f t="shared" si="256"/>
        <v>0</v>
      </c>
      <c r="W444" s="187">
        <f t="shared" si="256"/>
        <v>0</v>
      </c>
      <c r="X444" s="187">
        <f t="shared" si="256"/>
        <v>0</v>
      </c>
      <c r="Y444" s="187">
        <f t="shared" si="256"/>
        <v>0</v>
      </c>
      <c r="Z444" s="187">
        <f t="shared" si="256"/>
        <v>0</v>
      </c>
      <c r="AA444" s="187">
        <f t="shared" si="256"/>
        <v>0</v>
      </c>
      <c r="AB444" s="187">
        <f t="shared" si="256"/>
        <v>0</v>
      </c>
      <c r="AC444" s="187">
        <f t="shared" si="256"/>
        <v>0</v>
      </c>
      <c r="AD444" s="187">
        <f t="shared" si="256"/>
        <v>0</v>
      </c>
      <c r="AE444" s="187">
        <f t="shared" si="256"/>
        <v>0</v>
      </c>
      <c r="AF444" s="187">
        <f t="shared" si="256"/>
        <v>30799.610255977339</v>
      </c>
      <c r="AG444" s="187">
        <f t="shared" si="256"/>
        <v>0</v>
      </c>
      <c r="AH444" s="187">
        <f t="shared" si="256"/>
        <v>0</v>
      </c>
      <c r="AI444" s="187">
        <f t="shared" si="256"/>
        <v>0</v>
      </c>
      <c r="AJ444" s="187">
        <f t="shared" si="256"/>
        <v>0</v>
      </c>
      <c r="AK444" s="187">
        <f t="shared" si="256"/>
        <v>0</v>
      </c>
      <c r="AL444" s="187">
        <f t="shared" si="256"/>
        <v>0</v>
      </c>
      <c r="AM444" s="187">
        <f t="shared" si="256"/>
        <v>0</v>
      </c>
      <c r="AN444" s="187">
        <f t="shared" si="256"/>
        <v>0</v>
      </c>
      <c r="AO444" s="187">
        <f t="shared" si="256"/>
        <v>0</v>
      </c>
      <c r="AP444" s="187">
        <f t="shared" si="256"/>
        <v>0</v>
      </c>
    </row>
    <row r="445" spans="1:42" s="118" customFormat="1" ht="12" customHeight="1">
      <c r="A445" s="222" t="s">
        <v>53</v>
      </c>
      <c r="B445" s="141"/>
      <c r="C445" s="141">
        <f>SUM(C435:C444)</f>
        <v>0</v>
      </c>
      <c r="D445" s="141">
        <f t="shared" ref="D445:AP445" si="257">SUM(D435:D444)</f>
        <v>0</v>
      </c>
      <c r="E445" s="141">
        <f t="shared" si="257"/>
        <v>20604.499999999996</v>
      </c>
      <c r="F445" s="141">
        <f t="shared" si="257"/>
        <v>32967.19999999999</v>
      </c>
      <c r="G445" s="141">
        <f t="shared" si="257"/>
        <v>19780.319999999996</v>
      </c>
      <c r="H445" s="141">
        <f t="shared" si="257"/>
        <v>33413.872077687483</v>
      </c>
      <c r="I445" s="141">
        <f t="shared" si="257"/>
        <v>46341.28012429997</v>
      </c>
      <c r="J445" s="141">
        <f t="shared" si="257"/>
        <v>26617.948874579983</v>
      </c>
      <c r="K445" s="141">
        <f t="shared" si="257"/>
        <v>34940.163456654111</v>
      </c>
      <c r="L445" s="141">
        <f t="shared" si="257"/>
        <v>48458.074495797773</v>
      </c>
      <c r="M445" s="141">
        <f t="shared" si="257"/>
        <v>27833.813525003865</v>
      </c>
      <c r="N445" s="141">
        <f t="shared" si="257"/>
        <v>36536.173345588439</v>
      </c>
      <c r="O445" s="141">
        <f t="shared" si="257"/>
        <v>50671.560594394745</v>
      </c>
      <c r="P445" s="141">
        <f t="shared" si="257"/>
        <v>29105.216896879054</v>
      </c>
      <c r="Q445" s="141">
        <f t="shared" si="257"/>
        <v>38205.086372733211</v>
      </c>
      <c r="R445" s="141">
        <f t="shared" si="257"/>
        <v>52986.155141060706</v>
      </c>
      <c r="S445" s="141">
        <f t="shared" si="257"/>
        <v>30434.695908751019</v>
      </c>
      <c r="T445" s="141">
        <f t="shared" si="257"/>
        <v>39950.232634974287</v>
      </c>
      <c r="U445" s="141">
        <f t="shared" si="257"/>
        <v>55406.476605402226</v>
      </c>
      <c r="V445" s="141">
        <f t="shared" si="257"/>
        <v>31824.903361481898</v>
      </c>
      <c r="W445" s="141">
        <f t="shared" si="257"/>
        <v>41775.094342611868</v>
      </c>
      <c r="X445" s="141">
        <f t="shared" si="257"/>
        <v>57937.354421212491</v>
      </c>
      <c r="Y445" s="141">
        <f t="shared" si="257"/>
        <v>33278.613231566414</v>
      </c>
      <c r="Z445" s="141">
        <f t="shared" si="257"/>
        <v>43683.312767654046</v>
      </c>
      <c r="AA445" s="141">
        <f t="shared" si="257"/>
        <v>60583.838622972515</v>
      </c>
      <c r="AB445" s="141">
        <f t="shared" si="257"/>
        <v>34798.72620623785</v>
      </c>
      <c r="AC445" s="141">
        <f t="shared" si="257"/>
        <v>45678.695509497222</v>
      </c>
      <c r="AD445" s="141">
        <f t="shared" si="257"/>
        <v>63351.209922532122</v>
      </c>
      <c r="AE445" s="141">
        <f t="shared" si="257"/>
        <v>36388.275471408706</v>
      </c>
      <c r="AF445" s="141">
        <f t="shared" si="257"/>
        <v>47765.22409249084</v>
      </c>
      <c r="AG445" s="141">
        <f t="shared" si="257"/>
        <v>0</v>
      </c>
      <c r="AH445" s="141">
        <f t="shared" si="257"/>
        <v>0</v>
      </c>
      <c r="AI445" s="141">
        <f t="shared" si="257"/>
        <v>0</v>
      </c>
      <c r="AJ445" s="141">
        <f t="shared" si="257"/>
        <v>0</v>
      </c>
      <c r="AK445" s="141">
        <f t="shared" si="257"/>
        <v>0</v>
      </c>
      <c r="AL445" s="141">
        <f t="shared" si="257"/>
        <v>0</v>
      </c>
      <c r="AM445" s="141">
        <f t="shared" si="257"/>
        <v>0</v>
      </c>
      <c r="AN445" s="141">
        <f t="shared" si="257"/>
        <v>0</v>
      </c>
      <c r="AO445" s="141">
        <f t="shared" si="257"/>
        <v>0</v>
      </c>
      <c r="AP445" s="141">
        <f t="shared" si="257"/>
        <v>0</v>
      </c>
    </row>
    <row r="446" spans="1:42">
      <c r="A446" s="204"/>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c r="AM446" s="186"/>
      <c r="AN446" s="186"/>
      <c r="AO446" s="186"/>
      <c r="AP446" s="186"/>
    </row>
    <row r="447" spans="1:42">
      <c r="A447" s="195" t="s">
        <v>501</v>
      </c>
    </row>
    <row r="448" spans="1:42">
      <c r="A448" s="118" t="s">
        <v>82</v>
      </c>
      <c r="G448" s="293" t="s">
        <v>166</v>
      </c>
      <c r="H448" s="294"/>
      <c r="I448" s="294"/>
      <c r="J448" s="295"/>
      <c r="K448" s="226" t="s">
        <v>167</v>
      </c>
      <c r="L448" s="227"/>
    </row>
    <row r="449" spans="1:17" ht="51">
      <c r="A449" s="118"/>
      <c r="B449" s="129" t="s">
        <v>154</v>
      </c>
      <c r="C449" s="129" t="s">
        <v>150</v>
      </c>
      <c r="D449" s="129" t="s">
        <v>152</v>
      </c>
      <c r="E449" s="206" t="s">
        <v>153</v>
      </c>
      <c r="F449" s="129" t="s">
        <v>155</v>
      </c>
      <c r="G449" s="129" t="s">
        <v>160</v>
      </c>
      <c r="H449" s="129" t="s">
        <v>162</v>
      </c>
      <c r="I449" s="129" t="s">
        <v>161</v>
      </c>
      <c r="J449" s="129" t="s">
        <v>163</v>
      </c>
      <c r="K449" s="228" t="s">
        <v>34</v>
      </c>
      <c r="L449" s="129" t="s">
        <v>163</v>
      </c>
      <c r="M449" s="207" t="s">
        <v>168</v>
      </c>
      <c r="N449" s="207" t="s">
        <v>169</v>
      </c>
      <c r="O449" s="129" t="s">
        <v>156</v>
      </c>
      <c r="P449" s="208" t="s">
        <v>319</v>
      </c>
      <c r="Q449" s="129" t="s">
        <v>324</v>
      </c>
    </row>
    <row r="450" spans="1:17" s="118" customFormat="1">
      <c r="A450" s="257" t="str">
        <f>A316</f>
        <v>5-yr MACRS</v>
      </c>
      <c r="B450" s="351">
        <f>C450/$C$457</f>
        <v>0.94999999999999984</v>
      </c>
      <c r="C450" s="141">
        <f>'Inputs &amp; Results'!D226</f>
        <v>40476354.074999996</v>
      </c>
      <c r="D450" s="141">
        <f>IF(FedBasisReduction="5-Yr MACRS",D457,$B450*D$457)</f>
        <v>3000</v>
      </c>
      <c r="E450" s="141">
        <f>IF(FedBasisReduction="5-Yr MACRS",E457,$B450*E$457)</f>
        <v>0</v>
      </c>
      <c r="F450" s="223">
        <f>C450-D450-E450</f>
        <v>40473354.074999996</v>
      </c>
      <c r="G450" s="352">
        <f>IF('Inputs &amp; Results'!B264="Yes",F450,0)</f>
        <v>40473354.074999996</v>
      </c>
      <c r="H450" s="353">
        <f>IF($G$457=0,0,G450/$G$457)</f>
        <v>1</v>
      </c>
      <c r="I450" s="353">
        <f t="shared" ref="I450:I455" si="258">$I$457*H450</f>
        <v>0</v>
      </c>
      <c r="J450" s="354">
        <f>I450*0.5</f>
        <v>0</v>
      </c>
      <c r="K450" s="355">
        <f t="shared" ref="K450:K455" si="259">H450*$K$457</f>
        <v>10000</v>
      </c>
      <c r="L450" s="354">
        <f>K450*0.5</f>
        <v>5000</v>
      </c>
      <c r="M450" s="141">
        <f t="shared" ref="M450:M455" si="260">IF(ITCStateFixedFedDeprec="Yes",L316,0)+IF(ITCStatePercentFedDeprec="Yes",J316,0)</f>
        <v>0</v>
      </c>
      <c r="N450" s="141">
        <f t="shared" ref="N450:N455" si="261">IF(ITCFedFixedFedDeprec="Yes",L450,0)+IF(ITCFedPercentFedDeprec="Yes",J450,0)</f>
        <v>5000</v>
      </c>
      <c r="O450" s="356">
        <f t="shared" ref="O450:O455" si="262">F450-M450-N450</f>
        <v>40468354.074999996</v>
      </c>
      <c r="P450" s="141">
        <f>IF('Inputs &amp; Results'!B247="Yes",O450*FedBonusDeprec,0)</f>
        <v>4046835.4074999997</v>
      </c>
      <c r="Q450" s="223">
        <f>O450-P450</f>
        <v>36421518.667499997</v>
      </c>
    </row>
    <row r="451" spans="1:17" s="118" customFormat="1">
      <c r="A451" s="257" t="str">
        <f t="shared" ref="A451:A455" si="263">A317</f>
        <v>15-yr MACRS</v>
      </c>
      <c r="B451" s="351">
        <f t="shared" ref="B451:B455" si="264">C451/$C$457</f>
        <v>1.5000000000000001E-2</v>
      </c>
      <c r="C451" s="141">
        <f>'Inputs &amp; Results'!D227</f>
        <v>639100.32750000001</v>
      </c>
      <c r="D451" s="141">
        <f t="shared" ref="D451:E455" si="265">IF(FedBasisReduction="5-Yr MACRS",0,$B451*D$457)</f>
        <v>0</v>
      </c>
      <c r="E451" s="141">
        <f t="shared" si="265"/>
        <v>0</v>
      </c>
      <c r="F451" s="223">
        <f t="shared" ref="F451:F455" si="266">C451-D451-E451</f>
        <v>639100.32750000001</v>
      </c>
      <c r="G451" s="355">
        <f>IF('Inputs &amp; Results'!B265="Yes",F451,0)</f>
        <v>0</v>
      </c>
      <c r="H451" s="141">
        <f t="shared" ref="H451:H455" si="267">IF($G$457=0,0,G451/$G$457)</f>
        <v>0</v>
      </c>
      <c r="I451" s="141">
        <f t="shared" si="258"/>
        <v>0</v>
      </c>
      <c r="J451" s="326">
        <f t="shared" ref="J451:J455" si="268">I451*0.5</f>
        <v>0</v>
      </c>
      <c r="K451" s="355">
        <f t="shared" si="259"/>
        <v>0</v>
      </c>
      <c r="L451" s="326">
        <f t="shared" ref="L451:L455" si="269">K451*0.5</f>
        <v>0</v>
      </c>
      <c r="M451" s="141">
        <f t="shared" si="260"/>
        <v>0</v>
      </c>
      <c r="N451" s="141">
        <f t="shared" si="261"/>
        <v>0</v>
      </c>
      <c r="O451" s="223">
        <f t="shared" si="262"/>
        <v>639100.32750000001</v>
      </c>
      <c r="P451" s="141">
        <f>IF('Inputs &amp; Results'!B248="Yes",O451*FedBonusDeprec,0)</f>
        <v>0</v>
      </c>
      <c r="Q451" s="223">
        <f t="shared" ref="Q451:Q455" si="270">O451-P451</f>
        <v>639100.32750000001</v>
      </c>
    </row>
    <row r="452" spans="1:17" s="118" customFormat="1">
      <c r="A452" s="257" t="str">
        <f t="shared" si="263"/>
        <v>5-yr SL</v>
      </c>
      <c r="B452" s="351">
        <f t="shared" si="264"/>
        <v>0</v>
      </c>
      <c r="C452" s="141">
        <f>'Inputs &amp; Results'!D228</f>
        <v>0</v>
      </c>
      <c r="D452" s="141">
        <f t="shared" si="265"/>
        <v>0</v>
      </c>
      <c r="E452" s="141">
        <f t="shared" si="265"/>
        <v>0</v>
      </c>
      <c r="F452" s="223">
        <f t="shared" si="266"/>
        <v>0</v>
      </c>
      <c r="G452" s="355">
        <f>IF('Inputs &amp; Results'!B266="Yes",F452,0)</f>
        <v>0</v>
      </c>
      <c r="H452" s="141">
        <f t="shared" si="267"/>
        <v>0</v>
      </c>
      <c r="I452" s="141">
        <f t="shared" si="258"/>
        <v>0</v>
      </c>
      <c r="J452" s="326">
        <f t="shared" si="268"/>
        <v>0</v>
      </c>
      <c r="K452" s="355">
        <f t="shared" si="259"/>
        <v>0</v>
      </c>
      <c r="L452" s="326">
        <f t="shared" si="269"/>
        <v>0</v>
      </c>
      <c r="M452" s="141">
        <f t="shared" si="260"/>
        <v>0</v>
      </c>
      <c r="N452" s="141">
        <f t="shared" si="261"/>
        <v>0</v>
      </c>
      <c r="O452" s="223">
        <f t="shared" si="262"/>
        <v>0</v>
      </c>
      <c r="P452" s="141">
        <f>IF('Inputs &amp; Results'!B249="Yes",O452*FedBonusDeprec,0)</f>
        <v>0</v>
      </c>
      <c r="Q452" s="223">
        <f t="shared" si="270"/>
        <v>0</v>
      </c>
    </row>
    <row r="453" spans="1:17" s="118" customFormat="1">
      <c r="A453" s="257" t="str">
        <f t="shared" si="263"/>
        <v>15-yr SL</v>
      </c>
      <c r="B453" s="351">
        <f t="shared" si="264"/>
        <v>1.5000000000000001E-2</v>
      </c>
      <c r="C453" s="141">
        <f>'Inputs &amp; Results'!D229</f>
        <v>639100.32750000001</v>
      </c>
      <c r="D453" s="141">
        <f t="shared" si="265"/>
        <v>0</v>
      </c>
      <c r="E453" s="141">
        <f t="shared" si="265"/>
        <v>0</v>
      </c>
      <c r="F453" s="223">
        <f t="shared" si="266"/>
        <v>639100.32750000001</v>
      </c>
      <c r="G453" s="355">
        <f>IF('Inputs &amp; Results'!B267="Yes",F453,0)</f>
        <v>0</v>
      </c>
      <c r="H453" s="141">
        <f t="shared" si="267"/>
        <v>0</v>
      </c>
      <c r="I453" s="141">
        <f t="shared" si="258"/>
        <v>0</v>
      </c>
      <c r="J453" s="326">
        <f t="shared" si="268"/>
        <v>0</v>
      </c>
      <c r="K453" s="355">
        <f t="shared" si="259"/>
        <v>0</v>
      </c>
      <c r="L453" s="326">
        <f t="shared" si="269"/>
        <v>0</v>
      </c>
      <c r="M453" s="141">
        <f t="shared" si="260"/>
        <v>0</v>
      </c>
      <c r="N453" s="141">
        <f t="shared" si="261"/>
        <v>0</v>
      </c>
      <c r="O453" s="223">
        <f t="shared" si="262"/>
        <v>639100.32750000001</v>
      </c>
      <c r="P453" s="141">
        <f>IF('Inputs &amp; Results'!B250="Yes",O453*FedBonusDeprec,0)</f>
        <v>0</v>
      </c>
      <c r="Q453" s="223">
        <f t="shared" si="270"/>
        <v>639100.32750000001</v>
      </c>
    </row>
    <row r="454" spans="1:17" s="118" customFormat="1">
      <c r="A454" s="257" t="str">
        <f t="shared" si="263"/>
        <v>20-yr SL</v>
      </c>
      <c r="B454" s="351">
        <f t="shared" si="264"/>
        <v>1.5000000000000001E-2</v>
      </c>
      <c r="C454" s="141">
        <f>'Inputs &amp; Results'!D230</f>
        <v>639100.32750000001</v>
      </c>
      <c r="D454" s="141">
        <f t="shared" si="265"/>
        <v>0</v>
      </c>
      <c r="E454" s="141">
        <f t="shared" si="265"/>
        <v>0</v>
      </c>
      <c r="F454" s="223">
        <f t="shared" si="266"/>
        <v>639100.32750000001</v>
      </c>
      <c r="G454" s="355">
        <f>IF('Inputs &amp; Results'!B268="Yes",F454,0)</f>
        <v>0</v>
      </c>
      <c r="H454" s="141">
        <f t="shared" si="267"/>
        <v>0</v>
      </c>
      <c r="I454" s="141">
        <f t="shared" si="258"/>
        <v>0</v>
      </c>
      <c r="J454" s="326">
        <f t="shared" si="268"/>
        <v>0</v>
      </c>
      <c r="K454" s="355">
        <f t="shared" si="259"/>
        <v>0</v>
      </c>
      <c r="L454" s="326">
        <f t="shared" si="269"/>
        <v>0</v>
      </c>
      <c r="M454" s="141">
        <f t="shared" si="260"/>
        <v>0</v>
      </c>
      <c r="N454" s="141">
        <f t="shared" si="261"/>
        <v>0</v>
      </c>
      <c r="O454" s="223">
        <f t="shared" si="262"/>
        <v>639100.32750000001</v>
      </c>
      <c r="P454" s="141">
        <f>IF('Inputs &amp; Results'!B251="Yes",O454*FedBonusDeprec,0)</f>
        <v>0</v>
      </c>
      <c r="Q454" s="223">
        <f t="shared" si="270"/>
        <v>639100.32750000001</v>
      </c>
    </row>
    <row r="455" spans="1:17" s="118" customFormat="1">
      <c r="A455" s="257" t="str">
        <f t="shared" si="263"/>
        <v>39-yr SL</v>
      </c>
      <c r="B455" s="351">
        <f t="shared" si="264"/>
        <v>5.0000000000000001E-3</v>
      </c>
      <c r="C455" s="141">
        <f>'Inputs &amp; Results'!D231</f>
        <v>213033.4425</v>
      </c>
      <c r="D455" s="141">
        <f t="shared" si="265"/>
        <v>0</v>
      </c>
      <c r="E455" s="141">
        <f t="shared" si="265"/>
        <v>0</v>
      </c>
      <c r="F455" s="223">
        <f t="shared" si="266"/>
        <v>213033.4425</v>
      </c>
      <c r="G455" s="355">
        <f>IF('Inputs &amp; Results'!B269="Yes",F455,0)</f>
        <v>0</v>
      </c>
      <c r="H455" s="141">
        <f t="shared" si="267"/>
        <v>0</v>
      </c>
      <c r="I455" s="141">
        <f t="shared" si="258"/>
        <v>0</v>
      </c>
      <c r="J455" s="326">
        <f t="shared" si="268"/>
        <v>0</v>
      </c>
      <c r="K455" s="355">
        <f t="shared" si="259"/>
        <v>0</v>
      </c>
      <c r="L455" s="326">
        <f t="shared" si="269"/>
        <v>0</v>
      </c>
      <c r="M455" s="141">
        <f t="shared" si="260"/>
        <v>0</v>
      </c>
      <c r="N455" s="141">
        <f t="shared" si="261"/>
        <v>0</v>
      </c>
      <c r="O455" s="223">
        <f t="shared" si="262"/>
        <v>213033.4425</v>
      </c>
      <c r="P455" s="141">
        <f>IF('Inputs &amp; Results'!B252="Yes",O455*FedBonusDeprec,0)</f>
        <v>0</v>
      </c>
      <c r="Q455" s="223">
        <f t="shared" si="270"/>
        <v>213033.4425</v>
      </c>
    </row>
    <row r="456" spans="1:17">
      <c r="A456" s="261" t="s">
        <v>376</v>
      </c>
      <c r="B456" s="209"/>
      <c r="C456" s="210"/>
      <c r="D456" s="211"/>
      <c r="E456" s="211"/>
      <c r="F456" s="103"/>
      <c r="G456" s="209"/>
      <c r="H456" s="230"/>
      <c r="I456" s="230"/>
      <c r="J456" s="296"/>
      <c r="K456" s="209"/>
      <c r="L456" s="296"/>
      <c r="M456" s="211"/>
      <c r="N456" s="211"/>
      <c r="O456" s="103"/>
      <c r="P456" s="211"/>
      <c r="Q456" s="103"/>
    </row>
    <row r="457" spans="1:17" s="118" customFormat="1">
      <c r="B457" s="357">
        <f>SUM(B450:B456)</f>
        <v>0.99999999999999989</v>
      </c>
      <c r="C457" s="203">
        <f>SUM(C450:C456)</f>
        <v>42606688.5</v>
      </c>
      <c r="D457" s="203">
        <f>B466+B472</f>
        <v>3000</v>
      </c>
      <c r="E457" s="203">
        <f>B478</f>
        <v>0</v>
      </c>
      <c r="F457" s="224">
        <f t="shared" ref="F457:Q457" si="271">SUM(F450:F456)</f>
        <v>42603688.5</v>
      </c>
      <c r="G457" s="224">
        <f>SUM(G450:G456)</f>
        <v>40473354.074999996</v>
      </c>
      <c r="H457" s="358">
        <f>SUM(H450:H456)</f>
        <v>1</v>
      </c>
      <c r="I457" s="224">
        <f>MIN(ITCFedMax,ITCFedPercent*G457)</f>
        <v>0</v>
      </c>
      <c r="J457" s="224">
        <f>SUM(J450:J456)</f>
        <v>0</v>
      </c>
      <c r="K457" s="224">
        <f>ITCFedFixed</f>
        <v>10000</v>
      </c>
      <c r="L457" s="224">
        <f>SUM(L450:L456)</f>
        <v>5000</v>
      </c>
      <c r="M457" s="203">
        <f t="shared" si="271"/>
        <v>0</v>
      </c>
      <c r="N457" s="203">
        <f t="shared" si="271"/>
        <v>5000</v>
      </c>
      <c r="O457" s="224">
        <f t="shared" si="271"/>
        <v>42598688.5</v>
      </c>
      <c r="P457" s="224">
        <f t="shared" si="271"/>
        <v>4046835.4074999997</v>
      </c>
      <c r="Q457" s="224">
        <f t="shared" si="271"/>
        <v>38551853.092500001</v>
      </c>
    </row>
    <row r="458" spans="1:17">
      <c r="A458" s="118"/>
    </row>
    <row r="459" spans="1:17">
      <c r="A459" s="118" t="s">
        <v>165</v>
      </c>
    </row>
    <row r="460" spans="1:17">
      <c r="A460" s="257" t="str">
        <f>A326</f>
        <v>Investment Based Incentive (IBI)</v>
      </c>
    </row>
    <row r="461" spans="1:17">
      <c r="A461" s="258" t="str">
        <f t="shared" ref="A461:A479" si="272">A327</f>
        <v>Fixed Amount ($)</v>
      </c>
    </row>
    <row r="462" spans="1:17">
      <c r="A462" s="259" t="str">
        <f t="shared" si="272"/>
        <v>Federal</v>
      </c>
      <c r="B462" s="152">
        <f>IF(IBIFedFixedFedDeprec="Yes",IBIFedFixed,0)</f>
        <v>1000</v>
      </c>
    </row>
    <row r="463" spans="1:17">
      <c r="A463" s="259" t="str">
        <f t="shared" si="272"/>
        <v>State</v>
      </c>
      <c r="B463" s="152">
        <f>IF(IBIStateFixedFedDeprec="Yes",IBIStateFixed,0)</f>
        <v>2000</v>
      </c>
    </row>
    <row r="464" spans="1:17">
      <c r="A464" s="259" t="str">
        <f t="shared" si="272"/>
        <v>Utility</v>
      </c>
      <c r="B464" s="152">
        <f>IF(IBIUtilityFixedFedDeprec="Yes",IBIUtilityFixed,0)</f>
        <v>0</v>
      </c>
    </row>
    <row r="465" spans="1:2">
      <c r="A465" s="259" t="str">
        <f t="shared" si="272"/>
        <v>Other</v>
      </c>
      <c r="B465" s="187">
        <f>IF(IBIOtherFixedFedDeprec="Yes",IBIOtherFixed,0)</f>
        <v>0</v>
      </c>
    </row>
    <row r="466" spans="1:2">
      <c r="A466" s="259" t="str">
        <f t="shared" si="272"/>
        <v>Total</v>
      </c>
      <c r="B466" s="152">
        <f>SUM(B462:B465)</f>
        <v>3000</v>
      </c>
    </row>
    <row r="467" spans="1:2">
      <c r="A467" s="258" t="str">
        <f t="shared" si="272"/>
        <v>Percentage of Pre-Financing Costs</v>
      </c>
    </row>
    <row r="468" spans="1:2">
      <c r="A468" s="259" t="str">
        <f t="shared" si="272"/>
        <v>Federal</v>
      </c>
      <c r="B468" s="152">
        <f>IF(IBIFedPercentFedDeprec="Yes",IBIFedPercent,0)</f>
        <v>0</v>
      </c>
    </row>
    <row r="469" spans="1:2">
      <c r="A469" s="259" t="str">
        <f t="shared" si="272"/>
        <v>State</v>
      </c>
      <c r="B469" s="152">
        <f>IF(IBIStatePercentFedDeprec="Yes",IBIStatePercent,0)</f>
        <v>0</v>
      </c>
    </row>
    <row r="470" spans="1:2">
      <c r="A470" s="259" t="str">
        <f t="shared" si="272"/>
        <v>Utility</v>
      </c>
      <c r="B470" s="152">
        <f>IF(IBIUtilityPercentFedDeprec="Yes",IBIUtilityPercent,0)</f>
        <v>0</v>
      </c>
    </row>
    <row r="471" spans="1:2">
      <c r="A471" s="259" t="str">
        <f t="shared" si="272"/>
        <v>Other</v>
      </c>
      <c r="B471" s="187">
        <f>IF(IBIOtherPercentFedDeprec="Yes",IBIOtherPercent,0)</f>
        <v>0</v>
      </c>
    </row>
    <row r="472" spans="1:2">
      <c r="A472" s="259" t="str">
        <f t="shared" si="272"/>
        <v>Total</v>
      </c>
      <c r="B472" s="152">
        <f>SUM(B468:B471)</f>
        <v>0</v>
      </c>
    </row>
    <row r="473" spans="1:2">
      <c r="A473" s="257" t="str">
        <f t="shared" si="272"/>
        <v>Capacity Based Incentive (CBI)</v>
      </c>
    </row>
    <row r="474" spans="1:2">
      <c r="A474" s="258" t="str">
        <f t="shared" si="272"/>
        <v>Federal</v>
      </c>
      <c r="B474" s="152">
        <f>IF(CBIFedFedDeprec="Yes",CBIFed,0)</f>
        <v>0</v>
      </c>
    </row>
    <row r="475" spans="1:2">
      <c r="A475" s="258" t="str">
        <f t="shared" si="272"/>
        <v>State</v>
      </c>
      <c r="B475" s="152">
        <f>IF(CBIStateFedDeprec="Yes",CBIState,0)</f>
        <v>0</v>
      </c>
    </row>
    <row r="476" spans="1:2">
      <c r="A476" s="258" t="str">
        <f t="shared" si="272"/>
        <v>Utility</v>
      </c>
      <c r="B476" s="152">
        <f>IF(CBIUtilityFedDeprec="Yes",CBIUtility,0)</f>
        <v>0</v>
      </c>
    </row>
    <row r="477" spans="1:2">
      <c r="A477" s="258" t="str">
        <f t="shared" si="272"/>
        <v>Other</v>
      </c>
      <c r="B477" s="187">
        <f>IF(CBIOtherFedDeprec="Yes",CBIOther,0)</f>
        <v>0</v>
      </c>
    </row>
    <row r="478" spans="1:2">
      <c r="A478" s="258" t="str">
        <f t="shared" si="272"/>
        <v>Total</v>
      </c>
      <c r="B478" s="194">
        <f>SUM(B474:B477)</f>
        <v>0</v>
      </c>
    </row>
    <row r="479" spans="1:2">
      <c r="A479" s="257" t="str">
        <f t="shared" si="272"/>
        <v>Total Basis Reduction</v>
      </c>
      <c r="B479" s="152">
        <f>B466+B472+B478</f>
        <v>3000</v>
      </c>
    </row>
    <row r="480" spans="1:2">
      <c r="A480" s="118"/>
    </row>
    <row r="481" spans="1:42">
      <c r="A481" s="118" t="s">
        <v>253</v>
      </c>
    </row>
    <row r="482" spans="1:42">
      <c r="A482" s="257" t="s">
        <v>157</v>
      </c>
    </row>
    <row r="483" spans="1:42">
      <c r="A483" s="205" t="str">
        <f>A450</f>
        <v>5-yr MACRS</v>
      </c>
      <c r="B483" s="214">
        <f>SUM(C483:AP483)</f>
        <v>0.99999999999999989</v>
      </c>
      <c r="C483" s="215">
        <f>LOOKUP(C$2,'Depreciation Schedules'!$A$3:$A$42,'Depreciation Schedules'!$B$3:$B$42)</f>
        <v>0.2</v>
      </c>
      <c r="D483" s="215">
        <f>LOOKUP(D$2,'Depreciation Schedules'!$A$3:$A$42,'Depreciation Schedules'!$B$3:$B$42)</f>
        <v>0.32</v>
      </c>
      <c r="E483" s="215">
        <f>LOOKUP(E$2,'Depreciation Schedules'!$A$3:$A$42,'Depreciation Schedules'!$B$3:$B$42)</f>
        <v>0.192</v>
      </c>
      <c r="F483" s="215">
        <f>LOOKUP(F$2,'Depreciation Schedules'!$A$3:$A$42,'Depreciation Schedules'!$B$3:$B$42)</f>
        <v>0.1152</v>
      </c>
      <c r="G483" s="215">
        <f>LOOKUP(G$2,'Depreciation Schedules'!$A$3:$A$42,'Depreciation Schedules'!$B$3:$B$42)</f>
        <v>0.1152</v>
      </c>
      <c r="H483" s="215">
        <f>LOOKUP(H$2,'Depreciation Schedules'!$A$3:$A$42,'Depreciation Schedules'!$B$3:$B$42)</f>
        <v>5.7599999999999998E-2</v>
      </c>
      <c r="I483" s="215">
        <f>LOOKUP(I$2,'Depreciation Schedules'!$A$3:$A$42,'Depreciation Schedules'!$B$3:$B$42)</f>
        <v>0</v>
      </c>
      <c r="J483" s="215">
        <f>LOOKUP(J$2,'Depreciation Schedules'!$A$3:$A$42,'Depreciation Schedules'!$B$3:$B$42)</f>
        <v>0</v>
      </c>
      <c r="K483" s="215">
        <f>LOOKUP(K$2,'Depreciation Schedules'!$A$3:$A$42,'Depreciation Schedules'!$B$3:$B$42)</f>
        <v>0</v>
      </c>
      <c r="L483" s="215">
        <f>LOOKUP(L$2,'Depreciation Schedules'!$A$3:$A$42,'Depreciation Schedules'!$B$3:$B$42)</f>
        <v>0</v>
      </c>
      <c r="M483" s="215">
        <f>LOOKUP(M$2,'Depreciation Schedules'!$A$3:$A$42,'Depreciation Schedules'!$B$3:$B$42)</f>
        <v>0</v>
      </c>
      <c r="N483" s="215">
        <f>LOOKUP(N$2,'Depreciation Schedules'!$A$3:$A$42,'Depreciation Schedules'!$B$3:$B$42)</f>
        <v>0</v>
      </c>
      <c r="O483" s="215">
        <f>LOOKUP(O$2,'Depreciation Schedules'!$A$3:$A$42,'Depreciation Schedules'!$B$3:$B$42)</f>
        <v>0</v>
      </c>
      <c r="P483" s="215">
        <f>LOOKUP(P$2,'Depreciation Schedules'!$A$3:$A$42,'Depreciation Schedules'!$B$3:$B$42)</f>
        <v>0</v>
      </c>
      <c r="Q483" s="215">
        <f>LOOKUP(Q$2,'Depreciation Schedules'!$A$3:$A$42,'Depreciation Schedules'!$B$3:$B$42)</f>
        <v>0</v>
      </c>
      <c r="R483" s="215">
        <f>LOOKUP(R$2,'Depreciation Schedules'!$A$3:$A$42,'Depreciation Schedules'!$B$3:$B$42)</f>
        <v>0</v>
      </c>
      <c r="S483" s="215">
        <f>LOOKUP(S$2,'Depreciation Schedules'!$A$3:$A$42,'Depreciation Schedules'!$B$3:$B$42)</f>
        <v>0</v>
      </c>
      <c r="T483" s="215">
        <f>LOOKUP(T$2,'Depreciation Schedules'!$A$3:$A$42,'Depreciation Schedules'!$B$3:$B$42)</f>
        <v>0</v>
      </c>
      <c r="U483" s="215">
        <f>LOOKUP(U$2,'Depreciation Schedules'!$A$3:$A$42,'Depreciation Schedules'!$B$3:$B$42)</f>
        <v>0</v>
      </c>
      <c r="V483" s="215">
        <f>LOOKUP(V$2,'Depreciation Schedules'!$A$3:$A$42,'Depreciation Schedules'!$B$3:$B$42)</f>
        <v>0</v>
      </c>
      <c r="W483" s="215">
        <f>LOOKUP(W$2,'Depreciation Schedules'!$A$3:$A$42,'Depreciation Schedules'!$B$3:$B$42)</f>
        <v>0</v>
      </c>
      <c r="X483" s="215">
        <f>LOOKUP(X$2,'Depreciation Schedules'!$A$3:$A$42,'Depreciation Schedules'!$B$3:$B$42)</f>
        <v>0</v>
      </c>
      <c r="Y483" s="215">
        <f>LOOKUP(Y$2,'Depreciation Schedules'!$A$3:$A$42,'Depreciation Schedules'!$B$3:$B$42)</f>
        <v>0</v>
      </c>
      <c r="Z483" s="215">
        <f>LOOKUP(Z$2,'Depreciation Schedules'!$A$3:$A$42,'Depreciation Schedules'!$B$3:$B$42)</f>
        <v>0</v>
      </c>
      <c r="AA483" s="215">
        <f>LOOKUP(AA$2,'Depreciation Schedules'!$A$3:$A$42,'Depreciation Schedules'!$B$3:$B$42)</f>
        <v>0</v>
      </c>
      <c r="AB483" s="215">
        <f>LOOKUP(AB$2,'Depreciation Schedules'!$A$3:$A$42,'Depreciation Schedules'!$B$3:$B$42)</f>
        <v>0</v>
      </c>
      <c r="AC483" s="215">
        <f>LOOKUP(AC$2,'Depreciation Schedules'!$A$3:$A$42,'Depreciation Schedules'!$B$3:$B$42)</f>
        <v>0</v>
      </c>
      <c r="AD483" s="215">
        <f>LOOKUP(AD$2,'Depreciation Schedules'!$A$3:$A$42,'Depreciation Schedules'!$B$3:$B$42)</f>
        <v>0</v>
      </c>
      <c r="AE483" s="215">
        <f>LOOKUP(AE$2,'Depreciation Schedules'!$A$3:$A$42,'Depreciation Schedules'!$B$3:$B$42)</f>
        <v>0</v>
      </c>
      <c r="AF483" s="215">
        <f>LOOKUP(AF$2,'Depreciation Schedules'!$A$3:$A$42,'Depreciation Schedules'!$B$3:$B$42)</f>
        <v>0</v>
      </c>
      <c r="AG483" s="215">
        <f>LOOKUP(AG$2,'Depreciation Schedules'!$A$3:$A$42,'Depreciation Schedules'!$B$3:$B$42)</f>
        <v>0</v>
      </c>
      <c r="AH483" s="215">
        <f>LOOKUP(AH$2,'Depreciation Schedules'!$A$3:$A$42,'Depreciation Schedules'!$B$3:$B$42)</f>
        <v>0</v>
      </c>
      <c r="AI483" s="215">
        <f>LOOKUP(AI$2,'Depreciation Schedules'!$A$3:$A$42,'Depreciation Schedules'!$B$3:$B$42)</f>
        <v>0</v>
      </c>
      <c r="AJ483" s="215">
        <f>LOOKUP(AJ$2,'Depreciation Schedules'!$A$3:$A$42,'Depreciation Schedules'!$B$3:$B$42)</f>
        <v>0</v>
      </c>
      <c r="AK483" s="215">
        <f>LOOKUP(AK$2,'Depreciation Schedules'!$A$3:$A$42,'Depreciation Schedules'!$B$3:$B$42)</f>
        <v>0</v>
      </c>
      <c r="AL483" s="215">
        <f>LOOKUP(AL$2,'Depreciation Schedules'!$A$3:$A$42,'Depreciation Schedules'!$B$3:$B$42)</f>
        <v>0</v>
      </c>
      <c r="AM483" s="215">
        <f>LOOKUP(AM$2,'Depreciation Schedules'!$A$3:$A$42,'Depreciation Schedules'!$B$3:$B$42)</f>
        <v>0</v>
      </c>
      <c r="AN483" s="215">
        <f>LOOKUP(AN$2,'Depreciation Schedules'!$A$3:$A$42,'Depreciation Schedules'!$B$3:$B$42)</f>
        <v>0</v>
      </c>
      <c r="AO483" s="215">
        <f>LOOKUP(AO$2,'Depreciation Schedules'!$A$3:$A$42,'Depreciation Schedules'!$B$3:$B$42)</f>
        <v>0</v>
      </c>
      <c r="AP483" s="215">
        <f>LOOKUP(AP$2,'Depreciation Schedules'!$A$3:$A$42,'Depreciation Schedules'!$B$3:$B$42)</f>
        <v>0</v>
      </c>
    </row>
    <row r="484" spans="1:42">
      <c r="A484" s="205" t="str">
        <f t="shared" ref="A484:A488" si="273">A451</f>
        <v>15-yr MACRS</v>
      </c>
      <c r="B484" s="216">
        <f t="shared" ref="B484:B488" si="274">SUM(C484:AP484)</f>
        <v>1.0000000000000002</v>
      </c>
      <c r="C484" s="215">
        <f>LOOKUP(C$2,'Depreciation Schedules'!$A$3:$A$42,'Depreciation Schedules'!$C$3:$C$42)</f>
        <v>0.05</v>
      </c>
      <c r="D484" s="215">
        <f>LOOKUP(D$2,'Depreciation Schedules'!$A$3:$A$42,'Depreciation Schedules'!$C$3:$C$42)</f>
        <v>9.5000000000000001E-2</v>
      </c>
      <c r="E484" s="215">
        <f>LOOKUP(E$2,'Depreciation Schedules'!$A$3:$A$42,'Depreciation Schedules'!$C$3:$C$42)</f>
        <v>8.5500000000000007E-2</v>
      </c>
      <c r="F484" s="215">
        <f>LOOKUP(F$2,'Depreciation Schedules'!$A$3:$A$42,'Depreciation Schedules'!$C$3:$C$42)</f>
        <v>7.6999999999999999E-2</v>
      </c>
      <c r="G484" s="215">
        <f>LOOKUP(G$2,'Depreciation Schedules'!$A$3:$A$42,'Depreciation Schedules'!$C$3:$C$42)</f>
        <v>6.93E-2</v>
      </c>
      <c r="H484" s="215">
        <f>LOOKUP(H$2,'Depreciation Schedules'!$A$3:$A$42,'Depreciation Schedules'!$C$3:$C$42)</f>
        <v>6.2300000000000001E-2</v>
      </c>
      <c r="I484" s="215">
        <f>LOOKUP(I$2,'Depreciation Schedules'!$A$3:$A$42,'Depreciation Schedules'!$C$3:$C$42)</f>
        <v>5.8999999999999997E-2</v>
      </c>
      <c r="J484" s="215">
        <f>LOOKUP(J$2,'Depreciation Schedules'!$A$3:$A$42,'Depreciation Schedules'!$C$3:$C$42)</f>
        <v>5.8999999999999997E-2</v>
      </c>
      <c r="K484" s="215">
        <f>LOOKUP(K$2,'Depreciation Schedules'!$A$3:$A$42,'Depreciation Schedules'!$C$3:$C$42)</f>
        <v>5.91E-2</v>
      </c>
      <c r="L484" s="215">
        <f>LOOKUP(L$2,'Depreciation Schedules'!$A$3:$A$42,'Depreciation Schedules'!$C$3:$C$42)</f>
        <v>5.8999999999999997E-2</v>
      </c>
      <c r="M484" s="215">
        <f>LOOKUP(M$2,'Depreciation Schedules'!$A$3:$A$42,'Depreciation Schedules'!$C$3:$C$42)</f>
        <v>5.91E-2</v>
      </c>
      <c r="N484" s="215">
        <f>LOOKUP(N$2,'Depreciation Schedules'!$A$3:$A$42,'Depreciation Schedules'!$C$3:$C$42)</f>
        <v>5.8999999999999997E-2</v>
      </c>
      <c r="O484" s="215">
        <f>LOOKUP(O$2,'Depreciation Schedules'!$A$3:$A$42,'Depreciation Schedules'!$C$3:$C$42)</f>
        <v>5.91E-2</v>
      </c>
      <c r="P484" s="215">
        <f>LOOKUP(P$2,'Depreciation Schedules'!$A$3:$A$42,'Depreciation Schedules'!$C$3:$C$42)</f>
        <v>5.8999999999999997E-2</v>
      </c>
      <c r="Q484" s="215">
        <f>LOOKUP(Q$2,'Depreciation Schedules'!$A$3:$A$42,'Depreciation Schedules'!$C$3:$C$42)</f>
        <v>5.91E-2</v>
      </c>
      <c r="R484" s="215">
        <f>LOOKUP(R$2,'Depreciation Schedules'!$A$3:$A$42,'Depreciation Schedules'!$C$3:$C$42)</f>
        <v>2.9499999999999998E-2</v>
      </c>
      <c r="S484" s="215">
        <f>LOOKUP(S$2,'Depreciation Schedules'!$A$3:$A$42,'Depreciation Schedules'!$C$3:$C$42)</f>
        <v>0</v>
      </c>
      <c r="T484" s="215">
        <f>LOOKUP(T$2,'Depreciation Schedules'!$A$3:$A$42,'Depreciation Schedules'!$C$3:$C$42)</f>
        <v>0</v>
      </c>
      <c r="U484" s="215">
        <f>LOOKUP(U$2,'Depreciation Schedules'!$A$3:$A$42,'Depreciation Schedules'!$C$3:$C$42)</f>
        <v>0</v>
      </c>
      <c r="V484" s="215">
        <f>LOOKUP(V$2,'Depreciation Schedules'!$A$3:$A$42,'Depreciation Schedules'!$C$3:$C$42)</f>
        <v>0</v>
      </c>
      <c r="W484" s="215">
        <f>LOOKUP(W$2,'Depreciation Schedules'!$A$3:$A$42,'Depreciation Schedules'!$C$3:$C$42)</f>
        <v>0</v>
      </c>
      <c r="X484" s="215">
        <f>LOOKUP(X$2,'Depreciation Schedules'!$A$3:$A$42,'Depreciation Schedules'!$C$3:$C$42)</f>
        <v>0</v>
      </c>
      <c r="Y484" s="215">
        <f>LOOKUP(Y$2,'Depreciation Schedules'!$A$3:$A$42,'Depreciation Schedules'!$C$3:$C$42)</f>
        <v>0</v>
      </c>
      <c r="Z484" s="215">
        <f>LOOKUP(Z$2,'Depreciation Schedules'!$A$3:$A$42,'Depreciation Schedules'!$C$3:$C$42)</f>
        <v>0</v>
      </c>
      <c r="AA484" s="215">
        <f>LOOKUP(AA$2,'Depreciation Schedules'!$A$3:$A$42,'Depreciation Schedules'!$C$3:$C$42)</f>
        <v>0</v>
      </c>
      <c r="AB484" s="215">
        <f>LOOKUP(AB$2,'Depreciation Schedules'!$A$3:$A$42,'Depreciation Schedules'!$C$3:$C$42)</f>
        <v>0</v>
      </c>
      <c r="AC484" s="215">
        <f>LOOKUP(AC$2,'Depreciation Schedules'!$A$3:$A$42,'Depreciation Schedules'!$C$3:$C$42)</f>
        <v>0</v>
      </c>
      <c r="AD484" s="215">
        <f>LOOKUP(AD$2,'Depreciation Schedules'!$A$3:$A$42,'Depreciation Schedules'!$C$3:$C$42)</f>
        <v>0</v>
      </c>
      <c r="AE484" s="215">
        <f>LOOKUP(AE$2,'Depreciation Schedules'!$A$3:$A$42,'Depreciation Schedules'!$C$3:$C$42)</f>
        <v>0</v>
      </c>
      <c r="AF484" s="215">
        <f>LOOKUP(AF$2,'Depreciation Schedules'!$A$3:$A$42,'Depreciation Schedules'!$C$3:$C$42)</f>
        <v>0</v>
      </c>
      <c r="AG484" s="215">
        <f>LOOKUP(AG$2,'Depreciation Schedules'!$A$3:$A$42,'Depreciation Schedules'!$C$3:$C$42)</f>
        <v>0</v>
      </c>
      <c r="AH484" s="215">
        <f>LOOKUP(AH$2,'Depreciation Schedules'!$A$3:$A$42,'Depreciation Schedules'!$C$3:$C$42)</f>
        <v>0</v>
      </c>
      <c r="AI484" s="215">
        <f>LOOKUP(AI$2,'Depreciation Schedules'!$A$3:$A$42,'Depreciation Schedules'!$C$3:$C$42)</f>
        <v>0</v>
      </c>
      <c r="AJ484" s="215">
        <f>LOOKUP(AJ$2,'Depreciation Schedules'!$A$3:$A$42,'Depreciation Schedules'!$C$3:$C$42)</f>
        <v>0</v>
      </c>
      <c r="AK484" s="215">
        <f>LOOKUP(AK$2,'Depreciation Schedules'!$A$3:$A$42,'Depreciation Schedules'!$C$3:$C$42)</f>
        <v>0</v>
      </c>
      <c r="AL484" s="215">
        <f>LOOKUP(AL$2,'Depreciation Schedules'!$A$3:$A$42,'Depreciation Schedules'!$C$3:$C$42)</f>
        <v>0</v>
      </c>
      <c r="AM484" s="215">
        <f>LOOKUP(AM$2,'Depreciation Schedules'!$A$3:$A$42,'Depreciation Schedules'!$C$3:$C$42)</f>
        <v>0</v>
      </c>
      <c r="AN484" s="215">
        <f>LOOKUP(AN$2,'Depreciation Schedules'!$A$3:$A$42,'Depreciation Schedules'!$C$3:$C$42)</f>
        <v>0</v>
      </c>
      <c r="AO484" s="215">
        <f>LOOKUP(AO$2,'Depreciation Schedules'!$A$3:$A$42,'Depreciation Schedules'!$C$3:$C$42)</f>
        <v>0</v>
      </c>
      <c r="AP484" s="215">
        <f>LOOKUP(AP$2,'Depreciation Schedules'!$A$3:$A$42,'Depreciation Schedules'!$C$3:$C$42)</f>
        <v>0</v>
      </c>
    </row>
    <row r="485" spans="1:42">
      <c r="A485" s="205" t="str">
        <f t="shared" si="273"/>
        <v>5-yr SL</v>
      </c>
      <c r="B485" s="216">
        <f t="shared" si="274"/>
        <v>0.99999999999999989</v>
      </c>
      <c r="C485" s="215">
        <f>LOOKUP(C$2,'Depreciation Schedules'!$A$3:$A$42,'Depreciation Schedules'!$D$3:$D$42)</f>
        <v>0.1</v>
      </c>
      <c r="D485" s="215">
        <f>LOOKUP(D$2,'Depreciation Schedules'!$A$3:$A$42,'Depreciation Schedules'!$D$3:$D$42)</f>
        <v>0.2</v>
      </c>
      <c r="E485" s="215">
        <f>LOOKUP(E$2,'Depreciation Schedules'!$A$3:$A$42,'Depreciation Schedules'!$D$3:$D$42)</f>
        <v>0.2</v>
      </c>
      <c r="F485" s="215">
        <f>LOOKUP(F$2,'Depreciation Schedules'!$A$3:$A$42,'Depreciation Schedules'!$D$3:$D$42)</f>
        <v>0.2</v>
      </c>
      <c r="G485" s="215">
        <f>LOOKUP(G$2,'Depreciation Schedules'!$A$3:$A$42,'Depreciation Schedules'!$D$3:$D$42)</f>
        <v>0.2</v>
      </c>
      <c r="H485" s="215">
        <f>LOOKUP(H$2,'Depreciation Schedules'!$A$3:$A$42,'Depreciation Schedules'!$D$3:$D$42)</f>
        <v>0.1</v>
      </c>
      <c r="I485" s="215">
        <f>LOOKUP(I$2,'Depreciation Schedules'!$A$3:$A$42,'Depreciation Schedules'!$D$3:$D$42)</f>
        <v>0</v>
      </c>
      <c r="J485" s="215">
        <f>LOOKUP(J$2,'Depreciation Schedules'!$A$3:$A$42,'Depreciation Schedules'!$D$3:$D$42)</f>
        <v>0</v>
      </c>
      <c r="K485" s="215">
        <f>LOOKUP(K$2,'Depreciation Schedules'!$A$3:$A$42,'Depreciation Schedules'!$D$3:$D$42)</f>
        <v>0</v>
      </c>
      <c r="L485" s="215">
        <f>LOOKUP(L$2,'Depreciation Schedules'!$A$3:$A$42,'Depreciation Schedules'!$D$3:$D$42)</f>
        <v>0</v>
      </c>
      <c r="M485" s="215">
        <f>LOOKUP(M$2,'Depreciation Schedules'!$A$3:$A$42,'Depreciation Schedules'!$D$3:$D$42)</f>
        <v>0</v>
      </c>
      <c r="N485" s="215">
        <f>LOOKUP(N$2,'Depreciation Schedules'!$A$3:$A$42,'Depreciation Schedules'!$D$3:$D$42)</f>
        <v>0</v>
      </c>
      <c r="O485" s="215">
        <f>LOOKUP(O$2,'Depreciation Schedules'!$A$3:$A$42,'Depreciation Schedules'!$D$3:$D$42)</f>
        <v>0</v>
      </c>
      <c r="P485" s="215">
        <f>LOOKUP(P$2,'Depreciation Schedules'!$A$3:$A$42,'Depreciation Schedules'!$D$3:$D$42)</f>
        <v>0</v>
      </c>
      <c r="Q485" s="215">
        <f>LOOKUP(Q$2,'Depreciation Schedules'!$A$3:$A$42,'Depreciation Schedules'!$D$3:$D$42)</f>
        <v>0</v>
      </c>
      <c r="R485" s="215">
        <f>LOOKUP(R$2,'Depreciation Schedules'!$A$3:$A$42,'Depreciation Schedules'!$D$3:$D$42)</f>
        <v>0</v>
      </c>
      <c r="S485" s="215">
        <f>LOOKUP(S$2,'Depreciation Schedules'!$A$3:$A$42,'Depreciation Schedules'!$D$3:$D$42)</f>
        <v>0</v>
      </c>
      <c r="T485" s="215">
        <f>LOOKUP(T$2,'Depreciation Schedules'!$A$3:$A$42,'Depreciation Schedules'!$D$3:$D$42)</f>
        <v>0</v>
      </c>
      <c r="U485" s="215">
        <f>LOOKUP(U$2,'Depreciation Schedules'!$A$3:$A$42,'Depreciation Schedules'!$D$3:$D$42)</f>
        <v>0</v>
      </c>
      <c r="V485" s="215">
        <f>LOOKUP(V$2,'Depreciation Schedules'!$A$3:$A$42,'Depreciation Schedules'!$D$3:$D$42)</f>
        <v>0</v>
      </c>
      <c r="W485" s="215">
        <f>LOOKUP(W$2,'Depreciation Schedules'!$A$3:$A$42,'Depreciation Schedules'!$D$3:$D$42)</f>
        <v>0</v>
      </c>
      <c r="X485" s="215">
        <f>LOOKUP(X$2,'Depreciation Schedules'!$A$3:$A$42,'Depreciation Schedules'!$D$3:$D$42)</f>
        <v>0</v>
      </c>
      <c r="Y485" s="215">
        <f>LOOKUP(Y$2,'Depreciation Schedules'!$A$3:$A$42,'Depreciation Schedules'!$D$3:$D$42)</f>
        <v>0</v>
      </c>
      <c r="Z485" s="215">
        <f>LOOKUP(Z$2,'Depreciation Schedules'!$A$3:$A$42,'Depreciation Schedules'!$D$3:$D$42)</f>
        <v>0</v>
      </c>
      <c r="AA485" s="215">
        <f>LOOKUP(AA$2,'Depreciation Schedules'!$A$3:$A$42,'Depreciation Schedules'!$D$3:$D$42)</f>
        <v>0</v>
      </c>
      <c r="AB485" s="215">
        <f>LOOKUP(AB$2,'Depreciation Schedules'!$A$3:$A$42,'Depreciation Schedules'!$D$3:$D$42)</f>
        <v>0</v>
      </c>
      <c r="AC485" s="215">
        <f>LOOKUP(AC$2,'Depreciation Schedules'!$A$3:$A$42,'Depreciation Schedules'!$D$3:$D$42)</f>
        <v>0</v>
      </c>
      <c r="AD485" s="215">
        <f>LOOKUP(AD$2,'Depreciation Schedules'!$A$3:$A$42,'Depreciation Schedules'!$D$3:$D$42)</f>
        <v>0</v>
      </c>
      <c r="AE485" s="215">
        <f>LOOKUP(AE$2,'Depreciation Schedules'!$A$3:$A$42,'Depreciation Schedules'!$D$3:$D$42)</f>
        <v>0</v>
      </c>
      <c r="AF485" s="215">
        <f>LOOKUP(AF$2,'Depreciation Schedules'!$A$3:$A$42,'Depreciation Schedules'!$D$3:$D$42)</f>
        <v>0</v>
      </c>
      <c r="AG485" s="215">
        <f>LOOKUP(AG$2,'Depreciation Schedules'!$A$3:$A$42,'Depreciation Schedules'!$D$3:$D$42)</f>
        <v>0</v>
      </c>
      <c r="AH485" s="215">
        <f>LOOKUP(AH$2,'Depreciation Schedules'!$A$3:$A$42,'Depreciation Schedules'!$D$3:$D$42)</f>
        <v>0</v>
      </c>
      <c r="AI485" s="215">
        <f>LOOKUP(AI$2,'Depreciation Schedules'!$A$3:$A$42,'Depreciation Schedules'!$D$3:$D$42)</f>
        <v>0</v>
      </c>
      <c r="AJ485" s="215">
        <f>LOOKUP(AJ$2,'Depreciation Schedules'!$A$3:$A$42,'Depreciation Schedules'!$D$3:$D$42)</f>
        <v>0</v>
      </c>
      <c r="AK485" s="215">
        <f>LOOKUP(AK$2,'Depreciation Schedules'!$A$3:$A$42,'Depreciation Schedules'!$D$3:$D$42)</f>
        <v>0</v>
      </c>
      <c r="AL485" s="215">
        <f>LOOKUP(AL$2,'Depreciation Schedules'!$A$3:$A$42,'Depreciation Schedules'!$D$3:$D$42)</f>
        <v>0</v>
      </c>
      <c r="AM485" s="215">
        <f>LOOKUP(AM$2,'Depreciation Schedules'!$A$3:$A$42,'Depreciation Schedules'!$D$3:$D$42)</f>
        <v>0</v>
      </c>
      <c r="AN485" s="215">
        <f>LOOKUP(AN$2,'Depreciation Schedules'!$A$3:$A$42,'Depreciation Schedules'!$D$3:$D$42)</f>
        <v>0</v>
      </c>
      <c r="AO485" s="215">
        <f>LOOKUP(AO$2,'Depreciation Schedules'!$A$3:$A$42,'Depreciation Schedules'!$D$3:$D$42)</f>
        <v>0</v>
      </c>
      <c r="AP485" s="215">
        <f>LOOKUP(AP$2,'Depreciation Schedules'!$A$3:$A$42,'Depreciation Schedules'!$D$3:$D$42)</f>
        <v>0</v>
      </c>
    </row>
    <row r="486" spans="1:42">
      <c r="A486" s="205" t="str">
        <f t="shared" si="273"/>
        <v>15-yr SL</v>
      </c>
      <c r="B486" s="216">
        <f t="shared" si="274"/>
        <v>0.99999999999999989</v>
      </c>
      <c r="C486" s="215">
        <f>LOOKUP(C$2,'Depreciation Schedules'!$A$3:$A$42,'Depreciation Schedules'!$E$3:$E$42)</f>
        <v>3.3300000000000003E-2</v>
      </c>
      <c r="D486" s="215">
        <f>LOOKUP(D$2,'Depreciation Schedules'!$A$3:$A$42,'Depreciation Schedules'!$E$3:$E$42)</f>
        <v>6.6699999999999995E-2</v>
      </c>
      <c r="E486" s="215">
        <f>LOOKUP(E$2,'Depreciation Schedules'!$A$3:$A$42,'Depreciation Schedules'!$E$3:$E$42)</f>
        <v>6.6699999999999995E-2</v>
      </c>
      <c r="F486" s="215">
        <f>LOOKUP(F$2,'Depreciation Schedules'!$A$3:$A$42,'Depreciation Schedules'!$E$3:$E$42)</f>
        <v>6.6699999999999995E-2</v>
      </c>
      <c r="G486" s="215">
        <f>LOOKUP(G$2,'Depreciation Schedules'!$A$3:$A$42,'Depreciation Schedules'!$E$3:$E$42)</f>
        <v>6.6699999999999995E-2</v>
      </c>
      <c r="H486" s="215">
        <f>LOOKUP(H$2,'Depreciation Schedules'!$A$3:$A$42,'Depreciation Schedules'!$E$3:$E$42)</f>
        <v>6.6699999999999995E-2</v>
      </c>
      <c r="I486" s="215">
        <f>LOOKUP(I$2,'Depreciation Schedules'!$A$3:$A$42,'Depreciation Schedules'!$E$3:$E$42)</f>
        <v>6.6699999999999995E-2</v>
      </c>
      <c r="J486" s="215">
        <f>LOOKUP(J$2,'Depreciation Schedules'!$A$3:$A$42,'Depreciation Schedules'!$E$3:$E$42)</f>
        <v>6.6600000000000006E-2</v>
      </c>
      <c r="K486" s="215">
        <f>LOOKUP(K$2,'Depreciation Schedules'!$A$3:$A$42,'Depreciation Schedules'!$E$3:$E$42)</f>
        <v>6.6699999999999995E-2</v>
      </c>
      <c r="L486" s="215">
        <f>LOOKUP(L$2,'Depreciation Schedules'!$A$3:$A$42,'Depreciation Schedules'!$E$3:$E$42)</f>
        <v>6.6600000000000006E-2</v>
      </c>
      <c r="M486" s="215">
        <f>LOOKUP(M$2,'Depreciation Schedules'!$A$3:$A$42,'Depreciation Schedules'!$E$3:$E$42)</f>
        <v>6.6699999999999995E-2</v>
      </c>
      <c r="N486" s="215">
        <f>LOOKUP(N$2,'Depreciation Schedules'!$A$3:$A$42,'Depreciation Schedules'!$E$3:$E$42)</f>
        <v>6.6600000000000006E-2</v>
      </c>
      <c r="O486" s="215">
        <f>LOOKUP(O$2,'Depreciation Schedules'!$A$3:$A$42,'Depreciation Schedules'!$E$3:$E$42)</f>
        <v>6.6699999999999995E-2</v>
      </c>
      <c r="P486" s="215">
        <f>LOOKUP(P$2,'Depreciation Schedules'!$A$3:$A$42,'Depreciation Schedules'!$E$3:$E$42)</f>
        <v>6.6600000000000006E-2</v>
      </c>
      <c r="Q486" s="215">
        <f>LOOKUP(Q$2,'Depreciation Schedules'!$A$3:$A$42,'Depreciation Schedules'!$E$3:$E$42)</f>
        <v>6.6699999999999995E-2</v>
      </c>
      <c r="R486" s="215">
        <f>LOOKUP(R$2,'Depreciation Schedules'!$A$3:$A$42,'Depreciation Schedules'!$E$3:$E$42)</f>
        <v>3.3300000000000003E-2</v>
      </c>
      <c r="S486" s="215">
        <f>LOOKUP(S$2,'Depreciation Schedules'!$A$3:$A$42,'Depreciation Schedules'!$E$3:$E$42)</f>
        <v>0</v>
      </c>
      <c r="T486" s="215">
        <f>LOOKUP(T$2,'Depreciation Schedules'!$A$3:$A$42,'Depreciation Schedules'!$E$3:$E$42)</f>
        <v>0</v>
      </c>
      <c r="U486" s="215">
        <f>LOOKUP(U$2,'Depreciation Schedules'!$A$3:$A$42,'Depreciation Schedules'!$E$3:$E$42)</f>
        <v>0</v>
      </c>
      <c r="V486" s="215">
        <f>LOOKUP(V$2,'Depreciation Schedules'!$A$3:$A$42,'Depreciation Schedules'!$E$3:$E$42)</f>
        <v>0</v>
      </c>
      <c r="W486" s="215">
        <f>LOOKUP(W$2,'Depreciation Schedules'!$A$3:$A$42,'Depreciation Schedules'!$E$3:$E$42)</f>
        <v>0</v>
      </c>
      <c r="X486" s="215">
        <f>LOOKUP(X$2,'Depreciation Schedules'!$A$3:$A$42,'Depreciation Schedules'!$E$3:$E$42)</f>
        <v>0</v>
      </c>
      <c r="Y486" s="215">
        <f>LOOKUP(Y$2,'Depreciation Schedules'!$A$3:$A$42,'Depreciation Schedules'!$E$3:$E$42)</f>
        <v>0</v>
      </c>
      <c r="Z486" s="215">
        <f>LOOKUP(Z$2,'Depreciation Schedules'!$A$3:$A$42,'Depreciation Schedules'!$E$3:$E$42)</f>
        <v>0</v>
      </c>
      <c r="AA486" s="215">
        <f>LOOKUP(AA$2,'Depreciation Schedules'!$A$3:$A$42,'Depreciation Schedules'!$E$3:$E$42)</f>
        <v>0</v>
      </c>
      <c r="AB486" s="215">
        <f>LOOKUP(AB$2,'Depreciation Schedules'!$A$3:$A$42,'Depreciation Schedules'!$E$3:$E$42)</f>
        <v>0</v>
      </c>
      <c r="AC486" s="215">
        <f>LOOKUP(AC$2,'Depreciation Schedules'!$A$3:$A$42,'Depreciation Schedules'!$E$3:$E$42)</f>
        <v>0</v>
      </c>
      <c r="AD486" s="215">
        <f>LOOKUP(AD$2,'Depreciation Schedules'!$A$3:$A$42,'Depreciation Schedules'!$E$3:$E$42)</f>
        <v>0</v>
      </c>
      <c r="AE486" s="215">
        <f>LOOKUP(AE$2,'Depreciation Schedules'!$A$3:$A$42,'Depreciation Schedules'!$E$3:$E$42)</f>
        <v>0</v>
      </c>
      <c r="AF486" s="215">
        <f>LOOKUP(AF$2,'Depreciation Schedules'!$A$3:$A$42,'Depreciation Schedules'!$E$3:$E$42)</f>
        <v>0</v>
      </c>
      <c r="AG486" s="215">
        <f>LOOKUP(AG$2,'Depreciation Schedules'!$A$3:$A$42,'Depreciation Schedules'!$E$3:$E$42)</f>
        <v>0</v>
      </c>
      <c r="AH486" s="215">
        <f>LOOKUP(AH$2,'Depreciation Schedules'!$A$3:$A$42,'Depreciation Schedules'!$E$3:$E$42)</f>
        <v>0</v>
      </c>
      <c r="AI486" s="215">
        <f>LOOKUP(AI$2,'Depreciation Schedules'!$A$3:$A$42,'Depreciation Schedules'!$E$3:$E$42)</f>
        <v>0</v>
      </c>
      <c r="AJ486" s="215">
        <f>LOOKUP(AJ$2,'Depreciation Schedules'!$A$3:$A$42,'Depreciation Schedules'!$E$3:$E$42)</f>
        <v>0</v>
      </c>
      <c r="AK486" s="215">
        <f>LOOKUP(AK$2,'Depreciation Schedules'!$A$3:$A$42,'Depreciation Schedules'!$E$3:$E$42)</f>
        <v>0</v>
      </c>
      <c r="AL486" s="215">
        <f>LOOKUP(AL$2,'Depreciation Schedules'!$A$3:$A$42,'Depreciation Schedules'!$E$3:$E$42)</f>
        <v>0</v>
      </c>
      <c r="AM486" s="215">
        <f>LOOKUP(AM$2,'Depreciation Schedules'!$A$3:$A$42,'Depreciation Schedules'!$E$3:$E$42)</f>
        <v>0</v>
      </c>
      <c r="AN486" s="215">
        <f>LOOKUP(AN$2,'Depreciation Schedules'!$A$3:$A$42,'Depreciation Schedules'!$E$3:$E$42)</f>
        <v>0</v>
      </c>
      <c r="AO486" s="215">
        <f>LOOKUP(AO$2,'Depreciation Schedules'!$A$3:$A$42,'Depreciation Schedules'!$E$3:$E$42)</f>
        <v>0</v>
      </c>
      <c r="AP486" s="215">
        <f>LOOKUP(AP$2,'Depreciation Schedules'!$A$3:$A$42,'Depreciation Schedules'!$E$3:$E$42)</f>
        <v>0</v>
      </c>
    </row>
    <row r="487" spans="1:42">
      <c r="A487" s="205" t="str">
        <f t="shared" si="273"/>
        <v>20-yr SL</v>
      </c>
      <c r="B487" s="216">
        <f t="shared" si="274"/>
        <v>1.0000000000000002</v>
      </c>
      <c r="C487" s="215">
        <f>LOOKUP(C$2,'Depreciation Schedules'!$A$3:$A$42,'Depreciation Schedules'!$F$3:$F$42)</f>
        <v>2.5000000000000001E-2</v>
      </c>
      <c r="D487" s="215">
        <f>LOOKUP(D$2,'Depreciation Schedules'!$A$3:$A$42,'Depreciation Schedules'!$F$3:$F$42)</f>
        <v>0.05</v>
      </c>
      <c r="E487" s="215">
        <f>LOOKUP(E$2,'Depreciation Schedules'!$A$3:$A$42,'Depreciation Schedules'!$F$3:$F$42)</f>
        <v>0.05</v>
      </c>
      <c r="F487" s="215">
        <f>LOOKUP(F$2,'Depreciation Schedules'!$A$3:$A$42,'Depreciation Schedules'!$F$3:$F$42)</f>
        <v>0.05</v>
      </c>
      <c r="G487" s="215">
        <f>LOOKUP(G$2,'Depreciation Schedules'!$A$3:$A$42,'Depreciation Schedules'!$F$3:$F$42)</f>
        <v>0.05</v>
      </c>
      <c r="H487" s="215">
        <f>LOOKUP(H$2,'Depreciation Schedules'!$A$3:$A$42,'Depreciation Schedules'!$F$3:$F$42)</f>
        <v>0.05</v>
      </c>
      <c r="I487" s="215">
        <f>LOOKUP(I$2,'Depreciation Schedules'!$A$3:$A$42,'Depreciation Schedules'!$F$3:$F$42)</f>
        <v>0.05</v>
      </c>
      <c r="J487" s="215">
        <f>LOOKUP(J$2,'Depreciation Schedules'!$A$3:$A$42,'Depreciation Schedules'!$F$3:$F$42)</f>
        <v>0.05</v>
      </c>
      <c r="K487" s="215">
        <f>LOOKUP(K$2,'Depreciation Schedules'!$A$3:$A$42,'Depreciation Schedules'!$F$3:$F$42)</f>
        <v>0.05</v>
      </c>
      <c r="L487" s="215">
        <f>LOOKUP(L$2,'Depreciation Schedules'!$A$3:$A$42,'Depreciation Schedules'!$F$3:$F$42)</f>
        <v>0.05</v>
      </c>
      <c r="M487" s="215">
        <f>LOOKUP(M$2,'Depreciation Schedules'!$A$3:$A$42,'Depreciation Schedules'!$F$3:$F$42)</f>
        <v>0.05</v>
      </c>
      <c r="N487" s="215">
        <f>LOOKUP(N$2,'Depreciation Schedules'!$A$3:$A$42,'Depreciation Schedules'!$F$3:$F$42)</f>
        <v>0.05</v>
      </c>
      <c r="O487" s="215">
        <f>LOOKUP(O$2,'Depreciation Schedules'!$A$3:$A$42,'Depreciation Schedules'!$F$3:$F$42)</f>
        <v>0.05</v>
      </c>
      <c r="P487" s="215">
        <f>LOOKUP(P$2,'Depreciation Schedules'!$A$3:$A$42,'Depreciation Schedules'!$F$3:$F$42)</f>
        <v>0.05</v>
      </c>
      <c r="Q487" s="215">
        <f>LOOKUP(Q$2,'Depreciation Schedules'!$A$3:$A$42,'Depreciation Schedules'!$F$3:$F$42)</f>
        <v>0.05</v>
      </c>
      <c r="R487" s="215">
        <f>LOOKUP(R$2,'Depreciation Schedules'!$A$3:$A$42,'Depreciation Schedules'!$F$3:$F$42)</f>
        <v>0.05</v>
      </c>
      <c r="S487" s="215">
        <f>LOOKUP(S$2,'Depreciation Schedules'!$A$3:$A$42,'Depreciation Schedules'!$F$3:$F$42)</f>
        <v>0.05</v>
      </c>
      <c r="T487" s="215">
        <f>LOOKUP(T$2,'Depreciation Schedules'!$A$3:$A$42,'Depreciation Schedules'!$F$3:$F$42)</f>
        <v>0.05</v>
      </c>
      <c r="U487" s="215">
        <f>LOOKUP(U$2,'Depreciation Schedules'!$A$3:$A$42,'Depreciation Schedules'!$F$3:$F$42)</f>
        <v>0.05</v>
      </c>
      <c r="V487" s="215">
        <f>LOOKUP(V$2,'Depreciation Schedules'!$A$3:$A$42,'Depreciation Schedules'!$F$3:$F$42)</f>
        <v>0.05</v>
      </c>
      <c r="W487" s="215">
        <f>LOOKUP(W$2,'Depreciation Schedules'!$A$3:$A$42,'Depreciation Schedules'!$F$3:$F$42)</f>
        <v>2.5000000000000001E-2</v>
      </c>
      <c r="X487" s="215">
        <f>LOOKUP(X$2,'Depreciation Schedules'!$A$3:$A$42,'Depreciation Schedules'!$F$3:$F$42)</f>
        <v>0</v>
      </c>
      <c r="Y487" s="215">
        <f>LOOKUP(Y$2,'Depreciation Schedules'!$A$3:$A$42,'Depreciation Schedules'!$F$3:$F$42)</f>
        <v>0</v>
      </c>
      <c r="Z487" s="215">
        <f>LOOKUP(Z$2,'Depreciation Schedules'!$A$3:$A$42,'Depreciation Schedules'!$F$3:$F$42)</f>
        <v>0</v>
      </c>
      <c r="AA487" s="215">
        <f>LOOKUP(AA$2,'Depreciation Schedules'!$A$3:$A$42,'Depreciation Schedules'!$F$3:$F$42)</f>
        <v>0</v>
      </c>
      <c r="AB487" s="215">
        <f>LOOKUP(AB$2,'Depreciation Schedules'!$A$3:$A$42,'Depreciation Schedules'!$F$3:$F$42)</f>
        <v>0</v>
      </c>
      <c r="AC487" s="215">
        <f>LOOKUP(AC$2,'Depreciation Schedules'!$A$3:$A$42,'Depreciation Schedules'!$F$3:$F$42)</f>
        <v>0</v>
      </c>
      <c r="AD487" s="215">
        <f>LOOKUP(AD$2,'Depreciation Schedules'!$A$3:$A$42,'Depreciation Schedules'!$F$3:$F$42)</f>
        <v>0</v>
      </c>
      <c r="AE487" s="215">
        <f>LOOKUP(AE$2,'Depreciation Schedules'!$A$3:$A$42,'Depreciation Schedules'!$F$3:$F$42)</f>
        <v>0</v>
      </c>
      <c r="AF487" s="215">
        <f>LOOKUP(AF$2,'Depreciation Schedules'!$A$3:$A$42,'Depreciation Schedules'!$F$3:$F$42)</f>
        <v>0</v>
      </c>
      <c r="AG487" s="215">
        <f>LOOKUP(AG$2,'Depreciation Schedules'!$A$3:$A$42,'Depreciation Schedules'!$F$3:$F$42)</f>
        <v>0</v>
      </c>
      <c r="AH487" s="215">
        <f>LOOKUP(AH$2,'Depreciation Schedules'!$A$3:$A$42,'Depreciation Schedules'!$F$3:$F$42)</f>
        <v>0</v>
      </c>
      <c r="AI487" s="215">
        <f>LOOKUP(AI$2,'Depreciation Schedules'!$A$3:$A$42,'Depreciation Schedules'!$F$3:$F$42)</f>
        <v>0</v>
      </c>
      <c r="AJ487" s="215">
        <f>LOOKUP(AJ$2,'Depreciation Schedules'!$A$3:$A$42,'Depreciation Schedules'!$F$3:$F$42)</f>
        <v>0</v>
      </c>
      <c r="AK487" s="215">
        <f>LOOKUP(AK$2,'Depreciation Schedules'!$A$3:$A$42,'Depreciation Schedules'!$F$3:$F$42)</f>
        <v>0</v>
      </c>
      <c r="AL487" s="215">
        <f>LOOKUP(AL$2,'Depreciation Schedules'!$A$3:$A$42,'Depreciation Schedules'!$F$3:$F$42)</f>
        <v>0</v>
      </c>
      <c r="AM487" s="215">
        <f>LOOKUP(AM$2,'Depreciation Schedules'!$A$3:$A$42,'Depreciation Schedules'!$F$3:$F$42)</f>
        <v>0</v>
      </c>
      <c r="AN487" s="215">
        <f>LOOKUP(AN$2,'Depreciation Schedules'!$A$3:$A$42,'Depreciation Schedules'!$F$3:$F$42)</f>
        <v>0</v>
      </c>
      <c r="AO487" s="215">
        <f>LOOKUP(AO$2,'Depreciation Schedules'!$A$3:$A$42,'Depreciation Schedules'!$F$3:$F$42)</f>
        <v>0</v>
      </c>
      <c r="AP487" s="215">
        <f>LOOKUP(AP$2,'Depreciation Schedules'!$A$3:$A$42,'Depreciation Schedules'!$F$3:$F$42)</f>
        <v>0</v>
      </c>
    </row>
    <row r="488" spans="1:42">
      <c r="A488" s="205" t="str">
        <f t="shared" si="273"/>
        <v>39-yr SL</v>
      </c>
      <c r="B488" s="217">
        <f t="shared" si="274"/>
        <v>1.0000000000000004</v>
      </c>
      <c r="C488" s="215">
        <f>LOOKUP(C$2,'Depreciation Schedules'!$A$3:$A$42,'Depreciation Schedules'!$G$3:$G$42)</f>
        <v>1.2820512820512799E-2</v>
      </c>
      <c r="D488" s="215">
        <f>LOOKUP(D$2,'Depreciation Schedules'!$A$3:$A$42,'Depreciation Schedules'!$G$3:$G$42)</f>
        <v>2.564102564102564E-2</v>
      </c>
      <c r="E488" s="215">
        <f>LOOKUP(E$2,'Depreciation Schedules'!$A$3:$A$42,'Depreciation Schedules'!$G$3:$G$42)</f>
        <v>2.564102564102564E-2</v>
      </c>
      <c r="F488" s="215">
        <f>LOOKUP(F$2,'Depreciation Schedules'!$A$3:$A$42,'Depreciation Schedules'!$G$3:$G$42)</f>
        <v>2.564102564102564E-2</v>
      </c>
      <c r="G488" s="215">
        <f>LOOKUP(G$2,'Depreciation Schedules'!$A$3:$A$42,'Depreciation Schedules'!$G$3:$G$42)</f>
        <v>2.564102564102564E-2</v>
      </c>
      <c r="H488" s="215">
        <f>LOOKUP(H$2,'Depreciation Schedules'!$A$3:$A$42,'Depreciation Schedules'!$G$3:$G$42)</f>
        <v>2.564102564102564E-2</v>
      </c>
      <c r="I488" s="215">
        <f>LOOKUP(I$2,'Depreciation Schedules'!$A$3:$A$42,'Depreciation Schedules'!$G$3:$G$42)</f>
        <v>2.564102564102564E-2</v>
      </c>
      <c r="J488" s="215">
        <f>LOOKUP(J$2,'Depreciation Schedules'!$A$3:$A$42,'Depreciation Schedules'!$G$3:$G$42)</f>
        <v>2.564102564102564E-2</v>
      </c>
      <c r="K488" s="215">
        <f>LOOKUP(K$2,'Depreciation Schedules'!$A$3:$A$42,'Depreciation Schedules'!$G$3:$G$42)</f>
        <v>2.564102564102564E-2</v>
      </c>
      <c r="L488" s="215">
        <f>LOOKUP(L$2,'Depreciation Schedules'!$A$3:$A$42,'Depreciation Schedules'!$G$3:$G$42)</f>
        <v>2.564102564102564E-2</v>
      </c>
      <c r="M488" s="215">
        <f>LOOKUP(M$2,'Depreciation Schedules'!$A$3:$A$42,'Depreciation Schedules'!$G$3:$G$42)</f>
        <v>2.564102564102564E-2</v>
      </c>
      <c r="N488" s="215">
        <f>LOOKUP(N$2,'Depreciation Schedules'!$A$3:$A$42,'Depreciation Schedules'!$G$3:$G$42)</f>
        <v>2.564102564102564E-2</v>
      </c>
      <c r="O488" s="215">
        <f>LOOKUP(O$2,'Depreciation Schedules'!$A$3:$A$42,'Depreciation Schedules'!$G$3:$G$42)</f>
        <v>2.564102564102564E-2</v>
      </c>
      <c r="P488" s="215">
        <f>LOOKUP(P$2,'Depreciation Schedules'!$A$3:$A$42,'Depreciation Schedules'!$G$3:$G$42)</f>
        <v>2.564102564102564E-2</v>
      </c>
      <c r="Q488" s="215">
        <f>LOOKUP(Q$2,'Depreciation Schedules'!$A$3:$A$42,'Depreciation Schedules'!$G$3:$G$42)</f>
        <v>2.564102564102564E-2</v>
      </c>
      <c r="R488" s="215">
        <f>LOOKUP(R$2,'Depreciation Schedules'!$A$3:$A$42,'Depreciation Schedules'!$G$3:$G$42)</f>
        <v>2.564102564102564E-2</v>
      </c>
      <c r="S488" s="215">
        <f>LOOKUP(S$2,'Depreciation Schedules'!$A$3:$A$42,'Depreciation Schedules'!$G$3:$G$42)</f>
        <v>2.564102564102564E-2</v>
      </c>
      <c r="T488" s="215">
        <f>LOOKUP(T$2,'Depreciation Schedules'!$A$3:$A$42,'Depreciation Schedules'!$G$3:$G$42)</f>
        <v>2.564102564102564E-2</v>
      </c>
      <c r="U488" s="215">
        <f>LOOKUP(U$2,'Depreciation Schedules'!$A$3:$A$42,'Depreciation Schedules'!$G$3:$G$42)</f>
        <v>2.564102564102564E-2</v>
      </c>
      <c r="V488" s="215">
        <f>LOOKUP(V$2,'Depreciation Schedules'!$A$3:$A$42,'Depreciation Schedules'!$G$3:$G$42)</f>
        <v>2.564102564102564E-2</v>
      </c>
      <c r="W488" s="215">
        <f>LOOKUP(W$2,'Depreciation Schedules'!$A$3:$A$42,'Depreciation Schedules'!$G$3:$G$42)</f>
        <v>2.564102564102564E-2</v>
      </c>
      <c r="X488" s="215">
        <f>LOOKUP(X$2,'Depreciation Schedules'!$A$3:$A$42,'Depreciation Schedules'!$G$3:$G$42)</f>
        <v>2.564102564102564E-2</v>
      </c>
      <c r="Y488" s="215">
        <f>LOOKUP(Y$2,'Depreciation Schedules'!$A$3:$A$42,'Depreciation Schedules'!$G$3:$G$42)</f>
        <v>2.564102564102564E-2</v>
      </c>
      <c r="Z488" s="215">
        <f>LOOKUP(Z$2,'Depreciation Schedules'!$A$3:$A$42,'Depreciation Schedules'!$G$3:$G$42)</f>
        <v>2.564102564102564E-2</v>
      </c>
      <c r="AA488" s="215">
        <f>LOOKUP(AA$2,'Depreciation Schedules'!$A$3:$A$42,'Depreciation Schedules'!$G$3:$G$42)</f>
        <v>2.564102564102564E-2</v>
      </c>
      <c r="AB488" s="215">
        <f>LOOKUP(AB$2,'Depreciation Schedules'!$A$3:$A$42,'Depreciation Schedules'!$G$3:$G$42)</f>
        <v>2.564102564102564E-2</v>
      </c>
      <c r="AC488" s="215">
        <f>LOOKUP(AC$2,'Depreciation Schedules'!$A$3:$A$42,'Depreciation Schedules'!$G$3:$G$42)</f>
        <v>2.564102564102564E-2</v>
      </c>
      <c r="AD488" s="215">
        <f>LOOKUP(AD$2,'Depreciation Schedules'!$A$3:$A$42,'Depreciation Schedules'!$G$3:$G$42)</f>
        <v>2.564102564102564E-2</v>
      </c>
      <c r="AE488" s="215">
        <f>LOOKUP(AE$2,'Depreciation Schedules'!$A$3:$A$42,'Depreciation Schedules'!$G$3:$G$42)</f>
        <v>2.564102564102564E-2</v>
      </c>
      <c r="AF488" s="215">
        <f>LOOKUP(AF$2,'Depreciation Schedules'!$A$3:$A$42,'Depreciation Schedules'!$G$3:$G$42)</f>
        <v>2.564102564102564E-2</v>
      </c>
      <c r="AG488" s="215">
        <f>LOOKUP(AG$2,'Depreciation Schedules'!$A$3:$A$42,'Depreciation Schedules'!$G$3:$G$42)</f>
        <v>2.564102564102564E-2</v>
      </c>
      <c r="AH488" s="215">
        <f>LOOKUP(AH$2,'Depreciation Schedules'!$A$3:$A$42,'Depreciation Schedules'!$G$3:$G$42)</f>
        <v>2.564102564102564E-2</v>
      </c>
      <c r="AI488" s="215">
        <f>LOOKUP(AI$2,'Depreciation Schedules'!$A$3:$A$42,'Depreciation Schedules'!$G$3:$G$42)</f>
        <v>2.564102564102564E-2</v>
      </c>
      <c r="AJ488" s="215">
        <f>LOOKUP(AJ$2,'Depreciation Schedules'!$A$3:$A$42,'Depreciation Schedules'!$G$3:$G$42)</f>
        <v>2.564102564102564E-2</v>
      </c>
      <c r="AK488" s="215">
        <f>LOOKUP(AK$2,'Depreciation Schedules'!$A$3:$A$42,'Depreciation Schedules'!$G$3:$G$42)</f>
        <v>2.564102564102564E-2</v>
      </c>
      <c r="AL488" s="215">
        <f>LOOKUP(AL$2,'Depreciation Schedules'!$A$3:$A$42,'Depreciation Schedules'!$G$3:$G$42)</f>
        <v>2.564102564102564E-2</v>
      </c>
      <c r="AM488" s="215">
        <f>LOOKUP(AM$2,'Depreciation Schedules'!$A$3:$A$42,'Depreciation Schedules'!$G$3:$G$42)</f>
        <v>2.564102564102564E-2</v>
      </c>
      <c r="AN488" s="215">
        <f>LOOKUP(AN$2,'Depreciation Schedules'!$A$3:$A$42,'Depreciation Schedules'!$G$3:$G$42)</f>
        <v>2.564102564102564E-2</v>
      </c>
      <c r="AO488" s="215">
        <f>LOOKUP(AO$2,'Depreciation Schedules'!$A$3:$A$42,'Depreciation Schedules'!$G$3:$G$42)</f>
        <v>2.564102564102564E-2</v>
      </c>
      <c r="AP488" s="215">
        <f>LOOKUP(AP$2,'Depreciation Schedules'!$A$3:$A$42,'Depreciation Schedules'!$G$3:$G$42)</f>
        <v>1.2820512820512799E-2</v>
      </c>
    </row>
    <row r="489" spans="1:42">
      <c r="A489" s="257" t="s">
        <v>34</v>
      </c>
      <c r="C489" s="186"/>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c r="AM489" s="186"/>
      <c r="AN489" s="186"/>
      <c r="AO489" s="186"/>
      <c r="AP489" s="186"/>
    </row>
    <row r="490" spans="1:42">
      <c r="A490" s="205" t="str">
        <f>A483</f>
        <v>5-yr MACRS</v>
      </c>
      <c r="B490" s="218">
        <f>SUM(C490:AP490)</f>
        <v>36421518.667499997</v>
      </c>
      <c r="C490" s="186">
        <f t="shared" ref="C490:AP490" si="275">C483*$Q450</f>
        <v>7284303.7335000001</v>
      </c>
      <c r="D490" s="186">
        <f t="shared" si="275"/>
        <v>11654885.973599998</v>
      </c>
      <c r="E490" s="186">
        <f t="shared" si="275"/>
        <v>6992931.5841599992</v>
      </c>
      <c r="F490" s="186">
        <f t="shared" si="275"/>
        <v>4195758.9504959993</v>
      </c>
      <c r="G490" s="186">
        <f t="shared" si="275"/>
        <v>4195758.9504959993</v>
      </c>
      <c r="H490" s="186">
        <f t="shared" si="275"/>
        <v>2097879.4752479997</v>
      </c>
      <c r="I490" s="186">
        <f t="shared" si="275"/>
        <v>0</v>
      </c>
      <c r="J490" s="186">
        <f t="shared" si="275"/>
        <v>0</v>
      </c>
      <c r="K490" s="186">
        <f t="shared" si="275"/>
        <v>0</v>
      </c>
      <c r="L490" s="186">
        <f t="shared" si="275"/>
        <v>0</v>
      </c>
      <c r="M490" s="186">
        <f t="shared" si="275"/>
        <v>0</v>
      </c>
      <c r="N490" s="186">
        <f t="shared" si="275"/>
        <v>0</v>
      </c>
      <c r="O490" s="186">
        <f t="shared" si="275"/>
        <v>0</v>
      </c>
      <c r="P490" s="186">
        <f t="shared" si="275"/>
        <v>0</v>
      </c>
      <c r="Q490" s="186">
        <f t="shared" si="275"/>
        <v>0</v>
      </c>
      <c r="R490" s="186">
        <f t="shared" si="275"/>
        <v>0</v>
      </c>
      <c r="S490" s="186">
        <f t="shared" si="275"/>
        <v>0</v>
      </c>
      <c r="T490" s="186">
        <f t="shared" si="275"/>
        <v>0</v>
      </c>
      <c r="U490" s="186">
        <f t="shared" si="275"/>
        <v>0</v>
      </c>
      <c r="V490" s="186">
        <f t="shared" si="275"/>
        <v>0</v>
      </c>
      <c r="W490" s="186">
        <f t="shared" si="275"/>
        <v>0</v>
      </c>
      <c r="X490" s="186">
        <f t="shared" si="275"/>
        <v>0</v>
      </c>
      <c r="Y490" s="186">
        <f t="shared" si="275"/>
        <v>0</v>
      </c>
      <c r="Z490" s="186">
        <f t="shared" si="275"/>
        <v>0</v>
      </c>
      <c r="AA490" s="186">
        <f t="shared" si="275"/>
        <v>0</v>
      </c>
      <c r="AB490" s="186">
        <f t="shared" si="275"/>
        <v>0</v>
      </c>
      <c r="AC490" s="186">
        <f t="shared" si="275"/>
        <v>0</v>
      </c>
      <c r="AD490" s="186">
        <f t="shared" si="275"/>
        <v>0</v>
      </c>
      <c r="AE490" s="186">
        <f t="shared" si="275"/>
        <v>0</v>
      </c>
      <c r="AF490" s="186">
        <f t="shared" si="275"/>
        <v>0</v>
      </c>
      <c r="AG490" s="186">
        <f t="shared" si="275"/>
        <v>0</v>
      </c>
      <c r="AH490" s="186">
        <f t="shared" si="275"/>
        <v>0</v>
      </c>
      <c r="AI490" s="186">
        <f t="shared" si="275"/>
        <v>0</v>
      </c>
      <c r="AJ490" s="186">
        <f t="shared" si="275"/>
        <v>0</v>
      </c>
      <c r="AK490" s="186">
        <f t="shared" si="275"/>
        <v>0</v>
      </c>
      <c r="AL490" s="186">
        <f t="shared" si="275"/>
        <v>0</v>
      </c>
      <c r="AM490" s="186">
        <f t="shared" si="275"/>
        <v>0</v>
      </c>
      <c r="AN490" s="186">
        <f t="shared" si="275"/>
        <v>0</v>
      </c>
      <c r="AO490" s="186">
        <f t="shared" si="275"/>
        <v>0</v>
      </c>
      <c r="AP490" s="186">
        <f t="shared" si="275"/>
        <v>0</v>
      </c>
    </row>
    <row r="491" spans="1:42">
      <c r="A491" s="205" t="str">
        <f t="shared" ref="A491:A495" si="276">A484</f>
        <v>15-yr MACRS</v>
      </c>
      <c r="B491" s="153">
        <f t="shared" ref="B491:B497" si="277">SUM(C491:AP491)</f>
        <v>639100.32750000001</v>
      </c>
      <c r="C491" s="186">
        <f t="shared" ref="C491:AP491" si="278">C484*$Q451</f>
        <v>31955.016375000003</v>
      </c>
      <c r="D491" s="186">
        <f t="shared" si="278"/>
        <v>60714.531112500001</v>
      </c>
      <c r="E491" s="186">
        <f t="shared" si="278"/>
        <v>54643.078001250004</v>
      </c>
      <c r="F491" s="186">
        <f t="shared" si="278"/>
        <v>49210.725217500003</v>
      </c>
      <c r="G491" s="186">
        <f t="shared" si="278"/>
        <v>44289.652695750003</v>
      </c>
      <c r="H491" s="186">
        <f t="shared" si="278"/>
        <v>39815.950403250004</v>
      </c>
      <c r="I491" s="186">
        <f t="shared" si="278"/>
        <v>37706.919322499998</v>
      </c>
      <c r="J491" s="186">
        <f t="shared" si="278"/>
        <v>37706.919322499998</v>
      </c>
      <c r="K491" s="186">
        <f t="shared" si="278"/>
        <v>37770.829355250004</v>
      </c>
      <c r="L491" s="186">
        <f t="shared" si="278"/>
        <v>37706.919322499998</v>
      </c>
      <c r="M491" s="186">
        <f t="shared" si="278"/>
        <v>37770.829355250004</v>
      </c>
      <c r="N491" s="186">
        <f t="shared" si="278"/>
        <v>37706.919322499998</v>
      </c>
      <c r="O491" s="186">
        <f t="shared" si="278"/>
        <v>37770.829355250004</v>
      </c>
      <c r="P491" s="186">
        <f t="shared" si="278"/>
        <v>37706.919322499998</v>
      </c>
      <c r="Q491" s="186">
        <f t="shared" si="278"/>
        <v>37770.829355250004</v>
      </c>
      <c r="R491" s="186">
        <f t="shared" si="278"/>
        <v>18853.459661249999</v>
      </c>
      <c r="S491" s="186">
        <f t="shared" si="278"/>
        <v>0</v>
      </c>
      <c r="T491" s="186">
        <f t="shared" si="278"/>
        <v>0</v>
      </c>
      <c r="U491" s="186">
        <f t="shared" si="278"/>
        <v>0</v>
      </c>
      <c r="V491" s="186">
        <f t="shared" si="278"/>
        <v>0</v>
      </c>
      <c r="W491" s="186">
        <f t="shared" si="278"/>
        <v>0</v>
      </c>
      <c r="X491" s="186">
        <f t="shared" si="278"/>
        <v>0</v>
      </c>
      <c r="Y491" s="186">
        <f t="shared" si="278"/>
        <v>0</v>
      </c>
      <c r="Z491" s="186">
        <f t="shared" si="278"/>
        <v>0</v>
      </c>
      <c r="AA491" s="186">
        <f t="shared" si="278"/>
        <v>0</v>
      </c>
      <c r="AB491" s="186">
        <f t="shared" si="278"/>
        <v>0</v>
      </c>
      <c r="AC491" s="186">
        <f t="shared" si="278"/>
        <v>0</v>
      </c>
      <c r="AD491" s="186">
        <f t="shared" si="278"/>
        <v>0</v>
      </c>
      <c r="AE491" s="186">
        <f t="shared" si="278"/>
        <v>0</v>
      </c>
      <c r="AF491" s="186">
        <f t="shared" si="278"/>
        <v>0</v>
      </c>
      <c r="AG491" s="186">
        <f t="shared" si="278"/>
        <v>0</v>
      </c>
      <c r="AH491" s="186">
        <f t="shared" si="278"/>
        <v>0</v>
      </c>
      <c r="AI491" s="186">
        <f t="shared" si="278"/>
        <v>0</v>
      </c>
      <c r="AJ491" s="186">
        <f t="shared" si="278"/>
        <v>0</v>
      </c>
      <c r="AK491" s="186">
        <f t="shared" si="278"/>
        <v>0</v>
      </c>
      <c r="AL491" s="186">
        <f t="shared" si="278"/>
        <v>0</v>
      </c>
      <c r="AM491" s="186">
        <f t="shared" si="278"/>
        <v>0</v>
      </c>
      <c r="AN491" s="186">
        <f t="shared" si="278"/>
        <v>0</v>
      </c>
      <c r="AO491" s="186">
        <f t="shared" si="278"/>
        <v>0</v>
      </c>
      <c r="AP491" s="186">
        <f t="shared" si="278"/>
        <v>0</v>
      </c>
    </row>
    <row r="492" spans="1:42">
      <c r="A492" s="205" t="str">
        <f t="shared" si="276"/>
        <v>5-yr SL</v>
      </c>
      <c r="B492" s="153">
        <f t="shared" si="277"/>
        <v>0</v>
      </c>
      <c r="C492" s="186">
        <f t="shared" ref="C492:AP492" si="279">C485*$Q452</f>
        <v>0</v>
      </c>
      <c r="D492" s="186">
        <f t="shared" si="279"/>
        <v>0</v>
      </c>
      <c r="E492" s="186">
        <f t="shared" si="279"/>
        <v>0</v>
      </c>
      <c r="F492" s="186">
        <f t="shared" si="279"/>
        <v>0</v>
      </c>
      <c r="G492" s="186">
        <f t="shared" si="279"/>
        <v>0</v>
      </c>
      <c r="H492" s="186">
        <f t="shared" si="279"/>
        <v>0</v>
      </c>
      <c r="I492" s="186">
        <f t="shared" si="279"/>
        <v>0</v>
      </c>
      <c r="J492" s="186">
        <f t="shared" si="279"/>
        <v>0</v>
      </c>
      <c r="K492" s="186">
        <f t="shared" si="279"/>
        <v>0</v>
      </c>
      <c r="L492" s="186">
        <f t="shared" si="279"/>
        <v>0</v>
      </c>
      <c r="M492" s="186">
        <f t="shared" si="279"/>
        <v>0</v>
      </c>
      <c r="N492" s="186">
        <f t="shared" si="279"/>
        <v>0</v>
      </c>
      <c r="O492" s="186">
        <f t="shared" si="279"/>
        <v>0</v>
      </c>
      <c r="P492" s="186">
        <f t="shared" si="279"/>
        <v>0</v>
      </c>
      <c r="Q492" s="186">
        <f t="shared" si="279"/>
        <v>0</v>
      </c>
      <c r="R492" s="186">
        <f t="shared" si="279"/>
        <v>0</v>
      </c>
      <c r="S492" s="186">
        <f t="shared" si="279"/>
        <v>0</v>
      </c>
      <c r="T492" s="186">
        <f t="shared" si="279"/>
        <v>0</v>
      </c>
      <c r="U492" s="186">
        <f t="shared" si="279"/>
        <v>0</v>
      </c>
      <c r="V492" s="186">
        <f t="shared" si="279"/>
        <v>0</v>
      </c>
      <c r="W492" s="186">
        <f t="shared" si="279"/>
        <v>0</v>
      </c>
      <c r="X492" s="186">
        <f t="shared" si="279"/>
        <v>0</v>
      </c>
      <c r="Y492" s="186">
        <f t="shared" si="279"/>
        <v>0</v>
      </c>
      <c r="Z492" s="186">
        <f t="shared" si="279"/>
        <v>0</v>
      </c>
      <c r="AA492" s="186">
        <f t="shared" si="279"/>
        <v>0</v>
      </c>
      <c r="AB492" s="186">
        <f t="shared" si="279"/>
        <v>0</v>
      </c>
      <c r="AC492" s="186">
        <f t="shared" si="279"/>
        <v>0</v>
      </c>
      <c r="AD492" s="186">
        <f t="shared" si="279"/>
        <v>0</v>
      </c>
      <c r="AE492" s="186">
        <f t="shared" si="279"/>
        <v>0</v>
      </c>
      <c r="AF492" s="186">
        <f t="shared" si="279"/>
        <v>0</v>
      </c>
      <c r="AG492" s="186">
        <f t="shared" si="279"/>
        <v>0</v>
      </c>
      <c r="AH492" s="186">
        <f t="shared" si="279"/>
        <v>0</v>
      </c>
      <c r="AI492" s="186">
        <f t="shared" si="279"/>
        <v>0</v>
      </c>
      <c r="AJ492" s="186">
        <f t="shared" si="279"/>
        <v>0</v>
      </c>
      <c r="AK492" s="186">
        <f t="shared" si="279"/>
        <v>0</v>
      </c>
      <c r="AL492" s="186">
        <f t="shared" si="279"/>
        <v>0</v>
      </c>
      <c r="AM492" s="186">
        <f t="shared" si="279"/>
        <v>0</v>
      </c>
      <c r="AN492" s="186">
        <f t="shared" si="279"/>
        <v>0</v>
      </c>
      <c r="AO492" s="186">
        <f t="shared" si="279"/>
        <v>0</v>
      </c>
      <c r="AP492" s="186">
        <f t="shared" si="279"/>
        <v>0</v>
      </c>
    </row>
    <row r="493" spans="1:42">
      <c r="A493" s="205" t="str">
        <f t="shared" si="276"/>
        <v>15-yr SL</v>
      </c>
      <c r="B493" s="153">
        <f t="shared" si="277"/>
        <v>639100.32750000001</v>
      </c>
      <c r="C493" s="186">
        <f t="shared" ref="C493:AP493" si="280">C486*$Q453</f>
        <v>21282.040905750004</v>
      </c>
      <c r="D493" s="186">
        <f t="shared" si="280"/>
        <v>42627.991844249998</v>
      </c>
      <c r="E493" s="186">
        <f t="shared" si="280"/>
        <v>42627.991844249998</v>
      </c>
      <c r="F493" s="186">
        <f t="shared" si="280"/>
        <v>42627.991844249998</v>
      </c>
      <c r="G493" s="186">
        <f t="shared" si="280"/>
        <v>42627.991844249998</v>
      </c>
      <c r="H493" s="186">
        <f t="shared" si="280"/>
        <v>42627.991844249998</v>
      </c>
      <c r="I493" s="186">
        <f t="shared" si="280"/>
        <v>42627.991844249998</v>
      </c>
      <c r="J493" s="186">
        <f t="shared" si="280"/>
        <v>42564.081811500007</v>
      </c>
      <c r="K493" s="186">
        <f t="shared" si="280"/>
        <v>42627.991844249998</v>
      </c>
      <c r="L493" s="186">
        <f t="shared" si="280"/>
        <v>42564.081811500007</v>
      </c>
      <c r="M493" s="186">
        <f t="shared" si="280"/>
        <v>42627.991844249998</v>
      </c>
      <c r="N493" s="186">
        <f t="shared" si="280"/>
        <v>42564.081811500007</v>
      </c>
      <c r="O493" s="186">
        <f t="shared" si="280"/>
        <v>42627.991844249998</v>
      </c>
      <c r="P493" s="186">
        <f t="shared" si="280"/>
        <v>42564.081811500007</v>
      </c>
      <c r="Q493" s="186">
        <f t="shared" si="280"/>
        <v>42627.991844249998</v>
      </c>
      <c r="R493" s="186">
        <f t="shared" si="280"/>
        <v>21282.040905750004</v>
      </c>
      <c r="S493" s="186">
        <f t="shared" si="280"/>
        <v>0</v>
      </c>
      <c r="T493" s="186">
        <f t="shared" si="280"/>
        <v>0</v>
      </c>
      <c r="U493" s="186">
        <f t="shared" si="280"/>
        <v>0</v>
      </c>
      <c r="V493" s="186">
        <f t="shared" si="280"/>
        <v>0</v>
      </c>
      <c r="W493" s="186">
        <f t="shared" si="280"/>
        <v>0</v>
      </c>
      <c r="X493" s="186">
        <f t="shared" si="280"/>
        <v>0</v>
      </c>
      <c r="Y493" s="186">
        <f t="shared" si="280"/>
        <v>0</v>
      </c>
      <c r="Z493" s="186">
        <f t="shared" si="280"/>
        <v>0</v>
      </c>
      <c r="AA493" s="186">
        <f t="shared" si="280"/>
        <v>0</v>
      </c>
      <c r="AB493" s="186">
        <f t="shared" si="280"/>
        <v>0</v>
      </c>
      <c r="AC493" s="186">
        <f t="shared" si="280"/>
        <v>0</v>
      </c>
      <c r="AD493" s="186">
        <f t="shared" si="280"/>
        <v>0</v>
      </c>
      <c r="AE493" s="186">
        <f t="shared" si="280"/>
        <v>0</v>
      </c>
      <c r="AF493" s="186">
        <f t="shared" si="280"/>
        <v>0</v>
      </c>
      <c r="AG493" s="186">
        <f t="shared" si="280"/>
        <v>0</v>
      </c>
      <c r="AH493" s="186">
        <f t="shared" si="280"/>
        <v>0</v>
      </c>
      <c r="AI493" s="186">
        <f t="shared" si="280"/>
        <v>0</v>
      </c>
      <c r="AJ493" s="186">
        <f t="shared" si="280"/>
        <v>0</v>
      </c>
      <c r="AK493" s="186">
        <f t="shared" si="280"/>
        <v>0</v>
      </c>
      <c r="AL493" s="186">
        <f t="shared" si="280"/>
        <v>0</v>
      </c>
      <c r="AM493" s="186">
        <f t="shared" si="280"/>
        <v>0</v>
      </c>
      <c r="AN493" s="186">
        <f t="shared" si="280"/>
        <v>0</v>
      </c>
      <c r="AO493" s="186">
        <f t="shared" si="280"/>
        <v>0</v>
      </c>
      <c r="AP493" s="186">
        <f t="shared" si="280"/>
        <v>0</v>
      </c>
    </row>
    <row r="494" spans="1:42">
      <c r="A494" s="205" t="str">
        <f t="shared" si="276"/>
        <v>20-yr SL</v>
      </c>
      <c r="B494" s="153">
        <f t="shared" si="277"/>
        <v>639100.32750000001</v>
      </c>
      <c r="C494" s="186">
        <f t="shared" ref="C494:AP494" si="281">C487*$Q454</f>
        <v>15977.508187500001</v>
      </c>
      <c r="D494" s="186">
        <f t="shared" si="281"/>
        <v>31955.016375000003</v>
      </c>
      <c r="E494" s="186">
        <f t="shared" si="281"/>
        <v>31955.016375000003</v>
      </c>
      <c r="F494" s="186">
        <f t="shared" si="281"/>
        <v>31955.016375000003</v>
      </c>
      <c r="G494" s="186">
        <f t="shared" si="281"/>
        <v>31955.016375000003</v>
      </c>
      <c r="H494" s="186">
        <f t="shared" si="281"/>
        <v>31955.016375000003</v>
      </c>
      <c r="I494" s="186">
        <f t="shared" si="281"/>
        <v>31955.016375000003</v>
      </c>
      <c r="J494" s="186">
        <f t="shared" si="281"/>
        <v>31955.016375000003</v>
      </c>
      <c r="K494" s="186">
        <f t="shared" si="281"/>
        <v>31955.016375000003</v>
      </c>
      <c r="L494" s="186">
        <f t="shared" si="281"/>
        <v>31955.016375000003</v>
      </c>
      <c r="M494" s="186">
        <f t="shared" si="281"/>
        <v>31955.016375000003</v>
      </c>
      <c r="N494" s="186">
        <f t="shared" si="281"/>
        <v>31955.016375000003</v>
      </c>
      <c r="O494" s="186">
        <f t="shared" si="281"/>
        <v>31955.016375000003</v>
      </c>
      <c r="P494" s="186">
        <f t="shared" si="281"/>
        <v>31955.016375000003</v>
      </c>
      <c r="Q494" s="186">
        <f t="shared" si="281"/>
        <v>31955.016375000003</v>
      </c>
      <c r="R494" s="186">
        <f t="shared" si="281"/>
        <v>31955.016375000003</v>
      </c>
      <c r="S494" s="186">
        <f t="shared" si="281"/>
        <v>31955.016375000003</v>
      </c>
      <c r="T494" s="186">
        <f t="shared" si="281"/>
        <v>31955.016375000003</v>
      </c>
      <c r="U494" s="186">
        <f t="shared" si="281"/>
        <v>31955.016375000003</v>
      </c>
      <c r="V494" s="186">
        <f t="shared" si="281"/>
        <v>31955.016375000003</v>
      </c>
      <c r="W494" s="186">
        <f t="shared" si="281"/>
        <v>15977.508187500001</v>
      </c>
      <c r="X494" s="186">
        <f t="shared" si="281"/>
        <v>0</v>
      </c>
      <c r="Y494" s="186">
        <f t="shared" si="281"/>
        <v>0</v>
      </c>
      <c r="Z494" s="186">
        <f t="shared" si="281"/>
        <v>0</v>
      </c>
      <c r="AA494" s="186">
        <f t="shared" si="281"/>
        <v>0</v>
      </c>
      <c r="AB494" s="186">
        <f t="shared" si="281"/>
        <v>0</v>
      </c>
      <c r="AC494" s="186">
        <f t="shared" si="281"/>
        <v>0</v>
      </c>
      <c r="AD494" s="186">
        <f t="shared" si="281"/>
        <v>0</v>
      </c>
      <c r="AE494" s="186">
        <f t="shared" si="281"/>
        <v>0</v>
      </c>
      <c r="AF494" s="186">
        <f t="shared" si="281"/>
        <v>0</v>
      </c>
      <c r="AG494" s="186">
        <f t="shared" si="281"/>
        <v>0</v>
      </c>
      <c r="AH494" s="186">
        <f t="shared" si="281"/>
        <v>0</v>
      </c>
      <c r="AI494" s="186">
        <f t="shared" si="281"/>
        <v>0</v>
      </c>
      <c r="AJ494" s="186">
        <f t="shared" si="281"/>
        <v>0</v>
      </c>
      <c r="AK494" s="186">
        <f t="shared" si="281"/>
        <v>0</v>
      </c>
      <c r="AL494" s="186">
        <f t="shared" si="281"/>
        <v>0</v>
      </c>
      <c r="AM494" s="186">
        <f t="shared" si="281"/>
        <v>0</v>
      </c>
      <c r="AN494" s="186">
        <f t="shared" si="281"/>
        <v>0</v>
      </c>
      <c r="AO494" s="186">
        <f t="shared" si="281"/>
        <v>0</v>
      </c>
      <c r="AP494" s="186">
        <f t="shared" si="281"/>
        <v>0</v>
      </c>
    </row>
    <row r="495" spans="1:42">
      <c r="A495" s="205" t="str">
        <f t="shared" si="276"/>
        <v>39-yr SL</v>
      </c>
      <c r="B495" s="153">
        <f t="shared" si="277"/>
        <v>213033.44249999992</v>
      </c>
      <c r="C495" s="186">
        <f t="shared" ref="C495:AP495" si="282">C488*$Q455</f>
        <v>2731.1979807692264</v>
      </c>
      <c r="D495" s="186">
        <f t="shared" si="282"/>
        <v>5462.3959615384611</v>
      </c>
      <c r="E495" s="186">
        <f t="shared" si="282"/>
        <v>5462.3959615384611</v>
      </c>
      <c r="F495" s="186">
        <f t="shared" si="282"/>
        <v>5462.3959615384611</v>
      </c>
      <c r="G495" s="186">
        <f t="shared" si="282"/>
        <v>5462.3959615384611</v>
      </c>
      <c r="H495" s="186">
        <f t="shared" si="282"/>
        <v>5462.3959615384611</v>
      </c>
      <c r="I495" s="186">
        <f t="shared" si="282"/>
        <v>5462.3959615384611</v>
      </c>
      <c r="J495" s="186">
        <f t="shared" si="282"/>
        <v>5462.3959615384611</v>
      </c>
      <c r="K495" s="186">
        <f t="shared" si="282"/>
        <v>5462.3959615384611</v>
      </c>
      <c r="L495" s="186">
        <f t="shared" si="282"/>
        <v>5462.3959615384611</v>
      </c>
      <c r="M495" s="186">
        <f t="shared" si="282"/>
        <v>5462.3959615384611</v>
      </c>
      <c r="N495" s="186">
        <f t="shared" si="282"/>
        <v>5462.3959615384611</v>
      </c>
      <c r="O495" s="186">
        <f t="shared" si="282"/>
        <v>5462.3959615384611</v>
      </c>
      <c r="P495" s="186">
        <f t="shared" si="282"/>
        <v>5462.3959615384611</v>
      </c>
      <c r="Q495" s="186">
        <f t="shared" si="282"/>
        <v>5462.3959615384611</v>
      </c>
      <c r="R495" s="186">
        <f t="shared" si="282"/>
        <v>5462.3959615384611</v>
      </c>
      <c r="S495" s="186">
        <f t="shared" si="282"/>
        <v>5462.3959615384611</v>
      </c>
      <c r="T495" s="186">
        <f t="shared" si="282"/>
        <v>5462.3959615384611</v>
      </c>
      <c r="U495" s="186">
        <f t="shared" si="282"/>
        <v>5462.3959615384611</v>
      </c>
      <c r="V495" s="186">
        <f t="shared" si="282"/>
        <v>5462.3959615384611</v>
      </c>
      <c r="W495" s="186">
        <f t="shared" si="282"/>
        <v>5462.3959615384611</v>
      </c>
      <c r="X495" s="186">
        <f t="shared" si="282"/>
        <v>5462.3959615384611</v>
      </c>
      <c r="Y495" s="186">
        <f t="shared" si="282"/>
        <v>5462.3959615384611</v>
      </c>
      <c r="Z495" s="186">
        <f t="shared" si="282"/>
        <v>5462.3959615384611</v>
      </c>
      <c r="AA495" s="186">
        <f t="shared" si="282"/>
        <v>5462.3959615384611</v>
      </c>
      <c r="AB495" s="186">
        <f t="shared" si="282"/>
        <v>5462.3959615384611</v>
      </c>
      <c r="AC495" s="186">
        <f t="shared" si="282"/>
        <v>5462.3959615384611</v>
      </c>
      <c r="AD495" s="186">
        <f t="shared" si="282"/>
        <v>5462.3959615384611</v>
      </c>
      <c r="AE495" s="186">
        <f t="shared" si="282"/>
        <v>5462.3959615384611</v>
      </c>
      <c r="AF495" s="186">
        <f t="shared" si="282"/>
        <v>5462.3959615384611</v>
      </c>
      <c r="AG495" s="186">
        <f t="shared" si="282"/>
        <v>5462.3959615384611</v>
      </c>
      <c r="AH495" s="186">
        <f t="shared" si="282"/>
        <v>5462.3959615384611</v>
      </c>
      <c r="AI495" s="186">
        <f t="shared" si="282"/>
        <v>5462.3959615384611</v>
      </c>
      <c r="AJ495" s="186">
        <f t="shared" si="282"/>
        <v>5462.3959615384611</v>
      </c>
      <c r="AK495" s="186">
        <f t="shared" si="282"/>
        <v>5462.3959615384611</v>
      </c>
      <c r="AL495" s="186">
        <f t="shared" si="282"/>
        <v>5462.3959615384611</v>
      </c>
      <c r="AM495" s="186">
        <f t="shared" si="282"/>
        <v>5462.3959615384611</v>
      </c>
      <c r="AN495" s="186">
        <f t="shared" si="282"/>
        <v>5462.3959615384611</v>
      </c>
      <c r="AO495" s="186">
        <f t="shared" si="282"/>
        <v>5462.3959615384611</v>
      </c>
      <c r="AP495" s="186">
        <f t="shared" si="282"/>
        <v>2731.1979807692264</v>
      </c>
    </row>
    <row r="496" spans="1:42">
      <c r="A496" s="205" t="s">
        <v>319</v>
      </c>
      <c r="B496" s="212">
        <f t="shared" si="277"/>
        <v>4046835.4074999997</v>
      </c>
      <c r="C496" s="187">
        <f>P457</f>
        <v>4046835.4074999997</v>
      </c>
      <c r="D496" s="187">
        <v>0</v>
      </c>
      <c r="E496" s="187">
        <v>0</v>
      </c>
      <c r="F496" s="187">
        <v>0</v>
      </c>
      <c r="G496" s="187">
        <v>0</v>
      </c>
      <c r="H496" s="187">
        <v>0</v>
      </c>
      <c r="I496" s="187">
        <v>0</v>
      </c>
      <c r="J496" s="187">
        <v>0</v>
      </c>
      <c r="K496" s="187">
        <v>0</v>
      </c>
      <c r="L496" s="187">
        <v>0</v>
      </c>
      <c r="M496" s="187">
        <v>0</v>
      </c>
      <c r="N496" s="187">
        <v>0</v>
      </c>
      <c r="O496" s="187">
        <v>0</v>
      </c>
      <c r="P496" s="187">
        <v>0</v>
      </c>
      <c r="Q496" s="187">
        <v>0</v>
      </c>
      <c r="R496" s="187">
        <v>0</v>
      </c>
      <c r="S496" s="187">
        <v>0</v>
      </c>
      <c r="T496" s="187">
        <v>0</v>
      </c>
      <c r="U496" s="187">
        <v>0</v>
      </c>
      <c r="V496" s="187">
        <v>0</v>
      </c>
      <c r="W496" s="187">
        <v>0</v>
      </c>
      <c r="X496" s="187">
        <v>0</v>
      </c>
      <c r="Y496" s="187">
        <v>0</v>
      </c>
      <c r="Z496" s="187">
        <v>0</v>
      </c>
      <c r="AA496" s="187">
        <v>0</v>
      </c>
      <c r="AB496" s="187">
        <v>0</v>
      </c>
      <c r="AC496" s="187">
        <v>0</v>
      </c>
      <c r="AD496" s="187">
        <v>0</v>
      </c>
      <c r="AE496" s="187">
        <v>0</v>
      </c>
      <c r="AF496" s="187">
        <v>0</v>
      </c>
      <c r="AG496" s="187">
        <v>0</v>
      </c>
      <c r="AH496" s="187">
        <v>0</v>
      </c>
      <c r="AI496" s="187">
        <v>0</v>
      </c>
      <c r="AJ496" s="187">
        <v>0</v>
      </c>
      <c r="AK496" s="187">
        <v>0</v>
      </c>
      <c r="AL496" s="187">
        <v>0</v>
      </c>
      <c r="AM496" s="187">
        <v>0</v>
      </c>
      <c r="AN496" s="187">
        <v>0</v>
      </c>
      <c r="AO496" s="187">
        <v>0</v>
      </c>
      <c r="AP496" s="187">
        <v>0</v>
      </c>
    </row>
    <row r="497" spans="1:42">
      <c r="A497" s="204"/>
      <c r="B497" s="212">
        <f t="shared" si="277"/>
        <v>42598688.499999948</v>
      </c>
      <c r="C497" s="186">
        <f>SUM(C490:C496)</f>
        <v>11403084.90444902</v>
      </c>
      <c r="D497" s="186">
        <f t="shared" ref="D497:AP497" si="283">SUM(D490:D496)</f>
        <v>11795645.908893285</v>
      </c>
      <c r="E497" s="186">
        <f t="shared" si="283"/>
        <v>7127620.0663420372</v>
      </c>
      <c r="F497" s="186">
        <f t="shared" si="283"/>
        <v>4325015.0798942875</v>
      </c>
      <c r="G497" s="186">
        <f t="shared" si="283"/>
        <v>4320094.0073725376</v>
      </c>
      <c r="H497" s="186">
        <f t="shared" si="283"/>
        <v>2217740.8298320379</v>
      </c>
      <c r="I497" s="186">
        <f t="shared" si="283"/>
        <v>117752.32350328847</v>
      </c>
      <c r="J497" s="186">
        <f t="shared" si="283"/>
        <v>117688.41347053848</v>
      </c>
      <c r="K497" s="186">
        <f t="shared" si="283"/>
        <v>117816.23353603847</v>
      </c>
      <c r="L497" s="186">
        <f t="shared" si="283"/>
        <v>117688.41347053848</v>
      </c>
      <c r="M497" s="186">
        <f t="shared" si="283"/>
        <v>117816.23353603847</v>
      </c>
      <c r="N497" s="186">
        <f t="shared" si="283"/>
        <v>117688.41347053848</v>
      </c>
      <c r="O497" s="186">
        <f t="shared" si="283"/>
        <v>117816.23353603847</v>
      </c>
      <c r="P497" s="186">
        <f t="shared" si="283"/>
        <v>117688.41347053848</v>
      </c>
      <c r="Q497" s="186">
        <f t="shared" si="283"/>
        <v>117816.23353603847</v>
      </c>
      <c r="R497" s="186">
        <f t="shared" si="283"/>
        <v>77552.912903538469</v>
      </c>
      <c r="S497" s="186">
        <f t="shared" si="283"/>
        <v>37417.412336538466</v>
      </c>
      <c r="T497" s="186">
        <f t="shared" si="283"/>
        <v>37417.412336538466</v>
      </c>
      <c r="U497" s="186">
        <f t="shared" si="283"/>
        <v>37417.412336538466</v>
      </c>
      <c r="V497" s="186">
        <f t="shared" si="283"/>
        <v>37417.412336538466</v>
      </c>
      <c r="W497" s="186">
        <f t="shared" si="283"/>
        <v>21439.904149038462</v>
      </c>
      <c r="X497" s="186">
        <f t="shared" si="283"/>
        <v>5462.3959615384611</v>
      </c>
      <c r="Y497" s="186">
        <f t="shared" si="283"/>
        <v>5462.3959615384611</v>
      </c>
      <c r="Z497" s="186">
        <f t="shared" si="283"/>
        <v>5462.3959615384611</v>
      </c>
      <c r="AA497" s="186">
        <f t="shared" si="283"/>
        <v>5462.3959615384611</v>
      </c>
      <c r="AB497" s="186">
        <f t="shared" si="283"/>
        <v>5462.3959615384611</v>
      </c>
      <c r="AC497" s="186">
        <f t="shared" si="283"/>
        <v>5462.3959615384611</v>
      </c>
      <c r="AD497" s="186">
        <f t="shared" si="283"/>
        <v>5462.3959615384611</v>
      </c>
      <c r="AE497" s="186">
        <f t="shared" si="283"/>
        <v>5462.3959615384611</v>
      </c>
      <c r="AF497" s="186">
        <f t="shared" si="283"/>
        <v>5462.3959615384611</v>
      </c>
      <c r="AG497" s="186">
        <f t="shared" si="283"/>
        <v>5462.3959615384611</v>
      </c>
      <c r="AH497" s="186">
        <f t="shared" si="283"/>
        <v>5462.3959615384611</v>
      </c>
      <c r="AI497" s="186">
        <f t="shared" si="283"/>
        <v>5462.3959615384611</v>
      </c>
      <c r="AJ497" s="186">
        <f t="shared" si="283"/>
        <v>5462.3959615384611</v>
      </c>
      <c r="AK497" s="186">
        <f t="shared" si="283"/>
        <v>5462.3959615384611</v>
      </c>
      <c r="AL497" s="186">
        <f t="shared" si="283"/>
        <v>5462.3959615384611</v>
      </c>
      <c r="AM497" s="186">
        <f t="shared" si="283"/>
        <v>5462.3959615384611</v>
      </c>
      <c r="AN497" s="186">
        <f t="shared" si="283"/>
        <v>5462.3959615384611</v>
      </c>
      <c r="AO497" s="186">
        <f t="shared" si="283"/>
        <v>5462.3959615384611</v>
      </c>
      <c r="AP497" s="186">
        <f t="shared" si="283"/>
        <v>2731.1979807692264</v>
      </c>
    </row>
    <row r="498" spans="1:42">
      <c r="A498" s="204"/>
      <c r="B498" s="186"/>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197" t="s">
        <v>206</v>
      </c>
      <c r="C499" s="186"/>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204" t="s">
        <v>208</v>
      </c>
      <c r="B500" s="219" t="str">
        <f>MMFedTaxTreatment</f>
        <v>5-yr MACRS</v>
      </c>
      <c r="C500" s="186"/>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c r="AM500" s="186"/>
      <c r="AN500" s="186"/>
      <c r="AO500" s="186"/>
      <c r="AP500" s="186"/>
    </row>
    <row r="501" spans="1:42">
      <c r="A501" s="204" t="s">
        <v>209</v>
      </c>
      <c r="B501" s="186">
        <f t="shared" ref="B501:AP501" si="284">B2</f>
        <v>0</v>
      </c>
      <c r="C501" s="186">
        <f t="shared" si="284"/>
        <v>1</v>
      </c>
      <c r="D501" s="186">
        <f t="shared" si="284"/>
        <v>2</v>
      </c>
      <c r="E501" s="186">
        <f t="shared" si="284"/>
        <v>3</v>
      </c>
      <c r="F501" s="186">
        <f t="shared" si="284"/>
        <v>4</v>
      </c>
      <c r="G501" s="186">
        <f t="shared" si="284"/>
        <v>5</v>
      </c>
      <c r="H501" s="186">
        <f t="shared" si="284"/>
        <v>6</v>
      </c>
      <c r="I501" s="186">
        <f t="shared" si="284"/>
        <v>7</v>
      </c>
      <c r="J501" s="186">
        <f t="shared" si="284"/>
        <v>8</v>
      </c>
      <c r="K501" s="186">
        <f t="shared" si="284"/>
        <v>9</v>
      </c>
      <c r="L501" s="186">
        <f t="shared" si="284"/>
        <v>10</v>
      </c>
      <c r="M501" s="186">
        <f t="shared" si="284"/>
        <v>11</v>
      </c>
      <c r="N501" s="186">
        <f t="shared" si="284"/>
        <v>12</v>
      </c>
      <c r="O501" s="186">
        <f t="shared" si="284"/>
        <v>13</v>
      </c>
      <c r="P501" s="186">
        <f t="shared" si="284"/>
        <v>14</v>
      </c>
      <c r="Q501" s="186">
        <f t="shared" si="284"/>
        <v>15</v>
      </c>
      <c r="R501" s="186">
        <f t="shared" si="284"/>
        <v>16</v>
      </c>
      <c r="S501" s="186">
        <f t="shared" si="284"/>
        <v>17</v>
      </c>
      <c r="T501" s="186">
        <f t="shared" si="284"/>
        <v>18</v>
      </c>
      <c r="U501" s="186">
        <f t="shared" si="284"/>
        <v>19</v>
      </c>
      <c r="V501" s="186">
        <f t="shared" si="284"/>
        <v>20</v>
      </c>
      <c r="W501" s="186">
        <f t="shared" si="284"/>
        <v>21</v>
      </c>
      <c r="X501" s="186">
        <f t="shared" si="284"/>
        <v>22</v>
      </c>
      <c r="Y501" s="186">
        <f t="shared" si="284"/>
        <v>23</v>
      </c>
      <c r="Z501" s="186">
        <f t="shared" si="284"/>
        <v>24</v>
      </c>
      <c r="AA501" s="186">
        <f t="shared" si="284"/>
        <v>25</v>
      </c>
      <c r="AB501" s="186">
        <f t="shared" si="284"/>
        <v>26</v>
      </c>
      <c r="AC501" s="186">
        <f t="shared" si="284"/>
        <v>27</v>
      </c>
      <c r="AD501" s="186">
        <f t="shared" si="284"/>
        <v>28</v>
      </c>
      <c r="AE501" s="186">
        <f t="shared" si="284"/>
        <v>29</v>
      </c>
      <c r="AF501" s="186">
        <f t="shared" si="284"/>
        <v>30</v>
      </c>
      <c r="AG501" s="186">
        <f t="shared" si="284"/>
        <v>31</v>
      </c>
      <c r="AH501" s="186">
        <f t="shared" si="284"/>
        <v>32</v>
      </c>
      <c r="AI501" s="186">
        <f t="shared" si="284"/>
        <v>33</v>
      </c>
      <c r="AJ501" s="186">
        <f t="shared" si="284"/>
        <v>34</v>
      </c>
      <c r="AK501" s="186">
        <f t="shared" si="284"/>
        <v>35</v>
      </c>
      <c r="AL501" s="186">
        <f t="shared" si="284"/>
        <v>36</v>
      </c>
      <c r="AM501" s="186">
        <f t="shared" si="284"/>
        <v>37</v>
      </c>
      <c r="AN501" s="186">
        <f t="shared" si="284"/>
        <v>38</v>
      </c>
      <c r="AO501" s="186">
        <f t="shared" si="284"/>
        <v>39</v>
      </c>
      <c r="AP501" s="186">
        <f t="shared" si="284"/>
        <v>40</v>
      </c>
    </row>
    <row r="502" spans="1:42">
      <c r="A502" s="204" t="s">
        <v>210</v>
      </c>
      <c r="B502" s="220">
        <v>0</v>
      </c>
      <c r="C502" s="215">
        <f t="shared" ref="C502:AP502" si="285">IF($B$500=$A483,C483,0)+IF($B$500=$A484,C484,0)+IF($B$500=$A485,C485,0)+IF($B$500=$A486,C486,0)+IF($B$500=$A487,C487,0)+IF($B$500=$A488,C488,0)</f>
        <v>0.2</v>
      </c>
      <c r="D502" s="215">
        <f t="shared" si="285"/>
        <v>0.32</v>
      </c>
      <c r="E502" s="215">
        <f t="shared" si="285"/>
        <v>0.192</v>
      </c>
      <c r="F502" s="215">
        <f t="shared" si="285"/>
        <v>0.1152</v>
      </c>
      <c r="G502" s="215">
        <f t="shared" si="285"/>
        <v>0.1152</v>
      </c>
      <c r="H502" s="215">
        <f t="shared" si="285"/>
        <v>5.7599999999999998E-2</v>
      </c>
      <c r="I502" s="215">
        <f t="shared" si="285"/>
        <v>0</v>
      </c>
      <c r="J502" s="215">
        <f t="shared" si="285"/>
        <v>0</v>
      </c>
      <c r="K502" s="215">
        <f t="shared" si="285"/>
        <v>0</v>
      </c>
      <c r="L502" s="215">
        <f t="shared" si="285"/>
        <v>0</v>
      </c>
      <c r="M502" s="215">
        <f t="shared" si="285"/>
        <v>0</v>
      </c>
      <c r="N502" s="215">
        <f t="shared" si="285"/>
        <v>0</v>
      </c>
      <c r="O502" s="215">
        <f t="shared" si="285"/>
        <v>0</v>
      </c>
      <c r="P502" s="215">
        <f t="shared" si="285"/>
        <v>0</v>
      </c>
      <c r="Q502" s="215">
        <f t="shared" si="285"/>
        <v>0</v>
      </c>
      <c r="R502" s="215">
        <f t="shared" si="285"/>
        <v>0</v>
      </c>
      <c r="S502" s="215">
        <f t="shared" si="285"/>
        <v>0</v>
      </c>
      <c r="T502" s="215">
        <f t="shared" si="285"/>
        <v>0</v>
      </c>
      <c r="U502" s="215">
        <f t="shared" si="285"/>
        <v>0</v>
      </c>
      <c r="V502" s="215">
        <f t="shared" si="285"/>
        <v>0</v>
      </c>
      <c r="W502" s="215">
        <f t="shared" si="285"/>
        <v>0</v>
      </c>
      <c r="X502" s="215">
        <f t="shared" si="285"/>
        <v>0</v>
      </c>
      <c r="Y502" s="215">
        <f t="shared" si="285"/>
        <v>0</v>
      </c>
      <c r="Z502" s="215">
        <f t="shared" si="285"/>
        <v>0</v>
      </c>
      <c r="AA502" s="215">
        <f t="shared" si="285"/>
        <v>0</v>
      </c>
      <c r="AB502" s="215">
        <f t="shared" si="285"/>
        <v>0</v>
      </c>
      <c r="AC502" s="215">
        <f t="shared" si="285"/>
        <v>0</v>
      </c>
      <c r="AD502" s="215">
        <f t="shared" si="285"/>
        <v>0</v>
      </c>
      <c r="AE502" s="215">
        <f t="shared" si="285"/>
        <v>0</v>
      </c>
      <c r="AF502" s="215">
        <f t="shared" si="285"/>
        <v>0</v>
      </c>
      <c r="AG502" s="215">
        <f t="shared" si="285"/>
        <v>0</v>
      </c>
      <c r="AH502" s="215">
        <f t="shared" si="285"/>
        <v>0</v>
      </c>
      <c r="AI502" s="215">
        <f t="shared" si="285"/>
        <v>0</v>
      </c>
      <c r="AJ502" s="215">
        <f t="shared" si="285"/>
        <v>0</v>
      </c>
      <c r="AK502" s="215">
        <f t="shared" si="285"/>
        <v>0</v>
      </c>
      <c r="AL502" s="215">
        <f t="shared" si="285"/>
        <v>0</v>
      </c>
      <c r="AM502" s="215">
        <f t="shared" si="285"/>
        <v>0</v>
      </c>
      <c r="AN502" s="215">
        <f t="shared" si="285"/>
        <v>0</v>
      </c>
      <c r="AO502" s="215">
        <f t="shared" si="285"/>
        <v>0</v>
      </c>
      <c r="AP502" s="215">
        <f t="shared" si="285"/>
        <v>0</v>
      </c>
    </row>
    <row r="503" spans="1:42">
      <c r="A503" s="197"/>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A504" s="197" t="s">
        <v>368</v>
      </c>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204" t="s">
        <v>207</v>
      </c>
      <c r="C505" s="186"/>
      <c r="D505" s="186"/>
      <c r="E505" s="186"/>
      <c r="F505" s="186"/>
      <c r="G505" s="186"/>
      <c r="H505" s="186"/>
      <c r="I505" s="186"/>
      <c r="J505" s="186"/>
      <c r="K505" s="186"/>
      <c r="L505" s="186"/>
      <c r="M505" s="186"/>
      <c r="N505" s="186"/>
      <c r="O505" s="186"/>
      <c r="P505" s="186"/>
      <c r="Q505" s="186"/>
      <c r="R505" s="186"/>
      <c r="S505" s="186"/>
      <c r="T505" s="186"/>
      <c r="U505" s="186"/>
      <c r="V505" s="186"/>
      <c r="W505" s="186"/>
      <c r="X505" s="186"/>
      <c r="Y505" s="186"/>
      <c r="Z505" s="186"/>
      <c r="AA505" s="186"/>
      <c r="AB505" s="186"/>
      <c r="AC505" s="186"/>
      <c r="AD505" s="186"/>
      <c r="AE505" s="186"/>
      <c r="AF505" s="186"/>
      <c r="AG505" s="186"/>
      <c r="AH505" s="186"/>
      <c r="AI505" s="186"/>
      <c r="AJ505" s="186"/>
      <c r="AK505" s="186"/>
      <c r="AL505" s="186"/>
      <c r="AM505" s="186"/>
      <c r="AN505" s="186"/>
      <c r="AO505" s="186"/>
      <c r="AP505" s="186"/>
    </row>
    <row r="506" spans="1:42">
      <c r="A506" s="118">
        <v>1</v>
      </c>
      <c r="C506" s="186">
        <f>C372</f>
        <v>0</v>
      </c>
      <c r="D506" s="186">
        <f t="shared" ref="D506:AP512" si="286">D372</f>
        <v>0</v>
      </c>
      <c r="E506" s="186">
        <f t="shared" si="286"/>
        <v>0</v>
      </c>
      <c r="F506" s="186">
        <f t="shared" si="286"/>
        <v>0</v>
      </c>
      <c r="G506" s="186">
        <f t="shared" si="286"/>
        <v>0</v>
      </c>
      <c r="H506" s="186">
        <f t="shared" si="286"/>
        <v>0</v>
      </c>
      <c r="I506" s="186">
        <f t="shared" si="286"/>
        <v>0</v>
      </c>
      <c r="J506" s="186">
        <f t="shared" si="286"/>
        <v>0</v>
      </c>
      <c r="K506" s="186">
        <f t="shared" si="286"/>
        <v>0</v>
      </c>
      <c r="L506" s="186">
        <f t="shared" si="286"/>
        <v>0</v>
      </c>
      <c r="M506" s="186">
        <f t="shared" si="286"/>
        <v>0</v>
      </c>
      <c r="N506" s="186">
        <f t="shared" si="286"/>
        <v>1</v>
      </c>
      <c r="O506" s="186">
        <f t="shared" si="286"/>
        <v>2</v>
      </c>
      <c r="P506" s="186">
        <f t="shared" si="286"/>
        <v>3</v>
      </c>
      <c r="Q506" s="186">
        <f t="shared" si="286"/>
        <v>4</v>
      </c>
      <c r="R506" s="186">
        <f t="shared" si="286"/>
        <v>5</v>
      </c>
      <c r="S506" s="186">
        <f t="shared" si="286"/>
        <v>6</v>
      </c>
      <c r="T506" s="186">
        <f t="shared" si="286"/>
        <v>7</v>
      </c>
      <c r="U506" s="186">
        <f t="shared" si="286"/>
        <v>8</v>
      </c>
      <c r="V506" s="186">
        <f t="shared" si="286"/>
        <v>9</v>
      </c>
      <c r="W506" s="186">
        <f t="shared" si="286"/>
        <v>10</v>
      </c>
      <c r="X506" s="186">
        <f t="shared" si="286"/>
        <v>11</v>
      </c>
      <c r="Y506" s="186">
        <f t="shared" si="286"/>
        <v>12</v>
      </c>
      <c r="Z506" s="186">
        <f t="shared" si="286"/>
        <v>13</v>
      </c>
      <c r="AA506" s="186">
        <f t="shared" si="286"/>
        <v>14</v>
      </c>
      <c r="AB506" s="186">
        <f t="shared" si="286"/>
        <v>15</v>
      </c>
      <c r="AC506" s="186">
        <f t="shared" si="286"/>
        <v>16</v>
      </c>
      <c r="AD506" s="186">
        <f t="shared" si="286"/>
        <v>17</v>
      </c>
      <c r="AE506" s="186">
        <f t="shared" si="286"/>
        <v>18</v>
      </c>
      <c r="AF506" s="186">
        <f t="shared" si="286"/>
        <v>19</v>
      </c>
      <c r="AG506" s="186">
        <f t="shared" si="286"/>
        <v>0</v>
      </c>
      <c r="AH506" s="186">
        <f t="shared" si="286"/>
        <v>0</v>
      </c>
      <c r="AI506" s="186">
        <f t="shared" si="286"/>
        <v>0</v>
      </c>
      <c r="AJ506" s="186">
        <f t="shared" si="286"/>
        <v>0</v>
      </c>
      <c r="AK506" s="186">
        <f t="shared" si="286"/>
        <v>0</v>
      </c>
      <c r="AL506" s="186">
        <f t="shared" si="286"/>
        <v>0</v>
      </c>
      <c r="AM506" s="186">
        <f t="shared" si="286"/>
        <v>0</v>
      </c>
      <c r="AN506" s="186">
        <f t="shared" si="286"/>
        <v>0</v>
      </c>
      <c r="AO506" s="186">
        <f t="shared" si="286"/>
        <v>0</v>
      </c>
      <c r="AP506" s="186">
        <f t="shared" si="286"/>
        <v>0</v>
      </c>
    </row>
    <row r="507" spans="1:42">
      <c r="A507" s="118">
        <f>A506+1</f>
        <v>2</v>
      </c>
      <c r="C507" s="186">
        <f t="shared" ref="C507:R515" si="287">C373</f>
        <v>0</v>
      </c>
      <c r="D507" s="186">
        <f t="shared" si="286"/>
        <v>0</v>
      </c>
      <c r="E507" s="186">
        <f t="shared" si="286"/>
        <v>0</v>
      </c>
      <c r="F507" s="186">
        <f t="shared" si="286"/>
        <v>0</v>
      </c>
      <c r="G507" s="186">
        <f t="shared" si="286"/>
        <v>0</v>
      </c>
      <c r="H507" s="186">
        <f t="shared" si="286"/>
        <v>0</v>
      </c>
      <c r="I507" s="186">
        <f t="shared" si="286"/>
        <v>0</v>
      </c>
      <c r="J507" s="186">
        <f t="shared" si="286"/>
        <v>0</v>
      </c>
      <c r="K507" s="186">
        <f t="shared" si="286"/>
        <v>0</v>
      </c>
      <c r="L507" s="186">
        <f t="shared" si="286"/>
        <v>0</v>
      </c>
      <c r="M507" s="186">
        <f t="shared" si="286"/>
        <v>0</v>
      </c>
      <c r="N507" s="186">
        <f t="shared" si="286"/>
        <v>0</v>
      </c>
      <c r="O507" s="186">
        <f t="shared" si="286"/>
        <v>0</v>
      </c>
      <c r="P507" s="186">
        <f t="shared" si="286"/>
        <v>0</v>
      </c>
      <c r="Q507" s="186">
        <f t="shared" si="286"/>
        <v>0</v>
      </c>
      <c r="R507" s="186">
        <f t="shared" si="286"/>
        <v>0</v>
      </c>
      <c r="S507" s="186">
        <f t="shared" si="286"/>
        <v>0</v>
      </c>
      <c r="T507" s="186">
        <f t="shared" si="286"/>
        <v>0</v>
      </c>
      <c r="U507" s="186">
        <f t="shared" si="286"/>
        <v>0</v>
      </c>
      <c r="V507" s="186">
        <f t="shared" si="286"/>
        <v>0</v>
      </c>
      <c r="W507" s="186">
        <f t="shared" si="286"/>
        <v>0</v>
      </c>
      <c r="X507" s="186">
        <f t="shared" si="286"/>
        <v>0</v>
      </c>
      <c r="Y507" s="186">
        <f t="shared" si="286"/>
        <v>0</v>
      </c>
      <c r="Z507" s="186">
        <f t="shared" si="286"/>
        <v>1</v>
      </c>
      <c r="AA507" s="186">
        <f t="shared" si="286"/>
        <v>2</v>
      </c>
      <c r="AB507" s="186">
        <f t="shared" si="286"/>
        <v>3</v>
      </c>
      <c r="AC507" s="186">
        <f t="shared" si="286"/>
        <v>4</v>
      </c>
      <c r="AD507" s="186">
        <f t="shared" si="286"/>
        <v>5</v>
      </c>
      <c r="AE507" s="186">
        <f t="shared" si="286"/>
        <v>6</v>
      </c>
      <c r="AF507" s="186">
        <f t="shared" si="286"/>
        <v>7</v>
      </c>
      <c r="AG507" s="186">
        <f t="shared" si="286"/>
        <v>0</v>
      </c>
      <c r="AH507" s="186">
        <f t="shared" si="286"/>
        <v>0</v>
      </c>
      <c r="AI507" s="186">
        <f t="shared" si="286"/>
        <v>0</v>
      </c>
      <c r="AJ507" s="186">
        <f t="shared" si="286"/>
        <v>0</v>
      </c>
      <c r="AK507" s="186">
        <f t="shared" si="286"/>
        <v>0</v>
      </c>
      <c r="AL507" s="186">
        <f t="shared" si="286"/>
        <v>0</v>
      </c>
      <c r="AM507" s="186">
        <f t="shared" si="286"/>
        <v>0</v>
      </c>
      <c r="AN507" s="186">
        <f t="shared" si="286"/>
        <v>0</v>
      </c>
      <c r="AO507" s="186">
        <f t="shared" si="286"/>
        <v>0</v>
      </c>
      <c r="AP507" s="186">
        <f t="shared" si="286"/>
        <v>0</v>
      </c>
    </row>
    <row r="508" spans="1:42">
      <c r="A508" s="118">
        <f t="shared" ref="A508:A513" si="288">A507+1</f>
        <v>3</v>
      </c>
      <c r="C508" s="186">
        <f t="shared" si="287"/>
        <v>0</v>
      </c>
      <c r="D508" s="186">
        <f t="shared" si="286"/>
        <v>0</v>
      </c>
      <c r="E508" s="186">
        <f t="shared" si="286"/>
        <v>0</v>
      </c>
      <c r="F508" s="186">
        <f t="shared" si="286"/>
        <v>0</v>
      </c>
      <c r="G508" s="186">
        <f t="shared" si="286"/>
        <v>0</v>
      </c>
      <c r="H508" s="186">
        <f t="shared" si="286"/>
        <v>0</v>
      </c>
      <c r="I508" s="186">
        <f t="shared" si="286"/>
        <v>0</v>
      </c>
      <c r="J508" s="186">
        <f t="shared" si="286"/>
        <v>0</v>
      </c>
      <c r="K508" s="186">
        <f t="shared" si="286"/>
        <v>0</v>
      </c>
      <c r="L508" s="186">
        <f t="shared" si="286"/>
        <v>0</v>
      </c>
      <c r="M508" s="186">
        <f t="shared" si="286"/>
        <v>0</v>
      </c>
      <c r="N508" s="186">
        <f t="shared" si="286"/>
        <v>0</v>
      </c>
      <c r="O508" s="186">
        <f t="shared" si="286"/>
        <v>0</v>
      </c>
      <c r="P508" s="186">
        <f t="shared" si="286"/>
        <v>0</v>
      </c>
      <c r="Q508" s="186">
        <f t="shared" si="286"/>
        <v>0</v>
      </c>
      <c r="R508" s="186">
        <f t="shared" si="286"/>
        <v>0</v>
      </c>
      <c r="S508" s="186">
        <f t="shared" si="286"/>
        <v>0</v>
      </c>
      <c r="T508" s="186">
        <f t="shared" si="286"/>
        <v>0</v>
      </c>
      <c r="U508" s="186">
        <f t="shared" si="286"/>
        <v>0</v>
      </c>
      <c r="V508" s="186">
        <f t="shared" si="286"/>
        <v>0</v>
      </c>
      <c r="W508" s="186">
        <f t="shared" si="286"/>
        <v>0</v>
      </c>
      <c r="X508" s="186">
        <f t="shared" si="286"/>
        <v>0</v>
      </c>
      <c r="Y508" s="186">
        <f t="shared" si="286"/>
        <v>0</v>
      </c>
      <c r="Z508" s="186">
        <f t="shared" si="286"/>
        <v>0</v>
      </c>
      <c r="AA508" s="186">
        <f t="shared" si="286"/>
        <v>0</v>
      </c>
      <c r="AB508" s="186">
        <f t="shared" si="286"/>
        <v>0</v>
      </c>
      <c r="AC508" s="186">
        <f t="shared" si="286"/>
        <v>0</v>
      </c>
      <c r="AD508" s="186">
        <f t="shared" si="286"/>
        <v>0</v>
      </c>
      <c r="AE508" s="186">
        <f t="shared" si="286"/>
        <v>0</v>
      </c>
      <c r="AF508" s="186">
        <f t="shared" si="286"/>
        <v>0</v>
      </c>
      <c r="AG508" s="186">
        <f t="shared" si="286"/>
        <v>0</v>
      </c>
      <c r="AH508" s="186">
        <f t="shared" si="286"/>
        <v>0</v>
      </c>
      <c r="AI508" s="186">
        <f t="shared" si="286"/>
        <v>0</v>
      </c>
      <c r="AJ508" s="186">
        <f t="shared" si="286"/>
        <v>0</v>
      </c>
      <c r="AK508" s="186">
        <f t="shared" si="286"/>
        <v>0</v>
      </c>
      <c r="AL508" s="186">
        <f t="shared" si="286"/>
        <v>0</v>
      </c>
      <c r="AM508" s="186">
        <f t="shared" si="286"/>
        <v>0</v>
      </c>
      <c r="AN508" s="186">
        <f t="shared" si="286"/>
        <v>0</v>
      </c>
      <c r="AO508" s="186">
        <f t="shared" si="286"/>
        <v>0</v>
      </c>
      <c r="AP508" s="186">
        <f t="shared" si="286"/>
        <v>0</v>
      </c>
    </row>
    <row r="509" spans="1:42">
      <c r="A509" s="118">
        <f t="shared" si="288"/>
        <v>4</v>
      </c>
      <c r="C509" s="186">
        <f t="shared" si="287"/>
        <v>0</v>
      </c>
      <c r="D509" s="186">
        <f t="shared" si="286"/>
        <v>0</v>
      </c>
      <c r="E509" s="186">
        <f t="shared" si="286"/>
        <v>0</v>
      </c>
      <c r="F509" s="186">
        <f t="shared" si="286"/>
        <v>0</v>
      </c>
      <c r="G509" s="186">
        <f t="shared" si="286"/>
        <v>0</v>
      </c>
      <c r="H509" s="186">
        <f t="shared" si="286"/>
        <v>0</v>
      </c>
      <c r="I509" s="186">
        <f t="shared" si="286"/>
        <v>0</v>
      </c>
      <c r="J509" s="186">
        <f t="shared" si="286"/>
        <v>0</v>
      </c>
      <c r="K509" s="186">
        <f t="shared" si="286"/>
        <v>0</v>
      </c>
      <c r="L509" s="186">
        <f t="shared" si="286"/>
        <v>0</v>
      </c>
      <c r="M509" s="186">
        <f t="shared" si="286"/>
        <v>0</v>
      </c>
      <c r="N509" s="186">
        <f t="shared" si="286"/>
        <v>0</v>
      </c>
      <c r="O509" s="186">
        <f t="shared" si="286"/>
        <v>0</v>
      </c>
      <c r="P509" s="186">
        <f t="shared" si="286"/>
        <v>0</v>
      </c>
      <c r="Q509" s="186">
        <f t="shared" si="286"/>
        <v>0</v>
      </c>
      <c r="R509" s="186">
        <f t="shared" si="286"/>
        <v>0</v>
      </c>
      <c r="S509" s="186">
        <f t="shared" si="286"/>
        <v>0</v>
      </c>
      <c r="T509" s="186">
        <f t="shared" si="286"/>
        <v>0</v>
      </c>
      <c r="U509" s="186">
        <f t="shared" si="286"/>
        <v>0</v>
      </c>
      <c r="V509" s="186">
        <f t="shared" si="286"/>
        <v>0</v>
      </c>
      <c r="W509" s="186">
        <f t="shared" si="286"/>
        <v>0</v>
      </c>
      <c r="X509" s="186">
        <f t="shared" si="286"/>
        <v>0</v>
      </c>
      <c r="Y509" s="186">
        <f t="shared" si="286"/>
        <v>0</v>
      </c>
      <c r="Z509" s="186">
        <f t="shared" si="286"/>
        <v>0</v>
      </c>
      <c r="AA509" s="186">
        <f t="shared" si="286"/>
        <v>0</v>
      </c>
      <c r="AB509" s="186">
        <f t="shared" si="286"/>
        <v>0</v>
      </c>
      <c r="AC509" s="186">
        <f t="shared" si="286"/>
        <v>0</v>
      </c>
      <c r="AD509" s="186">
        <f t="shared" si="286"/>
        <v>0</v>
      </c>
      <c r="AE509" s="186">
        <f t="shared" si="286"/>
        <v>0</v>
      </c>
      <c r="AF509" s="186">
        <f t="shared" si="286"/>
        <v>0</v>
      </c>
      <c r="AG509" s="186">
        <f t="shared" si="286"/>
        <v>0</v>
      </c>
      <c r="AH509" s="186">
        <f t="shared" si="286"/>
        <v>0</v>
      </c>
      <c r="AI509" s="186">
        <f t="shared" si="286"/>
        <v>0</v>
      </c>
      <c r="AJ509" s="186">
        <f t="shared" si="286"/>
        <v>0</v>
      </c>
      <c r="AK509" s="186">
        <f t="shared" si="286"/>
        <v>0</v>
      </c>
      <c r="AL509" s="186">
        <f t="shared" si="286"/>
        <v>0</v>
      </c>
      <c r="AM509" s="186">
        <f t="shared" si="286"/>
        <v>0</v>
      </c>
      <c r="AN509" s="186">
        <f t="shared" si="286"/>
        <v>0</v>
      </c>
      <c r="AO509" s="186">
        <f t="shared" si="286"/>
        <v>0</v>
      </c>
      <c r="AP509" s="186">
        <f t="shared" si="286"/>
        <v>0</v>
      </c>
    </row>
    <row r="510" spans="1:42">
      <c r="A510" s="118">
        <f t="shared" si="288"/>
        <v>5</v>
      </c>
      <c r="C510" s="186">
        <f t="shared" si="287"/>
        <v>0</v>
      </c>
      <c r="D510" s="186">
        <f t="shared" si="286"/>
        <v>0</v>
      </c>
      <c r="E510" s="186">
        <f t="shared" si="286"/>
        <v>0</v>
      </c>
      <c r="F510" s="186">
        <f t="shared" si="286"/>
        <v>0</v>
      </c>
      <c r="G510" s="186">
        <f t="shared" si="286"/>
        <v>0</v>
      </c>
      <c r="H510" s="186">
        <f t="shared" si="286"/>
        <v>0</v>
      </c>
      <c r="I510" s="186">
        <f t="shared" si="286"/>
        <v>0</v>
      </c>
      <c r="J510" s="186">
        <f t="shared" si="286"/>
        <v>0</v>
      </c>
      <c r="K510" s="186">
        <f t="shared" si="286"/>
        <v>0</v>
      </c>
      <c r="L510" s="186">
        <f t="shared" si="286"/>
        <v>0</v>
      </c>
      <c r="M510" s="186">
        <f t="shared" si="286"/>
        <v>0</v>
      </c>
      <c r="N510" s="186">
        <f t="shared" si="286"/>
        <v>0</v>
      </c>
      <c r="O510" s="186">
        <f t="shared" si="286"/>
        <v>0</v>
      </c>
      <c r="P510" s="186">
        <f t="shared" si="286"/>
        <v>0</v>
      </c>
      <c r="Q510" s="186">
        <f t="shared" si="286"/>
        <v>0</v>
      </c>
      <c r="R510" s="186">
        <f t="shared" si="286"/>
        <v>0</v>
      </c>
      <c r="S510" s="186">
        <f t="shared" si="286"/>
        <v>0</v>
      </c>
      <c r="T510" s="186">
        <f t="shared" si="286"/>
        <v>0</v>
      </c>
      <c r="U510" s="186">
        <f t="shared" si="286"/>
        <v>0</v>
      </c>
      <c r="V510" s="186">
        <f t="shared" si="286"/>
        <v>0</v>
      </c>
      <c r="W510" s="186">
        <f t="shared" si="286"/>
        <v>0</v>
      </c>
      <c r="X510" s="186">
        <f t="shared" si="286"/>
        <v>0</v>
      </c>
      <c r="Y510" s="186">
        <f t="shared" si="286"/>
        <v>0</v>
      </c>
      <c r="Z510" s="186">
        <f t="shared" si="286"/>
        <v>0</v>
      </c>
      <c r="AA510" s="186">
        <f t="shared" si="286"/>
        <v>0</v>
      </c>
      <c r="AB510" s="186">
        <f t="shared" si="286"/>
        <v>0</v>
      </c>
      <c r="AC510" s="186">
        <f t="shared" si="286"/>
        <v>0</v>
      </c>
      <c r="AD510" s="186">
        <f t="shared" si="286"/>
        <v>0</v>
      </c>
      <c r="AE510" s="186">
        <f t="shared" si="286"/>
        <v>0</v>
      </c>
      <c r="AF510" s="186">
        <f t="shared" si="286"/>
        <v>0</v>
      </c>
      <c r="AG510" s="186">
        <f t="shared" si="286"/>
        <v>0</v>
      </c>
      <c r="AH510" s="186">
        <f t="shared" si="286"/>
        <v>0</v>
      </c>
      <c r="AI510" s="186">
        <f t="shared" si="286"/>
        <v>0</v>
      </c>
      <c r="AJ510" s="186">
        <f t="shared" si="286"/>
        <v>0</v>
      </c>
      <c r="AK510" s="186">
        <f t="shared" si="286"/>
        <v>0</v>
      </c>
      <c r="AL510" s="186">
        <f t="shared" si="286"/>
        <v>0</v>
      </c>
      <c r="AM510" s="186">
        <f t="shared" si="286"/>
        <v>0</v>
      </c>
      <c r="AN510" s="186">
        <f t="shared" si="286"/>
        <v>0</v>
      </c>
      <c r="AO510" s="186">
        <f t="shared" si="286"/>
        <v>0</v>
      </c>
      <c r="AP510" s="186">
        <f t="shared" si="286"/>
        <v>0</v>
      </c>
    </row>
    <row r="511" spans="1:42">
      <c r="A511" s="118">
        <f t="shared" si="288"/>
        <v>6</v>
      </c>
      <c r="C511" s="186">
        <f t="shared" si="287"/>
        <v>0</v>
      </c>
      <c r="D511" s="186">
        <f t="shared" si="286"/>
        <v>0</v>
      </c>
      <c r="E511" s="186">
        <f t="shared" si="286"/>
        <v>0</v>
      </c>
      <c r="F511" s="186">
        <f t="shared" si="286"/>
        <v>0</v>
      </c>
      <c r="G511" s="186">
        <f t="shared" si="286"/>
        <v>0</v>
      </c>
      <c r="H511" s="186">
        <f t="shared" si="286"/>
        <v>0</v>
      </c>
      <c r="I511" s="186">
        <f t="shared" si="286"/>
        <v>0</v>
      </c>
      <c r="J511" s="186">
        <f t="shared" si="286"/>
        <v>0</v>
      </c>
      <c r="K511" s="186">
        <f t="shared" si="286"/>
        <v>0</v>
      </c>
      <c r="L511" s="186">
        <f t="shared" si="286"/>
        <v>0</v>
      </c>
      <c r="M511" s="186">
        <f t="shared" si="286"/>
        <v>0</v>
      </c>
      <c r="N511" s="186">
        <f t="shared" si="286"/>
        <v>0</v>
      </c>
      <c r="O511" s="186">
        <f t="shared" si="286"/>
        <v>0</v>
      </c>
      <c r="P511" s="186">
        <f t="shared" si="286"/>
        <v>0</v>
      </c>
      <c r="Q511" s="186">
        <f t="shared" si="286"/>
        <v>0</v>
      </c>
      <c r="R511" s="186">
        <f t="shared" si="286"/>
        <v>0</v>
      </c>
      <c r="S511" s="186">
        <f t="shared" si="286"/>
        <v>0</v>
      </c>
      <c r="T511" s="186">
        <f t="shared" si="286"/>
        <v>0</v>
      </c>
      <c r="U511" s="186">
        <f t="shared" si="286"/>
        <v>0</v>
      </c>
      <c r="V511" s="186">
        <f t="shared" si="286"/>
        <v>0</v>
      </c>
      <c r="W511" s="186">
        <f t="shared" si="286"/>
        <v>0</v>
      </c>
      <c r="X511" s="186">
        <f t="shared" si="286"/>
        <v>0</v>
      </c>
      <c r="Y511" s="186">
        <f t="shared" si="286"/>
        <v>0</v>
      </c>
      <c r="Z511" s="186">
        <f t="shared" si="286"/>
        <v>0</v>
      </c>
      <c r="AA511" s="186">
        <f t="shared" si="286"/>
        <v>0</v>
      </c>
      <c r="AB511" s="186">
        <f t="shared" si="286"/>
        <v>0</v>
      </c>
      <c r="AC511" s="186">
        <f t="shared" si="286"/>
        <v>0</v>
      </c>
      <c r="AD511" s="186">
        <f t="shared" si="286"/>
        <v>0</v>
      </c>
      <c r="AE511" s="186">
        <f t="shared" si="286"/>
        <v>0</v>
      </c>
      <c r="AF511" s="186">
        <f t="shared" si="286"/>
        <v>0</v>
      </c>
      <c r="AG511" s="186">
        <f t="shared" si="286"/>
        <v>0</v>
      </c>
      <c r="AH511" s="186">
        <f t="shared" si="286"/>
        <v>0</v>
      </c>
      <c r="AI511" s="186">
        <f t="shared" si="286"/>
        <v>0</v>
      </c>
      <c r="AJ511" s="186">
        <f t="shared" si="286"/>
        <v>0</v>
      </c>
      <c r="AK511" s="186">
        <f t="shared" si="286"/>
        <v>0</v>
      </c>
      <c r="AL511" s="186">
        <f t="shared" si="286"/>
        <v>0</v>
      </c>
      <c r="AM511" s="186">
        <f t="shared" si="286"/>
        <v>0</v>
      </c>
      <c r="AN511" s="186">
        <f t="shared" si="286"/>
        <v>0</v>
      </c>
      <c r="AO511" s="186">
        <f t="shared" si="286"/>
        <v>0</v>
      </c>
      <c r="AP511" s="186">
        <f t="shared" si="286"/>
        <v>0</v>
      </c>
    </row>
    <row r="512" spans="1:42">
      <c r="A512" s="118">
        <f t="shared" si="288"/>
        <v>7</v>
      </c>
      <c r="C512" s="186">
        <f t="shared" si="287"/>
        <v>0</v>
      </c>
      <c r="D512" s="186">
        <f t="shared" si="286"/>
        <v>0</v>
      </c>
      <c r="E512" s="186">
        <f t="shared" si="286"/>
        <v>0</v>
      </c>
      <c r="F512" s="186">
        <f t="shared" si="286"/>
        <v>0</v>
      </c>
      <c r="G512" s="186">
        <f t="shared" si="286"/>
        <v>0</v>
      </c>
      <c r="H512" s="186">
        <f t="shared" si="286"/>
        <v>0</v>
      </c>
      <c r="I512" s="186">
        <f t="shared" si="286"/>
        <v>0</v>
      </c>
      <c r="J512" s="186">
        <f t="shared" si="286"/>
        <v>0</v>
      </c>
      <c r="K512" s="186">
        <f t="shared" si="286"/>
        <v>0</v>
      </c>
      <c r="L512" s="186">
        <f t="shared" si="286"/>
        <v>0</v>
      </c>
      <c r="M512" s="186">
        <f t="shared" si="286"/>
        <v>0</v>
      </c>
      <c r="N512" s="186">
        <f t="shared" si="286"/>
        <v>0</v>
      </c>
      <c r="O512" s="186">
        <f t="shared" si="286"/>
        <v>0</v>
      </c>
      <c r="P512" s="186">
        <f t="shared" si="286"/>
        <v>0</v>
      </c>
      <c r="Q512" s="186">
        <f t="shared" si="286"/>
        <v>0</v>
      </c>
      <c r="R512" s="186">
        <f t="shared" si="286"/>
        <v>0</v>
      </c>
      <c r="S512" s="186">
        <f t="shared" si="286"/>
        <v>0</v>
      </c>
      <c r="T512" s="186">
        <f t="shared" si="286"/>
        <v>0</v>
      </c>
      <c r="U512" s="186">
        <f t="shared" si="286"/>
        <v>0</v>
      </c>
      <c r="V512" s="186">
        <f t="shared" si="286"/>
        <v>0</v>
      </c>
      <c r="W512" s="186">
        <f t="shared" si="286"/>
        <v>0</v>
      </c>
      <c r="X512" s="186">
        <f t="shared" si="286"/>
        <v>0</v>
      </c>
      <c r="Y512" s="186">
        <f t="shared" ref="Y512:AP512" si="289">Y378</f>
        <v>0</v>
      </c>
      <c r="Z512" s="186">
        <f t="shared" si="289"/>
        <v>0</v>
      </c>
      <c r="AA512" s="186">
        <f t="shared" si="289"/>
        <v>0</v>
      </c>
      <c r="AB512" s="186">
        <f t="shared" si="289"/>
        <v>0</v>
      </c>
      <c r="AC512" s="186">
        <f t="shared" si="289"/>
        <v>0</v>
      </c>
      <c r="AD512" s="186">
        <f t="shared" si="289"/>
        <v>0</v>
      </c>
      <c r="AE512" s="186">
        <f t="shared" si="289"/>
        <v>0</v>
      </c>
      <c r="AF512" s="186">
        <f t="shared" si="289"/>
        <v>0</v>
      </c>
      <c r="AG512" s="186">
        <f t="shared" si="289"/>
        <v>0</v>
      </c>
      <c r="AH512" s="186">
        <f t="shared" si="289"/>
        <v>0</v>
      </c>
      <c r="AI512" s="186">
        <f t="shared" si="289"/>
        <v>0</v>
      </c>
      <c r="AJ512" s="186">
        <f t="shared" si="289"/>
        <v>0</v>
      </c>
      <c r="AK512" s="186">
        <f t="shared" si="289"/>
        <v>0</v>
      </c>
      <c r="AL512" s="186">
        <f t="shared" si="289"/>
        <v>0</v>
      </c>
      <c r="AM512" s="186">
        <f t="shared" si="289"/>
        <v>0</v>
      </c>
      <c r="AN512" s="186">
        <f t="shared" si="289"/>
        <v>0</v>
      </c>
      <c r="AO512" s="186">
        <f t="shared" si="289"/>
        <v>0</v>
      </c>
      <c r="AP512" s="186">
        <f t="shared" si="289"/>
        <v>0</v>
      </c>
    </row>
    <row r="513" spans="1:42">
      <c r="A513" s="118">
        <f t="shared" si="288"/>
        <v>8</v>
      </c>
      <c r="C513" s="186">
        <f t="shared" si="287"/>
        <v>0</v>
      </c>
      <c r="D513" s="186">
        <f t="shared" si="287"/>
        <v>0</v>
      </c>
      <c r="E513" s="186">
        <f t="shared" si="287"/>
        <v>0</v>
      </c>
      <c r="F513" s="186">
        <f t="shared" si="287"/>
        <v>0</v>
      </c>
      <c r="G513" s="186">
        <f t="shared" si="287"/>
        <v>0</v>
      </c>
      <c r="H513" s="186">
        <f t="shared" si="287"/>
        <v>0</v>
      </c>
      <c r="I513" s="186">
        <f t="shared" si="287"/>
        <v>0</v>
      </c>
      <c r="J513" s="186">
        <f t="shared" si="287"/>
        <v>0</v>
      </c>
      <c r="K513" s="186">
        <f t="shared" si="287"/>
        <v>0</v>
      </c>
      <c r="L513" s="186">
        <f t="shared" si="287"/>
        <v>0</v>
      </c>
      <c r="M513" s="186">
        <f t="shared" si="287"/>
        <v>0</v>
      </c>
      <c r="N513" s="186">
        <f t="shared" si="287"/>
        <v>0</v>
      </c>
      <c r="O513" s="186">
        <f t="shared" si="287"/>
        <v>0</v>
      </c>
      <c r="P513" s="186">
        <f t="shared" si="287"/>
        <v>0</v>
      </c>
      <c r="Q513" s="186">
        <f t="shared" si="287"/>
        <v>0</v>
      </c>
      <c r="R513" s="186">
        <f t="shared" si="287"/>
        <v>0</v>
      </c>
      <c r="S513" s="186">
        <f t="shared" ref="S513:AP515" si="290">S379</f>
        <v>0</v>
      </c>
      <c r="T513" s="186">
        <f t="shared" si="290"/>
        <v>0</v>
      </c>
      <c r="U513" s="186">
        <f t="shared" si="290"/>
        <v>0</v>
      </c>
      <c r="V513" s="186">
        <f t="shared" si="290"/>
        <v>0</v>
      </c>
      <c r="W513" s="186">
        <f t="shared" si="290"/>
        <v>0</v>
      </c>
      <c r="X513" s="186">
        <f t="shared" si="290"/>
        <v>0</v>
      </c>
      <c r="Y513" s="186">
        <f t="shared" si="290"/>
        <v>0</v>
      </c>
      <c r="Z513" s="186">
        <f t="shared" si="290"/>
        <v>0</v>
      </c>
      <c r="AA513" s="186">
        <f t="shared" si="290"/>
        <v>0</v>
      </c>
      <c r="AB513" s="186">
        <f t="shared" si="290"/>
        <v>0</v>
      </c>
      <c r="AC513" s="186">
        <f t="shared" si="290"/>
        <v>0</v>
      </c>
      <c r="AD513" s="186">
        <f t="shared" si="290"/>
        <v>0</v>
      </c>
      <c r="AE513" s="186">
        <f t="shared" si="290"/>
        <v>0</v>
      </c>
      <c r="AF513" s="186">
        <f t="shared" si="290"/>
        <v>0</v>
      </c>
      <c r="AG513" s="186">
        <f t="shared" si="290"/>
        <v>0</v>
      </c>
      <c r="AH513" s="186">
        <f t="shared" si="290"/>
        <v>0</v>
      </c>
      <c r="AI513" s="186">
        <f t="shared" si="290"/>
        <v>0</v>
      </c>
      <c r="AJ513" s="186">
        <f t="shared" si="290"/>
        <v>0</v>
      </c>
      <c r="AK513" s="186">
        <f t="shared" si="290"/>
        <v>0</v>
      </c>
      <c r="AL513" s="186">
        <f t="shared" si="290"/>
        <v>0</v>
      </c>
      <c r="AM513" s="186">
        <f t="shared" si="290"/>
        <v>0</v>
      </c>
      <c r="AN513" s="186">
        <f t="shared" si="290"/>
        <v>0</v>
      </c>
      <c r="AO513" s="186">
        <f t="shared" si="290"/>
        <v>0</v>
      </c>
      <c r="AP513" s="186">
        <f t="shared" si="290"/>
        <v>0</v>
      </c>
    </row>
    <row r="514" spans="1:42">
      <c r="A514" s="118">
        <f>A513+1</f>
        <v>9</v>
      </c>
      <c r="C514" s="186">
        <f t="shared" si="287"/>
        <v>0</v>
      </c>
      <c r="D514" s="186">
        <f t="shared" si="287"/>
        <v>0</v>
      </c>
      <c r="E514" s="186">
        <f t="shared" si="287"/>
        <v>0</v>
      </c>
      <c r="F514" s="186">
        <f t="shared" si="287"/>
        <v>0</v>
      </c>
      <c r="G514" s="186">
        <f t="shared" si="287"/>
        <v>0</v>
      </c>
      <c r="H514" s="186">
        <f t="shared" si="287"/>
        <v>0</v>
      </c>
      <c r="I514" s="186">
        <f t="shared" si="287"/>
        <v>0</v>
      </c>
      <c r="J514" s="186">
        <f t="shared" si="287"/>
        <v>0</v>
      </c>
      <c r="K514" s="186">
        <f t="shared" si="287"/>
        <v>0</v>
      </c>
      <c r="L514" s="186">
        <f t="shared" si="287"/>
        <v>0</v>
      </c>
      <c r="M514" s="186">
        <f t="shared" si="287"/>
        <v>0</v>
      </c>
      <c r="N514" s="186">
        <f t="shared" si="287"/>
        <v>0</v>
      </c>
      <c r="O514" s="186">
        <f t="shared" si="287"/>
        <v>0</v>
      </c>
      <c r="P514" s="186">
        <f t="shared" si="287"/>
        <v>0</v>
      </c>
      <c r="Q514" s="186">
        <f t="shared" si="287"/>
        <v>0</v>
      </c>
      <c r="R514" s="186">
        <f t="shared" si="287"/>
        <v>0</v>
      </c>
      <c r="S514" s="186">
        <f t="shared" si="290"/>
        <v>0</v>
      </c>
      <c r="T514" s="186">
        <f t="shared" si="290"/>
        <v>0</v>
      </c>
      <c r="U514" s="186">
        <f t="shared" si="290"/>
        <v>0</v>
      </c>
      <c r="V514" s="186">
        <f t="shared" si="290"/>
        <v>0</v>
      </c>
      <c r="W514" s="186">
        <f t="shared" si="290"/>
        <v>0</v>
      </c>
      <c r="X514" s="186">
        <f t="shared" si="290"/>
        <v>0</v>
      </c>
      <c r="Y514" s="186">
        <f t="shared" si="290"/>
        <v>0</v>
      </c>
      <c r="Z514" s="186">
        <f t="shared" si="290"/>
        <v>0</v>
      </c>
      <c r="AA514" s="186">
        <f t="shared" si="290"/>
        <v>0</v>
      </c>
      <c r="AB514" s="186">
        <f t="shared" si="290"/>
        <v>0</v>
      </c>
      <c r="AC514" s="186">
        <f t="shared" si="290"/>
        <v>0</v>
      </c>
      <c r="AD514" s="186">
        <f t="shared" si="290"/>
        <v>0</v>
      </c>
      <c r="AE514" s="186">
        <f t="shared" si="290"/>
        <v>0</v>
      </c>
      <c r="AF514" s="186">
        <f t="shared" si="290"/>
        <v>0</v>
      </c>
      <c r="AG514" s="186">
        <f t="shared" si="290"/>
        <v>0</v>
      </c>
      <c r="AH514" s="186">
        <f t="shared" si="290"/>
        <v>0</v>
      </c>
      <c r="AI514" s="186">
        <f t="shared" si="290"/>
        <v>0</v>
      </c>
      <c r="AJ514" s="186">
        <f t="shared" si="290"/>
        <v>0</v>
      </c>
      <c r="AK514" s="186">
        <f t="shared" si="290"/>
        <v>0</v>
      </c>
      <c r="AL514" s="186">
        <f t="shared" si="290"/>
        <v>0</v>
      </c>
      <c r="AM514" s="186">
        <f t="shared" si="290"/>
        <v>0</v>
      </c>
      <c r="AN514" s="186">
        <f t="shared" si="290"/>
        <v>0</v>
      </c>
      <c r="AO514" s="186">
        <f t="shared" si="290"/>
        <v>0</v>
      </c>
      <c r="AP514" s="186">
        <f t="shared" si="290"/>
        <v>0</v>
      </c>
    </row>
    <row r="515" spans="1:42">
      <c r="A515" s="118">
        <f t="shared" ref="A515" si="291">A514+1</f>
        <v>10</v>
      </c>
      <c r="C515" s="186">
        <f t="shared" si="287"/>
        <v>0</v>
      </c>
      <c r="D515" s="186">
        <f t="shared" si="287"/>
        <v>0</v>
      </c>
      <c r="E515" s="186">
        <f t="shared" si="287"/>
        <v>0</v>
      </c>
      <c r="F515" s="186">
        <f t="shared" si="287"/>
        <v>0</v>
      </c>
      <c r="G515" s="186">
        <f t="shared" si="287"/>
        <v>0</v>
      </c>
      <c r="H515" s="186">
        <f t="shared" si="287"/>
        <v>0</v>
      </c>
      <c r="I515" s="186">
        <f t="shared" si="287"/>
        <v>0</v>
      </c>
      <c r="J515" s="186">
        <f t="shared" si="287"/>
        <v>0</v>
      </c>
      <c r="K515" s="186">
        <f t="shared" si="287"/>
        <v>0</v>
      </c>
      <c r="L515" s="186">
        <f t="shared" si="287"/>
        <v>0</v>
      </c>
      <c r="M515" s="186">
        <f t="shared" si="287"/>
        <v>0</v>
      </c>
      <c r="N515" s="186">
        <f t="shared" si="287"/>
        <v>0</v>
      </c>
      <c r="O515" s="186">
        <f t="shared" si="287"/>
        <v>0</v>
      </c>
      <c r="P515" s="186">
        <f t="shared" si="287"/>
        <v>0</v>
      </c>
      <c r="Q515" s="186">
        <f t="shared" si="287"/>
        <v>0</v>
      </c>
      <c r="R515" s="186">
        <f t="shared" si="287"/>
        <v>0</v>
      </c>
      <c r="S515" s="186">
        <f t="shared" si="290"/>
        <v>0</v>
      </c>
      <c r="T515" s="186">
        <f t="shared" si="290"/>
        <v>0</v>
      </c>
      <c r="U515" s="186">
        <f t="shared" si="290"/>
        <v>0</v>
      </c>
      <c r="V515" s="186">
        <f t="shared" si="290"/>
        <v>0</v>
      </c>
      <c r="W515" s="186">
        <f t="shared" si="290"/>
        <v>0</v>
      </c>
      <c r="X515" s="186">
        <f t="shared" si="290"/>
        <v>0</v>
      </c>
      <c r="Y515" s="186">
        <f t="shared" si="290"/>
        <v>0</v>
      </c>
      <c r="Z515" s="186">
        <f t="shared" si="290"/>
        <v>0</v>
      </c>
      <c r="AA515" s="186">
        <f t="shared" si="290"/>
        <v>0</v>
      </c>
      <c r="AB515" s="186">
        <f t="shared" si="290"/>
        <v>0</v>
      </c>
      <c r="AC515" s="186">
        <f t="shared" si="290"/>
        <v>0</v>
      </c>
      <c r="AD515" s="186">
        <f t="shared" si="290"/>
        <v>0</v>
      </c>
      <c r="AE515" s="186">
        <f t="shared" si="290"/>
        <v>0</v>
      </c>
      <c r="AF515" s="186">
        <f t="shared" si="290"/>
        <v>0</v>
      </c>
      <c r="AG515" s="186">
        <f t="shared" si="290"/>
        <v>0</v>
      </c>
      <c r="AH515" s="186">
        <f t="shared" si="290"/>
        <v>0</v>
      </c>
      <c r="AI515" s="186">
        <f t="shared" si="290"/>
        <v>0</v>
      </c>
      <c r="AJ515" s="186">
        <f t="shared" si="290"/>
        <v>0</v>
      </c>
      <c r="AK515" s="186">
        <f t="shared" si="290"/>
        <v>0</v>
      </c>
      <c r="AL515" s="186">
        <f t="shared" si="290"/>
        <v>0</v>
      </c>
      <c r="AM515" s="186">
        <f t="shared" si="290"/>
        <v>0</v>
      </c>
      <c r="AN515" s="186">
        <f t="shared" si="290"/>
        <v>0</v>
      </c>
      <c r="AO515" s="186">
        <f t="shared" si="290"/>
        <v>0</v>
      </c>
      <c r="AP515" s="186">
        <f t="shared" si="290"/>
        <v>0</v>
      </c>
    </row>
    <row r="516" spans="1:42">
      <c r="A516" s="204"/>
      <c r="C516" s="186"/>
      <c r="D516" s="186"/>
      <c r="E516" s="186"/>
      <c r="F516" s="186"/>
      <c r="G516" s="186"/>
      <c r="H516" s="186"/>
      <c r="I516" s="186"/>
      <c r="J516" s="186"/>
      <c r="K516" s="186"/>
      <c r="L516" s="186"/>
      <c r="M516" s="186"/>
      <c r="N516" s="186"/>
      <c r="O516" s="186"/>
      <c r="P516" s="186"/>
      <c r="Q516" s="186"/>
      <c r="R516" s="186"/>
      <c r="S516" s="186"/>
      <c r="T516" s="186"/>
      <c r="U516" s="186"/>
      <c r="V516" s="186"/>
      <c r="W516" s="186"/>
      <c r="X516" s="186"/>
      <c r="Y516" s="186"/>
      <c r="Z516" s="186"/>
      <c r="AA516" s="186"/>
      <c r="AB516" s="186"/>
      <c r="AC516" s="186"/>
      <c r="AD516" s="186"/>
      <c r="AE516" s="186"/>
      <c r="AF516" s="186"/>
      <c r="AG516" s="186"/>
      <c r="AH516" s="186"/>
      <c r="AI516" s="186"/>
      <c r="AJ516" s="186"/>
      <c r="AK516" s="186"/>
      <c r="AL516" s="186"/>
      <c r="AM516" s="186"/>
      <c r="AN516" s="186"/>
      <c r="AO516" s="186"/>
      <c r="AP516" s="186"/>
    </row>
    <row r="517" spans="1:42">
      <c r="A517" s="204" t="s">
        <v>211</v>
      </c>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c r="AM517" s="186"/>
      <c r="AN517" s="186"/>
      <c r="AO517" s="186"/>
      <c r="AP517" s="186"/>
    </row>
    <row r="518" spans="1:42">
      <c r="A518" s="118">
        <v>1</v>
      </c>
      <c r="B518" s="196">
        <f t="shared" ref="B518:B527" si="292">SUM(C518:AP518)</f>
        <v>2944872.3435013141</v>
      </c>
      <c r="C518" s="225">
        <f t="shared" ref="C518:AP518" si="293">LOOKUP(C506,$B$501:$AP$501,$B$502:$AP$502)*$B656</f>
        <v>0</v>
      </c>
      <c r="D518" s="186">
        <f t="shared" si="293"/>
        <v>0</v>
      </c>
      <c r="E518" s="186">
        <f t="shared" si="293"/>
        <v>0</v>
      </c>
      <c r="F518" s="186">
        <f t="shared" si="293"/>
        <v>0</v>
      </c>
      <c r="G518" s="186">
        <f t="shared" si="293"/>
        <v>0</v>
      </c>
      <c r="H518" s="186">
        <f t="shared" si="293"/>
        <v>0</v>
      </c>
      <c r="I518" s="186">
        <f t="shared" si="293"/>
        <v>0</v>
      </c>
      <c r="J518" s="186">
        <f t="shared" si="293"/>
        <v>0</v>
      </c>
      <c r="K518" s="186">
        <f t="shared" si="293"/>
        <v>0</v>
      </c>
      <c r="L518" s="186">
        <f t="shared" si="293"/>
        <v>0</v>
      </c>
      <c r="M518" s="186">
        <f t="shared" si="293"/>
        <v>0</v>
      </c>
      <c r="N518" s="186">
        <f t="shared" si="293"/>
        <v>588974.46870026283</v>
      </c>
      <c r="O518" s="186">
        <f t="shared" si="293"/>
        <v>942359.14992042049</v>
      </c>
      <c r="P518" s="186">
        <f t="shared" si="293"/>
        <v>565415.48995225236</v>
      </c>
      <c r="Q518" s="186">
        <f t="shared" si="293"/>
        <v>339249.29397135135</v>
      </c>
      <c r="R518" s="186">
        <f t="shared" si="293"/>
        <v>339249.29397135135</v>
      </c>
      <c r="S518" s="186">
        <f t="shared" si="293"/>
        <v>169624.64698567567</v>
      </c>
      <c r="T518" s="186">
        <f t="shared" si="293"/>
        <v>0</v>
      </c>
      <c r="U518" s="186">
        <f t="shared" si="293"/>
        <v>0</v>
      </c>
      <c r="V518" s="186">
        <f t="shared" si="293"/>
        <v>0</v>
      </c>
      <c r="W518" s="186">
        <f t="shared" si="293"/>
        <v>0</v>
      </c>
      <c r="X518" s="186">
        <f t="shared" si="293"/>
        <v>0</v>
      </c>
      <c r="Y518" s="186">
        <f t="shared" si="293"/>
        <v>0</v>
      </c>
      <c r="Z518" s="186">
        <f t="shared" si="293"/>
        <v>0</v>
      </c>
      <c r="AA518" s="186">
        <f t="shared" si="293"/>
        <v>0</v>
      </c>
      <c r="AB518" s="186">
        <f t="shared" si="293"/>
        <v>0</v>
      </c>
      <c r="AC518" s="186">
        <f t="shared" si="293"/>
        <v>0</v>
      </c>
      <c r="AD518" s="186">
        <f t="shared" si="293"/>
        <v>0</v>
      </c>
      <c r="AE518" s="186">
        <f t="shared" si="293"/>
        <v>0</v>
      </c>
      <c r="AF518" s="186">
        <f t="shared" si="293"/>
        <v>0</v>
      </c>
      <c r="AG518" s="186">
        <f t="shared" si="293"/>
        <v>0</v>
      </c>
      <c r="AH518" s="186">
        <f t="shared" si="293"/>
        <v>0</v>
      </c>
      <c r="AI518" s="186">
        <f t="shared" si="293"/>
        <v>0</v>
      </c>
      <c r="AJ518" s="186">
        <f t="shared" si="293"/>
        <v>0</v>
      </c>
      <c r="AK518" s="186">
        <f t="shared" si="293"/>
        <v>0</v>
      </c>
      <c r="AL518" s="186">
        <f t="shared" si="293"/>
        <v>0</v>
      </c>
      <c r="AM518" s="186">
        <f t="shared" si="293"/>
        <v>0</v>
      </c>
      <c r="AN518" s="186">
        <f t="shared" si="293"/>
        <v>0</v>
      </c>
      <c r="AO518" s="186">
        <f t="shared" si="293"/>
        <v>0</v>
      </c>
      <c r="AP518" s="186">
        <f t="shared" si="293"/>
        <v>0</v>
      </c>
    </row>
    <row r="519" spans="1:42">
      <c r="A519" s="118">
        <f>A518+1</f>
        <v>2</v>
      </c>
      <c r="B519" s="196">
        <f t="shared" si="292"/>
        <v>3520942.886524681</v>
      </c>
      <c r="C519" s="225">
        <f t="shared" ref="C519:AP519" si="294">LOOKUP(C507,$B$501:$AP$501,$B$502:$AP$502)*$B657</f>
        <v>0</v>
      </c>
      <c r="D519" s="186">
        <f t="shared" si="294"/>
        <v>0</v>
      </c>
      <c r="E519" s="186">
        <f t="shared" si="294"/>
        <v>0</v>
      </c>
      <c r="F519" s="186">
        <f t="shared" si="294"/>
        <v>0</v>
      </c>
      <c r="G519" s="186">
        <f t="shared" si="294"/>
        <v>0</v>
      </c>
      <c r="H519" s="186">
        <f t="shared" si="294"/>
        <v>0</v>
      </c>
      <c r="I519" s="186">
        <f t="shared" si="294"/>
        <v>0</v>
      </c>
      <c r="J519" s="186">
        <f t="shared" si="294"/>
        <v>0</v>
      </c>
      <c r="K519" s="186">
        <f t="shared" si="294"/>
        <v>0</v>
      </c>
      <c r="L519" s="186">
        <f t="shared" si="294"/>
        <v>0</v>
      </c>
      <c r="M519" s="186">
        <f t="shared" si="294"/>
        <v>0</v>
      </c>
      <c r="N519" s="186">
        <f t="shared" si="294"/>
        <v>0</v>
      </c>
      <c r="O519" s="186">
        <f t="shared" si="294"/>
        <v>0</v>
      </c>
      <c r="P519" s="186">
        <f t="shared" si="294"/>
        <v>0</v>
      </c>
      <c r="Q519" s="186">
        <f t="shared" si="294"/>
        <v>0</v>
      </c>
      <c r="R519" s="186">
        <f t="shared" si="294"/>
        <v>0</v>
      </c>
      <c r="S519" s="186">
        <f t="shared" si="294"/>
        <v>0</v>
      </c>
      <c r="T519" s="186">
        <f t="shared" si="294"/>
        <v>0</v>
      </c>
      <c r="U519" s="186">
        <f t="shared" si="294"/>
        <v>0</v>
      </c>
      <c r="V519" s="186">
        <f t="shared" si="294"/>
        <v>0</v>
      </c>
      <c r="W519" s="186">
        <f t="shared" si="294"/>
        <v>0</v>
      </c>
      <c r="X519" s="186">
        <f t="shared" si="294"/>
        <v>0</v>
      </c>
      <c r="Y519" s="186">
        <f t="shared" si="294"/>
        <v>0</v>
      </c>
      <c r="Z519" s="186">
        <f t="shared" si="294"/>
        <v>704188.57730493625</v>
      </c>
      <c r="AA519" s="186">
        <f t="shared" si="294"/>
        <v>1126701.7236878979</v>
      </c>
      <c r="AB519" s="186">
        <f t="shared" si="294"/>
        <v>676021.03421273874</v>
      </c>
      <c r="AC519" s="186">
        <f t="shared" si="294"/>
        <v>405612.62052764324</v>
      </c>
      <c r="AD519" s="186">
        <f t="shared" si="294"/>
        <v>405612.62052764324</v>
      </c>
      <c r="AE519" s="186">
        <f t="shared" si="294"/>
        <v>202806.31026382162</v>
      </c>
      <c r="AF519" s="186">
        <f t="shared" si="294"/>
        <v>0</v>
      </c>
      <c r="AG519" s="186">
        <f t="shared" si="294"/>
        <v>0</v>
      </c>
      <c r="AH519" s="186">
        <f t="shared" si="294"/>
        <v>0</v>
      </c>
      <c r="AI519" s="186">
        <f t="shared" si="294"/>
        <v>0</v>
      </c>
      <c r="AJ519" s="186">
        <f t="shared" si="294"/>
        <v>0</v>
      </c>
      <c r="AK519" s="186">
        <f t="shared" si="294"/>
        <v>0</v>
      </c>
      <c r="AL519" s="186">
        <f t="shared" si="294"/>
        <v>0</v>
      </c>
      <c r="AM519" s="186">
        <f t="shared" si="294"/>
        <v>0</v>
      </c>
      <c r="AN519" s="186">
        <f t="shared" si="294"/>
        <v>0</v>
      </c>
      <c r="AO519" s="186">
        <f t="shared" si="294"/>
        <v>0</v>
      </c>
      <c r="AP519" s="186">
        <f t="shared" si="294"/>
        <v>0</v>
      </c>
    </row>
    <row r="520" spans="1:42">
      <c r="A520" s="118">
        <f t="shared" ref="A520:A525" si="295">A519+1</f>
        <v>3</v>
      </c>
      <c r="B520" s="196">
        <f t="shared" si="292"/>
        <v>0</v>
      </c>
      <c r="C520" s="225">
        <f t="shared" ref="C520:AP520" si="296">LOOKUP(C508,$B$501:$AP$501,$B$502:$AP$502)*$B658</f>
        <v>0</v>
      </c>
      <c r="D520" s="186">
        <f t="shared" si="296"/>
        <v>0</v>
      </c>
      <c r="E520" s="186">
        <f t="shared" si="296"/>
        <v>0</v>
      </c>
      <c r="F520" s="186">
        <f t="shared" si="296"/>
        <v>0</v>
      </c>
      <c r="G520" s="186">
        <f t="shared" si="296"/>
        <v>0</v>
      </c>
      <c r="H520" s="186">
        <f t="shared" si="296"/>
        <v>0</v>
      </c>
      <c r="I520" s="186">
        <f t="shared" si="296"/>
        <v>0</v>
      </c>
      <c r="J520" s="186">
        <f t="shared" si="296"/>
        <v>0</v>
      </c>
      <c r="K520" s="186">
        <f t="shared" si="296"/>
        <v>0</v>
      </c>
      <c r="L520" s="186">
        <f t="shared" si="296"/>
        <v>0</v>
      </c>
      <c r="M520" s="186">
        <f t="shared" si="296"/>
        <v>0</v>
      </c>
      <c r="N520" s="186">
        <f t="shared" si="296"/>
        <v>0</v>
      </c>
      <c r="O520" s="186">
        <f t="shared" si="296"/>
        <v>0</v>
      </c>
      <c r="P520" s="186">
        <f t="shared" si="296"/>
        <v>0</v>
      </c>
      <c r="Q520" s="186">
        <f t="shared" si="296"/>
        <v>0</v>
      </c>
      <c r="R520" s="186">
        <f t="shared" si="296"/>
        <v>0</v>
      </c>
      <c r="S520" s="186">
        <f t="shared" si="296"/>
        <v>0</v>
      </c>
      <c r="T520" s="186">
        <f t="shared" si="296"/>
        <v>0</v>
      </c>
      <c r="U520" s="186">
        <f t="shared" si="296"/>
        <v>0</v>
      </c>
      <c r="V520" s="186">
        <f t="shared" si="296"/>
        <v>0</v>
      </c>
      <c r="W520" s="186">
        <f t="shared" si="296"/>
        <v>0</v>
      </c>
      <c r="X520" s="186">
        <f t="shared" si="296"/>
        <v>0</v>
      </c>
      <c r="Y520" s="186">
        <f t="shared" si="296"/>
        <v>0</v>
      </c>
      <c r="Z520" s="186">
        <f t="shared" si="296"/>
        <v>0</v>
      </c>
      <c r="AA520" s="186">
        <f t="shared" si="296"/>
        <v>0</v>
      </c>
      <c r="AB520" s="186">
        <f t="shared" si="296"/>
        <v>0</v>
      </c>
      <c r="AC520" s="186">
        <f t="shared" si="296"/>
        <v>0</v>
      </c>
      <c r="AD520" s="186">
        <f t="shared" si="296"/>
        <v>0</v>
      </c>
      <c r="AE520" s="186">
        <f t="shared" si="296"/>
        <v>0</v>
      </c>
      <c r="AF520" s="186">
        <f t="shared" si="296"/>
        <v>0</v>
      </c>
      <c r="AG520" s="186">
        <f t="shared" si="296"/>
        <v>0</v>
      </c>
      <c r="AH520" s="186">
        <f t="shared" si="296"/>
        <v>0</v>
      </c>
      <c r="AI520" s="186">
        <f t="shared" si="296"/>
        <v>0</v>
      </c>
      <c r="AJ520" s="186">
        <f t="shared" si="296"/>
        <v>0</v>
      </c>
      <c r="AK520" s="186">
        <f t="shared" si="296"/>
        <v>0</v>
      </c>
      <c r="AL520" s="186">
        <f t="shared" si="296"/>
        <v>0</v>
      </c>
      <c r="AM520" s="186">
        <f t="shared" si="296"/>
        <v>0</v>
      </c>
      <c r="AN520" s="186">
        <f t="shared" si="296"/>
        <v>0</v>
      </c>
      <c r="AO520" s="186">
        <f t="shared" si="296"/>
        <v>0</v>
      </c>
      <c r="AP520" s="186">
        <f t="shared" si="296"/>
        <v>0</v>
      </c>
    </row>
    <row r="521" spans="1:42">
      <c r="A521" s="118">
        <f t="shared" si="295"/>
        <v>4</v>
      </c>
      <c r="B521" s="196">
        <f t="shared" si="292"/>
        <v>0</v>
      </c>
      <c r="C521" s="225">
        <f t="shared" ref="C521:AP521" si="297">LOOKUP(C509,$B$501:$AP$501,$B$502:$AP$502)*$B659</f>
        <v>0</v>
      </c>
      <c r="D521" s="186">
        <f t="shared" si="297"/>
        <v>0</v>
      </c>
      <c r="E521" s="186">
        <f t="shared" si="297"/>
        <v>0</v>
      </c>
      <c r="F521" s="186">
        <f t="shared" si="297"/>
        <v>0</v>
      </c>
      <c r="G521" s="186">
        <f t="shared" si="297"/>
        <v>0</v>
      </c>
      <c r="H521" s="186">
        <f t="shared" si="297"/>
        <v>0</v>
      </c>
      <c r="I521" s="186">
        <f t="shared" si="297"/>
        <v>0</v>
      </c>
      <c r="J521" s="186">
        <f t="shared" si="297"/>
        <v>0</v>
      </c>
      <c r="K521" s="186">
        <f t="shared" si="297"/>
        <v>0</v>
      </c>
      <c r="L521" s="186">
        <f t="shared" si="297"/>
        <v>0</v>
      </c>
      <c r="M521" s="186">
        <f t="shared" si="297"/>
        <v>0</v>
      </c>
      <c r="N521" s="186">
        <f t="shared" si="297"/>
        <v>0</v>
      </c>
      <c r="O521" s="186">
        <f t="shared" si="297"/>
        <v>0</v>
      </c>
      <c r="P521" s="186">
        <f t="shared" si="297"/>
        <v>0</v>
      </c>
      <c r="Q521" s="186">
        <f t="shared" si="297"/>
        <v>0</v>
      </c>
      <c r="R521" s="186">
        <f t="shared" si="297"/>
        <v>0</v>
      </c>
      <c r="S521" s="186">
        <f t="shared" si="297"/>
        <v>0</v>
      </c>
      <c r="T521" s="186">
        <f t="shared" si="297"/>
        <v>0</v>
      </c>
      <c r="U521" s="186">
        <f t="shared" si="297"/>
        <v>0</v>
      </c>
      <c r="V521" s="186">
        <f t="shared" si="297"/>
        <v>0</v>
      </c>
      <c r="W521" s="186">
        <f t="shared" si="297"/>
        <v>0</v>
      </c>
      <c r="X521" s="186">
        <f t="shared" si="297"/>
        <v>0</v>
      </c>
      <c r="Y521" s="186">
        <f t="shared" si="297"/>
        <v>0</v>
      </c>
      <c r="Z521" s="186">
        <f t="shared" si="297"/>
        <v>0</v>
      </c>
      <c r="AA521" s="186">
        <f t="shared" si="297"/>
        <v>0</v>
      </c>
      <c r="AB521" s="186">
        <f t="shared" si="297"/>
        <v>0</v>
      </c>
      <c r="AC521" s="186">
        <f t="shared" si="297"/>
        <v>0</v>
      </c>
      <c r="AD521" s="186">
        <f t="shared" si="297"/>
        <v>0</v>
      </c>
      <c r="AE521" s="186">
        <f t="shared" si="297"/>
        <v>0</v>
      </c>
      <c r="AF521" s="186">
        <f t="shared" si="297"/>
        <v>0</v>
      </c>
      <c r="AG521" s="186">
        <f t="shared" si="297"/>
        <v>0</v>
      </c>
      <c r="AH521" s="186">
        <f t="shared" si="297"/>
        <v>0</v>
      </c>
      <c r="AI521" s="186">
        <f t="shared" si="297"/>
        <v>0</v>
      </c>
      <c r="AJ521" s="186">
        <f t="shared" si="297"/>
        <v>0</v>
      </c>
      <c r="AK521" s="186">
        <f t="shared" si="297"/>
        <v>0</v>
      </c>
      <c r="AL521" s="186">
        <f t="shared" si="297"/>
        <v>0</v>
      </c>
      <c r="AM521" s="186">
        <f t="shared" si="297"/>
        <v>0</v>
      </c>
      <c r="AN521" s="186">
        <f t="shared" si="297"/>
        <v>0</v>
      </c>
      <c r="AO521" s="186">
        <f t="shared" si="297"/>
        <v>0</v>
      </c>
      <c r="AP521" s="186">
        <f t="shared" si="297"/>
        <v>0</v>
      </c>
    </row>
    <row r="522" spans="1:42">
      <c r="A522" s="118">
        <f t="shared" si="295"/>
        <v>5</v>
      </c>
      <c r="B522" s="196">
        <f t="shared" si="292"/>
        <v>0</v>
      </c>
      <c r="C522" s="225">
        <f t="shared" ref="C522:AP522" si="298">LOOKUP(C510,$B$501:$AP$501,$B$502:$AP$502)*$B660</f>
        <v>0</v>
      </c>
      <c r="D522" s="186">
        <f t="shared" si="298"/>
        <v>0</v>
      </c>
      <c r="E522" s="186">
        <f t="shared" si="298"/>
        <v>0</v>
      </c>
      <c r="F522" s="186">
        <f t="shared" si="298"/>
        <v>0</v>
      </c>
      <c r="G522" s="186">
        <f t="shared" si="298"/>
        <v>0</v>
      </c>
      <c r="H522" s="186">
        <f t="shared" si="298"/>
        <v>0</v>
      </c>
      <c r="I522" s="186">
        <f t="shared" si="298"/>
        <v>0</v>
      </c>
      <c r="J522" s="186">
        <f t="shared" si="298"/>
        <v>0</v>
      </c>
      <c r="K522" s="186">
        <f t="shared" si="298"/>
        <v>0</v>
      </c>
      <c r="L522" s="186">
        <f t="shared" si="298"/>
        <v>0</v>
      </c>
      <c r="M522" s="186">
        <f t="shared" si="298"/>
        <v>0</v>
      </c>
      <c r="N522" s="186">
        <f t="shared" si="298"/>
        <v>0</v>
      </c>
      <c r="O522" s="186">
        <f t="shared" si="298"/>
        <v>0</v>
      </c>
      <c r="P522" s="186">
        <f t="shared" si="298"/>
        <v>0</v>
      </c>
      <c r="Q522" s="186">
        <f t="shared" si="298"/>
        <v>0</v>
      </c>
      <c r="R522" s="186">
        <f t="shared" si="298"/>
        <v>0</v>
      </c>
      <c r="S522" s="186">
        <f t="shared" si="298"/>
        <v>0</v>
      </c>
      <c r="T522" s="186">
        <f t="shared" si="298"/>
        <v>0</v>
      </c>
      <c r="U522" s="186">
        <f t="shared" si="298"/>
        <v>0</v>
      </c>
      <c r="V522" s="186">
        <f t="shared" si="298"/>
        <v>0</v>
      </c>
      <c r="W522" s="186">
        <f t="shared" si="298"/>
        <v>0</v>
      </c>
      <c r="X522" s="186">
        <f t="shared" si="298"/>
        <v>0</v>
      </c>
      <c r="Y522" s="186">
        <f t="shared" si="298"/>
        <v>0</v>
      </c>
      <c r="Z522" s="186">
        <f t="shared" si="298"/>
        <v>0</v>
      </c>
      <c r="AA522" s="186">
        <f t="shared" si="298"/>
        <v>0</v>
      </c>
      <c r="AB522" s="186">
        <f t="shared" si="298"/>
        <v>0</v>
      </c>
      <c r="AC522" s="186">
        <f t="shared" si="298"/>
        <v>0</v>
      </c>
      <c r="AD522" s="186">
        <f t="shared" si="298"/>
        <v>0</v>
      </c>
      <c r="AE522" s="186">
        <f t="shared" si="298"/>
        <v>0</v>
      </c>
      <c r="AF522" s="186">
        <f t="shared" si="298"/>
        <v>0</v>
      </c>
      <c r="AG522" s="186">
        <f t="shared" si="298"/>
        <v>0</v>
      </c>
      <c r="AH522" s="186">
        <f t="shared" si="298"/>
        <v>0</v>
      </c>
      <c r="AI522" s="186">
        <f t="shared" si="298"/>
        <v>0</v>
      </c>
      <c r="AJ522" s="186">
        <f t="shared" si="298"/>
        <v>0</v>
      </c>
      <c r="AK522" s="186">
        <f t="shared" si="298"/>
        <v>0</v>
      </c>
      <c r="AL522" s="186">
        <f t="shared" si="298"/>
        <v>0</v>
      </c>
      <c r="AM522" s="186">
        <f t="shared" si="298"/>
        <v>0</v>
      </c>
      <c r="AN522" s="186">
        <f t="shared" si="298"/>
        <v>0</v>
      </c>
      <c r="AO522" s="186">
        <f t="shared" si="298"/>
        <v>0</v>
      </c>
      <c r="AP522" s="186">
        <f t="shared" si="298"/>
        <v>0</v>
      </c>
    </row>
    <row r="523" spans="1:42">
      <c r="A523" s="118">
        <f t="shared" si="295"/>
        <v>6</v>
      </c>
      <c r="B523" s="196">
        <f t="shared" si="292"/>
        <v>0</v>
      </c>
      <c r="C523" s="225">
        <f t="shared" ref="C523:AP523" si="299">LOOKUP(C511,$B$501:$AP$501,$B$502:$AP$502)*$B661</f>
        <v>0</v>
      </c>
      <c r="D523" s="186">
        <f t="shared" si="299"/>
        <v>0</v>
      </c>
      <c r="E523" s="186">
        <f t="shared" si="299"/>
        <v>0</v>
      </c>
      <c r="F523" s="186">
        <f t="shared" si="299"/>
        <v>0</v>
      </c>
      <c r="G523" s="186">
        <f t="shared" si="299"/>
        <v>0</v>
      </c>
      <c r="H523" s="186">
        <f t="shared" si="299"/>
        <v>0</v>
      </c>
      <c r="I523" s="186">
        <f t="shared" si="299"/>
        <v>0</v>
      </c>
      <c r="J523" s="186">
        <f t="shared" si="299"/>
        <v>0</v>
      </c>
      <c r="K523" s="186">
        <f t="shared" si="299"/>
        <v>0</v>
      </c>
      <c r="L523" s="186">
        <f t="shared" si="299"/>
        <v>0</v>
      </c>
      <c r="M523" s="186">
        <f t="shared" si="299"/>
        <v>0</v>
      </c>
      <c r="N523" s="186">
        <f t="shared" si="299"/>
        <v>0</v>
      </c>
      <c r="O523" s="186">
        <f t="shared" si="299"/>
        <v>0</v>
      </c>
      <c r="P523" s="186">
        <f t="shared" si="299"/>
        <v>0</v>
      </c>
      <c r="Q523" s="186">
        <f t="shared" si="299"/>
        <v>0</v>
      </c>
      <c r="R523" s="186">
        <f t="shared" si="299"/>
        <v>0</v>
      </c>
      <c r="S523" s="186">
        <f t="shared" si="299"/>
        <v>0</v>
      </c>
      <c r="T523" s="186">
        <f t="shared" si="299"/>
        <v>0</v>
      </c>
      <c r="U523" s="186">
        <f t="shared" si="299"/>
        <v>0</v>
      </c>
      <c r="V523" s="186">
        <f t="shared" si="299"/>
        <v>0</v>
      </c>
      <c r="W523" s="186">
        <f t="shared" si="299"/>
        <v>0</v>
      </c>
      <c r="X523" s="186">
        <f t="shared" si="299"/>
        <v>0</v>
      </c>
      <c r="Y523" s="186">
        <f t="shared" si="299"/>
        <v>0</v>
      </c>
      <c r="Z523" s="186">
        <f t="shared" si="299"/>
        <v>0</v>
      </c>
      <c r="AA523" s="186">
        <f t="shared" si="299"/>
        <v>0</v>
      </c>
      <c r="AB523" s="186">
        <f t="shared" si="299"/>
        <v>0</v>
      </c>
      <c r="AC523" s="186">
        <f t="shared" si="299"/>
        <v>0</v>
      </c>
      <c r="AD523" s="186">
        <f t="shared" si="299"/>
        <v>0</v>
      </c>
      <c r="AE523" s="186">
        <f t="shared" si="299"/>
        <v>0</v>
      </c>
      <c r="AF523" s="186">
        <f t="shared" si="299"/>
        <v>0</v>
      </c>
      <c r="AG523" s="186">
        <f t="shared" si="299"/>
        <v>0</v>
      </c>
      <c r="AH523" s="186">
        <f t="shared" si="299"/>
        <v>0</v>
      </c>
      <c r="AI523" s="186">
        <f t="shared" si="299"/>
        <v>0</v>
      </c>
      <c r="AJ523" s="186">
        <f t="shared" si="299"/>
        <v>0</v>
      </c>
      <c r="AK523" s="186">
        <f t="shared" si="299"/>
        <v>0</v>
      </c>
      <c r="AL523" s="186">
        <f t="shared" si="299"/>
        <v>0</v>
      </c>
      <c r="AM523" s="186">
        <f t="shared" si="299"/>
        <v>0</v>
      </c>
      <c r="AN523" s="186">
        <f t="shared" si="299"/>
        <v>0</v>
      </c>
      <c r="AO523" s="186">
        <f t="shared" si="299"/>
        <v>0</v>
      </c>
      <c r="AP523" s="186">
        <f t="shared" si="299"/>
        <v>0</v>
      </c>
    </row>
    <row r="524" spans="1:42">
      <c r="A524" s="118">
        <f t="shared" si="295"/>
        <v>7</v>
      </c>
      <c r="B524" s="196">
        <f t="shared" si="292"/>
        <v>0</v>
      </c>
      <c r="C524" s="225">
        <f t="shared" ref="C524:AP524" si="300">LOOKUP(C512,$B$501:$AP$501,$B$502:$AP$502)*$B662</f>
        <v>0</v>
      </c>
      <c r="D524" s="186">
        <f t="shared" si="300"/>
        <v>0</v>
      </c>
      <c r="E524" s="186">
        <f t="shared" si="300"/>
        <v>0</v>
      </c>
      <c r="F524" s="186">
        <f t="shared" si="300"/>
        <v>0</v>
      </c>
      <c r="G524" s="186">
        <f t="shared" si="300"/>
        <v>0</v>
      </c>
      <c r="H524" s="186">
        <f t="shared" si="300"/>
        <v>0</v>
      </c>
      <c r="I524" s="186">
        <f t="shared" si="300"/>
        <v>0</v>
      </c>
      <c r="J524" s="186">
        <f t="shared" si="300"/>
        <v>0</v>
      </c>
      <c r="K524" s="186">
        <f t="shared" si="300"/>
        <v>0</v>
      </c>
      <c r="L524" s="186">
        <f t="shared" si="300"/>
        <v>0</v>
      </c>
      <c r="M524" s="186">
        <f t="shared" si="300"/>
        <v>0</v>
      </c>
      <c r="N524" s="186">
        <f t="shared" si="300"/>
        <v>0</v>
      </c>
      <c r="O524" s="186">
        <f t="shared" si="300"/>
        <v>0</v>
      </c>
      <c r="P524" s="186">
        <f t="shared" si="300"/>
        <v>0</v>
      </c>
      <c r="Q524" s="186">
        <f t="shared" si="300"/>
        <v>0</v>
      </c>
      <c r="R524" s="186">
        <f t="shared" si="300"/>
        <v>0</v>
      </c>
      <c r="S524" s="186">
        <f t="shared" si="300"/>
        <v>0</v>
      </c>
      <c r="T524" s="186">
        <f t="shared" si="300"/>
        <v>0</v>
      </c>
      <c r="U524" s="186">
        <f t="shared" si="300"/>
        <v>0</v>
      </c>
      <c r="V524" s="186">
        <f t="shared" si="300"/>
        <v>0</v>
      </c>
      <c r="W524" s="186">
        <f t="shared" si="300"/>
        <v>0</v>
      </c>
      <c r="X524" s="186">
        <f t="shared" si="300"/>
        <v>0</v>
      </c>
      <c r="Y524" s="186">
        <f t="shared" si="300"/>
        <v>0</v>
      </c>
      <c r="Z524" s="186">
        <f t="shared" si="300"/>
        <v>0</v>
      </c>
      <c r="AA524" s="186">
        <f t="shared" si="300"/>
        <v>0</v>
      </c>
      <c r="AB524" s="186">
        <f t="shared" si="300"/>
        <v>0</v>
      </c>
      <c r="AC524" s="186">
        <f t="shared" si="300"/>
        <v>0</v>
      </c>
      <c r="AD524" s="186">
        <f t="shared" si="300"/>
        <v>0</v>
      </c>
      <c r="AE524" s="186">
        <f t="shared" si="300"/>
        <v>0</v>
      </c>
      <c r="AF524" s="186">
        <f t="shared" si="300"/>
        <v>0</v>
      </c>
      <c r="AG524" s="186">
        <f t="shared" si="300"/>
        <v>0</v>
      </c>
      <c r="AH524" s="186">
        <f t="shared" si="300"/>
        <v>0</v>
      </c>
      <c r="AI524" s="186">
        <f t="shared" si="300"/>
        <v>0</v>
      </c>
      <c r="AJ524" s="186">
        <f t="shared" si="300"/>
        <v>0</v>
      </c>
      <c r="AK524" s="186">
        <f t="shared" si="300"/>
        <v>0</v>
      </c>
      <c r="AL524" s="186">
        <f t="shared" si="300"/>
        <v>0</v>
      </c>
      <c r="AM524" s="186">
        <f t="shared" si="300"/>
        <v>0</v>
      </c>
      <c r="AN524" s="186">
        <f t="shared" si="300"/>
        <v>0</v>
      </c>
      <c r="AO524" s="186">
        <f t="shared" si="300"/>
        <v>0</v>
      </c>
      <c r="AP524" s="186">
        <f t="shared" si="300"/>
        <v>0</v>
      </c>
    </row>
    <row r="525" spans="1:42">
      <c r="A525" s="118">
        <f t="shared" si="295"/>
        <v>8</v>
      </c>
      <c r="B525" s="196">
        <f t="shared" si="292"/>
        <v>0</v>
      </c>
      <c r="C525" s="225">
        <f t="shared" ref="C525:AP525" si="301">LOOKUP(C513,$B$501:$AP$501,$B$502:$AP$502)*$B663</f>
        <v>0</v>
      </c>
      <c r="D525" s="186">
        <f t="shared" si="301"/>
        <v>0</v>
      </c>
      <c r="E525" s="186">
        <f t="shared" si="301"/>
        <v>0</v>
      </c>
      <c r="F525" s="186">
        <f t="shared" si="301"/>
        <v>0</v>
      </c>
      <c r="G525" s="186">
        <f t="shared" si="301"/>
        <v>0</v>
      </c>
      <c r="H525" s="186">
        <f t="shared" si="301"/>
        <v>0</v>
      </c>
      <c r="I525" s="186">
        <f t="shared" si="301"/>
        <v>0</v>
      </c>
      <c r="J525" s="186">
        <f t="shared" si="301"/>
        <v>0</v>
      </c>
      <c r="K525" s="186">
        <f t="shared" si="301"/>
        <v>0</v>
      </c>
      <c r="L525" s="186">
        <f t="shared" si="301"/>
        <v>0</v>
      </c>
      <c r="M525" s="186">
        <f t="shared" si="301"/>
        <v>0</v>
      </c>
      <c r="N525" s="186">
        <f t="shared" si="301"/>
        <v>0</v>
      </c>
      <c r="O525" s="186">
        <f t="shared" si="301"/>
        <v>0</v>
      </c>
      <c r="P525" s="186">
        <f t="shared" si="301"/>
        <v>0</v>
      </c>
      <c r="Q525" s="186">
        <f t="shared" si="301"/>
        <v>0</v>
      </c>
      <c r="R525" s="186">
        <f t="shared" si="301"/>
        <v>0</v>
      </c>
      <c r="S525" s="186">
        <f t="shared" si="301"/>
        <v>0</v>
      </c>
      <c r="T525" s="186">
        <f t="shared" si="301"/>
        <v>0</v>
      </c>
      <c r="U525" s="186">
        <f t="shared" si="301"/>
        <v>0</v>
      </c>
      <c r="V525" s="186">
        <f t="shared" si="301"/>
        <v>0</v>
      </c>
      <c r="W525" s="186">
        <f t="shared" si="301"/>
        <v>0</v>
      </c>
      <c r="X525" s="186">
        <f t="shared" si="301"/>
        <v>0</v>
      </c>
      <c r="Y525" s="186">
        <f t="shared" si="301"/>
        <v>0</v>
      </c>
      <c r="Z525" s="186">
        <f t="shared" si="301"/>
        <v>0</v>
      </c>
      <c r="AA525" s="186">
        <f t="shared" si="301"/>
        <v>0</v>
      </c>
      <c r="AB525" s="186">
        <f t="shared" si="301"/>
        <v>0</v>
      </c>
      <c r="AC525" s="186">
        <f t="shared" si="301"/>
        <v>0</v>
      </c>
      <c r="AD525" s="186">
        <f t="shared" si="301"/>
        <v>0</v>
      </c>
      <c r="AE525" s="186">
        <f t="shared" si="301"/>
        <v>0</v>
      </c>
      <c r="AF525" s="186">
        <f t="shared" si="301"/>
        <v>0</v>
      </c>
      <c r="AG525" s="186">
        <f t="shared" si="301"/>
        <v>0</v>
      </c>
      <c r="AH525" s="186">
        <f t="shared" si="301"/>
        <v>0</v>
      </c>
      <c r="AI525" s="186">
        <f t="shared" si="301"/>
        <v>0</v>
      </c>
      <c r="AJ525" s="186">
        <f t="shared" si="301"/>
        <v>0</v>
      </c>
      <c r="AK525" s="186">
        <f t="shared" si="301"/>
        <v>0</v>
      </c>
      <c r="AL525" s="186">
        <f t="shared" si="301"/>
        <v>0</v>
      </c>
      <c r="AM525" s="186">
        <f t="shared" si="301"/>
        <v>0</v>
      </c>
      <c r="AN525" s="186">
        <f t="shared" si="301"/>
        <v>0</v>
      </c>
      <c r="AO525" s="186">
        <f t="shared" si="301"/>
        <v>0</v>
      </c>
      <c r="AP525" s="186">
        <f t="shared" si="301"/>
        <v>0</v>
      </c>
    </row>
    <row r="526" spans="1:42">
      <c r="A526" s="118">
        <f>A525+1</f>
        <v>9</v>
      </c>
      <c r="B526" s="196">
        <f t="shared" si="292"/>
        <v>0</v>
      </c>
      <c r="C526" s="225">
        <f t="shared" ref="C526:AP526" si="302">LOOKUP(C514,$B$501:$AP$501,$B$502:$AP$502)*$B664</f>
        <v>0</v>
      </c>
      <c r="D526" s="186">
        <f t="shared" si="302"/>
        <v>0</v>
      </c>
      <c r="E526" s="186">
        <f t="shared" si="302"/>
        <v>0</v>
      </c>
      <c r="F526" s="186">
        <f t="shared" si="302"/>
        <v>0</v>
      </c>
      <c r="G526" s="186">
        <f t="shared" si="302"/>
        <v>0</v>
      </c>
      <c r="H526" s="186">
        <f t="shared" si="302"/>
        <v>0</v>
      </c>
      <c r="I526" s="186">
        <f t="shared" si="302"/>
        <v>0</v>
      </c>
      <c r="J526" s="186">
        <f t="shared" si="302"/>
        <v>0</v>
      </c>
      <c r="K526" s="186">
        <f t="shared" si="302"/>
        <v>0</v>
      </c>
      <c r="L526" s="186">
        <f t="shared" si="302"/>
        <v>0</v>
      </c>
      <c r="M526" s="186">
        <f t="shared" si="302"/>
        <v>0</v>
      </c>
      <c r="N526" s="186">
        <f t="shared" si="302"/>
        <v>0</v>
      </c>
      <c r="O526" s="186">
        <f t="shared" si="302"/>
        <v>0</v>
      </c>
      <c r="P526" s="186">
        <f t="shared" si="302"/>
        <v>0</v>
      </c>
      <c r="Q526" s="186">
        <f t="shared" si="302"/>
        <v>0</v>
      </c>
      <c r="R526" s="186">
        <f t="shared" si="302"/>
        <v>0</v>
      </c>
      <c r="S526" s="186">
        <f t="shared" si="302"/>
        <v>0</v>
      </c>
      <c r="T526" s="186">
        <f t="shared" si="302"/>
        <v>0</v>
      </c>
      <c r="U526" s="186">
        <f t="shared" si="302"/>
        <v>0</v>
      </c>
      <c r="V526" s="186">
        <f t="shared" si="302"/>
        <v>0</v>
      </c>
      <c r="W526" s="186">
        <f t="shared" si="302"/>
        <v>0</v>
      </c>
      <c r="X526" s="186">
        <f t="shared" si="302"/>
        <v>0</v>
      </c>
      <c r="Y526" s="186">
        <f t="shared" si="302"/>
        <v>0</v>
      </c>
      <c r="Z526" s="186">
        <f t="shared" si="302"/>
        <v>0</v>
      </c>
      <c r="AA526" s="186">
        <f t="shared" si="302"/>
        <v>0</v>
      </c>
      <c r="AB526" s="186">
        <f t="shared" si="302"/>
        <v>0</v>
      </c>
      <c r="AC526" s="186">
        <f t="shared" si="302"/>
        <v>0</v>
      </c>
      <c r="AD526" s="186">
        <f t="shared" si="302"/>
        <v>0</v>
      </c>
      <c r="AE526" s="186">
        <f t="shared" si="302"/>
        <v>0</v>
      </c>
      <c r="AF526" s="186">
        <f t="shared" si="302"/>
        <v>0</v>
      </c>
      <c r="AG526" s="186">
        <f t="shared" si="302"/>
        <v>0</v>
      </c>
      <c r="AH526" s="186">
        <f t="shared" si="302"/>
        <v>0</v>
      </c>
      <c r="AI526" s="186">
        <f t="shared" si="302"/>
        <v>0</v>
      </c>
      <c r="AJ526" s="186">
        <f t="shared" si="302"/>
        <v>0</v>
      </c>
      <c r="AK526" s="186">
        <f t="shared" si="302"/>
        <v>0</v>
      </c>
      <c r="AL526" s="186">
        <f t="shared" si="302"/>
        <v>0</v>
      </c>
      <c r="AM526" s="186">
        <f t="shared" si="302"/>
        <v>0</v>
      </c>
      <c r="AN526" s="186">
        <f t="shared" si="302"/>
        <v>0</v>
      </c>
      <c r="AO526" s="186">
        <f t="shared" si="302"/>
        <v>0</v>
      </c>
      <c r="AP526" s="186">
        <f t="shared" si="302"/>
        <v>0</v>
      </c>
    </row>
    <row r="527" spans="1:42">
      <c r="A527" s="118">
        <f t="shared" ref="A527" si="303">A526+1</f>
        <v>10</v>
      </c>
      <c r="B527" s="196">
        <f t="shared" si="292"/>
        <v>0</v>
      </c>
      <c r="C527" s="221">
        <f t="shared" ref="C527:AP527" si="304">LOOKUP(C515,$B$501:$AP$501,$B$502:$AP$502)*$B665</f>
        <v>0</v>
      </c>
      <c r="D527" s="187">
        <f t="shared" si="304"/>
        <v>0</v>
      </c>
      <c r="E527" s="187">
        <f t="shared" si="304"/>
        <v>0</v>
      </c>
      <c r="F527" s="187">
        <f t="shared" si="304"/>
        <v>0</v>
      </c>
      <c r="G527" s="187">
        <f t="shared" si="304"/>
        <v>0</v>
      </c>
      <c r="H527" s="187">
        <f t="shared" si="304"/>
        <v>0</v>
      </c>
      <c r="I527" s="187">
        <f t="shared" si="304"/>
        <v>0</v>
      </c>
      <c r="J527" s="187">
        <f t="shared" si="304"/>
        <v>0</v>
      </c>
      <c r="K527" s="187">
        <f t="shared" si="304"/>
        <v>0</v>
      </c>
      <c r="L527" s="187">
        <f t="shared" si="304"/>
        <v>0</v>
      </c>
      <c r="M527" s="187">
        <f t="shared" si="304"/>
        <v>0</v>
      </c>
      <c r="N527" s="187">
        <f t="shared" si="304"/>
        <v>0</v>
      </c>
      <c r="O527" s="187">
        <f t="shared" si="304"/>
        <v>0</v>
      </c>
      <c r="P527" s="187">
        <f t="shared" si="304"/>
        <v>0</v>
      </c>
      <c r="Q527" s="187">
        <f t="shared" si="304"/>
        <v>0</v>
      </c>
      <c r="R527" s="187">
        <f t="shared" si="304"/>
        <v>0</v>
      </c>
      <c r="S527" s="187">
        <f t="shared" si="304"/>
        <v>0</v>
      </c>
      <c r="T527" s="187">
        <f t="shared" si="304"/>
        <v>0</v>
      </c>
      <c r="U527" s="187">
        <f t="shared" si="304"/>
        <v>0</v>
      </c>
      <c r="V527" s="187">
        <f t="shared" si="304"/>
        <v>0</v>
      </c>
      <c r="W527" s="187">
        <f t="shared" si="304"/>
        <v>0</v>
      </c>
      <c r="X527" s="187">
        <f t="shared" si="304"/>
        <v>0</v>
      </c>
      <c r="Y527" s="187">
        <f t="shared" si="304"/>
        <v>0</v>
      </c>
      <c r="Z527" s="187">
        <f t="shared" si="304"/>
        <v>0</v>
      </c>
      <c r="AA527" s="187">
        <f t="shared" si="304"/>
        <v>0</v>
      </c>
      <c r="AB527" s="187">
        <f t="shared" si="304"/>
        <v>0</v>
      </c>
      <c r="AC527" s="187">
        <f t="shared" si="304"/>
        <v>0</v>
      </c>
      <c r="AD527" s="187">
        <f t="shared" si="304"/>
        <v>0</v>
      </c>
      <c r="AE527" s="187">
        <f t="shared" si="304"/>
        <v>0</v>
      </c>
      <c r="AF527" s="187">
        <f t="shared" si="304"/>
        <v>0</v>
      </c>
      <c r="AG527" s="187">
        <f t="shared" si="304"/>
        <v>0</v>
      </c>
      <c r="AH527" s="187">
        <f t="shared" si="304"/>
        <v>0</v>
      </c>
      <c r="AI527" s="187">
        <f t="shared" si="304"/>
        <v>0</v>
      </c>
      <c r="AJ527" s="187">
        <f t="shared" si="304"/>
        <v>0</v>
      </c>
      <c r="AK527" s="187">
        <f t="shared" si="304"/>
        <v>0</v>
      </c>
      <c r="AL527" s="187">
        <f t="shared" si="304"/>
        <v>0</v>
      </c>
      <c r="AM527" s="187">
        <f t="shared" si="304"/>
        <v>0</v>
      </c>
      <c r="AN527" s="187">
        <f t="shared" si="304"/>
        <v>0</v>
      </c>
      <c r="AO527" s="187">
        <f t="shared" si="304"/>
        <v>0</v>
      </c>
      <c r="AP527" s="187">
        <f t="shared" si="304"/>
        <v>0</v>
      </c>
    </row>
    <row r="528" spans="1:42" s="118" customFormat="1">
      <c r="A528" s="222" t="s">
        <v>53</v>
      </c>
      <c r="B528" s="141"/>
      <c r="C528" s="141">
        <f>SUM(C518:C527)</f>
        <v>0</v>
      </c>
      <c r="D528" s="141">
        <f t="shared" ref="D528:AP528" si="305">SUM(D518:D527)</f>
        <v>0</v>
      </c>
      <c r="E528" s="141">
        <f t="shared" si="305"/>
        <v>0</v>
      </c>
      <c r="F528" s="141">
        <f t="shared" si="305"/>
        <v>0</v>
      </c>
      <c r="G528" s="141">
        <f t="shared" si="305"/>
        <v>0</v>
      </c>
      <c r="H528" s="141">
        <f t="shared" si="305"/>
        <v>0</v>
      </c>
      <c r="I528" s="141">
        <f t="shared" si="305"/>
        <v>0</v>
      </c>
      <c r="J528" s="141">
        <f t="shared" si="305"/>
        <v>0</v>
      </c>
      <c r="K528" s="141">
        <f t="shared" si="305"/>
        <v>0</v>
      </c>
      <c r="L528" s="141">
        <f t="shared" si="305"/>
        <v>0</v>
      </c>
      <c r="M528" s="141">
        <f t="shared" si="305"/>
        <v>0</v>
      </c>
      <c r="N528" s="141">
        <f t="shared" si="305"/>
        <v>588974.46870026283</v>
      </c>
      <c r="O528" s="141">
        <f t="shared" si="305"/>
        <v>942359.14992042049</v>
      </c>
      <c r="P528" s="141">
        <f t="shared" si="305"/>
        <v>565415.48995225236</v>
      </c>
      <c r="Q528" s="141">
        <f t="shared" si="305"/>
        <v>339249.29397135135</v>
      </c>
      <c r="R528" s="141">
        <f t="shared" si="305"/>
        <v>339249.29397135135</v>
      </c>
      <c r="S528" s="141">
        <f t="shared" si="305"/>
        <v>169624.64698567567</v>
      </c>
      <c r="T528" s="141">
        <f t="shared" si="305"/>
        <v>0</v>
      </c>
      <c r="U528" s="141">
        <f t="shared" si="305"/>
        <v>0</v>
      </c>
      <c r="V528" s="141">
        <f t="shared" si="305"/>
        <v>0</v>
      </c>
      <c r="W528" s="141">
        <f t="shared" si="305"/>
        <v>0</v>
      </c>
      <c r="X528" s="141">
        <f t="shared" si="305"/>
        <v>0</v>
      </c>
      <c r="Y528" s="141">
        <f t="shared" si="305"/>
        <v>0</v>
      </c>
      <c r="Z528" s="141">
        <f t="shared" si="305"/>
        <v>704188.57730493625</v>
      </c>
      <c r="AA528" s="141">
        <f t="shared" si="305"/>
        <v>1126701.7236878979</v>
      </c>
      <c r="AB528" s="141">
        <f t="shared" si="305"/>
        <v>676021.03421273874</v>
      </c>
      <c r="AC528" s="141">
        <f t="shared" si="305"/>
        <v>405612.62052764324</v>
      </c>
      <c r="AD528" s="141">
        <f t="shared" si="305"/>
        <v>405612.62052764324</v>
      </c>
      <c r="AE528" s="141">
        <f t="shared" si="305"/>
        <v>202806.31026382162</v>
      </c>
      <c r="AF528" s="141">
        <f t="shared" si="305"/>
        <v>0</v>
      </c>
      <c r="AG528" s="141">
        <f t="shared" si="305"/>
        <v>0</v>
      </c>
      <c r="AH528" s="141">
        <f t="shared" si="305"/>
        <v>0</v>
      </c>
      <c r="AI528" s="141">
        <f t="shared" si="305"/>
        <v>0</v>
      </c>
      <c r="AJ528" s="141">
        <f t="shared" si="305"/>
        <v>0</v>
      </c>
      <c r="AK528" s="141">
        <f t="shared" si="305"/>
        <v>0</v>
      </c>
      <c r="AL528" s="141">
        <f t="shared" si="305"/>
        <v>0</v>
      </c>
      <c r="AM528" s="141">
        <f t="shared" si="305"/>
        <v>0</v>
      </c>
      <c r="AN528" s="141">
        <f t="shared" si="305"/>
        <v>0</v>
      </c>
      <c r="AO528" s="141">
        <f t="shared" si="305"/>
        <v>0</v>
      </c>
      <c r="AP528" s="141">
        <f t="shared" si="305"/>
        <v>0</v>
      </c>
    </row>
    <row r="529" spans="1:42" s="118" customFormat="1">
      <c r="A529" s="222"/>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c r="AA529" s="141"/>
      <c r="AB529" s="141"/>
      <c r="AC529" s="141"/>
      <c r="AD529" s="141"/>
      <c r="AE529" s="141"/>
      <c r="AF529" s="141"/>
      <c r="AG529" s="141"/>
      <c r="AH529" s="141"/>
      <c r="AI529" s="141"/>
      <c r="AJ529" s="141"/>
      <c r="AK529" s="141"/>
      <c r="AL529" s="141"/>
      <c r="AM529" s="141"/>
      <c r="AN529" s="141"/>
      <c r="AO529" s="141"/>
      <c r="AP529" s="141"/>
    </row>
    <row r="530" spans="1:42">
      <c r="A530" s="197" t="s">
        <v>371</v>
      </c>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c r="AM530" s="186"/>
      <c r="AN530" s="186"/>
      <c r="AO530" s="186"/>
      <c r="AP530" s="186"/>
    </row>
    <row r="531" spans="1:42">
      <c r="A531" s="204" t="s">
        <v>207</v>
      </c>
      <c r="C531" s="186"/>
      <c r="D531" s="186"/>
      <c r="E531" s="186"/>
      <c r="F531" s="186"/>
      <c r="G531" s="186"/>
      <c r="H531" s="186"/>
      <c r="I531" s="186"/>
      <c r="J531" s="186"/>
      <c r="K531" s="186"/>
      <c r="L531" s="186"/>
      <c r="M531" s="186"/>
      <c r="N531" s="186"/>
      <c r="O531" s="186"/>
      <c r="P531" s="186"/>
      <c r="Q531" s="186"/>
      <c r="R531" s="186"/>
      <c r="S531" s="186"/>
      <c r="T531" s="186"/>
      <c r="U531" s="186"/>
      <c r="V531" s="186"/>
      <c r="W531" s="186"/>
      <c r="X531" s="186"/>
      <c r="Y531" s="186"/>
      <c r="Z531" s="186"/>
      <c r="AA531" s="186"/>
      <c r="AB531" s="186"/>
      <c r="AC531" s="186"/>
      <c r="AD531" s="186"/>
      <c r="AE531" s="186"/>
      <c r="AF531" s="186"/>
      <c r="AG531" s="186"/>
      <c r="AH531" s="186"/>
      <c r="AI531" s="186"/>
      <c r="AJ531" s="186"/>
      <c r="AK531" s="186"/>
      <c r="AL531" s="186"/>
      <c r="AM531" s="186"/>
      <c r="AN531" s="186"/>
      <c r="AO531" s="186"/>
      <c r="AP531" s="186"/>
    </row>
    <row r="532" spans="1:42">
      <c r="A532" s="118">
        <v>1</v>
      </c>
      <c r="C532" s="186">
        <f>C397</f>
        <v>0</v>
      </c>
      <c r="D532" s="186">
        <f t="shared" ref="D532:AP538" si="306">D397</f>
        <v>0</v>
      </c>
      <c r="E532" s="186">
        <f t="shared" si="306"/>
        <v>0</v>
      </c>
      <c r="F532" s="186">
        <f t="shared" si="306"/>
        <v>0</v>
      </c>
      <c r="G532" s="186">
        <f t="shared" si="306"/>
        <v>0</v>
      </c>
      <c r="H532" s="186">
        <f t="shared" si="306"/>
        <v>0</v>
      </c>
      <c r="I532" s="186">
        <f t="shared" si="306"/>
        <v>0</v>
      </c>
      <c r="J532" s="186">
        <f t="shared" si="306"/>
        <v>0</v>
      </c>
      <c r="K532" s="186">
        <f t="shared" si="306"/>
        <v>0</v>
      </c>
      <c r="L532" s="186">
        <f t="shared" si="306"/>
        <v>0</v>
      </c>
      <c r="M532" s="186">
        <f t="shared" si="306"/>
        <v>0</v>
      </c>
      <c r="N532" s="186">
        <f t="shared" si="306"/>
        <v>0</v>
      </c>
      <c r="O532" s="186">
        <f t="shared" si="306"/>
        <v>0</v>
      </c>
      <c r="P532" s="186">
        <f t="shared" si="306"/>
        <v>0</v>
      </c>
      <c r="Q532" s="186">
        <f t="shared" si="306"/>
        <v>1</v>
      </c>
      <c r="R532" s="186">
        <f t="shared" si="306"/>
        <v>2</v>
      </c>
      <c r="S532" s="186">
        <f t="shared" si="306"/>
        <v>3</v>
      </c>
      <c r="T532" s="186">
        <f t="shared" si="306"/>
        <v>4</v>
      </c>
      <c r="U532" s="186">
        <f t="shared" si="306"/>
        <v>5</v>
      </c>
      <c r="V532" s="186">
        <f t="shared" si="306"/>
        <v>6</v>
      </c>
      <c r="W532" s="186">
        <f t="shared" si="306"/>
        <v>7</v>
      </c>
      <c r="X532" s="186">
        <f t="shared" si="306"/>
        <v>8</v>
      </c>
      <c r="Y532" s="186">
        <f t="shared" si="306"/>
        <v>9</v>
      </c>
      <c r="Z532" s="186">
        <f t="shared" si="306"/>
        <v>10</v>
      </c>
      <c r="AA532" s="186">
        <f t="shared" si="306"/>
        <v>11</v>
      </c>
      <c r="AB532" s="186">
        <f t="shared" si="306"/>
        <v>12</v>
      </c>
      <c r="AC532" s="186">
        <f t="shared" si="306"/>
        <v>13</v>
      </c>
      <c r="AD532" s="186">
        <f t="shared" si="306"/>
        <v>14</v>
      </c>
      <c r="AE532" s="186">
        <f t="shared" si="306"/>
        <v>15</v>
      </c>
      <c r="AF532" s="186">
        <f t="shared" si="306"/>
        <v>16</v>
      </c>
      <c r="AG532" s="186">
        <f t="shared" si="306"/>
        <v>0</v>
      </c>
      <c r="AH532" s="186">
        <f t="shared" si="306"/>
        <v>0</v>
      </c>
      <c r="AI532" s="186">
        <f t="shared" si="306"/>
        <v>0</v>
      </c>
      <c r="AJ532" s="186">
        <f t="shared" si="306"/>
        <v>0</v>
      </c>
      <c r="AK532" s="186">
        <f t="shared" si="306"/>
        <v>0</v>
      </c>
      <c r="AL532" s="186">
        <f t="shared" si="306"/>
        <v>0</v>
      </c>
      <c r="AM532" s="186">
        <f t="shared" si="306"/>
        <v>0</v>
      </c>
      <c r="AN532" s="186">
        <f t="shared" si="306"/>
        <v>0</v>
      </c>
      <c r="AO532" s="186">
        <f t="shared" si="306"/>
        <v>0</v>
      </c>
      <c r="AP532" s="186">
        <f t="shared" si="306"/>
        <v>0</v>
      </c>
    </row>
    <row r="533" spans="1:42">
      <c r="A533" s="118">
        <f>A532+1</f>
        <v>2</v>
      </c>
      <c r="C533" s="186">
        <f t="shared" ref="C533:R541" si="307">C398</f>
        <v>0</v>
      </c>
      <c r="D533" s="186">
        <f t="shared" si="307"/>
        <v>0</v>
      </c>
      <c r="E533" s="186">
        <f t="shared" si="307"/>
        <v>0</v>
      </c>
      <c r="F533" s="186">
        <f t="shared" si="307"/>
        <v>0</v>
      </c>
      <c r="G533" s="186">
        <f t="shared" si="307"/>
        <v>0</v>
      </c>
      <c r="H533" s="186">
        <f t="shared" si="307"/>
        <v>0</v>
      </c>
      <c r="I533" s="186">
        <f t="shared" si="307"/>
        <v>0</v>
      </c>
      <c r="J533" s="186">
        <f t="shared" si="307"/>
        <v>0</v>
      </c>
      <c r="K533" s="186">
        <f t="shared" si="307"/>
        <v>0</v>
      </c>
      <c r="L533" s="186">
        <f t="shared" si="307"/>
        <v>0</v>
      </c>
      <c r="M533" s="186">
        <f t="shared" si="307"/>
        <v>0</v>
      </c>
      <c r="N533" s="186">
        <f t="shared" si="307"/>
        <v>0</v>
      </c>
      <c r="O533" s="186">
        <f t="shared" si="307"/>
        <v>0</v>
      </c>
      <c r="P533" s="186">
        <f t="shared" si="307"/>
        <v>0</v>
      </c>
      <c r="Q533" s="186">
        <f t="shared" si="307"/>
        <v>0</v>
      </c>
      <c r="R533" s="186">
        <f t="shared" si="307"/>
        <v>0</v>
      </c>
      <c r="S533" s="186">
        <f t="shared" si="306"/>
        <v>0</v>
      </c>
      <c r="T533" s="186">
        <f t="shared" si="306"/>
        <v>0</v>
      </c>
      <c r="U533" s="186">
        <f t="shared" si="306"/>
        <v>0</v>
      </c>
      <c r="V533" s="186">
        <f t="shared" si="306"/>
        <v>0</v>
      </c>
      <c r="W533" s="186">
        <f t="shared" si="306"/>
        <v>0</v>
      </c>
      <c r="X533" s="186">
        <f t="shared" si="306"/>
        <v>0</v>
      </c>
      <c r="Y533" s="186">
        <f t="shared" si="306"/>
        <v>0</v>
      </c>
      <c r="Z533" s="186">
        <f t="shared" si="306"/>
        <v>0</v>
      </c>
      <c r="AA533" s="186">
        <f t="shared" si="306"/>
        <v>0</v>
      </c>
      <c r="AB533" s="186">
        <f t="shared" si="306"/>
        <v>0</v>
      </c>
      <c r="AC533" s="186">
        <f t="shared" si="306"/>
        <v>0</v>
      </c>
      <c r="AD533" s="186">
        <f t="shared" si="306"/>
        <v>0</v>
      </c>
      <c r="AE533" s="186">
        <f t="shared" si="306"/>
        <v>0</v>
      </c>
      <c r="AF533" s="186">
        <f t="shared" si="306"/>
        <v>1</v>
      </c>
      <c r="AG533" s="186">
        <f t="shared" si="306"/>
        <v>0</v>
      </c>
      <c r="AH533" s="186">
        <f t="shared" si="306"/>
        <v>0</v>
      </c>
      <c r="AI533" s="186">
        <f t="shared" si="306"/>
        <v>0</v>
      </c>
      <c r="AJ533" s="186">
        <f t="shared" si="306"/>
        <v>0</v>
      </c>
      <c r="AK533" s="186">
        <f t="shared" si="306"/>
        <v>0</v>
      </c>
      <c r="AL533" s="186">
        <f t="shared" si="306"/>
        <v>0</v>
      </c>
      <c r="AM533" s="186">
        <f t="shared" si="306"/>
        <v>0</v>
      </c>
      <c r="AN533" s="186">
        <f t="shared" si="306"/>
        <v>0</v>
      </c>
      <c r="AO533" s="186">
        <f t="shared" si="306"/>
        <v>0</v>
      </c>
      <c r="AP533" s="186">
        <f t="shared" si="306"/>
        <v>0</v>
      </c>
    </row>
    <row r="534" spans="1:42">
      <c r="A534" s="118">
        <f t="shared" ref="A534:A539" si="308">A533+1</f>
        <v>3</v>
      </c>
      <c r="C534" s="186">
        <f t="shared" si="307"/>
        <v>0</v>
      </c>
      <c r="D534" s="186">
        <f t="shared" si="306"/>
        <v>0</v>
      </c>
      <c r="E534" s="186">
        <f t="shared" si="306"/>
        <v>0</v>
      </c>
      <c r="F534" s="186">
        <f t="shared" si="306"/>
        <v>0</v>
      </c>
      <c r="G534" s="186">
        <f t="shared" si="306"/>
        <v>0</v>
      </c>
      <c r="H534" s="186">
        <f t="shared" si="306"/>
        <v>0</v>
      </c>
      <c r="I534" s="186">
        <f t="shared" si="306"/>
        <v>0</v>
      </c>
      <c r="J534" s="186">
        <f t="shared" si="306"/>
        <v>0</v>
      </c>
      <c r="K534" s="186">
        <f t="shared" si="306"/>
        <v>0</v>
      </c>
      <c r="L534" s="186">
        <f t="shared" si="306"/>
        <v>0</v>
      </c>
      <c r="M534" s="186">
        <f t="shared" si="306"/>
        <v>0</v>
      </c>
      <c r="N534" s="186">
        <f t="shared" si="306"/>
        <v>0</v>
      </c>
      <c r="O534" s="186">
        <f t="shared" si="306"/>
        <v>0</v>
      </c>
      <c r="P534" s="186">
        <f t="shared" si="306"/>
        <v>0</v>
      </c>
      <c r="Q534" s="186">
        <f t="shared" si="306"/>
        <v>0</v>
      </c>
      <c r="R534" s="186">
        <f t="shared" si="306"/>
        <v>0</v>
      </c>
      <c r="S534" s="186">
        <f t="shared" si="306"/>
        <v>0</v>
      </c>
      <c r="T534" s="186">
        <f t="shared" si="306"/>
        <v>0</v>
      </c>
      <c r="U534" s="186">
        <f t="shared" si="306"/>
        <v>0</v>
      </c>
      <c r="V534" s="186">
        <f t="shared" si="306"/>
        <v>0</v>
      </c>
      <c r="W534" s="186">
        <f t="shared" si="306"/>
        <v>0</v>
      </c>
      <c r="X534" s="186">
        <f t="shared" si="306"/>
        <v>0</v>
      </c>
      <c r="Y534" s="186">
        <f t="shared" si="306"/>
        <v>0</v>
      </c>
      <c r="Z534" s="186">
        <f t="shared" si="306"/>
        <v>0</v>
      </c>
      <c r="AA534" s="186">
        <f t="shared" si="306"/>
        <v>0</v>
      </c>
      <c r="AB534" s="186">
        <f t="shared" si="306"/>
        <v>0</v>
      </c>
      <c r="AC534" s="186">
        <f t="shared" si="306"/>
        <v>0</v>
      </c>
      <c r="AD534" s="186">
        <f t="shared" si="306"/>
        <v>0</v>
      </c>
      <c r="AE534" s="186">
        <f t="shared" si="306"/>
        <v>0</v>
      </c>
      <c r="AF534" s="186">
        <f t="shared" si="306"/>
        <v>0</v>
      </c>
      <c r="AG534" s="186">
        <f t="shared" si="306"/>
        <v>0</v>
      </c>
      <c r="AH534" s="186">
        <f t="shared" si="306"/>
        <v>0</v>
      </c>
      <c r="AI534" s="186">
        <f t="shared" si="306"/>
        <v>0</v>
      </c>
      <c r="AJ534" s="186">
        <f t="shared" si="306"/>
        <v>0</v>
      </c>
      <c r="AK534" s="186">
        <f t="shared" si="306"/>
        <v>0</v>
      </c>
      <c r="AL534" s="186">
        <f t="shared" si="306"/>
        <v>0</v>
      </c>
      <c r="AM534" s="186">
        <f t="shared" si="306"/>
        <v>0</v>
      </c>
      <c r="AN534" s="186">
        <f t="shared" si="306"/>
        <v>0</v>
      </c>
      <c r="AO534" s="186">
        <f t="shared" si="306"/>
        <v>0</v>
      </c>
      <c r="AP534" s="186">
        <f t="shared" si="306"/>
        <v>0</v>
      </c>
    </row>
    <row r="535" spans="1:42">
      <c r="A535" s="118">
        <f t="shared" si="308"/>
        <v>4</v>
      </c>
      <c r="C535" s="186">
        <f t="shared" si="307"/>
        <v>0</v>
      </c>
      <c r="D535" s="186">
        <f t="shared" si="306"/>
        <v>0</v>
      </c>
      <c r="E535" s="186">
        <f t="shared" si="306"/>
        <v>0</v>
      </c>
      <c r="F535" s="186">
        <f t="shared" si="306"/>
        <v>0</v>
      </c>
      <c r="G535" s="186">
        <f t="shared" si="306"/>
        <v>0</v>
      </c>
      <c r="H535" s="186">
        <f t="shared" si="306"/>
        <v>0</v>
      </c>
      <c r="I535" s="186">
        <f t="shared" si="306"/>
        <v>0</v>
      </c>
      <c r="J535" s="186">
        <f t="shared" si="306"/>
        <v>0</v>
      </c>
      <c r="K535" s="186">
        <f t="shared" si="306"/>
        <v>0</v>
      </c>
      <c r="L535" s="186">
        <f t="shared" si="306"/>
        <v>0</v>
      </c>
      <c r="M535" s="186">
        <f t="shared" si="306"/>
        <v>0</v>
      </c>
      <c r="N535" s="186">
        <f t="shared" si="306"/>
        <v>0</v>
      </c>
      <c r="O535" s="186">
        <f t="shared" si="306"/>
        <v>0</v>
      </c>
      <c r="P535" s="186">
        <f t="shared" si="306"/>
        <v>0</v>
      </c>
      <c r="Q535" s="186">
        <f t="shared" si="306"/>
        <v>0</v>
      </c>
      <c r="R535" s="186">
        <f t="shared" si="306"/>
        <v>0</v>
      </c>
      <c r="S535" s="186">
        <f t="shared" si="306"/>
        <v>0</v>
      </c>
      <c r="T535" s="186">
        <f t="shared" si="306"/>
        <v>0</v>
      </c>
      <c r="U535" s="186">
        <f t="shared" si="306"/>
        <v>0</v>
      </c>
      <c r="V535" s="186">
        <f t="shared" si="306"/>
        <v>0</v>
      </c>
      <c r="W535" s="186">
        <f t="shared" si="306"/>
        <v>0</v>
      </c>
      <c r="X535" s="186">
        <f t="shared" si="306"/>
        <v>0</v>
      </c>
      <c r="Y535" s="186">
        <f t="shared" si="306"/>
        <v>0</v>
      </c>
      <c r="Z535" s="186">
        <f t="shared" si="306"/>
        <v>0</v>
      </c>
      <c r="AA535" s="186">
        <f t="shared" si="306"/>
        <v>0</v>
      </c>
      <c r="AB535" s="186">
        <f t="shared" si="306"/>
        <v>0</v>
      </c>
      <c r="AC535" s="186">
        <f t="shared" si="306"/>
        <v>0</v>
      </c>
      <c r="AD535" s="186">
        <f t="shared" si="306"/>
        <v>0</v>
      </c>
      <c r="AE535" s="186">
        <f t="shared" si="306"/>
        <v>0</v>
      </c>
      <c r="AF535" s="186">
        <f t="shared" si="306"/>
        <v>0</v>
      </c>
      <c r="AG535" s="186">
        <f t="shared" si="306"/>
        <v>0</v>
      </c>
      <c r="AH535" s="186">
        <f t="shared" si="306"/>
        <v>0</v>
      </c>
      <c r="AI535" s="186">
        <f t="shared" si="306"/>
        <v>0</v>
      </c>
      <c r="AJ535" s="186">
        <f t="shared" si="306"/>
        <v>0</v>
      </c>
      <c r="AK535" s="186">
        <f t="shared" si="306"/>
        <v>0</v>
      </c>
      <c r="AL535" s="186">
        <f t="shared" si="306"/>
        <v>0</v>
      </c>
      <c r="AM535" s="186">
        <f t="shared" si="306"/>
        <v>0</v>
      </c>
      <c r="AN535" s="186">
        <f t="shared" si="306"/>
        <v>0</v>
      </c>
      <c r="AO535" s="186">
        <f t="shared" si="306"/>
        <v>0</v>
      </c>
      <c r="AP535" s="186">
        <f t="shared" si="306"/>
        <v>0</v>
      </c>
    </row>
    <row r="536" spans="1:42">
      <c r="A536" s="118">
        <f t="shared" si="308"/>
        <v>5</v>
      </c>
      <c r="C536" s="186">
        <f t="shared" si="307"/>
        <v>0</v>
      </c>
      <c r="D536" s="186">
        <f t="shared" si="306"/>
        <v>0</v>
      </c>
      <c r="E536" s="186">
        <f t="shared" si="306"/>
        <v>0</v>
      </c>
      <c r="F536" s="186">
        <f t="shared" si="306"/>
        <v>0</v>
      </c>
      <c r="G536" s="186">
        <f t="shared" si="306"/>
        <v>0</v>
      </c>
      <c r="H536" s="186">
        <f t="shared" si="306"/>
        <v>0</v>
      </c>
      <c r="I536" s="186">
        <f t="shared" si="306"/>
        <v>0</v>
      </c>
      <c r="J536" s="186">
        <f t="shared" si="306"/>
        <v>0</v>
      </c>
      <c r="K536" s="186">
        <f t="shared" si="306"/>
        <v>0</v>
      </c>
      <c r="L536" s="186">
        <f t="shared" si="306"/>
        <v>0</v>
      </c>
      <c r="M536" s="186">
        <f t="shared" si="306"/>
        <v>0</v>
      </c>
      <c r="N536" s="186">
        <f t="shared" si="306"/>
        <v>0</v>
      </c>
      <c r="O536" s="186">
        <f t="shared" si="306"/>
        <v>0</v>
      </c>
      <c r="P536" s="186">
        <f t="shared" si="306"/>
        <v>0</v>
      </c>
      <c r="Q536" s="186">
        <f t="shared" si="306"/>
        <v>0</v>
      </c>
      <c r="R536" s="186">
        <f t="shared" si="306"/>
        <v>0</v>
      </c>
      <c r="S536" s="186">
        <f t="shared" si="306"/>
        <v>0</v>
      </c>
      <c r="T536" s="186">
        <f t="shared" si="306"/>
        <v>0</v>
      </c>
      <c r="U536" s="186">
        <f t="shared" si="306"/>
        <v>0</v>
      </c>
      <c r="V536" s="186">
        <f t="shared" si="306"/>
        <v>0</v>
      </c>
      <c r="W536" s="186">
        <f t="shared" si="306"/>
        <v>0</v>
      </c>
      <c r="X536" s="186">
        <f t="shared" si="306"/>
        <v>0</v>
      </c>
      <c r="Y536" s="186">
        <f t="shared" si="306"/>
        <v>0</v>
      </c>
      <c r="Z536" s="186">
        <f t="shared" si="306"/>
        <v>0</v>
      </c>
      <c r="AA536" s="186">
        <f t="shared" si="306"/>
        <v>0</v>
      </c>
      <c r="AB536" s="186">
        <f t="shared" si="306"/>
        <v>0</v>
      </c>
      <c r="AC536" s="186">
        <f t="shared" si="306"/>
        <v>0</v>
      </c>
      <c r="AD536" s="186">
        <f t="shared" si="306"/>
        <v>0</v>
      </c>
      <c r="AE536" s="186">
        <f t="shared" si="306"/>
        <v>0</v>
      </c>
      <c r="AF536" s="186">
        <f t="shared" si="306"/>
        <v>0</v>
      </c>
      <c r="AG536" s="186">
        <f t="shared" si="306"/>
        <v>0</v>
      </c>
      <c r="AH536" s="186">
        <f t="shared" si="306"/>
        <v>0</v>
      </c>
      <c r="AI536" s="186">
        <f t="shared" si="306"/>
        <v>0</v>
      </c>
      <c r="AJ536" s="186">
        <f t="shared" si="306"/>
        <v>0</v>
      </c>
      <c r="AK536" s="186">
        <f t="shared" si="306"/>
        <v>0</v>
      </c>
      <c r="AL536" s="186">
        <f t="shared" si="306"/>
        <v>0</v>
      </c>
      <c r="AM536" s="186">
        <f t="shared" si="306"/>
        <v>0</v>
      </c>
      <c r="AN536" s="186">
        <f t="shared" si="306"/>
        <v>0</v>
      </c>
      <c r="AO536" s="186">
        <f t="shared" si="306"/>
        <v>0</v>
      </c>
      <c r="AP536" s="186">
        <f t="shared" si="306"/>
        <v>0</v>
      </c>
    </row>
    <row r="537" spans="1:42">
      <c r="A537" s="118">
        <f t="shared" si="308"/>
        <v>6</v>
      </c>
      <c r="C537" s="186">
        <f t="shared" si="307"/>
        <v>0</v>
      </c>
      <c r="D537" s="186">
        <f t="shared" si="306"/>
        <v>0</v>
      </c>
      <c r="E537" s="186">
        <f t="shared" si="306"/>
        <v>0</v>
      </c>
      <c r="F537" s="186">
        <f t="shared" si="306"/>
        <v>0</v>
      </c>
      <c r="G537" s="186">
        <f t="shared" si="306"/>
        <v>0</v>
      </c>
      <c r="H537" s="186">
        <f t="shared" si="306"/>
        <v>0</v>
      </c>
      <c r="I537" s="186">
        <f t="shared" si="306"/>
        <v>0</v>
      </c>
      <c r="J537" s="186">
        <f t="shared" si="306"/>
        <v>0</v>
      </c>
      <c r="K537" s="186">
        <f t="shared" si="306"/>
        <v>0</v>
      </c>
      <c r="L537" s="186">
        <f t="shared" si="306"/>
        <v>0</v>
      </c>
      <c r="M537" s="186">
        <f t="shared" si="306"/>
        <v>0</v>
      </c>
      <c r="N537" s="186">
        <f t="shared" si="306"/>
        <v>0</v>
      </c>
      <c r="O537" s="186">
        <f t="shared" si="306"/>
        <v>0</v>
      </c>
      <c r="P537" s="186">
        <f t="shared" si="306"/>
        <v>0</v>
      </c>
      <c r="Q537" s="186">
        <f t="shared" si="306"/>
        <v>0</v>
      </c>
      <c r="R537" s="186">
        <f t="shared" si="306"/>
        <v>0</v>
      </c>
      <c r="S537" s="186">
        <f t="shared" si="306"/>
        <v>0</v>
      </c>
      <c r="T537" s="186">
        <f t="shared" si="306"/>
        <v>0</v>
      </c>
      <c r="U537" s="186">
        <f t="shared" si="306"/>
        <v>0</v>
      </c>
      <c r="V537" s="186">
        <f t="shared" si="306"/>
        <v>0</v>
      </c>
      <c r="W537" s="186">
        <f t="shared" si="306"/>
        <v>0</v>
      </c>
      <c r="X537" s="186">
        <f t="shared" si="306"/>
        <v>0</v>
      </c>
      <c r="Y537" s="186">
        <f t="shared" si="306"/>
        <v>0</v>
      </c>
      <c r="Z537" s="186">
        <f t="shared" si="306"/>
        <v>0</v>
      </c>
      <c r="AA537" s="186">
        <f t="shared" si="306"/>
        <v>0</v>
      </c>
      <c r="AB537" s="186">
        <f t="shared" si="306"/>
        <v>0</v>
      </c>
      <c r="AC537" s="186">
        <f t="shared" si="306"/>
        <v>0</v>
      </c>
      <c r="AD537" s="186">
        <f t="shared" si="306"/>
        <v>0</v>
      </c>
      <c r="AE537" s="186">
        <f t="shared" si="306"/>
        <v>0</v>
      </c>
      <c r="AF537" s="186">
        <f t="shared" si="306"/>
        <v>0</v>
      </c>
      <c r="AG537" s="186">
        <f t="shared" si="306"/>
        <v>0</v>
      </c>
      <c r="AH537" s="186">
        <f t="shared" si="306"/>
        <v>0</v>
      </c>
      <c r="AI537" s="186">
        <f t="shared" si="306"/>
        <v>0</v>
      </c>
      <c r="AJ537" s="186">
        <f t="shared" si="306"/>
        <v>0</v>
      </c>
      <c r="AK537" s="186">
        <f t="shared" si="306"/>
        <v>0</v>
      </c>
      <c r="AL537" s="186">
        <f t="shared" si="306"/>
        <v>0</v>
      </c>
      <c r="AM537" s="186">
        <f t="shared" si="306"/>
        <v>0</v>
      </c>
      <c r="AN537" s="186">
        <f t="shared" si="306"/>
        <v>0</v>
      </c>
      <c r="AO537" s="186">
        <f t="shared" si="306"/>
        <v>0</v>
      </c>
      <c r="AP537" s="186">
        <f t="shared" si="306"/>
        <v>0</v>
      </c>
    </row>
    <row r="538" spans="1:42">
      <c r="A538" s="118">
        <f t="shared" si="308"/>
        <v>7</v>
      </c>
      <c r="C538" s="186">
        <f t="shared" si="307"/>
        <v>0</v>
      </c>
      <c r="D538" s="186">
        <f t="shared" si="306"/>
        <v>0</v>
      </c>
      <c r="E538" s="186">
        <f t="shared" si="306"/>
        <v>0</v>
      </c>
      <c r="F538" s="186">
        <f t="shared" si="306"/>
        <v>0</v>
      </c>
      <c r="G538" s="186">
        <f t="shared" si="306"/>
        <v>0</v>
      </c>
      <c r="H538" s="186">
        <f t="shared" si="306"/>
        <v>0</v>
      </c>
      <c r="I538" s="186">
        <f t="shared" si="306"/>
        <v>0</v>
      </c>
      <c r="J538" s="186">
        <f t="shared" si="306"/>
        <v>0</v>
      </c>
      <c r="K538" s="186">
        <f t="shared" si="306"/>
        <v>0</v>
      </c>
      <c r="L538" s="186">
        <f t="shared" si="306"/>
        <v>0</v>
      </c>
      <c r="M538" s="186">
        <f t="shared" si="306"/>
        <v>0</v>
      </c>
      <c r="N538" s="186">
        <f t="shared" si="306"/>
        <v>0</v>
      </c>
      <c r="O538" s="186">
        <f t="shared" si="306"/>
        <v>0</v>
      </c>
      <c r="P538" s="186">
        <f t="shared" si="306"/>
        <v>0</v>
      </c>
      <c r="Q538" s="186">
        <f t="shared" si="306"/>
        <v>0</v>
      </c>
      <c r="R538" s="186">
        <f t="shared" si="306"/>
        <v>0</v>
      </c>
      <c r="S538" s="186">
        <f t="shared" si="306"/>
        <v>0</v>
      </c>
      <c r="T538" s="186">
        <f t="shared" si="306"/>
        <v>0</v>
      </c>
      <c r="U538" s="186">
        <f t="shared" si="306"/>
        <v>0</v>
      </c>
      <c r="V538" s="186">
        <f t="shared" si="306"/>
        <v>0</v>
      </c>
      <c r="W538" s="186">
        <f t="shared" si="306"/>
        <v>0</v>
      </c>
      <c r="X538" s="186">
        <f t="shared" si="306"/>
        <v>0</v>
      </c>
      <c r="Y538" s="186">
        <f t="shared" si="306"/>
        <v>0</v>
      </c>
      <c r="Z538" s="186">
        <f t="shared" si="306"/>
        <v>0</v>
      </c>
      <c r="AA538" s="186">
        <f t="shared" si="306"/>
        <v>0</v>
      </c>
      <c r="AB538" s="186">
        <f t="shared" si="306"/>
        <v>0</v>
      </c>
      <c r="AC538" s="186">
        <f t="shared" si="306"/>
        <v>0</v>
      </c>
      <c r="AD538" s="186">
        <f t="shared" si="306"/>
        <v>0</v>
      </c>
      <c r="AE538" s="186">
        <f t="shared" si="306"/>
        <v>0</v>
      </c>
      <c r="AF538" s="186">
        <f t="shared" si="306"/>
        <v>0</v>
      </c>
      <c r="AG538" s="186">
        <f t="shared" si="306"/>
        <v>0</v>
      </c>
      <c r="AH538" s="186">
        <f t="shared" si="306"/>
        <v>0</v>
      </c>
      <c r="AI538" s="186">
        <f t="shared" si="306"/>
        <v>0</v>
      </c>
      <c r="AJ538" s="186">
        <f t="shared" si="306"/>
        <v>0</v>
      </c>
      <c r="AK538" s="186">
        <f t="shared" si="306"/>
        <v>0</v>
      </c>
      <c r="AL538" s="186">
        <f t="shared" si="306"/>
        <v>0</v>
      </c>
      <c r="AM538" s="186">
        <f t="shared" si="306"/>
        <v>0</v>
      </c>
      <c r="AN538" s="186">
        <f t="shared" ref="AN538:AP538" si="309">AN403</f>
        <v>0</v>
      </c>
      <c r="AO538" s="186">
        <f t="shared" si="309"/>
        <v>0</v>
      </c>
      <c r="AP538" s="186">
        <f t="shared" si="309"/>
        <v>0</v>
      </c>
    </row>
    <row r="539" spans="1:42">
      <c r="A539" s="118">
        <f t="shared" si="308"/>
        <v>8</v>
      </c>
      <c r="C539" s="186">
        <f t="shared" si="307"/>
        <v>0</v>
      </c>
      <c r="D539" s="186">
        <f t="shared" si="307"/>
        <v>0</v>
      </c>
      <c r="E539" s="186">
        <f t="shared" si="307"/>
        <v>0</v>
      </c>
      <c r="F539" s="186">
        <f t="shared" si="307"/>
        <v>0</v>
      </c>
      <c r="G539" s="186">
        <f t="shared" si="307"/>
        <v>0</v>
      </c>
      <c r="H539" s="186">
        <f t="shared" si="307"/>
        <v>0</v>
      </c>
      <c r="I539" s="186">
        <f t="shared" si="307"/>
        <v>0</v>
      </c>
      <c r="J539" s="186">
        <f t="shared" si="307"/>
        <v>0</v>
      </c>
      <c r="K539" s="186">
        <f t="shared" si="307"/>
        <v>0</v>
      </c>
      <c r="L539" s="186">
        <f t="shared" si="307"/>
        <v>0</v>
      </c>
      <c r="M539" s="186">
        <f t="shared" si="307"/>
        <v>0</v>
      </c>
      <c r="N539" s="186">
        <f t="shared" si="307"/>
        <v>0</v>
      </c>
      <c r="O539" s="186">
        <f t="shared" si="307"/>
        <v>0</v>
      </c>
      <c r="P539" s="186">
        <f t="shared" si="307"/>
        <v>0</v>
      </c>
      <c r="Q539" s="186">
        <f t="shared" si="307"/>
        <v>0</v>
      </c>
      <c r="R539" s="186">
        <f t="shared" si="307"/>
        <v>0</v>
      </c>
      <c r="S539" s="186">
        <f t="shared" ref="D539:AP541" si="310">S404</f>
        <v>0</v>
      </c>
      <c r="T539" s="186">
        <f t="shared" si="310"/>
        <v>0</v>
      </c>
      <c r="U539" s="186">
        <f t="shared" si="310"/>
        <v>0</v>
      </c>
      <c r="V539" s="186">
        <f t="shared" si="310"/>
        <v>0</v>
      </c>
      <c r="W539" s="186">
        <f t="shared" si="310"/>
        <v>0</v>
      </c>
      <c r="X539" s="186">
        <f t="shared" si="310"/>
        <v>0</v>
      </c>
      <c r="Y539" s="186">
        <f t="shared" si="310"/>
        <v>0</v>
      </c>
      <c r="Z539" s="186">
        <f t="shared" si="310"/>
        <v>0</v>
      </c>
      <c r="AA539" s="186">
        <f t="shared" si="310"/>
        <v>0</v>
      </c>
      <c r="AB539" s="186">
        <f t="shared" si="310"/>
        <v>0</v>
      </c>
      <c r="AC539" s="186">
        <f t="shared" si="310"/>
        <v>0</v>
      </c>
      <c r="AD539" s="186">
        <f t="shared" si="310"/>
        <v>0</v>
      </c>
      <c r="AE539" s="186">
        <f t="shared" si="310"/>
        <v>0</v>
      </c>
      <c r="AF539" s="186">
        <f t="shared" si="310"/>
        <v>0</v>
      </c>
      <c r="AG539" s="186">
        <f t="shared" si="310"/>
        <v>0</v>
      </c>
      <c r="AH539" s="186">
        <f t="shared" si="310"/>
        <v>0</v>
      </c>
      <c r="AI539" s="186">
        <f t="shared" si="310"/>
        <v>0</v>
      </c>
      <c r="AJ539" s="186">
        <f t="shared" si="310"/>
        <v>0</v>
      </c>
      <c r="AK539" s="186">
        <f t="shared" si="310"/>
        <v>0</v>
      </c>
      <c r="AL539" s="186">
        <f t="shared" si="310"/>
        <v>0</v>
      </c>
      <c r="AM539" s="186">
        <f t="shared" si="310"/>
        <v>0</v>
      </c>
      <c r="AN539" s="186">
        <f t="shared" si="310"/>
        <v>0</v>
      </c>
      <c r="AO539" s="186">
        <f t="shared" si="310"/>
        <v>0</v>
      </c>
      <c r="AP539" s="186">
        <f t="shared" si="310"/>
        <v>0</v>
      </c>
    </row>
    <row r="540" spans="1:42">
      <c r="A540" s="118">
        <f>A539+1</f>
        <v>9</v>
      </c>
      <c r="C540" s="186">
        <f t="shared" si="307"/>
        <v>0</v>
      </c>
      <c r="D540" s="186">
        <f t="shared" si="310"/>
        <v>0</v>
      </c>
      <c r="E540" s="186">
        <f t="shared" si="310"/>
        <v>0</v>
      </c>
      <c r="F540" s="186">
        <f t="shared" si="310"/>
        <v>0</v>
      </c>
      <c r="G540" s="186">
        <f t="shared" si="310"/>
        <v>0</v>
      </c>
      <c r="H540" s="186">
        <f t="shared" si="310"/>
        <v>0</v>
      </c>
      <c r="I540" s="186">
        <f t="shared" si="310"/>
        <v>0</v>
      </c>
      <c r="J540" s="186">
        <f t="shared" si="310"/>
        <v>0</v>
      </c>
      <c r="K540" s="186">
        <f t="shared" si="310"/>
        <v>0</v>
      </c>
      <c r="L540" s="186">
        <f t="shared" si="310"/>
        <v>0</v>
      </c>
      <c r="M540" s="186">
        <f t="shared" si="310"/>
        <v>0</v>
      </c>
      <c r="N540" s="186">
        <f t="shared" si="310"/>
        <v>0</v>
      </c>
      <c r="O540" s="186">
        <f t="shared" si="310"/>
        <v>0</v>
      </c>
      <c r="P540" s="186">
        <f t="shared" si="310"/>
        <v>0</v>
      </c>
      <c r="Q540" s="186">
        <f t="shared" si="310"/>
        <v>0</v>
      </c>
      <c r="R540" s="186">
        <f t="shared" si="310"/>
        <v>0</v>
      </c>
      <c r="S540" s="186">
        <f t="shared" si="310"/>
        <v>0</v>
      </c>
      <c r="T540" s="186">
        <f t="shared" si="310"/>
        <v>0</v>
      </c>
      <c r="U540" s="186">
        <f t="shared" si="310"/>
        <v>0</v>
      </c>
      <c r="V540" s="186">
        <f t="shared" si="310"/>
        <v>0</v>
      </c>
      <c r="W540" s="186">
        <f t="shared" si="310"/>
        <v>0</v>
      </c>
      <c r="X540" s="186">
        <f t="shared" si="310"/>
        <v>0</v>
      </c>
      <c r="Y540" s="186">
        <f t="shared" si="310"/>
        <v>0</v>
      </c>
      <c r="Z540" s="186">
        <f t="shared" si="310"/>
        <v>0</v>
      </c>
      <c r="AA540" s="186">
        <f t="shared" si="310"/>
        <v>0</v>
      </c>
      <c r="AB540" s="186">
        <f t="shared" si="310"/>
        <v>0</v>
      </c>
      <c r="AC540" s="186">
        <f t="shared" si="310"/>
        <v>0</v>
      </c>
      <c r="AD540" s="186">
        <f t="shared" si="310"/>
        <v>0</v>
      </c>
      <c r="AE540" s="186">
        <f t="shared" si="310"/>
        <v>0</v>
      </c>
      <c r="AF540" s="186">
        <f t="shared" si="310"/>
        <v>0</v>
      </c>
      <c r="AG540" s="186">
        <f t="shared" si="310"/>
        <v>0</v>
      </c>
      <c r="AH540" s="186">
        <f t="shared" si="310"/>
        <v>0</v>
      </c>
      <c r="AI540" s="186">
        <f t="shared" si="310"/>
        <v>0</v>
      </c>
      <c r="AJ540" s="186">
        <f t="shared" si="310"/>
        <v>0</v>
      </c>
      <c r="AK540" s="186">
        <f t="shared" si="310"/>
        <v>0</v>
      </c>
      <c r="AL540" s="186">
        <f t="shared" si="310"/>
        <v>0</v>
      </c>
      <c r="AM540" s="186">
        <f t="shared" si="310"/>
        <v>0</v>
      </c>
      <c r="AN540" s="186">
        <f t="shared" si="310"/>
        <v>0</v>
      </c>
      <c r="AO540" s="186">
        <f t="shared" si="310"/>
        <v>0</v>
      </c>
      <c r="AP540" s="186">
        <f t="shared" si="310"/>
        <v>0</v>
      </c>
    </row>
    <row r="541" spans="1:42">
      <c r="A541" s="118">
        <f t="shared" ref="A541" si="311">A540+1</f>
        <v>10</v>
      </c>
      <c r="C541" s="186">
        <f t="shared" si="307"/>
        <v>0</v>
      </c>
      <c r="D541" s="186">
        <f t="shared" si="310"/>
        <v>0</v>
      </c>
      <c r="E541" s="186">
        <f t="shared" si="310"/>
        <v>0</v>
      </c>
      <c r="F541" s="186">
        <f t="shared" si="310"/>
        <v>0</v>
      </c>
      <c r="G541" s="186">
        <f t="shared" si="310"/>
        <v>0</v>
      </c>
      <c r="H541" s="186">
        <f t="shared" si="310"/>
        <v>0</v>
      </c>
      <c r="I541" s="186">
        <f t="shared" si="310"/>
        <v>0</v>
      </c>
      <c r="J541" s="186">
        <f t="shared" si="310"/>
        <v>0</v>
      </c>
      <c r="K541" s="186">
        <f t="shared" si="310"/>
        <v>0</v>
      </c>
      <c r="L541" s="186">
        <f t="shared" si="310"/>
        <v>0</v>
      </c>
      <c r="M541" s="186">
        <f t="shared" si="310"/>
        <v>0</v>
      </c>
      <c r="N541" s="186">
        <f t="shared" si="310"/>
        <v>0</v>
      </c>
      <c r="O541" s="186">
        <f t="shared" si="310"/>
        <v>0</v>
      </c>
      <c r="P541" s="186">
        <f t="shared" si="310"/>
        <v>0</v>
      </c>
      <c r="Q541" s="186">
        <f t="shared" si="310"/>
        <v>0</v>
      </c>
      <c r="R541" s="186">
        <f t="shared" si="310"/>
        <v>0</v>
      </c>
      <c r="S541" s="186">
        <f t="shared" si="310"/>
        <v>0</v>
      </c>
      <c r="T541" s="186">
        <f t="shared" si="310"/>
        <v>0</v>
      </c>
      <c r="U541" s="186">
        <f t="shared" si="310"/>
        <v>0</v>
      </c>
      <c r="V541" s="186">
        <f t="shared" si="310"/>
        <v>0</v>
      </c>
      <c r="W541" s="186">
        <f t="shared" si="310"/>
        <v>0</v>
      </c>
      <c r="X541" s="186">
        <f t="shared" si="310"/>
        <v>0</v>
      </c>
      <c r="Y541" s="186">
        <f t="shared" si="310"/>
        <v>0</v>
      </c>
      <c r="Z541" s="186">
        <f t="shared" si="310"/>
        <v>0</v>
      </c>
      <c r="AA541" s="186">
        <f t="shared" si="310"/>
        <v>0</v>
      </c>
      <c r="AB541" s="186">
        <f t="shared" si="310"/>
        <v>0</v>
      </c>
      <c r="AC541" s="186">
        <f t="shared" si="310"/>
        <v>0</v>
      </c>
      <c r="AD541" s="186">
        <f t="shared" si="310"/>
        <v>0</v>
      </c>
      <c r="AE541" s="186">
        <f t="shared" si="310"/>
        <v>0</v>
      </c>
      <c r="AF541" s="186">
        <f t="shared" si="310"/>
        <v>0</v>
      </c>
      <c r="AG541" s="186">
        <f t="shared" si="310"/>
        <v>0</v>
      </c>
      <c r="AH541" s="186">
        <f t="shared" si="310"/>
        <v>0</v>
      </c>
      <c r="AI541" s="186">
        <f t="shared" si="310"/>
        <v>0</v>
      </c>
      <c r="AJ541" s="186">
        <f t="shared" si="310"/>
        <v>0</v>
      </c>
      <c r="AK541" s="186">
        <f t="shared" si="310"/>
        <v>0</v>
      </c>
      <c r="AL541" s="186">
        <f t="shared" si="310"/>
        <v>0</v>
      </c>
      <c r="AM541" s="186">
        <f t="shared" si="310"/>
        <v>0</v>
      </c>
      <c r="AN541" s="186">
        <f t="shared" si="310"/>
        <v>0</v>
      </c>
      <c r="AO541" s="186">
        <f t="shared" si="310"/>
        <v>0</v>
      </c>
      <c r="AP541" s="186">
        <f t="shared" si="310"/>
        <v>0</v>
      </c>
    </row>
    <row r="542" spans="1:42">
      <c r="A542" s="204"/>
      <c r="C542" s="186"/>
      <c r="D542" s="186"/>
      <c r="E542" s="186"/>
      <c r="F542" s="186"/>
      <c r="G542" s="186"/>
      <c r="H542" s="186"/>
      <c r="I542" s="186"/>
      <c r="J542" s="186"/>
      <c r="K542" s="186"/>
      <c r="L542" s="186"/>
      <c r="M542" s="186"/>
      <c r="N542" s="186"/>
      <c r="O542" s="186"/>
      <c r="P542" s="186"/>
      <c r="Q542" s="186"/>
      <c r="R542" s="186"/>
      <c r="S542" s="186"/>
      <c r="T542" s="186"/>
      <c r="U542" s="186"/>
      <c r="V542" s="186"/>
      <c r="W542" s="186"/>
      <c r="X542" s="186"/>
      <c r="Y542" s="186"/>
      <c r="Z542" s="186"/>
      <c r="AA542" s="186"/>
      <c r="AB542" s="186"/>
      <c r="AC542" s="186"/>
      <c r="AD542" s="186"/>
      <c r="AE542" s="186"/>
      <c r="AF542" s="186"/>
      <c r="AG542" s="186"/>
      <c r="AH542" s="186"/>
      <c r="AI542" s="186"/>
      <c r="AJ542" s="186"/>
      <c r="AK542" s="186"/>
      <c r="AL542" s="186"/>
      <c r="AM542" s="186"/>
      <c r="AN542" s="186"/>
      <c r="AO542" s="186"/>
      <c r="AP542" s="186"/>
    </row>
    <row r="543" spans="1:42">
      <c r="A543" s="204" t="s">
        <v>211</v>
      </c>
      <c r="C543" s="186"/>
      <c r="D543" s="186"/>
      <c r="E543" s="186"/>
      <c r="F543" s="186"/>
      <c r="G543" s="186"/>
      <c r="H543" s="186"/>
      <c r="I543" s="186"/>
      <c r="J543" s="186"/>
      <c r="K543" s="186"/>
      <c r="L543" s="186"/>
      <c r="M543" s="186"/>
      <c r="N543" s="186"/>
      <c r="O543" s="186"/>
      <c r="P543" s="186"/>
      <c r="Q543" s="186"/>
      <c r="R543" s="186"/>
      <c r="S543" s="186"/>
      <c r="T543" s="186"/>
      <c r="U543" s="186"/>
      <c r="V543" s="186"/>
      <c r="W543" s="186"/>
      <c r="X543" s="186"/>
      <c r="Y543" s="186"/>
      <c r="Z543" s="186"/>
      <c r="AA543" s="186"/>
      <c r="AB543" s="186"/>
      <c r="AC543" s="186"/>
      <c r="AD543" s="186"/>
      <c r="AE543" s="186"/>
      <c r="AF543" s="186"/>
      <c r="AG543" s="186"/>
      <c r="AH543" s="186"/>
      <c r="AI543" s="186"/>
      <c r="AJ543" s="186"/>
      <c r="AK543" s="186"/>
      <c r="AL543" s="186"/>
      <c r="AM543" s="186"/>
      <c r="AN543" s="186"/>
      <c r="AO543" s="186"/>
      <c r="AP543" s="186"/>
    </row>
    <row r="544" spans="1:42">
      <c r="A544" s="118">
        <v>1</v>
      </c>
      <c r="B544" s="196">
        <f t="shared" ref="B544:B553" si="312">SUM(C544:AP544)</f>
        <v>6158778.6534697898</v>
      </c>
      <c r="C544" s="225">
        <f t="shared" ref="C544:AP544" si="313">LOOKUP(C532,$B$501:$AP$501,$B$502:$AP$502)*$B688</f>
        <v>0</v>
      </c>
      <c r="D544" s="186">
        <f t="shared" si="313"/>
        <v>0</v>
      </c>
      <c r="E544" s="186">
        <f t="shared" si="313"/>
        <v>0</v>
      </c>
      <c r="F544" s="186">
        <f t="shared" si="313"/>
        <v>0</v>
      </c>
      <c r="G544" s="186">
        <f t="shared" si="313"/>
        <v>0</v>
      </c>
      <c r="H544" s="186">
        <f t="shared" si="313"/>
        <v>0</v>
      </c>
      <c r="I544" s="186">
        <f t="shared" si="313"/>
        <v>0</v>
      </c>
      <c r="J544" s="186">
        <f t="shared" si="313"/>
        <v>0</v>
      </c>
      <c r="K544" s="186">
        <f t="shared" si="313"/>
        <v>0</v>
      </c>
      <c r="L544" s="186">
        <f t="shared" si="313"/>
        <v>0</v>
      </c>
      <c r="M544" s="186">
        <f t="shared" si="313"/>
        <v>0</v>
      </c>
      <c r="N544" s="186">
        <f t="shared" si="313"/>
        <v>0</v>
      </c>
      <c r="O544" s="186">
        <f t="shared" si="313"/>
        <v>0</v>
      </c>
      <c r="P544" s="186">
        <f t="shared" si="313"/>
        <v>0</v>
      </c>
      <c r="Q544" s="186">
        <f t="shared" si="313"/>
        <v>1231755.7306939578</v>
      </c>
      <c r="R544" s="186">
        <f t="shared" si="313"/>
        <v>1970809.1691103324</v>
      </c>
      <c r="S544" s="186">
        <f t="shared" si="313"/>
        <v>1182485.5014661995</v>
      </c>
      <c r="T544" s="186">
        <f t="shared" si="313"/>
        <v>709491.30087971967</v>
      </c>
      <c r="U544" s="186">
        <f t="shared" si="313"/>
        <v>709491.30087971967</v>
      </c>
      <c r="V544" s="186">
        <f t="shared" si="313"/>
        <v>354745.65043985983</v>
      </c>
      <c r="W544" s="186">
        <f t="shared" si="313"/>
        <v>0</v>
      </c>
      <c r="X544" s="186">
        <f t="shared" si="313"/>
        <v>0</v>
      </c>
      <c r="Y544" s="186">
        <f t="shared" si="313"/>
        <v>0</v>
      </c>
      <c r="Z544" s="186">
        <f t="shared" si="313"/>
        <v>0</v>
      </c>
      <c r="AA544" s="186">
        <f t="shared" si="313"/>
        <v>0</v>
      </c>
      <c r="AB544" s="186">
        <f t="shared" si="313"/>
        <v>0</v>
      </c>
      <c r="AC544" s="186">
        <f t="shared" si="313"/>
        <v>0</v>
      </c>
      <c r="AD544" s="186">
        <f t="shared" si="313"/>
        <v>0</v>
      </c>
      <c r="AE544" s="186">
        <f t="shared" si="313"/>
        <v>0</v>
      </c>
      <c r="AF544" s="186">
        <f t="shared" si="313"/>
        <v>0</v>
      </c>
      <c r="AG544" s="186">
        <f t="shared" si="313"/>
        <v>0</v>
      </c>
      <c r="AH544" s="186">
        <f t="shared" si="313"/>
        <v>0</v>
      </c>
      <c r="AI544" s="186">
        <f t="shared" si="313"/>
        <v>0</v>
      </c>
      <c r="AJ544" s="186">
        <f t="shared" si="313"/>
        <v>0</v>
      </c>
      <c r="AK544" s="186">
        <f t="shared" si="313"/>
        <v>0</v>
      </c>
      <c r="AL544" s="186">
        <f t="shared" si="313"/>
        <v>0</v>
      </c>
      <c r="AM544" s="186">
        <f t="shared" si="313"/>
        <v>0</v>
      </c>
      <c r="AN544" s="186">
        <f t="shared" si="313"/>
        <v>0</v>
      </c>
      <c r="AO544" s="186">
        <f t="shared" si="313"/>
        <v>0</v>
      </c>
      <c r="AP544" s="186">
        <f t="shared" si="313"/>
        <v>0</v>
      </c>
    </row>
    <row r="545" spans="1:42">
      <c r="A545" s="118">
        <f>A544+1</f>
        <v>2</v>
      </c>
      <c r="B545" s="196">
        <f t="shared" si="312"/>
        <v>1539980.512798867</v>
      </c>
      <c r="C545" s="225">
        <f t="shared" ref="C545:AP545" si="314">LOOKUP(C533,$B$501:$AP$501,$B$502:$AP$502)*$B689</f>
        <v>0</v>
      </c>
      <c r="D545" s="186">
        <f t="shared" si="314"/>
        <v>0</v>
      </c>
      <c r="E545" s="186">
        <f t="shared" si="314"/>
        <v>0</v>
      </c>
      <c r="F545" s="186">
        <f t="shared" si="314"/>
        <v>0</v>
      </c>
      <c r="G545" s="186">
        <f t="shared" si="314"/>
        <v>0</v>
      </c>
      <c r="H545" s="186">
        <f t="shared" si="314"/>
        <v>0</v>
      </c>
      <c r="I545" s="186">
        <f t="shared" si="314"/>
        <v>0</v>
      </c>
      <c r="J545" s="186">
        <f t="shared" si="314"/>
        <v>0</v>
      </c>
      <c r="K545" s="186">
        <f t="shared" si="314"/>
        <v>0</v>
      </c>
      <c r="L545" s="186">
        <f t="shared" si="314"/>
        <v>0</v>
      </c>
      <c r="M545" s="186">
        <f t="shared" si="314"/>
        <v>0</v>
      </c>
      <c r="N545" s="186">
        <f t="shared" si="314"/>
        <v>0</v>
      </c>
      <c r="O545" s="186">
        <f t="shared" si="314"/>
        <v>0</v>
      </c>
      <c r="P545" s="186">
        <f t="shared" si="314"/>
        <v>0</v>
      </c>
      <c r="Q545" s="186">
        <f t="shared" si="314"/>
        <v>0</v>
      </c>
      <c r="R545" s="186">
        <f t="shared" si="314"/>
        <v>0</v>
      </c>
      <c r="S545" s="186">
        <f t="shared" si="314"/>
        <v>0</v>
      </c>
      <c r="T545" s="186">
        <f t="shared" si="314"/>
        <v>0</v>
      </c>
      <c r="U545" s="186">
        <f t="shared" si="314"/>
        <v>0</v>
      </c>
      <c r="V545" s="186">
        <f t="shared" si="314"/>
        <v>0</v>
      </c>
      <c r="W545" s="186">
        <f t="shared" si="314"/>
        <v>0</v>
      </c>
      <c r="X545" s="186">
        <f t="shared" si="314"/>
        <v>0</v>
      </c>
      <c r="Y545" s="186">
        <f t="shared" si="314"/>
        <v>0</v>
      </c>
      <c r="Z545" s="186">
        <f t="shared" si="314"/>
        <v>0</v>
      </c>
      <c r="AA545" s="186">
        <f t="shared" si="314"/>
        <v>0</v>
      </c>
      <c r="AB545" s="186">
        <f t="shared" si="314"/>
        <v>0</v>
      </c>
      <c r="AC545" s="186">
        <f t="shared" si="314"/>
        <v>0</v>
      </c>
      <c r="AD545" s="186">
        <f t="shared" si="314"/>
        <v>0</v>
      </c>
      <c r="AE545" s="186">
        <f t="shared" si="314"/>
        <v>0</v>
      </c>
      <c r="AF545" s="186">
        <f t="shared" si="314"/>
        <v>1539980.512798867</v>
      </c>
      <c r="AG545" s="186">
        <f t="shared" si="314"/>
        <v>0</v>
      </c>
      <c r="AH545" s="186">
        <f t="shared" si="314"/>
        <v>0</v>
      </c>
      <c r="AI545" s="186">
        <f t="shared" si="314"/>
        <v>0</v>
      </c>
      <c r="AJ545" s="186">
        <f t="shared" si="314"/>
        <v>0</v>
      </c>
      <c r="AK545" s="186">
        <f t="shared" si="314"/>
        <v>0</v>
      </c>
      <c r="AL545" s="186">
        <f t="shared" si="314"/>
        <v>0</v>
      </c>
      <c r="AM545" s="186">
        <f t="shared" si="314"/>
        <v>0</v>
      </c>
      <c r="AN545" s="186">
        <f t="shared" si="314"/>
        <v>0</v>
      </c>
      <c r="AO545" s="186">
        <f t="shared" si="314"/>
        <v>0</v>
      </c>
      <c r="AP545" s="186">
        <f t="shared" si="314"/>
        <v>0</v>
      </c>
    </row>
    <row r="546" spans="1:42">
      <c r="A546" s="118">
        <f t="shared" ref="A546:A551" si="315">A545+1</f>
        <v>3</v>
      </c>
      <c r="B546" s="196">
        <f t="shared" si="312"/>
        <v>0</v>
      </c>
      <c r="C546" s="225">
        <f t="shared" ref="C546:AP546" si="316">LOOKUP(C534,$B$501:$AP$501,$B$502:$AP$502)*$B690</f>
        <v>0</v>
      </c>
      <c r="D546" s="186">
        <f t="shared" si="316"/>
        <v>0</v>
      </c>
      <c r="E546" s="186">
        <f t="shared" si="316"/>
        <v>0</v>
      </c>
      <c r="F546" s="186">
        <f t="shared" si="316"/>
        <v>0</v>
      </c>
      <c r="G546" s="186">
        <f t="shared" si="316"/>
        <v>0</v>
      </c>
      <c r="H546" s="186">
        <f t="shared" si="316"/>
        <v>0</v>
      </c>
      <c r="I546" s="186">
        <f t="shared" si="316"/>
        <v>0</v>
      </c>
      <c r="J546" s="186">
        <f t="shared" si="316"/>
        <v>0</v>
      </c>
      <c r="K546" s="186">
        <f t="shared" si="316"/>
        <v>0</v>
      </c>
      <c r="L546" s="186">
        <f t="shared" si="316"/>
        <v>0</v>
      </c>
      <c r="M546" s="186">
        <f t="shared" si="316"/>
        <v>0</v>
      </c>
      <c r="N546" s="186">
        <f t="shared" si="316"/>
        <v>0</v>
      </c>
      <c r="O546" s="186">
        <f t="shared" si="316"/>
        <v>0</v>
      </c>
      <c r="P546" s="186">
        <f t="shared" si="316"/>
        <v>0</v>
      </c>
      <c r="Q546" s="186">
        <f t="shared" si="316"/>
        <v>0</v>
      </c>
      <c r="R546" s="186">
        <f t="shared" si="316"/>
        <v>0</v>
      </c>
      <c r="S546" s="186">
        <f t="shared" si="316"/>
        <v>0</v>
      </c>
      <c r="T546" s="186">
        <f t="shared" si="316"/>
        <v>0</v>
      </c>
      <c r="U546" s="186">
        <f t="shared" si="316"/>
        <v>0</v>
      </c>
      <c r="V546" s="186">
        <f t="shared" si="316"/>
        <v>0</v>
      </c>
      <c r="W546" s="186">
        <f t="shared" si="316"/>
        <v>0</v>
      </c>
      <c r="X546" s="186">
        <f t="shared" si="316"/>
        <v>0</v>
      </c>
      <c r="Y546" s="186">
        <f t="shared" si="316"/>
        <v>0</v>
      </c>
      <c r="Z546" s="186">
        <f t="shared" si="316"/>
        <v>0</v>
      </c>
      <c r="AA546" s="186">
        <f t="shared" si="316"/>
        <v>0</v>
      </c>
      <c r="AB546" s="186">
        <f t="shared" si="316"/>
        <v>0</v>
      </c>
      <c r="AC546" s="186">
        <f t="shared" si="316"/>
        <v>0</v>
      </c>
      <c r="AD546" s="186">
        <f t="shared" si="316"/>
        <v>0</v>
      </c>
      <c r="AE546" s="186">
        <f t="shared" si="316"/>
        <v>0</v>
      </c>
      <c r="AF546" s="186">
        <f t="shared" si="316"/>
        <v>0</v>
      </c>
      <c r="AG546" s="186">
        <f t="shared" si="316"/>
        <v>0</v>
      </c>
      <c r="AH546" s="186">
        <f t="shared" si="316"/>
        <v>0</v>
      </c>
      <c r="AI546" s="186">
        <f t="shared" si="316"/>
        <v>0</v>
      </c>
      <c r="AJ546" s="186">
        <f t="shared" si="316"/>
        <v>0</v>
      </c>
      <c r="AK546" s="186">
        <f t="shared" si="316"/>
        <v>0</v>
      </c>
      <c r="AL546" s="186">
        <f t="shared" si="316"/>
        <v>0</v>
      </c>
      <c r="AM546" s="186">
        <f t="shared" si="316"/>
        <v>0</v>
      </c>
      <c r="AN546" s="186">
        <f t="shared" si="316"/>
        <v>0</v>
      </c>
      <c r="AO546" s="186">
        <f t="shared" si="316"/>
        <v>0</v>
      </c>
      <c r="AP546" s="186">
        <f t="shared" si="316"/>
        <v>0</v>
      </c>
    </row>
    <row r="547" spans="1:42">
      <c r="A547" s="118">
        <f t="shared" si="315"/>
        <v>4</v>
      </c>
      <c r="B547" s="196">
        <f t="shared" si="312"/>
        <v>0</v>
      </c>
      <c r="C547" s="225">
        <f t="shared" ref="C547:AP547" si="317">LOOKUP(C535,$B$501:$AP$501,$B$502:$AP$502)*$B691</f>
        <v>0</v>
      </c>
      <c r="D547" s="186">
        <f t="shared" si="317"/>
        <v>0</v>
      </c>
      <c r="E547" s="186">
        <f t="shared" si="317"/>
        <v>0</v>
      </c>
      <c r="F547" s="186">
        <f t="shared" si="317"/>
        <v>0</v>
      </c>
      <c r="G547" s="186">
        <f t="shared" si="317"/>
        <v>0</v>
      </c>
      <c r="H547" s="186">
        <f t="shared" si="317"/>
        <v>0</v>
      </c>
      <c r="I547" s="186">
        <f t="shared" si="317"/>
        <v>0</v>
      </c>
      <c r="J547" s="186">
        <f t="shared" si="317"/>
        <v>0</v>
      </c>
      <c r="K547" s="186">
        <f t="shared" si="317"/>
        <v>0</v>
      </c>
      <c r="L547" s="186">
        <f t="shared" si="317"/>
        <v>0</v>
      </c>
      <c r="M547" s="186">
        <f t="shared" si="317"/>
        <v>0</v>
      </c>
      <c r="N547" s="186">
        <f t="shared" si="317"/>
        <v>0</v>
      </c>
      <c r="O547" s="186">
        <f t="shared" si="317"/>
        <v>0</v>
      </c>
      <c r="P547" s="186">
        <f t="shared" si="317"/>
        <v>0</v>
      </c>
      <c r="Q547" s="186">
        <f t="shared" si="317"/>
        <v>0</v>
      </c>
      <c r="R547" s="186">
        <f t="shared" si="317"/>
        <v>0</v>
      </c>
      <c r="S547" s="186">
        <f t="shared" si="317"/>
        <v>0</v>
      </c>
      <c r="T547" s="186">
        <f t="shared" si="317"/>
        <v>0</v>
      </c>
      <c r="U547" s="186">
        <f t="shared" si="317"/>
        <v>0</v>
      </c>
      <c r="V547" s="186">
        <f t="shared" si="317"/>
        <v>0</v>
      </c>
      <c r="W547" s="186">
        <f t="shared" si="317"/>
        <v>0</v>
      </c>
      <c r="X547" s="186">
        <f t="shared" si="317"/>
        <v>0</v>
      </c>
      <c r="Y547" s="186">
        <f t="shared" si="317"/>
        <v>0</v>
      </c>
      <c r="Z547" s="186">
        <f t="shared" si="317"/>
        <v>0</v>
      </c>
      <c r="AA547" s="186">
        <f t="shared" si="317"/>
        <v>0</v>
      </c>
      <c r="AB547" s="186">
        <f t="shared" si="317"/>
        <v>0</v>
      </c>
      <c r="AC547" s="186">
        <f t="shared" si="317"/>
        <v>0</v>
      </c>
      <c r="AD547" s="186">
        <f t="shared" si="317"/>
        <v>0</v>
      </c>
      <c r="AE547" s="186">
        <f t="shared" si="317"/>
        <v>0</v>
      </c>
      <c r="AF547" s="186">
        <f t="shared" si="317"/>
        <v>0</v>
      </c>
      <c r="AG547" s="186">
        <f t="shared" si="317"/>
        <v>0</v>
      </c>
      <c r="AH547" s="186">
        <f t="shared" si="317"/>
        <v>0</v>
      </c>
      <c r="AI547" s="186">
        <f t="shared" si="317"/>
        <v>0</v>
      </c>
      <c r="AJ547" s="186">
        <f t="shared" si="317"/>
        <v>0</v>
      </c>
      <c r="AK547" s="186">
        <f t="shared" si="317"/>
        <v>0</v>
      </c>
      <c r="AL547" s="186">
        <f t="shared" si="317"/>
        <v>0</v>
      </c>
      <c r="AM547" s="186">
        <f t="shared" si="317"/>
        <v>0</v>
      </c>
      <c r="AN547" s="186">
        <f t="shared" si="317"/>
        <v>0</v>
      </c>
      <c r="AO547" s="186">
        <f t="shared" si="317"/>
        <v>0</v>
      </c>
      <c r="AP547" s="186">
        <f t="shared" si="317"/>
        <v>0</v>
      </c>
    </row>
    <row r="548" spans="1:42">
      <c r="A548" s="118">
        <f t="shared" si="315"/>
        <v>5</v>
      </c>
      <c r="B548" s="196">
        <f t="shared" si="312"/>
        <v>0</v>
      </c>
      <c r="C548" s="225">
        <f t="shared" ref="C548:AP548" si="318">LOOKUP(C536,$B$501:$AP$501,$B$502:$AP$502)*$B692</f>
        <v>0</v>
      </c>
      <c r="D548" s="186">
        <f t="shared" si="318"/>
        <v>0</v>
      </c>
      <c r="E548" s="186">
        <f t="shared" si="318"/>
        <v>0</v>
      </c>
      <c r="F548" s="186">
        <f t="shared" si="318"/>
        <v>0</v>
      </c>
      <c r="G548" s="186">
        <f t="shared" si="318"/>
        <v>0</v>
      </c>
      <c r="H548" s="186">
        <f t="shared" si="318"/>
        <v>0</v>
      </c>
      <c r="I548" s="186">
        <f t="shared" si="318"/>
        <v>0</v>
      </c>
      <c r="J548" s="186">
        <f t="shared" si="318"/>
        <v>0</v>
      </c>
      <c r="K548" s="186">
        <f t="shared" si="318"/>
        <v>0</v>
      </c>
      <c r="L548" s="186">
        <f t="shared" si="318"/>
        <v>0</v>
      </c>
      <c r="M548" s="186">
        <f t="shared" si="318"/>
        <v>0</v>
      </c>
      <c r="N548" s="186">
        <f t="shared" si="318"/>
        <v>0</v>
      </c>
      <c r="O548" s="186">
        <f t="shared" si="318"/>
        <v>0</v>
      </c>
      <c r="P548" s="186">
        <f t="shared" si="318"/>
        <v>0</v>
      </c>
      <c r="Q548" s="186">
        <f t="shared" si="318"/>
        <v>0</v>
      </c>
      <c r="R548" s="186">
        <f t="shared" si="318"/>
        <v>0</v>
      </c>
      <c r="S548" s="186">
        <f t="shared" si="318"/>
        <v>0</v>
      </c>
      <c r="T548" s="186">
        <f t="shared" si="318"/>
        <v>0</v>
      </c>
      <c r="U548" s="186">
        <f t="shared" si="318"/>
        <v>0</v>
      </c>
      <c r="V548" s="186">
        <f t="shared" si="318"/>
        <v>0</v>
      </c>
      <c r="W548" s="186">
        <f t="shared" si="318"/>
        <v>0</v>
      </c>
      <c r="X548" s="186">
        <f t="shared" si="318"/>
        <v>0</v>
      </c>
      <c r="Y548" s="186">
        <f t="shared" si="318"/>
        <v>0</v>
      </c>
      <c r="Z548" s="186">
        <f t="shared" si="318"/>
        <v>0</v>
      </c>
      <c r="AA548" s="186">
        <f t="shared" si="318"/>
        <v>0</v>
      </c>
      <c r="AB548" s="186">
        <f t="shared" si="318"/>
        <v>0</v>
      </c>
      <c r="AC548" s="186">
        <f t="shared" si="318"/>
        <v>0</v>
      </c>
      <c r="AD548" s="186">
        <f t="shared" si="318"/>
        <v>0</v>
      </c>
      <c r="AE548" s="186">
        <f t="shared" si="318"/>
        <v>0</v>
      </c>
      <c r="AF548" s="186">
        <f t="shared" si="318"/>
        <v>0</v>
      </c>
      <c r="AG548" s="186">
        <f t="shared" si="318"/>
        <v>0</v>
      </c>
      <c r="AH548" s="186">
        <f t="shared" si="318"/>
        <v>0</v>
      </c>
      <c r="AI548" s="186">
        <f t="shared" si="318"/>
        <v>0</v>
      </c>
      <c r="AJ548" s="186">
        <f t="shared" si="318"/>
        <v>0</v>
      </c>
      <c r="AK548" s="186">
        <f t="shared" si="318"/>
        <v>0</v>
      </c>
      <c r="AL548" s="186">
        <f t="shared" si="318"/>
        <v>0</v>
      </c>
      <c r="AM548" s="186">
        <f t="shared" si="318"/>
        <v>0</v>
      </c>
      <c r="AN548" s="186">
        <f t="shared" si="318"/>
        <v>0</v>
      </c>
      <c r="AO548" s="186">
        <f t="shared" si="318"/>
        <v>0</v>
      </c>
      <c r="AP548" s="186">
        <f t="shared" si="318"/>
        <v>0</v>
      </c>
    </row>
    <row r="549" spans="1:42">
      <c r="A549" s="118">
        <f t="shared" si="315"/>
        <v>6</v>
      </c>
      <c r="B549" s="196">
        <f t="shared" si="312"/>
        <v>0</v>
      </c>
      <c r="C549" s="225">
        <f t="shared" ref="C549:AP549" si="319">LOOKUP(C537,$B$501:$AP$501,$B$502:$AP$502)*$B693</f>
        <v>0</v>
      </c>
      <c r="D549" s="186">
        <f t="shared" si="319"/>
        <v>0</v>
      </c>
      <c r="E549" s="186">
        <f t="shared" si="319"/>
        <v>0</v>
      </c>
      <c r="F549" s="186">
        <f t="shared" si="319"/>
        <v>0</v>
      </c>
      <c r="G549" s="186">
        <f t="shared" si="319"/>
        <v>0</v>
      </c>
      <c r="H549" s="186">
        <f t="shared" si="319"/>
        <v>0</v>
      </c>
      <c r="I549" s="186">
        <f t="shared" si="319"/>
        <v>0</v>
      </c>
      <c r="J549" s="186">
        <f t="shared" si="319"/>
        <v>0</v>
      </c>
      <c r="K549" s="186">
        <f t="shared" si="319"/>
        <v>0</v>
      </c>
      <c r="L549" s="186">
        <f t="shared" si="319"/>
        <v>0</v>
      </c>
      <c r="M549" s="186">
        <f t="shared" si="319"/>
        <v>0</v>
      </c>
      <c r="N549" s="186">
        <f t="shared" si="319"/>
        <v>0</v>
      </c>
      <c r="O549" s="186">
        <f t="shared" si="319"/>
        <v>0</v>
      </c>
      <c r="P549" s="186">
        <f t="shared" si="319"/>
        <v>0</v>
      </c>
      <c r="Q549" s="186">
        <f t="shared" si="319"/>
        <v>0</v>
      </c>
      <c r="R549" s="186">
        <f t="shared" si="319"/>
        <v>0</v>
      </c>
      <c r="S549" s="186">
        <f t="shared" si="319"/>
        <v>0</v>
      </c>
      <c r="T549" s="186">
        <f t="shared" si="319"/>
        <v>0</v>
      </c>
      <c r="U549" s="186">
        <f t="shared" si="319"/>
        <v>0</v>
      </c>
      <c r="V549" s="186">
        <f t="shared" si="319"/>
        <v>0</v>
      </c>
      <c r="W549" s="186">
        <f t="shared" si="319"/>
        <v>0</v>
      </c>
      <c r="X549" s="186">
        <f t="shared" si="319"/>
        <v>0</v>
      </c>
      <c r="Y549" s="186">
        <f t="shared" si="319"/>
        <v>0</v>
      </c>
      <c r="Z549" s="186">
        <f t="shared" si="319"/>
        <v>0</v>
      </c>
      <c r="AA549" s="186">
        <f t="shared" si="319"/>
        <v>0</v>
      </c>
      <c r="AB549" s="186">
        <f t="shared" si="319"/>
        <v>0</v>
      </c>
      <c r="AC549" s="186">
        <f t="shared" si="319"/>
        <v>0</v>
      </c>
      <c r="AD549" s="186">
        <f t="shared" si="319"/>
        <v>0</v>
      </c>
      <c r="AE549" s="186">
        <f t="shared" si="319"/>
        <v>0</v>
      </c>
      <c r="AF549" s="186">
        <f t="shared" si="319"/>
        <v>0</v>
      </c>
      <c r="AG549" s="186">
        <f t="shared" si="319"/>
        <v>0</v>
      </c>
      <c r="AH549" s="186">
        <f t="shared" si="319"/>
        <v>0</v>
      </c>
      <c r="AI549" s="186">
        <f t="shared" si="319"/>
        <v>0</v>
      </c>
      <c r="AJ549" s="186">
        <f t="shared" si="319"/>
        <v>0</v>
      </c>
      <c r="AK549" s="186">
        <f t="shared" si="319"/>
        <v>0</v>
      </c>
      <c r="AL549" s="186">
        <f t="shared" si="319"/>
        <v>0</v>
      </c>
      <c r="AM549" s="186">
        <f t="shared" si="319"/>
        <v>0</v>
      </c>
      <c r="AN549" s="186">
        <f t="shared" si="319"/>
        <v>0</v>
      </c>
      <c r="AO549" s="186">
        <f t="shared" si="319"/>
        <v>0</v>
      </c>
      <c r="AP549" s="186">
        <f t="shared" si="319"/>
        <v>0</v>
      </c>
    </row>
    <row r="550" spans="1:42">
      <c r="A550" s="118">
        <f t="shared" si="315"/>
        <v>7</v>
      </c>
      <c r="B550" s="196">
        <f t="shared" si="312"/>
        <v>0</v>
      </c>
      <c r="C550" s="225">
        <f t="shared" ref="C550:AP550" si="320">LOOKUP(C538,$B$501:$AP$501,$B$502:$AP$502)*$B694</f>
        <v>0</v>
      </c>
      <c r="D550" s="186">
        <f t="shared" si="320"/>
        <v>0</v>
      </c>
      <c r="E550" s="186">
        <f t="shared" si="320"/>
        <v>0</v>
      </c>
      <c r="F550" s="186">
        <f t="shared" si="320"/>
        <v>0</v>
      </c>
      <c r="G550" s="186">
        <f t="shared" si="320"/>
        <v>0</v>
      </c>
      <c r="H550" s="186">
        <f t="shared" si="320"/>
        <v>0</v>
      </c>
      <c r="I550" s="186">
        <f t="shared" si="320"/>
        <v>0</v>
      </c>
      <c r="J550" s="186">
        <f t="shared" si="320"/>
        <v>0</v>
      </c>
      <c r="K550" s="186">
        <f t="shared" si="320"/>
        <v>0</v>
      </c>
      <c r="L550" s="186">
        <f t="shared" si="320"/>
        <v>0</v>
      </c>
      <c r="M550" s="186">
        <f t="shared" si="320"/>
        <v>0</v>
      </c>
      <c r="N550" s="186">
        <f t="shared" si="320"/>
        <v>0</v>
      </c>
      <c r="O550" s="186">
        <f t="shared" si="320"/>
        <v>0</v>
      </c>
      <c r="P550" s="186">
        <f t="shared" si="320"/>
        <v>0</v>
      </c>
      <c r="Q550" s="186">
        <f t="shared" si="320"/>
        <v>0</v>
      </c>
      <c r="R550" s="186">
        <f t="shared" si="320"/>
        <v>0</v>
      </c>
      <c r="S550" s="186">
        <f t="shared" si="320"/>
        <v>0</v>
      </c>
      <c r="T550" s="186">
        <f t="shared" si="320"/>
        <v>0</v>
      </c>
      <c r="U550" s="186">
        <f t="shared" si="320"/>
        <v>0</v>
      </c>
      <c r="V550" s="186">
        <f t="shared" si="320"/>
        <v>0</v>
      </c>
      <c r="W550" s="186">
        <f t="shared" si="320"/>
        <v>0</v>
      </c>
      <c r="X550" s="186">
        <f t="shared" si="320"/>
        <v>0</v>
      </c>
      <c r="Y550" s="186">
        <f t="shared" si="320"/>
        <v>0</v>
      </c>
      <c r="Z550" s="186">
        <f t="shared" si="320"/>
        <v>0</v>
      </c>
      <c r="AA550" s="186">
        <f t="shared" si="320"/>
        <v>0</v>
      </c>
      <c r="AB550" s="186">
        <f t="shared" si="320"/>
        <v>0</v>
      </c>
      <c r="AC550" s="186">
        <f t="shared" si="320"/>
        <v>0</v>
      </c>
      <c r="AD550" s="186">
        <f t="shared" si="320"/>
        <v>0</v>
      </c>
      <c r="AE550" s="186">
        <f t="shared" si="320"/>
        <v>0</v>
      </c>
      <c r="AF550" s="186">
        <f t="shared" si="320"/>
        <v>0</v>
      </c>
      <c r="AG550" s="186">
        <f t="shared" si="320"/>
        <v>0</v>
      </c>
      <c r="AH550" s="186">
        <f t="shared" si="320"/>
        <v>0</v>
      </c>
      <c r="AI550" s="186">
        <f t="shared" si="320"/>
        <v>0</v>
      </c>
      <c r="AJ550" s="186">
        <f t="shared" si="320"/>
        <v>0</v>
      </c>
      <c r="AK550" s="186">
        <f t="shared" si="320"/>
        <v>0</v>
      </c>
      <c r="AL550" s="186">
        <f t="shared" si="320"/>
        <v>0</v>
      </c>
      <c r="AM550" s="186">
        <f t="shared" si="320"/>
        <v>0</v>
      </c>
      <c r="AN550" s="186">
        <f t="shared" si="320"/>
        <v>0</v>
      </c>
      <c r="AO550" s="186">
        <f t="shared" si="320"/>
        <v>0</v>
      </c>
      <c r="AP550" s="186">
        <f t="shared" si="320"/>
        <v>0</v>
      </c>
    </row>
    <row r="551" spans="1:42">
      <c r="A551" s="118">
        <f t="shared" si="315"/>
        <v>8</v>
      </c>
      <c r="B551" s="196">
        <f t="shared" si="312"/>
        <v>0</v>
      </c>
      <c r="C551" s="225">
        <f t="shared" ref="C551:AP551" si="321">LOOKUP(C539,$B$501:$AP$501,$B$502:$AP$502)*$B695</f>
        <v>0</v>
      </c>
      <c r="D551" s="186">
        <f t="shared" si="321"/>
        <v>0</v>
      </c>
      <c r="E551" s="186">
        <f t="shared" si="321"/>
        <v>0</v>
      </c>
      <c r="F551" s="186">
        <f t="shared" si="321"/>
        <v>0</v>
      </c>
      <c r="G551" s="186">
        <f t="shared" si="321"/>
        <v>0</v>
      </c>
      <c r="H551" s="186">
        <f t="shared" si="321"/>
        <v>0</v>
      </c>
      <c r="I551" s="186">
        <f t="shared" si="321"/>
        <v>0</v>
      </c>
      <c r="J551" s="186">
        <f t="shared" si="321"/>
        <v>0</v>
      </c>
      <c r="K551" s="186">
        <f t="shared" si="321"/>
        <v>0</v>
      </c>
      <c r="L551" s="186">
        <f t="shared" si="321"/>
        <v>0</v>
      </c>
      <c r="M551" s="186">
        <f t="shared" si="321"/>
        <v>0</v>
      </c>
      <c r="N551" s="186">
        <f t="shared" si="321"/>
        <v>0</v>
      </c>
      <c r="O551" s="186">
        <f t="shared" si="321"/>
        <v>0</v>
      </c>
      <c r="P551" s="186">
        <f t="shared" si="321"/>
        <v>0</v>
      </c>
      <c r="Q551" s="186">
        <f t="shared" si="321"/>
        <v>0</v>
      </c>
      <c r="R551" s="186">
        <f t="shared" si="321"/>
        <v>0</v>
      </c>
      <c r="S551" s="186">
        <f t="shared" si="321"/>
        <v>0</v>
      </c>
      <c r="T551" s="186">
        <f t="shared" si="321"/>
        <v>0</v>
      </c>
      <c r="U551" s="186">
        <f t="shared" si="321"/>
        <v>0</v>
      </c>
      <c r="V551" s="186">
        <f t="shared" si="321"/>
        <v>0</v>
      </c>
      <c r="W551" s="186">
        <f t="shared" si="321"/>
        <v>0</v>
      </c>
      <c r="X551" s="186">
        <f t="shared" si="321"/>
        <v>0</v>
      </c>
      <c r="Y551" s="186">
        <f t="shared" si="321"/>
        <v>0</v>
      </c>
      <c r="Z551" s="186">
        <f t="shared" si="321"/>
        <v>0</v>
      </c>
      <c r="AA551" s="186">
        <f t="shared" si="321"/>
        <v>0</v>
      </c>
      <c r="AB551" s="186">
        <f t="shared" si="321"/>
        <v>0</v>
      </c>
      <c r="AC551" s="186">
        <f t="shared" si="321"/>
        <v>0</v>
      </c>
      <c r="AD551" s="186">
        <f t="shared" si="321"/>
        <v>0</v>
      </c>
      <c r="AE551" s="186">
        <f t="shared" si="321"/>
        <v>0</v>
      </c>
      <c r="AF551" s="186">
        <f t="shared" si="321"/>
        <v>0</v>
      </c>
      <c r="AG551" s="186">
        <f t="shared" si="321"/>
        <v>0</v>
      </c>
      <c r="AH551" s="186">
        <f t="shared" si="321"/>
        <v>0</v>
      </c>
      <c r="AI551" s="186">
        <f t="shared" si="321"/>
        <v>0</v>
      </c>
      <c r="AJ551" s="186">
        <f t="shared" si="321"/>
        <v>0</v>
      </c>
      <c r="AK551" s="186">
        <f t="shared" si="321"/>
        <v>0</v>
      </c>
      <c r="AL551" s="186">
        <f t="shared" si="321"/>
        <v>0</v>
      </c>
      <c r="AM551" s="186">
        <f t="shared" si="321"/>
        <v>0</v>
      </c>
      <c r="AN551" s="186">
        <f t="shared" si="321"/>
        <v>0</v>
      </c>
      <c r="AO551" s="186">
        <f t="shared" si="321"/>
        <v>0</v>
      </c>
      <c r="AP551" s="186">
        <f t="shared" si="321"/>
        <v>0</v>
      </c>
    </row>
    <row r="552" spans="1:42">
      <c r="A552" s="118">
        <f>A551+1</f>
        <v>9</v>
      </c>
      <c r="B552" s="196">
        <f t="shared" si="312"/>
        <v>0</v>
      </c>
      <c r="C552" s="225">
        <f t="shared" ref="C552:AP552" si="322">LOOKUP(C540,$B$501:$AP$501,$B$502:$AP$502)*$B696</f>
        <v>0</v>
      </c>
      <c r="D552" s="186">
        <f t="shared" si="322"/>
        <v>0</v>
      </c>
      <c r="E552" s="186">
        <f t="shared" si="322"/>
        <v>0</v>
      </c>
      <c r="F552" s="186">
        <f t="shared" si="322"/>
        <v>0</v>
      </c>
      <c r="G552" s="186">
        <f t="shared" si="322"/>
        <v>0</v>
      </c>
      <c r="H552" s="186">
        <f t="shared" si="322"/>
        <v>0</v>
      </c>
      <c r="I552" s="186">
        <f t="shared" si="322"/>
        <v>0</v>
      </c>
      <c r="J552" s="186">
        <f t="shared" si="322"/>
        <v>0</v>
      </c>
      <c r="K552" s="186">
        <f t="shared" si="322"/>
        <v>0</v>
      </c>
      <c r="L552" s="186">
        <f t="shared" si="322"/>
        <v>0</v>
      </c>
      <c r="M552" s="186">
        <f t="shared" si="322"/>
        <v>0</v>
      </c>
      <c r="N552" s="186">
        <f t="shared" si="322"/>
        <v>0</v>
      </c>
      <c r="O552" s="186">
        <f t="shared" si="322"/>
        <v>0</v>
      </c>
      <c r="P552" s="186">
        <f t="shared" si="322"/>
        <v>0</v>
      </c>
      <c r="Q552" s="186">
        <f t="shared" si="322"/>
        <v>0</v>
      </c>
      <c r="R552" s="186">
        <f t="shared" si="322"/>
        <v>0</v>
      </c>
      <c r="S552" s="186">
        <f t="shared" si="322"/>
        <v>0</v>
      </c>
      <c r="T552" s="186">
        <f t="shared" si="322"/>
        <v>0</v>
      </c>
      <c r="U552" s="186">
        <f t="shared" si="322"/>
        <v>0</v>
      </c>
      <c r="V552" s="186">
        <f t="shared" si="322"/>
        <v>0</v>
      </c>
      <c r="W552" s="186">
        <f t="shared" si="322"/>
        <v>0</v>
      </c>
      <c r="X552" s="186">
        <f t="shared" si="322"/>
        <v>0</v>
      </c>
      <c r="Y552" s="186">
        <f t="shared" si="322"/>
        <v>0</v>
      </c>
      <c r="Z552" s="186">
        <f t="shared" si="322"/>
        <v>0</v>
      </c>
      <c r="AA552" s="186">
        <f t="shared" si="322"/>
        <v>0</v>
      </c>
      <c r="AB552" s="186">
        <f t="shared" si="322"/>
        <v>0</v>
      </c>
      <c r="AC552" s="186">
        <f t="shared" si="322"/>
        <v>0</v>
      </c>
      <c r="AD552" s="186">
        <f t="shared" si="322"/>
        <v>0</v>
      </c>
      <c r="AE552" s="186">
        <f t="shared" si="322"/>
        <v>0</v>
      </c>
      <c r="AF552" s="186">
        <f t="shared" si="322"/>
        <v>0</v>
      </c>
      <c r="AG552" s="186">
        <f t="shared" si="322"/>
        <v>0</v>
      </c>
      <c r="AH552" s="186">
        <f t="shared" si="322"/>
        <v>0</v>
      </c>
      <c r="AI552" s="186">
        <f t="shared" si="322"/>
        <v>0</v>
      </c>
      <c r="AJ552" s="186">
        <f t="shared" si="322"/>
        <v>0</v>
      </c>
      <c r="AK552" s="186">
        <f t="shared" si="322"/>
        <v>0</v>
      </c>
      <c r="AL552" s="186">
        <f t="shared" si="322"/>
        <v>0</v>
      </c>
      <c r="AM552" s="186">
        <f t="shared" si="322"/>
        <v>0</v>
      </c>
      <c r="AN552" s="186">
        <f t="shared" si="322"/>
        <v>0</v>
      </c>
      <c r="AO552" s="186">
        <f t="shared" si="322"/>
        <v>0</v>
      </c>
      <c r="AP552" s="186">
        <f t="shared" si="322"/>
        <v>0</v>
      </c>
    </row>
    <row r="553" spans="1:42">
      <c r="A553" s="118">
        <f t="shared" ref="A553" si="323">A552+1</f>
        <v>10</v>
      </c>
      <c r="B553" s="196">
        <f t="shared" si="312"/>
        <v>0</v>
      </c>
      <c r="C553" s="221">
        <f t="shared" ref="C553:AP553" si="324">LOOKUP(C541,$B$501:$AP$501,$B$502:$AP$502)*$B697</f>
        <v>0</v>
      </c>
      <c r="D553" s="187">
        <f t="shared" si="324"/>
        <v>0</v>
      </c>
      <c r="E553" s="187">
        <f t="shared" si="324"/>
        <v>0</v>
      </c>
      <c r="F553" s="187">
        <f t="shared" si="324"/>
        <v>0</v>
      </c>
      <c r="G553" s="187">
        <f t="shared" si="324"/>
        <v>0</v>
      </c>
      <c r="H553" s="187">
        <f t="shared" si="324"/>
        <v>0</v>
      </c>
      <c r="I553" s="187">
        <f t="shared" si="324"/>
        <v>0</v>
      </c>
      <c r="J553" s="187">
        <f t="shared" si="324"/>
        <v>0</v>
      </c>
      <c r="K553" s="187">
        <f t="shared" si="324"/>
        <v>0</v>
      </c>
      <c r="L553" s="187">
        <f t="shared" si="324"/>
        <v>0</v>
      </c>
      <c r="M553" s="187">
        <f t="shared" si="324"/>
        <v>0</v>
      </c>
      <c r="N553" s="187">
        <f t="shared" si="324"/>
        <v>0</v>
      </c>
      <c r="O553" s="187">
        <f t="shared" si="324"/>
        <v>0</v>
      </c>
      <c r="P553" s="187">
        <f t="shared" si="324"/>
        <v>0</v>
      </c>
      <c r="Q553" s="187">
        <f t="shared" si="324"/>
        <v>0</v>
      </c>
      <c r="R553" s="187">
        <f t="shared" si="324"/>
        <v>0</v>
      </c>
      <c r="S553" s="187">
        <f t="shared" si="324"/>
        <v>0</v>
      </c>
      <c r="T553" s="187">
        <f t="shared" si="324"/>
        <v>0</v>
      </c>
      <c r="U553" s="187">
        <f t="shared" si="324"/>
        <v>0</v>
      </c>
      <c r="V553" s="187">
        <f t="shared" si="324"/>
        <v>0</v>
      </c>
      <c r="W553" s="187">
        <f t="shared" si="324"/>
        <v>0</v>
      </c>
      <c r="X553" s="187">
        <f t="shared" si="324"/>
        <v>0</v>
      </c>
      <c r="Y553" s="187">
        <f t="shared" si="324"/>
        <v>0</v>
      </c>
      <c r="Z553" s="187">
        <f t="shared" si="324"/>
        <v>0</v>
      </c>
      <c r="AA553" s="187">
        <f t="shared" si="324"/>
        <v>0</v>
      </c>
      <c r="AB553" s="187">
        <f t="shared" si="324"/>
        <v>0</v>
      </c>
      <c r="AC553" s="187">
        <f t="shared" si="324"/>
        <v>0</v>
      </c>
      <c r="AD553" s="187">
        <f t="shared" si="324"/>
        <v>0</v>
      </c>
      <c r="AE553" s="187">
        <f t="shared" si="324"/>
        <v>0</v>
      </c>
      <c r="AF553" s="187">
        <f t="shared" si="324"/>
        <v>0</v>
      </c>
      <c r="AG553" s="187">
        <f t="shared" si="324"/>
        <v>0</v>
      </c>
      <c r="AH553" s="187">
        <f t="shared" si="324"/>
        <v>0</v>
      </c>
      <c r="AI553" s="187">
        <f t="shared" si="324"/>
        <v>0</v>
      </c>
      <c r="AJ553" s="187">
        <f t="shared" si="324"/>
        <v>0</v>
      </c>
      <c r="AK553" s="187">
        <f t="shared" si="324"/>
        <v>0</v>
      </c>
      <c r="AL553" s="187">
        <f t="shared" si="324"/>
        <v>0</v>
      </c>
      <c r="AM553" s="187">
        <f t="shared" si="324"/>
        <v>0</v>
      </c>
      <c r="AN553" s="187">
        <f t="shared" si="324"/>
        <v>0</v>
      </c>
      <c r="AO553" s="187">
        <f t="shared" si="324"/>
        <v>0</v>
      </c>
      <c r="AP553" s="187">
        <f t="shared" si="324"/>
        <v>0</v>
      </c>
    </row>
    <row r="554" spans="1:42" s="118" customFormat="1">
      <c r="A554" s="222" t="s">
        <v>53</v>
      </c>
      <c r="B554" s="141"/>
      <c r="C554" s="141">
        <f>SUM(C544:C553)</f>
        <v>0</v>
      </c>
      <c r="D554" s="141">
        <f t="shared" ref="D554:AP554" si="325">SUM(D544:D553)</f>
        <v>0</v>
      </c>
      <c r="E554" s="141">
        <f t="shared" si="325"/>
        <v>0</v>
      </c>
      <c r="F554" s="141">
        <f t="shared" si="325"/>
        <v>0</v>
      </c>
      <c r="G554" s="141">
        <f t="shared" si="325"/>
        <v>0</v>
      </c>
      <c r="H554" s="141">
        <f t="shared" si="325"/>
        <v>0</v>
      </c>
      <c r="I554" s="141">
        <f t="shared" si="325"/>
        <v>0</v>
      </c>
      <c r="J554" s="141">
        <f t="shared" si="325"/>
        <v>0</v>
      </c>
      <c r="K554" s="141">
        <f t="shared" si="325"/>
        <v>0</v>
      </c>
      <c r="L554" s="141">
        <f t="shared" si="325"/>
        <v>0</v>
      </c>
      <c r="M554" s="141">
        <f t="shared" si="325"/>
        <v>0</v>
      </c>
      <c r="N554" s="141">
        <f t="shared" si="325"/>
        <v>0</v>
      </c>
      <c r="O554" s="141">
        <f t="shared" si="325"/>
        <v>0</v>
      </c>
      <c r="P554" s="141">
        <f t="shared" si="325"/>
        <v>0</v>
      </c>
      <c r="Q554" s="141">
        <f t="shared" si="325"/>
        <v>1231755.7306939578</v>
      </c>
      <c r="R554" s="141">
        <f t="shared" si="325"/>
        <v>1970809.1691103324</v>
      </c>
      <c r="S554" s="141">
        <f t="shared" si="325"/>
        <v>1182485.5014661995</v>
      </c>
      <c r="T554" s="141">
        <f t="shared" si="325"/>
        <v>709491.30087971967</v>
      </c>
      <c r="U554" s="141">
        <f t="shared" si="325"/>
        <v>709491.30087971967</v>
      </c>
      <c r="V554" s="141">
        <f t="shared" si="325"/>
        <v>354745.65043985983</v>
      </c>
      <c r="W554" s="141">
        <f t="shared" si="325"/>
        <v>0</v>
      </c>
      <c r="X554" s="141">
        <f t="shared" si="325"/>
        <v>0</v>
      </c>
      <c r="Y554" s="141">
        <f t="shared" si="325"/>
        <v>0</v>
      </c>
      <c r="Z554" s="141">
        <f t="shared" si="325"/>
        <v>0</v>
      </c>
      <c r="AA554" s="141">
        <f t="shared" si="325"/>
        <v>0</v>
      </c>
      <c r="AB554" s="141">
        <f t="shared" si="325"/>
        <v>0</v>
      </c>
      <c r="AC554" s="141">
        <f t="shared" si="325"/>
        <v>0</v>
      </c>
      <c r="AD554" s="141">
        <f t="shared" si="325"/>
        <v>0</v>
      </c>
      <c r="AE554" s="141">
        <f t="shared" si="325"/>
        <v>0</v>
      </c>
      <c r="AF554" s="141">
        <f t="shared" si="325"/>
        <v>1539980.512798867</v>
      </c>
      <c r="AG554" s="141">
        <f t="shared" si="325"/>
        <v>0</v>
      </c>
      <c r="AH554" s="141">
        <f t="shared" si="325"/>
        <v>0</v>
      </c>
      <c r="AI554" s="141">
        <f t="shared" si="325"/>
        <v>0</v>
      </c>
      <c r="AJ554" s="141">
        <f t="shared" si="325"/>
        <v>0</v>
      </c>
      <c r="AK554" s="141">
        <f t="shared" si="325"/>
        <v>0</v>
      </c>
      <c r="AL554" s="141">
        <f t="shared" si="325"/>
        <v>0</v>
      </c>
      <c r="AM554" s="141">
        <f t="shared" si="325"/>
        <v>0</v>
      </c>
      <c r="AN554" s="141">
        <f t="shared" si="325"/>
        <v>0</v>
      </c>
      <c r="AO554" s="141">
        <f t="shared" si="325"/>
        <v>0</v>
      </c>
      <c r="AP554" s="141">
        <f t="shared" si="325"/>
        <v>0</v>
      </c>
    </row>
    <row r="555" spans="1:42" s="118" customFormat="1">
      <c r="A555" s="222"/>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141"/>
      <c r="AD555" s="141"/>
      <c r="AE555" s="141"/>
      <c r="AF555" s="141"/>
      <c r="AG555" s="141"/>
      <c r="AH555" s="141"/>
      <c r="AI555" s="141"/>
      <c r="AJ555" s="141"/>
      <c r="AK555" s="141"/>
      <c r="AL555" s="141"/>
      <c r="AM555" s="141"/>
      <c r="AN555" s="141"/>
      <c r="AO555" s="141"/>
      <c r="AP555" s="141"/>
    </row>
    <row r="556" spans="1:42">
      <c r="A556" s="197" t="s">
        <v>372</v>
      </c>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row>
    <row r="557" spans="1:42">
      <c r="A557" s="204" t="s">
        <v>207</v>
      </c>
      <c r="C557" s="186"/>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row>
    <row r="558" spans="1:42">
      <c r="A558" s="37">
        <v>1</v>
      </c>
      <c r="C558" s="186">
        <f>C423</f>
        <v>0</v>
      </c>
      <c r="D558" s="186">
        <f t="shared" ref="D558:AP564" si="326">D423</f>
        <v>0</v>
      </c>
      <c r="E558" s="186">
        <f t="shared" si="326"/>
        <v>1</v>
      </c>
      <c r="F558" s="186">
        <f t="shared" si="326"/>
        <v>2</v>
      </c>
      <c r="G558" s="186">
        <f t="shared" si="326"/>
        <v>3</v>
      </c>
      <c r="H558" s="186">
        <f t="shared" si="326"/>
        <v>4</v>
      </c>
      <c r="I558" s="186">
        <f t="shared" si="326"/>
        <v>5</v>
      </c>
      <c r="J558" s="186">
        <f t="shared" si="326"/>
        <v>6</v>
      </c>
      <c r="K558" s="186">
        <f t="shared" si="326"/>
        <v>7</v>
      </c>
      <c r="L558" s="186">
        <f t="shared" si="326"/>
        <v>8</v>
      </c>
      <c r="M558" s="186">
        <f t="shared" si="326"/>
        <v>9</v>
      </c>
      <c r="N558" s="186">
        <f t="shared" si="326"/>
        <v>10</v>
      </c>
      <c r="O558" s="186">
        <f t="shared" si="326"/>
        <v>11</v>
      </c>
      <c r="P558" s="186">
        <f t="shared" si="326"/>
        <v>12</v>
      </c>
      <c r="Q558" s="186">
        <f t="shared" si="326"/>
        <v>13</v>
      </c>
      <c r="R558" s="186">
        <f t="shared" si="326"/>
        <v>14</v>
      </c>
      <c r="S558" s="186">
        <f t="shared" si="326"/>
        <v>15</v>
      </c>
      <c r="T558" s="186">
        <f t="shared" si="326"/>
        <v>16</v>
      </c>
      <c r="U558" s="186">
        <f t="shared" si="326"/>
        <v>17</v>
      </c>
      <c r="V558" s="186">
        <f t="shared" si="326"/>
        <v>18</v>
      </c>
      <c r="W558" s="186">
        <f t="shared" si="326"/>
        <v>19</v>
      </c>
      <c r="X558" s="186">
        <f t="shared" si="326"/>
        <v>20</v>
      </c>
      <c r="Y558" s="186">
        <f t="shared" si="326"/>
        <v>21</v>
      </c>
      <c r="Z558" s="186">
        <f t="shared" si="326"/>
        <v>22</v>
      </c>
      <c r="AA558" s="186">
        <f t="shared" si="326"/>
        <v>23</v>
      </c>
      <c r="AB558" s="186">
        <f t="shared" si="326"/>
        <v>24</v>
      </c>
      <c r="AC558" s="186">
        <f t="shared" si="326"/>
        <v>25</v>
      </c>
      <c r="AD558" s="186">
        <f t="shared" si="326"/>
        <v>26</v>
      </c>
      <c r="AE558" s="186">
        <f t="shared" si="326"/>
        <v>27</v>
      </c>
      <c r="AF558" s="186">
        <f t="shared" si="326"/>
        <v>28</v>
      </c>
      <c r="AG558" s="186">
        <f t="shared" si="326"/>
        <v>0</v>
      </c>
      <c r="AH558" s="186">
        <f t="shared" si="326"/>
        <v>0</v>
      </c>
      <c r="AI558" s="186">
        <f t="shared" si="326"/>
        <v>0</v>
      </c>
      <c r="AJ558" s="186">
        <f t="shared" si="326"/>
        <v>0</v>
      </c>
      <c r="AK558" s="186">
        <f t="shared" si="326"/>
        <v>0</v>
      </c>
      <c r="AL558" s="186">
        <f t="shared" si="326"/>
        <v>0</v>
      </c>
      <c r="AM558" s="186">
        <f t="shared" si="326"/>
        <v>0</v>
      </c>
      <c r="AN558" s="186">
        <f t="shared" si="326"/>
        <v>0</v>
      </c>
      <c r="AO558" s="186">
        <f t="shared" si="326"/>
        <v>0</v>
      </c>
      <c r="AP558" s="186">
        <f t="shared" si="326"/>
        <v>0</v>
      </c>
    </row>
    <row r="559" spans="1:42">
      <c r="A559" s="37">
        <f>A558+1</f>
        <v>2</v>
      </c>
      <c r="C559" s="186">
        <f t="shared" ref="C559:R567" si="327">C424</f>
        <v>0</v>
      </c>
      <c r="D559" s="186">
        <f t="shared" si="327"/>
        <v>0</v>
      </c>
      <c r="E559" s="186">
        <f t="shared" si="327"/>
        <v>0</v>
      </c>
      <c r="F559" s="186">
        <f t="shared" si="327"/>
        <v>0</v>
      </c>
      <c r="G559" s="186">
        <f t="shared" si="327"/>
        <v>0</v>
      </c>
      <c r="H559" s="186">
        <f t="shared" si="327"/>
        <v>1</v>
      </c>
      <c r="I559" s="186">
        <f t="shared" si="327"/>
        <v>2</v>
      </c>
      <c r="J559" s="186">
        <f t="shared" si="327"/>
        <v>3</v>
      </c>
      <c r="K559" s="186">
        <f t="shared" si="327"/>
        <v>4</v>
      </c>
      <c r="L559" s="186">
        <f t="shared" si="327"/>
        <v>5</v>
      </c>
      <c r="M559" s="186">
        <f t="shared" si="327"/>
        <v>6</v>
      </c>
      <c r="N559" s="186">
        <f t="shared" si="327"/>
        <v>7</v>
      </c>
      <c r="O559" s="186">
        <f t="shared" si="327"/>
        <v>8</v>
      </c>
      <c r="P559" s="186">
        <f t="shared" si="327"/>
        <v>9</v>
      </c>
      <c r="Q559" s="186">
        <f t="shared" si="327"/>
        <v>10</v>
      </c>
      <c r="R559" s="186">
        <f t="shared" si="327"/>
        <v>11</v>
      </c>
      <c r="S559" s="186">
        <f t="shared" si="326"/>
        <v>12</v>
      </c>
      <c r="T559" s="186">
        <f t="shared" si="326"/>
        <v>13</v>
      </c>
      <c r="U559" s="186">
        <f t="shared" si="326"/>
        <v>14</v>
      </c>
      <c r="V559" s="186">
        <f t="shared" si="326"/>
        <v>15</v>
      </c>
      <c r="W559" s="186">
        <f t="shared" si="326"/>
        <v>16</v>
      </c>
      <c r="X559" s="186">
        <f t="shared" si="326"/>
        <v>17</v>
      </c>
      <c r="Y559" s="186">
        <f t="shared" si="326"/>
        <v>18</v>
      </c>
      <c r="Z559" s="186">
        <f t="shared" si="326"/>
        <v>19</v>
      </c>
      <c r="AA559" s="186">
        <f t="shared" si="326"/>
        <v>20</v>
      </c>
      <c r="AB559" s="186">
        <f t="shared" si="326"/>
        <v>21</v>
      </c>
      <c r="AC559" s="186">
        <f t="shared" si="326"/>
        <v>22</v>
      </c>
      <c r="AD559" s="186">
        <f t="shared" si="326"/>
        <v>23</v>
      </c>
      <c r="AE559" s="186">
        <f t="shared" si="326"/>
        <v>24</v>
      </c>
      <c r="AF559" s="186">
        <f t="shared" si="326"/>
        <v>25</v>
      </c>
      <c r="AG559" s="186">
        <f t="shared" si="326"/>
        <v>0</v>
      </c>
      <c r="AH559" s="186">
        <f t="shared" si="326"/>
        <v>0</v>
      </c>
      <c r="AI559" s="186">
        <f t="shared" si="326"/>
        <v>0</v>
      </c>
      <c r="AJ559" s="186">
        <f t="shared" si="326"/>
        <v>0</v>
      </c>
      <c r="AK559" s="186">
        <f t="shared" si="326"/>
        <v>0</v>
      </c>
      <c r="AL559" s="186">
        <f t="shared" si="326"/>
        <v>0</v>
      </c>
      <c r="AM559" s="186">
        <f t="shared" si="326"/>
        <v>0</v>
      </c>
      <c r="AN559" s="186">
        <f t="shared" si="326"/>
        <v>0</v>
      </c>
      <c r="AO559" s="186">
        <f t="shared" si="326"/>
        <v>0</v>
      </c>
      <c r="AP559" s="186">
        <f t="shared" si="326"/>
        <v>0</v>
      </c>
    </row>
    <row r="560" spans="1:42">
      <c r="A560" s="37">
        <f t="shared" ref="A560:A565" si="328">A559+1</f>
        <v>3</v>
      </c>
      <c r="C560" s="186">
        <f t="shared" si="327"/>
        <v>0</v>
      </c>
      <c r="D560" s="186">
        <f t="shared" si="326"/>
        <v>0</v>
      </c>
      <c r="E560" s="186">
        <f t="shared" si="326"/>
        <v>0</v>
      </c>
      <c r="F560" s="186">
        <f t="shared" si="326"/>
        <v>0</v>
      </c>
      <c r="G560" s="186">
        <f t="shared" si="326"/>
        <v>0</v>
      </c>
      <c r="H560" s="186">
        <f t="shared" si="326"/>
        <v>0</v>
      </c>
      <c r="I560" s="186">
        <f t="shared" si="326"/>
        <v>0</v>
      </c>
      <c r="J560" s="186">
        <f t="shared" si="326"/>
        <v>0</v>
      </c>
      <c r="K560" s="186">
        <f t="shared" si="326"/>
        <v>1</v>
      </c>
      <c r="L560" s="186">
        <f t="shared" si="326"/>
        <v>2</v>
      </c>
      <c r="M560" s="186">
        <f t="shared" si="326"/>
        <v>3</v>
      </c>
      <c r="N560" s="186">
        <f t="shared" si="326"/>
        <v>4</v>
      </c>
      <c r="O560" s="186">
        <f t="shared" si="326"/>
        <v>5</v>
      </c>
      <c r="P560" s="186">
        <f t="shared" si="326"/>
        <v>6</v>
      </c>
      <c r="Q560" s="186">
        <f t="shared" si="326"/>
        <v>7</v>
      </c>
      <c r="R560" s="186">
        <f t="shared" si="326"/>
        <v>8</v>
      </c>
      <c r="S560" s="186">
        <f t="shared" si="326"/>
        <v>9</v>
      </c>
      <c r="T560" s="186">
        <f t="shared" si="326"/>
        <v>10</v>
      </c>
      <c r="U560" s="186">
        <f t="shared" si="326"/>
        <v>11</v>
      </c>
      <c r="V560" s="186">
        <f t="shared" si="326"/>
        <v>12</v>
      </c>
      <c r="W560" s="186">
        <f t="shared" si="326"/>
        <v>13</v>
      </c>
      <c r="X560" s="186">
        <f t="shared" si="326"/>
        <v>14</v>
      </c>
      <c r="Y560" s="186">
        <f t="shared" si="326"/>
        <v>15</v>
      </c>
      <c r="Z560" s="186">
        <f t="shared" si="326"/>
        <v>16</v>
      </c>
      <c r="AA560" s="186">
        <f t="shared" si="326"/>
        <v>17</v>
      </c>
      <c r="AB560" s="186">
        <f t="shared" si="326"/>
        <v>18</v>
      </c>
      <c r="AC560" s="186">
        <f t="shared" si="326"/>
        <v>19</v>
      </c>
      <c r="AD560" s="186">
        <f t="shared" si="326"/>
        <v>20</v>
      </c>
      <c r="AE560" s="186">
        <f t="shared" si="326"/>
        <v>21</v>
      </c>
      <c r="AF560" s="186">
        <f t="shared" si="326"/>
        <v>22</v>
      </c>
      <c r="AG560" s="186">
        <f t="shared" si="326"/>
        <v>0</v>
      </c>
      <c r="AH560" s="186">
        <f t="shared" si="326"/>
        <v>0</v>
      </c>
      <c r="AI560" s="186">
        <f t="shared" si="326"/>
        <v>0</v>
      </c>
      <c r="AJ560" s="186">
        <f t="shared" si="326"/>
        <v>0</v>
      </c>
      <c r="AK560" s="186">
        <f t="shared" si="326"/>
        <v>0</v>
      </c>
      <c r="AL560" s="186">
        <f t="shared" si="326"/>
        <v>0</v>
      </c>
      <c r="AM560" s="186">
        <f t="shared" si="326"/>
        <v>0</v>
      </c>
      <c r="AN560" s="186">
        <f t="shared" si="326"/>
        <v>0</v>
      </c>
      <c r="AO560" s="186">
        <f t="shared" si="326"/>
        <v>0</v>
      </c>
      <c r="AP560" s="186">
        <f t="shared" si="326"/>
        <v>0</v>
      </c>
    </row>
    <row r="561" spans="1:42">
      <c r="A561" s="37">
        <f t="shared" si="328"/>
        <v>4</v>
      </c>
      <c r="C561" s="186">
        <f t="shared" si="327"/>
        <v>0</v>
      </c>
      <c r="D561" s="186">
        <f t="shared" si="326"/>
        <v>0</v>
      </c>
      <c r="E561" s="186">
        <f t="shared" si="326"/>
        <v>0</v>
      </c>
      <c r="F561" s="186">
        <f t="shared" si="326"/>
        <v>0</v>
      </c>
      <c r="G561" s="186">
        <f t="shared" si="326"/>
        <v>0</v>
      </c>
      <c r="H561" s="186">
        <f t="shared" si="326"/>
        <v>0</v>
      </c>
      <c r="I561" s="186">
        <f t="shared" si="326"/>
        <v>0</v>
      </c>
      <c r="J561" s="186">
        <f t="shared" si="326"/>
        <v>0</v>
      </c>
      <c r="K561" s="186">
        <f t="shared" si="326"/>
        <v>0</v>
      </c>
      <c r="L561" s="186">
        <f t="shared" si="326"/>
        <v>0</v>
      </c>
      <c r="M561" s="186">
        <f t="shared" si="326"/>
        <v>0</v>
      </c>
      <c r="N561" s="186">
        <f t="shared" si="326"/>
        <v>1</v>
      </c>
      <c r="O561" s="186">
        <f t="shared" si="326"/>
        <v>2</v>
      </c>
      <c r="P561" s="186">
        <f t="shared" si="326"/>
        <v>3</v>
      </c>
      <c r="Q561" s="186">
        <f t="shared" si="326"/>
        <v>4</v>
      </c>
      <c r="R561" s="186">
        <f t="shared" si="326"/>
        <v>5</v>
      </c>
      <c r="S561" s="186">
        <f t="shared" si="326"/>
        <v>6</v>
      </c>
      <c r="T561" s="186">
        <f t="shared" si="326"/>
        <v>7</v>
      </c>
      <c r="U561" s="186">
        <f t="shared" si="326"/>
        <v>8</v>
      </c>
      <c r="V561" s="186">
        <f t="shared" si="326"/>
        <v>9</v>
      </c>
      <c r="W561" s="186">
        <f t="shared" si="326"/>
        <v>10</v>
      </c>
      <c r="X561" s="186">
        <f t="shared" si="326"/>
        <v>11</v>
      </c>
      <c r="Y561" s="186">
        <f t="shared" si="326"/>
        <v>12</v>
      </c>
      <c r="Z561" s="186">
        <f t="shared" si="326"/>
        <v>13</v>
      </c>
      <c r="AA561" s="186">
        <f t="shared" si="326"/>
        <v>14</v>
      </c>
      <c r="AB561" s="186">
        <f t="shared" si="326"/>
        <v>15</v>
      </c>
      <c r="AC561" s="186">
        <f t="shared" si="326"/>
        <v>16</v>
      </c>
      <c r="AD561" s="186">
        <f t="shared" si="326"/>
        <v>17</v>
      </c>
      <c r="AE561" s="186">
        <f t="shared" si="326"/>
        <v>18</v>
      </c>
      <c r="AF561" s="186">
        <f t="shared" si="326"/>
        <v>19</v>
      </c>
      <c r="AG561" s="186">
        <f t="shared" si="326"/>
        <v>0</v>
      </c>
      <c r="AH561" s="186">
        <f t="shared" si="326"/>
        <v>0</v>
      </c>
      <c r="AI561" s="186">
        <f t="shared" si="326"/>
        <v>0</v>
      </c>
      <c r="AJ561" s="186">
        <f t="shared" si="326"/>
        <v>0</v>
      </c>
      <c r="AK561" s="186">
        <f t="shared" si="326"/>
        <v>0</v>
      </c>
      <c r="AL561" s="186">
        <f t="shared" si="326"/>
        <v>0</v>
      </c>
      <c r="AM561" s="186">
        <f t="shared" si="326"/>
        <v>0</v>
      </c>
      <c r="AN561" s="186">
        <f t="shared" si="326"/>
        <v>0</v>
      </c>
      <c r="AO561" s="186">
        <f t="shared" si="326"/>
        <v>0</v>
      </c>
      <c r="AP561" s="186">
        <f t="shared" si="326"/>
        <v>0</v>
      </c>
    </row>
    <row r="562" spans="1:42">
      <c r="A562" s="37">
        <f t="shared" si="328"/>
        <v>5</v>
      </c>
      <c r="C562" s="186">
        <f t="shared" si="327"/>
        <v>0</v>
      </c>
      <c r="D562" s="186">
        <f t="shared" si="326"/>
        <v>0</v>
      </c>
      <c r="E562" s="186">
        <f t="shared" si="326"/>
        <v>0</v>
      </c>
      <c r="F562" s="186">
        <f t="shared" si="326"/>
        <v>0</v>
      </c>
      <c r="G562" s="186">
        <f t="shared" si="326"/>
        <v>0</v>
      </c>
      <c r="H562" s="186">
        <f t="shared" si="326"/>
        <v>0</v>
      </c>
      <c r="I562" s="186">
        <f t="shared" si="326"/>
        <v>0</v>
      </c>
      <c r="J562" s="186">
        <f t="shared" si="326"/>
        <v>0</v>
      </c>
      <c r="K562" s="186">
        <f t="shared" si="326"/>
        <v>0</v>
      </c>
      <c r="L562" s="186">
        <f t="shared" si="326"/>
        <v>0</v>
      </c>
      <c r="M562" s="186">
        <f t="shared" si="326"/>
        <v>0</v>
      </c>
      <c r="N562" s="186">
        <f t="shared" si="326"/>
        <v>0</v>
      </c>
      <c r="O562" s="186">
        <f t="shared" si="326"/>
        <v>0</v>
      </c>
      <c r="P562" s="186">
        <f t="shared" si="326"/>
        <v>0</v>
      </c>
      <c r="Q562" s="186">
        <f t="shared" si="326"/>
        <v>1</v>
      </c>
      <c r="R562" s="186">
        <f t="shared" si="326"/>
        <v>2</v>
      </c>
      <c r="S562" s="186">
        <f t="shared" si="326"/>
        <v>3</v>
      </c>
      <c r="T562" s="186">
        <f t="shared" si="326"/>
        <v>4</v>
      </c>
      <c r="U562" s="186">
        <f t="shared" si="326"/>
        <v>5</v>
      </c>
      <c r="V562" s="186">
        <f t="shared" si="326"/>
        <v>6</v>
      </c>
      <c r="W562" s="186">
        <f t="shared" si="326"/>
        <v>7</v>
      </c>
      <c r="X562" s="186">
        <f t="shared" si="326"/>
        <v>8</v>
      </c>
      <c r="Y562" s="186">
        <f t="shared" si="326"/>
        <v>9</v>
      </c>
      <c r="Z562" s="186">
        <f t="shared" si="326"/>
        <v>10</v>
      </c>
      <c r="AA562" s="186">
        <f t="shared" si="326"/>
        <v>11</v>
      </c>
      <c r="AB562" s="186">
        <f t="shared" si="326"/>
        <v>12</v>
      </c>
      <c r="AC562" s="186">
        <f t="shared" si="326"/>
        <v>13</v>
      </c>
      <c r="AD562" s="186">
        <f t="shared" si="326"/>
        <v>14</v>
      </c>
      <c r="AE562" s="186">
        <f t="shared" si="326"/>
        <v>15</v>
      </c>
      <c r="AF562" s="186">
        <f t="shared" si="326"/>
        <v>16</v>
      </c>
      <c r="AG562" s="186">
        <f t="shared" si="326"/>
        <v>0</v>
      </c>
      <c r="AH562" s="186">
        <f t="shared" si="326"/>
        <v>0</v>
      </c>
      <c r="AI562" s="186">
        <f t="shared" si="326"/>
        <v>0</v>
      </c>
      <c r="AJ562" s="186">
        <f t="shared" si="326"/>
        <v>0</v>
      </c>
      <c r="AK562" s="186">
        <f t="shared" si="326"/>
        <v>0</v>
      </c>
      <c r="AL562" s="186">
        <f t="shared" si="326"/>
        <v>0</v>
      </c>
      <c r="AM562" s="186">
        <f t="shared" si="326"/>
        <v>0</v>
      </c>
      <c r="AN562" s="186">
        <f t="shared" si="326"/>
        <v>0</v>
      </c>
      <c r="AO562" s="186">
        <f t="shared" si="326"/>
        <v>0</v>
      </c>
      <c r="AP562" s="186">
        <f t="shared" si="326"/>
        <v>0</v>
      </c>
    </row>
    <row r="563" spans="1:42">
      <c r="A563" s="37">
        <f t="shared" si="328"/>
        <v>6</v>
      </c>
      <c r="C563" s="186">
        <f t="shared" si="327"/>
        <v>0</v>
      </c>
      <c r="D563" s="186">
        <f t="shared" si="326"/>
        <v>0</v>
      </c>
      <c r="E563" s="186">
        <f t="shared" si="326"/>
        <v>0</v>
      </c>
      <c r="F563" s="186">
        <f t="shared" si="326"/>
        <v>0</v>
      </c>
      <c r="G563" s="186">
        <f t="shared" si="326"/>
        <v>0</v>
      </c>
      <c r="H563" s="186">
        <f t="shared" si="326"/>
        <v>0</v>
      </c>
      <c r="I563" s="186">
        <f t="shared" si="326"/>
        <v>0</v>
      </c>
      <c r="J563" s="186">
        <f t="shared" si="326"/>
        <v>0</v>
      </c>
      <c r="K563" s="186">
        <f t="shared" si="326"/>
        <v>0</v>
      </c>
      <c r="L563" s="186">
        <f t="shared" si="326"/>
        <v>0</v>
      </c>
      <c r="M563" s="186">
        <f t="shared" si="326"/>
        <v>0</v>
      </c>
      <c r="N563" s="186">
        <f t="shared" si="326"/>
        <v>0</v>
      </c>
      <c r="O563" s="186">
        <f t="shared" si="326"/>
        <v>0</v>
      </c>
      <c r="P563" s="186">
        <f t="shared" si="326"/>
        <v>0</v>
      </c>
      <c r="Q563" s="186">
        <f t="shared" si="326"/>
        <v>0</v>
      </c>
      <c r="R563" s="186">
        <f t="shared" si="326"/>
        <v>0</v>
      </c>
      <c r="S563" s="186">
        <f t="shared" si="326"/>
        <v>0</v>
      </c>
      <c r="T563" s="186">
        <f t="shared" si="326"/>
        <v>1</v>
      </c>
      <c r="U563" s="186">
        <f t="shared" si="326"/>
        <v>2</v>
      </c>
      <c r="V563" s="186">
        <f t="shared" si="326"/>
        <v>3</v>
      </c>
      <c r="W563" s="186">
        <f t="shared" si="326"/>
        <v>4</v>
      </c>
      <c r="X563" s="186">
        <f t="shared" si="326"/>
        <v>5</v>
      </c>
      <c r="Y563" s="186">
        <f t="shared" si="326"/>
        <v>6</v>
      </c>
      <c r="Z563" s="186">
        <f t="shared" si="326"/>
        <v>7</v>
      </c>
      <c r="AA563" s="186">
        <f t="shared" si="326"/>
        <v>8</v>
      </c>
      <c r="AB563" s="186">
        <f t="shared" si="326"/>
        <v>9</v>
      </c>
      <c r="AC563" s="186">
        <f t="shared" si="326"/>
        <v>10</v>
      </c>
      <c r="AD563" s="186">
        <f t="shared" si="326"/>
        <v>11</v>
      </c>
      <c r="AE563" s="186">
        <f t="shared" si="326"/>
        <v>12</v>
      </c>
      <c r="AF563" s="186">
        <f t="shared" si="326"/>
        <v>13</v>
      </c>
      <c r="AG563" s="186">
        <f t="shared" si="326"/>
        <v>0</v>
      </c>
      <c r="AH563" s="186">
        <f t="shared" si="326"/>
        <v>0</v>
      </c>
      <c r="AI563" s="186">
        <f t="shared" si="326"/>
        <v>0</v>
      </c>
      <c r="AJ563" s="186">
        <f t="shared" si="326"/>
        <v>0</v>
      </c>
      <c r="AK563" s="186">
        <f t="shared" si="326"/>
        <v>0</v>
      </c>
      <c r="AL563" s="186">
        <f t="shared" si="326"/>
        <v>0</v>
      </c>
      <c r="AM563" s="186">
        <f t="shared" si="326"/>
        <v>0</v>
      </c>
      <c r="AN563" s="186">
        <f t="shared" si="326"/>
        <v>0</v>
      </c>
      <c r="AO563" s="186">
        <f t="shared" si="326"/>
        <v>0</v>
      </c>
      <c r="AP563" s="186">
        <f t="shared" si="326"/>
        <v>0</v>
      </c>
    </row>
    <row r="564" spans="1:42">
      <c r="A564" s="37">
        <f t="shared" si="328"/>
        <v>7</v>
      </c>
      <c r="C564" s="186">
        <f t="shared" si="327"/>
        <v>0</v>
      </c>
      <c r="D564" s="186">
        <f t="shared" si="326"/>
        <v>0</v>
      </c>
      <c r="E564" s="186">
        <f t="shared" si="326"/>
        <v>0</v>
      </c>
      <c r="F564" s="186">
        <f t="shared" si="326"/>
        <v>0</v>
      </c>
      <c r="G564" s="186">
        <f t="shared" si="326"/>
        <v>0</v>
      </c>
      <c r="H564" s="186">
        <f t="shared" si="326"/>
        <v>0</v>
      </c>
      <c r="I564" s="186">
        <f t="shared" si="326"/>
        <v>0</v>
      </c>
      <c r="J564" s="186">
        <f t="shared" si="326"/>
        <v>0</v>
      </c>
      <c r="K564" s="186">
        <f t="shared" si="326"/>
        <v>0</v>
      </c>
      <c r="L564" s="186">
        <f t="shared" si="326"/>
        <v>0</v>
      </c>
      <c r="M564" s="186">
        <f t="shared" si="326"/>
        <v>0</v>
      </c>
      <c r="N564" s="186">
        <f t="shared" si="326"/>
        <v>0</v>
      </c>
      <c r="O564" s="186">
        <f t="shared" si="326"/>
        <v>0</v>
      </c>
      <c r="P564" s="186">
        <f t="shared" si="326"/>
        <v>0</v>
      </c>
      <c r="Q564" s="186">
        <f t="shared" si="326"/>
        <v>0</v>
      </c>
      <c r="R564" s="186">
        <f t="shared" si="326"/>
        <v>0</v>
      </c>
      <c r="S564" s="186">
        <f t="shared" si="326"/>
        <v>0</v>
      </c>
      <c r="T564" s="186">
        <f t="shared" si="326"/>
        <v>0</v>
      </c>
      <c r="U564" s="186">
        <f t="shared" si="326"/>
        <v>0</v>
      </c>
      <c r="V564" s="186">
        <f t="shared" si="326"/>
        <v>0</v>
      </c>
      <c r="W564" s="186">
        <f t="shared" si="326"/>
        <v>1</v>
      </c>
      <c r="X564" s="186">
        <f t="shared" si="326"/>
        <v>2</v>
      </c>
      <c r="Y564" s="186">
        <f t="shared" si="326"/>
        <v>3</v>
      </c>
      <c r="Z564" s="186">
        <f t="shared" si="326"/>
        <v>4</v>
      </c>
      <c r="AA564" s="186">
        <f t="shared" si="326"/>
        <v>5</v>
      </c>
      <c r="AB564" s="186">
        <f t="shared" si="326"/>
        <v>6</v>
      </c>
      <c r="AC564" s="186">
        <f t="shared" si="326"/>
        <v>7</v>
      </c>
      <c r="AD564" s="186">
        <f t="shared" si="326"/>
        <v>8</v>
      </c>
      <c r="AE564" s="186">
        <f t="shared" si="326"/>
        <v>9</v>
      </c>
      <c r="AF564" s="186">
        <f t="shared" si="326"/>
        <v>10</v>
      </c>
      <c r="AG564" s="186">
        <f t="shared" si="326"/>
        <v>0</v>
      </c>
      <c r="AH564" s="186">
        <f t="shared" si="326"/>
        <v>0</v>
      </c>
      <c r="AI564" s="186">
        <f t="shared" si="326"/>
        <v>0</v>
      </c>
      <c r="AJ564" s="186">
        <f t="shared" si="326"/>
        <v>0</v>
      </c>
      <c r="AK564" s="186">
        <f t="shared" si="326"/>
        <v>0</v>
      </c>
      <c r="AL564" s="186">
        <f t="shared" si="326"/>
        <v>0</v>
      </c>
      <c r="AM564" s="186">
        <f t="shared" si="326"/>
        <v>0</v>
      </c>
      <c r="AN564" s="186">
        <f t="shared" ref="AN564:AP564" si="329">AN429</f>
        <v>0</v>
      </c>
      <c r="AO564" s="186">
        <f t="shared" si="329"/>
        <v>0</v>
      </c>
      <c r="AP564" s="186">
        <f t="shared" si="329"/>
        <v>0</v>
      </c>
    </row>
    <row r="565" spans="1:42">
      <c r="A565" s="37">
        <f t="shared" si="328"/>
        <v>8</v>
      </c>
      <c r="C565" s="186">
        <f t="shared" si="327"/>
        <v>0</v>
      </c>
      <c r="D565" s="186">
        <f t="shared" si="327"/>
        <v>0</v>
      </c>
      <c r="E565" s="186">
        <f t="shared" si="327"/>
        <v>0</v>
      </c>
      <c r="F565" s="186">
        <f t="shared" si="327"/>
        <v>0</v>
      </c>
      <c r="G565" s="186">
        <f t="shared" si="327"/>
        <v>0</v>
      </c>
      <c r="H565" s="186">
        <f t="shared" si="327"/>
        <v>0</v>
      </c>
      <c r="I565" s="186">
        <f t="shared" si="327"/>
        <v>0</v>
      </c>
      <c r="J565" s="186">
        <f t="shared" si="327"/>
        <v>0</v>
      </c>
      <c r="K565" s="186">
        <f t="shared" si="327"/>
        <v>0</v>
      </c>
      <c r="L565" s="186">
        <f t="shared" si="327"/>
        <v>0</v>
      </c>
      <c r="M565" s="186">
        <f t="shared" si="327"/>
        <v>0</v>
      </c>
      <c r="N565" s="186">
        <f t="shared" si="327"/>
        <v>0</v>
      </c>
      <c r="O565" s="186">
        <f t="shared" si="327"/>
        <v>0</v>
      </c>
      <c r="P565" s="186">
        <f t="shared" si="327"/>
        <v>0</v>
      </c>
      <c r="Q565" s="186">
        <f t="shared" si="327"/>
        <v>0</v>
      </c>
      <c r="R565" s="186">
        <f t="shared" si="327"/>
        <v>0</v>
      </c>
      <c r="S565" s="186">
        <f t="shared" ref="S565:AP567" si="330">S430</f>
        <v>0</v>
      </c>
      <c r="T565" s="186">
        <f t="shared" si="330"/>
        <v>0</v>
      </c>
      <c r="U565" s="186">
        <f t="shared" si="330"/>
        <v>0</v>
      </c>
      <c r="V565" s="186">
        <f t="shared" si="330"/>
        <v>0</v>
      </c>
      <c r="W565" s="186">
        <f t="shared" si="330"/>
        <v>0</v>
      </c>
      <c r="X565" s="186">
        <f t="shared" si="330"/>
        <v>0</v>
      </c>
      <c r="Y565" s="186">
        <f t="shared" si="330"/>
        <v>0</v>
      </c>
      <c r="Z565" s="186">
        <f t="shared" si="330"/>
        <v>1</v>
      </c>
      <c r="AA565" s="186">
        <f t="shared" si="330"/>
        <v>2</v>
      </c>
      <c r="AB565" s="186">
        <f t="shared" si="330"/>
        <v>3</v>
      </c>
      <c r="AC565" s="186">
        <f t="shared" si="330"/>
        <v>4</v>
      </c>
      <c r="AD565" s="186">
        <f t="shared" si="330"/>
        <v>5</v>
      </c>
      <c r="AE565" s="186">
        <f t="shared" si="330"/>
        <v>6</v>
      </c>
      <c r="AF565" s="186">
        <f t="shared" si="330"/>
        <v>7</v>
      </c>
      <c r="AG565" s="186">
        <f t="shared" si="330"/>
        <v>0</v>
      </c>
      <c r="AH565" s="186">
        <f t="shared" si="330"/>
        <v>0</v>
      </c>
      <c r="AI565" s="186">
        <f t="shared" si="330"/>
        <v>0</v>
      </c>
      <c r="AJ565" s="186">
        <f t="shared" si="330"/>
        <v>0</v>
      </c>
      <c r="AK565" s="186">
        <f t="shared" si="330"/>
        <v>0</v>
      </c>
      <c r="AL565" s="186">
        <f t="shared" si="330"/>
        <v>0</v>
      </c>
      <c r="AM565" s="186">
        <f t="shared" si="330"/>
        <v>0</v>
      </c>
      <c r="AN565" s="186">
        <f t="shared" si="330"/>
        <v>0</v>
      </c>
      <c r="AO565" s="186">
        <f t="shared" si="330"/>
        <v>0</v>
      </c>
      <c r="AP565" s="186">
        <f t="shared" si="330"/>
        <v>0</v>
      </c>
    </row>
    <row r="566" spans="1:42">
      <c r="A566" s="37">
        <f>A565+1</f>
        <v>9</v>
      </c>
      <c r="C566" s="186">
        <f t="shared" si="327"/>
        <v>0</v>
      </c>
      <c r="D566" s="186">
        <f t="shared" si="327"/>
        <v>0</v>
      </c>
      <c r="E566" s="186">
        <f t="shared" si="327"/>
        <v>0</v>
      </c>
      <c r="F566" s="186">
        <f t="shared" si="327"/>
        <v>0</v>
      </c>
      <c r="G566" s="186">
        <f t="shared" si="327"/>
        <v>0</v>
      </c>
      <c r="H566" s="186">
        <f t="shared" si="327"/>
        <v>0</v>
      </c>
      <c r="I566" s="186">
        <f t="shared" si="327"/>
        <v>0</v>
      </c>
      <c r="J566" s="186">
        <f t="shared" si="327"/>
        <v>0</v>
      </c>
      <c r="K566" s="186">
        <f t="shared" si="327"/>
        <v>0</v>
      </c>
      <c r="L566" s="186">
        <f t="shared" si="327"/>
        <v>0</v>
      </c>
      <c r="M566" s="186">
        <f t="shared" si="327"/>
        <v>0</v>
      </c>
      <c r="N566" s="186">
        <f t="shared" si="327"/>
        <v>0</v>
      </c>
      <c r="O566" s="186">
        <f t="shared" si="327"/>
        <v>0</v>
      </c>
      <c r="P566" s="186">
        <f t="shared" si="327"/>
        <v>0</v>
      </c>
      <c r="Q566" s="186">
        <f t="shared" si="327"/>
        <v>0</v>
      </c>
      <c r="R566" s="186">
        <f t="shared" si="327"/>
        <v>0</v>
      </c>
      <c r="S566" s="186">
        <f t="shared" si="330"/>
        <v>0</v>
      </c>
      <c r="T566" s="186">
        <f t="shared" si="330"/>
        <v>0</v>
      </c>
      <c r="U566" s="186">
        <f t="shared" si="330"/>
        <v>0</v>
      </c>
      <c r="V566" s="186">
        <f t="shared" si="330"/>
        <v>0</v>
      </c>
      <c r="W566" s="186">
        <f t="shared" si="330"/>
        <v>0</v>
      </c>
      <c r="X566" s="186">
        <f t="shared" si="330"/>
        <v>0</v>
      </c>
      <c r="Y566" s="186">
        <f t="shared" si="330"/>
        <v>0</v>
      </c>
      <c r="Z566" s="186">
        <f t="shared" si="330"/>
        <v>0</v>
      </c>
      <c r="AA566" s="186">
        <f t="shared" si="330"/>
        <v>0</v>
      </c>
      <c r="AB566" s="186">
        <f t="shared" si="330"/>
        <v>0</v>
      </c>
      <c r="AC566" s="186">
        <f t="shared" si="330"/>
        <v>1</v>
      </c>
      <c r="AD566" s="186">
        <f t="shared" si="330"/>
        <v>2</v>
      </c>
      <c r="AE566" s="186">
        <f t="shared" si="330"/>
        <v>3</v>
      </c>
      <c r="AF566" s="186">
        <f t="shared" si="330"/>
        <v>4</v>
      </c>
      <c r="AG566" s="186">
        <f t="shared" si="330"/>
        <v>0</v>
      </c>
      <c r="AH566" s="186">
        <f t="shared" si="330"/>
        <v>0</v>
      </c>
      <c r="AI566" s="186">
        <f t="shared" si="330"/>
        <v>0</v>
      </c>
      <c r="AJ566" s="186">
        <f t="shared" si="330"/>
        <v>0</v>
      </c>
      <c r="AK566" s="186">
        <f t="shared" si="330"/>
        <v>0</v>
      </c>
      <c r="AL566" s="186">
        <f t="shared" si="330"/>
        <v>0</v>
      </c>
      <c r="AM566" s="186">
        <f t="shared" si="330"/>
        <v>0</v>
      </c>
      <c r="AN566" s="186">
        <f t="shared" si="330"/>
        <v>0</v>
      </c>
      <c r="AO566" s="186">
        <f t="shared" si="330"/>
        <v>0</v>
      </c>
      <c r="AP566" s="186">
        <f t="shared" si="330"/>
        <v>0</v>
      </c>
    </row>
    <row r="567" spans="1:42">
      <c r="A567" s="37">
        <f t="shared" ref="A567" si="331">A566+1</f>
        <v>10</v>
      </c>
      <c r="C567" s="186">
        <f t="shared" si="327"/>
        <v>0</v>
      </c>
      <c r="D567" s="186">
        <f t="shared" si="327"/>
        <v>0</v>
      </c>
      <c r="E567" s="186">
        <f t="shared" si="327"/>
        <v>0</v>
      </c>
      <c r="F567" s="186">
        <f t="shared" si="327"/>
        <v>0</v>
      </c>
      <c r="G567" s="186">
        <f t="shared" si="327"/>
        <v>0</v>
      </c>
      <c r="H567" s="186">
        <f t="shared" si="327"/>
        <v>0</v>
      </c>
      <c r="I567" s="186">
        <f t="shared" si="327"/>
        <v>0</v>
      </c>
      <c r="J567" s="186">
        <f t="shared" si="327"/>
        <v>0</v>
      </c>
      <c r="K567" s="186">
        <f t="shared" si="327"/>
        <v>0</v>
      </c>
      <c r="L567" s="186">
        <f t="shared" si="327"/>
        <v>0</v>
      </c>
      <c r="M567" s="186">
        <f t="shared" si="327"/>
        <v>0</v>
      </c>
      <c r="N567" s="186">
        <f t="shared" si="327"/>
        <v>0</v>
      </c>
      <c r="O567" s="186">
        <f t="shared" si="327"/>
        <v>0</v>
      </c>
      <c r="P567" s="186">
        <f t="shared" si="327"/>
        <v>0</v>
      </c>
      <c r="Q567" s="186">
        <f t="shared" si="327"/>
        <v>0</v>
      </c>
      <c r="R567" s="186">
        <f t="shared" si="327"/>
        <v>0</v>
      </c>
      <c r="S567" s="186">
        <f t="shared" si="330"/>
        <v>0</v>
      </c>
      <c r="T567" s="186">
        <f t="shared" si="330"/>
        <v>0</v>
      </c>
      <c r="U567" s="186">
        <f t="shared" si="330"/>
        <v>0</v>
      </c>
      <c r="V567" s="186">
        <f t="shared" si="330"/>
        <v>0</v>
      </c>
      <c r="W567" s="186">
        <f t="shared" si="330"/>
        <v>0</v>
      </c>
      <c r="X567" s="186">
        <f t="shared" si="330"/>
        <v>0</v>
      </c>
      <c r="Y567" s="186">
        <f t="shared" si="330"/>
        <v>0</v>
      </c>
      <c r="Z567" s="186">
        <f t="shared" si="330"/>
        <v>0</v>
      </c>
      <c r="AA567" s="186">
        <f t="shared" si="330"/>
        <v>0</v>
      </c>
      <c r="AB567" s="186">
        <f t="shared" si="330"/>
        <v>0</v>
      </c>
      <c r="AC567" s="186">
        <f t="shared" si="330"/>
        <v>0</v>
      </c>
      <c r="AD567" s="186">
        <f t="shared" si="330"/>
        <v>0</v>
      </c>
      <c r="AE567" s="186">
        <f t="shared" si="330"/>
        <v>0</v>
      </c>
      <c r="AF567" s="186">
        <f t="shared" si="330"/>
        <v>1</v>
      </c>
      <c r="AG567" s="186">
        <f t="shared" si="330"/>
        <v>0</v>
      </c>
      <c r="AH567" s="186">
        <f t="shared" si="330"/>
        <v>0</v>
      </c>
      <c r="AI567" s="186">
        <f t="shared" si="330"/>
        <v>0</v>
      </c>
      <c r="AJ567" s="186">
        <f t="shared" si="330"/>
        <v>0</v>
      </c>
      <c r="AK567" s="186">
        <f t="shared" si="330"/>
        <v>0</v>
      </c>
      <c r="AL567" s="186">
        <f t="shared" si="330"/>
        <v>0</v>
      </c>
      <c r="AM567" s="186">
        <f t="shared" si="330"/>
        <v>0</v>
      </c>
      <c r="AN567" s="186">
        <f t="shared" si="330"/>
        <v>0</v>
      </c>
      <c r="AO567" s="186">
        <f t="shared" si="330"/>
        <v>0</v>
      </c>
      <c r="AP567" s="186">
        <f t="shared" si="330"/>
        <v>0</v>
      </c>
    </row>
    <row r="568" spans="1:42">
      <c r="A568" s="204"/>
      <c r="C568" s="186"/>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204" t="s">
        <v>211</v>
      </c>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37">
        <v>1</v>
      </c>
      <c r="B570" s="196">
        <f t="shared" ref="B570:B579" si="332">SUM(C570:AP570)</f>
        <v>103022.49999999997</v>
      </c>
      <c r="C570" s="225">
        <f t="shared" ref="C570:AP570" si="333">LOOKUP(C558,$B$501:$AP$501,$B$502:$AP$502)*$B720</f>
        <v>0</v>
      </c>
      <c r="D570" s="186">
        <f t="shared" si="333"/>
        <v>0</v>
      </c>
      <c r="E570" s="186">
        <f t="shared" si="333"/>
        <v>20604.499999999996</v>
      </c>
      <c r="F570" s="186">
        <f t="shared" si="333"/>
        <v>32967.19999999999</v>
      </c>
      <c r="G570" s="186">
        <f t="shared" si="333"/>
        <v>19780.319999999996</v>
      </c>
      <c r="H570" s="186">
        <f t="shared" si="333"/>
        <v>11868.191999999995</v>
      </c>
      <c r="I570" s="186">
        <f t="shared" si="333"/>
        <v>11868.191999999995</v>
      </c>
      <c r="J570" s="186">
        <f t="shared" si="333"/>
        <v>5934.0959999999977</v>
      </c>
      <c r="K570" s="186">
        <f t="shared" si="333"/>
        <v>0</v>
      </c>
      <c r="L570" s="186">
        <f t="shared" si="333"/>
        <v>0</v>
      </c>
      <c r="M570" s="186">
        <f t="shared" si="333"/>
        <v>0</v>
      </c>
      <c r="N570" s="186">
        <f t="shared" si="333"/>
        <v>0</v>
      </c>
      <c r="O570" s="186">
        <f t="shared" si="333"/>
        <v>0</v>
      </c>
      <c r="P570" s="186">
        <f t="shared" si="333"/>
        <v>0</v>
      </c>
      <c r="Q570" s="186">
        <f t="shared" si="333"/>
        <v>0</v>
      </c>
      <c r="R570" s="186">
        <f t="shared" si="333"/>
        <v>0</v>
      </c>
      <c r="S570" s="186">
        <f t="shared" si="333"/>
        <v>0</v>
      </c>
      <c r="T570" s="186">
        <f t="shared" si="333"/>
        <v>0</v>
      </c>
      <c r="U570" s="186">
        <f t="shared" si="333"/>
        <v>0</v>
      </c>
      <c r="V570" s="186">
        <f t="shared" si="333"/>
        <v>0</v>
      </c>
      <c r="W570" s="186">
        <f t="shared" si="333"/>
        <v>0</v>
      </c>
      <c r="X570" s="186">
        <f t="shared" si="333"/>
        <v>0</v>
      </c>
      <c r="Y570" s="186">
        <f t="shared" si="333"/>
        <v>0</v>
      </c>
      <c r="Z570" s="186">
        <f t="shared" si="333"/>
        <v>0</v>
      </c>
      <c r="AA570" s="186">
        <f t="shared" si="333"/>
        <v>0</v>
      </c>
      <c r="AB570" s="186">
        <f t="shared" si="333"/>
        <v>0</v>
      </c>
      <c r="AC570" s="186">
        <f t="shared" si="333"/>
        <v>0</v>
      </c>
      <c r="AD570" s="186">
        <f t="shared" si="333"/>
        <v>0</v>
      </c>
      <c r="AE570" s="186">
        <f t="shared" si="333"/>
        <v>0</v>
      </c>
      <c r="AF570" s="186">
        <f t="shared" si="333"/>
        <v>0</v>
      </c>
      <c r="AG570" s="186">
        <f t="shared" si="333"/>
        <v>0</v>
      </c>
      <c r="AH570" s="186">
        <f t="shared" si="333"/>
        <v>0</v>
      </c>
      <c r="AI570" s="186">
        <f t="shared" si="333"/>
        <v>0</v>
      </c>
      <c r="AJ570" s="186">
        <f t="shared" si="333"/>
        <v>0</v>
      </c>
      <c r="AK570" s="186">
        <f t="shared" si="333"/>
        <v>0</v>
      </c>
      <c r="AL570" s="186">
        <f t="shared" si="333"/>
        <v>0</v>
      </c>
      <c r="AM570" s="186">
        <f t="shared" si="333"/>
        <v>0</v>
      </c>
      <c r="AN570" s="186">
        <f t="shared" si="333"/>
        <v>0</v>
      </c>
      <c r="AO570" s="186">
        <f t="shared" si="333"/>
        <v>0</v>
      </c>
      <c r="AP570" s="186">
        <f t="shared" si="333"/>
        <v>0</v>
      </c>
    </row>
    <row r="571" spans="1:42">
      <c r="A571" s="37">
        <f>A570+1</f>
        <v>2</v>
      </c>
      <c r="B571" s="196">
        <f t="shared" si="332"/>
        <v>107728.40038843744</v>
      </c>
      <c r="C571" s="225">
        <f t="shared" ref="C571:AP571" si="334">LOOKUP(C559,$B$501:$AP$501,$B$502:$AP$502)*$B721</f>
        <v>0</v>
      </c>
      <c r="D571" s="186">
        <f t="shared" si="334"/>
        <v>0</v>
      </c>
      <c r="E571" s="186">
        <f t="shared" si="334"/>
        <v>0</v>
      </c>
      <c r="F571" s="186">
        <f t="shared" si="334"/>
        <v>0</v>
      </c>
      <c r="G571" s="186">
        <f t="shared" si="334"/>
        <v>0</v>
      </c>
      <c r="H571" s="186">
        <f t="shared" si="334"/>
        <v>21545.680077687488</v>
      </c>
      <c r="I571" s="186">
        <f t="shared" si="334"/>
        <v>34473.088124299975</v>
      </c>
      <c r="J571" s="186">
        <f t="shared" si="334"/>
        <v>20683.852874579985</v>
      </c>
      <c r="K571" s="186">
        <f t="shared" si="334"/>
        <v>12410.311724747991</v>
      </c>
      <c r="L571" s="186">
        <f t="shared" si="334"/>
        <v>12410.311724747991</v>
      </c>
      <c r="M571" s="186">
        <f t="shared" si="334"/>
        <v>6205.1558623739957</v>
      </c>
      <c r="N571" s="186">
        <f t="shared" si="334"/>
        <v>0</v>
      </c>
      <c r="O571" s="186">
        <f t="shared" si="334"/>
        <v>0</v>
      </c>
      <c r="P571" s="186">
        <f t="shared" si="334"/>
        <v>0</v>
      </c>
      <c r="Q571" s="186">
        <f t="shared" si="334"/>
        <v>0</v>
      </c>
      <c r="R571" s="186">
        <f t="shared" si="334"/>
        <v>0</v>
      </c>
      <c r="S571" s="186">
        <f t="shared" si="334"/>
        <v>0</v>
      </c>
      <c r="T571" s="186">
        <f t="shared" si="334"/>
        <v>0</v>
      </c>
      <c r="U571" s="186">
        <f t="shared" si="334"/>
        <v>0</v>
      </c>
      <c r="V571" s="186">
        <f t="shared" si="334"/>
        <v>0</v>
      </c>
      <c r="W571" s="186">
        <f t="shared" si="334"/>
        <v>0</v>
      </c>
      <c r="X571" s="186">
        <f t="shared" si="334"/>
        <v>0</v>
      </c>
      <c r="Y571" s="186">
        <f t="shared" si="334"/>
        <v>0</v>
      </c>
      <c r="Z571" s="186">
        <f t="shared" si="334"/>
        <v>0</v>
      </c>
      <c r="AA571" s="186">
        <f t="shared" si="334"/>
        <v>0</v>
      </c>
      <c r="AB571" s="186">
        <f t="shared" si="334"/>
        <v>0</v>
      </c>
      <c r="AC571" s="186">
        <f t="shared" si="334"/>
        <v>0</v>
      </c>
      <c r="AD571" s="186">
        <f t="shared" si="334"/>
        <v>0</v>
      </c>
      <c r="AE571" s="186">
        <f t="shared" si="334"/>
        <v>0</v>
      </c>
      <c r="AF571" s="186">
        <f t="shared" si="334"/>
        <v>0</v>
      </c>
      <c r="AG571" s="186">
        <f t="shared" si="334"/>
        <v>0</v>
      </c>
      <c r="AH571" s="186">
        <f t="shared" si="334"/>
        <v>0</v>
      </c>
      <c r="AI571" s="186">
        <f t="shared" si="334"/>
        <v>0</v>
      </c>
      <c r="AJ571" s="186">
        <f t="shared" si="334"/>
        <v>0</v>
      </c>
      <c r="AK571" s="186">
        <f t="shared" si="334"/>
        <v>0</v>
      </c>
      <c r="AL571" s="186">
        <f t="shared" si="334"/>
        <v>0</v>
      </c>
      <c r="AM571" s="186">
        <f t="shared" si="334"/>
        <v>0</v>
      </c>
      <c r="AN571" s="186">
        <f t="shared" si="334"/>
        <v>0</v>
      </c>
      <c r="AO571" s="186">
        <f t="shared" si="334"/>
        <v>0</v>
      </c>
      <c r="AP571" s="186">
        <f t="shared" si="334"/>
        <v>0</v>
      </c>
    </row>
    <row r="572" spans="1:42">
      <c r="A572" s="37">
        <f t="shared" ref="A572:A577" si="335">A571+1</f>
        <v>3</v>
      </c>
      <c r="B572" s="196">
        <f t="shared" si="332"/>
        <v>112649.25865953058</v>
      </c>
      <c r="C572" s="225">
        <f t="shared" ref="C572:AP572" si="336">LOOKUP(C560,$B$501:$AP$501,$B$502:$AP$502)*$B722</f>
        <v>0</v>
      </c>
      <c r="D572" s="186">
        <f t="shared" si="336"/>
        <v>0</v>
      </c>
      <c r="E572" s="186">
        <f t="shared" si="336"/>
        <v>0</v>
      </c>
      <c r="F572" s="186">
        <f t="shared" si="336"/>
        <v>0</v>
      </c>
      <c r="G572" s="186">
        <f t="shared" si="336"/>
        <v>0</v>
      </c>
      <c r="H572" s="186">
        <f t="shared" si="336"/>
        <v>0</v>
      </c>
      <c r="I572" s="186">
        <f t="shared" si="336"/>
        <v>0</v>
      </c>
      <c r="J572" s="186">
        <f t="shared" si="336"/>
        <v>0</v>
      </c>
      <c r="K572" s="186">
        <f t="shared" si="336"/>
        <v>22529.851731906117</v>
      </c>
      <c r="L572" s="186">
        <f t="shared" si="336"/>
        <v>36047.762771049784</v>
      </c>
      <c r="M572" s="186">
        <f t="shared" si="336"/>
        <v>21628.65766262987</v>
      </c>
      <c r="N572" s="186">
        <f t="shared" si="336"/>
        <v>12977.194597577922</v>
      </c>
      <c r="O572" s="186">
        <f t="shared" si="336"/>
        <v>12977.194597577922</v>
      </c>
      <c r="P572" s="186">
        <f t="shared" si="336"/>
        <v>6488.5972987889609</v>
      </c>
      <c r="Q572" s="186">
        <f t="shared" si="336"/>
        <v>0</v>
      </c>
      <c r="R572" s="186">
        <f t="shared" si="336"/>
        <v>0</v>
      </c>
      <c r="S572" s="186">
        <f t="shared" si="336"/>
        <v>0</v>
      </c>
      <c r="T572" s="186">
        <f t="shared" si="336"/>
        <v>0</v>
      </c>
      <c r="U572" s="186">
        <f t="shared" si="336"/>
        <v>0</v>
      </c>
      <c r="V572" s="186">
        <f t="shared" si="336"/>
        <v>0</v>
      </c>
      <c r="W572" s="186">
        <f t="shared" si="336"/>
        <v>0</v>
      </c>
      <c r="X572" s="186">
        <f t="shared" si="336"/>
        <v>0</v>
      </c>
      <c r="Y572" s="186">
        <f t="shared" si="336"/>
        <v>0</v>
      </c>
      <c r="Z572" s="186">
        <f t="shared" si="336"/>
        <v>0</v>
      </c>
      <c r="AA572" s="186">
        <f t="shared" si="336"/>
        <v>0</v>
      </c>
      <c r="AB572" s="186">
        <f t="shared" si="336"/>
        <v>0</v>
      </c>
      <c r="AC572" s="186">
        <f t="shared" si="336"/>
        <v>0</v>
      </c>
      <c r="AD572" s="186">
        <f t="shared" si="336"/>
        <v>0</v>
      </c>
      <c r="AE572" s="186">
        <f t="shared" si="336"/>
        <v>0</v>
      </c>
      <c r="AF572" s="186">
        <f t="shared" si="336"/>
        <v>0</v>
      </c>
      <c r="AG572" s="186">
        <f t="shared" si="336"/>
        <v>0</v>
      </c>
      <c r="AH572" s="186">
        <f t="shared" si="336"/>
        <v>0</v>
      </c>
      <c r="AI572" s="186">
        <f t="shared" si="336"/>
        <v>0</v>
      </c>
      <c r="AJ572" s="186">
        <f t="shared" si="336"/>
        <v>0</v>
      </c>
      <c r="AK572" s="186">
        <f t="shared" si="336"/>
        <v>0</v>
      </c>
      <c r="AL572" s="186">
        <f t="shared" si="336"/>
        <v>0</v>
      </c>
      <c r="AM572" s="186">
        <f t="shared" si="336"/>
        <v>0</v>
      </c>
      <c r="AN572" s="186">
        <f t="shared" si="336"/>
        <v>0</v>
      </c>
      <c r="AO572" s="186">
        <f t="shared" si="336"/>
        <v>0</v>
      </c>
      <c r="AP572" s="186">
        <f t="shared" si="336"/>
        <v>0</v>
      </c>
    </row>
    <row r="573" spans="1:42">
      <c r="A573" s="37">
        <f t="shared" si="335"/>
        <v>4</v>
      </c>
      <c r="B573" s="196">
        <f t="shared" si="332"/>
        <v>117794.89374005256</v>
      </c>
      <c r="C573" s="225">
        <f t="shared" ref="C573:AP573" si="337">LOOKUP(C561,$B$501:$AP$501,$B$502:$AP$502)*$B723</f>
        <v>0</v>
      </c>
      <c r="D573" s="186">
        <f t="shared" si="337"/>
        <v>0</v>
      </c>
      <c r="E573" s="186">
        <f t="shared" si="337"/>
        <v>0</v>
      </c>
      <c r="F573" s="186">
        <f t="shared" si="337"/>
        <v>0</v>
      </c>
      <c r="G573" s="186">
        <f t="shared" si="337"/>
        <v>0</v>
      </c>
      <c r="H573" s="186">
        <f t="shared" si="337"/>
        <v>0</v>
      </c>
      <c r="I573" s="186">
        <f t="shared" si="337"/>
        <v>0</v>
      </c>
      <c r="J573" s="186">
        <f t="shared" si="337"/>
        <v>0</v>
      </c>
      <c r="K573" s="186">
        <f t="shared" si="337"/>
        <v>0</v>
      </c>
      <c r="L573" s="186">
        <f t="shared" si="337"/>
        <v>0</v>
      </c>
      <c r="M573" s="186">
        <f t="shared" si="337"/>
        <v>0</v>
      </c>
      <c r="N573" s="186">
        <f t="shared" si="337"/>
        <v>23558.978748010515</v>
      </c>
      <c r="O573" s="186">
        <f t="shared" si="337"/>
        <v>37694.365996816821</v>
      </c>
      <c r="P573" s="186">
        <f t="shared" si="337"/>
        <v>22616.619598090092</v>
      </c>
      <c r="Q573" s="186">
        <f t="shared" si="337"/>
        <v>13569.971758854055</v>
      </c>
      <c r="R573" s="186">
        <f t="shared" si="337"/>
        <v>13569.971758854055</v>
      </c>
      <c r="S573" s="186">
        <f t="shared" si="337"/>
        <v>6784.9858794270276</v>
      </c>
      <c r="T573" s="186">
        <f t="shared" si="337"/>
        <v>0</v>
      </c>
      <c r="U573" s="186">
        <f t="shared" si="337"/>
        <v>0</v>
      </c>
      <c r="V573" s="186">
        <f t="shared" si="337"/>
        <v>0</v>
      </c>
      <c r="W573" s="186">
        <f t="shared" si="337"/>
        <v>0</v>
      </c>
      <c r="X573" s="186">
        <f t="shared" si="337"/>
        <v>0</v>
      </c>
      <c r="Y573" s="186">
        <f t="shared" si="337"/>
        <v>0</v>
      </c>
      <c r="Z573" s="186">
        <f t="shared" si="337"/>
        <v>0</v>
      </c>
      <c r="AA573" s="186">
        <f t="shared" si="337"/>
        <v>0</v>
      </c>
      <c r="AB573" s="186">
        <f t="shared" si="337"/>
        <v>0</v>
      </c>
      <c r="AC573" s="186">
        <f t="shared" si="337"/>
        <v>0</v>
      </c>
      <c r="AD573" s="186">
        <f t="shared" si="337"/>
        <v>0</v>
      </c>
      <c r="AE573" s="186">
        <f t="shared" si="337"/>
        <v>0</v>
      </c>
      <c r="AF573" s="186">
        <f t="shared" si="337"/>
        <v>0</v>
      </c>
      <c r="AG573" s="186">
        <f t="shared" si="337"/>
        <v>0</v>
      </c>
      <c r="AH573" s="186">
        <f t="shared" si="337"/>
        <v>0</v>
      </c>
      <c r="AI573" s="186">
        <f t="shared" si="337"/>
        <v>0</v>
      </c>
      <c r="AJ573" s="186">
        <f t="shared" si="337"/>
        <v>0</v>
      </c>
      <c r="AK573" s="186">
        <f t="shared" si="337"/>
        <v>0</v>
      </c>
      <c r="AL573" s="186">
        <f t="shared" si="337"/>
        <v>0</v>
      </c>
      <c r="AM573" s="186">
        <f t="shared" si="337"/>
        <v>0</v>
      </c>
      <c r="AN573" s="186">
        <f t="shared" si="337"/>
        <v>0</v>
      </c>
      <c r="AO573" s="186">
        <f t="shared" si="337"/>
        <v>0</v>
      </c>
      <c r="AP573" s="186">
        <f t="shared" si="337"/>
        <v>0</v>
      </c>
    </row>
    <row r="574" spans="1:42">
      <c r="A574" s="37">
        <f t="shared" si="335"/>
        <v>5</v>
      </c>
      <c r="B574" s="196">
        <f t="shared" si="332"/>
        <v>123175.57306939577</v>
      </c>
      <c r="C574" s="225">
        <f t="shared" ref="C574:AP574" si="338">LOOKUP(C562,$B$501:$AP$501,$B$502:$AP$502)*$B724</f>
        <v>0</v>
      </c>
      <c r="D574" s="186">
        <f t="shared" si="338"/>
        <v>0</v>
      </c>
      <c r="E574" s="186">
        <f t="shared" si="338"/>
        <v>0</v>
      </c>
      <c r="F574" s="186">
        <f t="shared" si="338"/>
        <v>0</v>
      </c>
      <c r="G574" s="186">
        <f t="shared" si="338"/>
        <v>0</v>
      </c>
      <c r="H574" s="186">
        <f t="shared" si="338"/>
        <v>0</v>
      </c>
      <c r="I574" s="186">
        <f t="shared" si="338"/>
        <v>0</v>
      </c>
      <c r="J574" s="186">
        <f t="shared" si="338"/>
        <v>0</v>
      </c>
      <c r="K574" s="186">
        <f t="shared" si="338"/>
        <v>0</v>
      </c>
      <c r="L574" s="186">
        <f t="shared" si="338"/>
        <v>0</v>
      </c>
      <c r="M574" s="186">
        <f t="shared" si="338"/>
        <v>0</v>
      </c>
      <c r="N574" s="186">
        <f t="shared" si="338"/>
        <v>0</v>
      </c>
      <c r="O574" s="186">
        <f t="shared" si="338"/>
        <v>0</v>
      </c>
      <c r="P574" s="186">
        <f t="shared" si="338"/>
        <v>0</v>
      </c>
      <c r="Q574" s="186">
        <f t="shared" si="338"/>
        <v>24635.114613879156</v>
      </c>
      <c r="R574" s="186">
        <f t="shared" si="338"/>
        <v>39416.183382206647</v>
      </c>
      <c r="S574" s="186">
        <f t="shared" si="338"/>
        <v>23649.710029323989</v>
      </c>
      <c r="T574" s="186">
        <f t="shared" si="338"/>
        <v>14189.826017594392</v>
      </c>
      <c r="U574" s="186">
        <f t="shared" si="338"/>
        <v>14189.826017594392</v>
      </c>
      <c r="V574" s="186">
        <f t="shared" si="338"/>
        <v>7094.9130087971962</v>
      </c>
      <c r="W574" s="186">
        <f t="shared" si="338"/>
        <v>0</v>
      </c>
      <c r="X574" s="186">
        <f t="shared" si="338"/>
        <v>0</v>
      </c>
      <c r="Y574" s="186">
        <f t="shared" si="338"/>
        <v>0</v>
      </c>
      <c r="Z574" s="186">
        <f t="shared" si="338"/>
        <v>0</v>
      </c>
      <c r="AA574" s="186">
        <f t="shared" si="338"/>
        <v>0</v>
      </c>
      <c r="AB574" s="186">
        <f t="shared" si="338"/>
        <v>0</v>
      </c>
      <c r="AC574" s="186">
        <f t="shared" si="338"/>
        <v>0</v>
      </c>
      <c r="AD574" s="186">
        <f t="shared" si="338"/>
        <v>0</v>
      </c>
      <c r="AE574" s="186">
        <f t="shared" si="338"/>
        <v>0</v>
      </c>
      <c r="AF574" s="186">
        <f t="shared" si="338"/>
        <v>0</v>
      </c>
      <c r="AG574" s="186">
        <f t="shared" si="338"/>
        <v>0</v>
      </c>
      <c r="AH574" s="186">
        <f t="shared" si="338"/>
        <v>0</v>
      </c>
      <c r="AI574" s="186">
        <f t="shared" si="338"/>
        <v>0</v>
      </c>
      <c r="AJ574" s="186">
        <f t="shared" si="338"/>
        <v>0</v>
      </c>
      <c r="AK574" s="186">
        <f t="shared" si="338"/>
        <v>0</v>
      </c>
      <c r="AL574" s="186">
        <f t="shared" si="338"/>
        <v>0</v>
      </c>
      <c r="AM574" s="186">
        <f t="shared" si="338"/>
        <v>0</v>
      </c>
      <c r="AN574" s="186">
        <f t="shared" si="338"/>
        <v>0</v>
      </c>
      <c r="AO574" s="186">
        <f t="shared" si="338"/>
        <v>0</v>
      </c>
      <c r="AP574" s="186">
        <f t="shared" si="338"/>
        <v>0</v>
      </c>
    </row>
    <row r="575" spans="1:42">
      <c r="A575" s="37">
        <f t="shared" si="335"/>
        <v>6</v>
      </c>
      <c r="B575" s="196">
        <f t="shared" si="332"/>
        <v>128802.03308689946</v>
      </c>
      <c r="C575" s="225">
        <f t="shared" ref="C575:AP575" si="339">LOOKUP(C563,$B$501:$AP$501,$B$502:$AP$502)*$B725</f>
        <v>0</v>
      </c>
      <c r="D575" s="186">
        <f t="shared" si="339"/>
        <v>0</v>
      </c>
      <c r="E575" s="186">
        <f t="shared" si="339"/>
        <v>0</v>
      </c>
      <c r="F575" s="186">
        <f t="shared" si="339"/>
        <v>0</v>
      </c>
      <c r="G575" s="186">
        <f t="shared" si="339"/>
        <v>0</v>
      </c>
      <c r="H575" s="186">
        <f t="shared" si="339"/>
        <v>0</v>
      </c>
      <c r="I575" s="186">
        <f t="shared" si="339"/>
        <v>0</v>
      </c>
      <c r="J575" s="186">
        <f t="shared" si="339"/>
        <v>0</v>
      </c>
      <c r="K575" s="186">
        <f t="shared" si="339"/>
        <v>0</v>
      </c>
      <c r="L575" s="186">
        <f t="shared" si="339"/>
        <v>0</v>
      </c>
      <c r="M575" s="186">
        <f t="shared" si="339"/>
        <v>0</v>
      </c>
      <c r="N575" s="186">
        <f t="shared" si="339"/>
        <v>0</v>
      </c>
      <c r="O575" s="186">
        <f t="shared" si="339"/>
        <v>0</v>
      </c>
      <c r="P575" s="186">
        <f t="shared" si="339"/>
        <v>0</v>
      </c>
      <c r="Q575" s="186">
        <f t="shared" si="339"/>
        <v>0</v>
      </c>
      <c r="R575" s="186">
        <f t="shared" si="339"/>
        <v>0</v>
      </c>
      <c r="S575" s="186">
        <f t="shared" si="339"/>
        <v>0</v>
      </c>
      <c r="T575" s="186">
        <f t="shared" si="339"/>
        <v>25760.406617379896</v>
      </c>
      <c r="U575" s="186">
        <f t="shared" si="339"/>
        <v>41216.650587807831</v>
      </c>
      <c r="V575" s="186">
        <f t="shared" si="339"/>
        <v>24729.990352684701</v>
      </c>
      <c r="W575" s="186">
        <f t="shared" si="339"/>
        <v>14837.99421161082</v>
      </c>
      <c r="X575" s="186">
        <f t="shared" si="339"/>
        <v>14837.99421161082</v>
      </c>
      <c r="Y575" s="186">
        <f t="shared" si="339"/>
        <v>7418.9971058054098</v>
      </c>
      <c r="Z575" s="186">
        <f t="shared" si="339"/>
        <v>0</v>
      </c>
      <c r="AA575" s="186">
        <f t="shared" si="339"/>
        <v>0</v>
      </c>
      <c r="AB575" s="186">
        <f t="shared" si="339"/>
        <v>0</v>
      </c>
      <c r="AC575" s="186">
        <f t="shared" si="339"/>
        <v>0</v>
      </c>
      <c r="AD575" s="186">
        <f t="shared" si="339"/>
        <v>0</v>
      </c>
      <c r="AE575" s="186">
        <f t="shared" si="339"/>
        <v>0</v>
      </c>
      <c r="AF575" s="186">
        <f t="shared" si="339"/>
        <v>0</v>
      </c>
      <c r="AG575" s="186">
        <f t="shared" si="339"/>
        <v>0</v>
      </c>
      <c r="AH575" s="186">
        <f t="shared" si="339"/>
        <v>0</v>
      </c>
      <c r="AI575" s="186">
        <f t="shared" si="339"/>
        <v>0</v>
      </c>
      <c r="AJ575" s="186">
        <f t="shared" si="339"/>
        <v>0</v>
      </c>
      <c r="AK575" s="186">
        <f t="shared" si="339"/>
        <v>0</v>
      </c>
      <c r="AL575" s="186">
        <f t="shared" si="339"/>
        <v>0</v>
      </c>
      <c r="AM575" s="186">
        <f t="shared" si="339"/>
        <v>0</v>
      </c>
      <c r="AN575" s="186">
        <f t="shared" si="339"/>
        <v>0</v>
      </c>
      <c r="AO575" s="186">
        <f t="shared" si="339"/>
        <v>0</v>
      </c>
      <c r="AP575" s="186">
        <f t="shared" si="339"/>
        <v>0</v>
      </c>
    </row>
    <row r="576" spans="1:42">
      <c r="A576" s="37">
        <f t="shared" si="335"/>
        <v>7</v>
      </c>
      <c r="B576" s="196">
        <f t="shared" si="332"/>
        <v>134685.50065500522</v>
      </c>
      <c r="C576" s="225">
        <f t="shared" ref="C576:AP576" si="340">LOOKUP(C564,$B$501:$AP$501,$B$502:$AP$502)*$B726</f>
        <v>0</v>
      </c>
      <c r="D576" s="186">
        <f t="shared" si="340"/>
        <v>0</v>
      </c>
      <c r="E576" s="186">
        <f t="shared" si="340"/>
        <v>0</v>
      </c>
      <c r="F576" s="186">
        <f t="shared" si="340"/>
        <v>0</v>
      </c>
      <c r="G576" s="186">
        <f t="shared" si="340"/>
        <v>0</v>
      </c>
      <c r="H576" s="186">
        <f t="shared" si="340"/>
        <v>0</v>
      </c>
      <c r="I576" s="186">
        <f t="shared" si="340"/>
        <v>0</v>
      </c>
      <c r="J576" s="186">
        <f t="shared" si="340"/>
        <v>0</v>
      </c>
      <c r="K576" s="186">
        <f t="shared" si="340"/>
        <v>0</v>
      </c>
      <c r="L576" s="186">
        <f t="shared" si="340"/>
        <v>0</v>
      </c>
      <c r="M576" s="186">
        <f t="shared" si="340"/>
        <v>0</v>
      </c>
      <c r="N576" s="186">
        <f t="shared" si="340"/>
        <v>0</v>
      </c>
      <c r="O576" s="186">
        <f t="shared" si="340"/>
        <v>0</v>
      </c>
      <c r="P576" s="186">
        <f t="shared" si="340"/>
        <v>0</v>
      </c>
      <c r="Q576" s="186">
        <f t="shared" si="340"/>
        <v>0</v>
      </c>
      <c r="R576" s="186">
        <f t="shared" si="340"/>
        <v>0</v>
      </c>
      <c r="S576" s="186">
        <f t="shared" si="340"/>
        <v>0</v>
      </c>
      <c r="T576" s="186">
        <f t="shared" si="340"/>
        <v>0</v>
      </c>
      <c r="U576" s="186">
        <f t="shared" si="340"/>
        <v>0</v>
      </c>
      <c r="V576" s="186">
        <f t="shared" si="340"/>
        <v>0</v>
      </c>
      <c r="W576" s="186">
        <f t="shared" si="340"/>
        <v>26937.100131001047</v>
      </c>
      <c r="X576" s="186">
        <f t="shared" si="340"/>
        <v>43099.360209601669</v>
      </c>
      <c r="Y576" s="186">
        <f t="shared" si="340"/>
        <v>25859.616125761004</v>
      </c>
      <c r="Z576" s="186">
        <f t="shared" si="340"/>
        <v>15515.7696754566</v>
      </c>
      <c r="AA576" s="186">
        <f t="shared" si="340"/>
        <v>15515.7696754566</v>
      </c>
      <c r="AB576" s="186">
        <f t="shared" si="340"/>
        <v>7757.8848377283002</v>
      </c>
      <c r="AC576" s="186">
        <f t="shared" si="340"/>
        <v>0</v>
      </c>
      <c r="AD576" s="186">
        <f t="shared" si="340"/>
        <v>0</v>
      </c>
      <c r="AE576" s="186">
        <f t="shared" si="340"/>
        <v>0</v>
      </c>
      <c r="AF576" s="186">
        <f t="shared" si="340"/>
        <v>0</v>
      </c>
      <c r="AG576" s="186">
        <f t="shared" si="340"/>
        <v>0</v>
      </c>
      <c r="AH576" s="186">
        <f t="shared" si="340"/>
        <v>0</v>
      </c>
      <c r="AI576" s="186">
        <f t="shared" si="340"/>
        <v>0</v>
      </c>
      <c r="AJ576" s="186">
        <f t="shared" si="340"/>
        <v>0</v>
      </c>
      <c r="AK576" s="186">
        <f t="shared" si="340"/>
        <v>0</v>
      </c>
      <c r="AL576" s="186">
        <f t="shared" si="340"/>
        <v>0</v>
      </c>
      <c r="AM576" s="186">
        <f t="shared" si="340"/>
        <v>0</v>
      </c>
      <c r="AN576" s="186">
        <f t="shared" si="340"/>
        <v>0</v>
      </c>
      <c r="AO576" s="186">
        <f t="shared" si="340"/>
        <v>0</v>
      </c>
      <c r="AP576" s="186">
        <f t="shared" si="340"/>
        <v>0</v>
      </c>
    </row>
    <row r="577" spans="1:42">
      <c r="A577" s="37">
        <f t="shared" si="335"/>
        <v>8</v>
      </c>
      <c r="B577" s="196">
        <f t="shared" si="332"/>
        <v>140837.71546098724</v>
      </c>
      <c r="C577" s="225">
        <f t="shared" ref="C577:AP577" si="341">LOOKUP(C565,$B$501:$AP$501,$B$502:$AP$502)*$B727</f>
        <v>0</v>
      </c>
      <c r="D577" s="186">
        <f t="shared" si="341"/>
        <v>0</v>
      </c>
      <c r="E577" s="186">
        <f t="shared" si="341"/>
        <v>0</v>
      </c>
      <c r="F577" s="186">
        <f t="shared" si="341"/>
        <v>0</v>
      </c>
      <c r="G577" s="186">
        <f t="shared" si="341"/>
        <v>0</v>
      </c>
      <c r="H577" s="186">
        <f t="shared" si="341"/>
        <v>0</v>
      </c>
      <c r="I577" s="186">
        <f t="shared" si="341"/>
        <v>0</v>
      </c>
      <c r="J577" s="186">
        <f t="shared" si="341"/>
        <v>0</v>
      </c>
      <c r="K577" s="186">
        <f t="shared" si="341"/>
        <v>0</v>
      </c>
      <c r="L577" s="186">
        <f t="shared" si="341"/>
        <v>0</v>
      </c>
      <c r="M577" s="186">
        <f t="shared" si="341"/>
        <v>0</v>
      </c>
      <c r="N577" s="186">
        <f t="shared" si="341"/>
        <v>0</v>
      </c>
      <c r="O577" s="186">
        <f t="shared" si="341"/>
        <v>0</v>
      </c>
      <c r="P577" s="186">
        <f t="shared" si="341"/>
        <v>0</v>
      </c>
      <c r="Q577" s="186">
        <f t="shared" si="341"/>
        <v>0</v>
      </c>
      <c r="R577" s="186">
        <f t="shared" si="341"/>
        <v>0</v>
      </c>
      <c r="S577" s="186">
        <f t="shared" si="341"/>
        <v>0</v>
      </c>
      <c r="T577" s="186">
        <f t="shared" si="341"/>
        <v>0</v>
      </c>
      <c r="U577" s="186">
        <f t="shared" si="341"/>
        <v>0</v>
      </c>
      <c r="V577" s="186">
        <f t="shared" si="341"/>
        <v>0</v>
      </c>
      <c r="W577" s="186">
        <f t="shared" si="341"/>
        <v>0</v>
      </c>
      <c r="X577" s="186">
        <f t="shared" si="341"/>
        <v>0</v>
      </c>
      <c r="Y577" s="186">
        <f t="shared" si="341"/>
        <v>0</v>
      </c>
      <c r="Z577" s="186">
        <f t="shared" si="341"/>
        <v>28167.543092197448</v>
      </c>
      <c r="AA577" s="186">
        <f t="shared" si="341"/>
        <v>45068.068947515916</v>
      </c>
      <c r="AB577" s="186">
        <f t="shared" si="341"/>
        <v>27040.841368509551</v>
      </c>
      <c r="AC577" s="186">
        <f t="shared" si="341"/>
        <v>16224.504821105729</v>
      </c>
      <c r="AD577" s="186">
        <f t="shared" si="341"/>
        <v>16224.504821105729</v>
      </c>
      <c r="AE577" s="186">
        <f t="shared" si="341"/>
        <v>8112.2524105528646</v>
      </c>
      <c r="AF577" s="186">
        <f t="shared" si="341"/>
        <v>0</v>
      </c>
      <c r="AG577" s="186">
        <f t="shared" si="341"/>
        <v>0</v>
      </c>
      <c r="AH577" s="186">
        <f t="shared" si="341"/>
        <v>0</v>
      </c>
      <c r="AI577" s="186">
        <f t="shared" si="341"/>
        <v>0</v>
      </c>
      <c r="AJ577" s="186">
        <f t="shared" si="341"/>
        <v>0</v>
      </c>
      <c r="AK577" s="186">
        <f t="shared" si="341"/>
        <v>0</v>
      </c>
      <c r="AL577" s="186">
        <f t="shared" si="341"/>
        <v>0</v>
      </c>
      <c r="AM577" s="186">
        <f t="shared" si="341"/>
        <v>0</v>
      </c>
      <c r="AN577" s="186">
        <f t="shared" si="341"/>
        <v>0</v>
      </c>
      <c r="AO577" s="186">
        <f t="shared" si="341"/>
        <v>0</v>
      </c>
      <c r="AP577" s="186">
        <f t="shared" si="341"/>
        <v>0</v>
      </c>
    </row>
    <row r="578" spans="1:42">
      <c r="A578" s="37">
        <f>A577+1</f>
        <v>9</v>
      </c>
      <c r="B578" s="196">
        <f t="shared" si="332"/>
        <v>121822.53268718722</v>
      </c>
      <c r="C578" s="225">
        <f t="shared" ref="C578:AP578" si="342">LOOKUP(C566,$B$501:$AP$501,$B$502:$AP$502)*$B728</f>
        <v>0</v>
      </c>
      <c r="D578" s="186">
        <f t="shared" si="342"/>
        <v>0</v>
      </c>
      <c r="E578" s="186">
        <f t="shared" si="342"/>
        <v>0</v>
      </c>
      <c r="F578" s="186">
        <f t="shared" si="342"/>
        <v>0</v>
      </c>
      <c r="G578" s="186">
        <f t="shared" si="342"/>
        <v>0</v>
      </c>
      <c r="H578" s="186">
        <f t="shared" si="342"/>
        <v>0</v>
      </c>
      <c r="I578" s="186">
        <f t="shared" si="342"/>
        <v>0</v>
      </c>
      <c r="J578" s="186">
        <f t="shared" si="342"/>
        <v>0</v>
      </c>
      <c r="K578" s="186">
        <f t="shared" si="342"/>
        <v>0</v>
      </c>
      <c r="L578" s="186">
        <f t="shared" si="342"/>
        <v>0</v>
      </c>
      <c r="M578" s="186">
        <f t="shared" si="342"/>
        <v>0</v>
      </c>
      <c r="N578" s="186">
        <f t="shared" si="342"/>
        <v>0</v>
      </c>
      <c r="O578" s="186">
        <f t="shared" si="342"/>
        <v>0</v>
      </c>
      <c r="P578" s="186">
        <f t="shared" si="342"/>
        <v>0</v>
      </c>
      <c r="Q578" s="186">
        <f t="shared" si="342"/>
        <v>0</v>
      </c>
      <c r="R578" s="186">
        <f t="shared" si="342"/>
        <v>0</v>
      </c>
      <c r="S578" s="186">
        <f t="shared" si="342"/>
        <v>0</v>
      </c>
      <c r="T578" s="186">
        <f t="shared" si="342"/>
        <v>0</v>
      </c>
      <c r="U578" s="186">
        <f t="shared" si="342"/>
        <v>0</v>
      </c>
      <c r="V578" s="186">
        <f t="shared" si="342"/>
        <v>0</v>
      </c>
      <c r="W578" s="186">
        <f t="shared" si="342"/>
        <v>0</v>
      </c>
      <c r="X578" s="186">
        <f t="shared" si="342"/>
        <v>0</v>
      </c>
      <c r="Y578" s="186">
        <f t="shared" si="342"/>
        <v>0</v>
      </c>
      <c r="Z578" s="186">
        <f t="shared" si="342"/>
        <v>0</v>
      </c>
      <c r="AA578" s="186">
        <f t="shared" si="342"/>
        <v>0</v>
      </c>
      <c r="AB578" s="186">
        <f t="shared" si="342"/>
        <v>0</v>
      </c>
      <c r="AC578" s="186">
        <f t="shared" si="342"/>
        <v>29454.190688391496</v>
      </c>
      <c r="AD578" s="186">
        <f t="shared" si="342"/>
        <v>47126.705101426393</v>
      </c>
      <c r="AE578" s="186">
        <f t="shared" si="342"/>
        <v>28276.023060855838</v>
      </c>
      <c r="AF578" s="186">
        <f t="shared" si="342"/>
        <v>16965.613836513501</v>
      </c>
      <c r="AG578" s="186">
        <f t="shared" si="342"/>
        <v>0</v>
      </c>
      <c r="AH578" s="186">
        <f t="shared" si="342"/>
        <v>0</v>
      </c>
      <c r="AI578" s="186">
        <f t="shared" si="342"/>
        <v>0</v>
      </c>
      <c r="AJ578" s="186">
        <f t="shared" si="342"/>
        <v>0</v>
      </c>
      <c r="AK578" s="186">
        <f t="shared" si="342"/>
        <v>0</v>
      </c>
      <c r="AL578" s="186">
        <f t="shared" si="342"/>
        <v>0</v>
      </c>
      <c r="AM578" s="186">
        <f t="shared" si="342"/>
        <v>0</v>
      </c>
      <c r="AN578" s="186">
        <f t="shared" si="342"/>
        <v>0</v>
      </c>
      <c r="AO578" s="186">
        <f t="shared" si="342"/>
        <v>0</v>
      </c>
      <c r="AP578" s="186">
        <f t="shared" si="342"/>
        <v>0</v>
      </c>
    </row>
    <row r="579" spans="1:42">
      <c r="A579" s="37">
        <f t="shared" ref="A579" si="343">A578+1</f>
        <v>10</v>
      </c>
      <c r="B579" s="196">
        <f t="shared" si="332"/>
        <v>30799.610255977339</v>
      </c>
      <c r="C579" s="221">
        <f t="shared" ref="C579:AP579" si="344">LOOKUP(C567,$B$501:$AP$501,$B$502:$AP$502)*$B729</f>
        <v>0</v>
      </c>
      <c r="D579" s="187">
        <f t="shared" si="344"/>
        <v>0</v>
      </c>
      <c r="E579" s="187">
        <f t="shared" si="344"/>
        <v>0</v>
      </c>
      <c r="F579" s="187">
        <f t="shared" si="344"/>
        <v>0</v>
      </c>
      <c r="G579" s="187">
        <f t="shared" si="344"/>
        <v>0</v>
      </c>
      <c r="H579" s="187">
        <f t="shared" si="344"/>
        <v>0</v>
      </c>
      <c r="I579" s="187">
        <f t="shared" si="344"/>
        <v>0</v>
      </c>
      <c r="J579" s="187">
        <f t="shared" si="344"/>
        <v>0</v>
      </c>
      <c r="K579" s="187">
        <f t="shared" si="344"/>
        <v>0</v>
      </c>
      <c r="L579" s="187">
        <f t="shared" si="344"/>
        <v>0</v>
      </c>
      <c r="M579" s="187">
        <f t="shared" si="344"/>
        <v>0</v>
      </c>
      <c r="N579" s="187">
        <f t="shared" si="344"/>
        <v>0</v>
      </c>
      <c r="O579" s="187">
        <f t="shared" si="344"/>
        <v>0</v>
      </c>
      <c r="P579" s="187">
        <f t="shared" si="344"/>
        <v>0</v>
      </c>
      <c r="Q579" s="187">
        <f t="shared" si="344"/>
        <v>0</v>
      </c>
      <c r="R579" s="187">
        <f t="shared" si="344"/>
        <v>0</v>
      </c>
      <c r="S579" s="187">
        <f t="shared" si="344"/>
        <v>0</v>
      </c>
      <c r="T579" s="187">
        <f t="shared" si="344"/>
        <v>0</v>
      </c>
      <c r="U579" s="187">
        <f t="shared" si="344"/>
        <v>0</v>
      </c>
      <c r="V579" s="187">
        <f t="shared" si="344"/>
        <v>0</v>
      </c>
      <c r="W579" s="187">
        <f t="shared" si="344"/>
        <v>0</v>
      </c>
      <c r="X579" s="187">
        <f t="shared" si="344"/>
        <v>0</v>
      </c>
      <c r="Y579" s="187">
        <f t="shared" si="344"/>
        <v>0</v>
      </c>
      <c r="Z579" s="187">
        <f t="shared" si="344"/>
        <v>0</v>
      </c>
      <c r="AA579" s="187">
        <f t="shared" si="344"/>
        <v>0</v>
      </c>
      <c r="AB579" s="187">
        <f t="shared" si="344"/>
        <v>0</v>
      </c>
      <c r="AC579" s="187">
        <f t="shared" si="344"/>
        <v>0</v>
      </c>
      <c r="AD579" s="187">
        <f t="shared" si="344"/>
        <v>0</v>
      </c>
      <c r="AE579" s="187">
        <f t="shared" si="344"/>
        <v>0</v>
      </c>
      <c r="AF579" s="187">
        <f t="shared" si="344"/>
        <v>30799.610255977339</v>
      </c>
      <c r="AG579" s="187">
        <f t="shared" si="344"/>
        <v>0</v>
      </c>
      <c r="AH579" s="187">
        <f t="shared" si="344"/>
        <v>0</v>
      </c>
      <c r="AI579" s="187">
        <f t="shared" si="344"/>
        <v>0</v>
      </c>
      <c r="AJ579" s="187">
        <f t="shared" si="344"/>
        <v>0</v>
      </c>
      <c r="AK579" s="187">
        <f t="shared" si="344"/>
        <v>0</v>
      </c>
      <c r="AL579" s="187">
        <f t="shared" si="344"/>
        <v>0</v>
      </c>
      <c r="AM579" s="187">
        <f t="shared" si="344"/>
        <v>0</v>
      </c>
      <c r="AN579" s="187">
        <f t="shared" si="344"/>
        <v>0</v>
      </c>
      <c r="AO579" s="187">
        <f t="shared" si="344"/>
        <v>0</v>
      </c>
      <c r="AP579" s="187">
        <f t="shared" si="344"/>
        <v>0</v>
      </c>
    </row>
    <row r="580" spans="1:42" s="118" customFormat="1">
      <c r="A580" s="222" t="s">
        <v>53</v>
      </c>
      <c r="B580" s="141"/>
      <c r="C580" s="141">
        <f>SUM(C570:C579)</f>
        <v>0</v>
      </c>
      <c r="D580" s="141">
        <f t="shared" ref="D580:AP580" si="345">SUM(D570:D579)</f>
        <v>0</v>
      </c>
      <c r="E580" s="141">
        <f t="shared" si="345"/>
        <v>20604.499999999996</v>
      </c>
      <c r="F580" s="141">
        <f t="shared" si="345"/>
        <v>32967.19999999999</v>
      </c>
      <c r="G580" s="141">
        <f t="shared" si="345"/>
        <v>19780.319999999996</v>
      </c>
      <c r="H580" s="141">
        <f t="shared" si="345"/>
        <v>33413.872077687483</v>
      </c>
      <c r="I580" s="141">
        <f t="shared" si="345"/>
        <v>46341.28012429997</v>
      </c>
      <c r="J580" s="141">
        <f t="shared" si="345"/>
        <v>26617.948874579983</v>
      </c>
      <c r="K580" s="141">
        <f t="shared" si="345"/>
        <v>34940.163456654111</v>
      </c>
      <c r="L580" s="141">
        <f t="shared" si="345"/>
        <v>48458.074495797773</v>
      </c>
      <c r="M580" s="141">
        <f t="shared" si="345"/>
        <v>27833.813525003865</v>
      </c>
      <c r="N580" s="141">
        <f t="shared" si="345"/>
        <v>36536.173345588439</v>
      </c>
      <c r="O580" s="141">
        <f t="shared" si="345"/>
        <v>50671.560594394745</v>
      </c>
      <c r="P580" s="141">
        <f t="shared" si="345"/>
        <v>29105.216896879054</v>
      </c>
      <c r="Q580" s="141">
        <f t="shared" si="345"/>
        <v>38205.086372733211</v>
      </c>
      <c r="R580" s="141">
        <f t="shared" si="345"/>
        <v>52986.155141060706</v>
      </c>
      <c r="S580" s="141">
        <f t="shared" si="345"/>
        <v>30434.695908751019</v>
      </c>
      <c r="T580" s="141">
        <f t="shared" si="345"/>
        <v>39950.232634974287</v>
      </c>
      <c r="U580" s="141">
        <f t="shared" si="345"/>
        <v>55406.476605402226</v>
      </c>
      <c r="V580" s="141">
        <f t="shared" si="345"/>
        <v>31824.903361481898</v>
      </c>
      <c r="W580" s="141">
        <f t="shared" si="345"/>
        <v>41775.094342611868</v>
      </c>
      <c r="X580" s="141">
        <f t="shared" si="345"/>
        <v>57937.354421212491</v>
      </c>
      <c r="Y580" s="141">
        <f t="shared" si="345"/>
        <v>33278.613231566414</v>
      </c>
      <c r="Z580" s="141">
        <f t="shared" si="345"/>
        <v>43683.312767654046</v>
      </c>
      <c r="AA580" s="141">
        <f t="shared" si="345"/>
        <v>60583.838622972515</v>
      </c>
      <c r="AB580" s="141">
        <f t="shared" si="345"/>
        <v>34798.72620623785</v>
      </c>
      <c r="AC580" s="141">
        <f t="shared" si="345"/>
        <v>45678.695509497222</v>
      </c>
      <c r="AD580" s="141">
        <f t="shared" si="345"/>
        <v>63351.209922532122</v>
      </c>
      <c r="AE580" s="141">
        <f t="shared" si="345"/>
        <v>36388.275471408706</v>
      </c>
      <c r="AF580" s="141">
        <f t="shared" si="345"/>
        <v>47765.22409249084</v>
      </c>
      <c r="AG580" s="141">
        <f t="shared" si="345"/>
        <v>0</v>
      </c>
      <c r="AH580" s="141">
        <f t="shared" si="345"/>
        <v>0</v>
      </c>
      <c r="AI580" s="141">
        <f t="shared" si="345"/>
        <v>0</v>
      </c>
      <c r="AJ580" s="141">
        <f t="shared" si="345"/>
        <v>0</v>
      </c>
      <c r="AK580" s="141">
        <f t="shared" si="345"/>
        <v>0</v>
      </c>
      <c r="AL580" s="141">
        <f t="shared" si="345"/>
        <v>0</v>
      </c>
      <c r="AM580" s="141">
        <f t="shared" si="345"/>
        <v>0</v>
      </c>
      <c r="AN580" s="141">
        <f t="shared" si="345"/>
        <v>0</v>
      </c>
      <c r="AO580" s="141">
        <f t="shared" si="345"/>
        <v>0</v>
      </c>
      <c r="AP580" s="141">
        <f t="shared" si="345"/>
        <v>0</v>
      </c>
    </row>
    <row r="581" spans="1:42" s="118" customFormat="1">
      <c r="A581" s="222"/>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141"/>
      <c r="AD581" s="141"/>
      <c r="AE581" s="141"/>
      <c r="AF581" s="141"/>
      <c r="AG581" s="141"/>
      <c r="AH581" s="141"/>
      <c r="AI581" s="141"/>
      <c r="AJ581" s="141"/>
      <c r="AK581" s="141"/>
      <c r="AL581" s="141"/>
      <c r="AM581" s="141"/>
      <c r="AN581" s="141"/>
      <c r="AO581" s="141"/>
      <c r="AP581" s="141"/>
    </row>
    <row r="582" spans="1:42" s="118" customFormat="1">
      <c r="A582" s="179" t="s">
        <v>171</v>
      </c>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c r="AA582" s="141"/>
      <c r="AB582" s="141"/>
      <c r="AC582" s="141"/>
      <c r="AD582" s="141"/>
      <c r="AE582" s="141"/>
      <c r="AF582" s="141"/>
      <c r="AG582" s="141"/>
      <c r="AH582" s="141"/>
      <c r="AI582" s="141"/>
      <c r="AJ582" s="141"/>
      <c r="AK582" s="141"/>
      <c r="AL582" s="141"/>
      <c r="AM582" s="141"/>
      <c r="AN582" s="141"/>
      <c r="AO582" s="141"/>
      <c r="AP582" s="141"/>
    </row>
    <row r="583" spans="1:42" s="118" customFormat="1">
      <c r="A583" s="197" t="s">
        <v>37</v>
      </c>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c r="AA583" s="141"/>
      <c r="AB583" s="141"/>
      <c r="AC583" s="141"/>
      <c r="AD583" s="141"/>
      <c r="AE583" s="141"/>
      <c r="AF583" s="141"/>
      <c r="AG583" s="141"/>
      <c r="AH583" s="141"/>
      <c r="AI583" s="141"/>
      <c r="AJ583" s="141"/>
      <c r="AK583" s="141"/>
      <c r="AL583" s="141"/>
      <c r="AM583" s="141"/>
      <c r="AN583" s="141"/>
      <c r="AO583" s="141"/>
      <c r="AP583" s="141"/>
    </row>
    <row r="584" spans="1:42" s="118" customFormat="1">
      <c r="A584" s="204" t="s">
        <v>173</v>
      </c>
      <c r="C584" s="232">
        <f t="shared" ref="C584:AP584" si="346">IF(C$2&lt;=StatePTCTerm,StatePTCAmount*(1+Inflation)^B$2,0)</f>
        <v>0</v>
      </c>
      <c r="D584" s="232">
        <f t="shared" si="346"/>
        <v>0</v>
      </c>
      <c r="E584" s="232">
        <f t="shared" si="346"/>
        <v>0</v>
      </c>
      <c r="F584" s="232">
        <f t="shared" si="346"/>
        <v>0</v>
      </c>
      <c r="G584" s="232">
        <f t="shared" si="346"/>
        <v>0</v>
      </c>
      <c r="H584" s="232">
        <f t="shared" si="346"/>
        <v>0</v>
      </c>
      <c r="I584" s="232">
        <f t="shared" si="346"/>
        <v>0</v>
      </c>
      <c r="J584" s="232">
        <f t="shared" si="346"/>
        <v>0</v>
      </c>
      <c r="K584" s="232">
        <f t="shared" si="346"/>
        <v>0</v>
      </c>
      <c r="L584" s="232">
        <f t="shared" si="346"/>
        <v>0</v>
      </c>
      <c r="M584" s="232">
        <f t="shared" si="346"/>
        <v>0</v>
      </c>
      <c r="N584" s="232">
        <f t="shared" si="346"/>
        <v>0</v>
      </c>
      <c r="O584" s="232">
        <f t="shared" si="346"/>
        <v>0</v>
      </c>
      <c r="P584" s="232">
        <f t="shared" si="346"/>
        <v>0</v>
      </c>
      <c r="Q584" s="232">
        <f t="shared" si="346"/>
        <v>0</v>
      </c>
      <c r="R584" s="232">
        <f t="shared" si="346"/>
        <v>0</v>
      </c>
      <c r="S584" s="232">
        <f t="shared" si="346"/>
        <v>0</v>
      </c>
      <c r="T584" s="232">
        <f t="shared" si="346"/>
        <v>0</v>
      </c>
      <c r="U584" s="232">
        <f t="shared" si="346"/>
        <v>0</v>
      </c>
      <c r="V584" s="232">
        <f t="shared" si="346"/>
        <v>0</v>
      </c>
      <c r="W584" s="232">
        <f t="shared" si="346"/>
        <v>0</v>
      </c>
      <c r="X584" s="232">
        <f t="shared" si="346"/>
        <v>0</v>
      </c>
      <c r="Y584" s="232">
        <f t="shared" si="346"/>
        <v>0</v>
      </c>
      <c r="Z584" s="232">
        <f t="shared" si="346"/>
        <v>0</v>
      </c>
      <c r="AA584" s="232">
        <f t="shared" si="346"/>
        <v>0</v>
      </c>
      <c r="AB584" s="232">
        <f t="shared" si="346"/>
        <v>0</v>
      </c>
      <c r="AC584" s="232">
        <f t="shared" si="346"/>
        <v>0</v>
      </c>
      <c r="AD584" s="232">
        <f t="shared" si="346"/>
        <v>0</v>
      </c>
      <c r="AE584" s="232">
        <f t="shared" si="346"/>
        <v>0</v>
      </c>
      <c r="AF584" s="232">
        <f t="shared" si="346"/>
        <v>0</v>
      </c>
      <c r="AG584" s="232">
        <f t="shared" si="346"/>
        <v>0</v>
      </c>
      <c r="AH584" s="232">
        <f t="shared" si="346"/>
        <v>0</v>
      </c>
      <c r="AI584" s="232">
        <f t="shared" si="346"/>
        <v>0</v>
      </c>
      <c r="AJ584" s="232">
        <f t="shared" si="346"/>
        <v>0</v>
      </c>
      <c r="AK584" s="232">
        <f t="shared" si="346"/>
        <v>0</v>
      </c>
      <c r="AL584" s="232">
        <f t="shared" si="346"/>
        <v>0</v>
      </c>
      <c r="AM584" s="232">
        <f t="shared" si="346"/>
        <v>0</v>
      </c>
      <c r="AN584" s="232">
        <f t="shared" si="346"/>
        <v>0</v>
      </c>
      <c r="AO584" s="232">
        <f t="shared" si="346"/>
        <v>0</v>
      </c>
      <c r="AP584" s="232">
        <f t="shared" si="346"/>
        <v>0</v>
      </c>
    </row>
    <row r="585" spans="1:42" s="118" customFormat="1">
      <c r="A585" s="204" t="s">
        <v>174</v>
      </c>
      <c r="C585" s="233">
        <f>ROUND(C584*1000,0)</f>
        <v>0</v>
      </c>
      <c r="D585" s="233">
        <f>ROUND(D584*1000,0)</f>
        <v>0</v>
      </c>
      <c r="E585" s="233">
        <f t="shared" ref="E585:AP585" si="347">ROUND(E584*1000,0)</f>
        <v>0</v>
      </c>
      <c r="F585" s="233">
        <f t="shared" si="347"/>
        <v>0</v>
      </c>
      <c r="G585" s="233">
        <f t="shared" si="347"/>
        <v>0</v>
      </c>
      <c r="H585" s="233">
        <f t="shared" si="347"/>
        <v>0</v>
      </c>
      <c r="I585" s="233">
        <f t="shared" si="347"/>
        <v>0</v>
      </c>
      <c r="J585" s="233">
        <f t="shared" si="347"/>
        <v>0</v>
      </c>
      <c r="K585" s="233">
        <f t="shared" si="347"/>
        <v>0</v>
      </c>
      <c r="L585" s="233">
        <f t="shared" si="347"/>
        <v>0</v>
      </c>
      <c r="M585" s="233">
        <f t="shared" si="347"/>
        <v>0</v>
      </c>
      <c r="N585" s="233">
        <f t="shared" si="347"/>
        <v>0</v>
      </c>
      <c r="O585" s="233">
        <f t="shared" si="347"/>
        <v>0</v>
      </c>
      <c r="P585" s="233">
        <f t="shared" si="347"/>
        <v>0</v>
      </c>
      <c r="Q585" s="233">
        <f t="shared" si="347"/>
        <v>0</v>
      </c>
      <c r="R585" s="233">
        <f t="shared" si="347"/>
        <v>0</v>
      </c>
      <c r="S585" s="233">
        <f t="shared" si="347"/>
        <v>0</v>
      </c>
      <c r="T585" s="233">
        <f t="shared" si="347"/>
        <v>0</v>
      </c>
      <c r="U585" s="233">
        <f t="shared" si="347"/>
        <v>0</v>
      </c>
      <c r="V585" s="233">
        <f t="shared" si="347"/>
        <v>0</v>
      </c>
      <c r="W585" s="233">
        <f t="shared" si="347"/>
        <v>0</v>
      </c>
      <c r="X585" s="233">
        <f t="shared" si="347"/>
        <v>0</v>
      </c>
      <c r="Y585" s="233">
        <f t="shared" si="347"/>
        <v>0</v>
      </c>
      <c r="Z585" s="233">
        <f t="shared" si="347"/>
        <v>0</v>
      </c>
      <c r="AA585" s="233">
        <f t="shared" si="347"/>
        <v>0</v>
      </c>
      <c r="AB585" s="233">
        <f t="shared" si="347"/>
        <v>0</v>
      </c>
      <c r="AC585" s="233">
        <f t="shared" si="347"/>
        <v>0</v>
      </c>
      <c r="AD585" s="233">
        <f t="shared" si="347"/>
        <v>0</v>
      </c>
      <c r="AE585" s="233">
        <f t="shared" si="347"/>
        <v>0</v>
      </c>
      <c r="AF585" s="233">
        <f t="shared" si="347"/>
        <v>0</v>
      </c>
      <c r="AG585" s="233">
        <f t="shared" si="347"/>
        <v>0</v>
      </c>
      <c r="AH585" s="233">
        <f t="shared" si="347"/>
        <v>0</v>
      </c>
      <c r="AI585" s="233">
        <f t="shared" si="347"/>
        <v>0</v>
      </c>
      <c r="AJ585" s="233">
        <f t="shared" si="347"/>
        <v>0</v>
      </c>
      <c r="AK585" s="233">
        <f t="shared" si="347"/>
        <v>0</v>
      </c>
      <c r="AL585" s="233">
        <f t="shared" si="347"/>
        <v>0</v>
      </c>
      <c r="AM585" s="233">
        <f t="shared" si="347"/>
        <v>0</v>
      </c>
      <c r="AN585" s="233">
        <f t="shared" si="347"/>
        <v>0</v>
      </c>
      <c r="AO585" s="233">
        <f t="shared" si="347"/>
        <v>0</v>
      </c>
      <c r="AP585" s="233">
        <f t="shared" si="347"/>
        <v>0</v>
      </c>
    </row>
    <row r="586" spans="1:42" s="118" customFormat="1">
      <c r="A586" s="204" t="s">
        <v>175</v>
      </c>
      <c r="C586" s="203">
        <f>C$5/1000</f>
        <v>17000</v>
      </c>
      <c r="D586" s="203">
        <f>D$5/1000</f>
        <v>16915</v>
      </c>
      <c r="E586" s="203">
        <f t="shared" ref="E586:AP586" si="348">E$5/1000</f>
        <v>16830.424999999999</v>
      </c>
      <c r="F586" s="203">
        <f t="shared" si="348"/>
        <v>16746.272874999999</v>
      </c>
      <c r="G586" s="203">
        <f t="shared" si="348"/>
        <v>16662.541510625</v>
      </c>
      <c r="H586" s="203">
        <f t="shared" si="348"/>
        <v>16579.228803071874</v>
      </c>
      <c r="I586" s="203">
        <f t="shared" si="348"/>
        <v>16496.332659056516</v>
      </c>
      <c r="J586" s="203">
        <f t="shared" si="348"/>
        <v>16413.850995761233</v>
      </c>
      <c r="K586" s="203">
        <f t="shared" si="348"/>
        <v>16331.781740782426</v>
      </c>
      <c r="L586" s="203">
        <f t="shared" si="348"/>
        <v>16250.122832078514</v>
      </c>
      <c r="M586" s="203">
        <f t="shared" si="348"/>
        <v>16168.872217918122</v>
      </c>
      <c r="N586" s="203">
        <f t="shared" si="348"/>
        <v>16088.027856828532</v>
      </c>
      <c r="O586" s="203">
        <f t="shared" si="348"/>
        <v>16007.587717544387</v>
      </c>
      <c r="P586" s="203">
        <f t="shared" si="348"/>
        <v>15927.549778956667</v>
      </c>
      <c r="Q586" s="203">
        <f t="shared" si="348"/>
        <v>15847.912030061883</v>
      </c>
      <c r="R586" s="203">
        <f t="shared" si="348"/>
        <v>15768.672469911573</v>
      </c>
      <c r="S586" s="203">
        <f t="shared" si="348"/>
        <v>15689.829107562015</v>
      </c>
      <c r="T586" s="203">
        <f t="shared" si="348"/>
        <v>15611.379962024204</v>
      </c>
      <c r="U586" s="203">
        <f t="shared" si="348"/>
        <v>15533.323062214084</v>
      </c>
      <c r="V586" s="203">
        <f t="shared" si="348"/>
        <v>15455.656446903013</v>
      </c>
      <c r="W586" s="203">
        <f t="shared" si="348"/>
        <v>15378.378164668497</v>
      </c>
      <c r="X586" s="203">
        <f t="shared" si="348"/>
        <v>15301.486273845156</v>
      </c>
      <c r="Y586" s="203">
        <f t="shared" si="348"/>
        <v>15224.978842475928</v>
      </c>
      <c r="Z586" s="203">
        <f t="shared" si="348"/>
        <v>15148.853948263548</v>
      </c>
      <c r="AA586" s="203">
        <f t="shared" si="348"/>
        <v>15073.109678522231</v>
      </c>
      <c r="AB586" s="203">
        <f t="shared" si="348"/>
        <v>14997.74413012962</v>
      </c>
      <c r="AC586" s="203">
        <f t="shared" si="348"/>
        <v>14922.755409478972</v>
      </c>
      <c r="AD586" s="203">
        <f t="shared" si="348"/>
        <v>14848.141632431576</v>
      </c>
      <c r="AE586" s="203">
        <f t="shared" si="348"/>
        <v>14773.900924269417</v>
      </c>
      <c r="AF586" s="203">
        <f t="shared" si="348"/>
        <v>14700.03141964807</v>
      </c>
      <c r="AG586" s="203">
        <f t="shared" si="348"/>
        <v>0</v>
      </c>
      <c r="AH586" s="203">
        <f t="shared" si="348"/>
        <v>0</v>
      </c>
      <c r="AI586" s="203">
        <f t="shared" si="348"/>
        <v>0</v>
      </c>
      <c r="AJ586" s="203">
        <f t="shared" si="348"/>
        <v>0</v>
      </c>
      <c r="AK586" s="203">
        <f t="shared" si="348"/>
        <v>0</v>
      </c>
      <c r="AL586" s="203">
        <f t="shared" si="348"/>
        <v>0</v>
      </c>
      <c r="AM586" s="203">
        <f t="shared" si="348"/>
        <v>0</v>
      </c>
      <c r="AN586" s="203">
        <f t="shared" si="348"/>
        <v>0</v>
      </c>
      <c r="AO586" s="203">
        <f t="shared" si="348"/>
        <v>0</v>
      </c>
      <c r="AP586" s="203">
        <f t="shared" si="348"/>
        <v>0</v>
      </c>
    </row>
    <row r="587" spans="1:42" s="118" customFormat="1">
      <c r="A587" s="204" t="s">
        <v>53</v>
      </c>
      <c r="C587" s="141">
        <f>C585*C586</f>
        <v>0</v>
      </c>
      <c r="D587" s="141">
        <f>D585*D586</f>
        <v>0</v>
      </c>
      <c r="E587" s="141">
        <f t="shared" ref="E587:AP587" si="349">E585*E586</f>
        <v>0</v>
      </c>
      <c r="F587" s="141">
        <f t="shared" si="349"/>
        <v>0</v>
      </c>
      <c r="G587" s="141">
        <f t="shared" si="349"/>
        <v>0</v>
      </c>
      <c r="H587" s="141">
        <f t="shared" si="349"/>
        <v>0</v>
      </c>
      <c r="I587" s="141">
        <f t="shared" si="349"/>
        <v>0</v>
      </c>
      <c r="J587" s="141">
        <f t="shared" si="349"/>
        <v>0</v>
      </c>
      <c r="K587" s="141">
        <f t="shared" si="349"/>
        <v>0</v>
      </c>
      <c r="L587" s="141">
        <f t="shared" si="349"/>
        <v>0</v>
      </c>
      <c r="M587" s="141">
        <f t="shared" si="349"/>
        <v>0</v>
      </c>
      <c r="N587" s="141">
        <f t="shared" si="349"/>
        <v>0</v>
      </c>
      <c r="O587" s="141">
        <f t="shared" si="349"/>
        <v>0</v>
      </c>
      <c r="P587" s="141">
        <f t="shared" si="349"/>
        <v>0</v>
      </c>
      <c r="Q587" s="141">
        <f t="shared" si="349"/>
        <v>0</v>
      </c>
      <c r="R587" s="141">
        <f t="shared" si="349"/>
        <v>0</v>
      </c>
      <c r="S587" s="141">
        <f t="shared" si="349"/>
        <v>0</v>
      </c>
      <c r="T587" s="141">
        <f t="shared" si="349"/>
        <v>0</v>
      </c>
      <c r="U587" s="141">
        <f t="shared" si="349"/>
        <v>0</v>
      </c>
      <c r="V587" s="141">
        <f t="shared" si="349"/>
        <v>0</v>
      </c>
      <c r="W587" s="141">
        <f t="shared" si="349"/>
        <v>0</v>
      </c>
      <c r="X587" s="141">
        <f t="shared" si="349"/>
        <v>0</v>
      </c>
      <c r="Y587" s="141">
        <f t="shared" si="349"/>
        <v>0</v>
      </c>
      <c r="Z587" s="141">
        <f t="shared" si="349"/>
        <v>0</v>
      </c>
      <c r="AA587" s="141">
        <f t="shared" si="349"/>
        <v>0</v>
      </c>
      <c r="AB587" s="141">
        <f t="shared" si="349"/>
        <v>0</v>
      </c>
      <c r="AC587" s="141">
        <f t="shared" si="349"/>
        <v>0</v>
      </c>
      <c r="AD587" s="141">
        <f t="shared" si="349"/>
        <v>0</v>
      </c>
      <c r="AE587" s="141">
        <f t="shared" si="349"/>
        <v>0</v>
      </c>
      <c r="AF587" s="141">
        <f t="shared" si="349"/>
        <v>0</v>
      </c>
      <c r="AG587" s="141">
        <f t="shared" si="349"/>
        <v>0</v>
      </c>
      <c r="AH587" s="141">
        <f t="shared" si="349"/>
        <v>0</v>
      </c>
      <c r="AI587" s="141">
        <f t="shared" si="349"/>
        <v>0</v>
      </c>
      <c r="AJ587" s="141">
        <f t="shared" si="349"/>
        <v>0</v>
      </c>
      <c r="AK587" s="141">
        <f t="shared" si="349"/>
        <v>0</v>
      </c>
      <c r="AL587" s="141">
        <f t="shared" si="349"/>
        <v>0</v>
      </c>
      <c r="AM587" s="141">
        <f t="shared" si="349"/>
        <v>0</v>
      </c>
      <c r="AN587" s="141">
        <f t="shared" si="349"/>
        <v>0</v>
      </c>
      <c r="AO587" s="141">
        <f t="shared" si="349"/>
        <v>0</v>
      </c>
      <c r="AP587" s="141">
        <f t="shared" si="349"/>
        <v>0</v>
      </c>
    </row>
    <row r="588" spans="1:42" s="118" customFormat="1">
      <c r="A588" s="197"/>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c r="AA588" s="141"/>
      <c r="AB588" s="141"/>
      <c r="AC588" s="141"/>
      <c r="AD588" s="141"/>
      <c r="AE588" s="141"/>
      <c r="AF588" s="141"/>
      <c r="AG588" s="141"/>
      <c r="AH588" s="141"/>
      <c r="AI588" s="141"/>
      <c r="AJ588" s="141"/>
      <c r="AK588" s="141"/>
      <c r="AL588" s="141"/>
      <c r="AM588" s="141"/>
      <c r="AN588" s="141"/>
      <c r="AO588" s="141"/>
      <c r="AP588" s="141"/>
    </row>
    <row r="589" spans="1:42" s="118" customFormat="1">
      <c r="A589" s="197" t="s">
        <v>36</v>
      </c>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c r="AA589" s="141"/>
      <c r="AB589" s="141"/>
      <c r="AC589" s="141"/>
      <c r="AD589" s="141"/>
      <c r="AE589" s="141"/>
      <c r="AF589" s="141"/>
      <c r="AG589" s="141"/>
      <c r="AH589" s="141"/>
      <c r="AI589" s="141"/>
      <c r="AJ589" s="141"/>
      <c r="AK589" s="141"/>
      <c r="AL589" s="141"/>
      <c r="AM589" s="141"/>
      <c r="AN589" s="141"/>
      <c r="AO589" s="141"/>
      <c r="AP589" s="141"/>
    </row>
    <row r="590" spans="1:42" s="118" customFormat="1">
      <c r="A590" s="204" t="s">
        <v>173</v>
      </c>
      <c r="C590" s="232">
        <f t="shared" ref="C590:AP590" si="350">IF(C$2&lt;=FedPTCTerm,FedPTCAmount*(1+Inflation)^B$2,0)</f>
        <v>0</v>
      </c>
      <c r="D590" s="232">
        <f t="shared" si="350"/>
        <v>0</v>
      </c>
      <c r="E590" s="232">
        <f t="shared" si="350"/>
        <v>0</v>
      </c>
      <c r="F590" s="232">
        <f t="shared" si="350"/>
        <v>0</v>
      </c>
      <c r="G590" s="232">
        <f t="shared" si="350"/>
        <v>0</v>
      </c>
      <c r="H590" s="232">
        <f t="shared" si="350"/>
        <v>0</v>
      </c>
      <c r="I590" s="232">
        <f t="shared" si="350"/>
        <v>0</v>
      </c>
      <c r="J590" s="232">
        <f t="shared" si="350"/>
        <v>0</v>
      </c>
      <c r="K590" s="232">
        <f t="shared" si="350"/>
        <v>0</v>
      </c>
      <c r="L590" s="232">
        <f t="shared" si="350"/>
        <v>0</v>
      </c>
      <c r="M590" s="232">
        <f t="shared" si="350"/>
        <v>0</v>
      </c>
      <c r="N590" s="232">
        <f t="shared" si="350"/>
        <v>0</v>
      </c>
      <c r="O590" s="232">
        <f t="shared" si="350"/>
        <v>0</v>
      </c>
      <c r="P590" s="232">
        <f t="shared" si="350"/>
        <v>0</v>
      </c>
      <c r="Q590" s="232">
        <f t="shared" si="350"/>
        <v>0</v>
      </c>
      <c r="R590" s="232">
        <f t="shared" si="350"/>
        <v>0</v>
      </c>
      <c r="S590" s="232">
        <f t="shared" si="350"/>
        <v>0</v>
      </c>
      <c r="T590" s="232">
        <f t="shared" si="350"/>
        <v>0</v>
      </c>
      <c r="U590" s="232">
        <f t="shared" si="350"/>
        <v>0</v>
      </c>
      <c r="V590" s="232">
        <f t="shared" si="350"/>
        <v>0</v>
      </c>
      <c r="W590" s="232">
        <f t="shared" si="350"/>
        <v>0</v>
      </c>
      <c r="X590" s="232">
        <f t="shared" si="350"/>
        <v>0</v>
      </c>
      <c r="Y590" s="232">
        <f t="shared" si="350"/>
        <v>0</v>
      </c>
      <c r="Z590" s="232">
        <f t="shared" si="350"/>
        <v>0</v>
      </c>
      <c r="AA590" s="232">
        <f t="shared" si="350"/>
        <v>0</v>
      </c>
      <c r="AB590" s="232">
        <f t="shared" si="350"/>
        <v>0</v>
      </c>
      <c r="AC590" s="232">
        <f t="shared" si="350"/>
        <v>0</v>
      </c>
      <c r="AD590" s="232">
        <f t="shared" si="350"/>
        <v>0</v>
      </c>
      <c r="AE590" s="232">
        <f t="shared" si="350"/>
        <v>0</v>
      </c>
      <c r="AF590" s="232">
        <f t="shared" si="350"/>
        <v>0</v>
      </c>
      <c r="AG590" s="232">
        <f t="shared" si="350"/>
        <v>0</v>
      </c>
      <c r="AH590" s="232">
        <f t="shared" si="350"/>
        <v>0</v>
      </c>
      <c r="AI590" s="232">
        <f t="shared" si="350"/>
        <v>0</v>
      </c>
      <c r="AJ590" s="232">
        <f t="shared" si="350"/>
        <v>0</v>
      </c>
      <c r="AK590" s="232">
        <f t="shared" si="350"/>
        <v>0</v>
      </c>
      <c r="AL590" s="232">
        <f t="shared" si="350"/>
        <v>0</v>
      </c>
      <c r="AM590" s="232">
        <f t="shared" si="350"/>
        <v>0</v>
      </c>
      <c r="AN590" s="232">
        <f t="shared" si="350"/>
        <v>0</v>
      </c>
      <c r="AO590" s="232">
        <f t="shared" si="350"/>
        <v>0</v>
      </c>
      <c r="AP590" s="232">
        <f t="shared" si="350"/>
        <v>0</v>
      </c>
    </row>
    <row r="591" spans="1:42" s="118" customFormat="1">
      <c r="A591" s="204" t="s">
        <v>174</v>
      </c>
      <c r="C591" s="233">
        <f>ROUND(C590*1000,0)</f>
        <v>0</v>
      </c>
      <c r="D591" s="233">
        <f>ROUND(D590*1000,0)</f>
        <v>0</v>
      </c>
      <c r="E591" s="233">
        <f t="shared" ref="E591:AP591" si="351">ROUND(E590*1000,0)</f>
        <v>0</v>
      </c>
      <c r="F591" s="233">
        <f t="shared" si="351"/>
        <v>0</v>
      </c>
      <c r="G591" s="233">
        <f t="shared" si="351"/>
        <v>0</v>
      </c>
      <c r="H591" s="233">
        <f t="shared" si="351"/>
        <v>0</v>
      </c>
      <c r="I591" s="233">
        <f t="shared" si="351"/>
        <v>0</v>
      </c>
      <c r="J591" s="233">
        <f t="shared" si="351"/>
        <v>0</v>
      </c>
      <c r="K591" s="233">
        <f t="shared" si="351"/>
        <v>0</v>
      </c>
      <c r="L591" s="233">
        <f t="shared" si="351"/>
        <v>0</v>
      </c>
      <c r="M591" s="233">
        <f t="shared" si="351"/>
        <v>0</v>
      </c>
      <c r="N591" s="233">
        <f t="shared" si="351"/>
        <v>0</v>
      </c>
      <c r="O591" s="233">
        <f t="shared" si="351"/>
        <v>0</v>
      </c>
      <c r="P591" s="233">
        <f t="shared" si="351"/>
        <v>0</v>
      </c>
      <c r="Q591" s="233">
        <f t="shared" si="351"/>
        <v>0</v>
      </c>
      <c r="R591" s="233">
        <f t="shared" si="351"/>
        <v>0</v>
      </c>
      <c r="S591" s="233">
        <f t="shared" si="351"/>
        <v>0</v>
      </c>
      <c r="T591" s="233">
        <f t="shared" si="351"/>
        <v>0</v>
      </c>
      <c r="U591" s="233">
        <f t="shared" si="351"/>
        <v>0</v>
      </c>
      <c r="V591" s="233">
        <f t="shared" si="351"/>
        <v>0</v>
      </c>
      <c r="W591" s="233">
        <f t="shared" si="351"/>
        <v>0</v>
      </c>
      <c r="X591" s="233">
        <f t="shared" si="351"/>
        <v>0</v>
      </c>
      <c r="Y591" s="233">
        <f t="shared" si="351"/>
        <v>0</v>
      </c>
      <c r="Z591" s="233">
        <f t="shared" si="351"/>
        <v>0</v>
      </c>
      <c r="AA591" s="233">
        <f t="shared" si="351"/>
        <v>0</v>
      </c>
      <c r="AB591" s="233">
        <f t="shared" si="351"/>
        <v>0</v>
      </c>
      <c r="AC591" s="233">
        <f t="shared" si="351"/>
        <v>0</v>
      </c>
      <c r="AD591" s="233">
        <f t="shared" si="351"/>
        <v>0</v>
      </c>
      <c r="AE591" s="233">
        <f t="shared" si="351"/>
        <v>0</v>
      </c>
      <c r="AF591" s="233">
        <f t="shared" si="351"/>
        <v>0</v>
      </c>
      <c r="AG591" s="233">
        <f t="shared" si="351"/>
        <v>0</v>
      </c>
      <c r="AH591" s="233">
        <f t="shared" si="351"/>
        <v>0</v>
      </c>
      <c r="AI591" s="233">
        <f t="shared" si="351"/>
        <v>0</v>
      </c>
      <c r="AJ591" s="233">
        <f t="shared" si="351"/>
        <v>0</v>
      </c>
      <c r="AK591" s="233">
        <f t="shared" si="351"/>
        <v>0</v>
      </c>
      <c r="AL591" s="233">
        <f t="shared" si="351"/>
        <v>0</v>
      </c>
      <c r="AM591" s="233">
        <f t="shared" si="351"/>
        <v>0</v>
      </c>
      <c r="AN591" s="233">
        <f t="shared" si="351"/>
        <v>0</v>
      </c>
      <c r="AO591" s="233">
        <f t="shared" si="351"/>
        <v>0</v>
      </c>
      <c r="AP591" s="233">
        <f t="shared" si="351"/>
        <v>0</v>
      </c>
    </row>
    <row r="592" spans="1:42" s="118" customFormat="1">
      <c r="A592" s="204" t="s">
        <v>175</v>
      </c>
      <c r="C592" s="203">
        <f>C$5/1000</f>
        <v>17000</v>
      </c>
      <c r="D592" s="203">
        <f>D$5/1000</f>
        <v>16915</v>
      </c>
      <c r="E592" s="203">
        <f t="shared" ref="E592:AP592" si="352">E$5/1000</f>
        <v>16830.424999999999</v>
      </c>
      <c r="F592" s="203">
        <f t="shared" si="352"/>
        <v>16746.272874999999</v>
      </c>
      <c r="G592" s="203">
        <f t="shared" si="352"/>
        <v>16662.541510625</v>
      </c>
      <c r="H592" s="203">
        <f t="shared" si="352"/>
        <v>16579.228803071874</v>
      </c>
      <c r="I592" s="203">
        <f t="shared" si="352"/>
        <v>16496.332659056516</v>
      </c>
      <c r="J592" s="203">
        <f t="shared" si="352"/>
        <v>16413.850995761233</v>
      </c>
      <c r="K592" s="203">
        <f t="shared" si="352"/>
        <v>16331.781740782426</v>
      </c>
      <c r="L592" s="203">
        <f t="shared" si="352"/>
        <v>16250.122832078514</v>
      </c>
      <c r="M592" s="203">
        <f t="shared" si="352"/>
        <v>16168.872217918122</v>
      </c>
      <c r="N592" s="203">
        <f t="shared" si="352"/>
        <v>16088.027856828532</v>
      </c>
      <c r="O592" s="203">
        <f t="shared" si="352"/>
        <v>16007.587717544387</v>
      </c>
      <c r="P592" s="203">
        <f t="shared" si="352"/>
        <v>15927.549778956667</v>
      </c>
      <c r="Q592" s="203">
        <f t="shared" si="352"/>
        <v>15847.912030061883</v>
      </c>
      <c r="R592" s="203">
        <f t="shared" si="352"/>
        <v>15768.672469911573</v>
      </c>
      <c r="S592" s="203">
        <f t="shared" si="352"/>
        <v>15689.829107562015</v>
      </c>
      <c r="T592" s="203">
        <f t="shared" si="352"/>
        <v>15611.379962024204</v>
      </c>
      <c r="U592" s="203">
        <f t="shared" si="352"/>
        <v>15533.323062214084</v>
      </c>
      <c r="V592" s="203">
        <f t="shared" si="352"/>
        <v>15455.656446903013</v>
      </c>
      <c r="W592" s="203">
        <f t="shared" si="352"/>
        <v>15378.378164668497</v>
      </c>
      <c r="X592" s="203">
        <f t="shared" si="352"/>
        <v>15301.486273845156</v>
      </c>
      <c r="Y592" s="203">
        <f t="shared" si="352"/>
        <v>15224.978842475928</v>
      </c>
      <c r="Z592" s="203">
        <f t="shared" si="352"/>
        <v>15148.853948263548</v>
      </c>
      <c r="AA592" s="203">
        <f t="shared" si="352"/>
        <v>15073.109678522231</v>
      </c>
      <c r="AB592" s="203">
        <f t="shared" si="352"/>
        <v>14997.74413012962</v>
      </c>
      <c r="AC592" s="203">
        <f t="shared" si="352"/>
        <v>14922.755409478972</v>
      </c>
      <c r="AD592" s="203">
        <f t="shared" si="352"/>
        <v>14848.141632431576</v>
      </c>
      <c r="AE592" s="203">
        <f t="shared" si="352"/>
        <v>14773.900924269417</v>
      </c>
      <c r="AF592" s="203">
        <f t="shared" si="352"/>
        <v>14700.03141964807</v>
      </c>
      <c r="AG592" s="203">
        <f t="shared" si="352"/>
        <v>0</v>
      </c>
      <c r="AH592" s="203">
        <f t="shared" si="352"/>
        <v>0</v>
      </c>
      <c r="AI592" s="203">
        <f t="shared" si="352"/>
        <v>0</v>
      </c>
      <c r="AJ592" s="203">
        <f t="shared" si="352"/>
        <v>0</v>
      </c>
      <c r="AK592" s="203">
        <f t="shared" si="352"/>
        <v>0</v>
      </c>
      <c r="AL592" s="203">
        <f t="shared" si="352"/>
        <v>0</v>
      </c>
      <c r="AM592" s="203">
        <f t="shared" si="352"/>
        <v>0</v>
      </c>
      <c r="AN592" s="203">
        <f t="shared" si="352"/>
        <v>0</v>
      </c>
      <c r="AO592" s="203">
        <f t="shared" si="352"/>
        <v>0</v>
      </c>
      <c r="AP592" s="203">
        <f t="shared" si="352"/>
        <v>0</v>
      </c>
    </row>
    <row r="593" spans="1:42" s="118" customFormat="1">
      <c r="A593" s="204" t="s">
        <v>53</v>
      </c>
      <c r="C593" s="141">
        <f>C591*C592</f>
        <v>0</v>
      </c>
      <c r="D593" s="141">
        <f>D591*D592</f>
        <v>0</v>
      </c>
      <c r="E593" s="141">
        <f t="shared" ref="E593:AP593" si="353">E591*E592</f>
        <v>0</v>
      </c>
      <c r="F593" s="141">
        <f t="shared" si="353"/>
        <v>0</v>
      </c>
      <c r="G593" s="141">
        <f t="shared" si="353"/>
        <v>0</v>
      </c>
      <c r="H593" s="141">
        <f t="shared" si="353"/>
        <v>0</v>
      </c>
      <c r="I593" s="141">
        <f t="shared" si="353"/>
        <v>0</v>
      </c>
      <c r="J593" s="141">
        <f t="shared" si="353"/>
        <v>0</v>
      </c>
      <c r="K593" s="141">
        <f t="shared" si="353"/>
        <v>0</v>
      </c>
      <c r="L593" s="141">
        <f t="shared" si="353"/>
        <v>0</v>
      </c>
      <c r="M593" s="141">
        <f t="shared" si="353"/>
        <v>0</v>
      </c>
      <c r="N593" s="141">
        <f t="shared" si="353"/>
        <v>0</v>
      </c>
      <c r="O593" s="141">
        <f t="shared" si="353"/>
        <v>0</v>
      </c>
      <c r="P593" s="141">
        <f t="shared" si="353"/>
        <v>0</v>
      </c>
      <c r="Q593" s="141">
        <f t="shared" si="353"/>
        <v>0</v>
      </c>
      <c r="R593" s="141">
        <f t="shared" si="353"/>
        <v>0</v>
      </c>
      <c r="S593" s="141">
        <f t="shared" si="353"/>
        <v>0</v>
      </c>
      <c r="T593" s="141">
        <f t="shared" si="353"/>
        <v>0</v>
      </c>
      <c r="U593" s="141">
        <f t="shared" si="353"/>
        <v>0</v>
      </c>
      <c r="V593" s="141">
        <f t="shared" si="353"/>
        <v>0</v>
      </c>
      <c r="W593" s="141">
        <f t="shared" si="353"/>
        <v>0</v>
      </c>
      <c r="X593" s="141">
        <f t="shared" si="353"/>
        <v>0</v>
      </c>
      <c r="Y593" s="141">
        <f t="shared" si="353"/>
        <v>0</v>
      </c>
      <c r="Z593" s="141">
        <f t="shared" si="353"/>
        <v>0</v>
      </c>
      <c r="AA593" s="141">
        <f t="shared" si="353"/>
        <v>0</v>
      </c>
      <c r="AB593" s="141">
        <f t="shared" si="353"/>
        <v>0</v>
      </c>
      <c r="AC593" s="141">
        <f t="shared" si="353"/>
        <v>0</v>
      </c>
      <c r="AD593" s="141">
        <f t="shared" si="353"/>
        <v>0</v>
      </c>
      <c r="AE593" s="141">
        <f t="shared" si="353"/>
        <v>0</v>
      </c>
      <c r="AF593" s="141">
        <f t="shared" si="353"/>
        <v>0</v>
      </c>
      <c r="AG593" s="141">
        <f t="shared" si="353"/>
        <v>0</v>
      </c>
      <c r="AH593" s="141">
        <f t="shared" si="353"/>
        <v>0</v>
      </c>
      <c r="AI593" s="141">
        <f t="shared" si="353"/>
        <v>0</v>
      </c>
      <c r="AJ593" s="141">
        <f t="shared" si="353"/>
        <v>0</v>
      </c>
      <c r="AK593" s="141">
        <f t="shared" si="353"/>
        <v>0</v>
      </c>
      <c r="AL593" s="141">
        <f t="shared" si="353"/>
        <v>0</v>
      </c>
      <c r="AM593" s="141">
        <f t="shared" si="353"/>
        <v>0</v>
      </c>
      <c r="AN593" s="141">
        <f t="shared" si="353"/>
        <v>0</v>
      </c>
      <c r="AO593" s="141">
        <f t="shared" si="353"/>
        <v>0</v>
      </c>
      <c r="AP593" s="141">
        <f t="shared" si="353"/>
        <v>0</v>
      </c>
    </row>
    <row r="594" spans="1:42" s="118" customFormat="1">
      <c r="A594" s="204"/>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c r="AA594" s="141"/>
      <c r="AB594" s="141"/>
      <c r="AC594" s="141"/>
      <c r="AD594" s="141"/>
      <c r="AE594" s="141"/>
      <c r="AF594" s="141"/>
      <c r="AG594" s="141"/>
      <c r="AH594" s="141"/>
      <c r="AI594" s="141"/>
      <c r="AJ594" s="141"/>
      <c r="AK594" s="141"/>
      <c r="AL594" s="141"/>
      <c r="AM594" s="141"/>
      <c r="AN594" s="141"/>
      <c r="AO594" s="141"/>
      <c r="AP594" s="141"/>
    </row>
    <row r="595" spans="1:42">
      <c r="A595" s="179" t="s">
        <v>58</v>
      </c>
      <c r="C595" s="186"/>
      <c r="D595" s="186"/>
      <c r="E595" s="186"/>
      <c r="F595" s="186"/>
      <c r="G595" s="186"/>
      <c r="H595" s="186"/>
      <c r="I595" s="186"/>
      <c r="J595" s="186"/>
      <c r="K595" s="186"/>
      <c r="L595" s="186"/>
      <c r="M595" s="186"/>
      <c r="N595" s="186"/>
      <c r="O595" s="186"/>
      <c r="P595" s="186"/>
      <c r="Q595" s="186"/>
      <c r="R595" s="186"/>
      <c r="S595" s="186"/>
      <c r="T595" s="186"/>
      <c r="U595" s="186"/>
      <c r="V595" s="186"/>
      <c r="W595" s="186"/>
      <c r="X595" s="186"/>
      <c r="Y595" s="186"/>
      <c r="Z595" s="186"/>
      <c r="AA595" s="186"/>
      <c r="AB595" s="186"/>
      <c r="AC595" s="186"/>
      <c r="AD595" s="186"/>
      <c r="AE595" s="186"/>
      <c r="AF595" s="186"/>
      <c r="AG595" s="186"/>
      <c r="AH595" s="186"/>
      <c r="AI595" s="186"/>
      <c r="AJ595" s="186"/>
      <c r="AK595" s="186"/>
      <c r="AL595" s="186"/>
      <c r="AM595" s="186"/>
      <c r="AN595" s="186"/>
      <c r="AO595" s="186"/>
      <c r="AP595" s="186"/>
    </row>
    <row r="596" spans="1:42">
      <c r="A596" s="197" t="str">
        <f>'Inputs &amp; Results'!A49</f>
        <v>Fixed Amount ($)</v>
      </c>
      <c r="B596" s="118"/>
      <c r="C596" s="118"/>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204" t="str">
        <f>'Inputs &amp; Results'!A50</f>
        <v>Federal</v>
      </c>
      <c r="B597" s="118"/>
      <c r="C597" s="198">
        <f>IBIFedFixed</f>
        <v>1000</v>
      </c>
      <c r="D597" s="186"/>
      <c r="E597" s="186"/>
      <c r="F597" s="186"/>
      <c r="G597" s="186"/>
      <c r="H597" s="186"/>
      <c r="I597" s="186"/>
      <c r="J597" s="186"/>
      <c r="K597" s="186"/>
      <c r="L597" s="186"/>
      <c r="M597" s="186"/>
      <c r="N597" s="186"/>
      <c r="O597" s="186"/>
      <c r="P597" s="186"/>
      <c r="Q597" s="186"/>
      <c r="R597" s="186"/>
      <c r="S597" s="186"/>
      <c r="T597" s="186"/>
      <c r="U597" s="186"/>
      <c r="V597" s="186"/>
      <c r="W597" s="186"/>
      <c r="X597" s="186"/>
      <c r="Y597" s="186"/>
      <c r="Z597" s="186"/>
      <c r="AA597" s="186"/>
      <c r="AB597" s="186"/>
      <c r="AC597" s="186"/>
      <c r="AD597" s="186"/>
      <c r="AE597" s="186"/>
      <c r="AF597" s="186"/>
      <c r="AG597" s="186"/>
      <c r="AH597" s="186"/>
      <c r="AI597" s="186"/>
      <c r="AJ597" s="186"/>
      <c r="AK597" s="186"/>
      <c r="AL597" s="186"/>
      <c r="AM597" s="186"/>
      <c r="AN597" s="186"/>
      <c r="AO597" s="186"/>
      <c r="AP597" s="186"/>
    </row>
    <row r="598" spans="1:42">
      <c r="A598" s="204" t="str">
        <f>'Inputs &amp; Results'!A51</f>
        <v>State</v>
      </c>
      <c r="B598" s="118"/>
      <c r="C598" s="198">
        <f>IBIStateFixed</f>
        <v>2000</v>
      </c>
      <c r="D598" s="186"/>
      <c r="E598" s="186"/>
      <c r="F598" s="186"/>
      <c r="G598" s="186"/>
      <c r="H598" s="186"/>
      <c r="I598" s="186"/>
      <c r="J598" s="186"/>
      <c r="K598" s="186"/>
      <c r="L598" s="186"/>
      <c r="M598" s="186"/>
      <c r="N598" s="186"/>
      <c r="O598" s="186"/>
      <c r="P598" s="186"/>
      <c r="Q598" s="186"/>
      <c r="R598" s="186"/>
      <c r="S598" s="186"/>
      <c r="T598" s="186"/>
      <c r="U598" s="186"/>
      <c r="V598" s="186"/>
      <c r="W598" s="186"/>
      <c r="X598" s="186"/>
      <c r="Y598" s="186"/>
      <c r="Z598" s="186"/>
      <c r="AA598" s="186"/>
      <c r="AB598" s="186"/>
      <c r="AC598" s="186"/>
      <c r="AD598" s="186"/>
      <c r="AE598" s="186"/>
      <c r="AF598" s="186"/>
      <c r="AG598" s="186"/>
      <c r="AH598" s="186"/>
      <c r="AI598" s="186"/>
      <c r="AJ598" s="186"/>
      <c r="AK598" s="186"/>
      <c r="AL598" s="186"/>
      <c r="AM598" s="186"/>
      <c r="AN598" s="186"/>
      <c r="AO598" s="186"/>
      <c r="AP598" s="186"/>
    </row>
    <row r="599" spans="1:42">
      <c r="A599" s="204" t="str">
        <f>'Inputs &amp; Results'!A52</f>
        <v>Utility</v>
      </c>
      <c r="B599" s="118"/>
      <c r="C599" s="198">
        <f>IBIUtilityFixed</f>
        <v>500</v>
      </c>
      <c r="D599" s="186"/>
      <c r="E599" s="186"/>
      <c r="F599" s="186"/>
      <c r="G599" s="186"/>
      <c r="H599" s="186"/>
      <c r="I599" s="186"/>
      <c r="J599" s="186"/>
      <c r="K599" s="186"/>
      <c r="L599" s="186"/>
      <c r="M599" s="186"/>
      <c r="N599" s="186"/>
      <c r="O599" s="186"/>
      <c r="P599" s="186"/>
      <c r="Q599" s="186"/>
      <c r="R599" s="186"/>
      <c r="S599" s="186"/>
      <c r="T599" s="186"/>
      <c r="U599" s="186"/>
      <c r="V599" s="186"/>
      <c r="W599" s="186"/>
      <c r="X599" s="186"/>
      <c r="Y599" s="186"/>
      <c r="Z599" s="186"/>
      <c r="AA599" s="186"/>
      <c r="AB599" s="186"/>
      <c r="AC599" s="186"/>
      <c r="AD599" s="186"/>
      <c r="AE599" s="186"/>
      <c r="AF599" s="186"/>
      <c r="AG599" s="186"/>
      <c r="AH599" s="186"/>
      <c r="AI599" s="186"/>
      <c r="AJ599" s="186"/>
      <c r="AK599" s="186"/>
      <c r="AL599" s="186"/>
      <c r="AM599" s="186"/>
      <c r="AN599" s="186"/>
      <c r="AO599" s="186"/>
      <c r="AP599" s="186"/>
    </row>
    <row r="600" spans="1:42">
      <c r="A600" s="204" t="str">
        <f>'Inputs &amp; Results'!A53</f>
        <v>Other</v>
      </c>
      <c r="C600" s="203">
        <f>IBIOtherFixed</f>
        <v>250</v>
      </c>
      <c r="D600" s="186"/>
      <c r="E600" s="186"/>
      <c r="F600" s="186"/>
      <c r="G600" s="186"/>
      <c r="H600" s="186"/>
      <c r="I600" s="186"/>
      <c r="J600" s="186"/>
      <c r="K600" s="186"/>
      <c r="L600" s="186"/>
      <c r="M600" s="186"/>
      <c r="N600" s="186"/>
      <c r="O600" s="186"/>
      <c r="P600" s="186"/>
      <c r="Q600" s="186"/>
      <c r="R600" s="186"/>
      <c r="S600" s="186"/>
      <c r="T600" s="186"/>
      <c r="U600" s="186"/>
      <c r="V600" s="186"/>
      <c r="W600" s="186"/>
      <c r="X600" s="186"/>
      <c r="Y600" s="186"/>
      <c r="Z600" s="186"/>
      <c r="AA600" s="186"/>
      <c r="AB600" s="186"/>
      <c r="AC600" s="186"/>
      <c r="AD600" s="186"/>
      <c r="AE600" s="186"/>
      <c r="AF600" s="186"/>
      <c r="AG600" s="186"/>
      <c r="AH600" s="186"/>
      <c r="AI600" s="186"/>
      <c r="AJ600" s="186"/>
      <c r="AK600" s="186"/>
      <c r="AL600" s="186"/>
      <c r="AM600" s="186"/>
      <c r="AN600" s="186"/>
      <c r="AO600" s="186"/>
      <c r="AP600" s="186"/>
    </row>
    <row r="601" spans="1:42">
      <c r="A601" s="184" t="s">
        <v>53</v>
      </c>
      <c r="C601" s="186">
        <f>SUM(C597:C600)</f>
        <v>3750</v>
      </c>
      <c r="D601" s="186"/>
      <c r="E601" s="186"/>
      <c r="F601" s="186"/>
      <c r="G601" s="186"/>
      <c r="H601" s="186"/>
      <c r="I601" s="186"/>
      <c r="J601" s="186"/>
      <c r="K601" s="186"/>
      <c r="L601" s="186"/>
      <c r="M601" s="186"/>
      <c r="N601" s="186"/>
      <c r="O601" s="186"/>
      <c r="P601" s="186"/>
      <c r="Q601" s="186"/>
      <c r="R601" s="186"/>
      <c r="S601" s="186"/>
      <c r="T601" s="186"/>
      <c r="U601" s="186"/>
      <c r="V601" s="186"/>
      <c r="W601" s="186"/>
      <c r="X601" s="186"/>
      <c r="Y601" s="186"/>
      <c r="Z601" s="186"/>
      <c r="AA601" s="186"/>
      <c r="AB601" s="186"/>
      <c r="AC601" s="186"/>
      <c r="AD601" s="186"/>
      <c r="AE601" s="186"/>
      <c r="AF601" s="186"/>
      <c r="AG601" s="186"/>
      <c r="AH601" s="186"/>
      <c r="AI601" s="186"/>
      <c r="AJ601" s="186"/>
      <c r="AK601" s="186"/>
      <c r="AL601" s="186"/>
      <c r="AM601" s="186"/>
      <c r="AN601" s="186"/>
      <c r="AO601" s="186"/>
      <c r="AP601" s="186"/>
    </row>
    <row r="602" spans="1:42">
      <c r="A602" s="197" t="str">
        <f>'Inputs &amp; Results'!A54</f>
        <v>Percentage of Pre-Financing Costs</v>
      </c>
      <c r="C602" s="186"/>
      <c r="D602" s="186"/>
      <c r="E602" s="186"/>
      <c r="F602" s="186"/>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row>
    <row r="603" spans="1:42">
      <c r="A603" s="204" t="str">
        <f>'Inputs &amp; Results'!A55</f>
        <v>Federal</v>
      </c>
      <c r="C603" s="198">
        <f>IBIFedPercent</f>
        <v>2011357.5</v>
      </c>
      <c r="D603" s="186"/>
      <c r="E603" s="186"/>
      <c r="F603" s="186"/>
      <c r="G603" s="186"/>
      <c r="H603" s="186"/>
      <c r="I603" s="186"/>
      <c r="J603" s="186"/>
      <c r="K603" s="186"/>
      <c r="L603" s="186"/>
      <c r="M603" s="186"/>
      <c r="N603" s="186"/>
      <c r="O603" s="186"/>
      <c r="P603" s="186"/>
      <c r="Q603" s="186"/>
      <c r="R603" s="186"/>
      <c r="S603" s="186"/>
      <c r="T603" s="186"/>
      <c r="U603" s="186"/>
      <c r="V603" s="186"/>
      <c r="W603" s="186"/>
      <c r="X603" s="186"/>
      <c r="Y603" s="186"/>
      <c r="Z603" s="186"/>
      <c r="AA603" s="186"/>
      <c r="AB603" s="186"/>
      <c r="AC603" s="186"/>
      <c r="AD603" s="186"/>
      <c r="AE603" s="186"/>
      <c r="AF603" s="186"/>
      <c r="AG603" s="186"/>
      <c r="AH603" s="186"/>
      <c r="AI603" s="186"/>
      <c r="AJ603" s="186"/>
      <c r="AK603" s="186"/>
      <c r="AL603" s="186"/>
      <c r="AM603" s="186"/>
      <c r="AN603" s="186"/>
      <c r="AO603" s="186"/>
      <c r="AP603" s="186"/>
    </row>
    <row r="604" spans="1:42">
      <c r="A604" s="204" t="str">
        <f>'Inputs &amp; Results'!A56</f>
        <v>State</v>
      </c>
      <c r="C604" s="198">
        <f>IBIStatePercent</f>
        <v>4022715</v>
      </c>
      <c r="D604" s="186"/>
      <c r="E604" s="186"/>
      <c r="F604" s="186"/>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row>
    <row r="605" spans="1:42">
      <c r="A605" s="204" t="str">
        <f>'Inputs &amp; Results'!A57</f>
        <v>Utility</v>
      </c>
      <c r="C605" s="198">
        <f>IBIUtilityPercent</f>
        <v>402271.5</v>
      </c>
      <c r="D605" s="186"/>
      <c r="E605" s="186"/>
      <c r="F605" s="186"/>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row>
    <row r="606" spans="1:42">
      <c r="A606" s="204" t="str">
        <f>'Inputs &amp; Results'!A58</f>
        <v>Other</v>
      </c>
      <c r="C606" s="203">
        <f>IBIOtherPercent</f>
        <v>201135.75</v>
      </c>
      <c r="D606" s="186"/>
      <c r="E606" s="186"/>
      <c r="F606" s="186"/>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c r="AM606" s="186"/>
      <c r="AN606" s="186"/>
      <c r="AO606" s="186"/>
      <c r="AP606" s="186"/>
    </row>
    <row r="607" spans="1:42">
      <c r="A607" s="204" t="s">
        <v>53</v>
      </c>
      <c r="C607" s="186">
        <f>SUM(C603:C606)</f>
        <v>6637479.75</v>
      </c>
      <c r="D607" s="186"/>
      <c r="E607" s="186"/>
      <c r="F607" s="186"/>
      <c r="G607" s="186"/>
      <c r="H607" s="186"/>
      <c r="I607" s="186"/>
      <c r="J607" s="186"/>
      <c r="K607" s="186"/>
      <c r="L607" s="186"/>
      <c r="M607" s="186"/>
      <c r="N607" s="186"/>
      <c r="O607" s="186"/>
      <c r="P607" s="186"/>
      <c r="Q607" s="186"/>
      <c r="R607" s="186"/>
      <c r="S607" s="186"/>
      <c r="T607" s="186"/>
      <c r="U607" s="186"/>
      <c r="V607" s="186"/>
      <c r="W607" s="186"/>
      <c r="X607" s="186"/>
      <c r="Y607" s="186"/>
      <c r="Z607" s="186"/>
      <c r="AA607" s="186"/>
      <c r="AB607" s="186"/>
      <c r="AC607" s="186"/>
      <c r="AD607" s="186"/>
      <c r="AE607" s="186"/>
      <c r="AF607" s="186"/>
      <c r="AG607" s="186"/>
      <c r="AH607" s="186"/>
      <c r="AI607" s="186"/>
      <c r="AJ607" s="186"/>
      <c r="AK607" s="186"/>
      <c r="AL607" s="186"/>
      <c r="AM607" s="186"/>
      <c r="AN607" s="186"/>
      <c r="AO607" s="186"/>
      <c r="AP607" s="186"/>
    </row>
    <row r="608" spans="1:42">
      <c r="A608" s="179" t="s">
        <v>128</v>
      </c>
      <c r="C608" s="186"/>
      <c r="D608" s="186"/>
      <c r="E608" s="186"/>
      <c r="F608" s="186"/>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row>
    <row r="609" spans="1:42">
      <c r="A609" s="197" t="str">
        <f>'Inputs &amp; Results'!A60</f>
        <v>Federal</v>
      </c>
      <c r="B609" s="118"/>
      <c r="C609" s="198">
        <f>CBIFed</f>
        <v>5000000</v>
      </c>
      <c r="D609" s="186"/>
      <c r="E609" s="186"/>
      <c r="F609" s="186"/>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row>
    <row r="610" spans="1:42">
      <c r="A610" s="197" t="str">
        <f>'Inputs &amp; Results'!A61</f>
        <v>State</v>
      </c>
      <c r="B610" s="118"/>
      <c r="C610" s="198">
        <f>CBIState</f>
        <v>2000000</v>
      </c>
      <c r="D610" s="186"/>
      <c r="E610" s="186"/>
      <c r="F610" s="186"/>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c r="AM610" s="186"/>
      <c r="AN610" s="186"/>
      <c r="AO610" s="186"/>
      <c r="AP610" s="186"/>
    </row>
    <row r="611" spans="1:42">
      <c r="A611" s="197" t="str">
        <f>'Inputs &amp; Results'!A62</f>
        <v>Utility</v>
      </c>
      <c r="B611" s="118"/>
      <c r="C611" s="198">
        <f>CBIUtility</f>
        <v>100000</v>
      </c>
      <c r="D611" s="186"/>
      <c r="E611" s="186"/>
      <c r="F611" s="186"/>
      <c r="G611" s="186"/>
      <c r="H611" s="186"/>
      <c r="I611" s="186"/>
      <c r="J611" s="186"/>
      <c r="K611" s="186"/>
      <c r="L611" s="186"/>
      <c r="M611" s="186"/>
      <c r="N611" s="186"/>
      <c r="O611" s="186"/>
      <c r="P611" s="186"/>
      <c r="Q611" s="186"/>
      <c r="R611" s="186"/>
      <c r="S611" s="186"/>
      <c r="T611" s="186"/>
      <c r="U611" s="186"/>
      <c r="V611" s="186"/>
      <c r="W611" s="186"/>
      <c r="X611" s="186"/>
      <c r="Y611" s="186"/>
      <c r="Z611" s="186"/>
      <c r="AA611" s="186"/>
      <c r="AB611" s="186"/>
      <c r="AC611" s="186"/>
      <c r="AD611" s="186"/>
      <c r="AE611" s="186"/>
      <c r="AF611" s="186"/>
      <c r="AG611" s="186"/>
      <c r="AH611" s="186"/>
      <c r="AI611" s="186"/>
      <c r="AJ611" s="186"/>
      <c r="AK611" s="186"/>
      <c r="AL611" s="186"/>
      <c r="AM611" s="186"/>
      <c r="AN611" s="186"/>
      <c r="AO611" s="186"/>
      <c r="AP611" s="186"/>
    </row>
    <row r="612" spans="1:42">
      <c r="A612" s="197" t="str">
        <f>'Inputs &amp; Results'!A63</f>
        <v>Other</v>
      </c>
      <c r="C612" s="203">
        <f>CBIOther</f>
        <v>50000</v>
      </c>
      <c r="D612" s="186"/>
      <c r="E612" s="186"/>
      <c r="F612" s="186"/>
      <c r="G612" s="186"/>
      <c r="H612" s="186"/>
      <c r="I612" s="186"/>
      <c r="J612" s="186"/>
      <c r="K612" s="186"/>
      <c r="L612" s="186"/>
      <c r="M612" s="186"/>
      <c r="N612" s="186"/>
      <c r="O612" s="186"/>
      <c r="P612" s="186"/>
      <c r="Q612" s="186"/>
      <c r="R612" s="186"/>
      <c r="S612" s="186"/>
      <c r="T612" s="186"/>
      <c r="U612" s="186"/>
      <c r="V612" s="186"/>
      <c r="W612" s="186"/>
      <c r="X612" s="186"/>
      <c r="Y612" s="186"/>
      <c r="Z612" s="186"/>
      <c r="AA612" s="186"/>
      <c r="AB612" s="186"/>
      <c r="AC612" s="186"/>
      <c r="AD612" s="186"/>
      <c r="AE612" s="186"/>
      <c r="AF612" s="186"/>
      <c r="AG612" s="186"/>
      <c r="AH612" s="186"/>
      <c r="AI612" s="186"/>
      <c r="AJ612" s="186"/>
      <c r="AK612" s="186"/>
      <c r="AL612" s="186"/>
      <c r="AM612" s="186"/>
      <c r="AN612" s="186"/>
      <c r="AO612" s="186"/>
      <c r="AP612" s="186"/>
    </row>
    <row r="613" spans="1:42">
      <c r="A613" s="180" t="s">
        <v>53</v>
      </c>
      <c r="C613" s="186">
        <f>SUM(C609:C612)</f>
        <v>7150000</v>
      </c>
      <c r="D613" s="186"/>
      <c r="E613" s="186"/>
      <c r="F613" s="186"/>
      <c r="G613" s="186"/>
      <c r="H613" s="186"/>
      <c r="I613" s="186"/>
      <c r="J613" s="186"/>
      <c r="K613" s="186"/>
      <c r="L613" s="186"/>
      <c r="M613" s="186"/>
      <c r="N613" s="186"/>
      <c r="O613" s="186"/>
      <c r="P613" s="186"/>
      <c r="Q613" s="186"/>
      <c r="R613" s="186"/>
      <c r="S613" s="186"/>
      <c r="T613" s="186"/>
      <c r="U613" s="186"/>
      <c r="V613" s="186"/>
      <c r="W613" s="186"/>
      <c r="X613" s="186"/>
      <c r="Y613" s="186"/>
      <c r="Z613" s="186"/>
      <c r="AA613" s="186"/>
      <c r="AB613" s="186"/>
      <c r="AC613" s="186"/>
      <c r="AD613" s="186"/>
      <c r="AE613" s="186"/>
      <c r="AF613" s="186"/>
      <c r="AG613" s="186"/>
      <c r="AH613" s="186"/>
      <c r="AI613" s="186"/>
      <c r="AJ613" s="186"/>
      <c r="AK613" s="186"/>
      <c r="AL613" s="186"/>
      <c r="AM613" s="186"/>
      <c r="AN613" s="186"/>
      <c r="AO613" s="186"/>
      <c r="AP613" s="186"/>
    </row>
    <row r="614" spans="1:42">
      <c r="C614" s="186"/>
      <c r="D614" s="186"/>
      <c r="E614" s="186"/>
      <c r="F614" s="186"/>
      <c r="G614" s="186"/>
      <c r="H614" s="186"/>
      <c r="I614" s="186"/>
      <c r="J614" s="186"/>
      <c r="K614" s="186"/>
      <c r="L614" s="186"/>
      <c r="M614" s="186"/>
      <c r="N614" s="186"/>
      <c r="O614" s="186"/>
      <c r="P614" s="186"/>
      <c r="Q614" s="186"/>
      <c r="R614" s="186"/>
      <c r="S614" s="186"/>
      <c r="T614" s="186"/>
      <c r="U614" s="186"/>
      <c r="V614" s="186"/>
      <c r="W614" s="186"/>
      <c r="X614" s="186"/>
      <c r="Y614" s="186"/>
      <c r="Z614" s="186"/>
      <c r="AA614" s="186"/>
      <c r="AB614" s="186"/>
      <c r="AC614" s="186"/>
      <c r="AD614" s="186"/>
      <c r="AE614" s="186"/>
      <c r="AF614" s="186"/>
      <c r="AG614" s="186"/>
      <c r="AH614" s="186"/>
      <c r="AI614" s="186"/>
      <c r="AJ614" s="186"/>
      <c r="AK614" s="186"/>
      <c r="AL614" s="186"/>
      <c r="AM614" s="186"/>
      <c r="AN614" s="186"/>
      <c r="AO614" s="186"/>
      <c r="AP614" s="186"/>
    </row>
    <row r="615" spans="1:42">
      <c r="A615" s="179" t="s">
        <v>125</v>
      </c>
    </row>
    <row r="616" spans="1:42">
      <c r="A616" s="180" t="str">
        <f>'Inputs &amp; Results'!A67</f>
        <v>Federal</v>
      </c>
    </row>
    <row r="617" spans="1:42">
      <c r="A617" s="184" t="s">
        <v>126</v>
      </c>
      <c r="C617" s="232">
        <f t="shared" ref="C617:AP617" si="354">IF(AND(C$2&lt;=PBIFedTerm,C$2&lt;=AnalysisPeriod),PBIFed*(1+PBIFedEsc)^B$2,0)</f>
        <v>0</v>
      </c>
      <c r="D617" s="232">
        <f t="shared" si="354"/>
        <v>0</v>
      </c>
      <c r="E617" s="232">
        <f t="shared" si="354"/>
        <v>0</v>
      </c>
      <c r="F617" s="232">
        <f t="shared" si="354"/>
        <v>0</v>
      </c>
      <c r="G617" s="232">
        <f t="shared" si="354"/>
        <v>0</v>
      </c>
      <c r="H617" s="232">
        <f t="shared" si="354"/>
        <v>0</v>
      </c>
      <c r="I617" s="232">
        <f t="shared" si="354"/>
        <v>0</v>
      </c>
      <c r="J617" s="232">
        <f t="shared" si="354"/>
        <v>0</v>
      </c>
      <c r="K617" s="232">
        <f t="shared" si="354"/>
        <v>0</v>
      </c>
      <c r="L617" s="232">
        <f t="shared" si="354"/>
        <v>0</v>
      </c>
      <c r="M617" s="232">
        <f t="shared" si="354"/>
        <v>0</v>
      </c>
      <c r="N617" s="232">
        <f t="shared" si="354"/>
        <v>0</v>
      </c>
      <c r="O617" s="232">
        <f t="shared" si="354"/>
        <v>0</v>
      </c>
      <c r="P617" s="232">
        <f t="shared" si="354"/>
        <v>0</v>
      </c>
      <c r="Q617" s="232">
        <f t="shared" si="354"/>
        <v>0</v>
      </c>
      <c r="R617" s="232">
        <f t="shared" si="354"/>
        <v>0</v>
      </c>
      <c r="S617" s="232">
        <f t="shared" si="354"/>
        <v>0</v>
      </c>
      <c r="T617" s="232">
        <f t="shared" si="354"/>
        <v>0</v>
      </c>
      <c r="U617" s="232">
        <f t="shared" si="354"/>
        <v>0</v>
      </c>
      <c r="V617" s="232">
        <f t="shared" si="354"/>
        <v>0</v>
      </c>
      <c r="W617" s="232">
        <f t="shared" si="354"/>
        <v>0</v>
      </c>
      <c r="X617" s="232">
        <f t="shared" si="354"/>
        <v>0</v>
      </c>
      <c r="Y617" s="232">
        <f t="shared" si="354"/>
        <v>0</v>
      </c>
      <c r="Z617" s="232">
        <f t="shared" si="354"/>
        <v>0</v>
      </c>
      <c r="AA617" s="232">
        <f t="shared" si="354"/>
        <v>0</v>
      </c>
      <c r="AB617" s="232">
        <f t="shared" si="354"/>
        <v>0</v>
      </c>
      <c r="AC617" s="232">
        <f t="shared" si="354"/>
        <v>0</v>
      </c>
      <c r="AD617" s="232">
        <f t="shared" si="354"/>
        <v>0</v>
      </c>
      <c r="AE617" s="232">
        <f t="shared" si="354"/>
        <v>0</v>
      </c>
      <c r="AF617" s="232">
        <f t="shared" si="354"/>
        <v>0</v>
      </c>
      <c r="AG617" s="232">
        <f t="shared" si="354"/>
        <v>0</v>
      </c>
      <c r="AH617" s="232">
        <f t="shared" si="354"/>
        <v>0</v>
      </c>
      <c r="AI617" s="232">
        <f t="shared" si="354"/>
        <v>0</v>
      </c>
      <c r="AJ617" s="232">
        <f t="shared" si="354"/>
        <v>0</v>
      </c>
      <c r="AK617" s="232">
        <f t="shared" si="354"/>
        <v>0</v>
      </c>
      <c r="AL617" s="232">
        <f t="shared" si="354"/>
        <v>0</v>
      </c>
      <c r="AM617" s="232">
        <f t="shared" si="354"/>
        <v>0</v>
      </c>
      <c r="AN617" s="232">
        <f t="shared" si="354"/>
        <v>0</v>
      </c>
      <c r="AO617" s="232">
        <f t="shared" si="354"/>
        <v>0</v>
      </c>
      <c r="AP617" s="232">
        <f t="shared" si="354"/>
        <v>0</v>
      </c>
    </row>
    <row r="618" spans="1:42">
      <c r="A618" s="184" t="s">
        <v>127</v>
      </c>
      <c r="C618" s="203">
        <f>C$5</f>
        <v>17000000</v>
      </c>
      <c r="D618" s="203">
        <f t="shared" ref="D618:AP618" si="355">D$5</f>
        <v>16915000</v>
      </c>
      <c r="E618" s="203">
        <f t="shared" si="355"/>
        <v>16830425</v>
      </c>
      <c r="F618" s="203">
        <f t="shared" si="355"/>
        <v>16746272.875</v>
      </c>
      <c r="G618" s="203">
        <f t="shared" si="355"/>
        <v>16662541.510624999</v>
      </c>
      <c r="H618" s="203">
        <f t="shared" si="355"/>
        <v>16579228.803071873</v>
      </c>
      <c r="I618" s="203">
        <f t="shared" si="355"/>
        <v>16496332.659056515</v>
      </c>
      <c r="J618" s="203">
        <f t="shared" si="355"/>
        <v>16413850.995761232</v>
      </c>
      <c r="K618" s="203">
        <f t="shared" si="355"/>
        <v>16331781.740782427</v>
      </c>
      <c r="L618" s="203">
        <f t="shared" si="355"/>
        <v>16250122.832078515</v>
      </c>
      <c r="M618" s="203">
        <f t="shared" si="355"/>
        <v>16168872.217918122</v>
      </c>
      <c r="N618" s="203">
        <f t="shared" si="355"/>
        <v>16088027.856828531</v>
      </c>
      <c r="O618" s="203">
        <f t="shared" si="355"/>
        <v>16007587.717544388</v>
      </c>
      <c r="P618" s="203">
        <f t="shared" si="355"/>
        <v>15927549.778956667</v>
      </c>
      <c r="Q618" s="203">
        <f t="shared" si="355"/>
        <v>15847912.030061884</v>
      </c>
      <c r="R618" s="203">
        <f t="shared" si="355"/>
        <v>15768672.469911573</v>
      </c>
      <c r="S618" s="203">
        <f t="shared" si="355"/>
        <v>15689829.107562015</v>
      </c>
      <c r="T618" s="203">
        <f t="shared" si="355"/>
        <v>15611379.962024204</v>
      </c>
      <c r="U618" s="203">
        <f t="shared" si="355"/>
        <v>15533323.062214084</v>
      </c>
      <c r="V618" s="203">
        <f t="shared" si="355"/>
        <v>15455656.446903013</v>
      </c>
      <c r="W618" s="203">
        <f t="shared" si="355"/>
        <v>15378378.164668497</v>
      </c>
      <c r="X618" s="203">
        <f t="shared" si="355"/>
        <v>15301486.273845155</v>
      </c>
      <c r="Y618" s="203">
        <f t="shared" si="355"/>
        <v>15224978.842475928</v>
      </c>
      <c r="Z618" s="203">
        <f t="shared" si="355"/>
        <v>15148853.948263548</v>
      </c>
      <c r="AA618" s="203">
        <f t="shared" si="355"/>
        <v>15073109.678522231</v>
      </c>
      <c r="AB618" s="203">
        <f t="shared" si="355"/>
        <v>14997744.13012962</v>
      </c>
      <c r="AC618" s="203">
        <f t="shared" si="355"/>
        <v>14922755.409478972</v>
      </c>
      <c r="AD618" s="203">
        <f t="shared" si="355"/>
        <v>14848141.632431576</v>
      </c>
      <c r="AE618" s="203">
        <f t="shared" si="355"/>
        <v>14773900.924269417</v>
      </c>
      <c r="AF618" s="203">
        <f t="shared" si="355"/>
        <v>14700031.41964807</v>
      </c>
      <c r="AG618" s="203">
        <f t="shared" si="355"/>
        <v>0</v>
      </c>
      <c r="AH618" s="203">
        <f t="shared" si="355"/>
        <v>0</v>
      </c>
      <c r="AI618" s="203">
        <f t="shared" si="355"/>
        <v>0</v>
      </c>
      <c r="AJ618" s="203">
        <f t="shared" si="355"/>
        <v>0</v>
      </c>
      <c r="AK618" s="203">
        <f t="shared" si="355"/>
        <v>0</v>
      </c>
      <c r="AL618" s="203">
        <f t="shared" si="355"/>
        <v>0</v>
      </c>
      <c r="AM618" s="203">
        <f t="shared" si="355"/>
        <v>0</v>
      </c>
      <c r="AN618" s="203">
        <f t="shared" si="355"/>
        <v>0</v>
      </c>
      <c r="AO618" s="203">
        <f t="shared" si="355"/>
        <v>0</v>
      </c>
      <c r="AP618" s="203">
        <f t="shared" si="355"/>
        <v>0</v>
      </c>
    </row>
    <row r="619" spans="1:42">
      <c r="A619" s="184" t="s">
        <v>53</v>
      </c>
      <c r="C619" s="198">
        <f>C617*C618</f>
        <v>0</v>
      </c>
      <c r="D619" s="198">
        <f t="shared" ref="D619:AP619" si="356">D617*D618</f>
        <v>0</v>
      </c>
      <c r="E619" s="198">
        <f t="shared" si="356"/>
        <v>0</v>
      </c>
      <c r="F619" s="198">
        <f t="shared" si="356"/>
        <v>0</v>
      </c>
      <c r="G619" s="198">
        <f t="shared" si="356"/>
        <v>0</v>
      </c>
      <c r="H619" s="198">
        <f t="shared" si="356"/>
        <v>0</v>
      </c>
      <c r="I619" s="198">
        <f t="shared" si="356"/>
        <v>0</v>
      </c>
      <c r="J619" s="198">
        <f t="shared" si="356"/>
        <v>0</v>
      </c>
      <c r="K619" s="198">
        <f t="shared" si="356"/>
        <v>0</v>
      </c>
      <c r="L619" s="198">
        <f t="shared" si="356"/>
        <v>0</v>
      </c>
      <c r="M619" s="198">
        <f t="shared" si="356"/>
        <v>0</v>
      </c>
      <c r="N619" s="198">
        <f t="shared" si="356"/>
        <v>0</v>
      </c>
      <c r="O619" s="198">
        <f t="shared" si="356"/>
        <v>0</v>
      </c>
      <c r="P619" s="198">
        <f t="shared" si="356"/>
        <v>0</v>
      </c>
      <c r="Q619" s="198">
        <f t="shared" si="356"/>
        <v>0</v>
      </c>
      <c r="R619" s="198">
        <f t="shared" si="356"/>
        <v>0</v>
      </c>
      <c r="S619" s="198">
        <f t="shared" si="356"/>
        <v>0</v>
      </c>
      <c r="T619" s="198">
        <f t="shared" si="356"/>
        <v>0</v>
      </c>
      <c r="U619" s="198">
        <f t="shared" si="356"/>
        <v>0</v>
      </c>
      <c r="V619" s="198">
        <f t="shared" si="356"/>
        <v>0</v>
      </c>
      <c r="W619" s="198">
        <f t="shared" si="356"/>
        <v>0</v>
      </c>
      <c r="X619" s="198">
        <f t="shared" si="356"/>
        <v>0</v>
      </c>
      <c r="Y619" s="198">
        <f t="shared" si="356"/>
        <v>0</v>
      </c>
      <c r="Z619" s="198">
        <f t="shared" si="356"/>
        <v>0</v>
      </c>
      <c r="AA619" s="198">
        <f t="shared" si="356"/>
        <v>0</v>
      </c>
      <c r="AB619" s="198">
        <f t="shared" si="356"/>
        <v>0</v>
      </c>
      <c r="AC619" s="198">
        <f t="shared" si="356"/>
        <v>0</v>
      </c>
      <c r="AD619" s="198">
        <f t="shared" si="356"/>
        <v>0</v>
      </c>
      <c r="AE619" s="198">
        <f t="shared" si="356"/>
        <v>0</v>
      </c>
      <c r="AF619" s="198">
        <f t="shared" si="356"/>
        <v>0</v>
      </c>
      <c r="AG619" s="198">
        <f t="shared" si="356"/>
        <v>0</v>
      </c>
      <c r="AH619" s="198">
        <f t="shared" si="356"/>
        <v>0</v>
      </c>
      <c r="AI619" s="198">
        <f t="shared" si="356"/>
        <v>0</v>
      </c>
      <c r="AJ619" s="198">
        <f t="shared" si="356"/>
        <v>0</v>
      </c>
      <c r="AK619" s="198">
        <f t="shared" si="356"/>
        <v>0</v>
      </c>
      <c r="AL619" s="198">
        <f t="shared" si="356"/>
        <v>0</v>
      </c>
      <c r="AM619" s="198">
        <f t="shared" si="356"/>
        <v>0</v>
      </c>
      <c r="AN619" s="198">
        <f t="shared" si="356"/>
        <v>0</v>
      </c>
      <c r="AO619" s="198">
        <f t="shared" si="356"/>
        <v>0</v>
      </c>
      <c r="AP619" s="198">
        <f t="shared" si="356"/>
        <v>0</v>
      </c>
    </row>
    <row r="620" spans="1:42">
      <c r="A620" s="180" t="str">
        <f>'Inputs &amp; Results'!A68</f>
        <v>State</v>
      </c>
      <c r="E620" s="181"/>
    </row>
    <row r="621" spans="1:42">
      <c r="A621" s="184" t="s">
        <v>126</v>
      </c>
      <c r="C621" s="232">
        <f t="shared" ref="C621:AP621" si="357">IF(AND(C$2&lt;=PBIStateTerm,C$2&lt;=AnalysisPeriod),PBIState*(1+PBIStateEsc)^B$2,0)</f>
        <v>0</v>
      </c>
      <c r="D621" s="232">
        <f t="shared" si="357"/>
        <v>0</v>
      </c>
      <c r="E621" s="232">
        <f t="shared" si="357"/>
        <v>0</v>
      </c>
      <c r="F621" s="232">
        <f t="shared" si="357"/>
        <v>0</v>
      </c>
      <c r="G621" s="232">
        <f t="shared" si="357"/>
        <v>0</v>
      </c>
      <c r="H621" s="232">
        <f t="shared" si="357"/>
        <v>0</v>
      </c>
      <c r="I621" s="232">
        <f t="shared" si="357"/>
        <v>0</v>
      </c>
      <c r="J621" s="232">
        <f t="shared" si="357"/>
        <v>0</v>
      </c>
      <c r="K621" s="232">
        <f t="shared" si="357"/>
        <v>0</v>
      </c>
      <c r="L621" s="232">
        <f t="shared" si="357"/>
        <v>0</v>
      </c>
      <c r="M621" s="232">
        <f t="shared" si="357"/>
        <v>0</v>
      </c>
      <c r="N621" s="232">
        <f t="shared" si="357"/>
        <v>0</v>
      </c>
      <c r="O621" s="232">
        <f t="shared" si="357"/>
        <v>0</v>
      </c>
      <c r="P621" s="232">
        <f t="shared" si="357"/>
        <v>0</v>
      </c>
      <c r="Q621" s="232">
        <f t="shared" si="357"/>
        <v>0</v>
      </c>
      <c r="R621" s="232">
        <f t="shared" si="357"/>
        <v>0</v>
      </c>
      <c r="S621" s="232">
        <f t="shared" si="357"/>
        <v>0</v>
      </c>
      <c r="T621" s="232">
        <f t="shared" si="357"/>
        <v>0</v>
      </c>
      <c r="U621" s="232">
        <f t="shared" si="357"/>
        <v>0</v>
      </c>
      <c r="V621" s="232">
        <f t="shared" si="357"/>
        <v>0</v>
      </c>
      <c r="W621" s="232">
        <f t="shared" si="357"/>
        <v>0</v>
      </c>
      <c r="X621" s="232">
        <f t="shared" si="357"/>
        <v>0</v>
      </c>
      <c r="Y621" s="232">
        <f t="shared" si="357"/>
        <v>0</v>
      </c>
      <c r="Z621" s="232">
        <f t="shared" si="357"/>
        <v>0</v>
      </c>
      <c r="AA621" s="232">
        <f t="shared" si="357"/>
        <v>0</v>
      </c>
      <c r="AB621" s="232">
        <f t="shared" si="357"/>
        <v>0</v>
      </c>
      <c r="AC621" s="232">
        <f t="shared" si="357"/>
        <v>0</v>
      </c>
      <c r="AD621" s="232">
        <f t="shared" si="357"/>
        <v>0</v>
      </c>
      <c r="AE621" s="232">
        <f t="shared" si="357"/>
        <v>0</v>
      </c>
      <c r="AF621" s="232">
        <f t="shared" si="357"/>
        <v>0</v>
      </c>
      <c r="AG621" s="232">
        <f t="shared" si="357"/>
        <v>0</v>
      </c>
      <c r="AH621" s="232">
        <f t="shared" si="357"/>
        <v>0</v>
      </c>
      <c r="AI621" s="232">
        <f t="shared" si="357"/>
        <v>0</v>
      </c>
      <c r="AJ621" s="232">
        <f t="shared" si="357"/>
        <v>0</v>
      </c>
      <c r="AK621" s="232">
        <f t="shared" si="357"/>
        <v>0</v>
      </c>
      <c r="AL621" s="232">
        <f t="shared" si="357"/>
        <v>0</v>
      </c>
      <c r="AM621" s="232">
        <f t="shared" si="357"/>
        <v>0</v>
      </c>
      <c r="AN621" s="232">
        <f t="shared" si="357"/>
        <v>0</v>
      </c>
      <c r="AO621" s="232">
        <f t="shared" si="357"/>
        <v>0</v>
      </c>
      <c r="AP621" s="232">
        <f t="shared" si="357"/>
        <v>0</v>
      </c>
    </row>
    <row r="622" spans="1:42">
      <c r="A622" s="184" t="s">
        <v>127</v>
      </c>
      <c r="C622" s="203">
        <f>C$5</f>
        <v>17000000</v>
      </c>
      <c r="D622" s="203">
        <f t="shared" ref="D622:AP622" si="358">D$5</f>
        <v>16915000</v>
      </c>
      <c r="E622" s="203">
        <f t="shared" si="358"/>
        <v>16830425</v>
      </c>
      <c r="F622" s="203">
        <f t="shared" si="358"/>
        <v>16746272.875</v>
      </c>
      <c r="G622" s="203">
        <f t="shared" si="358"/>
        <v>16662541.510624999</v>
      </c>
      <c r="H622" s="203">
        <f t="shared" si="358"/>
        <v>16579228.803071873</v>
      </c>
      <c r="I622" s="203">
        <f t="shared" si="358"/>
        <v>16496332.659056515</v>
      </c>
      <c r="J622" s="203">
        <f t="shared" si="358"/>
        <v>16413850.995761232</v>
      </c>
      <c r="K622" s="203">
        <f t="shared" si="358"/>
        <v>16331781.740782427</v>
      </c>
      <c r="L622" s="203">
        <f t="shared" si="358"/>
        <v>16250122.832078515</v>
      </c>
      <c r="M622" s="203">
        <f t="shared" si="358"/>
        <v>16168872.217918122</v>
      </c>
      <c r="N622" s="203">
        <f t="shared" si="358"/>
        <v>16088027.856828531</v>
      </c>
      <c r="O622" s="203">
        <f t="shared" si="358"/>
        <v>16007587.717544388</v>
      </c>
      <c r="P622" s="203">
        <f t="shared" si="358"/>
        <v>15927549.778956667</v>
      </c>
      <c r="Q622" s="203">
        <f t="shared" si="358"/>
        <v>15847912.030061884</v>
      </c>
      <c r="R622" s="203">
        <f t="shared" si="358"/>
        <v>15768672.469911573</v>
      </c>
      <c r="S622" s="203">
        <f t="shared" si="358"/>
        <v>15689829.107562015</v>
      </c>
      <c r="T622" s="203">
        <f t="shared" si="358"/>
        <v>15611379.962024204</v>
      </c>
      <c r="U622" s="203">
        <f t="shared" si="358"/>
        <v>15533323.062214084</v>
      </c>
      <c r="V622" s="203">
        <f t="shared" si="358"/>
        <v>15455656.446903013</v>
      </c>
      <c r="W622" s="203">
        <f t="shared" si="358"/>
        <v>15378378.164668497</v>
      </c>
      <c r="X622" s="203">
        <f t="shared" si="358"/>
        <v>15301486.273845155</v>
      </c>
      <c r="Y622" s="203">
        <f t="shared" si="358"/>
        <v>15224978.842475928</v>
      </c>
      <c r="Z622" s="203">
        <f t="shared" si="358"/>
        <v>15148853.948263548</v>
      </c>
      <c r="AA622" s="203">
        <f t="shared" si="358"/>
        <v>15073109.678522231</v>
      </c>
      <c r="AB622" s="203">
        <f t="shared" si="358"/>
        <v>14997744.13012962</v>
      </c>
      <c r="AC622" s="203">
        <f t="shared" si="358"/>
        <v>14922755.409478972</v>
      </c>
      <c r="AD622" s="203">
        <f t="shared" si="358"/>
        <v>14848141.632431576</v>
      </c>
      <c r="AE622" s="203">
        <f t="shared" si="358"/>
        <v>14773900.924269417</v>
      </c>
      <c r="AF622" s="203">
        <f t="shared" si="358"/>
        <v>14700031.41964807</v>
      </c>
      <c r="AG622" s="203">
        <f t="shared" si="358"/>
        <v>0</v>
      </c>
      <c r="AH622" s="203">
        <f t="shared" si="358"/>
        <v>0</v>
      </c>
      <c r="AI622" s="203">
        <f t="shared" si="358"/>
        <v>0</v>
      </c>
      <c r="AJ622" s="203">
        <f t="shared" si="358"/>
        <v>0</v>
      </c>
      <c r="AK622" s="203">
        <f t="shared" si="358"/>
        <v>0</v>
      </c>
      <c r="AL622" s="203">
        <f t="shared" si="358"/>
        <v>0</v>
      </c>
      <c r="AM622" s="203">
        <f t="shared" si="358"/>
        <v>0</v>
      </c>
      <c r="AN622" s="203">
        <f t="shared" si="358"/>
        <v>0</v>
      </c>
      <c r="AO622" s="203">
        <f t="shared" si="358"/>
        <v>0</v>
      </c>
      <c r="AP622" s="203">
        <f t="shared" si="358"/>
        <v>0</v>
      </c>
    </row>
    <row r="623" spans="1:42">
      <c r="A623" s="184" t="s">
        <v>53</v>
      </c>
      <c r="C623" s="198">
        <f>C621*C622</f>
        <v>0</v>
      </c>
      <c r="D623" s="198">
        <f t="shared" ref="D623:AP623" si="359">D621*D622</f>
        <v>0</v>
      </c>
      <c r="E623" s="198">
        <f t="shared" si="359"/>
        <v>0</v>
      </c>
      <c r="F623" s="198">
        <f t="shared" si="359"/>
        <v>0</v>
      </c>
      <c r="G623" s="198">
        <f t="shared" si="359"/>
        <v>0</v>
      </c>
      <c r="H623" s="198">
        <f t="shared" si="359"/>
        <v>0</v>
      </c>
      <c r="I623" s="198">
        <f t="shared" si="359"/>
        <v>0</v>
      </c>
      <c r="J623" s="198">
        <f t="shared" si="359"/>
        <v>0</v>
      </c>
      <c r="K623" s="198">
        <f t="shared" si="359"/>
        <v>0</v>
      </c>
      <c r="L623" s="198">
        <f t="shared" si="359"/>
        <v>0</v>
      </c>
      <c r="M623" s="198">
        <f t="shared" si="359"/>
        <v>0</v>
      </c>
      <c r="N623" s="198">
        <f t="shared" si="359"/>
        <v>0</v>
      </c>
      <c r="O623" s="198">
        <f t="shared" si="359"/>
        <v>0</v>
      </c>
      <c r="P623" s="198">
        <f t="shared" si="359"/>
        <v>0</v>
      </c>
      <c r="Q623" s="198">
        <f t="shared" si="359"/>
        <v>0</v>
      </c>
      <c r="R623" s="198">
        <f t="shared" si="359"/>
        <v>0</v>
      </c>
      <c r="S623" s="198">
        <f t="shared" si="359"/>
        <v>0</v>
      </c>
      <c r="T623" s="198">
        <f t="shared" si="359"/>
        <v>0</v>
      </c>
      <c r="U623" s="198">
        <f t="shared" si="359"/>
        <v>0</v>
      </c>
      <c r="V623" s="198">
        <f t="shared" si="359"/>
        <v>0</v>
      </c>
      <c r="W623" s="198">
        <f t="shared" si="359"/>
        <v>0</v>
      </c>
      <c r="X623" s="198">
        <f t="shared" si="359"/>
        <v>0</v>
      </c>
      <c r="Y623" s="198">
        <f t="shared" si="359"/>
        <v>0</v>
      </c>
      <c r="Z623" s="198">
        <f t="shared" si="359"/>
        <v>0</v>
      </c>
      <c r="AA623" s="198">
        <f t="shared" si="359"/>
        <v>0</v>
      </c>
      <c r="AB623" s="198">
        <f t="shared" si="359"/>
        <v>0</v>
      </c>
      <c r="AC623" s="198">
        <f t="shared" si="359"/>
        <v>0</v>
      </c>
      <c r="AD623" s="198">
        <f t="shared" si="359"/>
        <v>0</v>
      </c>
      <c r="AE623" s="198">
        <f t="shared" si="359"/>
        <v>0</v>
      </c>
      <c r="AF623" s="198">
        <f t="shared" si="359"/>
        <v>0</v>
      </c>
      <c r="AG623" s="198">
        <f t="shared" si="359"/>
        <v>0</v>
      </c>
      <c r="AH623" s="198">
        <f t="shared" si="359"/>
        <v>0</v>
      </c>
      <c r="AI623" s="198">
        <f t="shared" si="359"/>
        <v>0</v>
      </c>
      <c r="AJ623" s="198">
        <f t="shared" si="359"/>
        <v>0</v>
      </c>
      <c r="AK623" s="198">
        <f t="shared" si="359"/>
        <v>0</v>
      </c>
      <c r="AL623" s="198">
        <f t="shared" si="359"/>
        <v>0</v>
      </c>
      <c r="AM623" s="198">
        <f t="shared" si="359"/>
        <v>0</v>
      </c>
      <c r="AN623" s="198">
        <f t="shared" si="359"/>
        <v>0</v>
      </c>
      <c r="AO623" s="198">
        <f t="shared" si="359"/>
        <v>0</v>
      </c>
      <c r="AP623" s="198">
        <f t="shared" si="359"/>
        <v>0</v>
      </c>
    </row>
    <row r="624" spans="1:42">
      <c r="A624" s="180" t="str">
        <f>'Inputs &amp; Results'!A69</f>
        <v>Utility</v>
      </c>
    </row>
    <row r="625" spans="1:42">
      <c r="A625" s="184" t="s">
        <v>126</v>
      </c>
      <c r="C625" s="232">
        <f t="shared" ref="C625:AP625" si="360">IF(AND(C$2&lt;=PBIUtilityTerm,C$2&lt;=AnalysisPeriod),PBIUtility*(1+PBIUtilityEsc)^B$2,0)</f>
        <v>0</v>
      </c>
      <c r="D625" s="232">
        <f t="shared" si="360"/>
        <v>0</v>
      </c>
      <c r="E625" s="232">
        <f t="shared" si="360"/>
        <v>0</v>
      </c>
      <c r="F625" s="232">
        <f t="shared" si="360"/>
        <v>0</v>
      </c>
      <c r="G625" s="232">
        <f t="shared" si="360"/>
        <v>0</v>
      </c>
      <c r="H625" s="232">
        <f t="shared" si="360"/>
        <v>0</v>
      </c>
      <c r="I625" s="232">
        <f t="shared" si="360"/>
        <v>0</v>
      </c>
      <c r="J625" s="232">
        <f t="shared" si="360"/>
        <v>0</v>
      </c>
      <c r="K625" s="232">
        <f t="shared" si="360"/>
        <v>0</v>
      </c>
      <c r="L625" s="232">
        <f t="shared" si="360"/>
        <v>0</v>
      </c>
      <c r="M625" s="232">
        <f t="shared" si="360"/>
        <v>0</v>
      </c>
      <c r="N625" s="232">
        <f t="shared" si="360"/>
        <v>0</v>
      </c>
      <c r="O625" s="232">
        <f t="shared" si="360"/>
        <v>0</v>
      </c>
      <c r="P625" s="232">
        <f t="shared" si="360"/>
        <v>0</v>
      </c>
      <c r="Q625" s="232">
        <f t="shared" si="360"/>
        <v>0</v>
      </c>
      <c r="R625" s="232">
        <f t="shared" si="360"/>
        <v>0</v>
      </c>
      <c r="S625" s="232">
        <f t="shared" si="360"/>
        <v>0</v>
      </c>
      <c r="T625" s="232">
        <f t="shared" si="360"/>
        <v>0</v>
      </c>
      <c r="U625" s="232">
        <f t="shared" si="360"/>
        <v>0</v>
      </c>
      <c r="V625" s="232">
        <f t="shared" si="360"/>
        <v>0</v>
      </c>
      <c r="W625" s="232">
        <f t="shared" si="360"/>
        <v>0</v>
      </c>
      <c r="X625" s="232">
        <f t="shared" si="360"/>
        <v>0</v>
      </c>
      <c r="Y625" s="232">
        <f t="shared" si="360"/>
        <v>0</v>
      </c>
      <c r="Z625" s="232">
        <f t="shared" si="360"/>
        <v>0</v>
      </c>
      <c r="AA625" s="232">
        <f t="shared" si="360"/>
        <v>0</v>
      </c>
      <c r="AB625" s="232">
        <f t="shared" si="360"/>
        <v>0</v>
      </c>
      <c r="AC625" s="232">
        <f t="shared" si="360"/>
        <v>0</v>
      </c>
      <c r="AD625" s="232">
        <f t="shared" si="360"/>
        <v>0</v>
      </c>
      <c r="AE625" s="232">
        <f t="shared" si="360"/>
        <v>0</v>
      </c>
      <c r="AF625" s="232">
        <f t="shared" si="360"/>
        <v>0</v>
      </c>
      <c r="AG625" s="232">
        <f t="shared" si="360"/>
        <v>0</v>
      </c>
      <c r="AH625" s="232">
        <f t="shared" si="360"/>
        <v>0</v>
      </c>
      <c r="AI625" s="232">
        <f t="shared" si="360"/>
        <v>0</v>
      </c>
      <c r="AJ625" s="232">
        <f t="shared" si="360"/>
        <v>0</v>
      </c>
      <c r="AK625" s="232">
        <f t="shared" si="360"/>
        <v>0</v>
      </c>
      <c r="AL625" s="232">
        <f t="shared" si="360"/>
        <v>0</v>
      </c>
      <c r="AM625" s="232">
        <f t="shared" si="360"/>
        <v>0</v>
      </c>
      <c r="AN625" s="232">
        <f t="shared" si="360"/>
        <v>0</v>
      </c>
      <c r="AO625" s="232">
        <f t="shared" si="360"/>
        <v>0</v>
      </c>
      <c r="AP625" s="232">
        <f t="shared" si="360"/>
        <v>0</v>
      </c>
    </row>
    <row r="626" spans="1:42">
      <c r="A626" s="184" t="s">
        <v>127</v>
      </c>
      <c r="C626" s="203">
        <f>C$5</f>
        <v>17000000</v>
      </c>
      <c r="D626" s="203">
        <f t="shared" ref="D626:AP626" si="361">D$5</f>
        <v>16915000</v>
      </c>
      <c r="E626" s="203">
        <f t="shared" si="361"/>
        <v>16830425</v>
      </c>
      <c r="F626" s="203">
        <f t="shared" si="361"/>
        <v>16746272.875</v>
      </c>
      <c r="G626" s="203">
        <f t="shared" si="361"/>
        <v>16662541.510624999</v>
      </c>
      <c r="H626" s="203">
        <f t="shared" si="361"/>
        <v>16579228.803071873</v>
      </c>
      <c r="I626" s="203">
        <f t="shared" si="361"/>
        <v>16496332.659056515</v>
      </c>
      <c r="J626" s="203">
        <f t="shared" si="361"/>
        <v>16413850.995761232</v>
      </c>
      <c r="K626" s="203">
        <f t="shared" si="361"/>
        <v>16331781.740782427</v>
      </c>
      <c r="L626" s="203">
        <f t="shared" si="361"/>
        <v>16250122.832078515</v>
      </c>
      <c r="M626" s="203">
        <f t="shared" si="361"/>
        <v>16168872.217918122</v>
      </c>
      <c r="N626" s="203">
        <f t="shared" si="361"/>
        <v>16088027.856828531</v>
      </c>
      <c r="O626" s="203">
        <f t="shared" si="361"/>
        <v>16007587.717544388</v>
      </c>
      <c r="P626" s="203">
        <f t="shared" si="361"/>
        <v>15927549.778956667</v>
      </c>
      <c r="Q626" s="203">
        <f t="shared" si="361"/>
        <v>15847912.030061884</v>
      </c>
      <c r="R626" s="203">
        <f t="shared" si="361"/>
        <v>15768672.469911573</v>
      </c>
      <c r="S626" s="203">
        <f t="shared" si="361"/>
        <v>15689829.107562015</v>
      </c>
      <c r="T626" s="203">
        <f t="shared" si="361"/>
        <v>15611379.962024204</v>
      </c>
      <c r="U626" s="203">
        <f t="shared" si="361"/>
        <v>15533323.062214084</v>
      </c>
      <c r="V626" s="203">
        <f t="shared" si="361"/>
        <v>15455656.446903013</v>
      </c>
      <c r="W626" s="203">
        <f t="shared" si="361"/>
        <v>15378378.164668497</v>
      </c>
      <c r="X626" s="203">
        <f t="shared" si="361"/>
        <v>15301486.273845155</v>
      </c>
      <c r="Y626" s="203">
        <f t="shared" si="361"/>
        <v>15224978.842475928</v>
      </c>
      <c r="Z626" s="203">
        <f t="shared" si="361"/>
        <v>15148853.948263548</v>
      </c>
      <c r="AA626" s="203">
        <f t="shared" si="361"/>
        <v>15073109.678522231</v>
      </c>
      <c r="AB626" s="203">
        <f t="shared" si="361"/>
        <v>14997744.13012962</v>
      </c>
      <c r="AC626" s="203">
        <f t="shared" si="361"/>
        <v>14922755.409478972</v>
      </c>
      <c r="AD626" s="203">
        <f t="shared" si="361"/>
        <v>14848141.632431576</v>
      </c>
      <c r="AE626" s="203">
        <f t="shared" si="361"/>
        <v>14773900.924269417</v>
      </c>
      <c r="AF626" s="203">
        <f t="shared" si="361"/>
        <v>14700031.41964807</v>
      </c>
      <c r="AG626" s="203">
        <f t="shared" si="361"/>
        <v>0</v>
      </c>
      <c r="AH626" s="203">
        <f t="shared" si="361"/>
        <v>0</v>
      </c>
      <c r="AI626" s="203">
        <f t="shared" si="361"/>
        <v>0</v>
      </c>
      <c r="AJ626" s="203">
        <f t="shared" si="361"/>
        <v>0</v>
      </c>
      <c r="AK626" s="203">
        <f t="shared" si="361"/>
        <v>0</v>
      </c>
      <c r="AL626" s="203">
        <f t="shared" si="361"/>
        <v>0</v>
      </c>
      <c r="AM626" s="203">
        <f t="shared" si="361"/>
        <v>0</v>
      </c>
      <c r="AN626" s="203">
        <f t="shared" si="361"/>
        <v>0</v>
      </c>
      <c r="AO626" s="203">
        <f t="shared" si="361"/>
        <v>0</v>
      </c>
      <c r="AP626" s="203">
        <f t="shared" si="361"/>
        <v>0</v>
      </c>
    </row>
    <row r="627" spans="1:42">
      <c r="A627" s="184" t="s">
        <v>53</v>
      </c>
      <c r="C627" s="198">
        <f>C625*C626</f>
        <v>0</v>
      </c>
      <c r="D627" s="198">
        <f t="shared" ref="D627:AP627" si="362">D625*D626</f>
        <v>0</v>
      </c>
      <c r="E627" s="198">
        <f t="shared" si="362"/>
        <v>0</v>
      </c>
      <c r="F627" s="198">
        <f t="shared" si="362"/>
        <v>0</v>
      </c>
      <c r="G627" s="198">
        <f t="shared" si="362"/>
        <v>0</v>
      </c>
      <c r="H627" s="198">
        <f t="shared" si="362"/>
        <v>0</v>
      </c>
      <c r="I627" s="198">
        <f t="shared" si="362"/>
        <v>0</v>
      </c>
      <c r="J627" s="198">
        <f t="shared" si="362"/>
        <v>0</v>
      </c>
      <c r="K627" s="198">
        <f t="shared" si="362"/>
        <v>0</v>
      </c>
      <c r="L627" s="198">
        <f t="shared" si="362"/>
        <v>0</v>
      </c>
      <c r="M627" s="198">
        <f t="shared" si="362"/>
        <v>0</v>
      </c>
      <c r="N627" s="198">
        <f t="shared" si="362"/>
        <v>0</v>
      </c>
      <c r="O627" s="198">
        <f t="shared" si="362"/>
        <v>0</v>
      </c>
      <c r="P627" s="198">
        <f t="shared" si="362"/>
        <v>0</v>
      </c>
      <c r="Q627" s="198">
        <f t="shared" si="362"/>
        <v>0</v>
      </c>
      <c r="R627" s="198">
        <f t="shared" si="362"/>
        <v>0</v>
      </c>
      <c r="S627" s="198">
        <f t="shared" si="362"/>
        <v>0</v>
      </c>
      <c r="T627" s="198">
        <f t="shared" si="362"/>
        <v>0</v>
      </c>
      <c r="U627" s="198">
        <f t="shared" si="362"/>
        <v>0</v>
      </c>
      <c r="V627" s="198">
        <f t="shared" si="362"/>
        <v>0</v>
      </c>
      <c r="W627" s="198">
        <f t="shared" si="362"/>
        <v>0</v>
      </c>
      <c r="X627" s="198">
        <f t="shared" si="362"/>
        <v>0</v>
      </c>
      <c r="Y627" s="198">
        <f t="shared" si="362"/>
        <v>0</v>
      </c>
      <c r="Z627" s="198">
        <f t="shared" si="362"/>
        <v>0</v>
      </c>
      <c r="AA627" s="198">
        <f t="shared" si="362"/>
        <v>0</v>
      </c>
      <c r="AB627" s="198">
        <f t="shared" si="362"/>
        <v>0</v>
      </c>
      <c r="AC627" s="198">
        <f t="shared" si="362"/>
        <v>0</v>
      </c>
      <c r="AD627" s="198">
        <f t="shared" si="362"/>
        <v>0</v>
      </c>
      <c r="AE627" s="198">
        <f t="shared" si="362"/>
        <v>0</v>
      </c>
      <c r="AF627" s="198">
        <f t="shared" si="362"/>
        <v>0</v>
      </c>
      <c r="AG627" s="198">
        <f t="shared" si="362"/>
        <v>0</v>
      </c>
      <c r="AH627" s="198">
        <f t="shared" si="362"/>
        <v>0</v>
      </c>
      <c r="AI627" s="198">
        <f t="shared" si="362"/>
        <v>0</v>
      </c>
      <c r="AJ627" s="198">
        <f t="shared" si="362"/>
        <v>0</v>
      </c>
      <c r="AK627" s="198">
        <f t="shared" si="362"/>
        <v>0</v>
      </c>
      <c r="AL627" s="198">
        <f t="shared" si="362"/>
        <v>0</v>
      </c>
      <c r="AM627" s="198">
        <f t="shared" si="362"/>
        <v>0</v>
      </c>
      <c r="AN627" s="198">
        <f t="shared" si="362"/>
        <v>0</v>
      </c>
      <c r="AO627" s="198">
        <f t="shared" si="362"/>
        <v>0</v>
      </c>
      <c r="AP627" s="198">
        <f t="shared" si="362"/>
        <v>0</v>
      </c>
    </row>
    <row r="628" spans="1:42">
      <c r="A628" s="180" t="str">
        <f>'Inputs &amp; Results'!A70</f>
        <v>Other</v>
      </c>
    </row>
    <row r="629" spans="1:42">
      <c r="A629" s="184" t="s">
        <v>126</v>
      </c>
      <c r="C629" s="234">
        <f t="shared" ref="C629:AP629" si="363">IF(AND(C$2&lt;=PBIOtherTerm,C$2&lt;=AnalysisPeriod),PBIOther*(1+PBIOtherEsc)^B$2,0)</f>
        <v>0</v>
      </c>
      <c r="D629" s="234">
        <f t="shared" si="363"/>
        <v>0</v>
      </c>
      <c r="E629" s="234">
        <f t="shared" si="363"/>
        <v>0</v>
      </c>
      <c r="F629" s="234">
        <f t="shared" si="363"/>
        <v>0</v>
      </c>
      <c r="G629" s="234">
        <f t="shared" si="363"/>
        <v>0</v>
      </c>
      <c r="H629" s="234">
        <f t="shared" si="363"/>
        <v>0</v>
      </c>
      <c r="I629" s="234">
        <f t="shared" si="363"/>
        <v>0</v>
      </c>
      <c r="J629" s="234">
        <f t="shared" si="363"/>
        <v>0</v>
      </c>
      <c r="K629" s="234">
        <f t="shared" si="363"/>
        <v>0</v>
      </c>
      <c r="L629" s="234">
        <f t="shared" si="363"/>
        <v>0</v>
      </c>
      <c r="M629" s="234">
        <f t="shared" si="363"/>
        <v>0</v>
      </c>
      <c r="N629" s="234">
        <f t="shared" si="363"/>
        <v>0</v>
      </c>
      <c r="O629" s="234">
        <f t="shared" si="363"/>
        <v>0</v>
      </c>
      <c r="P629" s="234">
        <f t="shared" si="363"/>
        <v>0</v>
      </c>
      <c r="Q629" s="234">
        <f t="shared" si="363"/>
        <v>0</v>
      </c>
      <c r="R629" s="234">
        <f t="shared" si="363"/>
        <v>0</v>
      </c>
      <c r="S629" s="234">
        <f t="shared" si="363"/>
        <v>0</v>
      </c>
      <c r="T629" s="234">
        <f t="shared" si="363"/>
        <v>0</v>
      </c>
      <c r="U629" s="234">
        <f t="shared" si="363"/>
        <v>0</v>
      </c>
      <c r="V629" s="234">
        <f t="shared" si="363"/>
        <v>0</v>
      </c>
      <c r="W629" s="234">
        <f t="shared" si="363"/>
        <v>0</v>
      </c>
      <c r="X629" s="234">
        <f t="shared" si="363"/>
        <v>0</v>
      </c>
      <c r="Y629" s="234">
        <f t="shared" si="363"/>
        <v>0</v>
      </c>
      <c r="Z629" s="234">
        <f t="shared" si="363"/>
        <v>0</v>
      </c>
      <c r="AA629" s="234">
        <f t="shared" si="363"/>
        <v>0</v>
      </c>
      <c r="AB629" s="234">
        <f t="shared" si="363"/>
        <v>0</v>
      </c>
      <c r="AC629" s="234">
        <f t="shared" si="363"/>
        <v>0</v>
      </c>
      <c r="AD629" s="234">
        <f t="shared" si="363"/>
        <v>0</v>
      </c>
      <c r="AE629" s="234">
        <f t="shared" si="363"/>
        <v>0</v>
      </c>
      <c r="AF629" s="234">
        <f t="shared" si="363"/>
        <v>0</v>
      </c>
      <c r="AG629" s="234">
        <f t="shared" si="363"/>
        <v>0</v>
      </c>
      <c r="AH629" s="234">
        <f t="shared" si="363"/>
        <v>0</v>
      </c>
      <c r="AI629" s="234">
        <f t="shared" si="363"/>
        <v>0</v>
      </c>
      <c r="AJ629" s="234">
        <f t="shared" si="363"/>
        <v>0</v>
      </c>
      <c r="AK629" s="234">
        <f t="shared" si="363"/>
        <v>0</v>
      </c>
      <c r="AL629" s="234">
        <f t="shared" si="363"/>
        <v>0</v>
      </c>
      <c r="AM629" s="234">
        <f t="shared" si="363"/>
        <v>0</v>
      </c>
      <c r="AN629" s="234">
        <f t="shared" si="363"/>
        <v>0</v>
      </c>
      <c r="AO629" s="234">
        <f t="shared" si="363"/>
        <v>0</v>
      </c>
      <c r="AP629" s="234">
        <f t="shared" si="363"/>
        <v>0</v>
      </c>
    </row>
    <row r="630" spans="1:42">
      <c r="A630" s="184" t="s">
        <v>127</v>
      </c>
      <c r="C630" s="203">
        <f>C$5</f>
        <v>17000000</v>
      </c>
      <c r="D630" s="203">
        <f t="shared" ref="D630:AP630" si="364">D$5</f>
        <v>16915000</v>
      </c>
      <c r="E630" s="203">
        <f t="shared" si="364"/>
        <v>16830425</v>
      </c>
      <c r="F630" s="203">
        <f t="shared" si="364"/>
        <v>16746272.875</v>
      </c>
      <c r="G630" s="203">
        <f t="shared" si="364"/>
        <v>16662541.510624999</v>
      </c>
      <c r="H630" s="203">
        <f t="shared" si="364"/>
        <v>16579228.803071873</v>
      </c>
      <c r="I630" s="203">
        <f t="shared" si="364"/>
        <v>16496332.659056515</v>
      </c>
      <c r="J630" s="203">
        <f t="shared" si="364"/>
        <v>16413850.995761232</v>
      </c>
      <c r="K630" s="203">
        <f t="shared" si="364"/>
        <v>16331781.740782427</v>
      </c>
      <c r="L630" s="203">
        <f t="shared" si="364"/>
        <v>16250122.832078515</v>
      </c>
      <c r="M630" s="203">
        <f t="shared" si="364"/>
        <v>16168872.217918122</v>
      </c>
      <c r="N630" s="203">
        <f t="shared" si="364"/>
        <v>16088027.856828531</v>
      </c>
      <c r="O630" s="203">
        <f t="shared" si="364"/>
        <v>16007587.717544388</v>
      </c>
      <c r="P630" s="203">
        <f t="shared" si="364"/>
        <v>15927549.778956667</v>
      </c>
      <c r="Q630" s="203">
        <f t="shared" si="364"/>
        <v>15847912.030061884</v>
      </c>
      <c r="R630" s="203">
        <f t="shared" si="364"/>
        <v>15768672.469911573</v>
      </c>
      <c r="S630" s="203">
        <f t="shared" si="364"/>
        <v>15689829.107562015</v>
      </c>
      <c r="T630" s="203">
        <f t="shared" si="364"/>
        <v>15611379.962024204</v>
      </c>
      <c r="U630" s="203">
        <f t="shared" si="364"/>
        <v>15533323.062214084</v>
      </c>
      <c r="V630" s="203">
        <f t="shared" si="364"/>
        <v>15455656.446903013</v>
      </c>
      <c r="W630" s="203">
        <f t="shared" si="364"/>
        <v>15378378.164668497</v>
      </c>
      <c r="X630" s="203">
        <f t="shared" si="364"/>
        <v>15301486.273845155</v>
      </c>
      <c r="Y630" s="203">
        <f t="shared" si="364"/>
        <v>15224978.842475928</v>
      </c>
      <c r="Z630" s="203">
        <f t="shared" si="364"/>
        <v>15148853.948263548</v>
      </c>
      <c r="AA630" s="203">
        <f t="shared" si="364"/>
        <v>15073109.678522231</v>
      </c>
      <c r="AB630" s="203">
        <f t="shared" si="364"/>
        <v>14997744.13012962</v>
      </c>
      <c r="AC630" s="203">
        <f t="shared" si="364"/>
        <v>14922755.409478972</v>
      </c>
      <c r="AD630" s="203">
        <f t="shared" si="364"/>
        <v>14848141.632431576</v>
      </c>
      <c r="AE630" s="203">
        <f t="shared" si="364"/>
        <v>14773900.924269417</v>
      </c>
      <c r="AF630" s="203">
        <f t="shared" si="364"/>
        <v>14700031.41964807</v>
      </c>
      <c r="AG630" s="203">
        <f t="shared" si="364"/>
        <v>0</v>
      </c>
      <c r="AH630" s="203">
        <f t="shared" si="364"/>
        <v>0</v>
      </c>
      <c r="AI630" s="203">
        <f t="shared" si="364"/>
        <v>0</v>
      </c>
      <c r="AJ630" s="203">
        <f t="shared" si="364"/>
        <v>0</v>
      </c>
      <c r="AK630" s="203">
        <f t="shared" si="364"/>
        <v>0</v>
      </c>
      <c r="AL630" s="203">
        <f t="shared" si="364"/>
        <v>0</v>
      </c>
      <c r="AM630" s="203">
        <f t="shared" si="364"/>
        <v>0</v>
      </c>
      <c r="AN630" s="203">
        <f t="shared" si="364"/>
        <v>0</v>
      </c>
      <c r="AO630" s="203">
        <f t="shared" si="364"/>
        <v>0</v>
      </c>
      <c r="AP630" s="203">
        <f t="shared" si="364"/>
        <v>0</v>
      </c>
    </row>
    <row r="631" spans="1:42">
      <c r="A631" s="184" t="s">
        <v>53</v>
      </c>
      <c r="C631" s="198">
        <f>C629*C630</f>
        <v>0</v>
      </c>
      <c r="D631" s="198">
        <f t="shared" ref="D631:AP631" si="365">D629*D630</f>
        <v>0</v>
      </c>
      <c r="E631" s="198">
        <f t="shared" si="365"/>
        <v>0</v>
      </c>
      <c r="F631" s="198">
        <f t="shared" si="365"/>
        <v>0</v>
      </c>
      <c r="G631" s="198">
        <f t="shared" si="365"/>
        <v>0</v>
      </c>
      <c r="H631" s="198">
        <f t="shared" si="365"/>
        <v>0</v>
      </c>
      <c r="I631" s="198">
        <f t="shared" si="365"/>
        <v>0</v>
      </c>
      <c r="J631" s="198">
        <f t="shared" si="365"/>
        <v>0</v>
      </c>
      <c r="K631" s="198">
        <f t="shared" si="365"/>
        <v>0</v>
      </c>
      <c r="L631" s="198">
        <f t="shared" si="365"/>
        <v>0</v>
      </c>
      <c r="M631" s="198">
        <f t="shared" si="365"/>
        <v>0</v>
      </c>
      <c r="N631" s="198">
        <f t="shared" si="365"/>
        <v>0</v>
      </c>
      <c r="O631" s="198">
        <f t="shared" si="365"/>
        <v>0</v>
      </c>
      <c r="P631" s="198">
        <f t="shared" si="365"/>
        <v>0</v>
      </c>
      <c r="Q631" s="198">
        <f t="shared" si="365"/>
        <v>0</v>
      </c>
      <c r="R631" s="198">
        <f t="shared" si="365"/>
        <v>0</v>
      </c>
      <c r="S631" s="198">
        <f t="shared" si="365"/>
        <v>0</v>
      </c>
      <c r="T631" s="198">
        <f t="shared" si="365"/>
        <v>0</v>
      </c>
      <c r="U631" s="198">
        <f t="shared" si="365"/>
        <v>0</v>
      </c>
      <c r="V631" s="198">
        <f t="shared" si="365"/>
        <v>0</v>
      </c>
      <c r="W631" s="198">
        <f t="shared" si="365"/>
        <v>0</v>
      </c>
      <c r="X631" s="198">
        <f t="shared" si="365"/>
        <v>0</v>
      </c>
      <c r="Y631" s="198">
        <f t="shared" si="365"/>
        <v>0</v>
      </c>
      <c r="Z631" s="198">
        <f t="shared" si="365"/>
        <v>0</v>
      </c>
      <c r="AA631" s="198">
        <f t="shared" si="365"/>
        <v>0</v>
      </c>
      <c r="AB631" s="198">
        <f t="shared" si="365"/>
        <v>0</v>
      </c>
      <c r="AC631" s="198">
        <f t="shared" si="365"/>
        <v>0</v>
      </c>
      <c r="AD631" s="198">
        <f t="shared" si="365"/>
        <v>0</v>
      </c>
      <c r="AE631" s="198">
        <f t="shared" si="365"/>
        <v>0</v>
      </c>
      <c r="AF631" s="198">
        <f t="shared" si="365"/>
        <v>0</v>
      </c>
      <c r="AG631" s="198">
        <f t="shared" si="365"/>
        <v>0</v>
      </c>
      <c r="AH631" s="198">
        <f t="shared" si="365"/>
        <v>0</v>
      </c>
      <c r="AI631" s="198">
        <f t="shared" si="365"/>
        <v>0</v>
      </c>
      <c r="AJ631" s="198">
        <f t="shared" si="365"/>
        <v>0</v>
      </c>
      <c r="AK631" s="198">
        <f t="shared" si="365"/>
        <v>0</v>
      </c>
      <c r="AL631" s="198">
        <f t="shared" si="365"/>
        <v>0</v>
      </c>
      <c r="AM631" s="198">
        <f t="shared" si="365"/>
        <v>0</v>
      </c>
      <c r="AN631" s="198">
        <f t="shared" si="365"/>
        <v>0</v>
      </c>
      <c r="AO631" s="198">
        <f t="shared" si="365"/>
        <v>0</v>
      </c>
      <c r="AP631" s="198">
        <f t="shared" si="365"/>
        <v>0</v>
      </c>
    </row>
    <row r="632" spans="1:42">
      <c r="C632" s="186"/>
      <c r="D632" s="186"/>
      <c r="E632" s="186"/>
      <c r="F632" s="186"/>
      <c r="G632" s="186"/>
      <c r="H632" s="186"/>
      <c r="I632" s="186"/>
      <c r="J632" s="186"/>
      <c r="K632" s="186"/>
      <c r="L632" s="186"/>
      <c r="M632" s="186"/>
      <c r="N632" s="186"/>
      <c r="O632" s="186"/>
      <c r="P632" s="186"/>
      <c r="Q632" s="186"/>
      <c r="R632" s="186"/>
      <c r="S632" s="186"/>
      <c r="T632" s="186"/>
      <c r="U632" s="186"/>
      <c r="V632" s="186"/>
      <c r="W632" s="186"/>
      <c r="X632" s="186"/>
      <c r="Y632" s="186"/>
      <c r="Z632" s="186"/>
      <c r="AA632" s="186"/>
      <c r="AB632" s="186"/>
      <c r="AC632" s="186"/>
      <c r="AD632" s="186"/>
      <c r="AE632" s="186"/>
      <c r="AF632" s="186"/>
      <c r="AG632" s="186"/>
      <c r="AH632" s="186"/>
      <c r="AI632" s="186"/>
      <c r="AJ632" s="186"/>
      <c r="AK632" s="186"/>
      <c r="AL632" s="186"/>
      <c r="AM632" s="186"/>
      <c r="AN632" s="186"/>
      <c r="AO632" s="186"/>
      <c r="AP632" s="186"/>
    </row>
    <row r="633" spans="1:42">
      <c r="A633" s="37" t="s">
        <v>53</v>
      </c>
      <c r="C633" s="194">
        <f>C619+C623+C627+C631</f>
        <v>0</v>
      </c>
      <c r="D633" s="194">
        <f t="shared" ref="D633:AP633" si="366">D619+D623+D627+D631</f>
        <v>0</v>
      </c>
      <c r="E633" s="194">
        <f t="shared" si="366"/>
        <v>0</v>
      </c>
      <c r="F633" s="194">
        <f t="shared" si="366"/>
        <v>0</v>
      </c>
      <c r="G633" s="194">
        <f t="shared" si="366"/>
        <v>0</v>
      </c>
      <c r="H633" s="194">
        <f t="shared" si="366"/>
        <v>0</v>
      </c>
      <c r="I633" s="194">
        <f t="shared" si="366"/>
        <v>0</v>
      </c>
      <c r="J633" s="194">
        <f t="shared" si="366"/>
        <v>0</v>
      </c>
      <c r="K633" s="194">
        <f t="shared" si="366"/>
        <v>0</v>
      </c>
      <c r="L633" s="194">
        <f t="shared" si="366"/>
        <v>0</v>
      </c>
      <c r="M633" s="194">
        <f t="shared" si="366"/>
        <v>0</v>
      </c>
      <c r="N633" s="194">
        <f t="shared" si="366"/>
        <v>0</v>
      </c>
      <c r="O633" s="194">
        <f t="shared" si="366"/>
        <v>0</v>
      </c>
      <c r="P633" s="194">
        <f t="shared" si="366"/>
        <v>0</v>
      </c>
      <c r="Q633" s="194">
        <f t="shared" si="366"/>
        <v>0</v>
      </c>
      <c r="R633" s="194">
        <f t="shared" si="366"/>
        <v>0</v>
      </c>
      <c r="S633" s="194">
        <f t="shared" si="366"/>
        <v>0</v>
      </c>
      <c r="T633" s="194">
        <f t="shared" si="366"/>
        <v>0</v>
      </c>
      <c r="U633" s="194">
        <f t="shared" si="366"/>
        <v>0</v>
      </c>
      <c r="V633" s="194">
        <f t="shared" si="366"/>
        <v>0</v>
      </c>
      <c r="W633" s="194">
        <f t="shared" si="366"/>
        <v>0</v>
      </c>
      <c r="X633" s="194">
        <f t="shared" si="366"/>
        <v>0</v>
      </c>
      <c r="Y633" s="194">
        <f t="shared" si="366"/>
        <v>0</v>
      </c>
      <c r="Z633" s="194">
        <f t="shared" si="366"/>
        <v>0</v>
      </c>
      <c r="AA633" s="194">
        <f t="shared" si="366"/>
        <v>0</v>
      </c>
      <c r="AB633" s="194">
        <f t="shared" si="366"/>
        <v>0</v>
      </c>
      <c r="AC633" s="194">
        <f t="shared" si="366"/>
        <v>0</v>
      </c>
      <c r="AD633" s="194">
        <f t="shared" si="366"/>
        <v>0</v>
      </c>
      <c r="AE633" s="194">
        <f t="shared" si="366"/>
        <v>0</v>
      </c>
      <c r="AF633" s="194">
        <f t="shared" si="366"/>
        <v>0</v>
      </c>
      <c r="AG633" s="194">
        <f t="shared" si="366"/>
        <v>0</v>
      </c>
      <c r="AH633" s="194">
        <f t="shared" si="366"/>
        <v>0</v>
      </c>
      <c r="AI633" s="194">
        <f t="shared" si="366"/>
        <v>0</v>
      </c>
      <c r="AJ633" s="194">
        <f t="shared" si="366"/>
        <v>0</v>
      </c>
      <c r="AK633" s="194">
        <f t="shared" si="366"/>
        <v>0</v>
      </c>
      <c r="AL633" s="194">
        <f t="shared" si="366"/>
        <v>0</v>
      </c>
      <c r="AM633" s="194">
        <f t="shared" si="366"/>
        <v>0</v>
      </c>
      <c r="AN633" s="194">
        <f t="shared" si="366"/>
        <v>0</v>
      </c>
      <c r="AO633" s="194">
        <f t="shared" si="366"/>
        <v>0</v>
      </c>
      <c r="AP633" s="194">
        <f t="shared" si="366"/>
        <v>0</v>
      </c>
    </row>
    <row r="635" spans="1:42">
      <c r="A635" s="179" t="s">
        <v>192</v>
      </c>
      <c r="B635" s="152"/>
      <c r="C635" s="152"/>
      <c r="D635" s="152"/>
      <c r="E635" s="152"/>
      <c r="F635" s="152"/>
      <c r="G635" s="186"/>
      <c r="H635" s="186"/>
      <c r="I635" s="186"/>
      <c r="J635" s="186"/>
      <c r="K635" s="186"/>
      <c r="L635" s="186"/>
      <c r="M635" s="186"/>
      <c r="N635" s="186"/>
      <c r="O635" s="186"/>
      <c r="P635" s="186"/>
      <c r="Q635" s="186"/>
      <c r="R635" s="186"/>
      <c r="S635" s="186"/>
      <c r="T635" s="186"/>
      <c r="U635" s="186"/>
      <c r="V635" s="186"/>
      <c r="W635" s="186"/>
      <c r="X635" s="186"/>
      <c r="Y635" s="186"/>
      <c r="Z635" s="186"/>
      <c r="AA635" s="186"/>
      <c r="AB635" s="186"/>
      <c r="AC635" s="186"/>
      <c r="AD635" s="186"/>
      <c r="AE635" s="186"/>
      <c r="AF635" s="186"/>
      <c r="AG635" s="186"/>
      <c r="AH635" s="186"/>
      <c r="AI635" s="186"/>
      <c r="AJ635" s="186"/>
      <c r="AK635" s="186"/>
      <c r="AL635" s="186"/>
      <c r="AM635" s="186"/>
      <c r="AN635" s="186"/>
      <c r="AO635" s="186"/>
      <c r="AP635" s="186"/>
    </row>
    <row r="636" spans="1:42" s="118" customFormat="1">
      <c r="A636" s="274" t="str">
        <f>'Inputs &amp; Results'!A152</f>
        <v>Working Capital Reserve</v>
      </c>
      <c r="C636" s="198"/>
      <c r="D636" s="198"/>
      <c r="E636" s="198"/>
      <c r="F636" s="198"/>
      <c r="G636" s="198"/>
      <c r="H636" s="198"/>
      <c r="I636" s="198"/>
      <c r="J636" s="198"/>
      <c r="K636" s="198"/>
      <c r="L636" s="198"/>
      <c r="M636" s="198"/>
      <c r="N636" s="198"/>
      <c r="O636" s="198"/>
      <c r="P636" s="198"/>
      <c r="Q636" s="198"/>
      <c r="R636" s="198"/>
      <c r="S636" s="198"/>
      <c r="T636" s="198"/>
      <c r="U636" s="198"/>
      <c r="V636" s="198"/>
      <c r="W636" s="198"/>
      <c r="X636" s="198"/>
      <c r="Y636" s="198"/>
      <c r="Z636" s="198"/>
      <c r="AA636" s="198"/>
      <c r="AB636" s="198"/>
      <c r="AC636" s="198"/>
      <c r="AD636" s="198"/>
      <c r="AE636" s="198"/>
      <c r="AF636" s="198"/>
      <c r="AG636" s="198"/>
      <c r="AH636" s="198"/>
      <c r="AI636" s="198"/>
      <c r="AJ636" s="198"/>
      <c r="AK636" s="198"/>
      <c r="AL636" s="198"/>
      <c r="AM636" s="198"/>
      <c r="AN636" s="198"/>
      <c r="AO636" s="198"/>
      <c r="AP636" s="198"/>
    </row>
    <row r="637" spans="1:42" s="118" customFormat="1">
      <c r="A637" s="118" t="s">
        <v>99</v>
      </c>
      <c r="B637" s="198">
        <v>0</v>
      </c>
      <c r="C637" s="198">
        <f>B640</f>
        <v>350000</v>
      </c>
      <c r="D637" s="198">
        <f t="shared" ref="D637:AP637" si="367">C640</f>
        <v>350000</v>
      </c>
      <c r="E637" s="198">
        <f t="shared" si="367"/>
        <v>350000</v>
      </c>
      <c r="F637" s="198">
        <f t="shared" si="367"/>
        <v>350000</v>
      </c>
      <c r="G637" s="198">
        <f t="shared" si="367"/>
        <v>350000</v>
      </c>
      <c r="H637" s="198">
        <f t="shared" si="367"/>
        <v>350000</v>
      </c>
      <c r="I637" s="198">
        <f t="shared" si="367"/>
        <v>350000</v>
      </c>
      <c r="J637" s="198">
        <f t="shared" si="367"/>
        <v>350000</v>
      </c>
      <c r="K637" s="198">
        <f t="shared" si="367"/>
        <v>350000</v>
      </c>
      <c r="L637" s="198">
        <f t="shared" si="367"/>
        <v>350000</v>
      </c>
      <c r="M637" s="198">
        <f t="shared" si="367"/>
        <v>350000</v>
      </c>
      <c r="N637" s="198">
        <f t="shared" si="367"/>
        <v>350000</v>
      </c>
      <c r="O637" s="198">
        <f t="shared" si="367"/>
        <v>350000</v>
      </c>
      <c r="P637" s="198">
        <f t="shared" si="367"/>
        <v>350000</v>
      </c>
      <c r="Q637" s="198">
        <f t="shared" si="367"/>
        <v>350000</v>
      </c>
      <c r="R637" s="198">
        <f t="shared" si="367"/>
        <v>350000</v>
      </c>
      <c r="S637" s="198">
        <f t="shared" si="367"/>
        <v>350000</v>
      </c>
      <c r="T637" s="198">
        <f t="shared" si="367"/>
        <v>350000</v>
      </c>
      <c r="U637" s="198">
        <f t="shared" si="367"/>
        <v>350000</v>
      </c>
      <c r="V637" s="198">
        <f t="shared" si="367"/>
        <v>350000</v>
      </c>
      <c r="W637" s="198">
        <f t="shared" si="367"/>
        <v>350000</v>
      </c>
      <c r="X637" s="198">
        <f t="shared" si="367"/>
        <v>350000</v>
      </c>
      <c r="Y637" s="198">
        <f t="shared" si="367"/>
        <v>350000</v>
      </c>
      <c r="Z637" s="198">
        <f t="shared" si="367"/>
        <v>350000</v>
      </c>
      <c r="AA637" s="198">
        <f t="shared" si="367"/>
        <v>350000</v>
      </c>
      <c r="AB637" s="198">
        <f t="shared" si="367"/>
        <v>350000</v>
      </c>
      <c r="AC637" s="198">
        <f t="shared" si="367"/>
        <v>350000</v>
      </c>
      <c r="AD637" s="198">
        <f t="shared" si="367"/>
        <v>350000</v>
      </c>
      <c r="AE637" s="198">
        <f t="shared" si="367"/>
        <v>350000</v>
      </c>
      <c r="AF637" s="198">
        <f t="shared" si="367"/>
        <v>350000</v>
      </c>
      <c r="AG637" s="198">
        <f t="shared" si="367"/>
        <v>0</v>
      </c>
      <c r="AH637" s="198">
        <f t="shared" si="367"/>
        <v>0</v>
      </c>
      <c r="AI637" s="198">
        <f t="shared" si="367"/>
        <v>0</v>
      </c>
      <c r="AJ637" s="198">
        <f t="shared" si="367"/>
        <v>0</v>
      </c>
      <c r="AK637" s="198">
        <f t="shared" si="367"/>
        <v>0</v>
      </c>
      <c r="AL637" s="198">
        <f t="shared" si="367"/>
        <v>0</v>
      </c>
      <c r="AM637" s="198">
        <f t="shared" si="367"/>
        <v>0</v>
      </c>
      <c r="AN637" s="198">
        <f t="shared" si="367"/>
        <v>0</v>
      </c>
      <c r="AO637" s="198">
        <f t="shared" si="367"/>
        <v>0</v>
      </c>
      <c r="AP637" s="198">
        <f t="shared" si="367"/>
        <v>0</v>
      </c>
    </row>
    <row r="638" spans="1:42" s="118" customFormat="1">
      <c r="A638" s="118" t="s">
        <v>100</v>
      </c>
      <c r="B638" s="198">
        <f>'Inputs &amp; Results'!$D$152</f>
        <v>350000</v>
      </c>
      <c r="C638" s="198"/>
      <c r="D638" s="198"/>
      <c r="E638" s="198"/>
      <c r="F638" s="198"/>
      <c r="G638" s="198"/>
      <c r="H638" s="198"/>
      <c r="I638" s="198"/>
      <c r="J638" s="198"/>
      <c r="K638" s="198"/>
      <c r="L638" s="198"/>
      <c r="M638" s="198"/>
      <c r="N638" s="198"/>
      <c r="O638" s="198"/>
      <c r="P638" s="198"/>
      <c r="Q638" s="198"/>
      <c r="R638" s="198"/>
      <c r="S638" s="198"/>
      <c r="T638" s="198"/>
      <c r="U638" s="198"/>
      <c r="V638" s="198"/>
      <c r="W638" s="198"/>
      <c r="X638" s="198"/>
      <c r="Y638" s="198"/>
      <c r="Z638" s="198"/>
      <c r="AA638" s="198"/>
      <c r="AB638" s="198"/>
      <c r="AC638" s="198"/>
      <c r="AD638" s="198"/>
      <c r="AE638" s="198"/>
      <c r="AF638" s="198"/>
      <c r="AG638" s="198"/>
      <c r="AH638" s="198"/>
      <c r="AI638" s="198"/>
      <c r="AJ638" s="198"/>
      <c r="AK638" s="198"/>
      <c r="AL638" s="198"/>
      <c r="AM638" s="198"/>
      <c r="AN638" s="198"/>
      <c r="AO638" s="198"/>
      <c r="AP638" s="198"/>
    </row>
    <row r="639" spans="1:42" s="118" customFormat="1">
      <c r="A639" s="118" t="s">
        <v>106</v>
      </c>
      <c r="B639" s="203">
        <v>0</v>
      </c>
      <c r="C639" s="203">
        <f t="shared" ref="C639:AP639" si="368">IF(C$2=AnalysisPeriod,-C637,0)</f>
        <v>0</v>
      </c>
      <c r="D639" s="203">
        <f t="shared" si="368"/>
        <v>0</v>
      </c>
      <c r="E639" s="203">
        <f t="shared" si="368"/>
        <v>0</v>
      </c>
      <c r="F639" s="203">
        <f t="shared" si="368"/>
        <v>0</v>
      </c>
      <c r="G639" s="203">
        <f t="shared" si="368"/>
        <v>0</v>
      </c>
      <c r="H639" s="203">
        <f t="shared" si="368"/>
        <v>0</v>
      </c>
      <c r="I639" s="203">
        <f t="shared" si="368"/>
        <v>0</v>
      </c>
      <c r="J639" s="203">
        <f t="shared" si="368"/>
        <v>0</v>
      </c>
      <c r="K639" s="203">
        <f t="shared" si="368"/>
        <v>0</v>
      </c>
      <c r="L639" s="203">
        <f t="shared" si="368"/>
        <v>0</v>
      </c>
      <c r="M639" s="203">
        <f t="shared" si="368"/>
        <v>0</v>
      </c>
      <c r="N639" s="203">
        <f t="shared" si="368"/>
        <v>0</v>
      </c>
      <c r="O639" s="203">
        <f t="shared" si="368"/>
        <v>0</v>
      </c>
      <c r="P639" s="203">
        <f t="shared" si="368"/>
        <v>0</v>
      </c>
      <c r="Q639" s="203">
        <f t="shared" si="368"/>
        <v>0</v>
      </c>
      <c r="R639" s="203">
        <f t="shared" si="368"/>
        <v>0</v>
      </c>
      <c r="S639" s="203">
        <f t="shared" si="368"/>
        <v>0</v>
      </c>
      <c r="T639" s="203">
        <f t="shared" si="368"/>
        <v>0</v>
      </c>
      <c r="U639" s="203">
        <f t="shared" si="368"/>
        <v>0</v>
      </c>
      <c r="V639" s="203">
        <f t="shared" si="368"/>
        <v>0</v>
      </c>
      <c r="W639" s="203">
        <f t="shared" si="368"/>
        <v>0</v>
      </c>
      <c r="X639" s="203">
        <f t="shared" si="368"/>
        <v>0</v>
      </c>
      <c r="Y639" s="203">
        <f t="shared" si="368"/>
        <v>0</v>
      </c>
      <c r="Z639" s="203">
        <f t="shared" si="368"/>
        <v>0</v>
      </c>
      <c r="AA639" s="203">
        <f t="shared" si="368"/>
        <v>0</v>
      </c>
      <c r="AB639" s="203">
        <f t="shared" si="368"/>
        <v>0</v>
      </c>
      <c r="AC639" s="203">
        <f t="shared" si="368"/>
        <v>0</v>
      </c>
      <c r="AD639" s="203">
        <f t="shared" si="368"/>
        <v>0</v>
      </c>
      <c r="AE639" s="203">
        <f t="shared" si="368"/>
        <v>0</v>
      </c>
      <c r="AF639" s="203">
        <f t="shared" si="368"/>
        <v>-350000</v>
      </c>
      <c r="AG639" s="203">
        <f t="shared" si="368"/>
        <v>0</v>
      </c>
      <c r="AH639" s="203">
        <f t="shared" si="368"/>
        <v>0</v>
      </c>
      <c r="AI639" s="203">
        <f t="shared" si="368"/>
        <v>0</v>
      </c>
      <c r="AJ639" s="203">
        <f t="shared" si="368"/>
        <v>0</v>
      </c>
      <c r="AK639" s="203">
        <f t="shared" si="368"/>
        <v>0</v>
      </c>
      <c r="AL639" s="203">
        <f t="shared" si="368"/>
        <v>0</v>
      </c>
      <c r="AM639" s="203">
        <f t="shared" si="368"/>
        <v>0</v>
      </c>
      <c r="AN639" s="203">
        <f t="shared" si="368"/>
        <v>0</v>
      </c>
      <c r="AO639" s="203">
        <f t="shared" si="368"/>
        <v>0</v>
      </c>
      <c r="AP639" s="203">
        <f t="shared" si="368"/>
        <v>0</v>
      </c>
    </row>
    <row r="640" spans="1:42" s="118" customFormat="1">
      <c r="A640" s="118" t="s">
        <v>102</v>
      </c>
      <c r="B640" s="198">
        <f>SUM(B637:B639)</f>
        <v>350000</v>
      </c>
      <c r="C640" s="198">
        <f>SUM(C637:C639)</f>
        <v>350000</v>
      </c>
      <c r="D640" s="198">
        <f t="shared" ref="D640:AP640" si="369">SUM(D637:D639)</f>
        <v>350000</v>
      </c>
      <c r="E640" s="198">
        <f t="shared" si="369"/>
        <v>350000</v>
      </c>
      <c r="F640" s="198">
        <f t="shared" si="369"/>
        <v>350000</v>
      </c>
      <c r="G640" s="198">
        <f t="shared" si="369"/>
        <v>350000</v>
      </c>
      <c r="H640" s="198">
        <f t="shared" si="369"/>
        <v>350000</v>
      </c>
      <c r="I640" s="198">
        <f t="shared" si="369"/>
        <v>350000</v>
      </c>
      <c r="J640" s="198">
        <f t="shared" si="369"/>
        <v>350000</v>
      </c>
      <c r="K640" s="198">
        <f t="shared" si="369"/>
        <v>350000</v>
      </c>
      <c r="L640" s="198">
        <f t="shared" si="369"/>
        <v>350000</v>
      </c>
      <c r="M640" s="198">
        <f t="shared" si="369"/>
        <v>350000</v>
      </c>
      <c r="N640" s="198">
        <f t="shared" si="369"/>
        <v>350000</v>
      </c>
      <c r="O640" s="198">
        <f t="shared" si="369"/>
        <v>350000</v>
      </c>
      <c r="P640" s="198">
        <f t="shared" si="369"/>
        <v>350000</v>
      </c>
      <c r="Q640" s="198">
        <f t="shared" si="369"/>
        <v>350000</v>
      </c>
      <c r="R640" s="198">
        <f t="shared" si="369"/>
        <v>350000</v>
      </c>
      <c r="S640" s="198">
        <f t="shared" si="369"/>
        <v>350000</v>
      </c>
      <c r="T640" s="198">
        <f t="shared" si="369"/>
        <v>350000</v>
      </c>
      <c r="U640" s="198">
        <f t="shared" si="369"/>
        <v>350000</v>
      </c>
      <c r="V640" s="198">
        <f t="shared" si="369"/>
        <v>350000</v>
      </c>
      <c r="W640" s="198">
        <f t="shared" si="369"/>
        <v>350000</v>
      </c>
      <c r="X640" s="198">
        <f t="shared" si="369"/>
        <v>350000</v>
      </c>
      <c r="Y640" s="198">
        <f t="shared" si="369"/>
        <v>350000</v>
      </c>
      <c r="Z640" s="198">
        <f t="shared" si="369"/>
        <v>350000</v>
      </c>
      <c r="AA640" s="198">
        <f t="shared" si="369"/>
        <v>350000</v>
      </c>
      <c r="AB640" s="198">
        <f t="shared" si="369"/>
        <v>350000</v>
      </c>
      <c r="AC640" s="198">
        <f t="shared" si="369"/>
        <v>350000</v>
      </c>
      <c r="AD640" s="198">
        <f t="shared" si="369"/>
        <v>350000</v>
      </c>
      <c r="AE640" s="198">
        <f t="shared" si="369"/>
        <v>350000</v>
      </c>
      <c r="AF640" s="198">
        <f t="shared" si="369"/>
        <v>0</v>
      </c>
      <c r="AG640" s="198">
        <f t="shared" si="369"/>
        <v>0</v>
      </c>
      <c r="AH640" s="198">
        <f t="shared" si="369"/>
        <v>0</v>
      </c>
      <c r="AI640" s="198">
        <f t="shared" si="369"/>
        <v>0</v>
      </c>
      <c r="AJ640" s="198">
        <f t="shared" si="369"/>
        <v>0</v>
      </c>
      <c r="AK640" s="198">
        <f t="shared" si="369"/>
        <v>0</v>
      </c>
      <c r="AL640" s="198">
        <f t="shared" si="369"/>
        <v>0</v>
      </c>
      <c r="AM640" s="198">
        <f t="shared" si="369"/>
        <v>0</v>
      </c>
      <c r="AN640" s="198">
        <f t="shared" si="369"/>
        <v>0</v>
      </c>
      <c r="AO640" s="198">
        <f t="shared" si="369"/>
        <v>0</v>
      </c>
      <c r="AP640" s="198">
        <f t="shared" si="369"/>
        <v>0</v>
      </c>
    </row>
    <row r="641" spans="1:42" s="118" customFormat="1">
      <c r="B641" s="198"/>
      <c r="C641" s="198"/>
      <c r="D641" s="198"/>
      <c r="E641" s="198"/>
      <c r="F641" s="198"/>
      <c r="G641" s="141"/>
      <c r="H641" s="141"/>
      <c r="I641" s="141"/>
      <c r="J641" s="141"/>
      <c r="K641" s="141"/>
      <c r="L641" s="141"/>
      <c r="M641" s="141"/>
      <c r="N641" s="141"/>
      <c r="O641" s="141"/>
      <c r="P641" s="141"/>
      <c r="Q641" s="141"/>
      <c r="R641" s="141"/>
      <c r="S641" s="141"/>
      <c r="T641" s="141"/>
      <c r="U641" s="141"/>
      <c r="V641" s="141"/>
      <c r="W641" s="141"/>
      <c r="X641" s="141"/>
      <c r="Y641" s="141"/>
      <c r="Z641" s="141"/>
      <c r="AA641" s="141"/>
      <c r="AB641" s="141"/>
      <c r="AC641" s="141"/>
      <c r="AD641" s="141"/>
      <c r="AE641" s="141"/>
      <c r="AF641" s="141"/>
      <c r="AG641" s="141"/>
      <c r="AH641" s="141"/>
      <c r="AI641" s="141"/>
      <c r="AJ641" s="141"/>
      <c r="AK641" s="141"/>
      <c r="AL641" s="141"/>
      <c r="AM641" s="141"/>
      <c r="AN641" s="141"/>
      <c r="AO641" s="141"/>
      <c r="AP641" s="141"/>
    </row>
    <row r="642" spans="1:42" s="118" customFormat="1">
      <c r="A642" s="274" t="str">
        <f>'Inputs &amp; Results'!A150</f>
        <v>Lease Payment Reserve</v>
      </c>
      <c r="C642" s="198"/>
      <c r="D642" s="198"/>
      <c r="E642" s="198"/>
      <c r="F642" s="198"/>
      <c r="G642" s="198"/>
      <c r="H642" s="198"/>
      <c r="I642" s="198"/>
      <c r="J642" s="198"/>
      <c r="K642" s="198"/>
      <c r="L642" s="198"/>
      <c r="M642" s="198"/>
      <c r="N642" s="198"/>
      <c r="O642" s="198"/>
      <c r="P642" s="198"/>
      <c r="Q642" s="198"/>
      <c r="R642" s="198"/>
      <c r="S642" s="198"/>
      <c r="T642" s="198"/>
      <c r="U642" s="198"/>
      <c r="V642" s="198"/>
      <c r="W642" s="198"/>
      <c r="X642" s="198"/>
      <c r="Y642" s="198"/>
      <c r="Z642" s="198"/>
      <c r="AA642" s="198"/>
      <c r="AB642" s="198"/>
      <c r="AC642" s="198"/>
      <c r="AD642" s="198"/>
      <c r="AE642" s="198"/>
      <c r="AF642" s="198"/>
      <c r="AG642" s="198"/>
      <c r="AH642" s="198"/>
      <c r="AI642" s="198"/>
      <c r="AJ642" s="198"/>
      <c r="AK642" s="198"/>
      <c r="AL642" s="198"/>
      <c r="AM642" s="198"/>
      <c r="AN642" s="198"/>
      <c r="AO642" s="198"/>
      <c r="AP642" s="198"/>
    </row>
    <row r="643" spans="1:42" s="118" customFormat="1">
      <c r="A643" s="118" t="s">
        <v>99</v>
      </c>
      <c r="B643" s="198">
        <v>0</v>
      </c>
      <c r="C643" s="198">
        <f>B646</f>
        <v>2852676.2422525855</v>
      </c>
      <c r="D643" s="198">
        <f t="shared" ref="D643" si="370">C646</f>
        <v>2852676.2422525855</v>
      </c>
      <c r="E643" s="198">
        <f t="shared" ref="E643" si="371">D646</f>
        <v>2852676.2422525855</v>
      </c>
      <c r="F643" s="198">
        <f t="shared" ref="F643" si="372">E646</f>
        <v>2852676.2422525855</v>
      </c>
      <c r="G643" s="198">
        <f t="shared" ref="G643" si="373">F646</f>
        <v>2852676.2422525855</v>
      </c>
      <c r="H643" s="198">
        <f t="shared" ref="H643" si="374">G646</f>
        <v>2852676.2422525855</v>
      </c>
      <c r="I643" s="198">
        <f t="shared" ref="I643" si="375">H646</f>
        <v>2852676.2422525855</v>
      </c>
      <c r="J643" s="198">
        <f t="shared" ref="J643" si="376">I646</f>
        <v>2852676.2422525855</v>
      </c>
      <c r="K643" s="198">
        <f t="shared" ref="K643" si="377">J646</f>
        <v>2852676.2422525855</v>
      </c>
      <c r="L643" s="198">
        <f t="shared" ref="L643" si="378">K646</f>
        <v>2852676.2422525855</v>
      </c>
      <c r="M643" s="198">
        <f t="shared" ref="M643" si="379">L646</f>
        <v>2852676.2422525855</v>
      </c>
      <c r="N643" s="198">
        <f t="shared" ref="N643" si="380">M646</f>
        <v>2852676.2422525855</v>
      </c>
      <c r="O643" s="198">
        <f t="shared" ref="O643" si="381">N646</f>
        <v>2852676.2422525855</v>
      </c>
      <c r="P643" s="198">
        <f t="shared" ref="P643" si="382">O646</f>
        <v>2852676.2422525855</v>
      </c>
      <c r="Q643" s="198">
        <f t="shared" ref="Q643" si="383">P646</f>
        <v>2852676.2422525855</v>
      </c>
      <c r="R643" s="198">
        <f t="shared" ref="R643" si="384">Q646</f>
        <v>2852676.2422525855</v>
      </c>
      <c r="S643" s="198">
        <f t="shared" ref="S643" si="385">R646</f>
        <v>2852676.2422525855</v>
      </c>
      <c r="T643" s="198">
        <f t="shared" ref="T643" si="386">S646</f>
        <v>2852676.2422525855</v>
      </c>
      <c r="U643" s="198">
        <f t="shared" ref="U643" si="387">T646</f>
        <v>2852676.2422525855</v>
      </c>
      <c r="V643" s="198">
        <f t="shared" ref="V643" si="388">U646</f>
        <v>2852676.2422525855</v>
      </c>
      <c r="W643" s="198">
        <f t="shared" ref="W643" si="389">V646</f>
        <v>2852676.2422525855</v>
      </c>
      <c r="X643" s="198">
        <f t="shared" ref="X643" si="390">W646</f>
        <v>2852676.2422525855</v>
      </c>
      <c r="Y643" s="198">
        <f t="shared" ref="Y643" si="391">X646</f>
        <v>2852676.2422525855</v>
      </c>
      <c r="Z643" s="198">
        <f t="shared" ref="Z643" si="392">Y646</f>
        <v>2852676.2422525855</v>
      </c>
      <c r="AA643" s="198">
        <f t="shared" ref="AA643" si="393">Z646</f>
        <v>2852676.2422525855</v>
      </c>
      <c r="AB643" s="198">
        <f t="shared" ref="AB643" si="394">AA646</f>
        <v>2852676.2422525855</v>
      </c>
      <c r="AC643" s="198">
        <f t="shared" ref="AC643" si="395">AB646</f>
        <v>2852676.2422525855</v>
      </c>
      <c r="AD643" s="198">
        <f t="shared" ref="AD643" si="396">AC646</f>
        <v>2852676.2422525855</v>
      </c>
      <c r="AE643" s="198">
        <f t="shared" ref="AE643" si="397">AD646</f>
        <v>2852676.2422525855</v>
      </c>
      <c r="AF643" s="198">
        <f t="shared" ref="AF643" si="398">AE646</f>
        <v>2852676.2422525855</v>
      </c>
      <c r="AG643" s="198">
        <f t="shared" ref="AG643" si="399">AF646</f>
        <v>0</v>
      </c>
      <c r="AH643" s="198">
        <f t="shared" ref="AH643" si="400">AG646</f>
        <v>0</v>
      </c>
      <c r="AI643" s="198">
        <f t="shared" ref="AI643" si="401">AH646</f>
        <v>0</v>
      </c>
      <c r="AJ643" s="198">
        <f t="shared" ref="AJ643" si="402">AI646</f>
        <v>0</v>
      </c>
      <c r="AK643" s="198">
        <f t="shared" ref="AK643" si="403">AJ646</f>
        <v>0</v>
      </c>
      <c r="AL643" s="198">
        <f t="shared" ref="AL643" si="404">AK646</f>
        <v>0</v>
      </c>
      <c r="AM643" s="198">
        <f t="shared" ref="AM643" si="405">AL646</f>
        <v>0</v>
      </c>
      <c r="AN643" s="198">
        <f t="shared" ref="AN643" si="406">AM646</f>
        <v>0</v>
      </c>
      <c r="AO643" s="198">
        <f t="shared" ref="AO643" si="407">AN646</f>
        <v>0</v>
      </c>
      <c r="AP643" s="198">
        <f t="shared" ref="AP643" si="408">AO646</f>
        <v>0</v>
      </c>
    </row>
    <row r="644" spans="1:42" s="118" customFormat="1">
      <c r="A644" s="118" t="s">
        <v>100</v>
      </c>
      <c r="B644" s="198">
        <f>(LeaseReserveMonths/12)*C76</f>
        <v>2852676.2422525855</v>
      </c>
      <c r="C644" s="198">
        <v>0</v>
      </c>
      <c r="D644" s="198">
        <v>0</v>
      </c>
      <c r="E644" s="198">
        <v>0</v>
      </c>
      <c r="F644" s="198">
        <v>0</v>
      </c>
      <c r="G644" s="198">
        <v>0</v>
      </c>
      <c r="H644" s="198">
        <v>0</v>
      </c>
      <c r="I644" s="198">
        <v>0</v>
      </c>
      <c r="J644" s="198">
        <v>0</v>
      </c>
      <c r="K644" s="198">
        <v>0</v>
      </c>
      <c r="L644" s="198">
        <v>0</v>
      </c>
      <c r="M644" s="198">
        <v>0</v>
      </c>
      <c r="N644" s="198">
        <v>0</v>
      </c>
      <c r="O644" s="198">
        <v>0</v>
      </c>
      <c r="P644" s="198">
        <v>0</v>
      </c>
      <c r="Q644" s="198">
        <v>0</v>
      </c>
      <c r="R644" s="198">
        <v>0</v>
      </c>
      <c r="S644" s="198">
        <v>0</v>
      </c>
      <c r="T644" s="198">
        <v>0</v>
      </c>
      <c r="U644" s="198">
        <v>0</v>
      </c>
      <c r="V644" s="198">
        <v>0</v>
      </c>
      <c r="W644" s="198">
        <v>0</v>
      </c>
      <c r="X644" s="198">
        <v>0</v>
      </c>
      <c r="Y644" s="198">
        <v>0</v>
      </c>
      <c r="Z644" s="198">
        <v>0</v>
      </c>
      <c r="AA644" s="198">
        <v>0</v>
      </c>
      <c r="AB644" s="198">
        <v>0</v>
      </c>
      <c r="AC644" s="198">
        <v>0</v>
      </c>
      <c r="AD644" s="198">
        <v>0</v>
      </c>
      <c r="AE644" s="198">
        <v>0</v>
      </c>
      <c r="AF644" s="198">
        <v>0</v>
      </c>
      <c r="AG644" s="198">
        <v>0</v>
      </c>
      <c r="AH644" s="198">
        <v>0</v>
      </c>
      <c r="AI644" s="198">
        <v>0</v>
      </c>
      <c r="AJ644" s="198">
        <v>0</v>
      </c>
      <c r="AK644" s="198">
        <v>0</v>
      </c>
      <c r="AL644" s="198">
        <v>0</v>
      </c>
      <c r="AM644" s="198">
        <v>0</v>
      </c>
      <c r="AN644" s="198">
        <v>0</v>
      </c>
      <c r="AO644" s="198">
        <v>0</v>
      </c>
      <c r="AP644" s="198">
        <v>0</v>
      </c>
    </row>
    <row r="645" spans="1:42" s="118" customFormat="1">
      <c r="A645" s="118" t="s">
        <v>106</v>
      </c>
      <c r="B645" s="203">
        <v>0</v>
      </c>
      <c r="C645" s="203">
        <f t="shared" ref="C645:AP645" si="409">IF(C$2=AnalysisPeriod,-C643,0)</f>
        <v>0</v>
      </c>
      <c r="D645" s="203">
        <f t="shared" si="409"/>
        <v>0</v>
      </c>
      <c r="E645" s="203">
        <f t="shared" si="409"/>
        <v>0</v>
      </c>
      <c r="F645" s="203">
        <f t="shared" si="409"/>
        <v>0</v>
      </c>
      <c r="G645" s="203">
        <f t="shared" si="409"/>
        <v>0</v>
      </c>
      <c r="H645" s="203">
        <f t="shared" si="409"/>
        <v>0</v>
      </c>
      <c r="I645" s="203">
        <f t="shared" si="409"/>
        <v>0</v>
      </c>
      <c r="J645" s="203">
        <f t="shared" si="409"/>
        <v>0</v>
      </c>
      <c r="K645" s="203">
        <f t="shared" si="409"/>
        <v>0</v>
      </c>
      <c r="L645" s="203">
        <f t="shared" si="409"/>
        <v>0</v>
      </c>
      <c r="M645" s="203">
        <f t="shared" si="409"/>
        <v>0</v>
      </c>
      <c r="N645" s="203">
        <f t="shared" si="409"/>
        <v>0</v>
      </c>
      <c r="O645" s="203">
        <f t="shared" si="409"/>
        <v>0</v>
      </c>
      <c r="P645" s="203">
        <f t="shared" si="409"/>
        <v>0</v>
      </c>
      <c r="Q645" s="203">
        <f t="shared" si="409"/>
        <v>0</v>
      </c>
      <c r="R645" s="203">
        <f t="shared" si="409"/>
        <v>0</v>
      </c>
      <c r="S645" s="203">
        <f t="shared" si="409"/>
        <v>0</v>
      </c>
      <c r="T645" s="203">
        <f t="shared" si="409"/>
        <v>0</v>
      </c>
      <c r="U645" s="203">
        <f t="shared" si="409"/>
        <v>0</v>
      </c>
      <c r="V645" s="203">
        <f t="shared" si="409"/>
        <v>0</v>
      </c>
      <c r="W645" s="203">
        <f t="shared" si="409"/>
        <v>0</v>
      </c>
      <c r="X645" s="203">
        <f t="shared" si="409"/>
        <v>0</v>
      </c>
      <c r="Y645" s="203">
        <f t="shared" si="409"/>
        <v>0</v>
      </c>
      <c r="Z645" s="203">
        <f t="shared" si="409"/>
        <v>0</v>
      </c>
      <c r="AA645" s="203">
        <f t="shared" si="409"/>
        <v>0</v>
      </c>
      <c r="AB645" s="203">
        <f t="shared" si="409"/>
        <v>0</v>
      </c>
      <c r="AC645" s="203">
        <f t="shared" si="409"/>
        <v>0</v>
      </c>
      <c r="AD645" s="203">
        <f t="shared" si="409"/>
        <v>0</v>
      </c>
      <c r="AE645" s="203">
        <f t="shared" si="409"/>
        <v>0</v>
      </c>
      <c r="AF645" s="203">
        <f t="shared" si="409"/>
        <v>-2852676.2422525855</v>
      </c>
      <c r="AG645" s="203">
        <f t="shared" si="409"/>
        <v>0</v>
      </c>
      <c r="AH645" s="203">
        <f t="shared" si="409"/>
        <v>0</v>
      </c>
      <c r="AI645" s="203">
        <f t="shared" si="409"/>
        <v>0</v>
      </c>
      <c r="AJ645" s="203">
        <f t="shared" si="409"/>
        <v>0</v>
      </c>
      <c r="AK645" s="203">
        <f t="shared" si="409"/>
        <v>0</v>
      </c>
      <c r="AL645" s="203">
        <f t="shared" si="409"/>
        <v>0</v>
      </c>
      <c r="AM645" s="203">
        <f t="shared" si="409"/>
        <v>0</v>
      </c>
      <c r="AN645" s="203">
        <f t="shared" si="409"/>
        <v>0</v>
      </c>
      <c r="AO645" s="203">
        <f t="shared" si="409"/>
        <v>0</v>
      </c>
      <c r="AP645" s="203">
        <f t="shared" si="409"/>
        <v>0</v>
      </c>
    </row>
    <row r="646" spans="1:42" s="118" customFormat="1">
      <c r="A646" s="118" t="s">
        <v>102</v>
      </c>
      <c r="B646" s="198">
        <f>SUM(B643:B645)</f>
        <v>2852676.2422525855</v>
      </c>
      <c r="C646" s="198">
        <f t="shared" ref="C646:AP646" si="410">SUM(C643:C645)</f>
        <v>2852676.2422525855</v>
      </c>
      <c r="D646" s="198">
        <f t="shared" si="410"/>
        <v>2852676.2422525855</v>
      </c>
      <c r="E646" s="198">
        <f t="shared" si="410"/>
        <v>2852676.2422525855</v>
      </c>
      <c r="F646" s="198">
        <f t="shared" si="410"/>
        <v>2852676.2422525855</v>
      </c>
      <c r="G646" s="198">
        <f t="shared" si="410"/>
        <v>2852676.2422525855</v>
      </c>
      <c r="H646" s="198">
        <f t="shared" si="410"/>
        <v>2852676.2422525855</v>
      </c>
      <c r="I646" s="198">
        <f t="shared" si="410"/>
        <v>2852676.2422525855</v>
      </c>
      <c r="J646" s="198">
        <f t="shared" si="410"/>
        <v>2852676.2422525855</v>
      </c>
      <c r="K646" s="198">
        <f t="shared" si="410"/>
        <v>2852676.2422525855</v>
      </c>
      <c r="L646" s="198">
        <f t="shared" si="410"/>
        <v>2852676.2422525855</v>
      </c>
      <c r="M646" s="198">
        <f t="shared" si="410"/>
        <v>2852676.2422525855</v>
      </c>
      <c r="N646" s="198">
        <f t="shared" si="410"/>
        <v>2852676.2422525855</v>
      </c>
      <c r="O646" s="198">
        <f t="shared" si="410"/>
        <v>2852676.2422525855</v>
      </c>
      <c r="P646" s="198">
        <f t="shared" si="410"/>
        <v>2852676.2422525855</v>
      </c>
      <c r="Q646" s="198">
        <f t="shared" si="410"/>
        <v>2852676.2422525855</v>
      </c>
      <c r="R646" s="198">
        <f t="shared" si="410"/>
        <v>2852676.2422525855</v>
      </c>
      <c r="S646" s="198">
        <f t="shared" si="410"/>
        <v>2852676.2422525855</v>
      </c>
      <c r="T646" s="198">
        <f t="shared" si="410"/>
        <v>2852676.2422525855</v>
      </c>
      <c r="U646" s="198">
        <f t="shared" si="410"/>
        <v>2852676.2422525855</v>
      </c>
      <c r="V646" s="198">
        <f t="shared" si="410"/>
        <v>2852676.2422525855</v>
      </c>
      <c r="W646" s="198">
        <f t="shared" si="410"/>
        <v>2852676.2422525855</v>
      </c>
      <c r="X646" s="198">
        <f t="shared" si="410"/>
        <v>2852676.2422525855</v>
      </c>
      <c r="Y646" s="198">
        <f t="shared" si="410"/>
        <v>2852676.2422525855</v>
      </c>
      <c r="Z646" s="198">
        <f t="shared" si="410"/>
        <v>2852676.2422525855</v>
      </c>
      <c r="AA646" s="198">
        <f t="shared" si="410"/>
        <v>2852676.2422525855</v>
      </c>
      <c r="AB646" s="198">
        <f t="shared" si="410"/>
        <v>2852676.2422525855</v>
      </c>
      <c r="AC646" s="198">
        <f t="shared" si="410"/>
        <v>2852676.2422525855</v>
      </c>
      <c r="AD646" s="198">
        <f t="shared" si="410"/>
        <v>2852676.2422525855</v>
      </c>
      <c r="AE646" s="198">
        <f t="shared" si="410"/>
        <v>2852676.2422525855</v>
      </c>
      <c r="AF646" s="198">
        <f t="shared" si="410"/>
        <v>0</v>
      </c>
      <c r="AG646" s="198">
        <f t="shared" si="410"/>
        <v>0</v>
      </c>
      <c r="AH646" s="198">
        <f t="shared" si="410"/>
        <v>0</v>
      </c>
      <c r="AI646" s="198">
        <f t="shared" si="410"/>
        <v>0</v>
      </c>
      <c r="AJ646" s="198">
        <f t="shared" si="410"/>
        <v>0</v>
      </c>
      <c r="AK646" s="198">
        <f t="shared" si="410"/>
        <v>0</v>
      </c>
      <c r="AL646" s="198">
        <f t="shared" si="410"/>
        <v>0</v>
      </c>
      <c r="AM646" s="198">
        <f t="shared" si="410"/>
        <v>0</v>
      </c>
      <c r="AN646" s="198">
        <f t="shared" si="410"/>
        <v>0</v>
      </c>
      <c r="AO646" s="198">
        <f t="shared" si="410"/>
        <v>0</v>
      </c>
      <c r="AP646" s="198">
        <f t="shared" si="410"/>
        <v>0</v>
      </c>
    </row>
    <row r="647" spans="1:42" s="118" customFormat="1">
      <c r="B647" s="198"/>
      <c r="C647" s="198"/>
      <c r="D647" s="198"/>
      <c r="E647" s="198"/>
      <c r="F647" s="198"/>
      <c r="G647" s="141"/>
      <c r="H647" s="141"/>
      <c r="I647" s="141"/>
      <c r="J647" s="141"/>
      <c r="K647" s="141"/>
      <c r="L647" s="141"/>
      <c r="M647" s="141"/>
      <c r="N647" s="141"/>
      <c r="O647" s="141"/>
      <c r="P647" s="141"/>
      <c r="Q647" s="141"/>
      <c r="R647" s="141"/>
      <c r="S647" s="141"/>
      <c r="T647" s="141"/>
      <c r="U647" s="141"/>
      <c r="V647" s="141"/>
      <c r="W647" s="141"/>
      <c r="X647" s="141"/>
      <c r="Y647" s="141"/>
      <c r="Z647" s="141"/>
      <c r="AA647" s="141"/>
      <c r="AB647" s="141"/>
      <c r="AC647" s="141"/>
      <c r="AD647" s="141"/>
      <c r="AE647" s="141"/>
      <c r="AF647" s="141"/>
      <c r="AG647" s="141"/>
      <c r="AH647" s="141"/>
      <c r="AI647" s="141"/>
      <c r="AJ647" s="141"/>
      <c r="AK647" s="141"/>
      <c r="AL647" s="141"/>
      <c r="AM647" s="141"/>
      <c r="AN647" s="141"/>
      <c r="AO647" s="141"/>
      <c r="AP647" s="141"/>
    </row>
    <row r="648" spans="1:42">
      <c r="A648" s="182" t="s">
        <v>360</v>
      </c>
      <c r="C648" s="152"/>
      <c r="D648" s="152"/>
      <c r="E648" s="152"/>
      <c r="F648" s="152"/>
      <c r="G648" s="152"/>
      <c r="H648" s="152"/>
      <c r="I648" s="152"/>
      <c r="J648" s="152"/>
      <c r="K648" s="152"/>
      <c r="L648" s="152"/>
      <c r="M648" s="152"/>
      <c r="N648" s="152"/>
      <c r="O648" s="152"/>
      <c r="P648" s="152"/>
      <c r="Q648" s="152"/>
      <c r="R648" s="152"/>
      <c r="S648" s="152"/>
      <c r="T648" s="152"/>
      <c r="U648" s="152"/>
      <c r="V648" s="152"/>
      <c r="W648" s="152"/>
      <c r="X648" s="152"/>
      <c r="Y648" s="152"/>
      <c r="Z648" s="152"/>
      <c r="AA648" s="152"/>
      <c r="AB648" s="152"/>
      <c r="AC648" s="152"/>
      <c r="AD648" s="152"/>
      <c r="AE648" s="152"/>
      <c r="AF648" s="152"/>
      <c r="AG648" s="152"/>
      <c r="AH648" s="152"/>
      <c r="AI648" s="152"/>
      <c r="AJ648" s="152"/>
      <c r="AK648" s="152"/>
      <c r="AL648" s="152"/>
      <c r="AM648" s="152"/>
      <c r="AN648" s="152"/>
      <c r="AO648" s="152"/>
      <c r="AP648" s="152"/>
    </row>
    <row r="649" spans="1:42">
      <c r="A649" s="37" t="s">
        <v>99</v>
      </c>
      <c r="B649" s="152">
        <v>0</v>
      </c>
      <c r="C649" s="152">
        <f>B652</f>
        <v>0</v>
      </c>
      <c r="D649" s="152">
        <f t="shared" ref="D649:AP649" si="411">C652</f>
        <v>245406.02862510949</v>
      </c>
      <c r="E649" s="152">
        <f t="shared" si="411"/>
        <v>490812.05725021899</v>
      </c>
      <c r="F649" s="152">
        <f t="shared" si="411"/>
        <v>736218.08587532851</v>
      </c>
      <c r="G649" s="152">
        <f t="shared" si="411"/>
        <v>981624.11450043798</v>
      </c>
      <c r="H649" s="152">
        <f t="shared" si="411"/>
        <v>1227030.1431255476</v>
      </c>
      <c r="I649" s="152">
        <f t="shared" si="411"/>
        <v>1472436.171750657</v>
      </c>
      <c r="J649" s="152">
        <f t="shared" si="411"/>
        <v>1717842.2003757665</v>
      </c>
      <c r="K649" s="152">
        <f t="shared" si="411"/>
        <v>1963248.229000876</v>
      </c>
      <c r="L649" s="152">
        <f t="shared" si="411"/>
        <v>2208654.2576259854</v>
      </c>
      <c r="M649" s="152">
        <f t="shared" si="411"/>
        <v>2454060.2862510951</v>
      </c>
      <c r="N649" s="152">
        <f t="shared" si="411"/>
        <v>2699466.3148762048</v>
      </c>
      <c r="O649" s="152">
        <f t="shared" si="411"/>
        <v>0</v>
      </c>
      <c r="P649" s="152">
        <f t="shared" si="411"/>
        <v>293411.90721039008</v>
      </c>
      <c r="Q649" s="152">
        <f t="shared" si="411"/>
        <v>586823.81442078017</v>
      </c>
      <c r="R649" s="152">
        <f t="shared" si="411"/>
        <v>880235.72163117025</v>
      </c>
      <c r="S649" s="152">
        <f t="shared" si="411"/>
        <v>1173647.6288415603</v>
      </c>
      <c r="T649" s="152">
        <f t="shared" si="411"/>
        <v>1467059.5360519504</v>
      </c>
      <c r="U649" s="152">
        <f t="shared" si="411"/>
        <v>1760471.4432623405</v>
      </c>
      <c r="V649" s="152">
        <f t="shared" si="411"/>
        <v>2053883.3504727306</v>
      </c>
      <c r="W649" s="152">
        <f t="shared" si="411"/>
        <v>2347295.2576831207</v>
      </c>
      <c r="X649" s="152">
        <f t="shared" si="411"/>
        <v>2640707.1648935108</v>
      </c>
      <c r="Y649" s="152">
        <f t="shared" si="411"/>
        <v>2934119.0721039008</v>
      </c>
      <c r="Z649" s="152">
        <f t="shared" si="411"/>
        <v>3227530.9793142909</v>
      </c>
      <c r="AA649" s="152">
        <f t="shared" si="411"/>
        <v>0</v>
      </c>
      <c r="AB649" s="152">
        <f t="shared" si="411"/>
        <v>0</v>
      </c>
      <c r="AC649" s="152">
        <f t="shared" si="411"/>
        <v>0</v>
      </c>
      <c r="AD649" s="152">
        <f t="shared" si="411"/>
        <v>0</v>
      </c>
      <c r="AE649" s="152">
        <f t="shared" si="411"/>
        <v>0</v>
      </c>
      <c r="AF649" s="152">
        <f t="shared" si="411"/>
        <v>0</v>
      </c>
      <c r="AG649" s="152">
        <f t="shared" si="411"/>
        <v>0</v>
      </c>
      <c r="AH649" s="152">
        <f t="shared" si="411"/>
        <v>0</v>
      </c>
      <c r="AI649" s="152">
        <f t="shared" si="411"/>
        <v>0</v>
      </c>
      <c r="AJ649" s="152">
        <f t="shared" si="411"/>
        <v>0</v>
      </c>
      <c r="AK649" s="152">
        <f t="shared" si="411"/>
        <v>0</v>
      </c>
      <c r="AL649" s="152">
        <f t="shared" si="411"/>
        <v>0</v>
      </c>
      <c r="AM649" s="152">
        <f t="shared" si="411"/>
        <v>0</v>
      </c>
      <c r="AN649" s="152">
        <f t="shared" si="411"/>
        <v>0</v>
      </c>
      <c r="AO649" s="152">
        <f t="shared" si="411"/>
        <v>0</v>
      </c>
      <c r="AP649" s="152">
        <f t="shared" si="411"/>
        <v>0</v>
      </c>
    </row>
    <row r="650" spans="1:42">
      <c r="A650" s="37" t="s">
        <v>198</v>
      </c>
      <c r="B650" s="152">
        <v>0</v>
      </c>
      <c r="C650" s="152">
        <f>C678</f>
        <v>245406.02862510949</v>
      </c>
      <c r="D650" s="152">
        <f t="shared" ref="D650:AP650" si="412">D678</f>
        <v>245406.02862510949</v>
      </c>
      <c r="E650" s="152">
        <f t="shared" si="412"/>
        <v>245406.02862510949</v>
      </c>
      <c r="F650" s="152">
        <f t="shared" si="412"/>
        <v>245406.02862510949</v>
      </c>
      <c r="G650" s="152">
        <f t="shared" si="412"/>
        <v>245406.02862510949</v>
      </c>
      <c r="H650" s="152">
        <f t="shared" si="412"/>
        <v>245406.02862510949</v>
      </c>
      <c r="I650" s="152">
        <f t="shared" si="412"/>
        <v>245406.02862510949</v>
      </c>
      <c r="J650" s="152">
        <f t="shared" si="412"/>
        <v>245406.02862510949</v>
      </c>
      <c r="K650" s="152">
        <f t="shared" si="412"/>
        <v>245406.02862510949</v>
      </c>
      <c r="L650" s="152">
        <f t="shared" si="412"/>
        <v>245406.02862510949</v>
      </c>
      <c r="M650" s="152">
        <f t="shared" si="412"/>
        <v>245406.02862510949</v>
      </c>
      <c r="N650" s="152">
        <f t="shared" si="412"/>
        <v>245406.02862510949</v>
      </c>
      <c r="O650" s="152">
        <f t="shared" si="412"/>
        <v>293411.90721039008</v>
      </c>
      <c r="P650" s="152">
        <f t="shared" si="412"/>
        <v>293411.90721039008</v>
      </c>
      <c r="Q650" s="152">
        <f t="shared" si="412"/>
        <v>293411.90721039008</v>
      </c>
      <c r="R650" s="152">
        <f t="shared" si="412"/>
        <v>293411.90721039008</v>
      </c>
      <c r="S650" s="152">
        <f t="shared" si="412"/>
        <v>293411.90721039008</v>
      </c>
      <c r="T650" s="152">
        <f t="shared" si="412"/>
        <v>293411.90721039008</v>
      </c>
      <c r="U650" s="152">
        <f t="shared" si="412"/>
        <v>293411.90721039008</v>
      </c>
      <c r="V650" s="152">
        <f t="shared" si="412"/>
        <v>293411.90721039008</v>
      </c>
      <c r="W650" s="152">
        <f t="shared" si="412"/>
        <v>293411.90721039008</v>
      </c>
      <c r="X650" s="152">
        <f t="shared" si="412"/>
        <v>293411.90721039008</v>
      </c>
      <c r="Y650" s="152">
        <f t="shared" si="412"/>
        <v>293411.90721039008</v>
      </c>
      <c r="Z650" s="152">
        <f t="shared" si="412"/>
        <v>293411.90721039008</v>
      </c>
      <c r="AA650" s="152">
        <f t="shared" si="412"/>
        <v>0</v>
      </c>
      <c r="AB650" s="152">
        <f t="shared" si="412"/>
        <v>0</v>
      </c>
      <c r="AC650" s="152">
        <f t="shared" si="412"/>
        <v>0</v>
      </c>
      <c r="AD650" s="152">
        <f t="shared" si="412"/>
        <v>0</v>
      </c>
      <c r="AE650" s="152">
        <f t="shared" si="412"/>
        <v>0</v>
      </c>
      <c r="AF650" s="152">
        <f t="shared" si="412"/>
        <v>0</v>
      </c>
      <c r="AG650" s="152">
        <f t="shared" si="412"/>
        <v>0</v>
      </c>
      <c r="AH650" s="152">
        <f t="shared" si="412"/>
        <v>0</v>
      </c>
      <c r="AI650" s="152">
        <f t="shared" si="412"/>
        <v>0</v>
      </c>
      <c r="AJ650" s="152">
        <f t="shared" si="412"/>
        <v>0</v>
      </c>
      <c r="AK650" s="152">
        <f t="shared" si="412"/>
        <v>0</v>
      </c>
      <c r="AL650" s="152">
        <f t="shared" si="412"/>
        <v>0</v>
      </c>
      <c r="AM650" s="152">
        <f t="shared" si="412"/>
        <v>0</v>
      </c>
      <c r="AN650" s="152">
        <f t="shared" si="412"/>
        <v>0</v>
      </c>
      <c r="AO650" s="152">
        <f t="shared" si="412"/>
        <v>0</v>
      </c>
      <c r="AP650" s="152">
        <f t="shared" si="412"/>
        <v>0</v>
      </c>
    </row>
    <row r="651" spans="1:42">
      <c r="A651" s="37" t="s">
        <v>106</v>
      </c>
      <c r="B651" s="187">
        <v>0</v>
      </c>
      <c r="C651" s="187">
        <f>-C666</f>
        <v>0</v>
      </c>
      <c r="D651" s="187">
        <f t="shared" ref="D651:AP651" si="413">-D666</f>
        <v>0</v>
      </c>
      <c r="E651" s="187">
        <f t="shared" si="413"/>
        <v>0</v>
      </c>
      <c r="F651" s="187">
        <f t="shared" si="413"/>
        <v>0</v>
      </c>
      <c r="G651" s="187">
        <f t="shared" si="413"/>
        <v>0</v>
      </c>
      <c r="H651" s="187">
        <f t="shared" si="413"/>
        <v>0</v>
      </c>
      <c r="I651" s="187">
        <f t="shared" si="413"/>
        <v>0</v>
      </c>
      <c r="J651" s="187">
        <f t="shared" si="413"/>
        <v>0</v>
      </c>
      <c r="K651" s="187">
        <f t="shared" si="413"/>
        <v>0</v>
      </c>
      <c r="L651" s="187">
        <f t="shared" si="413"/>
        <v>0</v>
      </c>
      <c r="M651" s="187">
        <f t="shared" si="413"/>
        <v>0</v>
      </c>
      <c r="N651" s="187">
        <f t="shared" si="413"/>
        <v>-2944872.3435013141</v>
      </c>
      <c r="O651" s="187">
        <f t="shared" si="413"/>
        <v>0</v>
      </c>
      <c r="P651" s="187">
        <f t="shared" si="413"/>
        <v>0</v>
      </c>
      <c r="Q651" s="187">
        <f t="shared" si="413"/>
        <v>0</v>
      </c>
      <c r="R651" s="187">
        <f t="shared" si="413"/>
        <v>0</v>
      </c>
      <c r="S651" s="187">
        <f t="shared" si="413"/>
        <v>0</v>
      </c>
      <c r="T651" s="187">
        <f t="shared" si="413"/>
        <v>0</v>
      </c>
      <c r="U651" s="187">
        <f t="shared" si="413"/>
        <v>0</v>
      </c>
      <c r="V651" s="187">
        <f t="shared" si="413"/>
        <v>0</v>
      </c>
      <c r="W651" s="187">
        <f t="shared" si="413"/>
        <v>0</v>
      </c>
      <c r="X651" s="187">
        <f t="shared" si="413"/>
        <v>0</v>
      </c>
      <c r="Y651" s="187">
        <f t="shared" si="413"/>
        <v>0</v>
      </c>
      <c r="Z651" s="187">
        <f t="shared" si="413"/>
        <v>-3520942.886524681</v>
      </c>
      <c r="AA651" s="187">
        <f t="shared" si="413"/>
        <v>0</v>
      </c>
      <c r="AB651" s="187">
        <f t="shared" si="413"/>
        <v>0</v>
      </c>
      <c r="AC651" s="187">
        <f t="shared" si="413"/>
        <v>0</v>
      </c>
      <c r="AD651" s="187">
        <f t="shared" si="413"/>
        <v>0</v>
      </c>
      <c r="AE651" s="187">
        <f t="shared" si="413"/>
        <v>0</v>
      </c>
      <c r="AF651" s="187">
        <f t="shared" si="413"/>
        <v>0</v>
      </c>
      <c r="AG651" s="187">
        <f t="shared" si="413"/>
        <v>0</v>
      </c>
      <c r="AH651" s="187">
        <f t="shared" si="413"/>
        <v>0</v>
      </c>
      <c r="AI651" s="187">
        <f t="shared" si="413"/>
        <v>0</v>
      </c>
      <c r="AJ651" s="187">
        <f t="shared" si="413"/>
        <v>0</v>
      </c>
      <c r="AK651" s="187">
        <f t="shared" si="413"/>
        <v>0</v>
      </c>
      <c r="AL651" s="187">
        <f t="shared" si="413"/>
        <v>0</v>
      </c>
      <c r="AM651" s="187">
        <f t="shared" si="413"/>
        <v>0</v>
      </c>
      <c r="AN651" s="187">
        <f t="shared" si="413"/>
        <v>0</v>
      </c>
      <c r="AO651" s="187">
        <f t="shared" si="413"/>
        <v>0</v>
      </c>
      <c r="AP651" s="187">
        <f t="shared" si="413"/>
        <v>0</v>
      </c>
    </row>
    <row r="652" spans="1:42">
      <c r="A652" s="37" t="s">
        <v>102</v>
      </c>
      <c r="B652" s="152">
        <f>SUM(B649:B651)</f>
        <v>0</v>
      </c>
      <c r="C652" s="152">
        <f>SUM(C649:C651)</f>
        <v>245406.02862510949</v>
      </c>
      <c r="D652" s="152">
        <f t="shared" ref="D652:AP652" si="414">SUM(D649:D651)</f>
        <v>490812.05725021899</v>
      </c>
      <c r="E652" s="152">
        <f t="shared" si="414"/>
        <v>736218.08587532851</v>
      </c>
      <c r="F652" s="152">
        <f t="shared" si="414"/>
        <v>981624.11450043798</v>
      </c>
      <c r="G652" s="152">
        <f t="shared" si="414"/>
        <v>1227030.1431255476</v>
      </c>
      <c r="H652" s="152">
        <f t="shared" si="414"/>
        <v>1472436.171750657</v>
      </c>
      <c r="I652" s="152">
        <f t="shared" si="414"/>
        <v>1717842.2003757665</v>
      </c>
      <c r="J652" s="152">
        <f t="shared" si="414"/>
        <v>1963248.229000876</v>
      </c>
      <c r="K652" s="152">
        <f t="shared" si="414"/>
        <v>2208654.2576259854</v>
      </c>
      <c r="L652" s="152">
        <f t="shared" si="414"/>
        <v>2454060.2862510951</v>
      </c>
      <c r="M652" s="152">
        <f t="shared" si="414"/>
        <v>2699466.3148762048</v>
      </c>
      <c r="N652" s="152">
        <f t="shared" si="414"/>
        <v>0</v>
      </c>
      <c r="O652" s="152">
        <f t="shared" si="414"/>
        <v>293411.90721039008</v>
      </c>
      <c r="P652" s="152">
        <f t="shared" si="414"/>
        <v>586823.81442078017</v>
      </c>
      <c r="Q652" s="152">
        <f t="shared" si="414"/>
        <v>880235.72163117025</v>
      </c>
      <c r="R652" s="152">
        <f t="shared" si="414"/>
        <v>1173647.6288415603</v>
      </c>
      <c r="S652" s="152">
        <f t="shared" si="414"/>
        <v>1467059.5360519504</v>
      </c>
      <c r="T652" s="152">
        <f t="shared" si="414"/>
        <v>1760471.4432623405</v>
      </c>
      <c r="U652" s="152">
        <f t="shared" si="414"/>
        <v>2053883.3504727306</v>
      </c>
      <c r="V652" s="152">
        <f t="shared" si="414"/>
        <v>2347295.2576831207</v>
      </c>
      <c r="W652" s="152">
        <f t="shared" si="414"/>
        <v>2640707.1648935108</v>
      </c>
      <c r="X652" s="152">
        <f t="shared" si="414"/>
        <v>2934119.0721039008</v>
      </c>
      <c r="Y652" s="152">
        <f t="shared" si="414"/>
        <v>3227530.9793142909</v>
      </c>
      <c r="Z652" s="152">
        <f t="shared" si="414"/>
        <v>0</v>
      </c>
      <c r="AA652" s="152">
        <f t="shared" si="414"/>
        <v>0</v>
      </c>
      <c r="AB652" s="152">
        <f t="shared" si="414"/>
        <v>0</v>
      </c>
      <c r="AC652" s="152">
        <f t="shared" si="414"/>
        <v>0</v>
      </c>
      <c r="AD652" s="152">
        <f t="shared" si="414"/>
        <v>0</v>
      </c>
      <c r="AE652" s="152">
        <f t="shared" si="414"/>
        <v>0</v>
      </c>
      <c r="AF652" s="152">
        <f t="shared" si="414"/>
        <v>0</v>
      </c>
      <c r="AG652" s="152">
        <f t="shared" si="414"/>
        <v>0</v>
      </c>
      <c r="AH652" s="152">
        <f t="shared" si="414"/>
        <v>0</v>
      </c>
      <c r="AI652" s="152">
        <f t="shared" si="414"/>
        <v>0</v>
      </c>
      <c r="AJ652" s="152">
        <f t="shared" si="414"/>
        <v>0</v>
      </c>
      <c r="AK652" s="152">
        <f t="shared" si="414"/>
        <v>0</v>
      </c>
      <c r="AL652" s="152">
        <f t="shared" si="414"/>
        <v>0</v>
      </c>
      <c r="AM652" s="152">
        <f t="shared" si="414"/>
        <v>0</v>
      </c>
      <c r="AN652" s="152">
        <f t="shared" si="414"/>
        <v>0</v>
      </c>
      <c r="AO652" s="152">
        <f t="shared" si="414"/>
        <v>0</v>
      </c>
      <c r="AP652" s="152">
        <f t="shared" si="414"/>
        <v>0</v>
      </c>
    </row>
    <row r="653" spans="1:42">
      <c r="B653" s="152"/>
      <c r="C653" s="152"/>
      <c r="D653" s="152"/>
      <c r="E653" s="152"/>
      <c r="F653" s="152"/>
      <c r="G653" s="186"/>
      <c r="H653" s="186"/>
      <c r="I653" s="186"/>
      <c r="J653" s="186"/>
      <c r="K653" s="186"/>
      <c r="L653" s="186"/>
      <c r="M653" s="186"/>
      <c r="N653" s="186"/>
      <c r="O653" s="186"/>
      <c r="P653" s="186"/>
      <c r="Q653" s="186"/>
      <c r="R653" s="186"/>
      <c r="S653" s="186"/>
      <c r="T653" s="186"/>
      <c r="U653" s="186"/>
      <c r="V653" s="186"/>
      <c r="W653" s="186"/>
      <c r="X653" s="186"/>
      <c r="Y653" s="186"/>
      <c r="Z653" s="186"/>
      <c r="AA653" s="186"/>
      <c r="AB653" s="186"/>
      <c r="AC653" s="186"/>
      <c r="AD653" s="186"/>
      <c r="AE653" s="186"/>
      <c r="AF653" s="186"/>
      <c r="AG653" s="186"/>
      <c r="AH653" s="186"/>
      <c r="AI653" s="186"/>
      <c r="AJ653" s="186"/>
      <c r="AK653" s="186"/>
      <c r="AL653" s="186"/>
      <c r="AM653" s="186"/>
      <c r="AN653" s="186"/>
      <c r="AO653" s="186"/>
      <c r="AP653" s="186"/>
    </row>
    <row r="654" spans="1:42">
      <c r="A654" s="37" t="s">
        <v>196</v>
      </c>
      <c r="B654" s="152"/>
      <c r="C654" s="152"/>
      <c r="D654" s="152"/>
      <c r="E654" s="152"/>
      <c r="F654" s="152"/>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row>
    <row r="655" spans="1:42">
      <c r="A655" s="37" t="s">
        <v>197</v>
      </c>
      <c r="B655" s="152"/>
      <c r="C655" s="152"/>
      <c r="D655" s="152"/>
      <c r="E655" s="152"/>
      <c r="F655" s="152"/>
      <c r="G655" s="186"/>
      <c r="H655" s="186"/>
      <c r="I655" s="186"/>
      <c r="J655" s="186"/>
      <c r="K655" s="186"/>
      <c r="L655" s="186"/>
      <c r="M655" s="186"/>
      <c r="N655" s="186"/>
      <c r="O655" s="186"/>
      <c r="P655" s="186"/>
      <c r="Q655" s="186"/>
      <c r="R655" s="186"/>
      <c r="S655" s="186"/>
      <c r="T655" s="186"/>
      <c r="U655" s="186"/>
      <c r="V655" s="186"/>
      <c r="W655" s="186"/>
      <c r="X655" s="186"/>
      <c r="Y655" s="186"/>
      <c r="Z655" s="186"/>
      <c r="AA655" s="186"/>
      <c r="AB655" s="186"/>
      <c r="AC655" s="186"/>
      <c r="AD655" s="186"/>
      <c r="AE655" s="186"/>
      <c r="AF655" s="186"/>
      <c r="AG655" s="186"/>
      <c r="AH655" s="186"/>
      <c r="AI655" s="186"/>
      <c r="AJ655" s="186"/>
      <c r="AK655" s="186"/>
      <c r="AL655" s="186"/>
      <c r="AM655" s="186"/>
      <c r="AN655" s="186"/>
      <c r="AO655" s="186"/>
      <c r="AP655" s="186"/>
    </row>
    <row r="656" spans="1:42">
      <c r="A656" s="37">
        <v>1</v>
      </c>
      <c r="B656" s="196">
        <f t="shared" ref="B656:B665" si="415">SUM(C656:AP656)</f>
        <v>2944872.3435013141</v>
      </c>
      <c r="C656" s="186">
        <f t="shared" ref="C656:R665" si="416">IF(C$2&gt;AnalysisPeriod,0,IF(C$2=MMFrequency*$A656,MMCost*CapacityDC*1000*(1+Inflation)^B$2,0))</f>
        <v>0</v>
      </c>
      <c r="D656" s="186">
        <f t="shared" si="416"/>
        <v>0</v>
      </c>
      <c r="E656" s="186">
        <f t="shared" si="416"/>
        <v>0</v>
      </c>
      <c r="F656" s="186">
        <f t="shared" si="416"/>
        <v>0</v>
      </c>
      <c r="G656" s="186">
        <f t="shared" si="416"/>
        <v>0</v>
      </c>
      <c r="H656" s="186">
        <f t="shared" si="416"/>
        <v>0</v>
      </c>
      <c r="I656" s="186">
        <f t="shared" si="416"/>
        <v>0</v>
      </c>
      <c r="J656" s="186">
        <f t="shared" si="416"/>
        <v>0</v>
      </c>
      <c r="K656" s="186">
        <f t="shared" si="416"/>
        <v>0</v>
      </c>
      <c r="L656" s="186">
        <f t="shared" si="416"/>
        <v>0</v>
      </c>
      <c r="M656" s="186">
        <f t="shared" si="416"/>
        <v>0</v>
      </c>
      <c r="N656" s="186">
        <f t="shared" si="416"/>
        <v>2944872.3435013141</v>
      </c>
      <c r="O656" s="186">
        <f t="shared" si="416"/>
        <v>0</v>
      </c>
      <c r="P656" s="186">
        <f t="shared" si="416"/>
        <v>0</v>
      </c>
      <c r="Q656" s="186">
        <f t="shared" si="416"/>
        <v>0</v>
      </c>
      <c r="R656" s="186">
        <f t="shared" si="416"/>
        <v>0</v>
      </c>
      <c r="S656" s="186">
        <f t="shared" ref="S656:AH665" si="417">IF(S$2&gt;AnalysisPeriod,0,IF(S$2=MMFrequency*$A656,MMCost*CapacityDC*1000*(1+Inflation)^R$2,0))</f>
        <v>0</v>
      </c>
      <c r="T656" s="186">
        <f t="shared" si="417"/>
        <v>0</v>
      </c>
      <c r="U656" s="186">
        <f t="shared" si="417"/>
        <v>0</v>
      </c>
      <c r="V656" s="186">
        <f t="shared" si="417"/>
        <v>0</v>
      </c>
      <c r="W656" s="186">
        <f t="shared" si="417"/>
        <v>0</v>
      </c>
      <c r="X656" s="186">
        <f t="shared" si="417"/>
        <v>0</v>
      </c>
      <c r="Y656" s="186">
        <f t="shared" si="417"/>
        <v>0</v>
      </c>
      <c r="Z656" s="186">
        <f t="shared" si="417"/>
        <v>0</v>
      </c>
      <c r="AA656" s="186">
        <f t="shared" si="417"/>
        <v>0</v>
      </c>
      <c r="AB656" s="186">
        <f t="shared" si="417"/>
        <v>0</v>
      </c>
      <c r="AC656" s="186">
        <f t="shared" si="417"/>
        <v>0</v>
      </c>
      <c r="AD656" s="186">
        <f t="shared" si="417"/>
        <v>0</v>
      </c>
      <c r="AE656" s="186">
        <f t="shared" si="417"/>
        <v>0</v>
      </c>
      <c r="AF656" s="186">
        <f t="shared" si="417"/>
        <v>0</v>
      </c>
      <c r="AG656" s="186">
        <f t="shared" si="417"/>
        <v>0</v>
      </c>
      <c r="AH656" s="186">
        <f t="shared" si="417"/>
        <v>0</v>
      </c>
      <c r="AI656" s="186">
        <f t="shared" ref="AI656:AP665" si="418">IF(AI$2&gt;AnalysisPeriod,0,IF(AI$2=MMFrequency*$A656,MMCost*CapacityDC*1000*(1+Inflation)^AH$2,0))</f>
        <v>0</v>
      </c>
      <c r="AJ656" s="186">
        <f t="shared" si="418"/>
        <v>0</v>
      </c>
      <c r="AK656" s="186">
        <f t="shared" si="418"/>
        <v>0</v>
      </c>
      <c r="AL656" s="186">
        <f t="shared" si="418"/>
        <v>0</v>
      </c>
      <c r="AM656" s="186">
        <f t="shared" si="418"/>
        <v>0</v>
      </c>
      <c r="AN656" s="186">
        <f t="shared" si="418"/>
        <v>0</v>
      </c>
      <c r="AO656" s="186">
        <f t="shared" si="418"/>
        <v>0</v>
      </c>
      <c r="AP656" s="186">
        <f t="shared" si="418"/>
        <v>0</v>
      </c>
    </row>
    <row r="657" spans="1:42">
      <c r="A657" s="37">
        <f>A656+1</f>
        <v>2</v>
      </c>
      <c r="B657" s="196">
        <f t="shared" si="415"/>
        <v>3520942.886524681</v>
      </c>
      <c r="C657" s="186">
        <f t="shared" si="416"/>
        <v>0</v>
      </c>
      <c r="D657" s="186">
        <f t="shared" si="416"/>
        <v>0</v>
      </c>
      <c r="E657" s="186">
        <f t="shared" si="416"/>
        <v>0</v>
      </c>
      <c r="F657" s="186">
        <f t="shared" si="416"/>
        <v>0</v>
      </c>
      <c r="G657" s="186">
        <f t="shared" si="416"/>
        <v>0</v>
      </c>
      <c r="H657" s="186">
        <f t="shared" si="416"/>
        <v>0</v>
      </c>
      <c r="I657" s="186">
        <f t="shared" si="416"/>
        <v>0</v>
      </c>
      <c r="J657" s="186">
        <f t="shared" si="416"/>
        <v>0</v>
      </c>
      <c r="K657" s="186">
        <f t="shared" si="416"/>
        <v>0</v>
      </c>
      <c r="L657" s="186">
        <f t="shared" si="416"/>
        <v>0</v>
      </c>
      <c r="M657" s="186">
        <f t="shared" si="416"/>
        <v>0</v>
      </c>
      <c r="N657" s="186">
        <f t="shared" si="416"/>
        <v>0</v>
      </c>
      <c r="O657" s="186">
        <f t="shared" si="416"/>
        <v>0</v>
      </c>
      <c r="P657" s="186">
        <f t="shared" si="416"/>
        <v>0</v>
      </c>
      <c r="Q657" s="186">
        <f t="shared" si="416"/>
        <v>0</v>
      </c>
      <c r="R657" s="186">
        <f t="shared" si="416"/>
        <v>0</v>
      </c>
      <c r="S657" s="186">
        <f t="shared" si="417"/>
        <v>0</v>
      </c>
      <c r="T657" s="186">
        <f t="shared" si="417"/>
        <v>0</v>
      </c>
      <c r="U657" s="186">
        <f t="shared" si="417"/>
        <v>0</v>
      </c>
      <c r="V657" s="186">
        <f t="shared" si="417"/>
        <v>0</v>
      </c>
      <c r="W657" s="186">
        <f t="shared" si="417"/>
        <v>0</v>
      </c>
      <c r="X657" s="186">
        <f t="shared" si="417"/>
        <v>0</v>
      </c>
      <c r="Y657" s="186">
        <f t="shared" si="417"/>
        <v>0</v>
      </c>
      <c r="Z657" s="186">
        <f t="shared" si="417"/>
        <v>3520942.886524681</v>
      </c>
      <c r="AA657" s="186">
        <f t="shared" si="417"/>
        <v>0</v>
      </c>
      <c r="AB657" s="186">
        <f t="shared" si="417"/>
        <v>0</v>
      </c>
      <c r="AC657" s="186">
        <f t="shared" si="417"/>
        <v>0</v>
      </c>
      <c r="AD657" s="186">
        <f t="shared" si="417"/>
        <v>0</v>
      </c>
      <c r="AE657" s="186">
        <f t="shared" si="417"/>
        <v>0</v>
      </c>
      <c r="AF657" s="186">
        <f t="shared" si="417"/>
        <v>0</v>
      </c>
      <c r="AG657" s="186">
        <f t="shared" si="417"/>
        <v>0</v>
      </c>
      <c r="AH657" s="186">
        <f t="shared" si="417"/>
        <v>0</v>
      </c>
      <c r="AI657" s="186">
        <f t="shared" si="418"/>
        <v>0</v>
      </c>
      <c r="AJ657" s="186">
        <f t="shared" si="418"/>
        <v>0</v>
      </c>
      <c r="AK657" s="186">
        <f t="shared" si="418"/>
        <v>0</v>
      </c>
      <c r="AL657" s="186">
        <f t="shared" si="418"/>
        <v>0</v>
      </c>
      <c r="AM657" s="186">
        <f t="shared" si="418"/>
        <v>0</v>
      </c>
      <c r="AN657" s="186">
        <f t="shared" si="418"/>
        <v>0</v>
      </c>
      <c r="AO657" s="186">
        <f t="shared" si="418"/>
        <v>0</v>
      </c>
      <c r="AP657" s="186">
        <f t="shared" si="418"/>
        <v>0</v>
      </c>
    </row>
    <row r="658" spans="1:42">
      <c r="A658" s="37">
        <f t="shared" ref="A658:A665" si="419">A657+1</f>
        <v>3</v>
      </c>
      <c r="B658" s="196">
        <f t="shared" si="415"/>
        <v>0</v>
      </c>
      <c r="C658" s="186">
        <f t="shared" si="416"/>
        <v>0</v>
      </c>
      <c r="D658" s="186">
        <f t="shared" si="416"/>
        <v>0</v>
      </c>
      <c r="E658" s="186">
        <f t="shared" si="416"/>
        <v>0</v>
      </c>
      <c r="F658" s="186">
        <f t="shared" si="416"/>
        <v>0</v>
      </c>
      <c r="G658" s="186">
        <f t="shared" si="416"/>
        <v>0</v>
      </c>
      <c r="H658" s="186">
        <f t="shared" si="416"/>
        <v>0</v>
      </c>
      <c r="I658" s="186">
        <f t="shared" si="416"/>
        <v>0</v>
      </c>
      <c r="J658" s="186">
        <f t="shared" si="416"/>
        <v>0</v>
      </c>
      <c r="K658" s="186">
        <f t="shared" si="416"/>
        <v>0</v>
      </c>
      <c r="L658" s="186">
        <f t="shared" si="416"/>
        <v>0</v>
      </c>
      <c r="M658" s="186">
        <f t="shared" si="416"/>
        <v>0</v>
      </c>
      <c r="N658" s="186">
        <f t="shared" si="416"/>
        <v>0</v>
      </c>
      <c r="O658" s="186">
        <f t="shared" si="416"/>
        <v>0</v>
      </c>
      <c r="P658" s="186">
        <f t="shared" si="416"/>
        <v>0</v>
      </c>
      <c r="Q658" s="186">
        <f t="shared" si="416"/>
        <v>0</v>
      </c>
      <c r="R658" s="186">
        <f t="shared" si="416"/>
        <v>0</v>
      </c>
      <c r="S658" s="186">
        <f t="shared" si="417"/>
        <v>0</v>
      </c>
      <c r="T658" s="186">
        <f t="shared" si="417"/>
        <v>0</v>
      </c>
      <c r="U658" s="186">
        <f t="shared" si="417"/>
        <v>0</v>
      </c>
      <c r="V658" s="186">
        <f t="shared" si="417"/>
        <v>0</v>
      </c>
      <c r="W658" s="186">
        <f t="shared" si="417"/>
        <v>0</v>
      </c>
      <c r="X658" s="186">
        <f t="shared" si="417"/>
        <v>0</v>
      </c>
      <c r="Y658" s="186">
        <f t="shared" si="417"/>
        <v>0</v>
      </c>
      <c r="Z658" s="186">
        <f t="shared" si="417"/>
        <v>0</v>
      </c>
      <c r="AA658" s="186">
        <f t="shared" si="417"/>
        <v>0</v>
      </c>
      <c r="AB658" s="186">
        <f t="shared" si="417"/>
        <v>0</v>
      </c>
      <c r="AC658" s="186">
        <f t="shared" si="417"/>
        <v>0</v>
      </c>
      <c r="AD658" s="186">
        <f t="shared" si="417"/>
        <v>0</v>
      </c>
      <c r="AE658" s="186">
        <f t="shared" si="417"/>
        <v>0</v>
      </c>
      <c r="AF658" s="186">
        <f t="shared" si="417"/>
        <v>0</v>
      </c>
      <c r="AG658" s="186">
        <f t="shared" si="417"/>
        <v>0</v>
      </c>
      <c r="AH658" s="186">
        <f t="shared" si="417"/>
        <v>0</v>
      </c>
      <c r="AI658" s="186">
        <f t="shared" si="418"/>
        <v>0</v>
      </c>
      <c r="AJ658" s="186">
        <f t="shared" si="418"/>
        <v>0</v>
      </c>
      <c r="AK658" s="186">
        <f t="shared" si="418"/>
        <v>0</v>
      </c>
      <c r="AL658" s="186">
        <f t="shared" si="418"/>
        <v>0</v>
      </c>
      <c r="AM658" s="186">
        <f t="shared" si="418"/>
        <v>0</v>
      </c>
      <c r="AN658" s="186">
        <f t="shared" si="418"/>
        <v>0</v>
      </c>
      <c r="AO658" s="186">
        <f t="shared" si="418"/>
        <v>0</v>
      </c>
      <c r="AP658" s="186">
        <f t="shared" si="418"/>
        <v>0</v>
      </c>
    </row>
    <row r="659" spans="1:42">
      <c r="A659" s="37">
        <f t="shared" si="419"/>
        <v>4</v>
      </c>
      <c r="B659" s="196">
        <f t="shared" si="415"/>
        <v>0</v>
      </c>
      <c r="C659" s="186">
        <f t="shared" si="416"/>
        <v>0</v>
      </c>
      <c r="D659" s="186">
        <f t="shared" si="416"/>
        <v>0</v>
      </c>
      <c r="E659" s="186">
        <f t="shared" si="416"/>
        <v>0</v>
      </c>
      <c r="F659" s="186">
        <f t="shared" si="416"/>
        <v>0</v>
      </c>
      <c r="G659" s="186">
        <f t="shared" si="416"/>
        <v>0</v>
      </c>
      <c r="H659" s="186">
        <f t="shared" si="416"/>
        <v>0</v>
      </c>
      <c r="I659" s="186">
        <f t="shared" si="416"/>
        <v>0</v>
      </c>
      <c r="J659" s="186">
        <f t="shared" si="416"/>
        <v>0</v>
      </c>
      <c r="K659" s="186">
        <f t="shared" si="416"/>
        <v>0</v>
      </c>
      <c r="L659" s="186">
        <f t="shared" si="416"/>
        <v>0</v>
      </c>
      <c r="M659" s="186">
        <f t="shared" si="416"/>
        <v>0</v>
      </c>
      <c r="N659" s="186">
        <f t="shared" si="416"/>
        <v>0</v>
      </c>
      <c r="O659" s="186">
        <f t="shared" si="416"/>
        <v>0</v>
      </c>
      <c r="P659" s="186">
        <f t="shared" si="416"/>
        <v>0</v>
      </c>
      <c r="Q659" s="186">
        <f t="shared" si="416"/>
        <v>0</v>
      </c>
      <c r="R659" s="186">
        <f t="shared" si="416"/>
        <v>0</v>
      </c>
      <c r="S659" s="186">
        <f t="shared" si="417"/>
        <v>0</v>
      </c>
      <c r="T659" s="186">
        <f t="shared" si="417"/>
        <v>0</v>
      </c>
      <c r="U659" s="186">
        <f t="shared" si="417"/>
        <v>0</v>
      </c>
      <c r="V659" s="186">
        <f t="shared" si="417"/>
        <v>0</v>
      </c>
      <c r="W659" s="186">
        <f t="shared" si="417"/>
        <v>0</v>
      </c>
      <c r="X659" s="186">
        <f t="shared" si="417"/>
        <v>0</v>
      </c>
      <c r="Y659" s="186">
        <f t="shared" si="417"/>
        <v>0</v>
      </c>
      <c r="Z659" s="186">
        <f t="shared" si="417"/>
        <v>0</v>
      </c>
      <c r="AA659" s="186">
        <f t="shared" si="417"/>
        <v>0</v>
      </c>
      <c r="AB659" s="186">
        <f t="shared" si="417"/>
        <v>0</v>
      </c>
      <c r="AC659" s="186">
        <f t="shared" si="417"/>
        <v>0</v>
      </c>
      <c r="AD659" s="186">
        <f t="shared" si="417"/>
        <v>0</v>
      </c>
      <c r="AE659" s="186">
        <f t="shared" si="417"/>
        <v>0</v>
      </c>
      <c r="AF659" s="186">
        <f t="shared" si="417"/>
        <v>0</v>
      </c>
      <c r="AG659" s="186">
        <f t="shared" si="417"/>
        <v>0</v>
      </c>
      <c r="AH659" s="186">
        <f t="shared" si="417"/>
        <v>0</v>
      </c>
      <c r="AI659" s="186">
        <f t="shared" si="418"/>
        <v>0</v>
      </c>
      <c r="AJ659" s="186">
        <f t="shared" si="418"/>
        <v>0</v>
      </c>
      <c r="AK659" s="186">
        <f t="shared" si="418"/>
        <v>0</v>
      </c>
      <c r="AL659" s="186">
        <f t="shared" si="418"/>
        <v>0</v>
      </c>
      <c r="AM659" s="186">
        <f t="shared" si="418"/>
        <v>0</v>
      </c>
      <c r="AN659" s="186">
        <f t="shared" si="418"/>
        <v>0</v>
      </c>
      <c r="AO659" s="186">
        <f t="shared" si="418"/>
        <v>0</v>
      </c>
      <c r="AP659" s="186">
        <f t="shared" si="418"/>
        <v>0</v>
      </c>
    </row>
    <row r="660" spans="1:42">
      <c r="A660" s="37">
        <f t="shared" si="419"/>
        <v>5</v>
      </c>
      <c r="B660" s="196">
        <f t="shared" si="415"/>
        <v>0</v>
      </c>
      <c r="C660" s="186">
        <f t="shared" si="416"/>
        <v>0</v>
      </c>
      <c r="D660" s="186">
        <f t="shared" si="416"/>
        <v>0</v>
      </c>
      <c r="E660" s="186">
        <f t="shared" si="416"/>
        <v>0</v>
      </c>
      <c r="F660" s="186">
        <f t="shared" si="416"/>
        <v>0</v>
      </c>
      <c r="G660" s="186">
        <f t="shared" si="416"/>
        <v>0</v>
      </c>
      <c r="H660" s="186">
        <f t="shared" si="416"/>
        <v>0</v>
      </c>
      <c r="I660" s="186">
        <f t="shared" si="416"/>
        <v>0</v>
      </c>
      <c r="J660" s="186">
        <f t="shared" si="416"/>
        <v>0</v>
      </c>
      <c r="K660" s="186">
        <f t="shared" si="416"/>
        <v>0</v>
      </c>
      <c r="L660" s="186">
        <f t="shared" si="416"/>
        <v>0</v>
      </c>
      <c r="M660" s="186">
        <f t="shared" si="416"/>
        <v>0</v>
      </c>
      <c r="N660" s="186">
        <f t="shared" si="416"/>
        <v>0</v>
      </c>
      <c r="O660" s="186">
        <f t="shared" si="416"/>
        <v>0</v>
      </c>
      <c r="P660" s="186">
        <f t="shared" si="416"/>
        <v>0</v>
      </c>
      <c r="Q660" s="186">
        <f t="shared" si="416"/>
        <v>0</v>
      </c>
      <c r="R660" s="186">
        <f t="shared" si="416"/>
        <v>0</v>
      </c>
      <c r="S660" s="186">
        <f t="shared" si="417"/>
        <v>0</v>
      </c>
      <c r="T660" s="186">
        <f t="shared" si="417"/>
        <v>0</v>
      </c>
      <c r="U660" s="186">
        <f t="shared" si="417"/>
        <v>0</v>
      </c>
      <c r="V660" s="186">
        <f t="shared" si="417"/>
        <v>0</v>
      </c>
      <c r="W660" s="186">
        <f t="shared" si="417"/>
        <v>0</v>
      </c>
      <c r="X660" s="186">
        <f t="shared" si="417"/>
        <v>0</v>
      </c>
      <c r="Y660" s="186">
        <f t="shared" si="417"/>
        <v>0</v>
      </c>
      <c r="Z660" s="186">
        <f t="shared" si="417"/>
        <v>0</v>
      </c>
      <c r="AA660" s="186">
        <f t="shared" si="417"/>
        <v>0</v>
      </c>
      <c r="AB660" s="186">
        <f t="shared" si="417"/>
        <v>0</v>
      </c>
      <c r="AC660" s="186">
        <f t="shared" si="417"/>
        <v>0</v>
      </c>
      <c r="AD660" s="186">
        <f t="shared" si="417"/>
        <v>0</v>
      </c>
      <c r="AE660" s="186">
        <f t="shared" si="417"/>
        <v>0</v>
      </c>
      <c r="AF660" s="186">
        <f t="shared" si="417"/>
        <v>0</v>
      </c>
      <c r="AG660" s="186">
        <f t="shared" si="417"/>
        <v>0</v>
      </c>
      <c r="AH660" s="186">
        <f t="shared" si="417"/>
        <v>0</v>
      </c>
      <c r="AI660" s="186">
        <f t="shared" si="418"/>
        <v>0</v>
      </c>
      <c r="AJ660" s="186">
        <f t="shared" si="418"/>
        <v>0</v>
      </c>
      <c r="AK660" s="186">
        <f t="shared" si="418"/>
        <v>0</v>
      </c>
      <c r="AL660" s="186">
        <f t="shared" si="418"/>
        <v>0</v>
      </c>
      <c r="AM660" s="186">
        <f t="shared" si="418"/>
        <v>0</v>
      </c>
      <c r="AN660" s="186">
        <f t="shared" si="418"/>
        <v>0</v>
      </c>
      <c r="AO660" s="186">
        <f t="shared" si="418"/>
        <v>0</v>
      </c>
      <c r="AP660" s="186">
        <f t="shared" si="418"/>
        <v>0</v>
      </c>
    </row>
    <row r="661" spans="1:42">
      <c r="A661" s="37">
        <f t="shared" si="419"/>
        <v>6</v>
      </c>
      <c r="B661" s="196">
        <f t="shared" si="415"/>
        <v>0</v>
      </c>
      <c r="C661" s="186">
        <f t="shared" si="416"/>
        <v>0</v>
      </c>
      <c r="D661" s="186">
        <f t="shared" si="416"/>
        <v>0</v>
      </c>
      <c r="E661" s="186">
        <f t="shared" si="416"/>
        <v>0</v>
      </c>
      <c r="F661" s="186">
        <f t="shared" si="416"/>
        <v>0</v>
      </c>
      <c r="G661" s="186">
        <f t="shared" si="416"/>
        <v>0</v>
      </c>
      <c r="H661" s="186">
        <f t="shared" si="416"/>
        <v>0</v>
      </c>
      <c r="I661" s="186">
        <f t="shared" si="416"/>
        <v>0</v>
      </c>
      <c r="J661" s="186">
        <f t="shared" si="416"/>
        <v>0</v>
      </c>
      <c r="K661" s="186">
        <f t="shared" si="416"/>
        <v>0</v>
      </c>
      <c r="L661" s="186">
        <f t="shared" si="416"/>
        <v>0</v>
      </c>
      <c r="M661" s="186">
        <f t="shared" si="416"/>
        <v>0</v>
      </c>
      <c r="N661" s="186">
        <f t="shared" si="416"/>
        <v>0</v>
      </c>
      <c r="O661" s="186">
        <f t="shared" si="416"/>
        <v>0</v>
      </c>
      <c r="P661" s="186">
        <f t="shared" si="416"/>
        <v>0</v>
      </c>
      <c r="Q661" s="186">
        <f t="shared" si="416"/>
        <v>0</v>
      </c>
      <c r="R661" s="186">
        <f t="shared" si="416"/>
        <v>0</v>
      </c>
      <c r="S661" s="186">
        <f t="shared" si="417"/>
        <v>0</v>
      </c>
      <c r="T661" s="186">
        <f t="shared" si="417"/>
        <v>0</v>
      </c>
      <c r="U661" s="186">
        <f t="shared" si="417"/>
        <v>0</v>
      </c>
      <c r="V661" s="186">
        <f t="shared" si="417"/>
        <v>0</v>
      </c>
      <c r="W661" s="186">
        <f t="shared" si="417"/>
        <v>0</v>
      </c>
      <c r="X661" s="186">
        <f t="shared" si="417"/>
        <v>0</v>
      </c>
      <c r="Y661" s="186">
        <f t="shared" si="417"/>
        <v>0</v>
      </c>
      <c r="Z661" s="186">
        <f t="shared" si="417"/>
        <v>0</v>
      </c>
      <c r="AA661" s="186">
        <f t="shared" si="417"/>
        <v>0</v>
      </c>
      <c r="AB661" s="186">
        <f t="shared" si="417"/>
        <v>0</v>
      </c>
      <c r="AC661" s="186">
        <f t="shared" si="417"/>
        <v>0</v>
      </c>
      <c r="AD661" s="186">
        <f t="shared" si="417"/>
        <v>0</v>
      </c>
      <c r="AE661" s="186">
        <f t="shared" si="417"/>
        <v>0</v>
      </c>
      <c r="AF661" s="186">
        <f t="shared" si="417"/>
        <v>0</v>
      </c>
      <c r="AG661" s="186">
        <f t="shared" si="417"/>
        <v>0</v>
      </c>
      <c r="AH661" s="186">
        <f t="shared" si="417"/>
        <v>0</v>
      </c>
      <c r="AI661" s="186">
        <f t="shared" si="418"/>
        <v>0</v>
      </c>
      <c r="AJ661" s="186">
        <f t="shared" si="418"/>
        <v>0</v>
      </c>
      <c r="AK661" s="186">
        <f t="shared" si="418"/>
        <v>0</v>
      </c>
      <c r="AL661" s="186">
        <f t="shared" si="418"/>
        <v>0</v>
      </c>
      <c r="AM661" s="186">
        <f t="shared" si="418"/>
        <v>0</v>
      </c>
      <c r="AN661" s="186">
        <f t="shared" si="418"/>
        <v>0</v>
      </c>
      <c r="AO661" s="186">
        <f t="shared" si="418"/>
        <v>0</v>
      </c>
      <c r="AP661" s="186">
        <f t="shared" si="418"/>
        <v>0</v>
      </c>
    </row>
    <row r="662" spans="1:42">
      <c r="A662" s="37">
        <f t="shared" si="419"/>
        <v>7</v>
      </c>
      <c r="B662" s="196">
        <f t="shared" si="415"/>
        <v>0</v>
      </c>
      <c r="C662" s="186">
        <f t="shared" si="416"/>
        <v>0</v>
      </c>
      <c r="D662" s="186">
        <f t="shared" si="416"/>
        <v>0</v>
      </c>
      <c r="E662" s="186">
        <f t="shared" si="416"/>
        <v>0</v>
      </c>
      <c r="F662" s="186">
        <f t="shared" si="416"/>
        <v>0</v>
      </c>
      <c r="G662" s="186">
        <f t="shared" si="416"/>
        <v>0</v>
      </c>
      <c r="H662" s="186">
        <f t="shared" si="416"/>
        <v>0</v>
      </c>
      <c r="I662" s="186">
        <f t="shared" si="416"/>
        <v>0</v>
      </c>
      <c r="J662" s="186">
        <f t="shared" si="416"/>
        <v>0</v>
      </c>
      <c r="K662" s="186">
        <f t="shared" si="416"/>
        <v>0</v>
      </c>
      <c r="L662" s="186">
        <f t="shared" si="416"/>
        <v>0</v>
      </c>
      <c r="M662" s="186">
        <f t="shared" si="416"/>
        <v>0</v>
      </c>
      <c r="N662" s="186">
        <f t="shared" si="416"/>
        <v>0</v>
      </c>
      <c r="O662" s="186">
        <f t="shared" si="416"/>
        <v>0</v>
      </c>
      <c r="P662" s="186">
        <f t="shared" si="416"/>
        <v>0</v>
      </c>
      <c r="Q662" s="186">
        <f t="shared" si="416"/>
        <v>0</v>
      </c>
      <c r="R662" s="186">
        <f t="shared" si="416"/>
        <v>0</v>
      </c>
      <c r="S662" s="186">
        <f t="shared" si="417"/>
        <v>0</v>
      </c>
      <c r="T662" s="186">
        <f t="shared" si="417"/>
        <v>0</v>
      </c>
      <c r="U662" s="186">
        <f t="shared" si="417"/>
        <v>0</v>
      </c>
      <c r="V662" s="186">
        <f t="shared" si="417"/>
        <v>0</v>
      </c>
      <c r="W662" s="186">
        <f t="shared" si="417"/>
        <v>0</v>
      </c>
      <c r="X662" s="186">
        <f t="shared" si="417"/>
        <v>0</v>
      </c>
      <c r="Y662" s="186">
        <f t="shared" si="417"/>
        <v>0</v>
      </c>
      <c r="Z662" s="186">
        <f t="shared" si="417"/>
        <v>0</v>
      </c>
      <c r="AA662" s="186">
        <f t="shared" si="417"/>
        <v>0</v>
      </c>
      <c r="AB662" s="186">
        <f t="shared" si="417"/>
        <v>0</v>
      </c>
      <c r="AC662" s="186">
        <f t="shared" si="417"/>
        <v>0</v>
      </c>
      <c r="AD662" s="186">
        <f t="shared" si="417"/>
        <v>0</v>
      </c>
      <c r="AE662" s="186">
        <f t="shared" si="417"/>
        <v>0</v>
      </c>
      <c r="AF662" s="186">
        <f t="shared" si="417"/>
        <v>0</v>
      </c>
      <c r="AG662" s="186">
        <f t="shared" si="417"/>
        <v>0</v>
      </c>
      <c r="AH662" s="186">
        <f t="shared" si="417"/>
        <v>0</v>
      </c>
      <c r="AI662" s="186">
        <f t="shared" si="418"/>
        <v>0</v>
      </c>
      <c r="AJ662" s="186">
        <f t="shared" si="418"/>
        <v>0</v>
      </c>
      <c r="AK662" s="186">
        <f t="shared" si="418"/>
        <v>0</v>
      </c>
      <c r="AL662" s="186">
        <f t="shared" si="418"/>
        <v>0</v>
      </c>
      <c r="AM662" s="186">
        <f t="shared" si="418"/>
        <v>0</v>
      </c>
      <c r="AN662" s="186">
        <f t="shared" si="418"/>
        <v>0</v>
      </c>
      <c r="AO662" s="186">
        <f t="shared" si="418"/>
        <v>0</v>
      </c>
      <c r="AP662" s="186">
        <f t="shared" si="418"/>
        <v>0</v>
      </c>
    </row>
    <row r="663" spans="1:42">
      <c r="A663" s="37">
        <f t="shared" si="419"/>
        <v>8</v>
      </c>
      <c r="B663" s="196">
        <f t="shared" si="415"/>
        <v>0</v>
      </c>
      <c r="C663" s="186">
        <f t="shared" si="416"/>
        <v>0</v>
      </c>
      <c r="D663" s="186">
        <f t="shared" si="416"/>
        <v>0</v>
      </c>
      <c r="E663" s="186">
        <f t="shared" si="416"/>
        <v>0</v>
      </c>
      <c r="F663" s="186">
        <f t="shared" si="416"/>
        <v>0</v>
      </c>
      <c r="G663" s="186">
        <f t="shared" si="416"/>
        <v>0</v>
      </c>
      <c r="H663" s="186">
        <f t="shared" si="416"/>
        <v>0</v>
      </c>
      <c r="I663" s="186">
        <f t="shared" si="416"/>
        <v>0</v>
      </c>
      <c r="J663" s="186">
        <f t="shared" si="416"/>
        <v>0</v>
      </c>
      <c r="K663" s="186">
        <f t="shared" si="416"/>
        <v>0</v>
      </c>
      <c r="L663" s="186">
        <f t="shared" si="416"/>
        <v>0</v>
      </c>
      <c r="M663" s="186">
        <f t="shared" si="416"/>
        <v>0</v>
      </c>
      <c r="N663" s="186">
        <f t="shared" si="416"/>
        <v>0</v>
      </c>
      <c r="O663" s="186">
        <f t="shared" si="416"/>
        <v>0</v>
      </c>
      <c r="P663" s="186">
        <f t="shared" si="416"/>
        <v>0</v>
      </c>
      <c r="Q663" s="186">
        <f t="shared" si="416"/>
        <v>0</v>
      </c>
      <c r="R663" s="186">
        <f t="shared" si="416"/>
        <v>0</v>
      </c>
      <c r="S663" s="186">
        <f t="shared" si="417"/>
        <v>0</v>
      </c>
      <c r="T663" s="186">
        <f t="shared" si="417"/>
        <v>0</v>
      </c>
      <c r="U663" s="186">
        <f t="shared" si="417"/>
        <v>0</v>
      </c>
      <c r="V663" s="186">
        <f t="shared" si="417"/>
        <v>0</v>
      </c>
      <c r="W663" s="186">
        <f t="shared" si="417"/>
        <v>0</v>
      </c>
      <c r="X663" s="186">
        <f t="shared" si="417"/>
        <v>0</v>
      </c>
      <c r="Y663" s="186">
        <f t="shared" si="417"/>
        <v>0</v>
      </c>
      <c r="Z663" s="186">
        <f t="shared" si="417"/>
        <v>0</v>
      </c>
      <c r="AA663" s="186">
        <f t="shared" si="417"/>
        <v>0</v>
      </c>
      <c r="AB663" s="186">
        <f t="shared" si="417"/>
        <v>0</v>
      </c>
      <c r="AC663" s="186">
        <f t="shared" si="417"/>
        <v>0</v>
      </c>
      <c r="AD663" s="186">
        <f t="shared" si="417"/>
        <v>0</v>
      </c>
      <c r="AE663" s="186">
        <f t="shared" si="417"/>
        <v>0</v>
      </c>
      <c r="AF663" s="186">
        <f t="shared" si="417"/>
        <v>0</v>
      </c>
      <c r="AG663" s="186">
        <f t="shared" si="417"/>
        <v>0</v>
      </c>
      <c r="AH663" s="186">
        <f t="shared" si="417"/>
        <v>0</v>
      </c>
      <c r="AI663" s="186">
        <f t="shared" si="418"/>
        <v>0</v>
      </c>
      <c r="AJ663" s="186">
        <f t="shared" si="418"/>
        <v>0</v>
      </c>
      <c r="AK663" s="186">
        <f t="shared" si="418"/>
        <v>0</v>
      </c>
      <c r="AL663" s="186">
        <f t="shared" si="418"/>
        <v>0</v>
      </c>
      <c r="AM663" s="186">
        <f t="shared" si="418"/>
        <v>0</v>
      </c>
      <c r="AN663" s="186">
        <f t="shared" si="418"/>
        <v>0</v>
      </c>
      <c r="AO663" s="186">
        <f t="shared" si="418"/>
        <v>0</v>
      </c>
      <c r="AP663" s="186">
        <f t="shared" si="418"/>
        <v>0</v>
      </c>
    </row>
    <row r="664" spans="1:42">
      <c r="A664" s="37">
        <f>A663+1</f>
        <v>9</v>
      </c>
      <c r="B664" s="196">
        <f t="shared" si="415"/>
        <v>0</v>
      </c>
      <c r="C664" s="186">
        <f t="shared" si="416"/>
        <v>0</v>
      </c>
      <c r="D664" s="186">
        <f t="shared" si="416"/>
        <v>0</v>
      </c>
      <c r="E664" s="186">
        <f t="shared" si="416"/>
        <v>0</v>
      </c>
      <c r="F664" s="186">
        <f t="shared" si="416"/>
        <v>0</v>
      </c>
      <c r="G664" s="186">
        <f t="shared" si="416"/>
        <v>0</v>
      </c>
      <c r="H664" s="186">
        <f t="shared" si="416"/>
        <v>0</v>
      </c>
      <c r="I664" s="186">
        <f t="shared" si="416"/>
        <v>0</v>
      </c>
      <c r="J664" s="186">
        <f t="shared" si="416"/>
        <v>0</v>
      </c>
      <c r="K664" s="186">
        <f t="shared" si="416"/>
        <v>0</v>
      </c>
      <c r="L664" s="186">
        <f t="shared" si="416"/>
        <v>0</v>
      </c>
      <c r="M664" s="186">
        <f t="shared" si="416"/>
        <v>0</v>
      </c>
      <c r="N664" s="186">
        <f t="shared" si="416"/>
        <v>0</v>
      </c>
      <c r="O664" s="186">
        <f t="shared" si="416"/>
        <v>0</v>
      </c>
      <c r="P664" s="186">
        <f t="shared" si="416"/>
        <v>0</v>
      </c>
      <c r="Q664" s="186">
        <f t="shared" si="416"/>
        <v>0</v>
      </c>
      <c r="R664" s="186">
        <f t="shared" si="416"/>
        <v>0</v>
      </c>
      <c r="S664" s="186">
        <f t="shared" si="417"/>
        <v>0</v>
      </c>
      <c r="T664" s="186">
        <f t="shared" si="417"/>
        <v>0</v>
      </c>
      <c r="U664" s="186">
        <f t="shared" si="417"/>
        <v>0</v>
      </c>
      <c r="V664" s="186">
        <f t="shared" si="417"/>
        <v>0</v>
      </c>
      <c r="W664" s="186">
        <f t="shared" si="417"/>
        <v>0</v>
      </c>
      <c r="X664" s="186">
        <f t="shared" si="417"/>
        <v>0</v>
      </c>
      <c r="Y664" s="186">
        <f t="shared" si="417"/>
        <v>0</v>
      </c>
      <c r="Z664" s="186">
        <f t="shared" si="417"/>
        <v>0</v>
      </c>
      <c r="AA664" s="186">
        <f t="shared" si="417"/>
        <v>0</v>
      </c>
      <c r="AB664" s="186">
        <f t="shared" si="417"/>
        <v>0</v>
      </c>
      <c r="AC664" s="186">
        <f t="shared" si="417"/>
        <v>0</v>
      </c>
      <c r="AD664" s="186">
        <f t="shared" si="417"/>
        <v>0</v>
      </c>
      <c r="AE664" s="186">
        <f t="shared" si="417"/>
        <v>0</v>
      </c>
      <c r="AF664" s="186">
        <f t="shared" si="417"/>
        <v>0</v>
      </c>
      <c r="AG664" s="186">
        <f t="shared" si="417"/>
        <v>0</v>
      </c>
      <c r="AH664" s="186">
        <f t="shared" si="417"/>
        <v>0</v>
      </c>
      <c r="AI664" s="186">
        <f t="shared" si="418"/>
        <v>0</v>
      </c>
      <c r="AJ664" s="186">
        <f t="shared" si="418"/>
        <v>0</v>
      </c>
      <c r="AK664" s="186">
        <f t="shared" si="418"/>
        <v>0</v>
      </c>
      <c r="AL664" s="186">
        <f t="shared" si="418"/>
        <v>0</v>
      </c>
      <c r="AM664" s="186">
        <f t="shared" si="418"/>
        <v>0</v>
      </c>
      <c r="AN664" s="186">
        <f t="shared" si="418"/>
        <v>0</v>
      </c>
      <c r="AO664" s="186">
        <f t="shared" si="418"/>
        <v>0</v>
      </c>
      <c r="AP664" s="186">
        <f t="shared" si="418"/>
        <v>0</v>
      </c>
    </row>
    <row r="665" spans="1:42">
      <c r="A665" s="37">
        <f t="shared" si="419"/>
        <v>10</v>
      </c>
      <c r="B665" s="196">
        <f t="shared" si="415"/>
        <v>0</v>
      </c>
      <c r="C665" s="187">
        <f t="shared" si="416"/>
        <v>0</v>
      </c>
      <c r="D665" s="187">
        <f t="shared" si="416"/>
        <v>0</v>
      </c>
      <c r="E665" s="187">
        <f t="shared" si="416"/>
        <v>0</v>
      </c>
      <c r="F665" s="187">
        <f t="shared" si="416"/>
        <v>0</v>
      </c>
      <c r="G665" s="187">
        <f t="shared" si="416"/>
        <v>0</v>
      </c>
      <c r="H665" s="187">
        <f t="shared" si="416"/>
        <v>0</v>
      </c>
      <c r="I665" s="187">
        <f t="shared" si="416"/>
        <v>0</v>
      </c>
      <c r="J665" s="187">
        <f t="shared" si="416"/>
        <v>0</v>
      </c>
      <c r="K665" s="187">
        <f t="shared" si="416"/>
        <v>0</v>
      </c>
      <c r="L665" s="187">
        <f t="shared" si="416"/>
        <v>0</v>
      </c>
      <c r="M665" s="187">
        <f t="shared" si="416"/>
        <v>0</v>
      </c>
      <c r="N665" s="187">
        <f t="shared" si="416"/>
        <v>0</v>
      </c>
      <c r="O665" s="187">
        <f t="shared" si="416"/>
        <v>0</v>
      </c>
      <c r="P665" s="187">
        <f t="shared" si="416"/>
        <v>0</v>
      </c>
      <c r="Q665" s="187">
        <f t="shared" si="416"/>
        <v>0</v>
      </c>
      <c r="R665" s="187">
        <f t="shared" si="416"/>
        <v>0</v>
      </c>
      <c r="S665" s="187">
        <f t="shared" si="417"/>
        <v>0</v>
      </c>
      <c r="T665" s="187">
        <f t="shared" si="417"/>
        <v>0</v>
      </c>
      <c r="U665" s="187">
        <f t="shared" si="417"/>
        <v>0</v>
      </c>
      <c r="V665" s="187">
        <f t="shared" si="417"/>
        <v>0</v>
      </c>
      <c r="W665" s="187">
        <f t="shared" si="417"/>
        <v>0</v>
      </c>
      <c r="X665" s="187">
        <f t="shared" si="417"/>
        <v>0</v>
      </c>
      <c r="Y665" s="187">
        <f t="shared" si="417"/>
        <v>0</v>
      </c>
      <c r="Z665" s="187">
        <f t="shared" si="417"/>
        <v>0</v>
      </c>
      <c r="AA665" s="187">
        <f t="shared" si="417"/>
        <v>0</v>
      </c>
      <c r="AB665" s="187">
        <f t="shared" si="417"/>
        <v>0</v>
      </c>
      <c r="AC665" s="187">
        <f t="shared" si="417"/>
        <v>0</v>
      </c>
      <c r="AD665" s="187">
        <f t="shared" si="417"/>
        <v>0</v>
      </c>
      <c r="AE665" s="187">
        <f t="shared" si="417"/>
        <v>0</v>
      </c>
      <c r="AF665" s="187">
        <f t="shared" si="417"/>
        <v>0</v>
      </c>
      <c r="AG665" s="187">
        <f t="shared" si="417"/>
        <v>0</v>
      </c>
      <c r="AH665" s="187">
        <f t="shared" si="417"/>
        <v>0</v>
      </c>
      <c r="AI665" s="187">
        <f t="shared" si="418"/>
        <v>0</v>
      </c>
      <c r="AJ665" s="187">
        <f t="shared" si="418"/>
        <v>0</v>
      </c>
      <c r="AK665" s="187">
        <f t="shared" si="418"/>
        <v>0</v>
      </c>
      <c r="AL665" s="187">
        <f t="shared" si="418"/>
        <v>0</v>
      </c>
      <c r="AM665" s="187">
        <f t="shared" si="418"/>
        <v>0</v>
      </c>
      <c r="AN665" s="187">
        <f t="shared" si="418"/>
        <v>0</v>
      </c>
      <c r="AO665" s="187">
        <f t="shared" si="418"/>
        <v>0</v>
      </c>
      <c r="AP665" s="187">
        <f t="shared" si="418"/>
        <v>0</v>
      </c>
    </row>
    <row r="666" spans="1:42">
      <c r="A666" s="219" t="s">
        <v>53</v>
      </c>
      <c r="B666" s="186"/>
      <c r="C666" s="152">
        <f>SUM(C656:C665)</f>
        <v>0</v>
      </c>
      <c r="D666" s="152">
        <f t="shared" ref="D666:AP666" si="420">SUM(D656:D665)</f>
        <v>0</v>
      </c>
      <c r="E666" s="152">
        <f t="shared" si="420"/>
        <v>0</v>
      </c>
      <c r="F666" s="152">
        <f t="shared" si="420"/>
        <v>0</v>
      </c>
      <c r="G666" s="152">
        <f t="shared" si="420"/>
        <v>0</v>
      </c>
      <c r="H666" s="152">
        <f t="shared" si="420"/>
        <v>0</v>
      </c>
      <c r="I666" s="152">
        <f t="shared" si="420"/>
        <v>0</v>
      </c>
      <c r="J666" s="152">
        <f t="shared" si="420"/>
        <v>0</v>
      </c>
      <c r="K666" s="152">
        <f t="shared" si="420"/>
        <v>0</v>
      </c>
      <c r="L666" s="152">
        <f t="shared" si="420"/>
        <v>0</v>
      </c>
      <c r="M666" s="152">
        <f t="shared" si="420"/>
        <v>0</v>
      </c>
      <c r="N666" s="152">
        <f t="shared" si="420"/>
        <v>2944872.3435013141</v>
      </c>
      <c r="O666" s="152">
        <f t="shared" si="420"/>
        <v>0</v>
      </c>
      <c r="P666" s="152">
        <f t="shared" si="420"/>
        <v>0</v>
      </c>
      <c r="Q666" s="152">
        <f t="shared" si="420"/>
        <v>0</v>
      </c>
      <c r="R666" s="152">
        <f t="shared" si="420"/>
        <v>0</v>
      </c>
      <c r="S666" s="152">
        <f t="shared" si="420"/>
        <v>0</v>
      </c>
      <c r="T666" s="152">
        <f t="shared" si="420"/>
        <v>0</v>
      </c>
      <c r="U666" s="152">
        <f t="shared" si="420"/>
        <v>0</v>
      </c>
      <c r="V666" s="152">
        <f t="shared" si="420"/>
        <v>0</v>
      </c>
      <c r="W666" s="152">
        <f t="shared" si="420"/>
        <v>0</v>
      </c>
      <c r="X666" s="152">
        <f t="shared" si="420"/>
        <v>0</v>
      </c>
      <c r="Y666" s="152">
        <f t="shared" si="420"/>
        <v>0</v>
      </c>
      <c r="Z666" s="152">
        <f t="shared" si="420"/>
        <v>3520942.886524681</v>
      </c>
      <c r="AA666" s="152">
        <f t="shared" si="420"/>
        <v>0</v>
      </c>
      <c r="AB666" s="152">
        <f t="shared" si="420"/>
        <v>0</v>
      </c>
      <c r="AC666" s="152">
        <f t="shared" si="420"/>
        <v>0</v>
      </c>
      <c r="AD666" s="152">
        <f t="shared" si="420"/>
        <v>0</v>
      </c>
      <c r="AE666" s="152">
        <f t="shared" si="420"/>
        <v>0</v>
      </c>
      <c r="AF666" s="152">
        <f t="shared" si="420"/>
        <v>0</v>
      </c>
      <c r="AG666" s="152">
        <f t="shared" si="420"/>
        <v>0</v>
      </c>
      <c r="AH666" s="152">
        <f t="shared" si="420"/>
        <v>0</v>
      </c>
      <c r="AI666" s="152">
        <f t="shared" si="420"/>
        <v>0</v>
      </c>
      <c r="AJ666" s="152">
        <f t="shared" si="420"/>
        <v>0</v>
      </c>
      <c r="AK666" s="152">
        <f t="shared" si="420"/>
        <v>0</v>
      </c>
      <c r="AL666" s="152">
        <f t="shared" si="420"/>
        <v>0</v>
      </c>
      <c r="AM666" s="152">
        <f t="shared" si="420"/>
        <v>0</v>
      </c>
      <c r="AN666" s="152">
        <f t="shared" si="420"/>
        <v>0</v>
      </c>
      <c r="AO666" s="152">
        <f t="shared" si="420"/>
        <v>0</v>
      </c>
      <c r="AP666" s="152">
        <f t="shared" si="420"/>
        <v>0</v>
      </c>
    </row>
    <row r="667" spans="1:42">
      <c r="A667" s="37" t="s">
        <v>199</v>
      </c>
      <c r="B667" s="152"/>
      <c r="C667" s="152"/>
      <c r="D667" s="152"/>
      <c r="E667" s="152"/>
      <c r="F667" s="152"/>
      <c r="G667" s="186"/>
      <c r="H667" s="186"/>
      <c r="I667" s="186"/>
      <c r="J667" s="186"/>
      <c r="K667" s="186"/>
      <c r="L667" s="186"/>
      <c r="M667" s="186"/>
      <c r="N667" s="186"/>
      <c r="O667" s="186"/>
      <c r="P667" s="186"/>
      <c r="Q667" s="186"/>
      <c r="R667" s="186"/>
      <c r="S667" s="186"/>
      <c r="T667" s="186"/>
      <c r="U667" s="186"/>
      <c r="V667" s="186"/>
      <c r="W667" s="186"/>
      <c r="X667" s="186"/>
      <c r="Y667" s="186"/>
      <c r="Z667" s="186"/>
      <c r="AA667" s="186"/>
      <c r="AB667" s="186"/>
      <c r="AC667" s="186"/>
      <c r="AD667" s="186"/>
      <c r="AE667" s="186"/>
      <c r="AF667" s="186"/>
      <c r="AG667" s="186"/>
      <c r="AH667" s="186"/>
      <c r="AI667" s="186"/>
      <c r="AJ667" s="186"/>
      <c r="AK667" s="186"/>
      <c r="AL667" s="186"/>
      <c r="AM667" s="186"/>
      <c r="AN667" s="186"/>
      <c r="AO667" s="186"/>
      <c r="AP667" s="186"/>
    </row>
    <row r="668" spans="1:42">
      <c r="A668" s="37">
        <v>1</v>
      </c>
      <c r="B668" s="196">
        <f t="shared" ref="B668:B677" si="421">SUM(C668:AP668)</f>
        <v>2944872.3435013145</v>
      </c>
      <c r="C668" s="152">
        <f t="shared" ref="C668:AP668" si="422">IF(C$2&lt;=MMFrequency*$A$656,$B$656/(MMFrequency),0)</f>
        <v>245406.02862510949</v>
      </c>
      <c r="D668" s="152">
        <f t="shared" si="422"/>
        <v>245406.02862510949</v>
      </c>
      <c r="E668" s="152">
        <f t="shared" si="422"/>
        <v>245406.02862510949</v>
      </c>
      <c r="F668" s="152">
        <f t="shared" si="422"/>
        <v>245406.02862510949</v>
      </c>
      <c r="G668" s="152">
        <f t="shared" si="422"/>
        <v>245406.02862510949</v>
      </c>
      <c r="H668" s="152">
        <f t="shared" si="422"/>
        <v>245406.02862510949</v>
      </c>
      <c r="I668" s="152">
        <f t="shared" si="422"/>
        <v>245406.02862510949</v>
      </c>
      <c r="J668" s="152">
        <f t="shared" si="422"/>
        <v>245406.02862510949</v>
      </c>
      <c r="K668" s="152">
        <f t="shared" si="422"/>
        <v>245406.02862510949</v>
      </c>
      <c r="L668" s="152">
        <f t="shared" si="422"/>
        <v>245406.02862510949</v>
      </c>
      <c r="M668" s="152">
        <f t="shared" si="422"/>
        <v>245406.02862510949</v>
      </c>
      <c r="N668" s="152">
        <f t="shared" si="422"/>
        <v>245406.02862510949</v>
      </c>
      <c r="O668" s="152">
        <f t="shared" si="422"/>
        <v>0</v>
      </c>
      <c r="P668" s="152">
        <f t="shared" si="422"/>
        <v>0</v>
      </c>
      <c r="Q668" s="152">
        <f t="shared" si="422"/>
        <v>0</v>
      </c>
      <c r="R668" s="152">
        <f t="shared" si="422"/>
        <v>0</v>
      </c>
      <c r="S668" s="152">
        <f t="shared" si="422"/>
        <v>0</v>
      </c>
      <c r="T668" s="152">
        <f t="shared" si="422"/>
        <v>0</v>
      </c>
      <c r="U668" s="152">
        <f t="shared" si="422"/>
        <v>0</v>
      </c>
      <c r="V668" s="152">
        <f t="shared" si="422"/>
        <v>0</v>
      </c>
      <c r="W668" s="152">
        <f t="shared" si="422"/>
        <v>0</v>
      </c>
      <c r="X668" s="152">
        <f t="shared" si="422"/>
        <v>0</v>
      </c>
      <c r="Y668" s="152">
        <f t="shared" si="422"/>
        <v>0</v>
      </c>
      <c r="Z668" s="152">
        <f t="shared" si="422"/>
        <v>0</v>
      </c>
      <c r="AA668" s="152">
        <f t="shared" si="422"/>
        <v>0</v>
      </c>
      <c r="AB668" s="152">
        <f t="shared" si="422"/>
        <v>0</v>
      </c>
      <c r="AC668" s="152">
        <f t="shared" si="422"/>
        <v>0</v>
      </c>
      <c r="AD668" s="152">
        <f t="shared" si="422"/>
        <v>0</v>
      </c>
      <c r="AE668" s="152">
        <f t="shared" si="422"/>
        <v>0</v>
      </c>
      <c r="AF668" s="152">
        <f t="shared" si="422"/>
        <v>0</v>
      </c>
      <c r="AG668" s="152">
        <f t="shared" si="422"/>
        <v>0</v>
      </c>
      <c r="AH668" s="152">
        <f t="shared" si="422"/>
        <v>0</v>
      </c>
      <c r="AI668" s="152">
        <f t="shared" si="422"/>
        <v>0</v>
      </c>
      <c r="AJ668" s="152">
        <f t="shared" si="422"/>
        <v>0</v>
      </c>
      <c r="AK668" s="152">
        <f t="shared" si="422"/>
        <v>0</v>
      </c>
      <c r="AL668" s="152">
        <f t="shared" si="422"/>
        <v>0</v>
      </c>
      <c r="AM668" s="152">
        <f t="shared" si="422"/>
        <v>0</v>
      </c>
      <c r="AN668" s="152">
        <f t="shared" si="422"/>
        <v>0</v>
      </c>
      <c r="AO668" s="152">
        <f t="shared" si="422"/>
        <v>0</v>
      </c>
      <c r="AP668" s="152">
        <f t="shared" si="422"/>
        <v>0</v>
      </c>
    </row>
    <row r="669" spans="1:42">
      <c r="A669" s="37">
        <f>A668+1</f>
        <v>2</v>
      </c>
      <c r="B669" s="196">
        <f t="shared" si="421"/>
        <v>3520942.886524681</v>
      </c>
      <c r="C669" s="225">
        <f t="shared" ref="C669:AP675" si="423">IF(AND(C$2&gt;MMFrequency*$A656,C$2&lt;=MMFrequency*$A657),$B657/(MMFrequency),0)</f>
        <v>0</v>
      </c>
      <c r="D669" s="186">
        <f t="shared" si="423"/>
        <v>0</v>
      </c>
      <c r="E669" s="186">
        <f t="shared" si="423"/>
        <v>0</v>
      </c>
      <c r="F669" s="186">
        <f t="shared" si="423"/>
        <v>0</v>
      </c>
      <c r="G669" s="186">
        <f t="shared" si="423"/>
        <v>0</v>
      </c>
      <c r="H669" s="186">
        <f t="shared" si="423"/>
        <v>0</v>
      </c>
      <c r="I669" s="186">
        <f t="shared" si="423"/>
        <v>0</v>
      </c>
      <c r="J669" s="186">
        <f t="shared" si="423"/>
        <v>0</v>
      </c>
      <c r="K669" s="186">
        <f t="shared" si="423"/>
        <v>0</v>
      </c>
      <c r="L669" s="186">
        <f t="shared" si="423"/>
        <v>0</v>
      </c>
      <c r="M669" s="186">
        <f t="shared" si="423"/>
        <v>0</v>
      </c>
      <c r="N669" s="186">
        <f t="shared" si="423"/>
        <v>0</v>
      </c>
      <c r="O669" s="186">
        <f t="shared" si="423"/>
        <v>293411.90721039008</v>
      </c>
      <c r="P669" s="186">
        <f t="shared" si="423"/>
        <v>293411.90721039008</v>
      </c>
      <c r="Q669" s="186">
        <f t="shared" si="423"/>
        <v>293411.90721039008</v>
      </c>
      <c r="R669" s="186">
        <f t="shared" si="423"/>
        <v>293411.90721039008</v>
      </c>
      <c r="S669" s="186">
        <f t="shared" si="423"/>
        <v>293411.90721039008</v>
      </c>
      <c r="T669" s="186">
        <f t="shared" si="423"/>
        <v>293411.90721039008</v>
      </c>
      <c r="U669" s="186">
        <f t="shared" si="423"/>
        <v>293411.90721039008</v>
      </c>
      <c r="V669" s="186">
        <f t="shared" si="423"/>
        <v>293411.90721039008</v>
      </c>
      <c r="W669" s="186">
        <f t="shared" si="423"/>
        <v>293411.90721039008</v>
      </c>
      <c r="X669" s="186">
        <f t="shared" si="423"/>
        <v>293411.90721039008</v>
      </c>
      <c r="Y669" s="186">
        <f t="shared" si="423"/>
        <v>293411.90721039008</v>
      </c>
      <c r="Z669" s="186">
        <f t="shared" si="423"/>
        <v>293411.90721039008</v>
      </c>
      <c r="AA669" s="186">
        <f t="shared" si="423"/>
        <v>0</v>
      </c>
      <c r="AB669" s="186">
        <f t="shared" si="423"/>
        <v>0</v>
      </c>
      <c r="AC669" s="186">
        <f t="shared" si="423"/>
        <v>0</v>
      </c>
      <c r="AD669" s="186">
        <f t="shared" si="423"/>
        <v>0</v>
      </c>
      <c r="AE669" s="186">
        <f t="shared" si="423"/>
        <v>0</v>
      </c>
      <c r="AF669" s="186">
        <f t="shared" si="423"/>
        <v>0</v>
      </c>
      <c r="AG669" s="186">
        <f t="shared" si="423"/>
        <v>0</v>
      </c>
      <c r="AH669" s="186">
        <f t="shared" si="423"/>
        <v>0</v>
      </c>
      <c r="AI669" s="186">
        <f t="shared" si="423"/>
        <v>0</v>
      </c>
      <c r="AJ669" s="186">
        <f t="shared" si="423"/>
        <v>0</v>
      </c>
      <c r="AK669" s="186">
        <f t="shared" si="423"/>
        <v>0</v>
      </c>
      <c r="AL669" s="186">
        <f t="shared" si="423"/>
        <v>0</v>
      </c>
      <c r="AM669" s="186">
        <f t="shared" si="423"/>
        <v>0</v>
      </c>
      <c r="AN669" s="186">
        <f t="shared" si="423"/>
        <v>0</v>
      </c>
      <c r="AO669" s="186">
        <f t="shared" si="423"/>
        <v>0</v>
      </c>
      <c r="AP669" s="186">
        <f t="shared" si="423"/>
        <v>0</v>
      </c>
    </row>
    <row r="670" spans="1:42">
      <c r="A670" s="37">
        <f t="shared" ref="A670:A675" si="424">A669+1</f>
        <v>3</v>
      </c>
      <c r="B670" s="196">
        <f t="shared" si="421"/>
        <v>0</v>
      </c>
      <c r="C670" s="225">
        <f t="shared" si="423"/>
        <v>0</v>
      </c>
      <c r="D670" s="186">
        <f t="shared" si="423"/>
        <v>0</v>
      </c>
      <c r="E670" s="186">
        <f t="shared" si="423"/>
        <v>0</v>
      </c>
      <c r="F670" s="186">
        <f t="shared" si="423"/>
        <v>0</v>
      </c>
      <c r="G670" s="186">
        <f t="shared" si="423"/>
        <v>0</v>
      </c>
      <c r="H670" s="186">
        <f t="shared" si="423"/>
        <v>0</v>
      </c>
      <c r="I670" s="186">
        <f t="shared" si="423"/>
        <v>0</v>
      </c>
      <c r="J670" s="186">
        <f t="shared" si="423"/>
        <v>0</v>
      </c>
      <c r="K670" s="186">
        <f t="shared" si="423"/>
        <v>0</v>
      </c>
      <c r="L670" s="186">
        <f t="shared" si="423"/>
        <v>0</v>
      </c>
      <c r="M670" s="186">
        <f t="shared" si="423"/>
        <v>0</v>
      </c>
      <c r="N670" s="186">
        <f t="shared" si="423"/>
        <v>0</v>
      </c>
      <c r="O670" s="186">
        <f t="shared" si="423"/>
        <v>0</v>
      </c>
      <c r="P670" s="186">
        <f t="shared" si="423"/>
        <v>0</v>
      </c>
      <c r="Q670" s="186">
        <f t="shared" si="423"/>
        <v>0</v>
      </c>
      <c r="R670" s="186">
        <f t="shared" si="423"/>
        <v>0</v>
      </c>
      <c r="S670" s="186">
        <f t="shared" si="423"/>
        <v>0</v>
      </c>
      <c r="T670" s="186">
        <f t="shared" si="423"/>
        <v>0</v>
      </c>
      <c r="U670" s="186">
        <f t="shared" si="423"/>
        <v>0</v>
      </c>
      <c r="V670" s="186">
        <f t="shared" si="423"/>
        <v>0</v>
      </c>
      <c r="W670" s="186">
        <f t="shared" si="423"/>
        <v>0</v>
      </c>
      <c r="X670" s="186">
        <f t="shared" si="423"/>
        <v>0</v>
      </c>
      <c r="Y670" s="186">
        <f t="shared" si="423"/>
        <v>0</v>
      </c>
      <c r="Z670" s="186">
        <f t="shared" si="423"/>
        <v>0</v>
      </c>
      <c r="AA670" s="186">
        <f t="shared" si="423"/>
        <v>0</v>
      </c>
      <c r="AB670" s="186">
        <f t="shared" si="423"/>
        <v>0</v>
      </c>
      <c r="AC670" s="186">
        <f t="shared" si="423"/>
        <v>0</v>
      </c>
      <c r="AD670" s="186">
        <f t="shared" si="423"/>
        <v>0</v>
      </c>
      <c r="AE670" s="186">
        <f t="shared" si="423"/>
        <v>0</v>
      </c>
      <c r="AF670" s="186">
        <f t="shared" si="423"/>
        <v>0</v>
      </c>
      <c r="AG670" s="186">
        <f t="shared" si="423"/>
        <v>0</v>
      </c>
      <c r="AH670" s="186">
        <f t="shared" si="423"/>
        <v>0</v>
      </c>
      <c r="AI670" s="186">
        <f t="shared" si="423"/>
        <v>0</v>
      </c>
      <c r="AJ670" s="186">
        <f t="shared" si="423"/>
        <v>0</v>
      </c>
      <c r="AK670" s="186">
        <f t="shared" si="423"/>
        <v>0</v>
      </c>
      <c r="AL670" s="186">
        <f t="shared" si="423"/>
        <v>0</v>
      </c>
      <c r="AM670" s="186">
        <f t="shared" si="423"/>
        <v>0</v>
      </c>
      <c r="AN670" s="186">
        <f t="shared" si="423"/>
        <v>0</v>
      </c>
      <c r="AO670" s="186">
        <f t="shared" si="423"/>
        <v>0</v>
      </c>
      <c r="AP670" s="186">
        <f t="shared" si="423"/>
        <v>0</v>
      </c>
    </row>
    <row r="671" spans="1:42">
      <c r="A671" s="37">
        <f t="shared" si="424"/>
        <v>4</v>
      </c>
      <c r="B671" s="196">
        <f t="shared" si="421"/>
        <v>0</v>
      </c>
      <c r="C671" s="225">
        <f t="shared" si="423"/>
        <v>0</v>
      </c>
      <c r="D671" s="186">
        <f t="shared" si="423"/>
        <v>0</v>
      </c>
      <c r="E671" s="186">
        <f t="shared" si="423"/>
        <v>0</v>
      </c>
      <c r="F671" s="186">
        <f t="shared" si="423"/>
        <v>0</v>
      </c>
      <c r="G671" s="186">
        <f t="shared" si="423"/>
        <v>0</v>
      </c>
      <c r="H671" s="186">
        <f t="shared" si="423"/>
        <v>0</v>
      </c>
      <c r="I671" s="186">
        <f t="shared" si="423"/>
        <v>0</v>
      </c>
      <c r="J671" s="186">
        <f t="shared" si="423"/>
        <v>0</v>
      </c>
      <c r="K671" s="186">
        <f t="shared" si="423"/>
        <v>0</v>
      </c>
      <c r="L671" s="186">
        <f t="shared" si="423"/>
        <v>0</v>
      </c>
      <c r="M671" s="186">
        <f t="shared" si="423"/>
        <v>0</v>
      </c>
      <c r="N671" s="186">
        <f t="shared" si="423"/>
        <v>0</v>
      </c>
      <c r="O671" s="186">
        <f t="shared" si="423"/>
        <v>0</v>
      </c>
      <c r="P671" s="186">
        <f t="shared" si="423"/>
        <v>0</v>
      </c>
      <c r="Q671" s="186">
        <f t="shared" si="423"/>
        <v>0</v>
      </c>
      <c r="R671" s="186">
        <f t="shared" si="423"/>
        <v>0</v>
      </c>
      <c r="S671" s="186">
        <f t="shared" si="423"/>
        <v>0</v>
      </c>
      <c r="T671" s="186">
        <f t="shared" si="423"/>
        <v>0</v>
      </c>
      <c r="U671" s="186">
        <f t="shared" si="423"/>
        <v>0</v>
      </c>
      <c r="V671" s="186">
        <f t="shared" si="423"/>
        <v>0</v>
      </c>
      <c r="W671" s="186">
        <f t="shared" si="423"/>
        <v>0</v>
      </c>
      <c r="X671" s="186">
        <f t="shared" si="423"/>
        <v>0</v>
      </c>
      <c r="Y671" s="186">
        <f t="shared" si="423"/>
        <v>0</v>
      </c>
      <c r="Z671" s="186">
        <f t="shared" si="423"/>
        <v>0</v>
      </c>
      <c r="AA671" s="186">
        <f t="shared" si="423"/>
        <v>0</v>
      </c>
      <c r="AB671" s="186">
        <f t="shared" si="423"/>
        <v>0</v>
      </c>
      <c r="AC671" s="186">
        <f t="shared" si="423"/>
        <v>0</v>
      </c>
      <c r="AD671" s="186">
        <f t="shared" si="423"/>
        <v>0</v>
      </c>
      <c r="AE671" s="186">
        <f t="shared" si="423"/>
        <v>0</v>
      </c>
      <c r="AF671" s="186">
        <f t="shared" si="423"/>
        <v>0</v>
      </c>
      <c r="AG671" s="186">
        <f t="shared" si="423"/>
        <v>0</v>
      </c>
      <c r="AH671" s="186">
        <f t="shared" si="423"/>
        <v>0</v>
      </c>
      <c r="AI671" s="186">
        <f t="shared" si="423"/>
        <v>0</v>
      </c>
      <c r="AJ671" s="186">
        <f t="shared" si="423"/>
        <v>0</v>
      </c>
      <c r="AK671" s="186">
        <f t="shared" si="423"/>
        <v>0</v>
      </c>
      <c r="AL671" s="186">
        <f t="shared" si="423"/>
        <v>0</v>
      </c>
      <c r="AM671" s="186">
        <f t="shared" si="423"/>
        <v>0</v>
      </c>
      <c r="AN671" s="186">
        <f t="shared" si="423"/>
        <v>0</v>
      </c>
      <c r="AO671" s="186">
        <f t="shared" si="423"/>
        <v>0</v>
      </c>
      <c r="AP671" s="186">
        <f t="shared" si="423"/>
        <v>0</v>
      </c>
    </row>
    <row r="672" spans="1:42">
      <c r="A672" s="37">
        <f t="shared" si="424"/>
        <v>5</v>
      </c>
      <c r="B672" s="196">
        <f t="shared" si="421"/>
        <v>0</v>
      </c>
      <c r="C672" s="225">
        <f t="shared" si="423"/>
        <v>0</v>
      </c>
      <c r="D672" s="186">
        <f t="shared" si="423"/>
        <v>0</v>
      </c>
      <c r="E672" s="186">
        <f t="shared" si="423"/>
        <v>0</v>
      </c>
      <c r="F672" s="186">
        <f t="shared" si="423"/>
        <v>0</v>
      </c>
      <c r="G672" s="186">
        <f t="shared" si="423"/>
        <v>0</v>
      </c>
      <c r="H672" s="186">
        <f t="shared" si="423"/>
        <v>0</v>
      </c>
      <c r="I672" s="186">
        <f t="shared" si="423"/>
        <v>0</v>
      </c>
      <c r="J672" s="186">
        <f t="shared" si="423"/>
        <v>0</v>
      </c>
      <c r="K672" s="186">
        <f t="shared" si="423"/>
        <v>0</v>
      </c>
      <c r="L672" s="186">
        <f t="shared" si="423"/>
        <v>0</v>
      </c>
      <c r="M672" s="186">
        <f t="shared" si="423"/>
        <v>0</v>
      </c>
      <c r="N672" s="186">
        <f t="shared" si="423"/>
        <v>0</v>
      </c>
      <c r="O672" s="186">
        <f t="shared" si="423"/>
        <v>0</v>
      </c>
      <c r="P672" s="186">
        <f t="shared" si="423"/>
        <v>0</v>
      </c>
      <c r="Q672" s="186">
        <f t="shared" si="423"/>
        <v>0</v>
      </c>
      <c r="R672" s="186">
        <f t="shared" si="423"/>
        <v>0</v>
      </c>
      <c r="S672" s="186">
        <f t="shared" si="423"/>
        <v>0</v>
      </c>
      <c r="T672" s="186">
        <f t="shared" si="423"/>
        <v>0</v>
      </c>
      <c r="U672" s="186">
        <f t="shared" si="423"/>
        <v>0</v>
      </c>
      <c r="V672" s="186">
        <f t="shared" si="423"/>
        <v>0</v>
      </c>
      <c r="W672" s="186">
        <f t="shared" si="423"/>
        <v>0</v>
      </c>
      <c r="X672" s="186">
        <f t="shared" si="423"/>
        <v>0</v>
      </c>
      <c r="Y672" s="186">
        <f t="shared" si="423"/>
        <v>0</v>
      </c>
      <c r="Z672" s="186">
        <f t="shared" si="423"/>
        <v>0</v>
      </c>
      <c r="AA672" s="186">
        <f t="shared" si="423"/>
        <v>0</v>
      </c>
      <c r="AB672" s="186">
        <f t="shared" si="423"/>
        <v>0</v>
      </c>
      <c r="AC672" s="186">
        <f t="shared" si="423"/>
        <v>0</v>
      </c>
      <c r="AD672" s="186">
        <f t="shared" si="423"/>
        <v>0</v>
      </c>
      <c r="AE672" s="186">
        <f t="shared" si="423"/>
        <v>0</v>
      </c>
      <c r="AF672" s="186">
        <f t="shared" si="423"/>
        <v>0</v>
      </c>
      <c r="AG672" s="186">
        <f t="shared" si="423"/>
        <v>0</v>
      </c>
      <c r="AH672" s="186">
        <f t="shared" si="423"/>
        <v>0</v>
      </c>
      <c r="AI672" s="186">
        <f t="shared" si="423"/>
        <v>0</v>
      </c>
      <c r="AJ672" s="186">
        <f t="shared" si="423"/>
        <v>0</v>
      </c>
      <c r="AK672" s="186">
        <f t="shared" si="423"/>
        <v>0</v>
      </c>
      <c r="AL672" s="186">
        <f t="shared" si="423"/>
        <v>0</v>
      </c>
      <c r="AM672" s="186">
        <f t="shared" si="423"/>
        <v>0</v>
      </c>
      <c r="AN672" s="186">
        <f t="shared" si="423"/>
        <v>0</v>
      </c>
      <c r="AO672" s="186">
        <f t="shared" si="423"/>
        <v>0</v>
      </c>
      <c r="AP672" s="186">
        <f t="shared" si="423"/>
        <v>0</v>
      </c>
    </row>
    <row r="673" spans="1:42">
      <c r="A673" s="37">
        <f t="shared" si="424"/>
        <v>6</v>
      </c>
      <c r="B673" s="196">
        <f t="shared" si="421"/>
        <v>0</v>
      </c>
      <c r="C673" s="225">
        <f t="shared" si="423"/>
        <v>0</v>
      </c>
      <c r="D673" s="186">
        <f t="shared" si="423"/>
        <v>0</v>
      </c>
      <c r="E673" s="186">
        <f t="shared" si="423"/>
        <v>0</v>
      </c>
      <c r="F673" s="186">
        <f t="shared" si="423"/>
        <v>0</v>
      </c>
      <c r="G673" s="186">
        <f t="shared" si="423"/>
        <v>0</v>
      </c>
      <c r="H673" s="186">
        <f t="shared" si="423"/>
        <v>0</v>
      </c>
      <c r="I673" s="186">
        <f t="shared" si="423"/>
        <v>0</v>
      </c>
      <c r="J673" s="186">
        <f t="shared" si="423"/>
        <v>0</v>
      </c>
      <c r="K673" s="186">
        <f t="shared" si="423"/>
        <v>0</v>
      </c>
      <c r="L673" s="186">
        <f t="shared" si="423"/>
        <v>0</v>
      </c>
      <c r="M673" s="186">
        <f t="shared" si="423"/>
        <v>0</v>
      </c>
      <c r="N673" s="186">
        <f t="shared" si="423"/>
        <v>0</v>
      </c>
      <c r="O673" s="186">
        <f t="shared" si="423"/>
        <v>0</v>
      </c>
      <c r="P673" s="186">
        <f t="shared" si="423"/>
        <v>0</v>
      </c>
      <c r="Q673" s="186">
        <f t="shared" si="423"/>
        <v>0</v>
      </c>
      <c r="R673" s="186">
        <f t="shared" si="423"/>
        <v>0</v>
      </c>
      <c r="S673" s="186">
        <f t="shared" si="423"/>
        <v>0</v>
      </c>
      <c r="T673" s="186">
        <f t="shared" si="423"/>
        <v>0</v>
      </c>
      <c r="U673" s="186">
        <f t="shared" si="423"/>
        <v>0</v>
      </c>
      <c r="V673" s="186">
        <f t="shared" si="423"/>
        <v>0</v>
      </c>
      <c r="W673" s="186">
        <f t="shared" si="423"/>
        <v>0</v>
      </c>
      <c r="X673" s="186">
        <f t="shared" si="423"/>
        <v>0</v>
      </c>
      <c r="Y673" s="186">
        <f t="shared" si="423"/>
        <v>0</v>
      </c>
      <c r="Z673" s="186">
        <f t="shared" si="423"/>
        <v>0</v>
      </c>
      <c r="AA673" s="186">
        <f t="shared" si="423"/>
        <v>0</v>
      </c>
      <c r="AB673" s="186">
        <f t="shared" si="423"/>
        <v>0</v>
      </c>
      <c r="AC673" s="186">
        <f t="shared" si="423"/>
        <v>0</v>
      </c>
      <c r="AD673" s="186">
        <f t="shared" si="423"/>
        <v>0</v>
      </c>
      <c r="AE673" s="186">
        <f t="shared" si="423"/>
        <v>0</v>
      </c>
      <c r="AF673" s="186">
        <f t="shared" si="423"/>
        <v>0</v>
      </c>
      <c r="AG673" s="186">
        <f t="shared" si="423"/>
        <v>0</v>
      </c>
      <c r="AH673" s="186">
        <f t="shared" si="423"/>
        <v>0</v>
      </c>
      <c r="AI673" s="186">
        <f t="shared" si="423"/>
        <v>0</v>
      </c>
      <c r="AJ673" s="186">
        <f t="shared" si="423"/>
        <v>0</v>
      </c>
      <c r="AK673" s="186">
        <f t="shared" si="423"/>
        <v>0</v>
      </c>
      <c r="AL673" s="186">
        <f t="shared" si="423"/>
        <v>0</v>
      </c>
      <c r="AM673" s="186">
        <f t="shared" si="423"/>
        <v>0</v>
      </c>
      <c r="AN673" s="186">
        <f t="shared" si="423"/>
        <v>0</v>
      </c>
      <c r="AO673" s="186">
        <f t="shared" si="423"/>
        <v>0</v>
      </c>
      <c r="AP673" s="186">
        <f t="shared" si="423"/>
        <v>0</v>
      </c>
    </row>
    <row r="674" spans="1:42">
      <c r="A674" s="37">
        <f t="shared" si="424"/>
        <v>7</v>
      </c>
      <c r="B674" s="196">
        <f t="shared" si="421"/>
        <v>0</v>
      </c>
      <c r="C674" s="225">
        <f t="shared" si="423"/>
        <v>0</v>
      </c>
      <c r="D674" s="186">
        <f t="shared" si="423"/>
        <v>0</v>
      </c>
      <c r="E674" s="186">
        <f t="shared" si="423"/>
        <v>0</v>
      </c>
      <c r="F674" s="186">
        <f t="shared" si="423"/>
        <v>0</v>
      </c>
      <c r="G674" s="186">
        <f t="shared" si="423"/>
        <v>0</v>
      </c>
      <c r="H674" s="186">
        <f t="shared" si="423"/>
        <v>0</v>
      </c>
      <c r="I674" s="186">
        <f t="shared" si="423"/>
        <v>0</v>
      </c>
      <c r="J674" s="186">
        <f t="shared" si="423"/>
        <v>0</v>
      </c>
      <c r="K674" s="186">
        <f t="shared" si="423"/>
        <v>0</v>
      </c>
      <c r="L674" s="186">
        <f t="shared" si="423"/>
        <v>0</v>
      </c>
      <c r="M674" s="186">
        <f t="shared" si="423"/>
        <v>0</v>
      </c>
      <c r="N674" s="186">
        <f t="shared" si="423"/>
        <v>0</v>
      </c>
      <c r="O674" s="186">
        <f t="shared" si="423"/>
        <v>0</v>
      </c>
      <c r="P674" s="186">
        <f t="shared" si="423"/>
        <v>0</v>
      </c>
      <c r="Q674" s="186">
        <f t="shared" si="423"/>
        <v>0</v>
      </c>
      <c r="R674" s="186">
        <f t="shared" si="423"/>
        <v>0</v>
      </c>
      <c r="S674" s="186">
        <f t="shared" si="423"/>
        <v>0</v>
      </c>
      <c r="T674" s="186">
        <f t="shared" si="423"/>
        <v>0</v>
      </c>
      <c r="U674" s="186">
        <f t="shared" si="423"/>
        <v>0</v>
      </c>
      <c r="V674" s="186">
        <f t="shared" si="423"/>
        <v>0</v>
      </c>
      <c r="W674" s="186">
        <f t="shared" si="423"/>
        <v>0</v>
      </c>
      <c r="X674" s="186">
        <f t="shared" si="423"/>
        <v>0</v>
      </c>
      <c r="Y674" s="186">
        <f t="shared" si="423"/>
        <v>0</v>
      </c>
      <c r="Z674" s="186">
        <f t="shared" si="423"/>
        <v>0</v>
      </c>
      <c r="AA674" s="186">
        <f t="shared" si="423"/>
        <v>0</v>
      </c>
      <c r="AB674" s="186">
        <f t="shared" si="423"/>
        <v>0</v>
      </c>
      <c r="AC674" s="186">
        <f t="shared" si="423"/>
        <v>0</v>
      </c>
      <c r="AD674" s="186">
        <f t="shared" si="423"/>
        <v>0</v>
      </c>
      <c r="AE674" s="186">
        <f t="shared" si="423"/>
        <v>0</v>
      </c>
      <c r="AF674" s="186">
        <f t="shared" si="423"/>
        <v>0</v>
      </c>
      <c r="AG674" s="186">
        <f t="shared" si="423"/>
        <v>0</v>
      </c>
      <c r="AH674" s="186">
        <f t="shared" si="423"/>
        <v>0</v>
      </c>
      <c r="AI674" s="186">
        <f t="shared" si="423"/>
        <v>0</v>
      </c>
      <c r="AJ674" s="186">
        <f t="shared" si="423"/>
        <v>0</v>
      </c>
      <c r="AK674" s="186">
        <f t="shared" si="423"/>
        <v>0</v>
      </c>
      <c r="AL674" s="186">
        <f t="shared" si="423"/>
        <v>0</v>
      </c>
      <c r="AM674" s="186">
        <f t="shared" si="423"/>
        <v>0</v>
      </c>
      <c r="AN674" s="186">
        <f t="shared" si="423"/>
        <v>0</v>
      </c>
      <c r="AO674" s="186">
        <f t="shared" si="423"/>
        <v>0</v>
      </c>
      <c r="AP674" s="186">
        <f t="shared" si="423"/>
        <v>0</v>
      </c>
    </row>
    <row r="675" spans="1:42">
      <c r="A675" s="37">
        <f t="shared" si="424"/>
        <v>8</v>
      </c>
      <c r="B675" s="196">
        <f t="shared" si="421"/>
        <v>0</v>
      </c>
      <c r="C675" s="225">
        <f t="shared" si="423"/>
        <v>0</v>
      </c>
      <c r="D675" s="186">
        <f t="shared" si="423"/>
        <v>0</v>
      </c>
      <c r="E675" s="186">
        <f t="shared" si="423"/>
        <v>0</v>
      </c>
      <c r="F675" s="186">
        <f t="shared" si="423"/>
        <v>0</v>
      </c>
      <c r="G675" s="186">
        <f t="shared" si="423"/>
        <v>0</v>
      </c>
      <c r="H675" s="186">
        <f t="shared" si="423"/>
        <v>0</v>
      </c>
      <c r="I675" s="186">
        <f t="shared" si="423"/>
        <v>0</v>
      </c>
      <c r="J675" s="186">
        <f t="shared" si="423"/>
        <v>0</v>
      </c>
      <c r="K675" s="186">
        <f t="shared" si="423"/>
        <v>0</v>
      </c>
      <c r="L675" s="186">
        <f t="shared" si="423"/>
        <v>0</v>
      </c>
      <c r="M675" s="186">
        <f t="shared" si="423"/>
        <v>0</v>
      </c>
      <c r="N675" s="186">
        <f t="shared" si="423"/>
        <v>0</v>
      </c>
      <c r="O675" s="186">
        <f t="shared" si="423"/>
        <v>0</v>
      </c>
      <c r="P675" s="186">
        <f t="shared" si="423"/>
        <v>0</v>
      </c>
      <c r="Q675" s="186">
        <f t="shared" si="423"/>
        <v>0</v>
      </c>
      <c r="R675" s="186">
        <f t="shared" ref="R675:AP675" si="425">IF(AND(R$2&gt;MMFrequency*$A662,R$2&lt;=MMFrequency*$A663),$B663/(MMFrequency),0)</f>
        <v>0</v>
      </c>
      <c r="S675" s="186">
        <f t="shared" si="425"/>
        <v>0</v>
      </c>
      <c r="T675" s="186">
        <f t="shared" si="425"/>
        <v>0</v>
      </c>
      <c r="U675" s="186">
        <f t="shared" si="425"/>
        <v>0</v>
      </c>
      <c r="V675" s="186">
        <f t="shared" si="425"/>
        <v>0</v>
      </c>
      <c r="W675" s="186">
        <f t="shared" si="425"/>
        <v>0</v>
      </c>
      <c r="X675" s="186">
        <f t="shared" si="425"/>
        <v>0</v>
      </c>
      <c r="Y675" s="186">
        <f t="shared" si="425"/>
        <v>0</v>
      </c>
      <c r="Z675" s="186">
        <f t="shared" si="425"/>
        <v>0</v>
      </c>
      <c r="AA675" s="186">
        <f t="shared" si="425"/>
        <v>0</v>
      </c>
      <c r="AB675" s="186">
        <f t="shared" si="425"/>
        <v>0</v>
      </c>
      <c r="AC675" s="186">
        <f t="shared" si="425"/>
        <v>0</v>
      </c>
      <c r="AD675" s="186">
        <f t="shared" si="425"/>
        <v>0</v>
      </c>
      <c r="AE675" s="186">
        <f t="shared" si="425"/>
        <v>0</v>
      </c>
      <c r="AF675" s="186">
        <f t="shared" si="425"/>
        <v>0</v>
      </c>
      <c r="AG675" s="186">
        <f t="shared" si="425"/>
        <v>0</v>
      </c>
      <c r="AH675" s="186">
        <f t="shared" si="425"/>
        <v>0</v>
      </c>
      <c r="AI675" s="186">
        <f t="shared" si="425"/>
        <v>0</v>
      </c>
      <c r="AJ675" s="186">
        <f t="shared" si="425"/>
        <v>0</v>
      </c>
      <c r="AK675" s="186">
        <f t="shared" si="425"/>
        <v>0</v>
      </c>
      <c r="AL675" s="186">
        <f t="shared" si="425"/>
        <v>0</v>
      </c>
      <c r="AM675" s="186">
        <f t="shared" si="425"/>
        <v>0</v>
      </c>
      <c r="AN675" s="186">
        <f t="shared" si="425"/>
        <v>0</v>
      </c>
      <c r="AO675" s="186">
        <f t="shared" si="425"/>
        <v>0</v>
      </c>
      <c r="AP675" s="186">
        <f t="shared" si="425"/>
        <v>0</v>
      </c>
    </row>
    <row r="676" spans="1:42">
      <c r="A676" s="37">
        <f>A675+1</f>
        <v>9</v>
      </c>
      <c r="B676" s="196">
        <f t="shared" si="421"/>
        <v>0</v>
      </c>
      <c r="C676" s="225">
        <f t="shared" ref="C676:AP677" si="426">IF(AND(C$2&gt;MMFrequency*$A663,C$2&lt;=MMFrequency*$A664),$B664/(MMFrequency),0)</f>
        <v>0</v>
      </c>
      <c r="D676" s="186">
        <f t="shared" si="426"/>
        <v>0</v>
      </c>
      <c r="E676" s="186">
        <f t="shared" si="426"/>
        <v>0</v>
      </c>
      <c r="F676" s="186">
        <f t="shared" si="426"/>
        <v>0</v>
      </c>
      <c r="G676" s="186">
        <f t="shared" si="426"/>
        <v>0</v>
      </c>
      <c r="H676" s="186">
        <f t="shared" si="426"/>
        <v>0</v>
      </c>
      <c r="I676" s="186">
        <f t="shared" si="426"/>
        <v>0</v>
      </c>
      <c r="J676" s="186">
        <f t="shared" si="426"/>
        <v>0</v>
      </c>
      <c r="K676" s="186">
        <f t="shared" si="426"/>
        <v>0</v>
      </c>
      <c r="L676" s="186">
        <f t="shared" si="426"/>
        <v>0</v>
      </c>
      <c r="M676" s="186">
        <f t="shared" si="426"/>
        <v>0</v>
      </c>
      <c r="N676" s="186">
        <f t="shared" si="426"/>
        <v>0</v>
      </c>
      <c r="O676" s="186">
        <f t="shared" si="426"/>
        <v>0</v>
      </c>
      <c r="P676" s="186">
        <f t="shared" si="426"/>
        <v>0</v>
      </c>
      <c r="Q676" s="186">
        <f t="shared" si="426"/>
        <v>0</v>
      </c>
      <c r="R676" s="186">
        <f t="shared" si="426"/>
        <v>0</v>
      </c>
      <c r="S676" s="186">
        <f t="shared" si="426"/>
        <v>0</v>
      </c>
      <c r="T676" s="186">
        <f t="shared" si="426"/>
        <v>0</v>
      </c>
      <c r="U676" s="186">
        <f t="shared" si="426"/>
        <v>0</v>
      </c>
      <c r="V676" s="186">
        <f t="shared" si="426"/>
        <v>0</v>
      </c>
      <c r="W676" s="186">
        <f t="shared" si="426"/>
        <v>0</v>
      </c>
      <c r="X676" s="186">
        <f t="shared" si="426"/>
        <v>0</v>
      </c>
      <c r="Y676" s="186">
        <f t="shared" si="426"/>
        <v>0</v>
      </c>
      <c r="Z676" s="186">
        <f t="shared" si="426"/>
        <v>0</v>
      </c>
      <c r="AA676" s="186">
        <f t="shared" si="426"/>
        <v>0</v>
      </c>
      <c r="AB676" s="186">
        <f t="shared" si="426"/>
        <v>0</v>
      </c>
      <c r="AC676" s="186">
        <f t="shared" si="426"/>
        <v>0</v>
      </c>
      <c r="AD676" s="186">
        <f t="shared" si="426"/>
        <v>0</v>
      </c>
      <c r="AE676" s="186">
        <f t="shared" si="426"/>
        <v>0</v>
      </c>
      <c r="AF676" s="186">
        <f t="shared" si="426"/>
        <v>0</v>
      </c>
      <c r="AG676" s="186">
        <f t="shared" si="426"/>
        <v>0</v>
      </c>
      <c r="AH676" s="186">
        <f t="shared" si="426"/>
        <v>0</v>
      </c>
      <c r="AI676" s="186">
        <f t="shared" si="426"/>
        <v>0</v>
      </c>
      <c r="AJ676" s="186">
        <f t="shared" si="426"/>
        <v>0</v>
      </c>
      <c r="AK676" s="186">
        <f t="shared" si="426"/>
        <v>0</v>
      </c>
      <c r="AL676" s="186">
        <f t="shared" si="426"/>
        <v>0</v>
      </c>
      <c r="AM676" s="186">
        <f t="shared" si="426"/>
        <v>0</v>
      </c>
      <c r="AN676" s="186">
        <f t="shared" si="426"/>
        <v>0</v>
      </c>
      <c r="AO676" s="186">
        <f t="shared" si="426"/>
        <v>0</v>
      </c>
      <c r="AP676" s="186">
        <f t="shared" si="426"/>
        <v>0</v>
      </c>
    </row>
    <row r="677" spans="1:42">
      <c r="A677" s="37">
        <f t="shared" ref="A677" si="427">A676+1</f>
        <v>10</v>
      </c>
      <c r="B677" s="196">
        <f t="shared" si="421"/>
        <v>0</v>
      </c>
      <c r="C677" s="221">
        <f t="shared" si="426"/>
        <v>0</v>
      </c>
      <c r="D677" s="187">
        <f t="shared" si="426"/>
        <v>0</v>
      </c>
      <c r="E677" s="187">
        <f t="shared" si="426"/>
        <v>0</v>
      </c>
      <c r="F677" s="187">
        <f t="shared" si="426"/>
        <v>0</v>
      </c>
      <c r="G677" s="187">
        <f t="shared" si="426"/>
        <v>0</v>
      </c>
      <c r="H677" s="187">
        <f t="shared" si="426"/>
        <v>0</v>
      </c>
      <c r="I677" s="187">
        <f t="shared" si="426"/>
        <v>0</v>
      </c>
      <c r="J677" s="187">
        <f t="shared" si="426"/>
        <v>0</v>
      </c>
      <c r="K677" s="187">
        <f t="shared" si="426"/>
        <v>0</v>
      </c>
      <c r="L677" s="187">
        <f t="shared" si="426"/>
        <v>0</v>
      </c>
      <c r="M677" s="187">
        <f t="shared" si="426"/>
        <v>0</v>
      </c>
      <c r="N677" s="187">
        <f t="shared" si="426"/>
        <v>0</v>
      </c>
      <c r="O677" s="187">
        <f t="shared" si="426"/>
        <v>0</v>
      </c>
      <c r="P677" s="187">
        <f t="shared" si="426"/>
        <v>0</v>
      </c>
      <c r="Q677" s="187">
        <f t="shared" si="426"/>
        <v>0</v>
      </c>
      <c r="R677" s="187">
        <f t="shared" si="426"/>
        <v>0</v>
      </c>
      <c r="S677" s="187">
        <f t="shared" si="426"/>
        <v>0</v>
      </c>
      <c r="T677" s="187">
        <f t="shared" si="426"/>
        <v>0</v>
      </c>
      <c r="U677" s="187">
        <f t="shared" si="426"/>
        <v>0</v>
      </c>
      <c r="V677" s="187">
        <f t="shared" si="426"/>
        <v>0</v>
      </c>
      <c r="W677" s="187">
        <f t="shared" si="426"/>
        <v>0</v>
      </c>
      <c r="X677" s="187">
        <f t="shared" si="426"/>
        <v>0</v>
      </c>
      <c r="Y677" s="187">
        <f t="shared" si="426"/>
        <v>0</v>
      </c>
      <c r="Z677" s="187">
        <f t="shared" si="426"/>
        <v>0</v>
      </c>
      <c r="AA677" s="187">
        <f t="shared" si="426"/>
        <v>0</v>
      </c>
      <c r="AB677" s="187">
        <f t="shared" si="426"/>
        <v>0</v>
      </c>
      <c r="AC677" s="187">
        <f t="shared" si="426"/>
        <v>0</v>
      </c>
      <c r="AD677" s="187">
        <f t="shared" si="426"/>
        <v>0</v>
      </c>
      <c r="AE677" s="187">
        <f t="shared" si="426"/>
        <v>0</v>
      </c>
      <c r="AF677" s="187">
        <f t="shared" si="426"/>
        <v>0</v>
      </c>
      <c r="AG677" s="187">
        <f t="shared" si="426"/>
        <v>0</v>
      </c>
      <c r="AH677" s="187">
        <f t="shared" si="426"/>
        <v>0</v>
      </c>
      <c r="AI677" s="187">
        <f t="shared" si="426"/>
        <v>0</v>
      </c>
      <c r="AJ677" s="187">
        <f t="shared" si="426"/>
        <v>0</v>
      </c>
      <c r="AK677" s="187">
        <f t="shared" si="426"/>
        <v>0</v>
      </c>
      <c r="AL677" s="187">
        <f t="shared" si="426"/>
        <v>0</v>
      </c>
      <c r="AM677" s="187">
        <f t="shared" si="426"/>
        <v>0</v>
      </c>
      <c r="AN677" s="187">
        <f t="shared" si="426"/>
        <v>0</v>
      </c>
      <c r="AO677" s="187">
        <f t="shared" si="426"/>
        <v>0</v>
      </c>
      <c r="AP677" s="187">
        <f t="shared" si="426"/>
        <v>0</v>
      </c>
    </row>
    <row r="678" spans="1:42">
      <c r="A678" s="219" t="s">
        <v>53</v>
      </c>
      <c r="B678" s="186"/>
      <c r="C678" s="152">
        <f>SUM(C668:C677)</f>
        <v>245406.02862510949</v>
      </c>
      <c r="D678" s="152">
        <f t="shared" ref="D678:AP678" si="428">SUM(D668:D677)</f>
        <v>245406.02862510949</v>
      </c>
      <c r="E678" s="152">
        <f t="shared" si="428"/>
        <v>245406.02862510949</v>
      </c>
      <c r="F678" s="152">
        <f t="shared" si="428"/>
        <v>245406.02862510949</v>
      </c>
      <c r="G678" s="152">
        <f t="shared" si="428"/>
        <v>245406.02862510949</v>
      </c>
      <c r="H678" s="152">
        <f t="shared" si="428"/>
        <v>245406.02862510949</v>
      </c>
      <c r="I678" s="152">
        <f t="shared" si="428"/>
        <v>245406.02862510949</v>
      </c>
      <c r="J678" s="152">
        <f t="shared" si="428"/>
        <v>245406.02862510949</v>
      </c>
      <c r="K678" s="152">
        <f t="shared" si="428"/>
        <v>245406.02862510949</v>
      </c>
      <c r="L678" s="152">
        <f t="shared" si="428"/>
        <v>245406.02862510949</v>
      </c>
      <c r="M678" s="152">
        <f t="shared" si="428"/>
        <v>245406.02862510949</v>
      </c>
      <c r="N678" s="152">
        <f t="shared" si="428"/>
        <v>245406.02862510949</v>
      </c>
      <c r="O678" s="152">
        <f t="shared" si="428"/>
        <v>293411.90721039008</v>
      </c>
      <c r="P678" s="152">
        <f t="shared" si="428"/>
        <v>293411.90721039008</v>
      </c>
      <c r="Q678" s="152">
        <f t="shared" si="428"/>
        <v>293411.90721039008</v>
      </c>
      <c r="R678" s="152">
        <f t="shared" si="428"/>
        <v>293411.90721039008</v>
      </c>
      <c r="S678" s="152">
        <f t="shared" si="428"/>
        <v>293411.90721039008</v>
      </c>
      <c r="T678" s="152">
        <f t="shared" si="428"/>
        <v>293411.90721039008</v>
      </c>
      <c r="U678" s="152">
        <f t="shared" si="428"/>
        <v>293411.90721039008</v>
      </c>
      <c r="V678" s="152">
        <f t="shared" si="428"/>
        <v>293411.90721039008</v>
      </c>
      <c r="W678" s="152">
        <f t="shared" si="428"/>
        <v>293411.90721039008</v>
      </c>
      <c r="X678" s="152">
        <f t="shared" si="428"/>
        <v>293411.90721039008</v>
      </c>
      <c r="Y678" s="152">
        <f t="shared" si="428"/>
        <v>293411.90721039008</v>
      </c>
      <c r="Z678" s="152">
        <f t="shared" si="428"/>
        <v>293411.90721039008</v>
      </c>
      <c r="AA678" s="152">
        <f t="shared" si="428"/>
        <v>0</v>
      </c>
      <c r="AB678" s="152">
        <f t="shared" si="428"/>
        <v>0</v>
      </c>
      <c r="AC678" s="152">
        <f t="shared" si="428"/>
        <v>0</v>
      </c>
      <c r="AD678" s="152">
        <f t="shared" si="428"/>
        <v>0</v>
      </c>
      <c r="AE678" s="152">
        <f t="shared" si="428"/>
        <v>0</v>
      </c>
      <c r="AF678" s="152">
        <f t="shared" si="428"/>
        <v>0</v>
      </c>
      <c r="AG678" s="152">
        <f t="shared" si="428"/>
        <v>0</v>
      </c>
      <c r="AH678" s="152">
        <f t="shared" si="428"/>
        <v>0</v>
      </c>
      <c r="AI678" s="152">
        <f t="shared" si="428"/>
        <v>0</v>
      </c>
      <c r="AJ678" s="152">
        <f t="shared" si="428"/>
        <v>0</v>
      </c>
      <c r="AK678" s="152">
        <f t="shared" si="428"/>
        <v>0</v>
      </c>
      <c r="AL678" s="152">
        <f t="shared" si="428"/>
        <v>0</v>
      </c>
      <c r="AM678" s="152">
        <f t="shared" si="428"/>
        <v>0</v>
      </c>
      <c r="AN678" s="152">
        <f t="shared" si="428"/>
        <v>0</v>
      </c>
      <c r="AO678" s="152">
        <f t="shared" si="428"/>
        <v>0</v>
      </c>
      <c r="AP678" s="152">
        <f t="shared" si="428"/>
        <v>0</v>
      </c>
    </row>
    <row r="679" spans="1:42">
      <c r="B679" s="186"/>
      <c r="C679" s="152"/>
      <c r="D679" s="152"/>
      <c r="E679" s="152"/>
      <c r="F679" s="152"/>
      <c r="G679" s="152"/>
      <c r="H679" s="152"/>
      <c r="I679" s="152"/>
      <c r="J679" s="152"/>
      <c r="K679" s="152"/>
      <c r="L679" s="152"/>
      <c r="M679" s="152"/>
      <c r="N679" s="152"/>
      <c r="O679" s="152"/>
      <c r="P679" s="152"/>
      <c r="Q679" s="152"/>
      <c r="R679" s="152"/>
      <c r="S679" s="152"/>
      <c r="T679" s="152"/>
      <c r="U679" s="152"/>
      <c r="V679" s="152"/>
      <c r="W679" s="152"/>
      <c r="X679" s="152"/>
      <c r="Y679" s="152"/>
      <c r="Z679" s="152"/>
      <c r="AA679" s="152"/>
      <c r="AB679" s="152"/>
      <c r="AC679" s="152"/>
      <c r="AD679" s="152"/>
      <c r="AE679" s="152"/>
      <c r="AF679" s="152"/>
      <c r="AG679" s="152"/>
      <c r="AH679" s="152"/>
      <c r="AI679" s="152"/>
      <c r="AJ679" s="152"/>
      <c r="AK679" s="152"/>
      <c r="AL679" s="152"/>
      <c r="AM679" s="152"/>
      <c r="AN679" s="152"/>
      <c r="AO679" s="152"/>
      <c r="AP679" s="152"/>
    </row>
    <row r="680" spans="1:42">
      <c r="A680" s="182" t="s">
        <v>361</v>
      </c>
      <c r="C680" s="152"/>
      <c r="D680" s="152"/>
      <c r="E680" s="152"/>
      <c r="F680" s="152"/>
      <c r="G680" s="152"/>
      <c r="H680" s="152"/>
      <c r="I680" s="152"/>
      <c r="J680" s="152"/>
      <c r="K680" s="152"/>
      <c r="L680" s="152"/>
      <c r="M680" s="152"/>
      <c r="N680" s="152"/>
      <c r="O680" s="152"/>
      <c r="P680" s="152"/>
      <c r="Q680" s="152"/>
      <c r="R680" s="152"/>
      <c r="S680" s="152"/>
      <c r="T680" s="152"/>
      <c r="U680" s="152"/>
      <c r="V680" s="152"/>
      <c r="W680" s="152"/>
      <c r="X680" s="152"/>
      <c r="Y680" s="152"/>
      <c r="Z680" s="152"/>
      <c r="AA680" s="152"/>
      <c r="AB680" s="152"/>
      <c r="AC680" s="152"/>
      <c r="AD680" s="152"/>
      <c r="AE680" s="152"/>
      <c r="AF680" s="152"/>
      <c r="AG680" s="152"/>
      <c r="AH680" s="152"/>
      <c r="AI680" s="152"/>
      <c r="AJ680" s="152"/>
      <c r="AK680" s="152"/>
      <c r="AL680" s="152"/>
      <c r="AM680" s="152"/>
      <c r="AN680" s="152"/>
      <c r="AO680" s="152"/>
      <c r="AP680" s="152"/>
    </row>
    <row r="681" spans="1:42">
      <c r="A681" s="37" t="s">
        <v>99</v>
      </c>
      <c r="B681" s="152">
        <v>0</v>
      </c>
      <c r="C681" s="152">
        <f>B684</f>
        <v>0</v>
      </c>
      <c r="D681" s="152">
        <f t="shared" ref="D681:AP681" si="429">C684</f>
        <v>410585.24356465257</v>
      </c>
      <c r="E681" s="152">
        <f t="shared" si="429"/>
        <v>821170.48712930514</v>
      </c>
      <c r="F681" s="152">
        <f t="shared" si="429"/>
        <v>1231755.7306939578</v>
      </c>
      <c r="G681" s="152">
        <f t="shared" si="429"/>
        <v>1642340.9742586103</v>
      </c>
      <c r="H681" s="152">
        <f t="shared" si="429"/>
        <v>2052926.2178232628</v>
      </c>
      <c r="I681" s="152">
        <f t="shared" si="429"/>
        <v>2463511.4613879155</v>
      </c>
      <c r="J681" s="152">
        <f t="shared" si="429"/>
        <v>2874096.7049525683</v>
      </c>
      <c r="K681" s="152">
        <f t="shared" si="429"/>
        <v>3284681.948517221</v>
      </c>
      <c r="L681" s="152">
        <f t="shared" si="429"/>
        <v>3695267.1920818738</v>
      </c>
      <c r="M681" s="152">
        <f t="shared" si="429"/>
        <v>4105852.4356465265</v>
      </c>
      <c r="N681" s="152">
        <f t="shared" si="429"/>
        <v>4516437.6792111788</v>
      </c>
      <c r="O681" s="152">
        <f t="shared" si="429"/>
        <v>4927022.9227758311</v>
      </c>
      <c r="P681" s="152">
        <f t="shared" si="429"/>
        <v>5337608.1663404834</v>
      </c>
      <c r="Q681" s="152">
        <f t="shared" si="429"/>
        <v>5748193.4099051356</v>
      </c>
      <c r="R681" s="152">
        <f t="shared" si="429"/>
        <v>0</v>
      </c>
      <c r="S681" s="152">
        <f t="shared" si="429"/>
        <v>513326.83759962226</v>
      </c>
      <c r="T681" s="152">
        <f t="shared" si="429"/>
        <v>1026653.6751992445</v>
      </c>
      <c r="U681" s="152">
        <f t="shared" si="429"/>
        <v>1539980.5127988667</v>
      </c>
      <c r="V681" s="152">
        <f t="shared" si="429"/>
        <v>2053307.350398489</v>
      </c>
      <c r="W681" s="152">
        <f t="shared" si="429"/>
        <v>2566634.1879981114</v>
      </c>
      <c r="X681" s="152">
        <f t="shared" si="429"/>
        <v>3079961.0255977334</v>
      </c>
      <c r="Y681" s="152">
        <f t="shared" si="429"/>
        <v>3593287.8631973555</v>
      </c>
      <c r="Z681" s="152">
        <f t="shared" si="429"/>
        <v>4106614.7007969776</v>
      </c>
      <c r="AA681" s="152">
        <f t="shared" si="429"/>
        <v>4619941.5383965997</v>
      </c>
      <c r="AB681" s="152">
        <f t="shared" si="429"/>
        <v>5133268.3759962218</v>
      </c>
      <c r="AC681" s="152">
        <f t="shared" si="429"/>
        <v>5646595.2135958439</v>
      </c>
      <c r="AD681" s="152">
        <f t="shared" si="429"/>
        <v>6159922.051195466</v>
      </c>
      <c r="AE681" s="152">
        <f t="shared" si="429"/>
        <v>6673248.888795088</v>
      </c>
      <c r="AF681" s="152">
        <f t="shared" si="429"/>
        <v>7186575.7263947101</v>
      </c>
      <c r="AG681" s="152">
        <f t="shared" si="429"/>
        <v>0</v>
      </c>
      <c r="AH681" s="152">
        <f t="shared" si="429"/>
        <v>0</v>
      </c>
      <c r="AI681" s="152">
        <f t="shared" si="429"/>
        <v>0</v>
      </c>
      <c r="AJ681" s="152">
        <f t="shared" si="429"/>
        <v>0</v>
      </c>
      <c r="AK681" s="152">
        <f t="shared" si="429"/>
        <v>0</v>
      </c>
      <c r="AL681" s="152">
        <f t="shared" si="429"/>
        <v>0</v>
      </c>
      <c r="AM681" s="152">
        <f t="shared" si="429"/>
        <v>0</v>
      </c>
      <c r="AN681" s="152">
        <f t="shared" si="429"/>
        <v>0</v>
      </c>
      <c r="AO681" s="152">
        <f t="shared" si="429"/>
        <v>0</v>
      </c>
      <c r="AP681" s="152">
        <f t="shared" si="429"/>
        <v>0</v>
      </c>
    </row>
    <row r="682" spans="1:42">
      <c r="A682" s="37" t="s">
        <v>198</v>
      </c>
      <c r="B682" s="152">
        <v>0</v>
      </c>
      <c r="C682" s="152">
        <f>C710</f>
        <v>410585.24356465257</v>
      </c>
      <c r="D682" s="152">
        <f t="shared" ref="D682:AP682" si="430">D710</f>
        <v>410585.24356465257</v>
      </c>
      <c r="E682" s="152">
        <f t="shared" si="430"/>
        <v>410585.24356465257</v>
      </c>
      <c r="F682" s="152">
        <f t="shared" si="430"/>
        <v>410585.24356465257</v>
      </c>
      <c r="G682" s="152">
        <f t="shared" si="430"/>
        <v>410585.24356465257</v>
      </c>
      <c r="H682" s="152">
        <f t="shared" si="430"/>
        <v>410585.24356465257</v>
      </c>
      <c r="I682" s="152">
        <f t="shared" si="430"/>
        <v>410585.24356465257</v>
      </c>
      <c r="J682" s="152">
        <f t="shared" si="430"/>
        <v>410585.24356465257</v>
      </c>
      <c r="K682" s="152">
        <f t="shared" si="430"/>
        <v>410585.24356465257</v>
      </c>
      <c r="L682" s="152">
        <f t="shared" si="430"/>
        <v>410585.24356465257</v>
      </c>
      <c r="M682" s="152">
        <f t="shared" si="430"/>
        <v>410585.24356465257</v>
      </c>
      <c r="N682" s="152">
        <f t="shared" si="430"/>
        <v>410585.24356465257</v>
      </c>
      <c r="O682" s="152">
        <f t="shared" si="430"/>
        <v>410585.24356465257</v>
      </c>
      <c r="P682" s="152">
        <f t="shared" si="430"/>
        <v>410585.24356465257</v>
      </c>
      <c r="Q682" s="152">
        <f t="shared" si="430"/>
        <v>410585.24356465257</v>
      </c>
      <c r="R682" s="152">
        <f t="shared" si="430"/>
        <v>513326.83759962226</v>
      </c>
      <c r="S682" s="152">
        <f t="shared" si="430"/>
        <v>513326.83759962226</v>
      </c>
      <c r="T682" s="152">
        <f t="shared" si="430"/>
        <v>513326.83759962226</v>
      </c>
      <c r="U682" s="152">
        <f t="shared" si="430"/>
        <v>513326.83759962226</v>
      </c>
      <c r="V682" s="152">
        <f t="shared" si="430"/>
        <v>513326.83759962226</v>
      </c>
      <c r="W682" s="152">
        <f t="shared" si="430"/>
        <v>513326.83759962226</v>
      </c>
      <c r="X682" s="152">
        <f t="shared" si="430"/>
        <v>513326.83759962226</v>
      </c>
      <c r="Y682" s="152">
        <f t="shared" si="430"/>
        <v>513326.83759962226</v>
      </c>
      <c r="Z682" s="152">
        <f t="shared" si="430"/>
        <v>513326.83759962226</v>
      </c>
      <c r="AA682" s="152">
        <f t="shared" si="430"/>
        <v>513326.83759962226</v>
      </c>
      <c r="AB682" s="152">
        <f t="shared" si="430"/>
        <v>513326.83759962226</v>
      </c>
      <c r="AC682" s="152">
        <f t="shared" si="430"/>
        <v>513326.83759962226</v>
      </c>
      <c r="AD682" s="152">
        <f t="shared" si="430"/>
        <v>513326.83759962226</v>
      </c>
      <c r="AE682" s="152">
        <f t="shared" si="430"/>
        <v>513326.83759962226</v>
      </c>
      <c r="AF682" s="152">
        <f t="shared" si="430"/>
        <v>513326.83759962226</v>
      </c>
      <c r="AG682" s="152">
        <f t="shared" si="430"/>
        <v>0</v>
      </c>
      <c r="AH682" s="152">
        <f t="shared" si="430"/>
        <v>0</v>
      </c>
      <c r="AI682" s="152">
        <f t="shared" si="430"/>
        <v>0</v>
      </c>
      <c r="AJ682" s="152">
        <f t="shared" si="430"/>
        <v>0</v>
      </c>
      <c r="AK682" s="152">
        <f t="shared" si="430"/>
        <v>0</v>
      </c>
      <c r="AL682" s="152">
        <f t="shared" si="430"/>
        <v>0</v>
      </c>
      <c r="AM682" s="152">
        <f t="shared" si="430"/>
        <v>0</v>
      </c>
      <c r="AN682" s="152">
        <f t="shared" si="430"/>
        <v>0</v>
      </c>
      <c r="AO682" s="152">
        <f t="shared" si="430"/>
        <v>0</v>
      </c>
      <c r="AP682" s="152">
        <f t="shared" si="430"/>
        <v>0</v>
      </c>
    </row>
    <row r="683" spans="1:42">
      <c r="A683" s="37" t="s">
        <v>106</v>
      </c>
      <c r="B683" s="187">
        <v>0</v>
      </c>
      <c r="C683" s="187">
        <f>-C698</f>
        <v>0</v>
      </c>
      <c r="D683" s="187">
        <f t="shared" ref="D683:AP683" si="431">-D698</f>
        <v>0</v>
      </c>
      <c r="E683" s="187">
        <f t="shared" si="431"/>
        <v>0</v>
      </c>
      <c r="F683" s="187">
        <f t="shared" si="431"/>
        <v>0</v>
      </c>
      <c r="G683" s="187">
        <f t="shared" si="431"/>
        <v>0</v>
      </c>
      <c r="H683" s="187">
        <f t="shared" si="431"/>
        <v>0</v>
      </c>
      <c r="I683" s="187">
        <f t="shared" si="431"/>
        <v>0</v>
      </c>
      <c r="J683" s="187">
        <f t="shared" si="431"/>
        <v>0</v>
      </c>
      <c r="K683" s="187">
        <f t="shared" si="431"/>
        <v>0</v>
      </c>
      <c r="L683" s="187">
        <f t="shared" si="431"/>
        <v>0</v>
      </c>
      <c r="M683" s="187">
        <f t="shared" si="431"/>
        <v>0</v>
      </c>
      <c r="N683" s="187">
        <f t="shared" si="431"/>
        <v>0</v>
      </c>
      <c r="O683" s="187">
        <f t="shared" si="431"/>
        <v>0</v>
      </c>
      <c r="P683" s="187">
        <f t="shared" si="431"/>
        <v>0</v>
      </c>
      <c r="Q683" s="187">
        <f t="shared" si="431"/>
        <v>-6158778.6534697888</v>
      </c>
      <c r="R683" s="187">
        <f t="shared" si="431"/>
        <v>0</v>
      </c>
      <c r="S683" s="187">
        <f t="shared" si="431"/>
        <v>0</v>
      </c>
      <c r="T683" s="187">
        <f t="shared" si="431"/>
        <v>0</v>
      </c>
      <c r="U683" s="187">
        <f t="shared" si="431"/>
        <v>0</v>
      </c>
      <c r="V683" s="187">
        <f t="shared" si="431"/>
        <v>0</v>
      </c>
      <c r="W683" s="187">
        <f t="shared" si="431"/>
        <v>0</v>
      </c>
      <c r="X683" s="187">
        <f t="shared" si="431"/>
        <v>0</v>
      </c>
      <c r="Y683" s="187">
        <f t="shared" si="431"/>
        <v>0</v>
      </c>
      <c r="Z683" s="187">
        <f t="shared" si="431"/>
        <v>0</v>
      </c>
      <c r="AA683" s="187">
        <f t="shared" si="431"/>
        <v>0</v>
      </c>
      <c r="AB683" s="187">
        <f t="shared" si="431"/>
        <v>0</v>
      </c>
      <c r="AC683" s="187">
        <f t="shared" si="431"/>
        <v>0</v>
      </c>
      <c r="AD683" s="187">
        <f t="shared" si="431"/>
        <v>0</v>
      </c>
      <c r="AE683" s="187">
        <f t="shared" si="431"/>
        <v>0</v>
      </c>
      <c r="AF683" s="187">
        <f t="shared" si="431"/>
        <v>-7699902.5639943341</v>
      </c>
      <c r="AG683" s="187">
        <f t="shared" si="431"/>
        <v>0</v>
      </c>
      <c r="AH683" s="187">
        <f t="shared" si="431"/>
        <v>0</v>
      </c>
      <c r="AI683" s="187">
        <f t="shared" si="431"/>
        <v>0</v>
      </c>
      <c r="AJ683" s="187">
        <f t="shared" si="431"/>
        <v>0</v>
      </c>
      <c r="AK683" s="187">
        <f t="shared" si="431"/>
        <v>0</v>
      </c>
      <c r="AL683" s="187">
        <f t="shared" si="431"/>
        <v>0</v>
      </c>
      <c r="AM683" s="187">
        <f t="shared" si="431"/>
        <v>0</v>
      </c>
      <c r="AN683" s="187">
        <f t="shared" si="431"/>
        <v>0</v>
      </c>
      <c r="AO683" s="187">
        <f t="shared" si="431"/>
        <v>0</v>
      </c>
      <c r="AP683" s="187">
        <f t="shared" si="431"/>
        <v>0</v>
      </c>
    </row>
    <row r="684" spans="1:42">
      <c r="A684" s="37" t="s">
        <v>102</v>
      </c>
      <c r="B684" s="152">
        <f>SUM(B681:B683)</f>
        <v>0</v>
      </c>
      <c r="C684" s="152">
        <f>SUM(C681:C683)</f>
        <v>410585.24356465257</v>
      </c>
      <c r="D684" s="152">
        <f t="shared" ref="D684:AP684" si="432">SUM(D681:D683)</f>
        <v>821170.48712930514</v>
      </c>
      <c r="E684" s="152">
        <f t="shared" si="432"/>
        <v>1231755.7306939578</v>
      </c>
      <c r="F684" s="152">
        <f t="shared" si="432"/>
        <v>1642340.9742586103</v>
      </c>
      <c r="G684" s="152">
        <f t="shared" si="432"/>
        <v>2052926.2178232628</v>
      </c>
      <c r="H684" s="152">
        <f t="shared" si="432"/>
        <v>2463511.4613879155</v>
      </c>
      <c r="I684" s="152">
        <f t="shared" si="432"/>
        <v>2874096.7049525683</v>
      </c>
      <c r="J684" s="152">
        <f t="shared" si="432"/>
        <v>3284681.948517221</v>
      </c>
      <c r="K684" s="152">
        <f t="shared" si="432"/>
        <v>3695267.1920818738</v>
      </c>
      <c r="L684" s="152">
        <f t="shared" si="432"/>
        <v>4105852.4356465265</v>
      </c>
      <c r="M684" s="152">
        <f t="shared" si="432"/>
        <v>4516437.6792111788</v>
      </c>
      <c r="N684" s="152">
        <f t="shared" si="432"/>
        <v>4927022.9227758311</v>
      </c>
      <c r="O684" s="152">
        <f t="shared" si="432"/>
        <v>5337608.1663404834</v>
      </c>
      <c r="P684" s="152">
        <f t="shared" si="432"/>
        <v>5748193.4099051356</v>
      </c>
      <c r="Q684" s="152">
        <f t="shared" si="432"/>
        <v>0</v>
      </c>
      <c r="R684" s="152">
        <f t="shared" si="432"/>
        <v>513326.83759962226</v>
      </c>
      <c r="S684" s="152">
        <f t="shared" si="432"/>
        <v>1026653.6751992445</v>
      </c>
      <c r="T684" s="152">
        <f t="shared" si="432"/>
        <v>1539980.5127988667</v>
      </c>
      <c r="U684" s="152">
        <f t="shared" si="432"/>
        <v>2053307.350398489</v>
      </c>
      <c r="V684" s="152">
        <f t="shared" si="432"/>
        <v>2566634.1879981114</v>
      </c>
      <c r="W684" s="152">
        <f t="shared" si="432"/>
        <v>3079961.0255977334</v>
      </c>
      <c r="X684" s="152">
        <f t="shared" si="432"/>
        <v>3593287.8631973555</v>
      </c>
      <c r="Y684" s="152">
        <f t="shared" si="432"/>
        <v>4106614.7007969776</v>
      </c>
      <c r="Z684" s="152">
        <f t="shared" si="432"/>
        <v>4619941.5383965997</v>
      </c>
      <c r="AA684" s="152">
        <f t="shared" si="432"/>
        <v>5133268.3759962218</v>
      </c>
      <c r="AB684" s="152">
        <f t="shared" si="432"/>
        <v>5646595.2135958439</v>
      </c>
      <c r="AC684" s="152">
        <f t="shared" si="432"/>
        <v>6159922.051195466</v>
      </c>
      <c r="AD684" s="152">
        <f t="shared" si="432"/>
        <v>6673248.888795088</v>
      </c>
      <c r="AE684" s="152">
        <f t="shared" si="432"/>
        <v>7186575.7263947101</v>
      </c>
      <c r="AF684" s="152">
        <f t="shared" si="432"/>
        <v>0</v>
      </c>
      <c r="AG684" s="152">
        <f t="shared" si="432"/>
        <v>0</v>
      </c>
      <c r="AH684" s="152">
        <f t="shared" si="432"/>
        <v>0</v>
      </c>
      <c r="AI684" s="152">
        <f t="shared" si="432"/>
        <v>0</v>
      </c>
      <c r="AJ684" s="152">
        <f t="shared" si="432"/>
        <v>0</v>
      </c>
      <c r="AK684" s="152">
        <f t="shared" si="432"/>
        <v>0</v>
      </c>
      <c r="AL684" s="152">
        <f t="shared" si="432"/>
        <v>0</v>
      </c>
      <c r="AM684" s="152">
        <f t="shared" si="432"/>
        <v>0</v>
      </c>
      <c r="AN684" s="152">
        <f t="shared" si="432"/>
        <v>0</v>
      </c>
      <c r="AO684" s="152">
        <f t="shared" si="432"/>
        <v>0</v>
      </c>
      <c r="AP684" s="152">
        <f t="shared" si="432"/>
        <v>0</v>
      </c>
    </row>
    <row r="685" spans="1:42">
      <c r="B685" s="152"/>
      <c r="C685" s="152"/>
      <c r="D685" s="152"/>
      <c r="E685" s="152"/>
      <c r="F685" s="152"/>
      <c r="G685" s="186"/>
      <c r="H685" s="186"/>
      <c r="I685" s="186"/>
      <c r="J685" s="186"/>
      <c r="K685" s="186"/>
      <c r="L685" s="186"/>
      <c r="M685" s="186"/>
      <c r="N685" s="186"/>
      <c r="O685" s="186"/>
      <c r="P685" s="186"/>
      <c r="Q685" s="186"/>
      <c r="R685" s="186"/>
      <c r="S685" s="186"/>
      <c r="T685" s="186"/>
      <c r="U685" s="186"/>
      <c r="V685" s="186"/>
      <c r="W685" s="186"/>
      <c r="X685" s="186"/>
      <c r="Y685" s="186"/>
      <c r="Z685" s="186"/>
      <c r="AA685" s="186"/>
      <c r="AB685" s="186"/>
      <c r="AC685" s="186"/>
      <c r="AD685" s="186"/>
      <c r="AE685" s="186"/>
      <c r="AF685" s="186"/>
      <c r="AG685" s="186"/>
      <c r="AH685" s="186"/>
      <c r="AI685" s="186"/>
      <c r="AJ685" s="186"/>
      <c r="AK685" s="186"/>
      <c r="AL685" s="186"/>
      <c r="AM685" s="186"/>
      <c r="AN685" s="186"/>
      <c r="AO685" s="186"/>
      <c r="AP685" s="186"/>
    </row>
    <row r="686" spans="1:42">
      <c r="A686" s="37" t="s">
        <v>196</v>
      </c>
      <c r="B686" s="152"/>
      <c r="C686" s="152"/>
      <c r="D686" s="152"/>
      <c r="E686" s="152"/>
      <c r="F686" s="152"/>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c r="AM686" s="186"/>
      <c r="AN686" s="186"/>
      <c r="AO686" s="186"/>
      <c r="AP686" s="186"/>
    </row>
    <row r="687" spans="1:42">
      <c r="A687" s="37" t="s">
        <v>197</v>
      </c>
      <c r="B687" s="152"/>
      <c r="C687" s="152"/>
      <c r="D687" s="152"/>
      <c r="E687" s="152"/>
      <c r="F687" s="152"/>
      <c r="G687" s="186"/>
      <c r="H687" s="186"/>
      <c r="I687" s="186"/>
      <c r="J687" s="186"/>
      <c r="K687" s="186"/>
      <c r="L687" s="186"/>
      <c r="M687" s="186"/>
      <c r="N687" s="186"/>
      <c r="O687" s="186"/>
      <c r="P687" s="186"/>
      <c r="Q687" s="186"/>
      <c r="R687" s="186"/>
      <c r="S687" s="186"/>
      <c r="T687" s="186"/>
      <c r="U687" s="186"/>
      <c r="V687" s="186"/>
      <c r="W687" s="186"/>
      <c r="X687" s="186"/>
      <c r="Y687" s="186"/>
      <c r="Z687" s="186"/>
      <c r="AA687" s="186"/>
      <c r="AB687" s="186"/>
      <c r="AC687" s="186"/>
      <c r="AD687" s="186"/>
      <c r="AE687" s="186"/>
      <c r="AF687" s="186"/>
      <c r="AG687" s="186"/>
      <c r="AH687" s="186"/>
      <c r="AI687" s="186"/>
      <c r="AJ687" s="186"/>
      <c r="AK687" s="186"/>
      <c r="AL687" s="186"/>
      <c r="AM687" s="186"/>
      <c r="AN687" s="186"/>
      <c r="AO687" s="186"/>
      <c r="AP687" s="186"/>
    </row>
    <row r="688" spans="1:42">
      <c r="A688" s="37">
        <v>1</v>
      </c>
      <c r="B688" s="196">
        <f t="shared" ref="B688:B697" si="433">SUM(C688:AP688)</f>
        <v>6158778.6534697888</v>
      </c>
      <c r="C688" s="186">
        <f t="shared" ref="C688:R697" si="434">IF(C$2&gt;AnalysisPeriod,0,IF(C$2=MMFrequency2*$A688,MMCost2*CapacityDC*1000*(1+Inflation)^B$2,0))</f>
        <v>0</v>
      </c>
      <c r="D688" s="186">
        <f t="shared" si="434"/>
        <v>0</v>
      </c>
      <c r="E688" s="186">
        <f t="shared" si="434"/>
        <v>0</v>
      </c>
      <c r="F688" s="186">
        <f t="shared" si="434"/>
        <v>0</v>
      </c>
      <c r="G688" s="186">
        <f t="shared" si="434"/>
        <v>0</v>
      </c>
      <c r="H688" s="186">
        <f t="shared" si="434"/>
        <v>0</v>
      </c>
      <c r="I688" s="186">
        <f t="shared" si="434"/>
        <v>0</v>
      </c>
      <c r="J688" s="186">
        <f t="shared" si="434"/>
        <v>0</v>
      </c>
      <c r="K688" s="186">
        <f t="shared" si="434"/>
        <v>0</v>
      </c>
      <c r="L688" s="186">
        <f t="shared" si="434"/>
        <v>0</v>
      </c>
      <c r="M688" s="186">
        <f t="shared" si="434"/>
        <v>0</v>
      </c>
      <c r="N688" s="186">
        <f t="shared" si="434"/>
        <v>0</v>
      </c>
      <c r="O688" s="186">
        <f t="shared" si="434"/>
        <v>0</v>
      </c>
      <c r="P688" s="186">
        <f t="shared" si="434"/>
        <v>0</v>
      </c>
      <c r="Q688" s="186">
        <f t="shared" si="434"/>
        <v>6158778.6534697888</v>
      </c>
      <c r="R688" s="186">
        <f t="shared" si="434"/>
        <v>0</v>
      </c>
      <c r="S688" s="186">
        <f t="shared" ref="S688:AH697" si="435">IF(S$2&gt;AnalysisPeriod,0,IF(S$2=MMFrequency2*$A688,MMCost2*CapacityDC*1000*(1+Inflation)^R$2,0))</f>
        <v>0</v>
      </c>
      <c r="T688" s="186">
        <f t="shared" si="435"/>
        <v>0</v>
      </c>
      <c r="U688" s="186">
        <f t="shared" si="435"/>
        <v>0</v>
      </c>
      <c r="V688" s="186">
        <f t="shared" si="435"/>
        <v>0</v>
      </c>
      <c r="W688" s="186">
        <f t="shared" si="435"/>
        <v>0</v>
      </c>
      <c r="X688" s="186">
        <f t="shared" si="435"/>
        <v>0</v>
      </c>
      <c r="Y688" s="186">
        <f t="shared" si="435"/>
        <v>0</v>
      </c>
      <c r="Z688" s="186">
        <f t="shared" si="435"/>
        <v>0</v>
      </c>
      <c r="AA688" s="186">
        <f t="shared" si="435"/>
        <v>0</v>
      </c>
      <c r="AB688" s="186">
        <f t="shared" si="435"/>
        <v>0</v>
      </c>
      <c r="AC688" s="186">
        <f t="shared" si="435"/>
        <v>0</v>
      </c>
      <c r="AD688" s="186">
        <f t="shared" si="435"/>
        <v>0</v>
      </c>
      <c r="AE688" s="186">
        <f t="shared" si="435"/>
        <v>0</v>
      </c>
      <c r="AF688" s="186">
        <f t="shared" si="435"/>
        <v>0</v>
      </c>
      <c r="AG688" s="186">
        <f t="shared" si="435"/>
        <v>0</v>
      </c>
      <c r="AH688" s="186">
        <f t="shared" si="435"/>
        <v>0</v>
      </c>
      <c r="AI688" s="186">
        <f t="shared" ref="AI688:AP697" si="436">IF(AI$2&gt;AnalysisPeriod,0,IF(AI$2=MMFrequency2*$A688,MMCost2*CapacityDC*1000*(1+Inflation)^AH$2,0))</f>
        <v>0</v>
      </c>
      <c r="AJ688" s="186">
        <f t="shared" si="436"/>
        <v>0</v>
      </c>
      <c r="AK688" s="186">
        <f t="shared" si="436"/>
        <v>0</v>
      </c>
      <c r="AL688" s="186">
        <f t="shared" si="436"/>
        <v>0</v>
      </c>
      <c r="AM688" s="186">
        <f t="shared" si="436"/>
        <v>0</v>
      </c>
      <c r="AN688" s="186">
        <f t="shared" si="436"/>
        <v>0</v>
      </c>
      <c r="AO688" s="186">
        <f t="shared" si="436"/>
        <v>0</v>
      </c>
      <c r="AP688" s="186">
        <f t="shared" si="436"/>
        <v>0</v>
      </c>
    </row>
    <row r="689" spans="1:42">
      <c r="A689" s="37">
        <f>A688+1</f>
        <v>2</v>
      </c>
      <c r="B689" s="196">
        <f t="shared" si="433"/>
        <v>7699902.5639943341</v>
      </c>
      <c r="C689" s="186">
        <f t="shared" si="434"/>
        <v>0</v>
      </c>
      <c r="D689" s="186">
        <f t="shared" si="434"/>
        <v>0</v>
      </c>
      <c r="E689" s="186">
        <f t="shared" si="434"/>
        <v>0</v>
      </c>
      <c r="F689" s="186">
        <f t="shared" si="434"/>
        <v>0</v>
      </c>
      <c r="G689" s="186">
        <f t="shared" si="434"/>
        <v>0</v>
      </c>
      <c r="H689" s="186">
        <f t="shared" si="434"/>
        <v>0</v>
      </c>
      <c r="I689" s="186">
        <f t="shared" si="434"/>
        <v>0</v>
      </c>
      <c r="J689" s="186">
        <f t="shared" si="434"/>
        <v>0</v>
      </c>
      <c r="K689" s="186">
        <f t="shared" si="434"/>
        <v>0</v>
      </c>
      <c r="L689" s="186">
        <f t="shared" si="434"/>
        <v>0</v>
      </c>
      <c r="M689" s="186">
        <f t="shared" si="434"/>
        <v>0</v>
      </c>
      <c r="N689" s="186">
        <f t="shared" si="434"/>
        <v>0</v>
      </c>
      <c r="O689" s="186">
        <f t="shared" si="434"/>
        <v>0</v>
      </c>
      <c r="P689" s="186">
        <f t="shared" si="434"/>
        <v>0</v>
      </c>
      <c r="Q689" s="186">
        <f t="shared" si="434"/>
        <v>0</v>
      </c>
      <c r="R689" s="186">
        <f t="shared" si="434"/>
        <v>0</v>
      </c>
      <c r="S689" s="186">
        <f t="shared" si="435"/>
        <v>0</v>
      </c>
      <c r="T689" s="186">
        <f t="shared" si="435"/>
        <v>0</v>
      </c>
      <c r="U689" s="186">
        <f t="shared" si="435"/>
        <v>0</v>
      </c>
      <c r="V689" s="186">
        <f t="shared" si="435"/>
        <v>0</v>
      </c>
      <c r="W689" s="186">
        <f t="shared" si="435"/>
        <v>0</v>
      </c>
      <c r="X689" s="186">
        <f t="shared" si="435"/>
        <v>0</v>
      </c>
      <c r="Y689" s="186">
        <f t="shared" si="435"/>
        <v>0</v>
      </c>
      <c r="Z689" s="186">
        <f t="shared" si="435"/>
        <v>0</v>
      </c>
      <c r="AA689" s="186">
        <f t="shared" si="435"/>
        <v>0</v>
      </c>
      <c r="AB689" s="186">
        <f t="shared" si="435"/>
        <v>0</v>
      </c>
      <c r="AC689" s="186">
        <f t="shared" si="435"/>
        <v>0</v>
      </c>
      <c r="AD689" s="186">
        <f t="shared" si="435"/>
        <v>0</v>
      </c>
      <c r="AE689" s="186">
        <f t="shared" si="435"/>
        <v>0</v>
      </c>
      <c r="AF689" s="186">
        <f t="shared" si="435"/>
        <v>7699902.5639943341</v>
      </c>
      <c r="AG689" s="186">
        <f t="shared" si="435"/>
        <v>0</v>
      </c>
      <c r="AH689" s="186">
        <f t="shared" si="435"/>
        <v>0</v>
      </c>
      <c r="AI689" s="186">
        <f t="shared" si="436"/>
        <v>0</v>
      </c>
      <c r="AJ689" s="186">
        <f t="shared" si="436"/>
        <v>0</v>
      </c>
      <c r="AK689" s="186">
        <f t="shared" si="436"/>
        <v>0</v>
      </c>
      <c r="AL689" s="186">
        <f t="shared" si="436"/>
        <v>0</v>
      </c>
      <c r="AM689" s="186">
        <f t="shared" si="436"/>
        <v>0</v>
      </c>
      <c r="AN689" s="186">
        <f t="shared" si="436"/>
        <v>0</v>
      </c>
      <c r="AO689" s="186">
        <f t="shared" si="436"/>
        <v>0</v>
      </c>
      <c r="AP689" s="186">
        <f t="shared" si="436"/>
        <v>0</v>
      </c>
    </row>
    <row r="690" spans="1:42">
      <c r="A690" s="37">
        <f t="shared" ref="A690:A697" si="437">A689+1</f>
        <v>3</v>
      </c>
      <c r="B690" s="196">
        <f t="shared" si="433"/>
        <v>0</v>
      </c>
      <c r="C690" s="186">
        <f t="shared" si="434"/>
        <v>0</v>
      </c>
      <c r="D690" s="186">
        <f t="shared" si="434"/>
        <v>0</v>
      </c>
      <c r="E690" s="186">
        <f t="shared" si="434"/>
        <v>0</v>
      </c>
      <c r="F690" s="186">
        <f t="shared" si="434"/>
        <v>0</v>
      </c>
      <c r="G690" s="186">
        <f t="shared" si="434"/>
        <v>0</v>
      </c>
      <c r="H690" s="186">
        <f t="shared" si="434"/>
        <v>0</v>
      </c>
      <c r="I690" s="186">
        <f t="shared" si="434"/>
        <v>0</v>
      </c>
      <c r="J690" s="186">
        <f t="shared" si="434"/>
        <v>0</v>
      </c>
      <c r="K690" s="186">
        <f t="shared" si="434"/>
        <v>0</v>
      </c>
      <c r="L690" s="186">
        <f t="shared" si="434"/>
        <v>0</v>
      </c>
      <c r="M690" s="186">
        <f t="shared" si="434"/>
        <v>0</v>
      </c>
      <c r="N690" s="186">
        <f t="shared" si="434"/>
        <v>0</v>
      </c>
      <c r="O690" s="186">
        <f t="shared" si="434"/>
        <v>0</v>
      </c>
      <c r="P690" s="186">
        <f t="shared" si="434"/>
        <v>0</v>
      </c>
      <c r="Q690" s="186">
        <f t="shared" si="434"/>
        <v>0</v>
      </c>
      <c r="R690" s="186">
        <f t="shared" si="434"/>
        <v>0</v>
      </c>
      <c r="S690" s="186">
        <f t="shared" si="435"/>
        <v>0</v>
      </c>
      <c r="T690" s="186">
        <f t="shared" si="435"/>
        <v>0</v>
      </c>
      <c r="U690" s="186">
        <f t="shared" si="435"/>
        <v>0</v>
      </c>
      <c r="V690" s="186">
        <f t="shared" si="435"/>
        <v>0</v>
      </c>
      <c r="W690" s="186">
        <f t="shared" si="435"/>
        <v>0</v>
      </c>
      <c r="X690" s="186">
        <f t="shared" si="435"/>
        <v>0</v>
      </c>
      <c r="Y690" s="186">
        <f t="shared" si="435"/>
        <v>0</v>
      </c>
      <c r="Z690" s="186">
        <f t="shared" si="435"/>
        <v>0</v>
      </c>
      <c r="AA690" s="186">
        <f t="shared" si="435"/>
        <v>0</v>
      </c>
      <c r="AB690" s="186">
        <f t="shared" si="435"/>
        <v>0</v>
      </c>
      <c r="AC690" s="186">
        <f t="shared" si="435"/>
        <v>0</v>
      </c>
      <c r="AD690" s="186">
        <f t="shared" si="435"/>
        <v>0</v>
      </c>
      <c r="AE690" s="186">
        <f t="shared" si="435"/>
        <v>0</v>
      </c>
      <c r="AF690" s="186">
        <f t="shared" si="435"/>
        <v>0</v>
      </c>
      <c r="AG690" s="186">
        <f t="shared" si="435"/>
        <v>0</v>
      </c>
      <c r="AH690" s="186">
        <f t="shared" si="435"/>
        <v>0</v>
      </c>
      <c r="AI690" s="186">
        <f t="shared" si="436"/>
        <v>0</v>
      </c>
      <c r="AJ690" s="186">
        <f t="shared" si="436"/>
        <v>0</v>
      </c>
      <c r="AK690" s="186">
        <f t="shared" si="436"/>
        <v>0</v>
      </c>
      <c r="AL690" s="186">
        <f t="shared" si="436"/>
        <v>0</v>
      </c>
      <c r="AM690" s="186">
        <f t="shared" si="436"/>
        <v>0</v>
      </c>
      <c r="AN690" s="186">
        <f t="shared" si="436"/>
        <v>0</v>
      </c>
      <c r="AO690" s="186">
        <f t="shared" si="436"/>
        <v>0</v>
      </c>
      <c r="AP690" s="186">
        <f t="shared" si="436"/>
        <v>0</v>
      </c>
    </row>
    <row r="691" spans="1:42">
      <c r="A691" s="37">
        <f t="shared" si="437"/>
        <v>4</v>
      </c>
      <c r="B691" s="196">
        <f t="shared" si="433"/>
        <v>0</v>
      </c>
      <c r="C691" s="186">
        <f t="shared" si="434"/>
        <v>0</v>
      </c>
      <c r="D691" s="186">
        <f t="shared" si="434"/>
        <v>0</v>
      </c>
      <c r="E691" s="186">
        <f t="shared" si="434"/>
        <v>0</v>
      </c>
      <c r="F691" s="186">
        <f t="shared" si="434"/>
        <v>0</v>
      </c>
      <c r="G691" s="186">
        <f t="shared" si="434"/>
        <v>0</v>
      </c>
      <c r="H691" s="186">
        <f t="shared" si="434"/>
        <v>0</v>
      </c>
      <c r="I691" s="186">
        <f t="shared" si="434"/>
        <v>0</v>
      </c>
      <c r="J691" s="186">
        <f t="shared" si="434"/>
        <v>0</v>
      </c>
      <c r="K691" s="186">
        <f t="shared" si="434"/>
        <v>0</v>
      </c>
      <c r="L691" s="186">
        <f t="shared" si="434"/>
        <v>0</v>
      </c>
      <c r="M691" s="186">
        <f t="shared" si="434"/>
        <v>0</v>
      </c>
      <c r="N691" s="186">
        <f t="shared" si="434"/>
        <v>0</v>
      </c>
      <c r="O691" s="186">
        <f t="shared" si="434"/>
        <v>0</v>
      </c>
      <c r="P691" s="186">
        <f t="shared" si="434"/>
        <v>0</v>
      </c>
      <c r="Q691" s="186">
        <f t="shared" si="434"/>
        <v>0</v>
      </c>
      <c r="R691" s="186">
        <f t="shared" si="434"/>
        <v>0</v>
      </c>
      <c r="S691" s="186">
        <f t="shared" si="435"/>
        <v>0</v>
      </c>
      <c r="T691" s="186">
        <f t="shared" si="435"/>
        <v>0</v>
      </c>
      <c r="U691" s="186">
        <f t="shared" si="435"/>
        <v>0</v>
      </c>
      <c r="V691" s="186">
        <f t="shared" si="435"/>
        <v>0</v>
      </c>
      <c r="W691" s="186">
        <f t="shared" si="435"/>
        <v>0</v>
      </c>
      <c r="X691" s="186">
        <f t="shared" si="435"/>
        <v>0</v>
      </c>
      <c r="Y691" s="186">
        <f t="shared" si="435"/>
        <v>0</v>
      </c>
      <c r="Z691" s="186">
        <f t="shared" si="435"/>
        <v>0</v>
      </c>
      <c r="AA691" s="186">
        <f t="shared" si="435"/>
        <v>0</v>
      </c>
      <c r="AB691" s="186">
        <f t="shared" si="435"/>
        <v>0</v>
      </c>
      <c r="AC691" s="186">
        <f t="shared" si="435"/>
        <v>0</v>
      </c>
      <c r="AD691" s="186">
        <f t="shared" si="435"/>
        <v>0</v>
      </c>
      <c r="AE691" s="186">
        <f t="shared" si="435"/>
        <v>0</v>
      </c>
      <c r="AF691" s="186">
        <f t="shared" si="435"/>
        <v>0</v>
      </c>
      <c r="AG691" s="186">
        <f t="shared" si="435"/>
        <v>0</v>
      </c>
      <c r="AH691" s="186">
        <f t="shared" si="435"/>
        <v>0</v>
      </c>
      <c r="AI691" s="186">
        <f t="shared" si="436"/>
        <v>0</v>
      </c>
      <c r="AJ691" s="186">
        <f t="shared" si="436"/>
        <v>0</v>
      </c>
      <c r="AK691" s="186">
        <f t="shared" si="436"/>
        <v>0</v>
      </c>
      <c r="AL691" s="186">
        <f t="shared" si="436"/>
        <v>0</v>
      </c>
      <c r="AM691" s="186">
        <f t="shared" si="436"/>
        <v>0</v>
      </c>
      <c r="AN691" s="186">
        <f t="shared" si="436"/>
        <v>0</v>
      </c>
      <c r="AO691" s="186">
        <f t="shared" si="436"/>
        <v>0</v>
      </c>
      <c r="AP691" s="186">
        <f t="shared" si="436"/>
        <v>0</v>
      </c>
    </row>
    <row r="692" spans="1:42">
      <c r="A692" s="37">
        <f t="shared" si="437"/>
        <v>5</v>
      </c>
      <c r="B692" s="196">
        <f t="shared" si="433"/>
        <v>0</v>
      </c>
      <c r="C692" s="186">
        <f t="shared" si="434"/>
        <v>0</v>
      </c>
      <c r="D692" s="186">
        <f t="shared" si="434"/>
        <v>0</v>
      </c>
      <c r="E692" s="186">
        <f t="shared" si="434"/>
        <v>0</v>
      </c>
      <c r="F692" s="186">
        <f t="shared" si="434"/>
        <v>0</v>
      </c>
      <c r="G692" s="186">
        <f t="shared" si="434"/>
        <v>0</v>
      </c>
      <c r="H692" s="186">
        <f t="shared" si="434"/>
        <v>0</v>
      </c>
      <c r="I692" s="186">
        <f t="shared" si="434"/>
        <v>0</v>
      </c>
      <c r="J692" s="186">
        <f t="shared" si="434"/>
        <v>0</v>
      </c>
      <c r="K692" s="186">
        <f t="shared" si="434"/>
        <v>0</v>
      </c>
      <c r="L692" s="186">
        <f t="shared" si="434"/>
        <v>0</v>
      </c>
      <c r="M692" s="186">
        <f t="shared" si="434"/>
        <v>0</v>
      </c>
      <c r="N692" s="186">
        <f t="shared" si="434"/>
        <v>0</v>
      </c>
      <c r="O692" s="186">
        <f t="shared" si="434"/>
        <v>0</v>
      </c>
      <c r="P692" s="186">
        <f t="shared" si="434"/>
        <v>0</v>
      </c>
      <c r="Q692" s="186">
        <f t="shared" si="434"/>
        <v>0</v>
      </c>
      <c r="R692" s="186">
        <f t="shared" si="434"/>
        <v>0</v>
      </c>
      <c r="S692" s="186">
        <f t="shared" si="435"/>
        <v>0</v>
      </c>
      <c r="T692" s="186">
        <f t="shared" si="435"/>
        <v>0</v>
      </c>
      <c r="U692" s="186">
        <f t="shared" si="435"/>
        <v>0</v>
      </c>
      <c r="V692" s="186">
        <f t="shared" si="435"/>
        <v>0</v>
      </c>
      <c r="W692" s="186">
        <f t="shared" si="435"/>
        <v>0</v>
      </c>
      <c r="X692" s="186">
        <f t="shared" si="435"/>
        <v>0</v>
      </c>
      <c r="Y692" s="186">
        <f t="shared" si="435"/>
        <v>0</v>
      </c>
      <c r="Z692" s="186">
        <f t="shared" si="435"/>
        <v>0</v>
      </c>
      <c r="AA692" s="186">
        <f t="shared" si="435"/>
        <v>0</v>
      </c>
      <c r="AB692" s="186">
        <f t="shared" si="435"/>
        <v>0</v>
      </c>
      <c r="AC692" s="186">
        <f t="shared" si="435"/>
        <v>0</v>
      </c>
      <c r="AD692" s="186">
        <f t="shared" si="435"/>
        <v>0</v>
      </c>
      <c r="AE692" s="186">
        <f t="shared" si="435"/>
        <v>0</v>
      </c>
      <c r="AF692" s="186">
        <f t="shared" si="435"/>
        <v>0</v>
      </c>
      <c r="AG692" s="186">
        <f t="shared" si="435"/>
        <v>0</v>
      </c>
      <c r="AH692" s="186">
        <f t="shared" si="435"/>
        <v>0</v>
      </c>
      <c r="AI692" s="186">
        <f t="shared" si="436"/>
        <v>0</v>
      </c>
      <c r="AJ692" s="186">
        <f t="shared" si="436"/>
        <v>0</v>
      </c>
      <c r="AK692" s="186">
        <f t="shared" si="436"/>
        <v>0</v>
      </c>
      <c r="AL692" s="186">
        <f t="shared" si="436"/>
        <v>0</v>
      </c>
      <c r="AM692" s="186">
        <f t="shared" si="436"/>
        <v>0</v>
      </c>
      <c r="AN692" s="186">
        <f t="shared" si="436"/>
        <v>0</v>
      </c>
      <c r="AO692" s="186">
        <f t="shared" si="436"/>
        <v>0</v>
      </c>
      <c r="AP692" s="186">
        <f t="shared" si="436"/>
        <v>0</v>
      </c>
    </row>
    <row r="693" spans="1:42">
      <c r="A693" s="37">
        <f t="shared" si="437"/>
        <v>6</v>
      </c>
      <c r="B693" s="196">
        <f t="shared" si="433"/>
        <v>0</v>
      </c>
      <c r="C693" s="186">
        <f t="shared" si="434"/>
        <v>0</v>
      </c>
      <c r="D693" s="186">
        <f t="shared" si="434"/>
        <v>0</v>
      </c>
      <c r="E693" s="186">
        <f t="shared" si="434"/>
        <v>0</v>
      </c>
      <c r="F693" s="186">
        <f t="shared" si="434"/>
        <v>0</v>
      </c>
      <c r="G693" s="186">
        <f t="shared" si="434"/>
        <v>0</v>
      </c>
      <c r="H693" s="186">
        <f t="shared" si="434"/>
        <v>0</v>
      </c>
      <c r="I693" s="186">
        <f t="shared" si="434"/>
        <v>0</v>
      </c>
      <c r="J693" s="186">
        <f t="shared" si="434"/>
        <v>0</v>
      </c>
      <c r="K693" s="186">
        <f t="shared" si="434"/>
        <v>0</v>
      </c>
      <c r="L693" s="186">
        <f t="shared" si="434"/>
        <v>0</v>
      </c>
      <c r="M693" s="186">
        <f t="shared" si="434"/>
        <v>0</v>
      </c>
      <c r="N693" s="186">
        <f t="shared" si="434"/>
        <v>0</v>
      </c>
      <c r="O693" s="186">
        <f t="shared" si="434"/>
        <v>0</v>
      </c>
      <c r="P693" s="186">
        <f t="shared" si="434"/>
        <v>0</v>
      </c>
      <c r="Q693" s="186">
        <f t="shared" si="434"/>
        <v>0</v>
      </c>
      <c r="R693" s="186">
        <f t="shared" si="434"/>
        <v>0</v>
      </c>
      <c r="S693" s="186">
        <f t="shared" si="435"/>
        <v>0</v>
      </c>
      <c r="T693" s="186">
        <f t="shared" si="435"/>
        <v>0</v>
      </c>
      <c r="U693" s="186">
        <f t="shared" si="435"/>
        <v>0</v>
      </c>
      <c r="V693" s="186">
        <f t="shared" si="435"/>
        <v>0</v>
      </c>
      <c r="W693" s="186">
        <f t="shared" si="435"/>
        <v>0</v>
      </c>
      <c r="X693" s="186">
        <f t="shared" si="435"/>
        <v>0</v>
      </c>
      <c r="Y693" s="186">
        <f t="shared" si="435"/>
        <v>0</v>
      </c>
      <c r="Z693" s="186">
        <f t="shared" si="435"/>
        <v>0</v>
      </c>
      <c r="AA693" s="186">
        <f t="shared" si="435"/>
        <v>0</v>
      </c>
      <c r="AB693" s="186">
        <f t="shared" si="435"/>
        <v>0</v>
      </c>
      <c r="AC693" s="186">
        <f t="shared" si="435"/>
        <v>0</v>
      </c>
      <c r="AD693" s="186">
        <f t="shared" si="435"/>
        <v>0</v>
      </c>
      <c r="AE693" s="186">
        <f t="shared" si="435"/>
        <v>0</v>
      </c>
      <c r="AF693" s="186">
        <f t="shared" si="435"/>
        <v>0</v>
      </c>
      <c r="AG693" s="186">
        <f t="shared" si="435"/>
        <v>0</v>
      </c>
      <c r="AH693" s="186">
        <f t="shared" si="435"/>
        <v>0</v>
      </c>
      <c r="AI693" s="186">
        <f t="shared" si="436"/>
        <v>0</v>
      </c>
      <c r="AJ693" s="186">
        <f t="shared" si="436"/>
        <v>0</v>
      </c>
      <c r="AK693" s="186">
        <f t="shared" si="436"/>
        <v>0</v>
      </c>
      <c r="AL693" s="186">
        <f t="shared" si="436"/>
        <v>0</v>
      </c>
      <c r="AM693" s="186">
        <f t="shared" si="436"/>
        <v>0</v>
      </c>
      <c r="AN693" s="186">
        <f t="shared" si="436"/>
        <v>0</v>
      </c>
      <c r="AO693" s="186">
        <f t="shared" si="436"/>
        <v>0</v>
      </c>
      <c r="AP693" s="186">
        <f t="shared" si="436"/>
        <v>0</v>
      </c>
    </row>
    <row r="694" spans="1:42">
      <c r="A694" s="37">
        <f t="shared" si="437"/>
        <v>7</v>
      </c>
      <c r="B694" s="196">
        <f t="shared" si="433"/>
        <v>0</v>
      </c>
      <c r="C694" s="186">
        <f t="shared" si="434"/>
        <v>0</v>
      </c>
      <c r="D694" s="186">
        <f t="shared" si="434"/>
        <v>0</v>
      </c>
      <c r="E694" s="186">
        <f t="shared" si="434"/>
        <v>0</v>
      </c>
      <c r="F694" s="186">
        <f t="shared" si="434"/>
        <v>0</v>
      </c>
      <c r="G694" s="186">
        <f t="shared" si="434"/>
        <v>0</v>
      </c>
      <c r="H694" s="186">
        <f t="shared" si="434"/>
        <v>0</v>
      </c>
      <c r="I694" s="186">
        <f t="shared" si="434"/>
        <v>0</v>
      </c>
      <c r="J694" s="186">
        <f t="shared" si="434"/>
        <v>0</v>
      </c>
      <c r="K694" s="186">
        <f t="shared" si="434"/>
        <v>0</v>
      </c>
      <c r="L694" s="186">
        <f t="shared" si="434"/>
        <v>0</v>
      </c>
      <c r="M694" s="186">
        <f t="shared" si="434"/>
        <v>0</v>
      </c>
      <c r="N694" s="186">
        <f t="shared" si="434"/>
        <v>0</v>
      </c>
      <c r="O694" s="186">
        <f t="shared" si="434"/>
        <v>0</v>
      </c>
      <c r="P694" s="186">
        <f t="shared" si="434"/>
        <v>0</v>
      </c>
      <c r="Q694" s="186">
        <f t="shared" si="434"/>
        <v>0</v>
      </c>
      <c r="R694" s="186">
        <f t="shared" si="434"/>
        <v>0</v>
      </c>
      <c r="S694" s="186">
        <f t="shared" si="435"/>
        <v>0</v>
      </c>
      <c r="T694" s="186">
        <f t="shared" si="435"/>
        <v>0</v>
      </c>
      <c r="U694" s="186">
        <f t="shared" si="435"/>
        <v>0</v>
      </c>
      <c r="V694" s="186">
        <f t="shared" si="435"/>
        <v>0</v>
      </c>
      <c r="W694" s="186">
        <f t="shared" si="435"/>
        <v>0</v>
      </c>
      <c r="X694" s="186">
        <f t="shared" si="435"/>
        <v>0</v>
      </c>
      <c r="Y694" s="186">
        <f t="shared" si="435"/>
        <v>0</v>
      </c>
      <c r="Z694" s="186">
        <f t="shared" si="435"/>
        <v>0</v>
      </c>
      <c r="AA694" s="186">
        <f t="shared" si="435"/>
        <v>0</v>
      </c>
      <c r="AB694" s="186">
        <f t="shared" si="435"/>
        <v>0</v>
      </c>
      <c r="AC694" s="186">
        <f t="shared" si="435"/>
        <v>0</v>
      </c>
      <c r="AD694" s="186">
        <f t="shared" si="435"/>
        <v>0</v>
      </c>
      <c r="AE694" s="186">
        <f t="shared" si="435"/>
        <v>0</v>
      </c>
      <c r="AF694" s="186">
        <f t="shared" si="435"/>
        <v>0</v>
      </c>
      <c r="AG694" s="186">
        <f t="shared" si="435"/>
        <v>0</v>
      </c>
      <c r="AH694" s="186">
        <f t="shared" si="435"/>
        <v>0</v>
      </c>
      <c r="AI694" s="186">
        <f t="shared" si="436"/>
        <v>0</v>
      </c>
      <c r="AJ694" s="186">
        <f t="shared" si="436"/>
        <v>0</v>
      </c>
      <c r="AK694" s="186">
        <f t="shared" si="436"/>
        <v>0</v>
      </c>
      <c r="AL694" s="186">
        <f t="shared" si="436"/>
        <v>0</v>
      </c>
      <c r="AM694" s="186">
        <f t="shared" si="436"/>
        <v>0</v>
      </c>
      <c r="AN694" s="186">
        <f t="shared" si="436"/>
        <v>0</v>
      </c>
      <c r="AO694" s="186">
        <f t="shared" si="436"/>
        <v>0</v>
      </c>
      <c r="AP694" s="186">
        <f t="shared" si="436"/>
        <v>0</v>
      </c>
    </row>
    <row r="695" spans="1:42">
      <c r="A695" s="37">
        <f t="shared" si="437"/>
        <v>8</v>
      </c>
      <c r="B695" s="196">
        <f t="shared" si="433"/>
        <v>0</v>
      </c>
      <c r="C695" s="186">
        <f t="shared" si="434"/>
        <v>0</v>
      </c>
      <c r="D695" s="186">
        <f t="shared" si="434"/>
        <v>0</v>
      </c>
      <c r="E695" s="186">
        <f t="shared" si="434"/>
        <v>0</v>
      </c>
      <c r="F695" s="186">
        <f t="shared" si="434"/>
        <v>0</v>
      </c>
      <c r="G695" s="186">
        <f t="shared" si="434"/>
        <v>0</v>
      </c>
      <c r="H695" s="186">
        <f t="shared" si="434"/>
        <v>0</v>
      </c>
      <c r="I695" s="186">
        <f t="shared" si="434"/>
        <v>0</v>
      </c>
      <c r="J695" s="186">
        <f t="shared" si="434"/>
        <v>0</v>
      </c>
      <c r="K695" s="186">
        <f t="shared" si="434"/>
        <v>0</v>
      </c>
      <c r="L695" s="186">
        <f t="shared" si="434"/>
        <v>0</v>
      </c>
      <c r="M695" s="186">
        <f t="shared" si="434"/>
        <v>0</v>
      </c>
      <c r="N695" s="186">
        <f t="shared" si="434"/>
        <v>0</v>
      </c>
      <c r="O695" s="186">
        <f t="shared" si="434"/>
        <v>0</v>
      </c>
      <c r="P695" s="186">
        <f t="shared" si="434"/>
        <v>0</v>
      </c>
      <c r="Q695" s="186">
        <f t="shared" si="434"/>
        <v>0</v>
      </c>
      <c r="R695" s="186">
        <f t="shared" si="434"/>
        <v>0</v>
      </c>
      <c r="S695" s="186">
        <f t="shared" si="435"/>
        <v>0</v>
      </c>
      <c r="T695" s="186">
        <f t="shared" si="435"/>
        <v>0</v>
      </c>
      <c r="U695" s="186">
        <f t="shared" si="435"/>
        <v>0</v>
      </c>
      <c r="V695" s="186">
        <f t="shared" si="435"/>
        <v>0</v>
      </c>
      <c r="W695" s="186">
        <f t="shared" si="435"/>
        <v>0</v>
      </c>
      <c r="X695" s="186">
        <f t="shared" si="435"/>
        <v>0</v>
      </c>
      <c r="Y695" s="186">
        <f t="shared" si="435"/>
        <v>0</v>
      </c>
      <c r="Z695" s="186">
        <f t="shared" si="435"/>
        <v>0</v>
      </c>
      <c r="AA695" s="186">
        <f t="shared" si="435"/>
        <v>0</v>
      </c>
      <c r="AB695" s="186">
        <f t="shared" si="435"/>
        <v>0</v>
      </c>
      <c r="AC695" s="186">
        <f t="shared" si="435"/>
        <v>0</v>
      </c>
      <c r="AD695" s="186">
        <f t="shared" si="435"/>
        <v>0</v>
      </c>
      <c r="AE695" s="186">
        <f t="shared" si="435"/>
        <v>0</v>
      </c>
      <c r="AF695" s="186">
        <f t="shared" si="435"/>
        <v>0</v>
      </c>
      <c r="AG695" s="186">
        <f t="shared" si="435"/>
        <v>0</v>
      </c>
      <c r="AH695" s="186">
        <f t="shared" si="435"/>
        <v>0</v>
      </c>
      <c r="AI695" s="186">
        <f t="shared" si="436"/>
        <v>0</v>
      </c>
      <c r="AJ695" s="186">
        <f t="shared" si="436"/>
        <v>0</v>
      </c>
      <c r="AK695" s="186">
        <f t="shared" si="436"/>
        <v>0</v>
      </c>
      <c r="AL695" s="186">
        <f t="shared" si="436"/>
        <v>0</v>
      </c>
      <c r="AM695" s="186">
        <f t="shared" si="436"/>
        <v>0</v>
      </c>
      <c r="AN695" s="186">
        <f t="shared" si="436"/>
        <v>0</v>
      </c>
      <c r="AO695" s="186">
        <f t="shared" si="436"/>
        <v>0</v>
      </c>
      <c r="AP695" s="186">
        <f t="shared" si="436"/>
        <v>0</v>
      </c>
    </row>
    <row r="696" spans="1:42">
      <c r="A696" s="37">
        <f>A695+1</f>
        <v>9</v>
      </c>
      <c r="B696" s="196">
        <f t="shared" si="433"/>
        <v>0</v>
      </c>
      <c r="C696" s="186">
        <f t="shared" si="434"/>
        <v>0</v>
      </c>
      <c r="D696" s="186">
        <f t="shared" si="434"/>
        <v>0</v>
      </c>
      <c r="E696" s="186">
        <f t="shared" si="434"/>
        <v>0</v>
      </c>
      <c r="F696" s="186">
        <f t="shared" si="434"/>
        <v>0</v>
      </c>
      <c r="G696" s="186">
        <f t="shared" si="434"/>
        <v>0</v>
      </c>
      <c r="H696" s="186">
        <f t="shared" si="434"/>
        <v>0</v>
      </c>
      <c r="I696" s="186">
        <f t="shared" si="434"/>
        <v>0</v>
      </c>
      <c r="J696" s="186">
        <f t="shared" si="434"/>
        <v>0</v>
      </c>
      <c r="K696" s="186">
        <f t="shared" si="434"/>
        <v>0</v>
      </c>
      <c r="L696" s="186">
        <f t="shared" si="434"/>
        <v>0</v>
      </c>
      <c r="M696" s="186">
        <f t="shared" si="434"/>
        <v>0</v>
      </c>
      <c r="N696" s="186">
        <f t="shared" si="434"/>
        <v>0</v>
      </c>
      <c r="O696" s="186">
        <f t="shared" si="434"/>
        <v>0</v>
      </c>
      <c r="P696" s="186">
        <f t="shared" si="434"/>
        <v>0</v>
      </c>
      <c r="Q696" s="186">
        <f t="shared" si="434"/>
        <v>0</v>
      </c>
      <c r="R696" s="186">
        <f t="shared" si="434"/>
        <v>0</v>
      </c>
      <c r="S696" s="186">
        <f t="shared" si="435"/>
        <v>0</v>
      </c>
      <c r="T696" s="186">
        <f t="shared" si="435"/>
        <v>0</v>
      </c>
      <c r="U696" s="186">
        <f t="shared" si="435"/>
        <v>0</v>
      </c>
      <c r="V696" s="186">
        <f t="shared" si="435"/>
        <v>0</v>
      </c>
      <c r="W696" s="186">
        <f t="shared" si="435"/>
        <v>0</v>
      </c>
      <c r="X696" s="186">
        <f t="shared" si="435"/>
        <v>0</v>
      </c>
      <c r="Y696" s="186">
        <f t="shared" si="435"/>
        <v>0</v>
      </c>
      <c r="Z696" s="186">
        <f t="shared" si="435"/>
        <v>0</v>
      </c>
      <c r="AA696" s="186">
        <f t="shared" si="435"/>
        <v>0</v>
      </c>
      <c r="AB696" s="186">
        <f t="shared" si="435"/>
        <v>0</v>
      </c>
      <c r="AC696" s="186">
        <f t="shared" si="435"/>
        <v>0</v>
      </c>
      <c r="AD696" s="186">
        <f t="shared" si="435"/>
        <v>0</v>
      </c>
      <c r="AE696" s="186">
        <f t="shared" si="435"/>
        <v>0</v>
      </c>
      <c r="AF696" s="186">
        <f t="shared" si="435"/>
        <v>0</v>
      </c>
      <c r="AG696" s="186">
        <f t="shared" si="435"/>
        <v>0</v>
      </c>
      <c r="AH696" s="186">
        <f t="shared" si="435"/>
        <v>0</v>
      </c>
      <c r="AI696" s="186">
        <f t="shared" si="436"/>
        <v>0</v>
      </c>
      <c r="AJ696" s="186">
        <f t="shared" si="436"/>
        <v>0</v>
      </c>
      <c r="AK696" s="186">
        <f t="shared" si="436"/>
        <v>0</v>
      </c>
      <c r="AL696" s="186">
        <f t="shared" si="436"/>
        <v>0</v>
      </c>
      <c r="AM696" s="186">
        <f t="shared" si="436"/>
        <v>0</v>
      </c>
      <c r="AN696" s="186">
        <f t="shared" si="436"/>
        <v>0</v>
      </c>
      <c r="AO696" s="186">
        <f t="shared" si="436"/>
        <v>0</v>
      </c>
      <c r="AP696" s="186">
        <f t="shared" si="436"/>
        <v>0</v>
      </c>
    </row>
    <row r="697" spans="1:42">
      <c r="A697" s="37">
        <f t="shared" si="437"/>
        <v>10</v>
      </c>
      <c r="B697" s="196">
        <f t="shared" si="433"/>
        <v>0</v>
      </c>
      <c r="C697" s="187">
        <f t="shared" si="434"/>
        <v>0</v>
      </c>
      <c r="D697" s="187">
        <f t="shared" si="434"/>
        <v>0</v>
      </c>
      <c r="E697" s="187">
        <f t="shared" si="434"/>
        <v>0</v>
      </c>
      <c r="F697" s="187">
        <f t="shared" si="434"/>
        <v>0</v>
      </c>
      <c r="G697" s="187">
        <f t="shared" si="434"/>
        <v>0</v>
      </c>
      <c r="H697" s="187">
        <f t="shared" si="434"/>
        <v>0</v>
      </c>
      <c r="I697" s="187">
        <f t="shared" si="434"/>
        <v>0</v>
      </c>
      <c r="J697" s="187">
        <f t="shared" si="434"/>
        <v>0</v>
      </c>
      <c r="K697" s="187">
        <f t="shared" si="434"/>
        <v>0</v>
      </c>
      <c r="L697" s="187">
        <f t="shared" si="434"/>
        <v>0</v>
      </c>
      <c r="M697" s="187">
        <f t="shared" si="434"/>
        <v>0</v>
      </c>
      <c r="N697" s="187">
        <f t="shared" si="434"/>
        <v>0</v>
      </c>
      <c r="O697" s="187">
        <f t="shared" si="434"/>
        <v>0</v>
      </c>
      <c r="P697" s="187">
        <f t="shared" si="434"/>
        <v>0</v>
      </c>
      <c r="Q697" s="187">
        <f t="shared" si="434"/>
        <v>0</v>
      </c>
      <c r="R697" s="187">
        <f t="shared" si="434"/>
        <v>0</v>
      </c>
      <c r="S697" s="187">
        <f t="shared" si="435"/>
        <v>0</v>
      </c>
      <c r="T697" s="187">
        <f t="shared" si="435"/>
        <v>0</v>
      </c>
      <c r="U697" s="187">
        <f t="shared" si="435"/>
        <v>0</v>
      </c>
      <c r="V697" s="187">
        <f t="shared" si="435"/>
        <v>0</v>
      </c>
      <c r="W697" s="187">
        <f t="shared" si="435"/>
        <v>0</v>
      </c>
      <c r="X697" s="187">
        <f t="shared" si="435"/>
        <v>0</v>
      </c>
      <c r="Y697" s="187">
        <f t="shared" si="435"/>
        <v>0</v>
      </c>
      <c r="Z697" s="187">
        <f t="shared" si="435"/>
        <v>0</v>
      </c>
      <c r="AA697" s="187">
        <f t="shared" si="435"/>
        <v>0</v>
      </c>
      <c r="AB697" s="187">
        <f t="shared" si="435"/>
        <v>0</v>
      </c>
      <c r="AC697" s="187">
        <f t="shared" si="435"/>
        <v>0</v>
      </c>
      <c r="AD697" s="187">
        <f t="shared" si="435"/>
        <v>0</v>
      </c>
      <c r="AE697" s="187">
        <f t="shared" si="435"/>
        <v>0</v>
      </c>
      <c r="AF697" s="187">
        <f t="shared" si="435"/>
        <v>0</v>
      </c>
      <c r="AG697" s="187">
        <f t="shared" si="435"/>
        <v>0</v>
      </c>
      <c r="AH697" s="187">
        <f t="shared" si="435"/>
        <v>0</v>
      </c>
      <c r="AI697" s="187">
        <f t="shared" si="436"/>
        <v>0</v>
      </c>
      <c r="AJ697" s="187">
        <f t="shared" si="436"/>
        <v>0</v>
      </c>
      <c r="AK697" s="187">
        <f t="shared" si="436"/>
        <v>0</v>
      </c>
      <c r="AL697" s="187">
        <f t="shared" si="436"/>
        <v>0</v>
      </c>
      <c r="AM697" s="187">
        <f t="shared" si="436"/>
        <v>0</v>
      </c>
      <c r="AN697" s="187">
        <f t="shared" si="436"/>
        <v>0</v>
      </c>
      <c r="AO697" s="187">
        <f t="shared" si="436"/>
        <v>0</v>
      </c>
      <c r="AP697" s="187">
        <f t="shared" si="436"/>
        <v>0</v>
      </c>
    </row>
    <row r="698" spans="1:42">
      <c r="A698" s="219" t="s">
        <v>53</v>
      </c>
      <c r="B698" s="186"/>
      <c r="C698" s="152">
        <f>SUM(C688:C697)</f>
        <v>0</v>
      </c>
      <c r="D698" s="152">
        <f t="shared" ref="D698:AP698" si="438">SUM(D688:D697)</f>
        <v>0</v>
      </c>
      <c r="E698" s="152">
        <f t="shared" si="438"/>
        <v>0</v>
      </c>
      <c r="F698" s="152">
        <f t="shared" si="438"/>
        <v>0</v>
      </c>
      <c r="G698" s="152">
        <f t="shared" si="438"/>
        <v>0</v>
      </c>
      <c r="H698" s="152">
        <f t="shared" si="438"/>
        <v>0</v>
      </c>
      <c r="I698" s="152">
        <f t="shared" si="438"/>
        <v>0</v>
      </c>
      <c r="J698" s="152">
        <f t="shared" si="438"/>
        <v>0</v>
      </c>
      <c r="K698" s="152">
        <f t="shared" si="438"/>
        <v>0</v>
      </c>
      <c r="L698" s="152">
        <f t="shared" si="438"/>
        <v>0</v>
      </c>
      <c r="M698" s="152">
        <f t="shared" si="438"/>
        <v>0</v>
      </c>
      <c r="N698" s="152">
        <f t="shared" si="438"/>
        <v>0</v>
      </c>
      <c r="O698" s="152">
        <f t="shared" si="438"/>
        <v>0</v>
      </c>
      <c r="P698" s="152">
        <f t="shared" si="438"/>
        <v>0</v>
      </c>
      <c r="Q698" s="152">
        <f t="shared" si="438"/>
        <v>6158778.6534697888</v>
      </c>
      <c r="R698" s="152">
        <f t="shared" si="438"/>
        <v>0</v>
      </c>
      <c r="S698" s="152">
        <f t="shared" si="438"/>
        <v>0</v>
      </c>
      <c r="T698" s="152">
        <f t="shared" si="438"/>
        <v>0</v>
      </c>
      <c r="U698" s="152">
        <f t="shared" si="438"/>
        <v>0</v>
      </c>
      <c r="V698" s="152">
        <f t="shared" si="438"/>
        <v>0</v>
      </c>
      <c r="W698" s="152">
        <f t="shared" si="438"/>
        <v>0</v>
      </c>
      <c r="X698" s="152">
        <f t="shared" si="438"/>
        <v>0</v>
      </c>
      <c r="Y698" s="152">
        <f t="shared" si="438"/>
        <v>0</v>
      </c>
      <c r="Z698" s="152">
        <f t="shared" si="438"/>
        <v>0</v>
      </c>
      <c r="AA698" s="152">
        <f t="shared" si="438"/>
        <v>0</v>
      </c>
      <c r="AB698" s="152">
        <f t="shared" si="438"/>
        <v>0</v>
      </c>
      <c r="AC698" s="152">
        <f t="shared" si="438"/>
        <v>0</v>
      </c>
      <c r="AD698" s="152">
        <f t="shared" si="438"/>
        <v>0</v>
      </c>
      <c r="AE698" s="152">
        <f t="shared" si="438"/>
        <v>0</v>
      </c>
      <c r="AF698" s="152">
        <f t="shared" si="438"/>
        <v>7699902.5639943341</v>
      </c>
      <c r="AG698" s="152">
        <f t="shared" si="438"/>
        <v>0</v>
      </c>
      <c r="AH698" s="152">
        <f t="shared" si="438"/>
        <v>0</v>
      </c>
      <c r="AI698" s="152">
        <f t="shared" si="438"/>
        <v>0</v>
      </c>
      <c r="AJ698" s="152">
        <f t="shared" si="438"/>
        <v>0</v>
      </c>
      <c r="AK698" s="152">
        <f t="shared" si="438"/>
        <v>0</v>
      </c>
      <c r="AL698" s="152">
        <f t="shared" si="438"/>
        <v>0</v>
      </c>
      <c r="AM698" s="152">
        <f t="shared" si="438"/>
        <v>0</v>
      </c>
      <c r="AN698" s="152">
        <f t="shared" si="438"/>
        <v>0</v>
      </c>
      <c r="AO698" s="152">
        <f t="shared" si="438"/>
        <v>0</v>
      </c>
      <c r="AP698" s="152">
        <f t="shared" si="438"/>
        <v>0</v>
      </c>
    </row>
    <row r="699" spans="1:42">
      <c r="A699" s="37" t="s">
        <v>199</v>
      </c>
      <c r="B699" s="152"/>
      <c r="C699" s="152"/>
      <c r="D699" s="152"/>
      <c r="E699" s="152"/>
      <c r="F699" s="152"/>
      <c r="G699" s="186"/>
      <c r="H699" s="186"/>
      <c r="I699" s="186"/>
      <c r="J699" s="186"/>
      <c r="K699" s="186"/>
      <c r="L699" s="186"/>
      <c r="M699" s="186"/>
      <c r="N699" s="186"/>
      <c r="O699" s="186"/>
      <c r="P699" s="186"/>
      <c r="Q699" s="186"/>
      <c r="R699" s="186"/>
      <c r="S699" s="186"/>
      <c r="T699" s="186"/>
      <c r="U699" s="186"/>
      <c r="V699" s="186"/>
      <c r="W699" s="186"/>
      <c r="X699" s="186"/>
      <c r="Y699" s="186"/>
      <c r="Z699" s="186"/>
      <c r="AA699" s="186"/>
      <c r="AB699" s="186"/>
      <c r="AC699" s="186"/>
      <c r="AD699" s="186"/>
      <c r="AE699" s="186"/>
      <c r="AF699" s="186"/>
      <c r="AG699" s="186"/>
      <c r="AH699" s="186"/>
      <c r="AI699" s="186"/>
      <c r="AJ699" s="186"/>
      <c r="AK699" s="186"/>
      <c r="AL699" s="186"/>
      <c r="AM699" s="186"/>
      <c r="AN699" s="186"/>
      <c r="AO699" s="186"/>
      <c r="AP699" s="186"/>
    </row>
    <row r="700" spans="1:42">
      <c r="A700" s="37">
        <v>1</v>
      </c>
      <c r="B700" s="255">
        <f t="shared" ref="B700:B709" si="439">SUM(C700:AP700)</f>
        <v>6158778.6534697879</v>
      </c>
      <c r="C700" s="186">
        <f t="shared" ref="C700:AP700" si="440">IF(C$2&lt;=MMFrequency2*$A$688,$B$688/(MMFrequency2),0)</f>
        <v>410585.24356465257</v>
      </c>
      <c r="D700" s="186">
        <f t="shared" si="440"/>
        <v>410585.24356465257</v>
      </c>
      <c r="E700" s="186">
        <f t="shared" si="440"/>
        <v>410585.24356465257</v>
      </c>
      <c r="F700" s="186">
        <f t="shared" si="440"/>
        <v>410585.24356465257</v>
      </c>
      <c r="G700" s="186">
        <f t="shared" si="440"/>
        <v>410585.24356465257</v>
      </c>
      <c r="H700" s="186">
        <f t="shared" si="440"/>
        <v>410585.24356465257</v>
      </c>
      <c r="I700" s="186">
        <f t="shared" si="440"/>
        <v>410585.24356465257</v>
      </c>
      <c r="J700" s="186">
        <f t="shared" si="440"/>
        <v>410585.24356465257</v>
      </c>
      <c r="K700" s="186">
        <f t="shared" si="440"/>
        <v>410585.24356465257</v>
      </c>
      <c r="L700" s="186">
        <f t="shared" si="440"/>
        <v>410585.24356465257</v>
      </c>
      <c r="M700" s="186">
        <f t="shared" si="440"/>
        <v>410585.24356465257</v>
      </c>
      <c r="N700" s="186">
        <f t="shared" si="440"/>
        <v>410585.24356465257</v>
      </c>
      <c r="O700" s="186">
        <f t="shared" si="440"/>
        <v>410585.24356465257</v>
      </c>
      <c r="P700" s="186">
        <f t="shared" si="440"/>
        <v>410585.24356465257</v>
      </c>
      <c r="Q700" s="186">
        <f t="shared" si="440"/>
        <v>410585.24356465257</v>
      </c>
      <c r="R700" s="186">
        <f t="shared" si="440"/>
        <v>0</v>
      </c>
      <c r="S700" s="186">
        <f t="shared" si="440"/>
        <v>0</v>
      </c>
      <c r="T700" s="186">
        <f t="shared" si="440"/>
        <v>0</v>
      </c>
      <c r="U700" s="186">
        <f t="shared" si="440"/>
        <v>0</v>
      </c>
      <c r="V700" s="186">
        <f t="shared" si="440"/>
        <v>0</v>
      </c>
      <c r="W700" s="186">
        <f t="shared" si="440"/>
        <v>0</v>
      </c>
      <c r="X700" s="186">
        <f t="shared" si="440"/>
        <v>0</v>
      </c>
      <c r="Y700" s="186">
        <f t="shared" si="440"/>
        <v>0</v>
      </c>
      <c r="Z700" s="186">
        <f t="shared" si="440"/>
        <v>0</v>
      </c>
      <c r="AA700" s="186">
        <f t="shared" si="440"/>
        <v>0</v>
      </c>
      <c r="AB700" s="186">
        <f t="shared" si="440"/>
        <v>0</v>
      </c>
      <c r="AC700" s="186">
        <f t="shared" si="440"/>
        <v>0</v>
      </c>
      <c r="AD700" s="186">
        <f t="shared" si="440"/>
        <v>0</v>
      </c>
      <c r="AE700" s="186">
        <f t="shared" si="440"/>
        <v>0</v>
      </c>
      <c r="AF700" s="186">
        <f t="shared" si="440"/>
        <v>0</v>
      </c>
      <c r="AG700" s="186">
        <f t="shared" si="440"/>
        <v>0</v>
      </c>
      <c r="AH700" s="186">
        <f t="shared" si="440"/>
        <v>0</v>
      </c>
      <c r="AI700" s="186">
        <f t="shared" si="440"/>
        <v>0</v>
      </c>
      <c r="AJ700" s="186">
        <f t="shared" si="440"/>
        <v>0</v>
      </c>
      <c r="AK700" s="186">
        <f t="shared" si="440"/>
        <v>0</v>
      </c>
      <c r="AL700" s="186">
        <f t="shared" si="440"/>
        <v>0</v>
      </c>
      <c r="AM700" s="186">
        <f t="shared" si="440"/>
        <v>0</v>
      </c>
      <c r="AN700" s="186">
        <f t="shared" si="440"/>
        <v>0</v>
      </c>
      <c r="AO700" s="186">
        <f t="shared" si="440"/>
        <v>0</v>
      </c>
      <c r="AP700" s="186">
        <f t="shared" si="440"/>
        <v>0</v>
      </c>
    </row>
    <row r="701" spans="1:42">
      <c r="A701" s="37">
        <f>A700+1</f>
        <v>2</v>
      </c>
      <c r="B701" s="255">
        <f t="shared" si="439"/>
        <v>7699902.5639943322</v>
      </c>
      <c r="C701" s="186">
        <f t="shared" ref="C701:AP707" si="441">IF(AND(C$2&gt;MMFrequency2*$A688,C$2&lt;=MMFrequency2*$A689),$B689/(MMFrequency2),0)</f>
        <v>0</v>
      </c>
      <c r="D701" s="186">
        <f t="shared" si="441"/>
        <v>0</v>
      </c>
      <c r="E701" s="186">
        <f t="shared" si="441"/>
        <v>0</v>
      </c>
      <c r="F701" s="186">
        <f t="shared" si="441"/>
        <v>0</v>
      </c>
      <c r="G701" s="186">
        <f t="shared" si="441"/>
        <v>0</v>
      </c>
      <c r="H701" s="186">
        <f t="shared" si="441"/>
        <v>0</v>
      </c>
      <c r="I701" s="186">
        <f t="shared" si="441"/>
        <v>0</v>
      </c>
      <c r="J701" s="186">
        <f t="shared" si="441"/>
        <v>0</v>
      </c>
      <c r="K701" s="186">
        <f t="shared" si="441"/>
        <v>0</v>
      </c>
      <c r="L701" s="186">
        <f t="shared" si="441"/>
        <v>0</v>
      </c>
      <c r="M701" s="186">
        <f t="shared" si="441"/>
        <v>0</v>
      </c>
      <c r="N701" s="186">
        <f t="shared" si="441"/>
        <v>0</v>
      </c>
      <c r="O701" s="186">
        <f t="shared" si="441"/>
        <v>0</v>
      </c>
      <c r="P701" s="186">
        <f t="shared" si="441"/>
        <v>0</v>
      </c>
      <c r="Q701" s="186">
        <f t="shared" si="441"/>
        <v>0</v>
      </c>
      <c r="R701" s="186">
        <f t="shared" si="441"/>
        <v>513326.83759962226</v>
      </c>
      <c r="S701" s="186">
        <f t="shared" si="441"/>
        <v>513326.83759962226</v>
      </c>
      <c r="T701" s="186">
        <f t="shared" si="441"/>
        <v>513326.83759962226</v>
      </c>
      <c r="U701" s="186">
        <f t="shared" si="441"/>
        <v>513326.83759962226</v>
      </c>
      <c r="V701" s="186">
        <f t="shared" si="441"/>
        <v>513326.83759962226</v>
      </c>
      <c r="W701" s="186">
        <f t="shared" si="441"/>
        <v>513326.83759962226</v>
      </c>
      <c r="X701" s="186">
        <f t="shared" si="441"/>
        <v>513326.83759962226</v>
      </c>
      <c r="Y701" s="186">
        <f t="shared" si="441"/>
        <v>513326.83759962226</v>
      </c>
      <c r="Z701" s="186">
        <f t="shared" si="441"/>
        <v>513326.83759962226</v>
      </c>
      <c r="AA701" s="186">
        <f t="shared" si="441"/>
        <v>513326.83759962226</v>
      </c>
      <c r="AB701" s="186">
        <f t="shared" si="441"/>
        <v>513326.83759962226</v>
      </c>
      <c r="AC701" s="186">
        <f t="shared" si="441"/>
        <v>513326.83759962226</v>
      </c>
      <c r="AD701" s="186">
        <f t="shared" si="441"/>
        <v>513326.83759962226</v>
      </c>
      <c r="AE701" s="186">
        <f t="shared" si="441"/>
        <v>513326.83759962226</v>
      </c>
      <c r="AF701" s="186">
        <f t="shared" si="441"/>
        <v>513326.83759962226</v>
      </c>
      <c r="AG701" s="186">
        <f t="shared" si="441"/>
        <v>0</v>
      </c>
      <c r="AH701" s="186">
        <f t="shared" si="441"/>
        <v>0</v>
      </c>
      <c r="AI701" s="186">
        <f t="shared" si="441"/>
        <v>0</v>
      </c>
      <c r="AJ701" s="186">
        <f t="shared" si="441"/>
        <v>0</v>
      </c>
      <c r="AK701" s="186">
        <f t="shared" si="441"/>
        <v>0</v>
      </c>
      <c r="AL701" s="186">
        <f t="shared" si="441"/>
        <v>0</v>
      </c>
      <c r="AM701" s="186">
        <f t="shared" si="441"/>
        <v>0</v>
      </c>
      <c r="AN701" s="186">
        <f t="shared" si="441"/>
        <v>0</v>
      </c>
      <c r="AO701" s="186">
        <f t="shared" si="441"/>
        <v>0</v>
      </c>
      <c r="AP701" s="186">
        <f t="shared" si="441"/>
        <v>0</v>
      </c>
    </row>
    <row r="702" spans="1:42">
      <c r="A702" s="37">
        <f t="shared" ref="A702:A707" si="442">A701+1</f>
        <v>3</v>
      </c>
      <c r="B702" s="255">
        <f t="shared" si="439"/>
        <v>0</v>
      </c>
      <c r="C702" s="186">
        <f t="shared" si="441"/>
        <v>0</v>
      </c>
      <c r="D702" s="186">
        <f t="shared" si="441"/>
        <v>0</v>
      </c>
      <c r="E702" s="186">
        <f t="shared" si="441"/>
        <v>0</v>
      </c>
      <c r="F702" s="186">
        <f t="shared" si="441"/>
        <v>0</v>
      </c>
      <c r="G702" s="186">
        <f t="shared" si="441"/>
        <v>0</v>
      </c>
      <c r="H702" s="186">
        <f t="shared" si="441"/>
        <v>0</v>
      </c>
      <c r="I702" s="186">
        <f t="shared" si="441"/>
        <v>0</v>
      </c>
      <c r="J702" s="186">
        <f t="shared" si="441"/>
        <v>0</v>
      </c>
      <c r="K702" s="186">
        <f t="shared" si="441"/>
        <v>0</v>
      </c>
      <c r="L702" s="186">
        <f t="shared" si="441"/>
        <v>0</v>
      </c>
      <c r="M702" s="186">
        <f t="shared" si="441"/>
        <v>0</v>
      </c>
      <c r="N702" s="186">
        <f t="shared" si="441"/>
        <v>0</v>
      </c>
      <c r="O702" s="186">
        <f t="shared" si="441"/>
        <v>0</v>
      </c>
      <c r="P702" s="186">
        <f t="shared" si="441"/>
        <v>0</v>
      </c>
      <c r="Q702" s="186">
        <f t="shared" si="441"/>
        <v>0</v>
      </c>
      <c r="R702" s="186">
        <f t="shared" si="441"/>
        <v>0</v>
      </c>
      <c r="S702" s="186">
        <f t="shared" si="441"/>
        <v>0</v>
      </c>
      <c r="T702" s="186">
        <f t="shared" si="441"/>
        <v>0</v>
      </c>
      <c r="U702" s="186">
        <f t="shared" si="441"/>
        <v>0</v>
      </c>
      <c r="V702" s="186">
        <f t="shared" si="441"/>
        <v>0</v>
      </c>
      <c r="W702" s="186">
        <f t="shared" si="441"/>
        <v>0</v>
      </c>
      <c r="X702" s="186">
        <f t="shared" si="441"/>
        <v>0</v>
      </c>
      <c r="Y702" s="186">
        <f t="shared" si="441"/>
        <v>0</v>
      </c>
      <c r="Z702" s="186">
        <f t="shared" si="441"/>
        <v>0</v>
      </c>
      <c r="AA702" s="186">
        <f t="shared" si="441"/>
        <v>0</v>
      </c>
      <c r="AB702" s="186">
        <f t="shared" si="441"/>
        <v>0</v>
      </c>
      <c r="AC702" s="186">
        <f t="shared" si="441"/>
        <v>0</v>
      </c>
      <c r="AD702" s="186">
        <f t="shared" si="441"/>
        <v>0</v>
      </c>
      <c r="AE702" s="186">
        <f t="shared" si="441"/>
        <v>0</v>
      </c>
      <c r="AF702" s="186">
        <f t="shared" si="441"/>
        <v>0</v>
      </c>
      <c r="AG702" s="186">
        <f t="shared" si="441"/>
        <v>0</v>
      </c>
      <c r="AH702" s="186">
        <f t="shared" si="441"/>
        <v>0</v>
      </c>
      <c r="AI702" s="186">
        <f t="shared" si="441"/>
        <v>0</v>
      </c>
      <c r="AJ702" s="186">
        <f t="shared" si="441"/>
        <v>0</v>
      </c>
      <c r="AK702" s="186">
        <f t="shared" si="441"/>
        <v>0</v>
      </c>
      <c r="AL702" s="186">
        <f t="shared" si="441"/>
        <v>0</v>
      </c>
      <c r="AM702" s="186">
        <f t="shared" si="441"/>
        <v>0</v>
      </c>
      <c r="AN702" s="186">
        <f t="shared" si="441"/>
        <v>0</v>
      </c>
      <c r="AO702" s="186">
        <f t="shared" si="441"/>
        <v>0</v>
      </c>
      <c r="AP702" s="186">
        <f t="shared" si="441"/>
        <v>0</v>
      </c>
    </row>
    <row r="703" spans="1:42">
      <c r="A703" s="37">
        <f t="shared" si="442"/>
        <v>4</v>
      </c>
      <c r="B703" s="255">
        <f t="shared" si="439"/>
        <v>0</v>
      </c>
      <c r="C703" s="186">
        <f t="shared" si="441"/>
        <v>0</v>
      </c>
      <c r="D703" s="186">
        <f t="shared" si="441"/>
        <v>0</v>
      </c>
      <c r="E703" s="186">
        <f t="shared" si="441"/>
        <v>0</v>
      </c>
      <c r="F703" s="186">
        <f t="shared" si="441"/>
        <v>0</v>
      </c>
      <c r="G703" s="186">
        <f t="shared" si="441"/>
        <v>0</v>
      </c>
      <c r="H703" s="186">
        <f t="shared" si="441"/>
        <v>0</v>
      </c>
      <c r="I703" s="186">
        <f t="shared" si="441"/>
        <v>0</v>
      </c>
      <c r="J703" s="186">
        <f t="shared" si="441"/>
        <v>0</v>
      </c>
      <c r="K703" s="186">
        <f t="shared" si="441"/>
        <v>0</v>
      </c>
      <c r="L703" s="186">
        <f t="shared" si="441"/>
        <v>0</v>
      </c>
      <c r="M703" s="186">
        <f t="shared" si="441"/>
        <v>0</v>
      </c>
      <c r="N703" s="186">
        <f t="shared" si="441"/>
        <v>0</v>
      </c>
      <c r="O703" s="186">
        <f t="shared" si="441"/>
        <v>0</v>
      </c>
      <c r="P703" s="186">
        <f t="shared" si="441"/>
        <v>0</v>
      </c>
      <c r="Q703" s="186">
        <f t="shared" si="441"/>
        <v>0</v>
      </c>
      <c r="R703" s="186">
        <f t="shared" si="441"/>
        <v>0</v>
      </c>
      <c r="S703" s="186">
        <f t="shared" si="441"/>
        <v>0</v>
      </c>
      <c r="T703" s="186">
        <f t="shared" si="441"/>
        <v>0</v>
      </c>
      <c r="U703" s="186">
        <f t="shared" si="441"/>
        <v>0</v>
      </c>
      <c r="V703" s="186">
        <f t="shared" si="441"/>
        <v>0</v>
      </c>
      <c r="W703" s="186">
        <f t="shared" si="441"/>
        <v>0</v>
      </c>
      <c r="X703" s="186">
        <f t="shared" si="441"/>
        <v>0</v>
      </c>
      <c r="Y703" s="186">
        <f t="shared" si="441"/>
        <v>0</v>
      </c>
      <c r="Z703" s="186">
        <f t="shared" si="441"/>
        <v>0</v>
      </c>
      <c r="AA703" s="186">
        <f t="shared" si="441"/>
        <v>0</v>
      </c>
      <c r="AB703" s="186">
        <f t="shared" si="441"/>
        <v>0</v>
      </c>
      <c r="AC703" s="186">
        <f t="shared" si="441"/>
        <v>0</v>
      </c>
      <c r="AD703" s="186">
        <f t="shared" si="441"/>
        <v>0</v>
      </c>
      <c r="AE703" s="186">
        <f t="shared" si="441"/>
        <v>0</v>
      </c>
      <c r="AF703" s="186">
        <f t="shared" si="441"/>
        <v>0</v>
      </c>
      <c r="AG703" s="186">
        <f t="shared" si="441"/>
        <v>0</v>
      </c>
      <c r="AH703" s="186">
        <f t="shared" si="441"/>
        <v>0</v>
      </c>
      <c r="AI703" s="186">
        <f t="shared" si="441"/>
        <v>0</v>
      </c>
      <c r="AJ703" s="186">
        <f t="shared" si="441"/>
        <v>0</v>
      </c>
      <c r="AK703" s="186">
        <f t="shared" si="441"/>
        <v>0</v>
      </c>
      <c r="AL703" s="186">
        <f t="shared" si="441"/>
        <v>0</v>
      </c>
      <c r="AM703" s="186">
        <f t="shared" si="441"/>
        <v>0</v>
      </c>
      <c r="AN703" s="186">
        <f t="shared" si="441"/>
        <v>0</v>
      </c>
      <c r="AO703" s="186">
        <f t="shared" si="441"/>
        <v>0</v>
      </c>
      <c r="AP703" s="186">
        <f t="shared" si="441"/>
        <v>0</v>
      </c>
    </row>
    <row r="704" spans="1:42">
      <c r="A704" s="37">
        <f t="shared" si="442"/>
        <v>5</v>
      </c>
      <c r="B704" s="255">
        <f t="shared" si="439"/>
        <v>0</v>
      </c>
      <c r="C704" s="186">
        <f t="shared" si="441"/>
        <v>0</v>
      </c>
      <c r="D704" s="186">
        <f t="shared" si="441"/>
        <v>0</v>
      </c>
      <c r="E704" s="186">
        <f t="shared" si="441"/>
        <v>0</v>
      </c>
      <c r="F704" s="186">
        <f t="shared" si="441"/>
        <v>0</v>
      </c>
      <c r="G704" s="186">
        <f t="shared" si="441"/>
        <v>0</v>
      </c>
      <c r="H704" s="186">
        <f t="shared" si="441"/>
        <v>0</v>
      </c>
      <c r="I704" s="186">
        <f t="shared" si="441"/>
        <v>0</v>
      </c>
      <c r="J704" s="186">
        <f t="shared" si="441"/>
        <v>0</v>
      </c>
      <c r="K704" s="186">
        <f t="shared" si="441"/>
        <v>0</v>
      </c>
      <c r="L704" s="186">
        <f t="shared" si="441"/>
        <v>0</v>
      </c>
      <c r="M704" s="186">
        <f t="shared" si="441"/>
        <v>0</v>
      </c>
      <c r="N704" s="186">
        <f t="shared" si="441"/>
        <v>0</v>
      </c>
      <c r="O704" s="186">
        <f t="shared" si="441"/>
        <v>0</v>
      </c>
      <c r="P704" s="186">
        <f t="shared" si="441"/>
        <v>0</v>
      </c>
      <c r="Q704" s="186">
        <f t="shared" si="441"/>
        <v>0</v>
      </c>
      <c r="R704" s="186">
        <f t="shared" si="441"/>
        <v>0</v>
      </c>
      <c r="S704" s="186">
        <f t="shared" si="441"/>
        <v>0</v>
      </c>
      <c r="T704" s="186">
        <f t="shared" si="441"/>
        <v>0</v>
      </c>
      <c r="U704" s="186">
        <f t="shared" si="441"/>
        <v>0</v>
      </c>
      <c r="V704" s="186">
        <f t="shared" si="441"/>
        <v>0</v>
      </c>
      <c r="W704" s="186">
        <f t="shared" si="441"/>
        <v>0</v>
      </c>
      <c r="X704" s="186">
        <f t="shared" si="441"/>
        <v>0</v>
      </c>
      <c r="Y704" s="186">
        <f t="shared" si="441"/>
        <v>0</v>
      </c>
      <c r="Z704" s="186">
        <f t="shared" si="441"/>
        <v>0</v>
      </c>
      <c r="AA704" s="186">
        <f t="shared" si="441"/>
        <v>0</v>
      </c>
      <c r="AB704" s="186">
        <f t="shared" si="441"/>
        <v>0</v>
      </c>
      <c r="AC704" s="186">
        <f t="shared" si="441"/>
        <v>0</v>
      </c>
      <c r="AD704" s="186">
        <f t="shared" si="441"/>
        <v>0</v>
      </c>
      <c r="AE704" s="186">
        <f t="shared" si="441"/>
        <v>0</v>
      </c>
      <c r="AF704" s="186">
        <f t="shared" si="441"/>
        <v>0</v>
      </c>
      <c r="AG704" s="186">
        <f t="shared" si="441"/>
        <v>0</v>
      </c>
      <c r="AH704" s="186">
        <f t="shared" si="441"/>
        <v>0</v>
      </c>
      <c r="AI704" s="186">
        <f t="shared" si="441"/>
        <v>0</v>
      </c>
      <c r="AJ704" s="186">
        <f t="shared" si="441"/>
        <v>0</v>
      </c>
      <c r="AK704" s="186">
        <f t="shared" si="441"/>
        <v>0</v>
      </c>
      <c r="AL704" s="186">
        <f t="shared" si="441"/>
        <v>0</v>
      </c>
      <c r="AM704" s="186">
        <f t="shared" si="441"/>
        <v>0</v>
      </c>
      <c r="AN704" s="186">
        <f t="shared" si="441"/>
        <v>0</v>
      </c>
      <c r="AO704" s="186">
        <f t="shared" si="441"/>
        <v>0</v>
      </c>
      <c r="AP704" s="186">
        <f t="shared" si="441"/>
        <v>0</v>
      </c>
    </row>
    <row r="705" spans="1:42">
      <c r="A705" s="37">
        <f t="shared" si="442"/>
        <v>6</v>
      </c>
      <c r="B705" s="255">
        <f t="shared" si="439"/>
        <v>0</v>
      </c>
      <c r="C705" s="186">
        <f t="shared" si="441"/>
        <v>0</v>
      </c>
      <c r="D705" s="186">
        <f t="shared" si="441"/>
        <v>0</v>
      </c>
      <c r="E705" s="186">
        <f t="shared" si="441"/>
        <v>0</v>
      </c>
      <c r="F705" s="186">
        <f t="shared" si="441"/>
        <v>0</v>
      </c>
      <c r="G705" s="186">
        <f t="shared" si="441"/>
        <v>0</v>
      </c>
      <c r="H705" s="186">
        <f t="shared" si="441"/>
        <v>0</v>
      </c>
      <c r="I705" s="186">
        <f t="shared" si="441"/>
        <v>0</v>
      </c>
      <c r="J705" s="186">
        <f t="shared" si="441"/>
        <v>0</v>
      </c>
      <c r="K705" s="186">
        <f t="shared" si="441"/>
        <v>0</v>
      </c>
      <c r="L705" s="186">
        <f t="shared" si="441"/>
        <v>0</v>
      </c>
      <c r="M705" s="186">
        <f t="shared" si="441"/>
        <v>0</v>
      </c>
      <c r="N705" s="186">
        <f t="shared" si="441"/>
        <v>0</v>
      </c>
      <c r="O705" s="186">
        <f t="shared" si="441"/>
        <v>0</v>
      </c>
      <c r="P705" s="186">
        <f t="shared" si="441"/>
        <v>0</v>
      </c>
      <c r="Q705" s="186">
        <f t="shared" si="441"/>
        <v>0</v>
      </c>
      <c r="R705" s="186">
        <f t="shared" si="441"/>
        <v>0</v>
      </c>
      <c r="S705" s="186">
        <f t="shared" si="441"/>
        <v>0</v>
      </c>
      <c r="T705" s="186">
        <f t="shared" si="441"/>
        <v>0</v>
      </c>
      <c r="U705" s="186">
        <f t="shared" si="441"/>
        <v>0</v>
      </c>
      <c r="V705" s="186">
        <f t="shared" si="441"/>
        <v>0</v>
      </c>
      <c r="W705" s="186">
        <f t="shared" si="441"/>
        <v>0</v>
      </c>
      <c r="X705" s="186">
        <f t="shared" si="441"/>
        <v>0</v>
      </c>
      <c r="Y705" s="186">
        <f t="shared" si="441"/>
        <v>0</v>
      </c>
      <c r="Z705" s="186">
        <f t="shared" si="441"/>
        <v>0</v>
      </c>
      <c r="AA705" s="186">
        <f t="shared" si="441"/>
        <v>0</v>
      </c>
      <c r="AB705" s="186">
        <f t="shared" si="441"/>
        <v>0</v>
      </c>
      <c r="AC705" s="186">
        <f t="shared" si="441"/>
        <v>0</v>
      </c>
      <c r="AD705" s="186">
        <f t="shared" si="441"/>
        <v>0</v>
      </c>
      <c r="AE705" s="186">
        <f t="shared" si="441"/>
        <v>0</v>
      </c>
      <c r="AF705" s="186">
        <f t="shared" si="441"/>
        <v>0</v>
      </c>
      <c r="AG705" s="186">
        <f t="shared" si="441"/>
        <v>0</v>
      </c>
      <c r="AH705" s="186">
        <f t="shared" si="441"/>
        <v>0</v>
      </c>
      <c r="AI705" s="186">
        <f t="shared" si="441"/>
        <v>0</v>
      </c>
      <c r="AJ705" s="186">
        <f t="shared" si="441"/>
        <v>0</v>
      </c>
      <c r="AK705" s="186">
        <f t="shared" si="441"/>
        <v>0</v>
      </c>
      <c r="AL705" s="186">
        <f t="shared" si="441"/>
        <v>0</v>
      </c>
      <c r="AM705" s="186">
        <f t="shared" si="441"/>
        <v>0</v>
      </c>
      <c r="AN705" s="186">
        <f t="shared" si="441"/>
        <v>0</v>
      </c>
      <c r="AO705" s="186">
        <f t="shared" si="441"/>
        <v>0</v>
      </c>
      <c r="AP705" s="186">
        <f t="shared" si="441"/>
        <v>0</v>
      </c>
    </row>
    <row r="706" spans="1:42">
      <c r="A706" s="37">
        <f t="shared" si="442"/>
        <v>7</v>
      </c>
      <c r="B706" s="255">
        <f t="shared" si="439"/>
        <v>0</v>
      </c>
      <c r="C706" s="186">
        <f t="shared" si="441"/>
        <v>0</v>
      </c>
      <c r="D706" s="186">
        <f t="shared" si="441"/>
        <v>0</v>
      </c>
      <c r="E706" s="186">
        <f t="shared" si="441"/>
        <v>0</v>
      </c>
      <c r="F706" s="186">
        <f t="shared" si="441"/>
        <v>0</v>
      </c>
      <c r="G706" s="186">
        <f t="shared" si="441"/>
        <v>0</v>
      </c>
      <c r="H706" s="186">
        <f t="shared" si="441"/>
        <v>0</v>
      </c>
      <c r="I706" s="186">
        <f t="shared" si="441"/>
        <v>0</v>
      </c>
      <c r="J706" s="186">
        <f t="shared" si="441"/>
        <v>0</v>
      </c>
      <c r="K706" s="186">
        <f t="shared" si="441"/>
        <v>0</v>
      </c>
      <c r="L706" s="186">
        <f t="shared" si="441"/>
        <v>0</v>
      </c>
      <c r="M706" s="186">
        <f t="shared" si="441"/>
        <v>0</v>
      </c>
      <c r="N706" s="186">
        <f t="shared" si="441"/>
        <v>0</v>
      </c>
      <c r="O706" s="186">
        <f t="shared" si="441"/>
        <v>0</v>
      </c>
      <c r="P706" s="186">
        <f t="shared" si="441"/>
        <v>0</v>
      </c>
      <c r="Q706" s="186">
        <f t="shared" si="441"/>
        <v>0</v>
      </c>
      <c r="R706" s="186">
        <f t="shared" si="441"/>
        <v>0</v>
      </c>
      <c r="S706" s="186">
        <f t="shared" si="441"/>
        <v>0</v>
      </c>
      <c r="T706" s="186">
        <f t="shared" si="441"/>
        <v>0</v>
      </c>
      <c r="U706" s="186">
        <f t="shared" si="441"/>
        <v>0</v>
      </c>
      <c r="V706" s="186">
        <f t="shared" si="441"/>
        <v>0</v>
      </c>
      <c r="W706" s="186">
        <f t="shared" si="441"/>
        <v>0</v>
      </c>
      <c r="X706" s="186">
        <f t="shared" si="441"/>
        <v>0</v>
      </c>
      <c r="Y706" s="186">
        <f t="shared" si="441"/>
        <v>0</v>
      </c>
      <c r="Z706" s="186">
        <f t="shared" si="441"/>
        <v>0</v>
      </c>
      <c r="AA706" s="186">
        <f t="shared" si="441"/>
        <v>0</v>
      </c>
      <c r="AB706" s="186">
        <f t="shared" si="441"/>
        <v>0</v>
      </c>
      <c r="AC706" s="186">
        <f t="shared" si="441"/>
        <v>0</v>
      </c>
      <c r="AD706" s="186">
        <f t="shared" si="441"/>
        <v>0</v>
      </c>
      <c r="AE706" s="186">
        <f t="shared" si="441"/>
        <v>0</v>
      </c>
      <c r="AF706" s="186">
        <f t="shared" si="441"/>
        <v>0</v>
      </c>
      <c r="AG706" s="186">
        <f t="shared" si="441"/>
        <v>0</v>
      </c>
      <c r="AH706" s="186">
        <f t="shared" si="441"/>
        <v>0</v>
      </c>
      <c r="AI706" s="186">
        <f t="shared" si="441"/>
        <v>0</v>
      </c>
      <c r="AJ706" s="186">
        <f t="shared" si="441"/>
        <v>0</v>
      </c>
      <c r="AK706" s="186">
        <f t="shared" si="441"/>
        <v>0</v>
      </c>
      <c r="AL706" s="186">
        <f t="shared" si="441"/>
        <v>0</v>
      </c>
      <c r="AM706" s="186">
        <f t="shared" si="441"/>
        <v>0</v>
      </c>
      <c r="AN706" s="186">
        <f t="shared" si="441"/>
        <v>0</v>
      </c>
      <c r="AO706" s="186">
        <f t="shared" si="441"/>
        <v>0</v>
      </c>
      <c r="AP706" s="186">
        <f t="shared" si="441"/>
        <v>0</v>
      </c>
    </row>
    <row r="707" spans="1:42">
      <c r="A707" s="37">
        <f t="shared" si="442"/>
        <v>8</v>
      </c>
      <c r="B707" s="255">
        <f t="shared" si="439"/>
        <v>0</v>
      </c>
      <c r="C707" s="186">
        <f t="shared" si="441"/>
        <v>0</v>
      </c>
      <c r="D707" s="186">
        <f t="shared" si="441"/>
        <v>0</v>
      </c>
      <c r="E707" s="186">
        <f t="shared" si="441"/>
        <v>0</v>
      </c>
      <c r="F707" s="186">
        <f t="shared" si="441"/>
        <v>0</v>
      </c>
      <c r="G707" s="186">
        <f t="shared" si="441"/>
        <v>0</v>
      </c>
      <c r="H707" s="186">
        <f t="shared" si="441"/>
        <v>0</v>
      </c>
      <c r="I707" s="186">
        <f t="shared" si="441"/>
        <v>0</v>
      </c>
      <c r="J707" s="186">
        <f t="shared" si="441"/>
        <v>0</v>
      </c>
      <c r="K707" s="186">
        <f t="shared" si="441"/>
        <v>0</v>
      </c>
      <c r="L707" s="186">
        <f t="shared" si="441"/>
        <v>0</v>
      </c>
      <c r="M707" s="186">
        <f t="shared" si="441"/>
        <v>0</v>
      </c>
      <c r="N707" s="186">
        <f t="shared" si="441"/>
        <v>0</v>
      </c>
      <c r="O707" s="186">
        <f t="shared" si="441"/>
        <v>0</v>
      </c>
      <c r="P707" s="186">
        <f t="shared" si="441"/>
        <v>0</v>
      </c>
      <c r="Q707" s="186">
        <f t="shared" si="441"/>
        <v>0</v>
      </c>
      <c r="R707" s="186">
        <f t="shared" ref="R707:AP707" si="443">IF(AND(R$2&gt;MMFrequency2*$A694,R$2&lt;=MMFrequency2*$A695),$B695/(MMFrequency2),0)</f>
        <v>0</v>
      </c>
      <c r="S707" s="186">
        <f t="shared" si="443"/>
        <v>0</v>
      </c>
      <c r="T707" s="186">
        <f t="shared" si="443"/>
        <v>0</v>
      </c>
      <c r="U707" s="186">
        <f t="shared" si="443"/>
        <v>0</v>
      </c>
      <c r="V707" s="186">
        <f t="shared" si="443"/>
        <v>0</v>
      </c>
      <c r="W707" s="186">
        <f t="shared" si="443"/>
        <v>0</v>
      </c>
      <c r="X707" s="186">
        <f t="shared" si="443"/>
        <v>0</v>
      </c>
      <c r="Y707" s="186">
        <f t="shared" si="443"/>
        <v>0</v>
      </c>
      <c r="Z707" s="186">
        <f t="shared" si="443"/>
        <v>0</v>
      </c>
      <c r="AA707" s="186">
        <f t="shared" si="443"/>
        <v>0</v>
      </c>
      <c r="AB707" s="186">
        <f t="shared" si="443"/>
        <v>0</v>
      </c>
      <c r="AC707" s="186">
        <f t="shared" si="443"/>
        <v>0</v>
      </c>
      <c r="AD707" s="186">
        <f t="shared" si="443"/>
        <v>0</v>
      </c>
      <c r="AE707" s="186">
        <f t="shared" si="443"/>
        <v>0</v>
      </c>
      <c r="AF707" s="186">
        <f t="shared" si="443"/>
        <v>0</v>
      </c>
      <c r="AG707" s="186">
        <f t="shared" si="443"/>
        <v>0</v>
      </c>
      <c r="AH707" s="186">
        <f t="shared" si="443"/>
        <v>0</v>
      </c>
      <c r="AI707" s="186">
        <f t="shared" si="443"/>
        <v>0</v>
      </c>
      <c r="AJ707" s="186">
        <f t="shared" si="443"/>
        <v>0</v>
      </c>
      <c r="AK707" s="186">
        <f t="shared" si="443"/>
        <v>0</v>
      </c>
      <c r="AL707" s="186">
        <f t="shared" si="443"/>
        <v>0</v>
      </c>
      <c r="AM707" s="186">
        <f t="shared" si="443"/>
        <v>0</v>
      </c>
      <c r="AN707" s="186">
        <f t="shared" si="443"/>
        <v>0</v>
      </c>
      <c r="AO707" s="186">
        <f t="shared" si="443"/>
        <v>0</v>
      </c>
      <c r="AP707" s="186">
        <f t="shared" si="443"/>
        <v>0</v>
      </c>
    </row>
    <row r="708" spans="1:42">
      <c r="A708" s="37">
        <f>A707+1</f>
        <v>9</v>
      </c>
      <c r="B708" s="255">
        <f t="shared" si="439"/>
        <v>0</v>
      </c>
      <c r="C708" s="186">
        <f t="shared" ref="C708:AP709" si="444">IF(AND(C$2&gt;MMFrequency2*$A695,C$2&lt;=MMFrequency2*$A696),$B696/(MMFrequency2),0)</f>
        <v>0</v>
      </c>
      <c r="D708" s="186">
        <f t="shared" si="444"/>
        <v>0</v>
      </c>
      <c r="E708" s="186">
        <f t="shared" si="444"/>
        <v>0</v>
      </c>
      <c r="F708" s="186">
        <f t="shared" si="444"/>
        <v>0</v>
      </c>
      <c r="G708" s="186">
        <f t="shared" si="444"/>
        <v>0</v>
      </c>
      <c r="H708" s="186">
        <f t="shared" si="444"/>
        <v>0</v>
      </c>
      <c r="I708" s="186">
        <f t="shared" si="444"/>
        <v>0</v>
      </c>
      <c r="J708" s="186">
        <f t="shared" si="444"/>
        <v>0</v>
      </c>
      <c r="K708" s="186">
        <f t="shared" si="444"/>
        <v>0</v>
      </c>
      <c r="L708" s="186">
        <f t="shared" si="444"/>
        <v>0</v>
      </c>
      <c r="M708" s="186">
        <f t="shared" si="444"/>
        <v>0</v>
      </c>
      <c r="N708" s="186">
        <f t="shared" si="444"/>
        <v>0</v>
      </c>
      <c r="O708" s="186">
        <f t="shared" si="444"/>
        <v>0</v>
      </c>
      <c r="P708" s="186">
        <f t="shared" si="444"/>
        <v>0</v>
      </c>
      <c r="Q708" s="186">
        <f t="shared" si="444"/>
        <v>0</v>
      </c>
      <c r="R708" s="186">
        <f t="shared" si="444"/>
        <v>0</v>
      </c>
      <c r="S708" s="186">
        <f t="shared" si="444"/>
        <v>0</v>
      </c>
      <c r="T708" s="186">
        <f t="shared" si="444"/>
        <v>0</v>
      </c>
      <c r="U708" s="186">
        <f t="shared" si="444"/>
        <v>0</v>
      </c>
      <c r="V708" s="186">
        <f t="shared" si="444"/>
        <v>0</v>
      </c>
      <c r="W708" s="186">
        <f t="shared" si="444"/>
        <v>0</v>
      </c>
      <c r="X708" s="186">
        <f t="shared" si="444"/>
        <v>0</v>
      </c>
      <c r="Y708" s="186">
        <f t="shared" si="444"/>
        <v>0</v>
      </c>
      <c r="Z708" s="186">
        <f t="shared" si="444"/>
        <v>0</v>
      </c>
      <c r="AA708" s="186">
        <f t="shared" si="444"/>
        <v>0</v>
      </c>
      <c r="AB708" s="186">
        <f t="shared" si="444"/>
        <v>0</v>
      </c>
      <c r="AC708" s="186">
        <f t="shared" si="444"/>
        <v>0</v>
      </c>
      <c r="AD708" s="186">
        <f t="shared" si="444"/>
        <v>0</v>
      </c>
      <c r="AE708" s="186">
        <f t="shared" si="444"/>
        <v>0</v>
      </c>
      <c r="AF708" s="186">
        <f t="shared" si="444"/>
        <v>0</v>
      </c>
      <c r="AG708" s="186">
        <f t="shared" si="444"/>
        <v>0</v>
      </c>
      <c r="AH708" s="186">
        <f t="shared" si="444"/>
        <v>0</v>
      </c>
      <c r="AI708" s="186">
        <f t="shared" si="444"/>
        <v>0</v>
      </c>
      <c r="AJ708" s="186">
        <f t="shared" si="444"/>
        <v>0</v>
      </c>
      <c r="AK708" s="186">
        <f t="shared" si="444"/>
        <v>0</v>
      </c>
      <c r="AL708" s="186">
        <f t="shared" si="444"/>
        <v>0</v>
      </c>
      <c r="AM708" s="186">
        <f t="shared" si="444"/>
        <v>0</v>
      </c>
      <c r="AN708" s="186">
        <f t="shared" si="444"/>
        <v>0</v>
      </c>
      <c r="AO708" s="186">
        <f t="shared" si="444"/>
        <v>0</v>
      </c>
      <c r="AP708" s="186">
        <f t="shared" si="444"/>
        <v>0</v>
      </c>
    </row>
    <row r="709" spans="1:42">
      <c r="A709" s="37">
        <f t="shared" ref="A709" si="445">A708+1</f>
        <v>10</v>
      </c>
      <c r="B709" s="255">
        <f t="shared" si="439"/>
        <v>0</v>
      </c>
      <c r="C709" s="187">
        <f t="shared" si="444"/>
        <v>0</v>
      </c>
      <c r="D709" s="187">
        <f t="shared" si="444"/>
        <v>0</v>
      </c>
      <c r="E709" s="187">
        <f t="shared" si="444"/>
        <v>0</v>
      </c>
      <c r="F709" s="187">
        <f t="shared" si="444"/>
        <v>0</v>
      </c>
      <c r="G709" s="187">
        <f t="shared" si="444"/>
        <v>0</v>
      </c>
      <c r="H709" s="187">
        <f t="shared" si="444"/>
        <v>0</v>
      </c>
      <c r="I709" s="187">
        <f t="shared" si="444"/>
        <v>0</v>
      </c>
      <c r="J709" s="187">
        <f t="shared" si="444"/>
        <v>0</v>
      </c>
      <c r="K709" s="187">
        <f t="shared" si="444"/>
        <v>0</v>
      </c>
      <c r="L709" s="187">
        <f t="shared" si="444"/>
        <v>0</v>
      </c>
      <c r="M709" s="187">
        <f t="shared" si="444"/>
        <v>0</v>
      </c>
      <c r="N709" s="187">
        <f t="shared" si="444"/>
        <v>0</v>
      </c>
      <c r="O709" s="187">
        <f t="shared" si="444"/>
        <v>0</v>
      </c>
      <c r="P709" s="187">
        <f t="shared" si="444"/>
        <v>0</v>
      </c>
      <c r="Q709" s="187">
        <f t="shared" si="444"/>
        <v>0</v>
      </c>
      <c r="R709" s="187">
        <f t="shared" si="444"/>
        <v>0</v>
      </c>
      <c r="S709" s="187">
        <f t="shared" si="444"/>
        <v>0</v>
      </c>
      <c r="T709" s="187">
        <f t="shared" si="444"/>
        <v>0</v>
      </c>
      <c r="U709" s="187">
        <f t="shared" si="444"/>
        <v>0</v>
      </c>
      <c r="V709" s="187">
        <f t="shared" si="444"/>
        <v>0</v>
      </c>
      <c r="W709" s="187">
        <f t="shared" si="444"/>
        <v>0</v>
      </c>
      <c r="X709" s="187">
        <f t="shared" si="444"/>
        <v>0</v>
      </c>
      <c r="Y709" s="187">
        <f t="shared" si="444"/>
        <v>0</v>
      </c>
      <c r="Z709" s="187">
        <f t="shared" si="444"/>
        <v>0</v>
      </c>
      <c r="AA709" s="187">
        <f t="shared" si="444"/>
        <v>0</v>
      </c>
      <c r="AB709" s="187">
        <f t="shared" si="444"/>
        <v>0</v>
      </c>
      <c r="AC709" s="187">
        <f t="shared" si="444"/>
        <v>0</v>
      </c>
      <c r="AD709" s="187">
        <f t="shared" si="444"/>
        <v>0</v>
      </c>
      <c r="AE709" s="187">
        <f t="shared" si="444"/>
        <v>0</v>
      </c>
      <c r="AF709" s="187">
        <f t="shared" si="444"/>
        <v>0</v>
      </c>
      <c r="AG709" s="187">
        <f t="shared" si="444"/>
        <v>0</v>
      </c>
      <c r="AH709" s="187">
        <f t="shared" si="444"/>
        <v>0</v>
      </c>
      <c r="AI709" s="187">
        <f t="shared" si="444"/>
        <v>0</v>
      </c>
      <c r="AJ709" s="187">
        <f t="shared" si="444"/>
        <v>0</v>
      </c>
      <c r="AK709" s="187">
        <f t="shared" si="444"/>
        <v>0</v>
      </c>
      <c r="AL709" s="187">
        <f t="shared" si="444"/>
        <v>0</v>
      </c>
      <c r="AM709" s="187">
        <f t="shared" si="444"/>
        <v>0</v>
      </c>
      <c r="AN709" s="187">
        <f t="shared" si="444"/>
        <v>0</v>
      </c>
      <c r="AO709" s="187">
        <f t="shared" si="444"/>
        <v>0</v>
      </c>
      <c r="AP709" s="187">
        <f t="shared" si="444"/>
        <v>0</v>
      </c>
    </row>
    <row r="710" spans="1:42">
      <c r="A710" s="219" t="s">
        <v>53</v>
      </c>
      <c r="B710" s="186"/>
      <c r="C710" s="152">
        <f>SUM(C700:C709)</f>
        <v>410585.24356465257</v>
      </c>
      <c r="D710" s="152">
        <f t="shared" ref="D710:AP710" si="446">SUM(D700:D709)</f>
        <v>410585.24356465257</v>
      </c>
      <c r="E710" s="152">
        <f t="shared" si="446"/>
        <v>410585.24356465257</v>
      </c>
      <c r="F710" s="152">
        <f t="shared" si="446"/>
        <v>410585.24356465257</v>
      </c>
      <c r="G710" s="152">
        <f t="shared" si="446"/>
        <v>410585.24356465257</v>
      </c>
      <c r="H710" s="152">
        <f t="shared" si="446"/>
        <v>410585.24356465257</v>
      </c>
      <c r="I710" s="152">
        <f t="shared" si="446"/>
        <v>410585.24356465257</v>
      </c>
      <c r="J710" s="152">
        <f t="shared" si="446"/>
        <v>410585.24356465257</v>
      </c>
      <c r="K710" s="152">
        <f t="shared" si="446"/>
        <v>410585.24356465257</v>
      </c>
      <c r="L710" s="152">
        <f t="shared" si="446"/>
        <v>410585.24356465257</v>
      </c>
      <c r="M710" s="152">
        <f t="shared" si="446"/>
        <v>410585.24356465257</v>
      </c>
      <c r="N710" s="152">
        <f t="shared" si="446"/>
        <v>410585.24356465257</v>
      </c>
      <c r="O710" s="152">
        <f t="shared" si="446"/>
        <v>410585.24356465257</v>
      </c>
      <c r="P710" s="152">
        <f t="shared" si="446"/>
        <v>410585.24356465257</v>
      </c>
      <c r="Q710" s="152">
        <f t="shared" si="446"/>
        <v>410585.24356465257</v>
      </c>
      <c r="R710" s="152">
        <f t="shared" si="446"/>
        <v>513326.83759962226</v>
      </c>
      <c r="S710" s="152">
        <f t="shared" si="446"/>
        <v>513326.83759962226</v>
      </c>
      <c r="T710" s="152">
        <f t="shared" si="446"/>
        <v>513326.83759962226</v>
      </c>
      <c r="U710" s="152">
        <f t="shared" si="446"/>
        <v>513326.83759962226</v>
      </c>
      <c r="V710" s="152">
        <f t="shared" si="446"/>
        <v>513326.83759962226</v>
      </c>
      <c r="W710" s="152">
        <f t="shared" si="446"/>
        <v>513326.83759962226</v>
      </c>
      <c r="X710" s="152">
        <f t="shared" si="446"/>
        <v>513326.83759962226</v>
      </c>
      <c r="Y710" s="152">
        <f t="shared" si="446"/>
        <v>513326.83759962226</v>
      </c>
      <c r="Z710" s="152">
        <f t="shared" si="446"/>
        <v>513326.83759962226</v>
      </c>
      <c r="AA710" s="152">
        <f t="shared" si="446"/>
        <v>513326.83759962226</v>
      </c>
      <c r="AB710" s="152">
        <f t="shared" si="446"/>
        <v>513326.83759962226</v>
      </c>
      <c r="AC710" s="152">
        <f t="shared" si="446"/>
        <v>513326.83759962226</v>
      </c>
      <c r="AD710" s="152">
        <f t="shared" si="446"/>
        <v>513326.83759962226</v>
      </c>
      <c r="AE710" s="152">
        <f t="shared" si="446"/>
        <v>513326.83759962226</v>
      </c>
      <c r="AF710" s="152">
        <f t="shared" si="446"/>
        <v>513326.83759962226</v>
      </c>
      <c r="AG710" s="152">
        <f t="shared" si="446"/>
        <v>0</v>
      </c>
      <c r="AH710" s="152">
        <f t="shared" si="446"/>
        <v>0</v>
      </c>
      <c r="AI710" s="152">
        <f t="shared" si="446"/>
        <v>0</v>
      </c>
      <c r="AJ710" s="152">
        <f t="shared" si="446"/>
        <v>0</v>
      </c>
      <c r="AK710" s="152">
        <f t="shared" si="446"/>
        <v>0</v>
      </c>
      <c r="AL710" s="152">
        <f t="shared" si="446"/>
        <v>0</v>
      </c>
      <c r="AM710" s="152">
        <f t="shared" si="446"/>
        <v>0</v>
      </c>
      <c r="AN710" s="152">
        <f t="shared" si="446"/>
        <v>0</v>
      </c>
      <c r="AO710" s="152">
        <f t="shared" si="446"/>
        <v>0</v>
      </c>
      <c r="AP710" s="152">
        <f t="shared" si="446"/>
        <v>0</v>
      </c>
    </row>
    <row r="711" spans="1:42">
      <c r="B711" s="186"/>
      <c r="C711" s="152"/>
      <c r="D711" s="152"/>
      <c r="E711" s="152"/>
      <c r="F711" s="152"/>
      <c r="G711" s="152"/>
      <c r="H711" s="152"/>
      <c r="I711" s="152"/>
      <c r="J711" s="152"/>
      <c r="K711" s="152"/>
      <c r="L711" s="152"/>
      <c r="M711" s="152"/>
      <c r="N711" s="152"/>
      <c r="O711" s="152"/>
      <c r="P711" s="152"/>
      <c r="Q711" s="152"/>
      <c r="R711" s="152"/>
      <c r="S711" s="152"/>
      <c r="T711" s="152"/>
      <c r="U711" s="152"/>
      <c r="V711" s="152"/>
      <c r="W711" s="152"/>
      <c r="X711" s="152"/>
      <c r="Y711" s="152"/>
      <c r="Z711" s="152"/>
      <c r="AA711" s="152"/>
      <c r="AB711" s="152"/>
      <c r="AC711" s="152"/>
      <c r="AD711" s="152"/>
      <c r="AE711" s="152"/>
      <c r="AF711" s="152"/>
      <c r="AG711" s="152"/>
      <c r="AH711" s="152"/>
      <c r="AI711" s="152"/>
      <c r="AJ711" s="152"/>
      <c r="AK711" s="152"/>
      <c r="AL711" s="152"/>
      <c r="AM711" s="152"/>
      <c r="AN711" s="152"/>
      <c r="AO711" s="152"/>
      <c r="AP711" s="152"/>
    </row>
    <row r="712" spans="1:42">
      <c r="A712" s="182" t="s">
        <v>364</v>
      </c>
      <c r="C712" s="152"/>
      <c r="D712" s="152"/>
      <c r="E712" s="152"/>
      <c r="F712" s="152"/>
      <c r="G712" s="152"/>
      <c r="H712" s="152"/>
      <c r="I712" s="152"/>
      <c r="J712" s="152"/>
      <c r="K712" s="152"/>
      <c r="L712" s="152"/>
      <c r="M712" s="152"/>
      <c r="N712" s="152"/>
      <c r="O712" s="152"/>
      <c r="P712" s="152"/>
      <c r="Q712" s="152"/>
      <c r="R712" s="152"/>
      <c r="S712" s="152"/>
      <c r="T712" s="152"/>
      <c r="U712" s="152"/>
      <c r="V712" s="152"/>
      <c r="W712" s="152"/>
      <c r="X712" s="152"/>
      <c r="Y712" s="152"/>
      <c r="Z712" s="152"/>
      <c r="AA712" s="152"/>
      <c r="AB712" s="152"/>
      <c r="AC712" s="152"/>
      <c r="AD712" s="152"/>
      <c r="AE712" s="152"/>
      <c r="AF712" s="152"/>
      <c r="AG712" s="152"/>
      <c r="AH712" s="152"/>
      <c r="AI712" s="152"/>
      <c r="AJ712" s="152"/>
      <c r="AK712" s="152"/>
      <c r="AL712" s="152"/>
      <c r="AM712" s="152"/>
      <c r="AN712" s="152"/>
      <c r="AO712" s="152"/>
      <c r="AP712" s="152"/>
    </row>
    <row r="713" spans="1:42">
      <c r="A713" s="37" t="s">
        <v>99</v>
      </c>
      <c r="B713" s="152">
        <v>0</v>
      </c>
      <c r="C713" s="152">
        <f>B716</f>
        <v>0</v>
      </c>
      <c r="D713" s="152">
        <f t="shared" ref="D713:AP713" si="447">C716</f>
        <v>34340.833333333321</v>
      </c>
      <c r="E713" s="152">
        <f t="shared" si="447"/>
        <v>68681.666666666642</v>
      </c>
      <c r="F713" s="152">
        <f t="shared" si="447"/>
        <v>0</v>
      </c>
      <c r="G713" s="152">
        <f t="shared" si="447"/>
        <v>35909.466796145811</v>
      </c>
      <c r="H713" s="152">
        <f t="shared" si="447"/>
        <v>71818.933592291622</v>
      </c>
      <c r="I713" s="152">
        <f t="shared" si="447"/>
        <v>0</v>
      </c>
      <c r="J713" s="152">
        <f t="shared" si="447"/>
        <v>37549.752886510192</v>
      </c>
      <c r="K713" s="152">
        <f t="shared" si="447"/>
        <v>75099.505773020384</v>
      </c>
      <c r="L713" s="152">
        <f t="shared" si="447"/>
        <v>0</v>
      </c>
      <c r="M713" s="152">
        <f t="shared" si="447"/>
        <v>39264.96458001752</v>
      </c>
      <c r="N713" s="152">
        <f t="shared" si="447"/>
        <v>78529.929160035041</v>
      </c>
      <c r="O713" s="152">
        <f t="shared" si="447"/>
        <v>0</v>
      </c>
      <c r="P713" s="152">
        <f t="shared" si="447"/>
        <v>41058.524356465256</v>
      </c>
      <c r="Q713" s="152">
        <f t="shared" si="447"/>
        <v>82117.048712930511</v>
      </c>
      <c r="R713" s="152">
        <f t="shared" si="447"/>
        <v>0</v>
      </c>
      <c r="S713" s="152">
        <f t="shared" si="447"/>
        <v>42934.011028966495</v>
      </c>
      <c r="T713" s="152">
        <f t="shared" si="447"/>
        <v>85868.022057932991</v>
      </c>
      <c r="U713" s="152">
        <f t="shared" si="447"/>
        <v>0</v>
      </c>
      <c r="V713" s="152">
        <f t="shared" si="447"/>
        <v>44895.166885001738</v>
      </c>
      <c r="W713" s="152">
        <f t="shared" si="447"/>
        <v>89790.333770003475</v>
      </c>
      <c r="X713" s="152">
        <f t="shared" si="447"/>
        <v>0</v>
      </c>
      <c r="Y713" s="152">
        <f t="shared" si="447"/>
        <v>46945.90515366241</v>
      </c>
      <c r="Z713" s="152">
        <f t="shared" si="447"/>
        <v>93891.81030732482</v>
      </c>
      <c r="AA713" s="152">
        <f t="shared" si="447"/>
        <v>0</v>
      </c>
      <c r="AB713" s="152">
        <f t="shared" si="447"/>
        <v>49090.317813985828</v>
      </c>
      <c r="AC713" s="152">
        <f t="shared" si="447"/>
        <v>98180.635627971657</v>
      </c>
      <c r="AD713" s="152">
        <f t="shared" si="447"/>
        <v>0</v>
      </c>
      <c r="AE713" s="152">
        <f t="shared" si="447"/>
        <v>51332.68375996223</v>
      </c>
      <c r="AF713" s="152">
        <f t="shared" si="447"/>
        <v>102665.36751992446</v>
      </c>
      <c r="AG713" s="152">
        <f t="shared" si="447"/>
        <v>0</v>
      </c>
      <c r="AH713" s="152">
        <f t="shared" si="447"/>
        <v>0</v>
      </c>
      <c r="AI713" s="152">
        <f t="shared" si="447"/>
        <v>0</v>
      </c>
      <c r="AJ713" s="152">
        <f t="shared" si="447"/>
        <v>0</v>
      </c>
      <c r="AK713" s="152">
        <f t="shared" si="447"/>
        <v>0</v>
      </c>
      <c r="AL713" s="152">
        <f t="shared" si="447"/>
        <v>0</v>
      </c>
      <c r="AM713" s="152">
        <f t="shared" si="447"/>
        <v>0</v>
      </c>
      <c r="AN713" s="152">
        <f t="shared" si="447"/>
        <v>0</v>
      </c>
      <c r="AO713" s="152">
        <f t="shared" si="447"/>
        <v>0</v>
      </c>
      <c r="AP713" s="152">
        <f t="shared" si="447"/>
        <v>0</v>
      </c>
    </row>
    <row r="714" spans="1:42">
      <c r="A714" s="37" t="s">
        <v>198</v>
      </c>
      <c r="B714" s="152">
        <v>0</v>
      </c>
      <c r="C714" s="152">
        <f>C742</f>
        <v>34340.833333333321</v>
      </c>
      <c r="D714" s="152">
        <f t="shared" ref="D714:AP714" si="448">D742</f>
        <v>34340.833333333321</v>
      </c>
      <c r="E714" s="152">
        <f t="shared" si="448"/>
        <v>34340.833333333321</v>
      </c>
      <c r="F714" s="152">
        <f t="shared" si="448"/>
        <v>35909.466796145811</v>
      </c>
      <c r="G714" s="152">
        <f t="shared" si="448"/>
        <v>35909.466796145811</v>
      </c>
      <c r="H714" s="152">
        <f t="shared" si="448"/>
        <v>35909.466796145811</v>
      </c>
      <c r="I714" s="152">
        <f t="shared" si="448"/>
        <v>37549.752886510192</v>
      </c>
      <c r="J714" s="152">
        <f t="shared" si="448"/>
        <v>37549.752886510192</v>
      </c>
      <c r="K714" s="152">
        <f t="shared" si="448"/>
        <v>37549.752886510192</v>
      </c>
      <c r="L714" s="152">
        <f t="shared" si="448"/>
        <v>39264.96458001752</v>
      </c>
      <c r="M714" s="152">
        <f t="shared" si="448"/>
        <v>39264.96458001752</v>
      </c>
      <c r="N714" s="152">
        <f t="shared" si="448"/>
        <v>39264.96458001752</v>
      </c>
      <c r="O714" s="152">
        <f t="shared" si="448"/>
        <v>41058.524356465256</v>
      </c>
      <c r="P714" s="152">
        <f t="shared" si="448"/>
        <v>41058.524356465256</v>
      </c>
      <c r="Q714" s="152">
        <f t="shared" si="448"/>
        <v>41058.524356465256</v>
      </c>
      <c r="R714" s="152">
        <f t="shared" si="448"/>
        <v>42934.011028966495</v>
      </c>
      <c r="S714" s="152">
        <f t="shared" si="448"/>
        <v>42934.011028966495</v>
      </c>
      <c r="T714" s="152">
        <f t="shared" si="448"/>
        <v>42934.011028966495</v>
      </c>
      <c r="U714" s="152">
        <f t="shared" si="448"/>
        <v>44895.166885001738</v>
      </c>
      <c r="V714" s="152">
        <f t="shared" si="448"/>
        <v>44895.166885001738</v>
      </c>
      <c r="W714" s="152">
        <f t="shared" si="448"/>
        <v>44895.166885001738</v>
      </c>
      <c r="X714" s="152">
        <f t="shared" si="448"/>
        <v>46945.90515366241</v>
      </c>
      <c r="Y714" s="152">
        <f t="shared" si="448"/>
        <v>46945.90515366241</v>
      </c>
      <c r="Z714" s="152">
        <f t="shared" si="448"/>
        <v>46945.90515366241</v>
      </c>
      <c r="AA714" s="152">
        <f t="shared" si="448"/>
        <v>49090.317813985828</v>
      </c>
      <c r="AB714" s="152">
        <f t="shared" si="448"/>
        <v>49090.317813985828</v>
      </c>
      <c r="AC714" s="152">
        <f t="shared" si="448"/>
        <v>49090.317813985828</v>
      </c>
      <c r="AD714" s="152">
        <f t="shared" si="448"/>
        <v>51332.68375996223</v>
      </c>
      <c r="AE714" s="152">
        <f t="shared" si="448"/>
        <v>51332.68375996223</v>
      </c>
      <c r="AF714" s="152">
        <f t="shared" si="448"/>
        <v>51332.68375996223</v>
      </c>
      <c r="AG714" s="152">
        <f t="shared" si="448"/>
        <v>0</v>
      </c>
      <c r="AH714" s="152">
        <f t="shared" si="448"/>
        <v>0</v>
      </c>
      <c r="AI714" s="152">
        <f t="shared" si="448"/>
        <v>0</v>
      </c>
      <c r="AJ714" s="152">
        <f t="shared" si="448"/>
        <v>0</v>
      </c>
      <c r="AK714" s="152">
        <f t="shared" si="448"/>
        <v>0</v>
      </c>
      <c r="AL714" s="152">
        <f t="shared" si="448"/>
        <v>0</v>
      </c>
      <c r="AM714" s="152">
        <f t="shared" si="448"/>
        <v>0</v>
      </c>
      <c r="AN714" s="152">
        <f t="shared" si="448"/>
        <v>0</v>
      </c>
      <c r="AO714" s="152">
        <f t="shared" si="448"/>
        <v>0</v>
      </c>
      <c r="AP714" s="152">
        <f t="shared" si="448"/>
        <v>0</v>
      </c>
    </row>
    <row r="715" spans="1:42">
      <c r="A715" s="37" t="s">
        <v>106</v>
      </c>
      <c r="B715" s="187">
        <v>0</v>
      </c>
      <c r="C715" s="187">
        <f>-C730</f>
        <v>0</v>
      </c>
      <c r="D715" s="187">
        <f t="shared" ref="D715:AP715" si="449">-D730</f>
        <v>0</v>
      </c>
      <c r="E715" s="187">
        <f t="shared" si="449"/>
        <v>-103022.49999999997</v>
      </c>
      <c r="F715" s="187">
        <f t="shared" si="449"/>
        <v>0</v>
      </c>
      <c r="G715" s="187">
        <f t="shared" si="449"/>
        <v>0</v>
      </c>
      <c r="H715" s="187">
        <f t="shared" si="449"/>
        <v>-107728.40038843743</v>
      </c>
      <c r="I715" s="187">
        <f t="shared" si="449"/>
        <v>0</v>
      </c>
      <c r="J715" s="187">
        <f t="shared" si="449"/>
        <v>0</v>
      </c>
      <c r="K715" s="187">
        <f t="shared" si="449"/>
        <v>-112649.25865953058</v>
      </c>
      <c r="L715" s="187">
        <f t="shared" si="449"/>
        <v>0</v>
      </c>
      <c r="M715" s="187">
        <f t="shared" si="449"/>
        <v>0</v>
      </c>
      <c r="N715" s="187">
        <f t="shared" si="449"/>
        <v>-117794.89374005256</v>
      </c>
      <c r="O715" s="187">
        <f t="shared" si="449"/>
        <v>0</v>
      </c>
      <c r="P715" s="187">
        <f t="shared" si="449"/>
        <v>0</v>
      </c>
      <c r="Q715" s="187">
        <f t="shared" si="449"/>
        <v>-123175.57306939577</v>
      </c>
      <c r="R715" s="187">
        <f t="shared" si="449"/>
        <v>0</v>
      </c>
      <c r="S715" s="187">
        <f t="shared" si="449"/>
        <v>0</v>
      </c>
      <c r="T715" s="187">
        <f t="shared" si="449"/>
        <v>-128802.03308689948</v>
      </c>
      <c r="U715" s="187">
        <f t="shared" si="449"/>
        <v>0</v>
      </c>
      <c r="V715" s="187">
        <f t="shared" si="449"/>
        <v>0</v>
      </c>
      <c r="W715" s="187">
        <f t="shared" si="449"/>
        <v>-134685.50065500522</v>
      </c>
      <c r="X715" s="187">
        <f t="shared" si="449"/>
        <v>0</v>
      </c>
      <c r="Y715" s="187">
        <f t="shared" si="449"/>
        <v>0</v>
      </c>
      <c r="Z715" s="187">
        <f t="shared" si="449"/>
        <v>-140837.71546098724</v>
      </c>
      <c r="AA715" s="187">
        <f t="shared" si="449"/>
        <v>0</v>
      </c>
      <c r="AB715" s="187">
        <f t="shared" si="449"/>
        <v>0</v>
      </c>
      <c r="AC715" s="187">
        <f t="shared" si="449"/>
        <v>-147270.95344195748</v>
      </c>
      <c r="AD715" s="187">
        <f t="shared" si="449"/>
        <v>0</v>
      </c>
      <c r="AE715" s="187">
        <f t="shared" si="449"/>
        <v>0</v>
      </c>
      <c r="AF715" s="187">
        <f t="shared" si="449"/>
        <v>-153998.05127988668</v>
      </c>
      <c r="AG715" s="187">
        <f t="shared" si="449"/>
        <v>0</v>
      </c>
      <c r="AH715" s="187">
        <f t="shared" si="449"/>
        <v>0</v>
      </c>
      <c r="AI715" s="187">
        <f t="shared" si="449"/>
        <v>0</v>
      </c>
      <c r="AJ715" s="187">
        <f t="shared" si="449"/>
        <v>0</v>
      </c>
      <c r="AK715" s="187">
        <f t="shared" si="449"/>
        <v>0</v>
      </c>
      <c r="AL715" s="187">
        <f t="shared" si="449"/>
        <v>0</v>
      </c>
      <c r="AM715" s="187">
        <f t="shared" si="449"/>
        <v>0</v>
      </c>
      <c r="AN715" s="187">
        <f t="shared" si="449"/>
        <v>0</v>
      </c>
      <c r="AO715" s="187">
        <f t="shared" si="449"/>
        <v>0</v>
      </c>
      <c r="AP715" s="187">
        <f t="shared" si="449"/>
        <v>0</v>
      </c>
    </row>
    <row r="716" spans="1:42">
      <c r="A716" s="37" t="s">
        <v>102</v>
      </c>
      <c r="B716" s="152">
        <f>SUM(B713:B715)</f>
        <v>0</v>
      </c>
      <c r="C716" s="152">
        <f>SUM(C713:C715)</f>
        <v>34340.833333333321</v>
      </c>
      <c r="D716" s="152">
        <f t="shared" ref="D716:AP716" si="450">SUM(D713:D715)</f>
        <v>68681.666666666642</v>
      </c>
      <c r="E716" s="152">
        <f t="shared" si="450"/>
        <v>0</v>
      </c>
      <c r="F716" s="152">
        <f t="shared" si="450"/>
        <v>35909.466796145811</v>
      </c>
      <c r="G716" s="152">
        <f t="shared" si="450"/>
        <v>71818.933592291622</v>
      </c>
      <c r="H716" s="152">
        <f t="shared" si="450"/>
        <v>0</v>
      </c>
      <c r="I716" s="152">
        <f t="shared" si="450"/>
        <v>37549.752886510192</v>
      </c>
      <c r="J716" s="152">
        <f t="shared" si="450"/>
        <v>75099.505773020384</v>
      </c>
      <c r="K716" s="152">
        <f t="shared" si="450"/>
        <v>0</v>
      </c>
      <c r="L716" s="152">
        <f t="shared" si="450"/>
        <v>39264.96458001752</v>
      </c>
      <c r="M716" s="152">
        <f t="shared" si="450"/>
        <v>78529.929160035041</v>
      </c>
      <c r="N716" s="152">
        <f t="shared" si="450"/>
        <v>0</v>
      </c>
      <c r="O716" s="152">
        <f t="shared" si="450"/>
        <v>41058.524356465256</v>
      </c>
      <c r="P716" s="152">
        <f t="shared" si="450"/>
        <v>82117.048712930511</v>
      </c>
      <c r="Q716" s="152">
        <f t="shared" si="450"/>
        <v>0</v>
      </c>
      <c r="R716" s="152">
        <f t="shared" si="450"/>
        <v>42934.011028966495</v>
      </c>
      <c r="S716" s="152">
        <f t="shared" si="450"/>
        <v>85868.022057932991</v>
      </c>
      <c r="T716" s="152">
        <f t="shared" si="450"/>
        <v>0</v>
      </c>
      <c r="U716" s="152">
        <f t="shared" si="450"/>
        <v>44895.166885001738</v>
      </c>
      <c r="V716" s="152">
        <f t="shared" si="450"/>
        <v>89790.333770003475</v>
      </c>
      <c r="W716" s="152">
        <f t="shared" si="450"/>
        <v>0</v>
      </c>
      <c r="X716" s="152">
        <f t="shared" si="450"/>
        <v>46945.90515366241</v>
      </c>
      <c r="Y716" s="152">
        <f t="shared" si="450"/>
        <v>93891.81030732482</v>
      </c>
      <c r="Z716" s="152">
        <f t="shared" si="450"/>
        <v>0</v>
      </c>
      <c r="AA716" s="152">
        <f t="shared" si="450"/>
        <v>49090.317813985828</v>
      </c>
      <c r="AB716" s="152">
        <f t="shared" si="450"/>
        <v>98180.635627971657</v>
      </c>
      <c r="AC716" s="152">
        <f t="shared" si="450"/>
        <v>0</v>
      </c>
      <c r="AD716" s="152">
        <f t="shared" si="450"/>
        <v>51332.68375996223</v>
      </c>
      <c r="AE716" s="152">
        <f t="shared" si="450"/>
        <v>102665.36751992446</v>
      </c>
      <c r="AF716" s="152">
        <f t="shared" si="450"/>
        <v>0</v>
      </c>
      <c r="AG716" s="152">
        <f t="shared" si="450"/>
        <v>0</v>
      </c>
      <c r="AH716" s="152">
        <f t="shared" si="450"/>
        <v>0</v>
      </c>
      <c r="AI716" s="152">
        <f t="shared" si="450"/>
        <v>0</v>
      </c>
      <c r="AJ716" s="152">
        <f t="shared" si="450"/>
        <v>0</v>
      </c>
      <c r="AK716" s="152">
        <f t="shared" si="450"/>
        <v>0</v>
      </c>
      <c r="AL716" s="152">
        <f t="shared" si="450"/>
        <v>0</v>
      </c>
      <c r="AM716" s="152">
        <f t="shared" si="450"/>
        <v>0</v>
      </c>
      <c r="AN716" s="152">
        <f t="shared" si="450"/>
        <v>0</v>
      </c>
      <c r="AO716" s="152">
        <f t="shared" si="450"/>
        <v>0</v>
      </c>
      <c r="AP716" s="152">
        <f t="shared" si="450"/>
        <v>0</v>
      </c>
    </row>
    <row r="717" spans="1:42">
      <c r="B717" s="152"/>
      <c r="C717" s="152"/>
      <c r="D717" s="152"/>
      <c r="E717" s="152"/>
      <c r="F717" s="152"/>
      <c r="G717" s="186"/>
      <c r="H717" s="186"/>
      <c r="I717" s="186"/>
      <c r="J717" s="186"/>
      <c r="K717" s="186"/>
      <c r="L717" s="186"/>
      <c r="M717" s="186"/>
      <c r="N717" s="186"/>
      <c r="O717" s="186"/>
      <c r="P717" s="186"/>
      <c r="Q717" s="186"/>
      <c r="R717" s="186"/>
      <c r="S717" s="186"/>
      <c r="T717" s="186"/>
      <c r="U717" s="186"/>
      <c r="V717" s="186"/>
      <c r="W717" s="186"/>
      <c r="X717" s="186"/>
      <c r="Y717" s="186"/>
      <c r="Z717" s="186"/>
      <c r="AA717" s="186"/>
      <c r="AB717" s="186"/>
      <c r="AC717" s="186"/>
      <c r="AD717" s="186"/>
      <c r="AE717" s="186"/>
      <c r="AF717" s="186"/>
      <c r="AG717" s="186"/>
      <c r="AH717" s="186"/>
      <c r="AI717" s="186"/>
      <c r="AJ717" s="186"/>
      <c r="AK717" s="186"/>
      <c r="AL717" s="186"/>
      <c r="AM717" s="186"/>
      <c r="AN717" s="186"/>
      <c r="AO717" s="186"/>
      <c r="AP717" s="186"/>
    </row>
    <row r="718" spans="1:42">
      <c r="A718" s="37" t="s">
        <v>196</v>
      </c>
      <c r="B718" s="152"/>
      <c r="C718" s="152"/>
      <c r="D718" s="152"/>
      <c r="E718" s="152"/>
      <c r="F718" s="152"/>
      <c r="G718" s="186"/>
      <c r="H718" s="186"/>
      <c r="I718" s="186"/>
      <c r="J718" s="186"/>
      <c r="K718" s="186"/>
      <c r="L718" s="186"/>
      <c r="M718" s="186"/>
      <c r="N718" s="186"/>
      <c r="O718" s="186"/>
      <c r="P718" s="186"/>
      <c r="Q718" s="186"/>
      <c r="R718" s="186"/>
      <c r="S718" s="186"/>
      <c r="T718" s="186"/>
      <c r="U718" s="186"/>
      <c r="V718" s="186"/>
      <c r="W718" s="186"/>
      <c r="X718" s="186"/>
      <c r="Y718" s="186"/>
      <c r="Z718" s="186"/>
      <c r="AA718" s="186"/>
      <c r="AB718" s="186"/>
      <c r="AC718" s="186"/>
      <c r="AD718" s="186"/>
      <c r="AE718" s="186"/>
      <c r="AF718" s="186"/>
      <c r="AG718" s="186"/>
      <c r="AH718" s="186"/>
      <c r="AI718" s="186"/>
      <c r="AJ718" s="186"/>
      <c r="AK718" s="186"/>
      <c r="AL718" s="186"/>
      <c r="AM718" s="186"/>
      <c r="AN718" s="186"/>
      <c r="AO718" s="186"/>
      <c r="AP718" s="186"/>
    </row>
    <row r="719" spans="1:42">
      <c r="A719" s="37" t="s">
        <v>197</v>
      </c>
      <c r="B719" s="152"/>
      <c r="C719" s="152"/>
      <c r="D719" s="152"/>
      <c r="E719" s="152"/>
      <c r="F719" s="152"/>
      <c r="G719" s="186"/>
      <c r="H719" s="186"/>
      <c r="I719" s="186"/>
      <c r="J719" s="186"/>
      <c r="K719" s="186"/>
      <c r="L719" s="186"/>
      <c r="M719" s="186"/>
      <c r="N719" s="186"/>
      <c r="O719" s="186"/>
      <c r="P719" s="186"/>
      <c r="Q719" s="186"/>
      <c r="R719" s="186"/>
      <c r="S719" s="186"/>
      <c r="T719" s="186"/>
      <c r="U719" s="186"/>
      <c r="V719" s="186"/>
      <c r="W719" s="186"/>
      <c r="X719" s="186"/>
      <c r="Y719" s="186"/>
      <c r="Z719" s="186"/>
      <c r="AA719" s="186"/>
      <c r="AB719" s="186"/>
      <c r="AC719" s="186"/>
      <c r="AD719" s="186"/>
      <c r="AE719" s="186"/>
      <c r="AF719" s="186"/>
      <c r="AG719" s="186"/>
      <c r="AH719" s="186"/>
      <c r="AI719" s="186"/>
      <c r="AJ719" s="186"/>
      <c r="AK719" s="186"/>
      <c r="AL719" s="186"/>
      <c r="AM719" s="186"/>
      <c r="AN719" s="186"/>
      <c r="AO719" s="186"/>
      <c r="AP719" s="186"/>
    </row>
    <row r="720" spans="1:42">
      <c r="A720" s="37">
        <v>1</v>
      </c>
      <c r="B720" s="255">
        <f t="shared" ref="B720:B729" si="451">SUM(C720:AP720)</f>
        <v>103022.49999999997</v>
      </c>
      <c r="C720" s="186">
        <f t="shared" ref="C720:R729" si="452">IF(C$2&gt;AnalysisPeriod,0,IF(C$2=MMFrequency3*$A720,MMCost3*CapacityDC*1000*(1+Inflation)^B$2,0))</f>
        <v>0</v>
      </c>
      <c r="D720" s="186">
        <f t="shared" si="452"/>
        <v>0</v>
      </c>
      <c r="E720" s="186">
        <f t="shared" si="452"/>
        <v>103022.49999999997</v>
      </c>
      <c r="F720" s="186">
        <f t="shared" si="452"/>
        <v>0</v>
      </c>
      <c r="G720" s="186">
        <f t="shared" si="452"/>
        <v>0</v>
      </c>
      <c r="H720" s="186">
        <f t="shared" si="452"/>
        <v>0</v>
      </c>
      <c r="I720" s="186">
        <f t="shared" si="452"/>
        <v>0</v>
      </c>
      <c r="J720" s="186">
        <f t="shared" si="452"/>
        <v>0</v>
      </c>
      <c r="K720" s="186">
        <f t="shared" si="452"/>
        <v>0</v>
      </c>
      <c r="L720" s="186">
        <f t="shared" si="452"/>
        <v>0</v>
      </c>
      <c r="M720" s="186">
        <f t="shared" si="452"/>
        <v>0</v>
      </c>
      <c r="N720" s="186">
        <f t="shared" si="452"/>
        <v>0</v>
      </c>
      <c r="O720" s="186">
        <f t="shared" si="452"/>
        <v>0</v>
      </c>
      <c r="P720" s="186">
        <f t="shared" si="452"/>
        <v>0</v>
      </c>
      <c r="Q720" s="186">
        <f t="shared" si="452"/>
        <v>0</v>
      </c>
      <c r="R720" s="186">
        <f t="shared" si="452"/>
        <v>0</v>
      </c>
      <c r="S720" s="186">
        <f t="shared" ref="S720:AH729" si="453">IF(S$2&gt;AnalysisPeriod,0,IF(S$2=MMFrequency3*$A720,MMCost3*CapacityDC*1000*(1+Inflation)^R$2,0))</f>
        <v>0</v>
      </c>
      <c r="T720" s="186">
        <f t="shared" si="453"/>
        <v>0</v>
      </c>
      <c r="U720" s="186">
        <f t="shared" si="453"/>
        <v>0</v>
      </c>
      <c r="V720" s="186">
        <f t="shared" si="453"/>
        <v>0</v>
      </c>
      <c r="W720" s="186">
        <f t="shared" si="453"/>
        <v>0</v>
      </c>
      <c r="X720" s="186">
        <f t="shared" si="453"/>
        <v>0</v>
      </c>
      <c r="Y720" s="186">
        <f t="shared" si="453"/>
        <v>0</v>
      </c>
      <c r="Z720" s="186">
        <f t="shared" si="453"/>
        <v>0</v>
      </c>
      <c r="AA720" s="186">
        <f t="shared" si="453"/>
        <v>0</v>
      </c>
      <c r="AB720" s="186">
        <f t="shared" si="453"/>
        <v>0</v>
      </c>
      <c r="AC720" s="186">
        <f t="shared" si="453"/>
        <v>0</v>
      </c>
      <c r="AD720" s="186">
        <f t="shared" si="453"/>
        <v>0</v>
      </c>
      <c r="AE720" s="186">
        <f t="shared" si="453"/>
        <v>0</v>
      </c>
      <c r="AF720" s="186">
        <f t="shared" si="453"/>
        <v>0</v>
      </c>
      <c r="AG720" s="186">
        <f t="shared" si="453"/>
        <v>0</v>
      </c>
      <c r="AH720" s="186">
        <f t="shared" si="453"/>
        <v>0</v>
      </c>
      <c r="AI720" s="186">
        <f t="shared" ref="AI720:AP729" si="454">IF(AI$2&gt;AnalysisPeriod,0,IF(AI$2=MMFrequency3*$A720,MMCost3*CapacityDC*1000*(1+Inflation)^AH$2,0))</f>
        <v>0</v>
      </c>
      <c r="AJ720" s="186">
        <f t="shared" si="454"/>
        <v>0</v>
      </c>
      <c r="AK720" s="186">
        <f t="shared" si="454"/>
        <v>0</v>
      </c>
      <c r="AL720" s="186">
        <f t="shared" si="454"/>
        <v>0</v>
      </c>
      <c r="AM720" s="186">
        <f t="shared" si="454"/>
        <v>0</v>
      </c>
      <c r="AN720" s="186">
        <f t="shared" si="454"/>
        <v>0</v>
      </c>
      <c r="AO720" s="186">
        <f t="shared" si="454"/>
        <v>0</v>
      </c>
      <c r="AP720" s="186">
        <f t="shared" si="454"/>
        <v>0</v>
      </c>
    </row>
    <row r="721" spans="1:42">
      <c r="A721" s="37">
        <f>A720+1</f>
        <v>2</v>
      </c>
      <c r="B721" s="255">
        <f t="shared" si="451"/>
        <v>107728.40038843743</v>
      </c>
      <c r="C721" s="186">
        <f t="shared" si="452"/>
        <v>0</v>
      </c>
      <c r="D721" s="186">
        <f t="shared" si="452"/>
        <v>0</v>
      </c>
      <c r="E721" s="186">
        <f t="shared" si="452"/>
        <v>0</v>
      </c>
      <c r="F721" s="186">
        <f t="shared" si="452"/>
        <v>0</v>
      </c>
      <c r="G721" s="186">
        <f t="shared" si="452"/>
        <v>0</v>
      </c>
      <c r="H721" s="186">
        <f t="shared" si="452"/>
        <v>107728.40038843743</v>
      </c>
      <c r="I721" s="186">
        <f t="shared" si="452"/>
        <v>0</v>
      </c>
      <c r="J721" s="186">
        <f t="shared" si="452"/>
        <v>0</v>
      </c>
      <c r="K721" s="186">
        <f t="shared" si="452"/>
        <v>0</v>
      </c>
      <c r="L721" s="186">
        <f t="shared" si="452"/>
        <v>0</v>
      </c>
      <c r="M721" s="186">
        <f t="shared" si="452"/>
        <v>0</v>
      </c>
      <c r="N721" s="186">
        <f t="shared" si="452"/>
        <v>0</v>
      </c>
      <c r="O721" s="186">
        <f t="shared" si="452"/>
        <v>0</v>
      </c>
      <c r="P721" s="186">
        <f t="shared" si="452"/>
        <v>0</v>
      </c>
      <c r="Q721" s="186">
        <f t="shared" si="452"/>
        <v>0</v>
      </c>
      <c r="R721" s="186">
        <f t="shared" si="452"/>
        <v>0</v>
      </c>
      <c r="S721" s="186">
        <f t="shared" si="453"/>
        <v>0</v>
      </c>
      <c r="T721" s="186">
        <f t="shared" si="453"/>
        <v>0</v>
      </c>
      <c r="U721" s="186">
        <f t="shared" si="453"/>
        <v>0</v>
      </c>
      <c r="V721" s="186">
        <f t="shared" si="453"/>
        <v>0</v>
      </c>
      <c r="W721" s="186">
        <f t="shared" si="453"/>
        <v>0</v>
      </c>
      <c r="X721" s="186">
        <f t="shared" si="453"/>
        <v>0</v>
      </c>
      <c r="Y721" s="186">
        <f t="shared" si="453"/>
        <v>0</v>
      </c>
      <c r="Z721" s="186">
        <f t="shared" si="453"/>
        <v>0</v>
      </c>
      <c r="AA721" s="186">
        <f t="shared" si="453"/>
        <v>0</v>
      </c>
      <c r="AB721" s="186">
        <f t="shared" si="453"/>
        <v>0</v>
      </c>
      <c r="AC721" s="186">
        <f t="shared" si="453"/>
        <v>0</v>
      </c>
      <c r="AD721" s="186">
        <f t="shared" si="453"/>
        <v>0</v>
      </c>
      <c r="AE721" s="186">
        <f t="shared" si="453"/>
        <v>0</v>
      </c>
      <c r="AF721" s="186">
        <f t="shared" si="453"/>
        <v>0</v>
      </c>
      <c r="AG721" s="186">
        <f t="shared" si="453"/>
        <v>0</v>
      </c>
      <c r="AH721" s="186">
        <f t="shared" si="453"/>
        <v>0</v>
      </c>
      <c r="AI721" s="186">
        <f t="shared" si="454"/>
        <v>0</v>
      </c>
      <c r="AJ721" s="186">
        <f t="shared" si="454"/>
        <v>0</v>
      </c>
      <c r="AK721" s="186">
        <f t="shared" si="454"/>
        <v>0</v>
      </c>
      <c r="AL721" s="186">
        <f t="shared" si="454"/>
        <v>0</v>
      </c>
      <c r="AM721" s="186">
        <f t="shared" si="454"/>
        <v>0</v>
      </c>
      <c r="AN721" s="186">
        <f t="shared" si="454"/>
        <v>0</v>
      </c>
      <c r="AO721" s="186">
        <f t="shared" si="454"/>
        <v>0</v>
      </c>
      <c r="AP721" s="186">
        <f t="shared" si="454"/>
        <v>0</v>
      </c>
    </row>
    <row r="722" spans="1:42">
      <c r="A722" s="37">
        <f t="shared" ref="A722:A729" si="455">A721+1</f>
        <v>3</v>
      </c>
      <c r="B722" s="255">
        <f t="shared" si="451"/>
        <v>112649.25865953058</v>
      </c>
      <c r="C722" s="186">
        <f t="shared" si="452"/>
        <v>0</v>
      </c>
      <c r="D722" s="186">
        <f t="shared" si="452"/>
        <v>0</v>
      </c>
      <c r="E722" s="186">
        <f t="shared" si="452"/>
        <v>0</v>
      </c>
      <c r="F722" s="186">
        <f t="shared" si="452"/>
        <v>0</v>
      </c>
      <c r="G722" s="186">
        <f t="shared" si="452"/>
        <v>0</v>
      </c>
      <c r="H722" s="186">
        <f t="shared" si="452"/>
        <v>0</v>
      </c>
      <c r="I722" s="186">
        <f t="shared" si="452"/>
        <v>0</v>
      </c>
      <c r="J722" s="186">
        <f t="shared" si="452"/>
        <v>0</v>
      </c>
      <c r="K722" s="186">
        <f t="shared" si="452"/>
        <v>112649.25865953058</v>
      </c>
      <c r="L722" s="186">
        <f t="shared" si="452"/>
        <v>0</v>
      </c>
      <c r="M722" s="186">
        <f t="shared" si="452"/>
        <v>0</v>
      </c>
      <c r="N722" s="186">
        <f t="shared" si="452"/>
        <v>0</v>
      </c>
      <c r="O722" s="186">
        <f t="shared" si="452"/>
        <v>0</v>
      </c>
      <c r="P722" s="186">
        <f t="shared" si="452"/>
        <v>0</v>
      </c>
      <c r="Q722" s="186">
        <f t="shared" si="452"/>
        <v>0</v>
      </c>
      <c r="R722" s="186">
        <f t="shared" si="452"/>
        <v>0</v>
      </c>
      <c r="S722" s="186">
        <f t="shared" si="453"/>
        <v>0</v>
      </c>
      <c r="T722" s="186">
        <f t="shared" si="453"/>
        <v>0</v>
      </c>
      <c r="U722" s="186">
        <f t="shared" si="453"/>
        <v>0</v>
      </c>
      <c r="V722" s="186">
        <f t="shared" si="453"/>
        <v>0</v>
      </c>
      <c r="W722" s="186">
        <f t="shared" si="453"/>
        <v>0</v>
      </c>
      <c r="X722" s="186">
        <f t="shared" si="453"/>
        <v>0</v>
      </c>
      <c r="Y722" s="186">
        <f t="shared" si="453"/>
        <v>0</v>
      </c>
      <c r="Z722" s="186">
        <f t="shared" si="453"/>
        <v>0</v>
      </c>
      <c r="AA722" s="186">
        <f t="shared" si="453"/>
        <v>0</v>
      </c>
      <c r="AB722" s="186">
        <f t="shared" si="453"/>
        <v>0</v>
      </c>
      <c r="AC722" s="186">
        <f t="shared" si="453"/>
        <v>0</v>
      </c>
      <c r="AD722" s="186">
        <f t="shared" si="453"/>
        <v>0</v>
      </c>
      <c r="AE722" s="186">
        <f t="shared" si="453"/>
        <v>0</v>
      </c>
      <c r="AF722" s="186">
        <f t="shared" si="453"/>
        <v>0</v>
      </c>
      <c r="AG722" s="186">
        <f t="shared" si="453"/>
        <v>0</v>
      </c>
      <c r="AH722" s="186">
        <f t="shared" si="453"/>
        <v>0</v>
      </c>
      <c r="AI722" s="186">
        <f t="shared" si="454"/>
        <v>0</v>
      </c>
      <c r="AJ722" s="186">
        <f t="shared" si="454"/>
        <v>0</v>
      </c>
      <c r="AK722" s="186">
        <f t="shared" si="454"/>
        <v>0</v>
      </c>
      <c r="AL722" s="186">
        <f t="shared" si="454"/>
        <v>0</v>
      </c>
      <c r="AM722" s="186">
        <f t="shared" si="454"/>
        <v>0</v>
      </c>
      <c r="AN722" s="186">
        <f t="shared" si="454"/>
        <v>0</v>
      </c>
      <c r="AO722" s="186">
        <f t="shared" si="454"/>
        <v>0</v>
      </c>
      <c r="AP722" s="186">
        <f t="shared" si="454"/>
        <v>0</v>
      </c>
    </row>
    <row r="723" spans="1:42">
      <c r="A723" s="37">
        <f t="shared" si="455"/>
        <v>4</v>
      </c>
      <c r="B723" s="255">
        <f t="shared" si="451"/>
        <v>117794.89374005256</v>
      </c>
      <c r="C723" s="186">
        <f t="shared" si="452"/>
        <v>0</v>
      </c>
      <c r="D723" s="186">
        <f t="shared" si="452"/>
        <v>0</v>
      </c>
      <c r="E723" s="186">
        <f t="shared" si="452"/>
        <v>0</v>
      </c>
      <c r="F723" s="186">
        <f t="shared" si="452"/>
        <v>0</v>
      </c>
      <c r="G723" s="186">
        <f t="shared" si="452"/>
        <v>0</v>
      </c>
      <c r="H723" s="186">
        <f t="shared" si="452"/>
        <v>0</v>
      </c>
      <c r="I723" s="186">
        <f t="shared" si="452"/>
        <v>0</v>
      </c>
      <c r="J723" s="186">
        <f t="shared" si="452"/>
        <v>0</v>
      </c>
      <c r="K723" s="186">
        <f t="shared" si="452"/>
        <v>0</v>
      </c>
      <c r="L723" s="186">
        <f t="shared" si="452"/>
        <v>0</v>
      </c>
      <c r="M723" s="186">
        <f t="shared" si="452"/>
        <v>0</v>
      </c>
      <c r="N723" s="186">
        <f t="shared" si="452"/>
        <v>117794.89374005256</v>
      </c>
      <c r="O723" s="186">
        <f t="shared" si="452"/>
        <v>0</v>
      </c>
      <c r="P723" s="186">
        <f t="shared" si="452"/>
        <v>0</v>
      </c>
      <c r="Q723" s="186">
        <f t="shared" si="452"/>
        <v>0</v>
      </c>
      <c r="R723" s="186">
        <f t="shared" si="452"/>
        <v>0</v>
      </c>
      <c r="S723" s="186">
        <f t="shared" si="453"/>
        <v>0</v>
      </c>
      <c r="T723" s="186">
        <f t="shared" si="453"/>
        <v>0</v>
      </c>
      <c r="U723" s="186">
        <f t="shared" si="453"/>
        <v>0</v>
      </c>
      <c r="V723" s="186">
        <f t="shared" si="453"/>
        <v>0</v>
      </c>
      <c r="W723" s="186">
        <f t="shared" si="453"/>
        <v>0</v>
      </c>
      <c r="X723" s="186">
        <f t="shared" si="453"/>
        <v>0</v>
      </c>
      <c r="Y723" s="186">
        <f t="shared" si="453"/>
        <v>0</v>
      </c>
      <c r="Z723" s="186">
        <f t="shared" si="453"/>
        <v>0</v>
      </c>
      <c r="AA723" s="186">
        <f t="shared" si="453"/>
        <v>0</v>
      </c>
      <c r="AB723" s="186">
        <f t="shared" si="453"/>
        <v>0</v>
      </c>
      <c r="AC723" s="186">
        <f t="shared" si="453"/>
        <v>0</v>
      </c>
      <c r="AD723" s="186">
        <f t="shared" si="453"/>
        <v>0</v>
      </c>
      <c r="AE723" s="186">
        <f t="shared" si="453"/>
        <v>0</v>
      </c>
      <c r="AF723" s="186">
        <f t="shared" si="453"/>
        <v>0</v>
      </c>
      <c r="AG723" s="186">
        <f t="shared" si="453"/>
        <v>0</v>
      </c>
      <c r="AH723" s="186">
        <f t="shared" si="453"/>
        <v>0</v>
      </c>
      <c r="AI723" s="186">
        <f t="shared" si="454"/>
        <v>0</v>
      </c>
      <c r="AJ723" s="186">
        <f t="shared" si="454"/>
        <v>0</v>
      </c>
      <c r="AK723" s="186">
        <f t="shared" si="454"/>
        <v>0</v>
      </c>
      <c r="AL723" s="186">
        <f t="shared" si="454"/>
        <v>0</v>
      </c>
      <c r="AM723" s="186">
        <f t="shared" si="454"/>
        <v>0</v>
      </c>
      <c r="AN723" s="186">
        <f t="shared" si="454"/>
        <v>0</v>
      </c>
      <c r="AO723" s="186">
        <f t="shared" si="454"/>
        <v>0</v>
      </c>
      <c r="AP723" s="186">
        <f t="shared" si="454"/>
        <v>0</v>
      </c>
    </row>
    <row r="724" spans="1:42">
      <c r="A724" s="37">
        <f t="shared" si="455"/>
        <v>5</v>
      </c>
      <c r="B724" s="255">
        <f t="shared" si="451"/>
        <v>123175.57306939577</v>
      </c>
      <c r="C724" s="186">
        <f t="shared" si="452"/>
        <v>0</v>
      </c>
      <c r="D724" s="186">
        <f t="shared" si="452"/>
        <v>0</v>
      </c>
      <c r="E724" s="186">
        <f t="shared" si="452"/>
        <v>0</v>
      </c>
      <c r="F724" s="186">
        <f t="shared" si="452"/>
        <v>0</v>
      </c>
      <c r="G724" s="186">
        <f t="shared" si="452"/>
        <v>0</v>
      </c>
      <c r="H724" s="186">
        <f t="shared" si="452"/>
        <v>0</v>
      </c>
      <c r="I724" s="186">
        <f t="shared" si="452"/>
        <v>0</v>
      </c>
      <c r="J724" s="186">
        <f t="shared" si="452"/>
        <v>0</v>
      </c>
      <c r="K724" s="186">
        <f t="shared" si="452"/>
        <v>0</v>
      </c>
      <c r="L724" s="186">
        <f t="shared" si="452"/>
        <v>0</v>
      </c>
      <c r="M724" s="186">
        <f t="shared" si="452"/>
        <v>0</v>
      </c>
      <c r="N724" s="186">
        <f t="shared" si="452"/>
        <v>0</v>
      </c>
      <c r="O724" s="186">
        <f t="shared" si="452"/>
        <v>0</v>
      </c>
      <c r="P724" s="186">
        <f t="shared" si="452"/>
        <v>0</v>
      </c>
      <c r="Q724" s="186">
        <f t="shared" si="452"/>
        <v>123175.57306939577</v>
      </c>
      <c r="R724" s="186">
        <f t="shared" si="452"/>
        <v>0</v>
      </c>
      <c r="S724" s="186">
        <f t="shared" si="453"/>
        <v>0</v>
      </c>
      <c r="T724" s="186">
        <f t="shared" si="453"/>
        <v>0</v>
      </c>
      <c r="U724" s="186">
        <f t="shared" si="453"/>
        <v>0</v>
      </c>
      <c r="V724" s="186">
        <f t="shared" si="453"/>
        <v>0</v>
      </c>
      <c r="W724" s="186">
        <f t="shared" si="453"/>
        <v>0</v>
      </c>
      <c r="X724" s="186">
        <f t="shared" si="453"/>
        <v>0</v>
      </c>
      <c r="Y724" s="186">
        <f t="shared" si="453"/>
        <v>0</v>
      </c>
      <c r="Z724" s="186">
        <f t="shared" si="453"/>
        <v>0</v>
      </c>
      <c r="AA724" s="186">
        <f t="shared" si="453"/>
        <v>0</v>
      </c>
      <c r="AB724" s="186">
        <f t="shared" si="453"/>
        <v>0</v>
      </c>
      <c r="AC724" s="186">
        <f t="shared" si="453"/>
        <v>0</v>
      </c>
      <c r="AD724" s="186">
        <f t="shared" si="453"/>
        <v>0</v>
      </c>
      <c r="AE724" s="186">
        <f t="shared" si="453"/>
        <v>0</v>
      </c>
      <c r="AF724" s="186">
        <f t="shared" si="453"/>
        <v>0</v>
      </c>
      <c r="AG724" s="186">
        <f t="shared" si="453"/>
        <v>0</v>
      </c>
      <c r="AH724" s="186">
        <f t="shared" si="453"/>
        <v>0</v>
      </c>
      <c r="AI724" s="186">
        <f t="shared" si="454"/>
        <v>0</v>
      </c>
      <c r="AJ724" s="186">
        <f t="shared" si="454"/>
        <v>0</v>
      </c>
      <c r="AK724" s="186">
        <f t="shared" si="454"/>
        <v>0</v>
      </c>
      <c r="AL724" s="186">
        <f t="shared" si="454"/>
        <v>0</v>
      </c>
      <c r="AM724" s="186">
        <f t="shared" si="454"/>
        <v>0</v>
      </c>
      <c r="AN724" s="186">
        <f t="shared" si="454"/>
        <v>0</v>
      </c>
      <c r="AO724" s="186">
        <f t="shared" si="454"/>
        <v>0</v>
      </c>
      <c r="AP724" s="186">
        <f t="shared" si="454"/>
        <v>0</v>
      </c>
    </row>
    <row r="725" spans="1:42">
      <c r="A725" s="37">
        <f t="shared" si="455"/>
        <v>6</v>
      </c>
      <c r="B725" s="255">
        <f t="shared" si="451"/>
        <v>128802.03308689948</v>
      </c>
      <c r="C725" s="186">
        <f t="shared" si="452"/>
        <v>0</v>
      </c>
      <c r="D725" s="186">
        <f t="shared" si="452"/>
        <v>0</v>
      </c>
      <c r="E725" s="186">
        <f t="shared" si="452"/>
        <v>0</v>
      </c>
      <c r="F725" s="186">
        <f t="shared" si="452"/>
        <v>0</v>
      </c>
      <c r="G725" s="186">
        <f t="shared" si="452"/>
        <v>0</v>
      </c>
      <c r="H725" s="186">
        <f t="shared" si="452"/>
        <v>0</v>
      </c>
      <c r="I725" s="186">
        <f t="shared" si="452"/>
        <v>0</v>
      </c>
      <c r="J725" s="186">
        <f t="shared" si="452"/>
        <v>0</v>
      </c>
      <c r="K725" s="186">
        <f t="shared" si="452"/>
        <v>0</v>
      </c>
      <c r="L725" s="186">
        <f t="shared" si="452"/>
        <v>0</v>
      </c>
      <c r="M725" s="186">
        <f t="shared" si="452"/>
        <v>0</v>
      </c>
      <c r="N725" s="186">
        <f t="shared" si="452"/>
        <v>0</v>
      </c>
      <c r="O725" s="186">
        <f t="shared" si="452"/>
        <v>0</v>
      </c>
      <c r="P725" s="186">
        <f t="shared" si="452"/>
        <v>0</v>
      </c>
      <c r="Q725" s="186">
        <f t="shared" si="452"/>
        <v>0</v>
      </c>
      <c r="R725" s="186">
        <f t="shared" si="452"/>
        <v>0</v>
      </c>
      <c r="S725" s="186">
        <f t="shared" si="453"/>
        <v>0</v>
      </c>
      <c r="T725" s="186">
        <f t="shared" si="453"/>
        <v>128802.03308689948</v>
      </c>
      <c r="U725" s="186">
        <f t="shared" si="453"/>
        <v>0</v>
      </c>
      <c r="V725" s="186">
        <f t="shared" si="453"/>
        <v>0</v>
      </c>
      <c r="W725" s="186">
        <f t="shared" si="453"/>
        <v>0</v>
      </c>
      <c r="X725" s="186">
        <f t="shared" si="453"/>
        <v>0</v>
      </c>
      <c r="Y725" s="186">
        <f t="shared" si="453"/>
        <v>0</v>
      </c>
      <c r="Z725" s="186">
        <f t="shared" si="453"/>
        <v>0</v>
      </c>
      <c r="AA725" s="186">
        <f t="shared" si="453"/>
        <v>0</v>
      </c>
      <c r="AB725" s="186">
        <f t="shared" si="453"/>
        <v>0</v>
      </c>
      <c r="AC725" s="186">
        <f t="shared" si="453"/>
        <v>0</v>
      </c>
      <c r="AD725" s="186">
        <f t="shared" si="453"/>
        <v>0</v>
      </c>
      <c r="AE725" s="186">
        <f t="shared" si="453"/>
        <v>0</v>
      </c>
      <c r="AF725" s="186">
        <f t="shared" si="453"/>
        <v>0</v>
      </c>
      <c r="AG725" s="186">
        <f t="shared" si="453"/>
        <v>0</v>
      </c>
      <c r="AH725" s="186">
        <f t="shared" si="453"/>
        <v>0</v>
      </c>
      <c r="AI725" s="186">
        <f t="shared" si="454"/>
        <v>0</v>
      </c>
      <c r="AJ725" s="186">
        <f t="shared" si="454"/>
        <v>0</v>
      </c>
      <c r="AK725" s="186">
        <f t="shared" si="454"/>
        <v>0</v>
      </c>
      <c r="AL725" s="186">
        <f t="shared" si="454"/>
        <v>0</v>
      </c>
      <c r="AM725" s="186">
        <f t="shared" si="454"/>
        <v>0</v>
      </c>
      <c r="AN725" s="186">
        <f t="shared" si="454"/>
        <v>0</v>
      </c>
      <c r="AO725" s="186">
        <f t="shared" si="454"/>
        <v>0</v>
      </c>
      <c r="AP725" s="186">
        <f t="shared" si="454"/>
        <v>0</v>
      </c>
    </row>
    <row r="726" spans="1:42">
      <c r="A726" s="37">
        <f t="shared" si="455"/>
        <v>7</v>
      </c>
      <c r="B726" s="255">
        <f t="shared" si="451"/>
        <v>134685.50065500522</v>
      </c>
      <c r="C726" s="186">
        <f t="shared" si="452"/>
        <v>0</v>
      </c>
      <c r="D726" s="186">
        <f t="shared" si="452"/>
        <v>0</v>
      </c>
      <c r="E726" s="186">
        <f t="shared" si="452"/>
        <v>0</v>
      </c>
      <c r="F726" s="186">
        <f t="shared" si="452"/>
        <v>0</v>
      </c>
      <c r="G726" s="186">
        <f t="shared" si="452"/>
        <v>0</v>
      </c>
      <c r="H726" s="186">
        <f t="shared" si="452"/>
        <v>0</v>
      </c>
      <c r="I726" s="186">
        <f t="shared" si="452"/>
        <v>0</v>
      </c>
      <c r="J726" s="186">
        <f t="shared" si="452"/>
        <v>0</v>
      </c>
      <c r="K726" s="186">
        <f t="shared" si="452"/>
        <v>0</v>
      </c>
      <c r="L726" s="186">
        <f t="shared" si="452"/>
        <v>0</v>
      </c>
      <c r="M726" s="186">
        <f t="shared" si="452"/>
        <v>0</v>
      </c>
      <c r="N726" s="186">
        <f t="shared" si="452"/>
        <v>0</v>
      </c>
      <c r="O726" s="186">
        <f t="shared" si="452"/>
        <v>0</v>
      </c>
      <c r="P726" s="186">
        <f t="shared" si="452"/>
        <v>0</v>
      </c>
      <c r="Q726" s="186">
        <f t="shared" si="452"/>
        <v>0</v>
      </c>
      <c r="R726" s="186">
        <f t="shared" si="452"/>
        <v>0</v>
      </c>
      <c r="S726" s="186">
        <f t="shared" si="453"/>
        <v>0</v>
      </c>
      <c r="T726" s="186">
        <f t="shared" si="453"/>
        <v>0</v>
      </c>
      <c r="U726" s="186">
        <f t="shared" si="453"/>
        <v>0</v>
      </c>
      <c r="V726" s="186">
        <f t="shared" si="453"/>
        <v>0</v>
      </c>
      <c r="W726" s="186">
        <f t="shared" si="453"/>
        <v>134685.50065500522</v>
      </c>
      <c r="X726" s="186">
        <f t="shared" si="453"/>
        <v>0</v>
      </c>
      <c r="Y726" s="186">
        <f t="shared" si="453"/>
        <v>0</v>
      </c>
      <c r="Z726" s="186">
        <f t="shared" si="453"/>
        <v>0</v>
      </c>
      <c r="AA726" s="186">
        <f t="shared" si="453"/>
        <v>0</v>
      </c>
      <c r="AB726" s="186">
        <f t="shared" si="453"/>
        <v>0</v>
      </c>
      <c r="AC726" s="186">
        <f t="shared" si="453"/>
        <v>0</v>
      </c>
      <c r="AD726" s="186">
        <f t="shared" si="453"/>
        <v>0</v>
      </c>
      <c r="AE726" s="186">
        <f t="shared" si="453"/>
        <v>0</v>
      </c>
      <c r="AF726" s="186">
        <f t="shared" si="453"/>
        <v>0</v>
      </c>
      <c r="AG726" s="186">
        <f t="shared" si="453"/>
        <v>0</v>
      </c>
      <c r="AH726" s="186">
        <f t="shared" si="453"/>
        <v>0</v>
      </c>
      <c r="AI726" s="186">
        <f t="shared" si="454"/>
        <v>0</v>
      </c>
      <c r="AJ726" s="186">
        <f t="shared" si="454"/>
        <v>0</v>
      </c>
      <c r="AK726" s="186">
        <f t="shared" si="454"/>
        <v>0</v>
      </c>
      <c r="AL726" s="186">
        <f t="shared" si="454"/>
        <v>0</v>
      </c>
      <c r="AM726" s="186">
        <f t="shared" si="454"/>
        <v>0</v>
      </c>
      <c r="AN726" s="186">
        <f t="shared" si="454"/>
        <v>0</v>
      </c>
      <c r="AO726" s="186">
        <f t="shared" si="454"/>
        <v>0</v>
      </c>
      <c r="AP726" s="186">
        <f t="shared" si="454"/>
        <v>0</v>
      </c>
    </row>
    <row r="727" spans="1:42">
      <c r="A727" s="37">
        <f t="shared" si="455"/>
        <v>8</v>
      </c>
      <c r="B727" s="255">
        <f t="shared" si="451"/>
        <v>140837.71546098724</v>
      </c>
      <c r="C727" s="186">
        <f t="shared" si="452"/>
        <v>0</v>
      </c>
      <c r="D727" s="186">
        <f t="shared" si="452"/>
        <v>0</v>
      </c>
      <c r="E727" s="186">
        <f t="shared" si="452"/>
        <v>0</v>
      </c>
      <c r="F727" s="186">
        <f t="shared" si="452"/>
        <v>0</v>
      </c>
      <c r="G727" s="186">
        <f t="shared" si="452"/>
        <v>0</v>
      </c>
      <c r="H727" s="186">
        <f t="shared" si="452"/>
        <v>0</v>
      </c>
      <c r="I727" s="186">
        <f t="shared" si="452"/>
        <v>0</v>
      </c>
      <c r="J727" s="186">
        <f t="shared" si="452"/>
        <v>0</v>
      </c>
      <c r="K727" s="186">
        <f t="shared" si="452"/>
        <v>0</v>
      </c>
      <c r="L727" s="186">
        <f t="shared" si="452"/>
        <v>0</v>
      </c>
      <c r="M727" s="186">
        <f t="shared" si="452"/>
        <v>0</v>
      </c>
      <c r="N727" s="186">
        <f t="shared" si="452"/>
        <v>0</v>
      </c>
      <c r="O727" s="186">
        <f t="shared" si="452"/>
        <v>0</v>
      </c>
      <c r="P727" s="186">
        <f t="shared" si="452"/>
        <v>0</v>
      </c>
      <c r="Q727" s="186">
        <f t="shared" si="452"/>
        <v>0</v>
      </c>
      <c r="R727" s="186">
        <f t="shared" si="452"/>
        <v>0</v>
      </c>
      <c r="S727" s="186">
        <f t="shared" si="453"/>
        <v>0</v>
      </c>
      <c r="T727" s="186">
        <f t="shared" si="453"/>
        <v>0</v>
      </c>
      <c r="U727" s="186">
        <f t="shared" si="453"/>
        <v>0</v>
      </c>
      <c r="V727" s="186">
        <f t="shared" si="453"/>
        <v>0</v>
      </c>
      <c r="W727" s="186">
        <f t="shared" si="453"/>
        <v>0</v>
      </c>
      <c r="X727" s="186">
        <f t="shared" si="453"/>
        <v>0</v>
      </c>
      <c r="Y727" s="186">
        <f t="shared" si="453"/>
        <v>0</v>
      </c>
      <c r="Z727" s="186">
        <f t="shared" si="453"/>
        <v>140837.71546098724</v>
      </c>
      <c r="AA727" s="186">
        <f t="shared" si="453"/>
        <v>0</v>
      </c>
      <c r="AB727" s="186">
        <f t="shared" si="453"/>
        <v>0</v>
      </c>
      <c r="AC727" s="186">
        <f t="shared" si="453"/>
        <v>0</v>
      </c>
      <c r="AD727" s="186">
        <f t="shared" si="453"/>
        <v>0</v>
      </c>
      <c r="AE727" s="186">
        <f t="shared" si="453"/>
        <v>0</v>
      </c>
      <c r="AF727" s="186">
        <f t="shared" si="453"/>
        <v>0</v>
      </c>
      <c r="AG727" s="186">
        <f t="shared" si="453"/>
        <v>0</v>
      </c>
      <c r="AH727" s="186">
        <f t="shared" si="453"/>
        <v>0</v>
      </c>
      <c r="AI727" s="186">
        <f t="shared" si="454"/>
        <v>0</v>
      </c>
      <c r="AJ727" s="186">
        <f t="shared" si="454"/>
        <v>0</v>
      </c>
      <c r="AK727" s="186">
        <f t="shared" si="454"/>
        <v>0</v>
      </c>
      <c r="AL727" s="186">
        <f t="shared" si="454"/>
        <v>0</v>
      </c>
      <c r="AM727" s="186">
        <f t="shared" si="454"/>
        <v>0</v>
      </c>
      <c r="AN727" s="186">
        <f t="shared" si="454"/>
        <v>0</v>
      </c>
      <c r="AO727" s="186">
        <f t="shared" si="454"/>
        <v>0</v>
      </c>
      <c r="AP727" s="186">
        <f t="shared" si="454"/>
        <v>0</v>
      </c>
    </row>
    <row r="728" spans="1:42">
      <c r="A728" s="37">
        <f>A727+1</f>
        <v>9</v>
      </c>
      <c r="B728" s="255">
        <f t="shared" si="451"/>
        <v>147270.95344195748</v>
      </c>
      <c r="C728" s="186">
        <f t="shared" si="452"/>
        <v>0</v>
      </c>
      <c r="D728" s="186">
        <f t="shared" si="452"/>
        <v>0</v>
      </c>
      <c r="E728" s="186">
        <f t="shared" si="452"/>
        <v>0</v>
      </c>
      <c r="F728" s="186">
        <f t="shared" si="452"/>
        <v>0</v>
      </c>
      <c r="G728" s="186">
        <f t="shared" si="452"/>
        <v>0</v>
      </c>
      <c r="H728" s="186">
        <f t="shared" si="452"/>
        <v>0</v>
      </c>
      <c r="I728" s="186">
        <f t="shared" si="452"/>
        <v>0</v>
      </c>
      <c r="J728" s="186">
        <f t="shared" si="452"/>
        <v>0</v>
      </c>
      <c r="K728" s="186">
        <f t="shared" si="452"/>
        <v>0</v>
      </c>
      <c r="L728" s="186">
        <f t="shared" si="452"/>
        <v>0</v>
      </c>
      <c r="M728" s="186">
        <f t="shared" si="452"/>
        <v>0</v>
      </c>
      <c r="N728" s="186">
        <f t="shared" si="452"/>
        <v>0</v>
      </c>
      <c r="O728" s="186">
        <f t="shared" si="452"/>
        <v>0</v>
      </c>
      <c r="P728" s="186">
        <f t="shared" si="452"/>
        <v>0</v>
      </c>
      <c r="Q728" s="186">
        <f t="shared" si="452"/>
        <v>0</v>
      </c>
      <c r="R728" s="186">
        <f t="shared" si="452"/>
        <v>0</v>
      </c>
      <c r="S728" s="186">
        <f t="shared" si="453"/>
        <v>0</v>
      </c>
      <c r="T728" s="186">
        <f t="shared" si="453"/>
        <v>0</v>
      </c>
      <c r="U728" s="186">
        <f t="shared" si="453"/>
        <v>0</v>
      </c>
      <c r="V728" s="186">
        <f t="shared" si="453"/>
        <v>0</v>
      </c>
      <c r="W728" s="186">
        <f t="shared" si="453"/>
        <v>0</v>
      </c>
      <c r="X728" s="186">
        <f t="shared" si="453"/>
        <v>0</v>
      </c>
      <c r="Y728" s="186">
        <f t="shared" si="453"/>
        <v>0</v>
      </c>
      <c r="Z728" s="186">
        <f t="shared" si="453"/>
        <v>0</v>
      </c>
      <c r="AA728" s="186">
        <f t="shared" si="453"/>
        <v>0</v>
      </c>
      <c r="AB728" s="186">
        <f t="shared" si="453"/>
        <v>0</v>
      </c>
      <c r="AC728" s="186">
        <f t="shared" si="453"/>
        <v>147270.95344195748</v>
      </c>
      <c r="AD728" s="186">
        <f t="shared" si="453"/>
        <v>0</v>
      </c>
      <c r="AE728" s="186">
        <f t="shared" si="453"/>
        <v>0</v>
      </c>
      <c r="AF728" s="186">
        <f t="shared" si="453"/>
        <v>0</v>
      </c>
      <c r="AG728" s="186">
        <f t="shared" si="453"/>
        <v>0</v>
      </c>
      <c r="AH728" s="186">
        <f t="shared" si="453"/>
        <v>0</v>
      </c>
      <c r="AI728" s="186">
        <f t="shared" si="454"/>
        <v>0</v>
      </c>
      <c r="AJ728" s="186">
        <f t="shared" si="454"/>
        <v>0</v>
      </c>
      <c r="AK728" s="186">
        <f t="shared" si="454"/>
        <v>0</v>
      </c>
      <c r="AL728" s="186">
        <f t="shared" si="454"/>
        <v>0</v>
      </c>
      <c r="AM728" s="186">
        <f t="shared" si="454"/>
        <v>0</v>
      </c>
      <c r="AN728" s="186">
        <f t="shared" si="454"/>
        <v>0</v>
      </c>
      <c r="AO728" s="186">
        <f t="shared" si="454"/>
        <v>0</v>
      </c>
      <c r="AP728" s="186">
        <f t="shared" si="454"/>
        <v>0</v>
      </c>
    </row>
    <row r="729" spans="1:42">
      <c r="A729" s="37">
        <f t="shared" si="455"/>
        <v>10</v>
      </c>
      <c r="B729" s="255">
        <f t="shared" si="451"/>
        <v>153998.05127988668</v>
      </c>
      <c r="C729" s="187">
        <f t="shared" si="452"/>
        <v>0</v>
      </c>
      <c r="D729" s="187">
        <f t="shared" si="452"/>
        <v>0</v>
      </c>
      <c r="E729" s="187">
        <f t="shared" si="452"/>
        <v>0</v>
      </c>
      <c r="F729" s="187">
        <f t="shared" si="452"/>
        <v>0</v>
      </c>
      <c r="G729" s="187">
        <f t="shared" si="452"/>
        <v>0</v>
      </c>
      <c r="H729" s="187">
        <f t="shared" si="452"/>
        <v>0</v>
      </c>
      <c r="I729" s="187">
        <f t="shared" si="452"/>
        <v>0</v>
      </c>
      <c r="J729" s="187">
        <f t="shared" si="452"/>
        <v>0</v>
      </c>
      <c r="K729" s="187">
        <f t="shared" si="452"/>
        <v>0</v>
      </c>
      <c r="L729" s="187">
        <f t="shared" si="452"/>
        <v>0</v>
      </c>
      <c r="M729" s="187">
        <f t="shared" si="452"/>
        <v>0</v>
      </c>
      <c r="N729" s="187">
        <f t="shared" si="452"/>
        <v>0</v>
      </c>
      <c r="O729" s="187">
        <f t="shared" si="452"/>
        <v>0</v>
      </c>
      <c r="P729" s="187">
        <f t="shared" si="452"/>
        <v>0</v>
      </c>
      <c r="Q729" s="187">
        <f t="shared" si="452"/>
        <v>0</v>
      </c>
      <c r="R729" s="187">
        <f t="shared" si="452"/>
        <v>0</v>
      </c>
      <c r="S729" s="187">
        <f t="shared" si="453"/>
        <v>0</v>
      </c>
      <c r="T729" s="187">
        <f t="shared" si="453"/>
        <v>0</v>
      </c>
      <c r="U729" s="187">
        <f t="shared" si="453"/>
        <v>0</v>
      </c>
      <c r="V729" s="187">
        <f t="shared" si="453"/>
        <v>0</v>
      </c>
      <c r="W729" s="187">
        <f t="shared" si="453"/>
        <v>0</v>
      </c>
      <c r="X729" s="187">
        <f t="shared" si="453"/>
        <v>0</v>
      </c>
      <c r="Y729" s="187">
        <f t="shared" si="453"/>
        <v>0</v>
      </c>
      <c r="Z729" s="187">
        <f t="shared" si="453"/>
        <v>0</v>
      </c>
      <c r="AA729" s="187">
        <f t="shared" si="453"/>
        <v>0</v>
      </c>
      <c r="AB729" s="187">
        <f t="shared" si="453"/>
        <v>0</v>
      </c>
      <c r="AC729" s="187">
        <f t="shared" si="453"/>
        <v>0</v>
      </c>
      <c r="AD729" s="187">
        <f t="shared" si="453"/>
        <v>0</v>
      </c>
      <c r="AE729" s="187">
        <f t="shared" si="453"/>
        <v>0</v>
      </c>
      <c r="AF729" s="187">
        <f t="shared" si="453"/>
        <v>153998.05127988668</v>
      </c>
      <c r="AG729" s="187">
        <f t="shared" si="453"/>
        <v>0</v>
      </c>
      <c r="AH729" s="187">
        <f t="shared" si="453"/>
        <v>0</v>
      </c>
      <c r="AI729" s="187">
        <f t="shared" si="454"/>
        <v>0</v>
      </c>
      <c r="AJ729" s="187">
        <f t="shared" si="454"/>
        <v>0</v>
      </c>
      <c r="AK729" s="187">
        <f t="shared" si="454"/>
        <v>0</v>
      </c>
      <c r="AL729" s="187">
        <f t="shared" si="454"/>
        <v>0</v>
      </c>
      <c r="AM729" s="187">
        <f t="shared" si="454"/>
        <v>0</v>
      </c>
      <c r="AN729" s="187">
        <f t="shared" si="454"/>
        <v>0</v>
      </c>
      <c r="AO729" s="187">
        <f t="shared" si="454"/>
        <v>0</v>
      </c>
      <c r="AP729" s="187">
        <f t="shared" si="454"/>
        <v>0</v>
      </c>
    </row>
    <row r="730" spans="1:42">
      <c r="A730" s="219" t="s">
        <v>53</v>
      </c>
      <c r="B730" s="186"/>
      <c r="C730" s="152">
        <f>SUM(C720:C729)</f>
        <v>0</v>
      </c>
      <c r="D730" s="152">
        <f t="shared" ref="D730:AP730" si="456">SUM(D720:D729)</f>
        <v>0</v>
      </c>
      <c r="E730" s="152">
        <f t="shared" si="456"/>
        <v>103022.49999999997</v>
      </c>
      <c r="F730" s="152">
        <f t="shared" si="456"/>
        <v>0</v>
      </c>
      <c r="G730" s="152">
        <f t="shared" si="456"/>
        <v>0</v>
      </c>
      <c r="H730" s="152">
        <f t="shared" si="456"/>
        <v>107728.40038843743</v>
      </c>
      <c r="I730" s="152">
        <f t="shared" si="456"/>
        <v>0</v>
      </c>
      <c r="J730" s="152">
        <f t="shared" si="456"/>
        <v>0</v>
      </c>
      <c r="K730" s="152">
        <f t="shared" si="456"/>
        <v>112649.25865953058</v>
      </c>
      <c r="L730" s="152">
        <f t="shared" si="456"/>
        <v>0</v>
      </c>
      <c r="M730" s="152">
        <f t="shared" si="456"/>
        <v>0</v>
      </c>
      <c r="N730" s="152">
        <f t="shared" si="456"/>
        <v>117794.89374005256</v>
      </c>
      <c r="O730" s="152">
        <f t="shared" si="456"/>
        <v>0</v>
      </c>
      <c r="P730" s="152">
        <f t="shared" si="456"/>
        <v>0</v>
      </c>
      <c r="Q730" s="152">
        <f t="shared" si="456"/>
        <v>123175.57306939577</v>
      </c>
      <c r="R730" s="152">
        <f t="shared" si="456"/>
        <v>0</v>
      </c>
      <c r="S730" s="152">
        <f t="shared" si="456"/>
        <v>0</v>
      </c>
      <c r="T730" s="152">
        <f t="shared" si="456"/>
        <v>128802.03308689948</v>
      </c>
      <c r="U730" s="152">
        <f t="shared" si="456"/>
        <v>0</v>
      </c>
      <c r="V730" s="152">
        <f t="shared" si="456"/>
        <v>0</v>
      </c>
      <c r="W730" s="152">
        <f t="shared" si="456"/>
        <v>134685.50065500522</v>
      </c>
      <c r="X730" s="152">
        <f t="shared" si="456"/>
        <v>0</v>
      </c>
      <c r="Y730" s="152">
        <f t="shared" si="456"/>
        <v>0</v>
      </c>
      <c r="Z730" s="152">
        <f t="shared" si="456"/>
        <v>140837.71546098724</v>
      </c>
      <c r="AA730" s="152">
        <f t="shared" si="456"/>
        <v>0</v>
      </c>
      <c r="AB730" s="152">
        <f t="shared" si="456"/>
        <v>0</v>
      </c>
      <c r="AC730" s="152">
        <f t="shared" si="456"/>
        <v>147270.95344195748</v>
      </c>
      <c r="AD730" s="152">
        <f t="shared" si="456"/>
        <v>0</v>
      </c>
      <c r="AE730" s="152">
        <f t="shared" si="456"/>
        <v>0</v>
      </c>
      <c r="AF730" s="152">
        <f t="shared" si="456"/>
        <v>153998.05127988668</v>
      </c>
      <c r="AG730" s="152">
        <f t="shared" si="456"/>
        <v>0</v>
      </c>
      <c r="AH730" s="152">
        <f t="shared" si="456"/>
        <v>0</v>
      </c>
      <c r="AI730" s="152">
        <f t="shared" si="456"/>
        <v>0</v>
      </c>
      <c r="AJ730" s="152">
        <f t="shared" si="456"/>
        <v>0</v>
      </c>
      <c r="AK730" s="152">
        <f t="shared" si="456"/>
        <v>0</v>
      </c>
      <c r="AL730" s="152">
        <f t="shared" si="456"/>
        <v>0</v>
      </c>
      <c r="AM730" s="152">
        <f t="shared" si="456"/>
        <v>0</v>
      </c>
      <c r="AN730" s="152">
        <f t="shared" si="456"/>
        <v>0</v>
      </c>
      <c r="AO730" s="152">
        <f t="shared" si="456"/>
        <v>0</v>
      </c>
      <c r="AP730" s="152">
        <f t="shared" si="456"/>
        <v>0</v>
      </c>
    </row>
    <row r="731" spans="1:42">
      <c r="A731" s="37" t="s">
        <v>199</v>
      </c>
      <c r="B731" s="152"/>
      <c r="C731" s="152"/>
      <c r="D731" s="152"/>
      <c r="E731" s="152"/>
      <c r="F731" s="152"/>
      <c r="G731" s="186"/>
      <c r="H731" s="186"/>
      <c r="I731" s="186"/>
      <c r="J731" s="186"/>
      <c r="K731" s="186"/>
      <c r="L731" s="186"/>
      <c r="M731" s="186"/>
      <c r="N731" s="186"/>
      <c r="O731" s="186"/>
      <c r="P731" s="186"/>
      <c r="Q731" s="186"/>
      <c r="R731" s="186"/>
      <c r="S731" s="186"/>
      <c r="T731" s="186"/>
      <c r="U731" s="186"/>
      <c r="V731" s="186"/>
      <c r="W731" s="186"/>
      <c r="X731" s="186"/>
      <c r="Y731" s="186"/>
      <c r="Z731" s="186"/>
      <c r="AA731" s="186"/>
      <c r="AB731" s="186"/>
      <c r="AC731" s="186"/>
      <c r="AD731" s="186"/>
      <c r="AE731" s="186"/>
      <c r="AF731" s="186"/>
      <c r="AG731" s="186"/>
      <c r="AH731" s="186"/>
      <c r="AI731" s="186"/>
      <c r="AJ731" s="186"/>
      <c r="AK731" s="186"/>
      <c r="AL731" s="186"/>
      <c r="AM731" s="186"/>
      <c r="AN731" s="186"/>
      <c r="AO731" s="186"/>
      <c r="AP731" s="186"/>
    </row>
    <row r="732" spans="1:42">
      <c r="A732" s="37">
        <v>1</v>
      </c>
      <c r="B732" s="255">
        <f t="shared" ref="B732:B741" si="457">SUM(C732:AP732)</f>
        <v>103022.49999999997</v>
      </c>
      <c r="C732" s="186">
        <f t="shared" ref="C732:AP732" si="458">IF(C$2&lt;=MMFrequency3*$A$720,$B$720/(MMFrequency3),0)</f>
        <v>34340.833333333321</v>
      </c>
      <c r="D732" s="186">
        <f t="shared" si="458"/>
        <v>34340.833333333321</v>
      </c>
      <c r="E732" s="186">
        <f t="shared" si="458"/>
        <v>34340.833333333321</v>
      </c>
      <c r="F732" s="186">
        <f t="shared" si="458"/>
        <v>0</v>
      </c>
      <c r="G732" s="186">
        <f t="shared" si="458"/>
        <v>0</v>
      </c>
      <c r="H732" s="186">
        <f t="shared" si="458"/>
        <v>0</v>
      </c>
      <c r="I732" s="186">
        <f t="shared" si="458"/>
        <v>0</v>
      </c>
      <c r="J732" s="186">
        <f t="shared" si="458"/>
        <v>0</v>
      </c>
      <c r="K732" s="186">
        <f t="shared" si="458"/>
        <v>0</v>
      </c>
      <c r="L732" s="186">
        <f t="shared" si="458"/>
        <v>0</v>
      </c>
      <c r="M732" s="186">
        <f t="shared" si="458"/>
        <v>0</v>
      </c>
      <c r="N732" s="186">
        <f t="shared" si="458"/>
        <v>0</v>
      </c>
      <c r="O732" s="186">
        <f t="shared" si="458"/>
        <v>0</v>
      </c>
      <c r="P732" s="186">
        <f t="shared" si="458"/>
        <v>0</v>
      </c>
      <c r="Q732" s="186">
        <f t="shared" si="458"/>
        <v>0</v>
      </c>
      <c r="R732" s="186">
        <f t="shared" si="458"/>
        <v>0</v>
      </c>
      <c r="S732" s="186">
        <f t="shared" si="458"/>
        <v>0</v>
      </c>
      <c r="T732" s="186">
        <f t="shared" si="458"/>
        <v>0</v>
      </c>
      <c r="U732" s="186">
        <f t="shared" si="458"/>
        <v>0</v>
      </c>
      <c r="V732" s="186">
        <f t="shared" si="458"/>
        <v>0</v>
      </c>
      <c r="W732" s="186">
        <f t="shared" si="458"/>
        <v>0</v>
      </c>
      <c r="X732" s="186">
        <f t="shared" si="458"/>
        <v>0</v>
      </c>
      <c r="Y732" s="186">
        <f t="shared" si="458"/>
        <v>0</v>
      </c>
      <c r="Z732" s="186">
        <f t="shared" si="458"/>
        <v>0</v>
      </c>
      <c r="AA732" s="186">
        <f t="shared" si="458"/>
        <v>0</v>
      </c>
      <c r="AB732" s="186">
        <f t="shared" si="458"/>
        <v>0</v>
      </c>
      <c r="AC732" s="186">
        <f t="shared" si="458"/>
        <v>0</v>
      </c>
      <c r="AD732" s="186">
        <f t="shared" si="458"/>
        <v>0</v>
      </c>
      <c r="AE732" s="186">
        <f t="shared" si="458"/>
        <v>0</v>
      </c>
      <c r="AF732" s="186">
        <f t="shared" si="458"/>
        <v>0</v>
      </c>
      <c r="AG732" s="186">
        <f t="shared" si="458"/>
        <v>0</v>
      </c>
      <c r="AH732" s="186">
        <f t="shared" si="458"/>
        <v>0</v>
      </c>
      <c r="AI732" s="186">
        <f t="shared" si="458"/>
        <v>0</v>
      </c>
      <c r="AJ732" s="186">
        <f t="shared" si="458"/>
        <v>0</v>
      </c>
      <c r="AK732" s="186">
        <f t="shared" si="458"/>
        <v>0</v>
      </c>
      <c r="AL732" s="186">
        <f t="shared" si="458"/>
        <v>0</v>
      </c>
      <c r="AM732" s="186">
        <f t="shared" si="458"/>
        <v>0</v>
      </c>
      <c r="AN732" s="186">
        <f t="shared" si="458"/>
        <v>0</v>
      </c>
      <c r="AO732" s="186">
        <f t="shared" si="458"/>
        <v>0</v>
      </c>
      <c r="AP732" s="186">
        <f t="shared" si="458"/>
        <v>0</v>
      </c>
    </row>
    <row r="733" spans="1:42">
      <c r="A733" s="37">
        <f>A732+1</f>
        <v>2</v>
      </c>
      <c r="B733" s="255">
        <f t="shared" si="457"/>
        <v>107728.40038843744</v>
      </c>
      <c r="C733" s="186">
        <f t="shared" ref="C733:AP739" si="459">IF(AND(C$2&gt;MMFrequency3*$A720,C$2&lt;=MMFrequency3*$A721),$B721/(MMFrequency3),0)</f>
        <v>0</v>
      </c>
      <c r="D733" s="186">
        <f t="shared" si="459"/>
        <v>0</v>
      </c>
      <c r="E733" s="186">
        <f t="shared" si="459"/>
        <v>0</v>
      </c>
      <c r="F733" s="186">
        <f t="shared" si="459"/>
        <v>35909.466796145811</v>
      </c>
      <c r="G733" s="186">
        <f t="shared" si="459"/>
        <v>35909.466796145811</v>
      </c>
      <c r="H733" s="186">
        <f t="shared" si="459"/>
        <v>35909.466796145811</v>
      </c>
      <c r="I733" s="186">
        <f t="shared" si="459"/>
        <v>0</v>
      </c>
      <c r="J733" s="186">
        <f t="shared" si="459"/>
        <v>0</v>
      </c>
      <c r="K733" s="186">
        <f t="shared" si="459"/>
        <v>0</v>
      </c>
      <c r="L733" s="186">
        <f t="shared" si="459"/>
        <v>0</v>
      </c>
      <c r="M733" s="186">
        <f t="shared" si="459"/>
        <v>0</v>
      </c>
      <c r="N733" s="186">
        <f t="shared" si="459"/>
        <v>0</v>
      </c>
      <c r="O733" s="186">
        <f t="shared" si="459"/>
        <v>0</v>
      </c>
      <c r="P733" s="186">
        <f t="shared" si="459"/>
        <v>0</v>
      </c>
      <c r="Q733" s="186">
        <f t="shared" si="459"/>
        <v>0</v>
      </c>
      <c r="R733" s="186">
        <f t="shared" si="459"/>
        <v>0</v>
      </c>
      <c r="S733" s="186">
        <f t="shared" si="459"/>
        <v>0</v>
      </c>
      <c r="T733" s="186">
        <f t="shared" si="459"/>
        <v>0</v>
      </c>
      <c r="U733" s="186">
        <f t="shared" si="459"/>
        <v>0</v>
      </c>
      <c r="V733" s="186">
        <f t="shared" si="459"/>
        <v>0</v>
      </c>
      <c r="W733" s="186">
        <f t="shared" si="459"/>
        <v>0</v>
      </c>
      <c r="X733" s="186">
        <f t="shared" si="459"/>
        <v>0</v>
      </c>
      <c r="Y733" s="186">
        <f t="shared" si="459"/>
        <v>0</v>
      </c>
      <c r="Z733" s="186">
        <f t="shared" si="459"/>
        <v>0</v>
      </c>
      <c r="AA733" s="186">
        <f t="shared" si="459"/>
        <v>0</v>
      </c>
      <c r="AB733" s="186">
        <f t="shared" si="459"/>
        <v>0</v>
      </c>
      <c r="AC733" s="186">
        <f t="shared" si="459"/>
        <v>0</v>
      </c>
      <c r="AD733" s="186">
        <f t="shared" si="459"/>
        <v>0</v>
      </c>
      <c r="AE733" s="186">
        <f t="shared" si="459"/>
        <v>0</v>
      </c>
      <c r="AF733" s="186">
        <f t="shared" si="459"/>
        <v>0</v>
      </c>
      <c r="AG733" s="186">
        <f t="shared" si="459"/>
        <v>0</v>
      </c>
      <c r="AH733" s="186">
        <f t="shared" si="459"/>
        <v>0</v>
      </c>
      <c r="AI733" s="186">
        <f t="shared" si="459"/>
        <v>0</v>
      </c>
      <c r="AJ733" s="186">
        <f t="shared" si="459"/>
        <v>0</v>
      </c>
      <c r="AK733" s="186">
        <f t="shared" si="459"/>
        <v>0</v>
      </c>
      <c r="AL733" s="186">
        <f t="shared" si="459"/>
        <v>0</v>
      </c>
      <c r="AM733" s="186">
        <f t="shared" si="459"/>
        <v>0</v>
      </c>
      <c r="AN733" s="186">
        <f t="shared" si="459"/>
        <v>0</v>
      </c>
      <c r="AO733" s="186">
        <f t="shared" si="459"/>
        <v>0</v>
      </c>
      <c r="AP733" s="186">
        <f t="shared" si="459"/>
        <v>0</v>
      </c>
    </row>
    <row r="734" spans="1:42">
      <c r="A734" s="37">
        <f t="shared" ref="A734:A739" si="460">A733+1</f>
        <v>3</v>
      </c>
      <c r="B734" s="255">
        <f t="shared" si="457"/>
        <v>112649.25865953058</v>
      </c>
      <c r="C734" s="186">
        <f t="shared" si="459"/>
        <v>0</v>
      </c>
      <c r="D734" s="186">
        <f t="shared" si="459"/>
        <v>0</v>
      </c>
      <c r="E734" s="186">
        <f t="shared" si="459"/>
        <v>0</v>
      </c>
      <c r="F734" s="186">
        <f t="shared" si="459"/>
        <v>0</v>
      </c>
      <c r="G734" s="186">
        <f t="shared" si="459"/>
        <v>0</v>
      </c>
      <c r="H734" s="186">
        <f t="shared" si="459"/>
        <v>0</v>
      </c>
      <c r="I734" s="186">
        <f t="shared" si="459"/>
        <v>37549.752886510192</v>
      </c>
      <c r="J734" s="186">
        <f t="shared" si="459"/>
        <v>37549.752886510192</v>
      </c>
      <c r="K734" s="186">
        <f t="shared" si="459"/>
        <v>37549.752886510192</v>
      </c>
      <c r="L734" s="186">
        <f t="shared" si="459"/>
        <v>0</v>
      </c>
      <c r="M734" s="186">
        <f t="shared" si="459"/>
        <v>0</v>
      </c>
      <c r="N734" s="186">
        <f t="shared" si="459"/>
        <v>0</v>
      </c>
      <c r="O734" s="186">
        <f t="shared" si="459"/>
        <v>0</v>
      </c>
      <c r="P734" s="186">
        <f t="shared" si="459"/>
        <v>0</v>
      </c>
      <c r="Q734" s="186">
        <f t="shared" si="459"/>
        <v>0</v>
      </c>
      <c r="R734" s="186">
        <f t="shared" si="459"/>
        <v>0</v>
      </c>
      <c r="S734" s="186">
        <f t="shared" si="459"/>
        <v>0</v>
      </c>
      <c r="T734" s="186">
        <f t="shared" si="459"/>
        <v>0</v>
      </c>
      <c r="U734" s="186">
        <f t="shared" si="459"/>
        <v>0</v>
      </c>
      <c r="V734" s="186">
        <f t="shared" si="459"/>
        <v>0</v>
      </c>
      <c r="W734" s="186">
        <f t="shared" si="459"/>
        <v>0</v>
      </c>
      <c r="X734" s="186">
        <f t="shared" si="459"/>
        <v>0</v>
      </c>
      <c r="Y734" s="186">
        <f t="shared" si="459"/>
        <v>0</v>
      </c>
      <c r="Z734" s="186">
        <f t="shared" si="459"/>
        <v>0</v>
      </c>
      <c r="AA734" s="186">
        <f t="shared" si="459"/>
        <v>0</v>
      </c>
      <c r="AB734" s="186">
        <f t="shared" si="459"/>
        <v>0</v>
      </c>
      <c r="AC734" s="186">
        <f t="shared" si="459"/>
        <v>0</v>
      </c>
      <c r="AD734" s="186">
        <f t="shared" si="459"/>
        <v>0</v>
      </c>
      <c r="AE734" s="186">
        <f t="shared" si="459"/>
        <v>0</v>
      </c>
      <c r="AF734" s="186">
        <f t="shared" si="459"/>
        <v>0</v>
      </c>
      <c r="AG734" s="186">
        <f t="shared" si="459"/>
        <v>0</v>
      </c>
      <c r="AH734" s="186">
        <f t="shared" si="459"/>
        <v>0</v>
      </c>
      <c r="AI734" s="186">
        <f t="shared" si="459"/>
        <v>0</v>
      </c>
      <c r="AJ734" s="186">
        <f t="shared" si="459"/>
        <v>0</v>
      </c>
      <c r="AK734" s="186">
        <f t="shared" si="459"/>
        <v>0</v>
      </c>
      <c r="AL734" s="186">
        <f t="shared" si="459"/>
        <v>0</v>
      </c>
      <c r="AM734" s="186">
        <f t="shared" si="459"/>
        <v>0</v>
      </c>
      <c r="AN734" s="186">
        <f t="shared" si="459"/>
        <v>0</v>
      </c>
      <c r="AO734" s="186">
        <f t="shared" si="459"/>
        <v>0</v>
      </c>
      <c r="AP734" s="186">
        <f t="shared" si="459"/>
        <v>0</v>
      </c>
    </row>
    <row r="735" spans="1:42">
      <c r="A735" s="37">
        <f t="shared" si="460"/>
        <v>4</v>
      </c>
      <c r="B735" s="255">
        <f t="shared" si="457"/>
        <v>117794.89374005256</v>
      </c>
      <c r="C735" s="186">
        <f t="shared" si="459"/>
        <v>0</v>
      </c>
      <c r="D735" s="186">
        <f t="shared" si="459"/>
        <v>0</v>
      </c>
      <c r="E735" s="186">
        <f t="shared" si="459"/>
        <v>0</v>
      </c>
      <c r="F735" s="186">
        <f t="shared" si="459"/>
        <v>0</v>
      </c>
      <c r="G735" s="186">
        <f t="shared" si="459"/>
        <v>0</v>
      </c>
      <c r="H735" s="186">
        <f t="shared" si="459"/>
        <v>0</v>
      </c>
      <c r="I735" s="186">
        <f t="shared" si="459"/>
        <v>0</v>
      </c>
      <c r="J735" s="186">
        <f t="shared" si="459"/>
        <v>0</v>
      </c>
      <c r="K735" s="186">
        <f t="shared" si="459"/>
        <v>0</v>
      </c>
      <c r="L735" s="186">
        <f t="shared" si="459"/>
        <v>39264.96458001752</v>
      </c>
      <c r="M735" s="186">
        <f t="shared" si="459"/>
        <v>39264.96458001752</v>
      </c>
      <c r="N735" s="186">
        <f t="shared" si="459"/>
        <v>39264.96458001752</v>
      </c>
      <c r="O735" s="186">
        <f t="shared" si="459"/>
        <v>0</v>
      </c>
      <c r="P735" s="186">
        <f t="shared" si="459"/>
        <v>0</v>
      </c>
      <c r="Q735" s="186">
        <f t="shared" si="459"/>
        <v>0</v>
      </c>
      <c r="R735" s="186">
        <f t="shared" si="459"/>
        <v>0</v>
      </c>
      <c r="S735" s="186">
        <f t="shared" si="459"/>
        <v>0</v>
      </c>
      <c r="T735" s="186">
        <f t="shared" si="459"/>
        <v>0</v>
      </c>
      <c r="U735" s="186">
        <f t="shared" si="459"/>
        <v>0</v>
      </c>
      <c r="V735" s="186">
        <f t="shared" si="459"/>
        <v>0</v>
      </c>
      <c r="W735" s="186">
        <f t="shared" si="459"/>
        <v>0</v>
      </c>
      <c r="X735" s="186">
        <f t="shared" si="459"/>
        <v>0</v>
      </c>
      <c r="Y735" s="186">
        <f t="shared" si="459"/>
        <v>0</v>
      </c>
      <c r="Z735" s="186">
        <f t="shared" si="459"/>
        <v>0</v>
      </c>
      <c r="AA735" s="186">
        <f t="shared" si="459"/>
        <v>0</v>
      </c>
      <c r="AB735" s="186">
        <f t="shared" si="459"/>
        <v>0</v>
      </c>
      <c r="AC735" s="186">
        <f t="shared" si="459"/>
        <v>0</v>
      </c>
      <c r="AD735" s="186">
        <f t="shared" si="459"/>
        <v>0</v>
      </c>
      <c r="AE735" s="186">
        <f t="shared" si="459"/>
        <v>0</v>
      </c>
      <c r="AF735" s="186">
        <f t="shared" si="459"/>
        <v>0</v>
      </c>
      <c r="AG735" s="186">
        <f t="shared" si="459"/>
        <v>0</v>
      </c>
      <c r="AH735" s="186">
        <f t="shared" si="459"/>
        <v>0</v>
      </c>
      <c r="AI735" s="186">
        <f t="shared" si="459"/>
        <v>0</v>
      </c>
      <c r="AJ735" s="186">
        <f t="shared" si="459"/>
        <v>0</v>
      </c>
      <c r="AK735" s="186">
        <f t="shared" si="459"/>
        <v>0</v>
      </c>
      <c r="AL735" s="186">
        <f t="shared" si="459"/>
        <v>0</v>
      </c>
      <c r="AM735" s="186">
        <f t="shared" si="459"/>
        <v>0</v>
      </c>
      <c r="AN735" s="186">
        <f t="shared" si="459"/>
        <v>0</v>
      </c>
      <c r="AO735" s="186">
        <f t="shared" si="459"/>
        <v>0</v>
      </c>
      <c r="AP735" s="186">
        <f t="shared" si="459"/>
        <v>0</v>
      </c>
    </row>
    <row r="736" spans="1:42">
      <c r="A736" s="37">
        <f t="shared" si="460"/>
        <v>5</v>
      </c>
      <c r="B736" s="255">
        <f t="shared" si="457"/>
        <v>123175.57306939576</v>
      </c>
      <c r="C736" s="186">
        <f t="shared" si="459"/>
        <v>0</v>
      </c>
      <c r="D736" s="186">
        <f t="shared" si="459"/>
        <v>0</v>
      </c>
      <c r="E736" s="186">
        <f t="shared" si="459"/>
        <v>0</v>
      </c>
      <c r="F736" s="186">
        <f t="shared" si="459"/>
        <v>0</v>
      </c>
      <c r="G736" s="186">
        <f t="shared" si="459"/>
        <v>0</v>
      </c>
      <c r="H736" s="186">
        <f t="shared" si="459"/>
        <v>0</v>
      </c>
      <c r="I736" s="186">
        <f t="shared" si="459"/>
        <v>0</v>
      </c>
      <c r="J736" s="186">
        <f t="shared" si="459"/>
        <v>0</v>
      </c>
      <c r="K736" s="186">
        <f t="shared" si="459"/>
        <v>0</v>
      </c>
      <c r="L736" s="186">
        <f t="shared" si="459"/>
        <v>0</v>
      </c>
      <c r="M736" s="186">
        <f t="shared" si="459"/>
        <v>0</v>
      </c>
      <c r="N736" s="186">
        <f t="shared" si="459"/>
        <v>0</v>
      </c>
      <c r="O736" s="186">
        <f t="shared" si="459"/>
        <v>41058.524356465256</v>
      </c>
      <c r="P736" s="186">
        <f t="shared" si="459"/>
        <v>41058.524356465256</v>
      </c>
      <c r="Q736" s="186">
        <f t="shared" si="459"/>
        <v>41058.524356465256</v>
      </c>
      <c r="R736" s="186">
        <f t="shared" si="459"/>
        <v>0</v>
      </c>
      <c r="S736" s="186">
        <f t="shared" si="459"/>
        <v>0</v>
      </c>
      <c r="T736" s="186">
        <f t="shared" si="459"/>
        <v>0</v>
      </c>
      <c r="U736" s="186">
        <f t="shared" si="459"/>
        <v>0</v>
      </c>
      <c r="V736" s="186">
        <f t="shared" si="459"/>
        <v>0</v>
      </c>
      <c r="W736" s="186">
        <f t="shared" si="459"/>
        <v>0</v>
      </c>
      <c r="X736" s="186">
        <f t="shared" si="459"/>
        <v>0</v>
      </c>
      <c r="Y736" s="186">
        <f t="shared" si="459"/>
        <v>0</v>
      </c>
      <c r="Z736" s="186">
        <f t="shared" si="459"/>
        <v>0</v>
      </c>
      <c r="AA736" s="186">
        <f t="shared" si="459"/>
        <v>0</v>
      </c>
      <c r="AB736" s="186">
        <f t="shared" si="459"/>
        <v>0</v>
      </c>
      <c r="AC736" s="186">
        <f t="shared" si="459"/>
        <v>0</v>
      </c>
      <c r="AD736" s="186">
        <f t="shared" si="459"/>
        <v>0</v>
      </c>
      <c r="AE736" s="186">
        <f t="shared" si="459"/>
        <v>0</v>
      </c>
      <c r="AF736" s="186">
        <f t="shared" si="459"/>
        <v>0</v>
      </c>
      <c r="AG736" s="186">
        <f t="shared" si="459"/>
        <v>0</v>
      </c>
      <c r="AH736" s="186">
        <f t="shared" si="459"/>
        <v>0</v>
      </c>
      <c r="AI736" s="186">
        <f t="shared" si="459"/>
        <v>0</v>
      </c>
      <c r="AJ736" s="186">
        <f t="shared" si="459"/>
        <v>0</v>
      </c>
      <c r="AK736" s="186">
        <f t="shared" si="459"/>
        <v>0</v>
      </c>
      <c r="AL736" s="186">
        <f t="shared" si="459"/>
        <v>0</v>
      </c>
      <c r="AM736" s="186">
        <f t="shared" si="459"/>
        <v>0</v>
      </c>
      <c r="AN736" s="186">
        <f t="shared" si="459"/>
        <v>0</v>
      </c>
      <c r="AO736" s="186">
        <f t="shared" si="459"/>
        <v>0</v>
      </c>
      <c r="AP736" s="186">
        <f t="shared" si="459"/>
        <v>0</v>
      </c>
    </row>
    <row r="737" spans="1:42">
      <c r="A737" s="37">
        <f t="shared" si="460"/>
        <v>6</v>
      </c>
      <c r="B737" s="255">
        <f t="shared" si="457"/>
        <v>128802.03308689949</v>
      </c>
      <c r="C737" s="186">
        <f t="shared" si="459"/>
        <v>0</v>
      </c>
      <c r="D737" s="186">
        <f t="shared" si="459"/>
        <v>0</v>
      </c>
      <c r="E737" s="186">
        <f t="shared" si="459"/>
        <v>0</v>
      </c>
      <c r="F737" s="186">
        <f t="shared" si="459"/>
        <v>0</v>
      </c>
      <c r="G737" s="186">
        <f t="shared" si="459"/>
        <v>0</v>
      </c>
      <c r="H737" s="186">
        <f t="shared" si="459"/>
        <v>0</v>
      </c>
      <c r="I737" s="186">
        <f t="shared" si="459"/>
        <v>0</v>
      </c>
      <c r="J737" s="186">
        <f t="shared" si="459"/>
        <v>0</v>
      </c>
      <c r="K737" s="186">
        <f t="shared" si="459"/>
        <v>0</v>
      </c>
      <c r="L737" s="186">
        <f t="shared" si="459"/>
        <v>0</v>
      </c>
      <c r="M737" s="186">
        <f t="shared" si="459"/>
        <v>0</v>
      </c>
      <c r="N737" s="186">
        <f t="shared" si="459"/>
        <v>0</v>
      </c>
      <c r="O737" s="186">
        <f t="shared" si="459"/>
        <v>0</v>
      </c>
      <c r="P737" s="186">
        <f t="shared" si="459"/>
        <v>0</v>
      </c>
      <c r="Q737" s="186">
        <f t="shared" si="459"/>
        <v>0</v>
      </c>
      <c r="R737" s="186">
        <f t="shared" si="459"/>
        <v>42934.011028966495</v>
      </c>
      <c r="S737" s="186">
        <f t="shared" si="459"/>
        <v>42934.011028966495</v>
      </c>
      <c r="T737" s="186">
        <f t="shared" si="459"/>
        <v>42934.011028966495</v>
      </c>
      <c r="U737" s="186">
        <f t="shared" si="459"/>
        <v>0</v>
      </c>
      <c r="V737" s="186">
        <f t="shared" si="459"/>
        <v>0</v>
      </c>
      <c r="W737" s="186">
        <f t="shared" si="459"/>
        <v>0</v>
      </c>
      <c r="X737" s="186">
        <f t="shared" si="459"/>
        <v>0</v>
      </c>
      <c r="Y737" s="186">
        <f t="shared" si="459"/>
        <v>0</v>
      </c>
      <c r="Z737" s="186">
        <f t="shared" si="459"/>
        <v>0</v>
      </c>
      <c r="AA737" s="186">
        <f t="shared" si="459"/>
        <v>0</v>
      </c>
      <c r="AB737" s="186">
        <f t="shared" si="459"/>
        <v>0</v>
      </c>
      <c r="AC737" s="186">
        <f t="shared" si="459"/>
        <v>0</v>
      </c>
      <c r="AD737" s="186">
        <f t="shared" si="459"/>
        <v>0</v>
      </c>
      <c r="AE737" s="186">
        <f t="shared" si="459"/>
        <v>0</v>
      </c>
      <c r="AF737" s="186">
        <f t="shared" si="459"/>
        <v>0</v>
      </c>
      <c r="AG737" s="186">
        <f t="shared" si="459"/>
        <v>0</v>
      </c>
      <c r="AH737" s="186">
        <f t="shared" si="459"/>
        <v>0</v>
      </c>
      <c r="AI737" s="186">
        <f t="shared" si="459"/>
        <v>0</v>
      </c>
      <c r="AJ737" s="186">
        <f t="shared" si="459"/>
        <v>0</v>
      </c>
      <c r="AK737" s="186">
        <f t="shared" si="459"/>
        <v>0</v>
      </c>
      <c r="AL737" s="186">
        <f t="shared" si="459"/>
        <v>0</v>
      </c>
      <c r="AM737" s="186">
        <f t="shared" si="459"/>
        <v>0</v>
      </c>
      <c r="AN737" s="186">
        <f t="shared" si="459"/>
        <v>0</v>
      </c>
      <c r="AO737" s="186">
        <f t="shared" si="459"/>
        <v>0</v>
      </c>
      <c r="AP737" s="186">
        <f t="shared" si="459"/>
        <v>0</v>
      </c>
    </row>
    <row r="738" spans="1:42">
      <c r="A738" s="37">
        <f t="shared" si="460"/>
        <v>7</v>
      </c>
      <c r="B738" s="255">
        <f t="shared" si="457"/>
        <v>134685.50065500522</v>
      </c>
      <c r="C738" s="186">
        <f t="shared" si="459"/>
        <v>0</v>
      </c>
      <c r="D738" s="186">
        <f t="shared" si="459"/>
        <v>0</v>
      </c>
      <c r="E738" s="186">
        <f t="shared" si="459"/>
        <v>0</v>
      </c>
      <c r="F738" s="186">
        <f t="shared" si="459"/>
        <v>0</v>
      </c>
      <c r="G738" s="186">
        <f t="shared" si="459"/>
        <v>0</v>
      </c>
      <c r="H738" s="186">
        <f t="shared" si="459"/>
        <v>0</v>
      </c>
      <c r="I738" s="186">
        <f t="shared" si="459"/>
        <v>0</v>
      </c>
      <c r="J738" s="186">
        <f t="shared" si="459"/>
        <v>0</v>
      </c>
      <c r="K738" s="186">
        <f t="shared" si="459"/>
        <v>0</v>
      </c>
      <c r="L738" s="186">
        <f t="shared" si="459"/>
        <v>0</v>
      </c>
      <c r="M738" s="186">
        <f t="shared" si="459"/>
        <v>0</v>
      </c>
      <c r="N738" s="186">
        <f t="shared" si="459"/>
        <v>0</v>
      </c>
      <c r="O738" s="186">
        <f t="shared" si="459"/>
        <v>0</v>
      </c>
      <c r="P738" s="186">
        <f t="shared" si="459"/>
        <v>0</v>
      </c>
      <c r="Q738" s="186">
        <f t="shared" si="459"/>
        <v>0</v>
      </c>
      <c r="R738" s="186">
        <f t="shared" si="459"/>
        <v>0</v>
      </c>
      <c r="S738" s="186">
        <f t="shared" si="459"/>
        <v>0</v>
      </c>
      <c r="T738" s="186">
        <f t="shared" si="459"/>
        <v>0</v>
      </c>
      <c r="U738" s="186">
        <f t="shared" si="459"/>
        <v>44895.166885001738</v>
      </c>
      <c r="V738" s="186">
        <f t="shared" si="459"/>
        <v>44895.166885001738</v>
      </c>
      <c r="W738" s="186">
        <f t="shared" si="459"/>
        <v>44895.166885001738</v>
      </c>
      <c r="X738" s="186">
        <f t="shared" si="459"/>
        <v>0</v>
      </c>
      <c r="Y738" s="186">
        <f t="shared" si="459"/>
        <v>0</v>
      </c>
      <c r="Z738" s="186">
        <f t="shared" si="459"/>
        <v>0</v>
      </c>
      <c r="AA738" s="186">
        <f t="shared" si="459"/>
        <v>0</v>
      </c>
      <c r="AB738" s="186">
        <f t="shared" si="459"/>
        <v>0</v>
      </c>
      <c r="AC738" s="186">
        <f t="shared" si="459"/>
        <v>0</v>
      </c>
      <c r="AD738" s="186">
        <f t="shared" si="459"/>
        <v>0</v>
      </c>
      <c r="AE738" s="186">
        <f t="shared" si="459"/>
        <v>0</v>
      </c>
      <c r="AF738" s="186">
        <f t="shared" si="459"/>
        <v>0</v>
      </c>
      <c r="AG738" s="186">
        <f t="shared" si="459"/>
        <v>0</v>
      </c>
      <c r="AH738" s="186">
        <f t="shared" si="459"/>
        <v>0</v>
      </c>
      <c r="AI738" s="186">
        <f t="shared" si="459"/>
        <v>0</v>
      </c>
      <c r="AJ738" s="186">
        <f t="shared" si="459"/>
        <v>0</v>
      </c>
      <c r="AK738" s="186">
        <f t="shared" si="459"/>
        <v>0</v>
      </c>
      <c r="AL738" s="186">
        <f t="shared" si="459"/>
        <v>0</v>
      </c>
      <c r="AM738" s="186">
        <f t="shared" si="459"/>
        <v>0</v>
      </c>
      <c r="AN738" s="186">
        <f t="shared" si="459"/>
        <v>0</v>
      </c>
      <c r="AO738" s="186">
        <f t="shared" si="459"/>
        <v>0</v>
      </c>
      <c r="AP738" s="186">
        <f t="shared" si="459"/>
        <v>0</v>
      </c>
    </row>
    <row r="739" spans="1:42">
      <c r="A739" s="37">
        <f t="shared" si="460"/>
        <v>8</v>
      </c>
      <c r="B739" s="255">
        <f t="shared" si="457"/>
        <v>140837.71546098724</v>
      </c>
      <c r="C739" s="186">
        <f t="shared" si="459"/>
        <v>0</v>
      </c>
      <c r="D739" s="186">
        <f t="shared" si="459"/>
        <v>0</v>
      </c>
      <c r="E739" s="186">
        <f t="shared" si="459"/>
        <v>0</v>
      </c>
      <c r="F739" s="186">
        <f t="shared" si="459"/>
        <v>0</v>
      </c>
      <c r="G739" s="186">
        <f t="shared" si="459"/>
        <v>0</v>
      </c>
      <c r="H739" s="186">
        <f t="shared" si="459"/>
        <v>0</v>
      </c>
      <c r="I739" s="186">
        <f t="shared" si="459"/>
        <v>0</v>
      </c>
      <c r="J739" s="186">
        <f t="shared" si="459"/>
        <v>0</v>
      </c>
      <c r="K739" s="186">
        <f t="shared" si="459"/>
        <v>0</v>
      </c>
      <c r="L739" s="186">
        <f t="shared" si="459"/>
        <v>0</v>
      </c>
      <c r="M739" s="186">
        <f t="shared" si="459"/>
        <v>0</v>
      </c>
      <c r="N739" s="186">
        <f t="shared" si="459"/>
        <v>0</v>
      </c>
      <c r="O739" s="186">
        <f t="shared" si="459"/>
        <v>0</v>
      </c>
      <c r="P739" s="186">
        <f t="shared" si="459"/>
        <v>0</v>
      </c>
      <c r="Q739" s="186">
        <f t="shared" si="459"/>
        <v>0</v>
      </c>
      <c r="R739" s="186">
        <f t="shared" ref="R739:AP739" si="461">IF(AND(R$2&gt;MMFrequency3*$A726,R$2&lt;=MMFrequency3*$A727),$B727/(MMFrequency3),0)</f>
        <v>0</v>
      </c>
      <c r="S739" s="186">
        <f t="shared" si="461"/>
        <v>0</v>
      </c>
      <c r="T739" s="186">
        <f t="shared" si="461"/>
        <v>0</v>
      </c>
      <c r="U739" s="186">
        <f t="shared" si="461"/>
        <v>0</v>
      </c>
      <c r="V739" s="186">
        <f t="shared" si="461"/>
        <v>0</v>
      </c>
      <c r="W739" s="186">
        <f t="shared" si="461"/>
        <v>0</v>
      </c>
      <c r="X739" s="186">
        <f t="shared" si="461"/>
        <v>46945.90515366241</v>
      </c>
      <c r="Y739" s="186">
        <f t="shared" si="461"/>
        <v>46945.90515366241</v>
      </c>
      <c r="Z739" s="186">
        <f t="shared" si="461"/>
        <v>46945.90515366241</v>
      </c>
      <c r="AA739" s="186">
        <f t="shared" si="461"/>
        <v>0</v>
      </c>
      <c r="AB739" s="186">
        <f t="shared" si="461"/>
        <v>0</v>
      </c>
      <c r="AC739" s="186">
        <f t="shared" si="461"/>
        <v>0</v>
      </c>
      <c r="AD739" s="186">
        <f t="shared" si="461"/>
        <v>0</v>
      </c>
      <c r="AE739" s="186">
        <f t="shared" si="461"/>
        <v>0</v>
      </c>
      <c r="AF739" s="186">
        <f t="shared" si="461"/>
        <v>0</v>
      </c>
      <c r="AG739" s="186">
        <f t="shared" si="461"/>
        <v>0</v>
      </c>
      <c r="AH739" s="186">
        <f t="shared" si="461"/>
        <v>0</v>
      </c>
      <c r="AI739" s="186">
        <f t="shared" si="461"/>
        <v>0</v>
      </c>
      <c r="AJ739" s="186">
        <f t="shared" si="461"/>
        <v>0</v>
      </c>
      <c r="AK739" s="186">
        <f t="shared" si="461"/>
        <v>0</v>
      </c>
      <c r="AL739" s="186">
        <f t="shared" si="461"/>
        <v>0</v>
      </c>
      <c r="AM739" s="186">
        <f t="shared" si="461"/>
        <v>0</v>
      </c>
      <c r="AN739" s="186">
        <f t="shared" si="461"/>
        <v>0</v>
      </c>
      <c r="AO739" s="186">
        <f t="shared" si="461"/>
        <v>0</v>
      </c>
      <c r="AP739" s="186">
        <f t="shared" si="461"/>
        <v>0</v>
      </c>
    </row>
    <row r="740" spans="1:42">
      <c r="A740" s="37">
        <f>A739+1</f>
        <v>9</v>
      </c>
      <c r="B740" s="255">
        <f t="shared" si="457"/>
        <v>147270.95344195748</v>
      </c>
      <c r="C740" s="186">
        <f t="shared" ref="C740:AP741" si="462">IF(AND(C$2&gt;MMFrequency3*$A727,C$2&lt;=MMFrequency3*$A728),$B728/(MMFrequency3),0)</f>
        <v>0</v>
      </c>
      <c r="D740" s="186">
        <f t="shared" si="462"/>
        <v>0</v>
      </c>
      <c r="E740" s="186">
        <f t="shared" si="462"/>
        <v>0</v>
      </c>
      <c r="F740" s="186">
        <f t="shared" si="462"/>
        <v>0</v>
      </c>
      <c r="G740" s="186">
        <f t="shared" si="462"/>
        <v>0</v>
      </c>
      <c r="H740" s="186">
        <f t="shared" si="462"/>
        <v>0</v>
      </c>
      <c r="I740" s="186">
        <f t="shared" si="462"/>
        <v>0</v>
      </c>
      <c r="J740" s="186">
        <f t="shared" si="462"/>
        <v>0</v>
      </c>
      <c r="K740" s="186">
        <f t="shared" si="462"/>
        <v>0</v>
      </c>
      <c r="L740" s="186">
        <f t="shared" si="462"/>
        <v>0</v>
      </c>
      <c r="M740" s="186">
        <f t="shared" si="462"/>
        <v>0</v>
      </c>
      <c r="N740" s="186">
        <f t="shared" si="462"/>
        <v>0</v>
      </c>
      <c r="O740" s="186">
        <f t="shared" si="462"/>
        <v>0</v>
      </c>
      <c r="P740" s="186">
        <f t="shared" si="462"/>
        <v>0</v>
      </c>
      <c r="Q740" s="186">
        <f t="shared" si="462"/>
        <v>0</v>
      </c>
      <c r="R740" s="186">
        <f t="shared" si="462"/>
        <v>0</v>
      </c>
      <c r="S740" s="186">
        <f t="shared" si="462"/>
        <v>0</v>
      </c>
      <c r="T740" s="186">
        <f t="shared" si="462"/>
        <v>0</v>
      </c>
      <c r="U740" s="186">
        <f t="shared" si="462"/>
        <v>0</v>
      </c>
      <c r="V740" s="186">
        <f t="shared" si="462"/>
        <v>0</v>
      </c>
      <c r="W740" s="186">
        <f t="shared" si="462"/>
        <v>0</v>
      </c>
      <c r="X740" s="186">
        <f t="shared" si="462"/>
        <v>0</v>
      </c>
      <c r="Y740" s="186">
        <f t="shared" si="462"/>
        <v>0</v>
      </c>
      <c r="Z740" s="186">
        <f t="shared" si="462"/>
        <v>0</v>
      </c>
      <c r="AA740" s="186">
        <f t="shared" si="462"/>
        <v>49090.317813985828</v>
      </c>
      <c r="AB740" s="186">
        <f t="shared" si="462"/>
        <v>49090.317813985828</v>
      </c>
      <c r="AC740" s="186">
        <f t="shared" si="462"/>
        <v>49090.317813985828</v>
      </c>
      <c r="AD740" s="186">
        <f t="shared" si="462"/>
        <v>0</v>
      </c>
      <c r="AE740" s="186">
        <f t="shared" si="462"/>
        <v>0</v>
      </c>
      <c r="AF740" s="186">
        <f t="shared" si="462"/>
        <v>0</v>
      </c>
      <c r="AG740" s="186">
        <f t="shared" si="462"/>
        <v>0</v>
      </c>
      <c r="AH740" s="186">
        <f t="shared" si="462"/>
        <v>0</v>
      </c>
      <c r="AI740" s="186">
        <f t="shared" si="462"/>
        <v>0</v>
      </c>
      <c r="AJ740" s="186">
        <f t="shared" si="462"/>
        <v>0</v>
      </c>
      <c r="AK740" s="186">
        <f t="shared" si="462"/>
        <v>0</v>
      </c>
      <c r="AL740" s="186">
        <f t="shared" si="462"/>
        <v>0</v>
      </c>
      <c r="AM740" s="186">
        <f t="shared" si="462"/>
        <v>0</v>
      </c>
      <c r="AN740" s="186">
        <f t="shared" si="462"/>
        <v>0</v>
      </c>
      <c r="AO740" s="186">
        <f t="shared" si="462"/>
        <v>0</v>
      </c>
      <c r="AP740" s="186">
        <f t="shared" si="462"/>
        <v>0</v>
      </c>
    </row>
    <row r="741" spans="1:42">
      <c r="A741" s="37">
        <f t="shared" ref="A741" si="463">A740+1</f>
        <v>10</v>
      </c>
      <c r="B741" s="255">
        <f t="shared" si="457"/>
        <v>153998.05127988668</v>
      </c>
      <c r="C741" s="187">
        <f t="shared" si="462"/>
        <v>0</v>
      </c>
      <c r="D741" s="187">
        <f t="shared" si="462"/>
        <v>0</v>
      </c>
      <c r="E741" s="187">
        <f t="shared" si="462"/>
        <v>0</v>
      </c>
      <c r="F741" s="187">
        <f t="shared" si="462"/>
        <v>0</v>
      </c>
      <c r="G741" s="187">
        <f t="shared" si="462"/>
        <v>0</v>
      </c>
      <c r="H741" s="187">
        <f t="shared" si="462"/>
        <v>0</v>
      </c>
      <c r="I741" s="187">
        <f t="shared" si="462"/>
        <v>0</v>
      </c>
      <c r="J741" s="187">
        <f t="shared" si="462"/>
        <v>0</v>
      </c>
      <c r="K741" s="187">
        <f t="shared" si="462"/>
        <v>0</v>
      </c>
      <c r="L741" s="187">
        <f t="shared" si="462"/>
        <v>0</v>
      </c>
      <c r="M741" s="187">
        <f t="shared" si="462"/>
        <v>0</v>
      </c>
      <c r="N741" s="187">
        <f t="shared" si="462"/>
        <v>0</v>
      </c>
      <c r="O741" s="187">
        <f t="shared" si="462"/>
        <v>0</v>
      </c>
      <c r="P741" s="187">
        <f t="shared" si="462"/>
        <v>0</v>
      </c>
      <c r="Q741" s="187">
        <f t="shared" si="462"/>
        <v>0</v>
      </c>
      <c r="R741" s="187">
        <f t="shared" si="462"/>
        <v>0</v>
      </c>
      <c r="S741" s="187">
        <f t="shared" si="462"/>
        <v>0</v>
      </c>
      <c r="T741" s="187">
        <f t="shared" si="462"/>
        <v>0</v>
      </c>
      <c r="U741" s="187">
        <f t="shared" si="462"/>
        <v>0</v>
      </c>
      <c r="V741" s="187">
        <f t="shared" si="462"/>
        <v>0</v>
      </c>
      <c r="W741" s="187">
        <f t="shared" si="462"/>
        <v>0</v>
      </c>
      <c r="X741" s="187">
        <f t="shared" si="462"/>
        <v>0</v>
      </c>
      <c r="Y741" s="187">
        <f t="shared" si="462"/>
        <v>0</v>
      </c>
      <c r="Z741" s="187">
        <f t="shared" si="462"/>
        <v>0</v>
      </c>
      <c r="AA741" s="187">
        <f t="shared" si="462"/>
        <v>0</v>
      </c>
      <c r="AB741" s="187">
        <f t="shared" si="462"/>
        <v>0</v>
      </c>
      <c r="AC741" s="187">
        <f t="shared" si="462"/>
        <v>0</v>
      </c>
      <c r="AD741" s="187">
        <f t="shared" si="462"/>
        <v>51332.68375996223</v>
      </c>
      <c r="AE741" s="187">
        <f t="shared" si="462"/>
        <v>51332.68375996223</v>
      </c>
      <c r="AF741" s="187">
        <f t="shared" si="462"/>
        <v>51332.68375996223</v>
      </c>
      <c r="AG741" s="187">
        <f t="shared" si="462"/>
        <v>0</v>
      </c>
      <c r="AH741" s="187">
        <f t="shared" si="462"/>
        <v>0</v>
      </c>
      <c r="AI741" s="187">
        <f t="shared" si="462"/>
        <v>0</v>
      </c>
      <c r="AJ741" s="187">
        <f t="shared" si="462"/>
        <v>0</v>
      </c>
      <c r="AK741" s="187">
        <f t="shared" si="462"/>
        <v>0</v>
      </c>
      <c r="AL741" s="187">
        <f t="shared" si="462"/>
        <v>0</v>
      </c>
      <c r="AM741" s="187">
        <f t="shared" si="462"/>
        <v>0</v>
      </c>
      <c r="AN741" s="187">
        <f t="shared" si="462"/>
        <v>0</v>
      </c>
      <c r="AO741" s="187">
        <f t="shared" si="462"/>
        <v>0</v>
      </c>
      <c r="AP741" s="187">
        <f t="shared" si="462"/>
        <v>0</v>
      </c>
    </row>
    <row r="742" spans="1:42">
      <c r="A742" s="219" t="s">
        <v>53</v>
      </c>
      <c r="B742" s="186"/>
      <c r="C742" s="152">
        <f>SUM(C732:C741)</f>
        <v>34340.833333333321</v>
      </c>
      <c r="D742" s="152">
        <f t="shared" ref="D742:AP742" si="464">SUM(D732:D741)</f>
        <v>34340.833333333321</v>
      </c>
      <c r="E742" s="152">
        <f t="shared" si="464"/>
        <v>34340.833333333321</v>
      </c>
      <c r="F742" s="152">
        <f t="shared" si="464"/>
        <v>35909.466796145811</v>
      </c>
      <c r="G742" s="152">
        <f t="shared" si="464"/>
        <v>35909.466796145811</v>
      </c>
      <c r="H742" s="152">
        <f t="shared" si="464"/>
        <v>35909.466796145811</v>
      </c>
      <c r="I742" s="152">
        <f t="shared" si="464"/>
        <v>37549.752886510192</v>
      </c>
      <c r="J742" s="152">
        <f t="shared" si="464"/>
        <v>37549.752886510192</v>
      </c>
      <c r="K742" s="152">
        <f t="shared" si="464"/>
        <v>37549.752886510192</v>
      </c>
      <c r="L742" s="152">
        <f t="shared" si="464"/>
        <v>39264.96458001752</v>
      </c>
      <c r="M742" s="152">
        <f t="shared" si="464"/>
        <v>39264.96458001752</v>
      </c>
      <c r="N742" s="152">
        <f t="shared" si="464"/>
        <v>39264.96458001752</v>
      </c>
      <c r="O742" s="152">
        <f t="shared" si="464"/>
        <v>41058.524356465256</v>
      </c>
      <c r="P742" s="152">
        <f t="shared" si="464"/>
        <v>41058.524356465256</v>
      </c>
      <c r="Q742" s="152">
        <f t="shared" si="464"/>
        <v>41058.524356465256</v>
      </c>
      <c r="R742" s="152">
        <f t="shared" si="464"/>
        <v>42934.011028966495</v>
      </c>
      <c r="S742" s="152">
        <f t="shared" si="464"/>
        <v>42934.011028966495</v>
      </c>
      <c r="T742" s="152">
        <f t="shared" si="464"/>
        <v>42934.011028966495</v>
      </c>
      <c r="U742" s="152">
        <f t="shared" si="464"/>
        <v>44895.166885001738</v>
      </c>
      <c r="V742" s="152">
        <f t="shared" si="464"/>
        <v>44895.166885001738</v>
      </c>
      <c r="W742" s="152">
        <f t="shared" si="464"/>
        <v>44895.166885001738</v>
      </c>
      <c r="X742" s="152">
        <f t="shared" si="464"/>
        <v>46945.90515366241</v>
      </c>
      <c r="Y742" s="152">
        <f t="shared" si="464"/>
        <v>46945.90515366241</v>
      </c>
      <c r="Z742" s="152">
        <f t="shared" si="464"/>
        <v>46945.90515366241</v>
      </c>
      <c r="AA742" s="152">
        <f t="shared" si="464"/>
        <v>49090.317813985828</v>
      </c>
      <c r="AB742" s="152">
        <f t="shared" si="464"/>
        <v>49090.317813985828</v>
      </c>
      <c r="AC742" s="152">
        <f t="shared" si="464"/>
        <v>49090.317813985828</v>
      </c>
      <c r="AD742" s="152">
        <f t="shared" si="464"/>
        <v>51332.68375996223</v>
      </c>
      <c r="AE742" s="152">
        <f t="shared" si="464"/>
        <v>51332.68375996223</v>
      </c>
      <c r="AF742" s="152">
        <f t="shared" si="464"/>
        <v>51332.68375996223</v>
      </c>
      <c r="AG742" s="152">
        <f t="shared" si="464"/>
        <v>0</v>
      </c>
      <c r="AH742" s="152">
        <f t="shared" si="464"/>
        <v>0</v>
      </c>
      <c r="AI742" s="152">
        <f t="shared" si="464"/>
        <v>0</v>
      </c>
      <c r="AJ742" s="152">
        <f t="shared" si="464"/>
        <v>0</v>
      </c>
      <c r="AK742" s="152">
        <f t="shared" si="464"/>
        <v>0</v>
      </c>
      <c r="AL742" s="152">
        <f t="shared" si="464"/>
        <v>0</v>
      </c>
      <c r="AM742" s="152">
        <f t="shared" si="464"/>
        <v>0</v>
      </c>
      <c r="AN742" s="152">
        <f t="shared" si="464"/>
        <v>0</v>
      </c>
      <c r="AO742" s="152">
        <f t="shared" si="464"/>
        <v>0</v>
      </c>
      <c r="AP742" s="152">
        <f t="shared" si="464"/>
        <v>0</v>
      </c>
    </row>
    <row r="743" spans="1:42">
      <c r="B743" s="186"/>
      <c r="C743" s="152"/>
      <c r="D743" s="152"/>
      <c r="E743" s="152"/>
      <c r="F743" s="152"/>
      <c r="G743" s="152"/>
      <c r="H743" s="152"/>
      <c r="I743" s="152"/>
      <c r="J743" s="152"/>
      <c r="K743" s="152"/>
      <c r="L743" s="152"/>
      <c r="M743" s="152"/>
      <c r="N743" s="152"/>
      <c r="O743" s="152"/>
      <c r="P743" s="152"/>
      <c r="Q743" s="152"/>
      <c r="R743" s="152"/>
      <c r="S743" s="152"/>
      <c r="T743" s="152"/>
      <c r="U743" s="152"/>
      <c r="V743" s="152"/>
      <c r="W743" s="152"/>
      <c r="X743" s="152"/>
      <c r="Y743" s="152"/>
      <c r="Z743" s="152"/>
      <c r="AA743" s="152"/>
      <c r="AB743" s="152"/>
      <c r="AC743" s="152"/>
      <c r="AD743" s="152"/>
      <c r="AE743" s="152"/>
      <c r="AF743" s="152"/>
      <c r="AG743" s="152"/>
      <c r="AH743" s="152"/>
      <c r="AI743" s="152"/>
      <c r="AJ743" s="152"/>
      <c r="AK743" s="152"/>
      <c r="AL743" s="152"/>
      <c r="AM743" s="152"/>
      <c r="AN743" s="152"/>
      <c r="AO743" s="152"/>
      <c r="AP743" s="152"/>
    </row>
    <row r="744" spans="1:42" ht="12" customHeight="1">
      <c r="A744" s="37" t="s">
        <v>469</v>
      </c>
      <c r="B744" s="186"/>
      <c r="C744" s="152"/>
      <c r="D744" s="152"/>
      <c r="E744" s="152"/>
      <c r="F744" s="152"/>
      <c r="G744" s="152"/>
      <c r="H744" s="152"/>
      <c r="I744" s="152"/>
      <c r="J744" s="152"/>
      <c r="K744" s="152"/>
      <c r="L744" s="152"/>
      <c r="M744" s="152"/>
      <c r="N744" s="152"/>
      <c r="O744" s="152"/>
      <c r="P744" s="152"/>
      <c r="Q744" s="152"/>
      <c r="R744" s="152"/>
      <c r="S744" s="152"/>
      <c r="T744" s="152"/>
      <c r="U744" s="152"/>
      <c r="V744" s="152"/>
      <c r="W744" s="152"/>
      <c r="X744" s="152"/>
      <c r="Y744" s="152"/>
      <c r="Z744" s="152"/>
      <c r="AA744" s="152"/>
      <c r="AB744" s="152"/>
      <c r="AC744" s="152"/>
      <c r="AD744" s="152"/>
      <c r="AE744" s="152"/>
      <c r="AF744" s="152"/>
      <c r="AG744" s="152"/>
      <c r="AH744" s="152"/>
      <c r="AI744" s="152"/>
      <c r="AJ744" s="152"/>
      <c r="AK744" s="152"/>
      <c r="AL744" s="152"/>
      <c r="AM744" s="152"/>
      <c r="AN744" s="152"/>
      <c r="AO744" s="152"/>
      <c r="AP744" s="152"/>
    </row>
    <row r="745" spans="1:42" s="118" customFormat="1">
      <c r="A745" s="257" t="s">
        <v>201</v>
      </c>
      <c r="B745" s="198">
        <f t="shared" ref="B745:AP745" si="465">B640+B652+B684+B716</f>
        <v>350000</v>
      </c>
      <c r="C745" s="198">
        <f t="shared" si="465"/>
        <v>1040332.1055230953</v>
      </c>
      <c r="D745" s="198">
        <f t="shared" si="465"/>
        <v>1730664.2110461907</v>
      </c>
      <c r="E745" s="198">
        <f t="shared" si="465"/>
        <v>2317973.8165692864</v>
      </c>
      <c r="F745" s="198">
        <f t="shared" si="465"/>
        <v>3009874.5555551937</v>
      </c>
      <c r="G745" s="198">
        <f t="shared" si="465"/>
        <v>3701775.2945411019</v>
      </c>
      <c r="H745" s="198">
        <f t="shared" si="465"/>
        <v>4285947.6331385728</v>
      </c>
      <c r="I745" s="198">
        <f t="shared" si="465"/>
        <v>4979488.6582148457</v>
      </c>
      <c r="J745" s="198">
        <f t="shared" si="465"/>
        <v>5673029.6832911167</v>
      </c>
      <c r="K745" s="198">
        <f t="shared" si="465"/>
        <v>6253921.4497078592</v>
      </c>
      <c r="L745" s="198">
        <f t="shared" si="465"/>
        <v>6949177.6864776388</v>
      </c>
      <c r="M745" s="198">
        <f t="shared" si="465"/>
        <v>7644433.9232474184</v>
      </c>
      <c r="N745" s="198">
        <f t="shared" si="465"/>
        <v>5277022.9227758311</v>
      </c>
      <c r="O745" s="198">
        <f t="shared" si="465"/>
        <v>6022078.5979073383</v>
      </c>
      <c r="P745" s="198">
        <f t="shared" si="465"/>
        <v>6767134.2730388464</v>
      </c>
      <c r="Q745" s="198">
        <f t="shared" si="465"/>
        <v>1230235.7216311703</v>
      </c>
      <c r="R745" s="198">
        <f t="shared" si="465"/>
        <v>2079908.4774701491</v>
      </c>
      <c r="S745" s="198">
        <f t="shared" si="465"/>
        <v>2929581.2333091279</v>
      </c>
      <c r="T745" s="198">
        <f t="shared" si="465"/>
        <v>3650451.9560612072</v>
      </c>
      <c r="U745" s="198">
        <f t="shared" si="465"/>
        <v>4502085.8677562214</v>
      </c>
      <c r="V745" s="198">
        <f t="shared" si="465"/>
        <v>5353719.7794512352</v>
      </c>
      <c r="W745" s="198">
        <f t="shared" si="465"/>
        <v>6070668.1904912442</v>
      </c>
      <c r="X745" s="198">
        <f t="shared" si="465"/>
        <v>6924352.8404549183</v>
      </c>
      <c r="Y745" s="198">
        <f t="shared" si="465"/>
        <v>7778037.4904185934</v>
      </c>
      <c r="Z745" s="198">
        <f t="shared" si="465"/>
        <v>4969941.5383965997</v>
      </c>
      <c r="AA745" s="198">
        <f t="shared" si="465"/>
        <v>5532358.6938102078</v>
      </c>
      <c r="AB745" s="198">
        <f t="shared" si="465"/>
        <v>6094775.8492238158</v>
      </c>
      <c r="AC745" s="198">
        <f t="shared" si="465"/>
        <v>6509922.051195466</v>
      </c>
      <c r="AD745" s="198">
        <f t="shared" si="465"/>
        <v>7074581.5725550503</v>
      </c>
      <c r="AE745" s="198">
        <f t="shared" si="465"/>
        <v>7639241.0939146345</v>
      </c>
      <c r="AF745" s="198">
        <f t="shared" si="465"/>
        <v>0</v>
      </c>
      <c r="AG745" s="198">
        <f t="shared" si="465"/>
        <v>0</v>
      </c>
      <c r="AH745" s="198">
        <f t="shared" si="465"/>
        <v>0</v>
      </c>
      <c r="AI745" s="198">
        <f t="shared" si="465"/>
        <v>0</v>
      </c>
      <c r="AJ745" s="198">
        <f t="shared" si="465"/>
        <v>0</v>
      </c>
      <c r="AK745" s="198">
        <f t="shared" si="465"/>
        <v>0</v>
      </c>
      <c r="AL745" s="198">
        <f t="shared" si="465"/>
        <v>0</v>
      </c>
      <c r="AM745" s="198">
        <f t="shared" si="465"/>
        <v>0</v>
      </c>
      <c r="AN745" s="198">
        <f t="shared" si="465"/>
        <v>0</v>
      </c>
      <c r="AO745" s="198">
        <f t="shared" si="465"/>
        <v>0</v>
      </c>
      <c r="AP745" s="198">
        <f t="shared" si="465"/>
        <v>0</v>
      </c>
    </row>
    <row r="746" spans="1:42" s="118" customFormat="1">
      <c r="A746" s="257" t="s">
        <v>200</v>
      </c>
      <c r="B746" s="141"/>
      <c r="C746" s="198">
        <f t="shared" ref="C746:AP746" si="466">IF(C$2&lt;=AnalysisPeriod,B745*InterestOnReserves,0)</f>
        <v>6125.0000000000009</v>
      </c>
      <c r="D746" s="198">
        <f t="shared" si="466"/>
        <v>18205.811846654171</v>
      </c>
      <c r="E746" s="198">
        <f t="shared" si="466"/>
        <v>30286.623693308342</v>
      </c>
      <c r="F746" s="198">
        <f t="shared" si="466"/>
        <v>40564.541789962517</v>
      </c>
      <c r="G746" s="198">
        <f t="shared" si="466"/>
        <v>52672.804722215893</v>
      </c>
      <c r="H746" s="198">
        <f t="shared" si="466"/>
        <v>64781.067654469291</v>
      </c>
      <c r="I746" s="198">
        <f t="shared" si="466"/>
        <v>75004.083579925034</v>
      </c>
      <c r="J746" s="198">
        <f t="shared" si="466"/>
        <v>87141.051518759807</v>
      </c>
      <c r="K746" s="198">
        <f t="shared" si="466"/>
        <v>99278.01945759455</v>
      </c>
      <c r="L746" s="198">
        <f t="shared" si="466"/>
        <v>109443.62536988755</v>
      </c>
      <c r="M746" s="198">
        <f t="shared" si="466"/>
        <v>121610.60951335869</v>
      </c>
      <c r="N746" s="198">
        <f t="shared" si="466"/>
        <v>133777.59365682982</v>
      </c>
      <c r="O746" s="198">
        <f t="shared" si="466"/>
        <v>92347.901148577046</v>
      </c>
      <c r="P746" s="198">
        <f t="shared" si="466"/>
        <v>105386.37546337843</v>
      </c>
      <c r="Q746" s="198">
        <f t="shared" si="466"/>
        <v>118424.84977817982</v>
      </c>
      <c r="R746" s="198">
        <f t="shared" si="466"/>
        <v>21529.125128545482</v>
      </c>
      <c r="S746" s="198">
        <f t="shared" si="466"/>
        <v>36398.398355727615</v>
      </c>
      <c r="T746" s="198">
        <f t="shared" si="466"/>
        <v>51267.671582909745</v>
      </c>
      <c r="U746" s="198">
        <f t="shared" si="466"/>
        <v>63882.909231071135</v>
      </c>
      <c r="V746" s="198">
        <f t="shared" si="466"/>
        <v>78786.502685733882</v>
      </c>
      <c r="W746" s="198">
        <f t="shared" si="466"/>
        <v>93690.096140396621</v>
      </c>
      <c r="X746" s="198">
        <f t="shared" si="466"/>
        <v>106236.69333359678</v>
      </c>
      <c r="Y746" s="198">
        <f t="shared" si="466"/>
        <v>121176.17470796108</v>
      </c>
      <c r="Z746" s="198">
        <f t="shared" si="466"/>
        <v>136115.65608232541</v>
      </c>
      <c r="AA746" s="198">
        <f t="shared" si="466"/>
        <v>86973.976921940499</v>
      </c>
      <c r="AB746" s="198">
        <f t="shared" si="466"/>
        <v>96816.277141678642</v>
      </c>
      <c r="AC746" s="198">
        <f t="shared" si="466"/>
        <v>106658.57736141678</v>
      </c>
      <c r="AD746" s="198">
        <f t="shared" si="466"/>
        <v>113923.63589592067</v>
      </c>
      <c r="AE746" s="198">
        <f t="shared" si="466"/>
        <v>123805.1775197134</v>
      </c>
      <c r="AF746" s="198">
        <f t="shared" si="466"/>
        <v>133686.71914350611</v>
      </c>
      <c r="AG746" s="198">
        <f t="shared" si="466"/>
        <v>0</v>
      </c>
      <c r="AH746" s="198">
        <f t="shared" si="466"/>
        <v>0</v>
      </c>
      <c r="AI746" s="198">
        <f t="shared" si="466"/>
        <v>0</v>
      </c>
      <c r="AJ746" s="198">
        <f t="shared" si="466"/>
        <v>0</v>
      </c>
      <c r="AK746" s="198">
        <f t="shared" si="466"/>
        <v>0</v>
      </c>
      <c r="AL746" s="198">
        <f t="shared" si="466"/>
        <v>0</v>
      </c>
      <c r="AM746" s="198">
        <f t="shared" si="466"/>
        <v>0</v>
      </c>
      <c r="AN746" s="198">
        <f t="shared" si="466"/>
        <v>0</v>
      </c>
      <c r="AO746" s="198">
        <f t="shared" si="466"/>
        <v>0</v>
      </c>
      <c r="AP746" s="198">
        <f t="shared" si="466"/>
        <v>0</v>
      </c>
    </row>
    <row r="747" spans="1:42" s="118" customFormat="1"/>
    <row r="748" spans="1:42" s="118" customFormat="1" ht="12" customHeight="1">
      <c r="A748" s="118" t="s">
        <v>470</v>
      </c>
      <c r="B748" s="141"/>
      <c r="C748" s="198"/>
      <c r="D748" s="198"/>
      <c r="E748" s="198"/>
      <c r="F748" s="198"/>
      <c r="G748" s="198"/>
      <c r="H748" s="198"/>
      <c r="I748" s="198"/>
      <c r="J748" s="198"/>
      <c r="K748" s="198"/>
      <c r="L748" s="198"/>
      <c r="M748" s="198"/>
      <c r="N748" s="198"/>
      <c r="O748" s="198"/>
      <c r="P748" s="198"/>
      <c r="Q748" s="198"/>
      <c r="R748" s="198"/>
      <c r="S748" s="198"/>
      <c r="T748" s="198"/>
      <c r="U748" s="198"/>
      <c r="V748" s="198"/>
      <c r="W748" s="198"/>
      <c r="X748" s="198"/>
      <c r="Y748" s="198"/>
      <c r="Z748" s="198"/>
      <c r="AA748" s="198"/>
      <c r="AB748" s="198"/>
      <c r="AC748" s="198"/>
      <c r="AD748" s="198"/>
      <c r="AE748" s="198"/>
      <c r="AF748" s="198"/>
      <c r="AG748" s="198"/>
      <c r="AH748" s="198"/>
      <c r="AI748" s="198"/>
      <c r="AJ748" s="198"/>
      <c r="AK748" s="198"/>
      <c r="AL748" s="198"/>
      <c r="AM748" s="198"/>
      <c r="AN748" s="198"/>
      <c r="AO748" s="198"/>
      <c r="AP748" s="198"/>
    </row>
    <row r="749" spans="1:42" s="118" customFormat="1">
      <c r="A749" s="257" t="s">
        <v>201</v>
      </c>
      <c r="B749" s="198">
        <f>B646</f>
        <v>2852676.2422525855</v>
      </c>
      <c r="C749" s="198">
        <f t="shared" ref="C749:AP749" si="467">C646</f>
        <v>2852676.2422525855</v>
      </c>
      <c r="D749" s="198">
        <f t="shared" si="467"/>
        <v>2852676.2422525855</v>
      </c>
      <c r="E749" s="198">
        <f t="shared" si="467"/>
        <v>2852676.2422525855</v>
      </c>
      <c r="F749" s="198">
        <f t="shared" si="467"/>
        <v>2852676.2422525855</v>
      </c>
      <c r="G749" s="198">
        <f t="shared" si="467"/>
        <v>2852676.2422525855</v>
      </c>
      <c r="H749" s="198">
        <f t="shared" si="467"/>
        <v>2852676.2422525855</v>
      </c>
      <c r="I749" s="198">
        <f t="shared" si="467"/>
        <v>2852676.2422525855</v>
      </c>
      <c r="J749" s="198">
        <f t="shared" si="467"/>
        <v>2852676.2422525855</v>
      </c>
      <c r="K749" s="198">
        <f t="shared" si="467"/>
        <v>2852676.2422525855</v>
      </c>
      <c r="L749" s="198">
        <f t="shared" si="467"/>
        <v>2852676.2422525855</v>
      </c>
      <c r="M749" s="198">
        <f t="shared" si="467"/>
        <v>2852676.2422525855</v>
      </c>
      <c r="N749" s="198">
        <f t="shared" si="467"/>
        <v>2852676.2422525855</v>
      </c>
      <c r="O749" s="198">
        <f t="shared" si="467"/>
        <v>2852676.2422525855</v>
      </c>
      <c r="P749" s="198">
        <f t="shared" si="467"/>
        <v>2852676.2422525855</v>
      </c>
      <c r="Q749" s="198">
        <f t="shared" si="467"/>
        <v>2852676.2422525855</v>
      </c>
      <c r="R749" s="198">
        <f t="shared" si="467"/>
        <v>2852676.2422525855</v>
      </c>
      <c r="S749" s="198">
        <f t="shared" si="467"/>
        <v>2852676.2422525855</v>
      </c>
      <c r="T749" s="198">
        <f t="shared" si="467"/>
        <v>2852676.2422525855</v>
      </c>
      <c r="U749" s="198">
        <f t="shared" si="467"/>
        <v>2852676.2422525855</v>
      </c>
      <c r="V749" s="198">
        <f t="shared" si="467"/>
        <v>2852676.2422525855</v>
      </c>
      <c r="W749" s="198">
        <f t="shared" si="467"/>
        <v>2852676.2422525855</v>
      </c>
      <c r="X749" s="198">
        <f t="shared" si="467"/>
        <v>2852676.2422525855</v>
      </c>
      <c r="Y749" s="198">
        <f t="shared" si="467"/>
        <v>2852676.2422525855</v>
      </c>
      <c r="Z749" s="198">
        <f t="shared" si="467"/>
        <v>2852676.2422525855</v>
      </c>
      <c r="AA749" s="198">
        <f t="shared" si="467"/>
        <v>2852676.2422525855</v>
      </c>
      <c r="AB749" s="198">
        <f t="shared" si="467"/>
        <v>2852676.2422525855</v>
      </c>
      <c r="AC749" s="198">
        <f t="shared" si="467"/>
        <v>2852676.2422525855</v>
      </c>
      <c r="AD749" s="198">
        <f t="shared" si="467"/>
        <v>2852676.2422525855</v>
      </c>
      <c r="AE749" s="198">
        <f t="shared" si="467"/>
        <v>2852676.2422525855</v>
      </c>
      <c r="AF749" s="198">
        <f t="shared" si="467"/>
        <v>0</v>
      </c>
      <c r="AG749" s="198">
        <f t="shared" si="467"/>
        <v>0</v>
      </c>
      <c r="AH749" s="198">
        <f t="shared" si="467"/>
        <v>0</v>
      </c>
      <c r="AI749" s="198">
        <f t="shared" si="467"/>
        <v>0</v>
      </c>
      <c r="AJ749" s="198">
        <f t="shared" si="467"/>
        <v>0</v>
      </c>
      <c r="AK749" s="198">
        <f t="shared" si="467"/>
        <v>0</v>
      </c>
      <c r="AL749" s="198">
        <f t="shared" si="467"/>
        <v>0</v>
      </c>
      <c r="AM749" s="198">
        <f t="shared" si="467"/>
        <v>0</v>
      </c>
      <c r="AN749" s="198">
        <f t="shared" si="467"/>
        <v>0</v>
      </c>
      <c r="AO749" s="198">
        <f t="shared" si="467"/>
        <v>0</v>
      </c>
      <c r="AP749" s="198">
        <f t="shared" si="467"/>
        <v>0</v>
      </c>
    </row>
    <row r="750" spans="1:42">
      <c r="A750" s="184" t="s">
        <v>200</v>
      </c>
      <c r="B750" s="186"/>
      <c r="C750" s="152">
        <f t="shared" ref="C750" si="468">IF(C$2&lt;=AnalysisPeriod,B749*InterestOnReserves,0)</f>
        <v>49921.834239420248</v>
      </c>
      <c r="D750" s="152">
        <f t="shared" ref="D750" si="469">IF(D$2&lt;=AnalysisPeriod,C749*InterestOnReserves,0)</f>
        <v>49921.834239420248</v>
      </c>
      <c r="E750" s="152">
        <f t="shared" ref="E750" si="470">IF(E$2&lt;=AnalysisPeriod,D749*InterestOnReserves,0)</f>
        <v>49921.834239420248</v>
      </c>
      <c r="F750" s="152">
        <f t="shared" ref="F750" si="471">IF(F$2&lt;=AnalysisPeriod,E749*InterestOnReserves,0)</f>
        <v>49921.834239420248</v>
      </c>
      <c r="G750" s="152">
        <f t="shared" ref="G750" si="472">IF(G$2&lt;=AnalysisPeriod,F749*InterestOnReserves,0)</f>
        <v>49921.834239420248</v>
      </c>
      <c r="H750" s="152">
        <f t="shared" ref="H750" si="473">IF(H$2&lt;=AnalysisPeriod,G749*InterestOnReserves,0)</f>
        <v>49921.834239420248</v>
      </c>
      <c r="I750" s="152">
        <f t="shared" ref="I750" si="474">IF(I$2&lt;=AnalysisPeriod,H749*InterestOnReserves,0)</f>
        <v>49921.834239420248</v>
      </c>
      <c r="J750" s="152">
        <f t="shared" ref="J750" si="475">IF(J$2&lt;=AnalysisPeriod,I749*InterestOnReserves,0)</f>
        <v>49921.834239420248</v>
      </c>
      <c r="K750" s="152">
        <f t="shared" ref="K750" si="476">IF(K$2&lt;=AnalysisPeriod,J749*InterestOnReserves,0)</f>
        <v>49921.834239420248</v>
      </c>
      <c r="L750" s="152">
        <f t="shared" ref="L750" si="477">IF(L$2&lt;=AnalysisPeriod,K749*InterestOnReserves,0)</f>
        <v>49921.834239420248</v>
      </c>
      <c r="M750" s="152">
        <f t="shared" ref="M750" si="478">IF(M$2&lt;=AnalysisPeriod,L749*InterestOnReserves,0)</f>
        <v>49921.834239420248</v>
      </c>
      <c r="N750" s="152">
        <f t="shared" ref="N750" si="479">IF(N$2&lt;=AnalysisPeriod,M749*InterestOnReserves,0)</f>
        <v>49921.834239420248</v>
      </c>
      <c r="O750" s="152">
        <f t="shared" ref="O750" si="480">IF(O$2&lt;=AnalysisPeriod,N749*InterestOnReserves,0)</f>
        <v>49921.834239420248</v>
      </c>
      <c r="P750" s="152">
        <f t="shared" ref="P750" si="481">IF(P$2&lt;=AnalysisPeriod,O749*InterestOnReserves,0)</f>
        <v>49921.834239420248</v>
      </c>
      <c r="Q750" s="152">
        <f t="shared" ref="Q750" si="482">IF(Q$2&lt;=AnalysisPeriod,P749*InterestOnReserves,0)</f>
        <v>49921.834239420248</v>
      </c>
      <c r="R750" s="152">
        <f t="shared" ref="R750" si="483">IF(R$2&lt;=AnalysisPeriod,Q749*InterestOnReserves,0)</f>
        <v>49921.834239420248</v>
      </c>
      <c r="S750" s="152">
        <f t="shared" ref="S750" si="484">IF(S$2&lt;=AnalysisPeriod,R749*InterestOnReserves,0)</f>
        <v>49921.834239420248</v>
      </c>
      <c r="T750" s="152">
        <f t="shared" ref="T750" si="485">IF(T$2&lt;=AnalysisPeriod,S749*InterestOnReserves,0)</f>
        <v>49921.834239420248</v>
      </c>
      <c r="U750" s="152">
        <f t="shared" ref="U750" si="486">IF(U$2&lt;=AnalysisPeriod,T749*InterestOnReserves,0)</f>
        <v>49921.834239420248</v>
      </c>
      <c r="V750" s="152">
        <f t="shared" ref="V750" si="487">IF(V$2&lt;=AnalysisPeriod,U749*InterestOnReserves,0)</f>
        <v>49921.834239420248</v>
      </c>
      <c r="W750" s="152">
        <f t="shared" ref="W750" si="488">IF(W$2&lt;=AnalysisPeriod,V749*InterestOnReserves,0)</f>
        <v>49921.834239420248</v>
      </c>
      <c r="X750" s="152">
        <f t="shared" ref="X750" si="489">IF(X$2&lt;=AnalysisPeriod,W749*InterestOnReserves,0)</f>
        <v>49921.834239420248</v>
      </c>
      <c r="Y750" s="152">
        <f t="shared" ref="Y750" si="490">IF(Y$2&lt;=AnalysisPeriod,X749*InterestOnReserves,0)</f>
        <v>49921.834239420248</v>
      </c>
      <c r="Z750" s="152">
        <f t="shared" ref="Z750" si="491">IF(Z$2&lt;=AnalysisPeriod,Y749*InterestOnReserves,0)</f>
        <v>49921.834239420248</v>
      </c>
      <c r="AA750" s="152">
        <f t="shared" ref="AA750" si="492">IF(AA$2&lt;=AnalysisPeriod,Z749*InterestOnReserves,0)</f>
        <v>49921.834239420248</v>
      </c>
      <c r="AB750" s="152">
        <f t="shared" ref="AB750" si="493">IF(AB$2&lt;=AnalysisPeriod,AA749*InterestOnReserves,0)</f>
        <v>49921.834239420248</v>
      </c>
      <c r="AC750" s="152">
        <f t="shared" ref="AC750" si="494">IF(AC$2&lt;=AnalysisPeriod,AB749*InterestOnReserves,0)</f>
        <v>49921.834239420248</v>
      </c>
      <c r="AD750" s="152">
        <f t="shared" ref="AD750" si="495">IF(AD$2&lt;=AnalysisPeriod,AC749*InterestOnReserves,0)</f>
        <v>49921.834239420248</v>
      </c>
      <c r="AE750" s="152">
        <f t="shared" ref="AE750" si="496">IF(AE$2&lt;=AnalysisPeriod,AD749*InterestOnReserves,0)</f>
        <v>49921.834239420248</v>
      </c>
      <c r="AF750" s="152">
        <f t="shared" ref="AF750" si="497">IF(AF$2&lt;=AnalysisPeriod,AE749*InterestOnReserves,0)</f>
        <v>49921.834239420248</v>
      </c>
      <c r="AG750" s="152">
        <f t="shared" ref="AG750" si="498">IF(AG$2&lt;=AnalysisPeriod,AF749*InterestOnReserves,0)</f>
        <v>0</v>
      </c>
      <c r="AH750" s="152">
        <f t="shared" ref="AH750" si="499">IF(AH$2&lt;=AnalysisPeriod,AG749*InterestOnReserves,0)</f>
        <v>0</v>
      </c>
      <c r="AI750" s="152">
        <f t="shared" ref="AI750" si="500">IF(AI$2&lt;=AnalysisPeriod,AH749*InterestOnReserves,0)</f>
        <v>0</v>
      </c>
      <c r="AJ750" s="152">
        <f t="shared" ref="AJ750" si="501">IF(AJ$2&lt;=AnalysisPeriod,AI749*InterestOnReserves,0)</f>
        <v>0</v>
      </c>
      <c r="AK750" s="152">
        <f t="shared" ref="AK750" si="502">IF(AK$2&lt;=AnalysisPeriod,AJ749*InterestOnReserves,0)</f>
        <v>0</v>
      </c>
      <c r="AL750" s="152">
        <f t="shared" ref="AL750" si="503">IF(AL$2&lt;=AnalysisPeriod,AK749*InterestOnReserves,0)</f>
        <v>0</v>
      </c>
      <c r="AM750" s="152">
        <f t="shared" ref="AM750" si="504">IF(AM$2&lt;=AnalysisPeriod,AL749*InterestOnReserves,0)</f>
        <v>0</v>
      </c>
      <c r="AN750" s="152">
        <f t="shared" ref="AN750" si="505">IF(AN$2&lt;=AnalysisPeriod,AM749*InterestOnReserves,0)</f>
        <v>0</v>
      </c>
      <c r="AO750" s="152">
        <f t="shared" ref="AO750" si="506">IF(AO$2&lt;=AnalysisPeriod,AN749*InterestOnReserves,0)</f>
        <v>0</v>
      </c>
      <c r="AP750" s="152">
        <f t="shared" ref="AP750" si="507">IF(AP$2&lt;=AnalysisPeriod,AO749*InterestOnReserves,0)</f>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5.xml><?xml version="1.0" encoding="utf-8"?>
<worksheet xmlns="http://schemas.openxmlformats.org/spreadsheetml/2006/main" xmlns:r="http://schemas.openxmlformats.org/officeDocument/2006/relationships">
  <sheetPr codeName="Sheet7"/>
  <dimension ref="A1:AP665"/>
  <sheetViews>
    <sheetView zoomScaleNormal="100" workbookViewId="0">
      <pane xSplit="1" ySplit="2" topLeftCell="B332" activePane="bottomRight" state="frozen"/>
      <selection pane="topRight" activeCell="B1" sqref="B1"/>
      <selection pane="bottomLeft" activeCell="A3" sqref="A3"/>
      <selection pane="bottomRight" activeCell="G352" sqref="G352"/>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28</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SOPPAPrice*(1+SOPPAPriceEsc)^B2</f>
        <v>23.476711718495089</v>
      </c>
      <c r="D11" s="185">
        <f t="shared" si="2"/>
        <v>23.71147883568004</v>
      </c>
      <c r="E11" s="185">
        <f t="shared" si="2"/>
        <v>23.948593624036839</v>
      </c>
      <c r="F11" s="185">
        <f t="shared" si="2"/>
        <v>24.188079560277206</v>
      </c>
      <c r="G11" s="185">
        <f t="shared" si="2"/>
        <v>24.429960355879981</v>
      </c>
      <c r="H11" s="185">
        <f t="shared" si="2"/>
        <v>24.674259959438778</v>
      </c>
      <c r="I11" s="185">
        <f t="shared" si="2"/>
        <v>24.921002559033173</v>
      </c>
      <c r="J11" s="185">
        <f t="shared" si="2"/>
        <v>25.170212584623496</v>
      </c>
      <c r="K11" s="185">
        <f t="shared" si="2"/>
        <v>25.421914710469739</v>
      </c>
      <c r="L11" s="185">
        <f t="shared" si="2"/>
        <v>25.676133857574438</v>
      </c>
      <c r="M11" s="185">
        <f t="shared" si="2"/>
        <v>25.932895196150181</v>
      </c>
      <c r="N11" s="185">
        <f t="shared" si="2"/>
        <v>26.192224148111677</v>
      </c>
      <c r="O11" s="185">
        <f t="shared" si="2"/>
        <v>26.454146389592797</v>
      </c>
      <c r="P11" s="185">
        <f t="shared" si="2"/>
        <v>26.718687853488724</v>
      </c>
      <c r="Q11" s="185">
        <f t="shared" si="2"/>
        <v>26.985874732023618</v>
      </c>
      <c r="R11" s="185">
        <f t="shared" si="2"/>
        <v>27.255733479343846</v>
      </c>
      <c r="S11" s="185">
        <f t="shared" si="2"/>
        <v>27.528290814137293</v>
      </c>
      <c r="T11" s="185">
        <f t="shared" si="2"/>
        <v>27.803573722278667</v>
      </c>
      <c r="U11" s="185">
        <f t="shared" si="2"/>
        <v>28.081609459501454</v>
      </c>
      <c r="V11" s="185">
        <f t="shared" si="2"/>
        <v>28.362425554096461</v>
      </c>
      <c r="W11" s="185">
        <f t="shared" si="2"/>
        <v>28.646049809637429</v>
      </c>
      <c r="X11" s="185">
        <f t="shared" si="2"/>
        <v>28.9325103077338</v>
      </c>
      <c r="Y11" s="185">
        <f t="shared" si="2"/>
        <v>29.221835410811146</v>
      </c>
      <c r="Z11" s="185">
        <f t="shared" si="2"/>
        <v>29.51405376491925</v>
      </c>
      <c r="AA11" s="185">
        <f t="shared" si="2"/>
        <v>29.80919430256845</v>
      </c>
      <c r="AB11" s="185">
        <f t="shared" si="2"/>
        <v>30.107286245594139</v>
      </c>
      <c r="AC11" s="185">
        <f t="shared" si="2"/>
        <v>30.408359108050078</v>
      </c>
      <c r="AD11" s="185">
        <f t="shared" si="2"/>
        <v>30.71244269913057</v>
      </c>
      <c r="AE11" s="185">
        <f t="shared" si="2"/>
        <v>31.019567126121878</v>
      </c>
      <c r="AF11" s="185">
        <f t="shared" si="2"/>
        <v>31.329762797383101</v>
      </c>
      <c r="AG11" s="185">
        <f t="shared" si="2"/>
        <v>31.643060425356936</v>
      </c>
      <c r="AH11" s="185">
        <f t="shared" si="2"/>
        <v>31.959491029610493</v>
      </c>
      <c r="AI11" s="185">
        <f t="shared" si="2"/>
        <v>32.279085939906608</v>
      </c>
      <c r="AJ11" s="185">
        <f t="shared" si="2"/>
        <v>32.601876799305671</v>
      </c>
      <c r="AK11" s="185">
        <f t="shared" si="2"/>
        <v>32.927895567298734</v>
      </c>
      <c r="AL11" s="185">
        <f t="shared" si="2"/>
        <v>33.257174522971717</v>
      </c>
      <c r="AM11" s="185">
        <f t="shared" si="2"/>
        <v>33.589746268201431</v>
      </c>
      <c r="AN11" s="185">
        <f t="shared" si="2"/>
        <v>33.925643730883451</v>
      </c>
      <c r="AO11" s="185">
        <f t="shared" si="2"/>
        <v>34.264900168192284</v>
      </c>
      <c r="AP11" s="185">
        <f t="shared" si="2"/>
        <v>34.607549169874197</v>
      </c>
    </row>
    <row r="12" spans="1:42">
      <c r="A12" s="184" t="s">
        <v>74</v>
      </c>
      <c r="C12" s="152">
        <f t="shared" ref="C12:AP12" si="3">C10*C11/100</f>
        <v>3991040.9921441651</v>
      </c>
      <c r="D12" s="152">
        <f t="shared" si="3"/>
        <v>4010796.6450552787</v>
      </c>
      <c r="E12" s="152">
        <f t="shared" si="3"/>
        <v>4030650.0884483024</v>
      </c>
      <c r="F12" s="152">
        <f t="shared" si="3"/>
        <v>4050601.8063861211</v>
      </c>
      <c r="G12" s="152">
        <f t="shared" si="3"/>
        <v>4070652.2853277326</v>
      </c>
      <c r="H12" s="152">
        <f t="shared" si="3"/>
        <v>4090802.0141401039</v>
      </c>
      <c r="I12" s="152">
        <f t="shared" si="3"/>
        <v>4111051.4841100993</v>
      </c>
      <c r="J12" s="152">
        <f t="shared" si="3"/>
        <v>4131401.1889564423</v>
      </c>
      <c r="K12" s="152">
        <f t="shared" si="3"/>
        <v>4151851.6248417781</v>
      </c>
      <c r="L12" s="152">
        <f t="shared" si="3"/>
        <v>4172403.2903847457</v>
      </c>
      <c r="M12" s="152">
        <f t="shared" si="3"/>
        <v>4193056.6866721497</v>
      </c>
      <c r="N12" s="152">
        <f t="shared" si="3"/>
        <v>4213812.3172711758</v>
      </c>
      <c r="O12" s="152">
        <f t="shared" si="3"/>
        <v>4234670.688241669</v>
      </c>
      <c r="P12" s="152">
        <f t="shared" si="3"/>
        <v>4255632.3081484651</v>
      </c>
      <c r="Q12" s="152">
        <f t="shared" si="3"/>
        <v>4276697.6880738009</v>
      </c>
      <c r="R12" s="152">
        <f t="shared" si="3"/>
        <v>4297867.341629765</v>
      </c>
      <c r="S12" s="152">
        <f t="shared" si="3"/>
        <v>4319141.784970833</v>
      </c>
      <c r="T12" s="152">
        <f t="shared" si="3"/>
        <v>4340521.536806439</v>
      </c>
      <c r="U12" s="152">
        <f t="shared" si="3"/>
        <v>4362007.1184136309</v>
      </c>
      <c r="V12" s="152">
        <f t="shared" si="3"/>
        <v>4383599.0536497775</v>
      </c>
      <c r="W12" s="152">
        <f t="shared" si="3"/>
        <v>4405297.8689653436</v>
      </c>
      <c r="X12" s="152">
        <f t="shared" si="3"/>
        <v>4427104.0934167216</v>
      </c>
      <c r="Y12" s="152">
        <f t="shared" si="3"/>
        <v>4449018.2586791357</v>
      </c>
      <c r="Z12" s="152">
        <f t="shared" si="3"/>
        <v>4471040.8990595965</v>
      </c>
      <c r="AA12" s="152">
        <f t="shared" si="3"/>
        <v>4493172.5515099429</v>
      </c>
      <c r="AB12" s="152">
        <f t="shared" si="3"/>
        <v>4515413.7556399181</v>
      </c>
      <c r="AC12" s="152">
        <f t="shared" si="3"/>
        <v>4537765.0537303351</v>
      </c>
      <c r="AD12" s="152">
        <f t="shared" si="3"/>
        <v>4560226.9907462988</v>
      </c>
      <c r="AE12" s="152">
        <f t="shared" si="3"/>
        <v>4582800.1143504921</v>
      </c>
      <c r="AF12" s="152">
        <f t="shared" si="3"/>
        <v>4605484.974916528</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c r="A13" s="37" t="s">
        <v>77</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row>
    <row r="14" spans="1:42">
      <c r="A14" s="184" t="str">
        <f>'Inputs &amp; Results'!A60</f>
        <v>Federal</v>
      </c>
      <c r="C14" s="186">
        <f t="shared" ref="C14:AP14" si="4">IF(PBIFedDebtSwitch="Yes",C509,0)</f>
        <v>0</v>
      </c>
      <c r="D14" s="186">
        <f t="shared" si="4"/>
        <v>0</v>
      </c>
      <c r="E14" s="186">
        <f t="shared" si="4"/>
        <v>0</v>
      </c>
      <c r="F14" s="186">
        <f t="shared" si="4"/>
        <v>0</v>
      </c>
      <c r="G14" s="186">
        <f t="shared" si="4"/>
        <v>0</v>
      </c>
      <c r="H14" s="186">
        <f t="shared" si="4"/>
        <v>0</v>
      </c>
      <c r="I14" s="186">
        <f t="shared" si="4"/>
        <v>0</v>
      </c>
      <c r="J14" s="186">
        <f t="shared" si="4"/>
        <v>0</v>
      </c>
      <c r="K14" s="186">
        <f t="shared" si="4"/>
        <v>0</v>
      </c>
      <c r="L14" s="186">
        <f t="shared" si="4"/>
        <v>0</v>
      </c>
      <c r="M14" s="186">
        <f t="shared" si="4"/>
        <v>0</v>
      </c>
      <c r="N14" s="186">
        <f t="shared" si="4"/>
        <v>0</v>
      </c>
      <c r="O14" s="186">
        <f t="shared" si="4"/>
        <v>0</v>
      </c>
      <c r="P14" s="186">
        <f t="shared" si="4"/>
        <v>0</v>
      </c>
      <c r="Q14" s="186">
        <f t="shared" si="4"/>
        <v>0</v>
      </c>
      <c r="R14" s="186">
        <f t="shared" si="4"/>
        <v>0</v>
      </c>
      <c r="S14" s="186">
        <f t="shared" si="4"/>
        <v>0</v>
      </c>
      <c r="T14" s="186">
        <f t="shared" si="4"/>
        <v>0</v>
      </c>
      <c r="U14" s="186">
        <f t="shared" si="4"/>
        <v>0</v>
      </c>
      <c r="V14" s="186">
        <f t="shared" si="4"/>
        <v>0</v>
      </c>
      <c r="W14" s="186">
        <f t="shared" si="4"/>
        <v>0</v>
      </c>
      <c r="X14" s="186">
        <f t="shared" si="4"/>
        <v>0</v>
      </c>
      <c r="Y14" s="186">
        <f t="shared" si="4"/>
        <v>0</v>
      </c>
      <c r="Z14" s="186">
        <f t="shared" si="4"/>
        <v>0</v>
      </c>
      <c r="AA14" s="186">
        <f t="shared" si="4"/>
        <v>0</v>
      </c>
      <c r="AB14" s="186">
        <f t="shared" si="4"/>
        <v>0</v>
      </c>
      <c r="AC14" s="186">
        <f t="shared" si="4"/>
        <v>0</v>
      </c>
      <c r="AD14" s="186">
        <f t="shared" si="4"/>
        <v>0</v>
      </c>
      <c r="AE14" s="186">
        <f t="shared" si="4"/>
        <v>0</v>
      </c>
      <c r="AF14" s="186">
        <f t="shared" si="4"/>
        <v>0</v>
      </c>
      <c r="AG14" s="186">
        <f t="shared" si="4"/>
        <v>0</v>
      </c>
      <c r="AH14" s="186">
        <f t="shared" si="4"/>
        <v>0</v>
      </c>
      <c r="AI14" s="186">
        <f t="shared" si="4"/>
        <v>0</v>
      </c>
      <c r="AJ14" s="186">
        <f t="shared" si="4"/>
        <v>0</v>
      </c>
      <c r="AK14" s="186">
        <f t="shared" si="4"/>
        <v>0</v>
      </c>
      <c r="AL14" s="186">
        <f t="shared" si="4"/>
        <v>0</v>
      </c>
      <c r="AM14" s="186">
        <f t="shared" si="4"/>
        <v>0</v>
      </c>
      <c r="AN14" s="186">
        <f t="shared" si="4"/>
        <v>0</v>
      </c>
      <c r="AO14" s="186">
        <f t="shared" si="4"/>
        <v>0</v>
      </c>
      <c r="AP14" s="186">
        <f t="shared" si="4"/>
        <v>0</v>
      </c>
    </row>
    <row r="15" spans="1:42">
      <c r="A15" s="184" t="str">
        <f>'Inputs &amp; Results'!A61</f>
        <v>State</v>
      </c>
      <c r="C15" s="186">
        <f t="shared" ref="C15:AP15" si="5">IF(PBIStateDebtSwitch="Yes",C513,0)</f>
        <v>0</v>
      </c>
      <c r="D15" s="186">
        <f t="shared" si="5"/>
        <v>0</v>
      </c>
      <c r="E15" s="186">
        <f t="shared" si="5"/>
        <v>0</v>
      </c>
      <c r="F15" s="186">
        <f t="shared" si="5"/>
        <v>0</v>
      </c>
      <c r="G15" s="186">
        <f t="shared" si="5"/>
        <v>0</v>
      </c>
      <c r="H15" s="186">
        <f t="shared" si="5"/>
        <v>0</v>
      </c>
      <c r="I15" s="186">
        <f t="shared" si="5"/>
        <v>0</v>
      </c>
      <c r="J15" s="186">
        <f t="shared" si="5"/>
        <v>0</v>
      </c>
      <c r="K15" s="186">
        <f t="shared" si="5"/>
        <v>0</v>
      </c>
      <c r="L15" s="186">
        <f t="shared" si="5"/>
        <v>0</v>
      </c>
      <c r="M15" s="186">
        <f t="shared" si="5"/>
        <v>0</v>
      </c>
      <c r="N15" s="186">
        <f t="shared" si="5"/>
        <v>0</v>
      </c>
      <c r="O15" s="186">
        <f t="shared" si="5"/>
        <v>0</v>
      </c>
      <c r="P15" s="186">
        <f t="shared" si="5"/>
        <v>0</v>
      </c>
      <c r="Q15" s="186">
        <f t="shared" si="5"/>
        <v>0</v>
      </c>
      <c r="R15" s="186">
        <f t="shared" si="5"/>
        <v>0</v>
      </c>
      <c r="S15" s="186">
        <f t="shared" si="5"/>
        <v>0</v>
      </c>
      <c r="T15" s="186">
        <f t="shared" si="5"/>
        <v>0</v>
      </c>
      <c r="U15" s="186">
        <f t="shared" si="5"/>
        <v>0</v>
      </c>
      <c r="V15" s="186">
        <f t="shared" si="5"/>
        <v>0</v>
      </c>
      <c r="W15" s="186">
        <f t="shared" si="5"/>
        <v>0</v>
      </c>
      <c r="X15" s="186">
        <f t="shared" si="5"/>
        <v>0</v>
      </c>
      <c r="Y15" s="186">
        <f t="shared" si="5"/>
        <v>0</v>
      </c>
      <c r="Z15" s="186">
        <f t="shared" si="5"/>
        <v>0</v>
      </c>
      <c r="AA15" s="186">
        <f t="shared" si="5"/>
        <v>0</v>
      </c>
      <c r="AB15" s="186">
        <f t="shared" si="5"/>
        <v>0</v>
      </c>
      <c r="AC15" s="186">
        <f t="shared" si="5"/>
        <v>0</v>
      </c>
      <c r="AD15" s="186">
        <f t="shared" si="5"/>
        <v>0</v>
      </c>
      <c r="AE15" s="186">
        <f t="shared" si="5"/>
        <v>0</v>
      </c>
      <c r="AF15" s="186">
        <f t="shared" si="5"/>
        <v>0</v>
      </c>
      <c r="AG15" s="186">
        <f t="shared" si="5"/>
        <v>0</v>
      </c>
      <c r="AH15" s="186">
        <f t="shared" si="5"/>
        <v>0</v>
      </c>
      <c r="AI15" s="186">
        <f t="shared" si="5"/>
        <v>0</v>
      </c>
      <c r="AJ15" s="186">
        <f t="shared" si="5"/>
        <v>0</v>
      </c>
      <c r="AK15" s="186">
        <f t="shared" si="5"/>
        <v>0</v>
      </c>
      <c r="AL15" s="186">
        <f t="shared" si="5"/>
        <v>0</v>
      </c>
      <c r="AM15" s="186">
        <f t="shared" si="5"/>
        <v>0</v>
      </c>
      <c r="AN15" s="186">
        <f t="shared" si="5"/>
        <v>0</v>
      </c>
      <c r="AO15" s="186">
        <f t="shared" si="5"/>
        <v>0</v>
      </c>
      <c r="AP15" s="186">
        <f t="shared" si="5"/>
        <v>0</v>
      </c>
    </row>
    <row r="16" spans="1:42">
      <c r="A16" s="184" t="str">
        <f>'Inputs &amp; Results'!A62</f>
        <v>Utility</v>
      </c>
      <c r="C16" s="186">
        <f t="shared" ref="C16:AP16" si="6">IF(PBIUtilityDebtSwitch="Yes",C517,0)</f>
        <v>0</v>
      </c>
      <c r="D16" s="186">
        <f t="shared" si="6"/>
        <v>0</v>
      </c>
      <c r="E16" s="186">
        <f t="shared" si="6"/>
        <v>0</v>
      </c>
      <c r="F16" s="186">
        <f t="shared" si="6"/>
        <v>0</v>
      </c>
      <c r="G16" s="186">
        <f t="shared" si="6"/>
        <v>0</v>
      </c>
      <c r="H16" s="186">
        <f t="shared" si="6"/>
        <v>0</v>
      </c>
      <c r="I16" s="186">
        <f t="shared" si="6"/>
        <v>0</v>
      </c>
      <c r="J16" s="186">
        <f t="shared" si="6"/>
        <v>0</v>
      </c>
      <c r="K16" s="186">
        <f t="shared" si="6"/>
        <v>0</v>
      </c>
      <c r="L16" s="186">
        <f t="shared" si="6"/>
        <v>0</v>
      </c>
      <c r="M16" s="186">
        <f t="shared" si="6"/>
        <v>0</v>
      </c>
      <c r="N16" s="186">
        <f t="shared" si="6"/>
        <v>0</v>
      </c>
      <c r="O16" s="186">
        <f t="shared" si="6"/>
        <v>0</v>
      </c>
      <c r="P16" s="186">
        <f t="shared" si="6"/>
        <v>0</v>
      </c>
      <c r="Q16" s="186">
        <f t="shared" si="6"/>
        <v>0</v>
      </c>
      <c r="R16" s="186">
        <f t="shared" si="6"/>
        <v>0</v>
      </c>
      <c r="S16" s="186">
        <f t="shared" si="6"/>
        <v>0</v>
      </c>
      <c r="T16" s="186">
        <f t="shared" si="6"/>
        <v>0</v>
      </c>
      <c r="U16" s="186">
        <f t="shared" si="6"/>
        <v>0</v>
      </c>
      <c r="V16" s="186">
        <f t="shared" si="6"/>
        <v>0</v>
      </c>
      <c r="W16" s="186">
        <f t="shared" si="6"/>
        <v>0</v>
      </c>
      <c r="X16" s="186">
        <f t="shared" si="6"/>
        <v>0</v>
      </c>
      <c r="Y16" s="186">
        <f t="shared" si="6"/>
        <v>0</v>
      </c>
      <c r="Z16" s="186">
        <f t="shared" si="6"/>
        <v>0</v>
      </c>
      <c r="AA16" s="186">
        <f t="shared" si="6"/>
        <v>0</v>
      </c>
      <c r="AB16" s="186">
        <f t="shared" si="6"/>
        <v>0</v>
      </c>
      <c r="AC16" s="186">
        <f t="shared" si="6"/>
        <v>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row>
    <row r="17" spans="1:42">
      <c r="A17" s="184" t="str">
        <f>'Inputs &amp; Results'!A63</f>
        <v>Other</v>
      </c>
      <c r="C17" s="187">
        <f t="shared" ref="C17:AP17" si="7">IF(PBIOtherDebtSwitch="Yes",C521,0)</f>
        <v>0</v>
      </c>
      <c r="D17" s="187">
        <f t="shared" si="7"/>
        <v>0</v>
      </c>
      <c r="E17" s="187">
        <f t="shared" si="7"/>
        <v>0</v>
      </c>
      <c r="F17" s="187">
        <f t="shared" si="7"/>
        <v>0</v>
      </c>
      <c r="G17" s="187">
        <f t="shared" si="7"/>
        <v>0</v>
      </c>
      <c r="H17" s="187">
        <f t="shared" si="7"/>
        <v>0</v>
      </c>
      <c r="I17" s="187">
        <f t="shared" si="7"/>
        <v>0</v>
      </c>
      <c r="J17" s="187">
        <f t="shared" si="7"/>
        <v>0</v>
      </c>
      <c r="K17" s="187">
        <f t="shared" si="7"/>
        <v>0</v>
      </c>
      <c r="L17" s="187">
        <f t="shared" si="7"/>
        <v>0</v>
      </c>
      <c r="M17" s="187">
        <f t="shared" si="7"/>
        <v>0</v>
      </c>
      <c r="N17" s="187">
        <f t="shared" si="7"/>
        <v>0</v>
      </c>
      <c r="O17" s="187">
        <f t="shared" si="7"/>
        <v>0</v>
      </c>
      <c r="P17" s="187">
        <f t="shared" si="7"/>
        <v>0</v>
      </c>
      <c r="Q17" s="187">
        <f t="shared" si="7"/>
        <v>0</v>
      </c>
      <c r="R17" s="187">
        <f t="shared" si="7"/>
        <v>0</v>
      </c>
      <c r="S17" s="187">
        <f t="shared" si="7"/>
        <v>0</v>
      </c>
      <c r="T17" s="187">
        <f t="shared" si="7"/>
        <v>0</v>
      </c>
      <c r="U17" s="187">
        <f t="shared" si="7"/>
        <v>0</v>
      </c>
      <c r="V17" s="187">
        <f t="shared" si="7"/>
        <v>0</v>
      </c>
      <c r="W17" s="187">
        <f t="shared" si="7"/>
        <v>0</v>
      </c>
      <c r="X17" s="187">
        <f t="shared" si="7"/>
        <v>0</v>
      </c>
      <c r="Y17" s="187">
        <f t="shared" si="7"/>
        <v>0</v>
      </c>
      <c r="Z17" s="187">
        <f t="shared" si="7"/>
        <v>0</v>
      </c>
      <c r="AA17" s="187">
        <f t="shared" si="7"/>
        <v>0</v>
      </c>
      <c r="AB17" s="187">
        <f t="shared" si="7"/>
        <v>0</v>
      </c>
      <c r="AC17" s="187">
        <f t="shared" si="7"/>
        <v>0</v>
      </c>
      <c r="AD17" s="187">
        <f t="shared" si="7"/>
        <v>0</v>
      </c>
      <c r="AE17" s="187">
        <f t="shared" si="7"/>
        <v>0</v>
      </c>
      <c r="AF17" s="187">
        <f t="shared" si="7"/>
        <v>0</v>
      </c>
      <c r="AG17" s="187">
        <f t="shared" si="7"/>
        <v>0</v>
      </c>
      <c r="AH17" s="187">
        <f t="shared" si="7"/>
        <v>0</v>
      </c>
      <c r="AI17" s="187">
        <f t="shared" si="7"/>
        <v>0</v>
      </c>
      <c r="AJ17" s="187">
        <f t="shared" si="7"/>
        <v>0</v>
      </c>
      <c r="AK17" s="187">
        <f t="shared" si="7"/>
        <v>0</v>
      </c>
      <c r="AL17" s="187">
        <f t="shared" si="7"/>
        <v>0</v>
      </c>
      <c r="AM17" s="187">
        <f t="shared" si="7"/>
        <v>0</v>
      </c>
      <c r="AN17" s="187">
        <f t="shared" si="7"/>
        <v>0</v>
      </c>
      <c r="AO17" s="187">
        <f t="shared" si="7"/>
        <v>0</v>
      </c>
      <c r="AP17" s="187">
        <f t="shared" si="7"/>
        <v>0</v>
      </c>
    </row>
    <row r="18" spans="1:42">
      <c r="A18" s="184" t="s">
        <v>78</v>
      </c>
      <c r="C18" s="188">
        <f>SUM(C14:C17)</f>
        <v>0</v>
      </c>
      <c r="D18" s="188">
        <f t="shared" ref="D18:AP18" si="8">SUM(D14:D17)</f>
        <v>0</v>
      </c>
      <c r="E18" s="188">
        <f t="shared" si="8"/>
        <v>0</v>
      </c>
      <c r="F18" s="188">
        <f t="shared" si="8"/>
        <v>0</v>
      </c>
      <c r="G18" s="188">
        <f t="shared" si="8"/>
        <v>0</v>
      </c>
      <c r="H18" s="188">
        <f t="shared" si="8"/>
        <v>0</v>
      </c>
      <c r="I18" s="188">
        <f t="shared" si="8"/>
        <v>0</v>
      </c>
      <c r="J18" s="188">
        <f t="shared" si="8"/>
        <v>0</v>
      </c>
      <c r="K18" s="188">
        <f t="shared" si="8"/>
        <v>0</v>
      </c>
      <c r="L18" s="188">
        <f t="shared" si="8"/>
        <v>0</v>
      </c>
      <c r="M18" s="188">
        <f t="shared" si="8"/>
        <v>0</v>
      </c>
      <c r="N18" s="188">
        <f t="shared" si="8"/>
        <v>0</v>
      </c>
      <c r="O18" s="188">
        <f t="shared" si="8"/>
        <v>0</v>
      </c>
      <c r="P18" s="188">
        <f t="shared" si="8"/>
        <v>0</v>
      </c>
      <c r="Q18" s="188">
        <f t="shared" si="8"/>
        <v>0</v>
      </c>
      <c r="R18" s="188">
        <f t="shared" si="8"/>
        <v>0</v>
      </c>
      <c r="S18" s="188">
        <f t="shared" si="8"/>
        <v>0</v>
      </c>
      <c r="T18" s="188">
        <f t="shared" si="8"/>
        <v>0</v>
      </c>
      <c r="U18" s="188">
        <f t="shared" si="8"/>
        <v>0</v>
      </c>
      <c r="V18" s="188">
        <f t="shared" si="8"/>
        <v>0</v>
      </c>
      <c r="W18" s="188">
        <f t="shared" si="8"/>
        <v>0</v>
      </c>
      <c r="X18" s="188">
        <f t="shared" si="8"/>
        <v>0</v>
      </c>
      <c r="Y18" s="188">
        <f t="shared" si="8"/>
        <v>0</v>
      </c>
      <c r="Z18" s="188">
        <f t="shared" si="8"/>
        <v>0</v>
      </c>
      <c r="AA18" s="188">
        <f t="shared" si="8"/>
        <v>0</v>
      </c>
      <c r="AB18" s="188">
        <f t="shared" si="8"/>
        <v>0</v>
      </c>
      <c r="AC18" s="188">
        <f t="shared" si="8"/>
        <v>0</v>
      </c>
      <c r="AD18" s="188">
        <f t="shared" si="8"/>
        <v>0</v>
      </c>
      <c r="AE18" s="188">
        <f t="shared" si="8"/>
        <v>0</v>
      </c>
      <c r="AF18" s="188">
        <f t="shared" si="8"/>
        <v>0</v>
      </c>
      <c r="AG18" s="188">
        <f t="shared" si="8"/>
        <v>0</v>
      </c>
      <c r="AH18" s="188">
        <f t="shared" si="8"/>
        <v>0</v>
      </c>
      <c r="AI18" s="188">
        <f t="shared" si="8"/>
        <v>0</v>
      </c>
      <c r="AJ18" s="188">
        <f t="shared" si="8"/>
        <v>0</v>
      </c>
      <c r="AK18" s="188">
        <f t="shared" si="8"/>
        <v>0</v>
      </c>
      <c r="AL18" s="188">
        <f t="shared" si="8"/>
        <v>0</v>
      </c>
      <c r="AM18" s="188">
        <f t="shared" si="8"/>
        <v>0</v>
      </c>
      <c r="AN18" s="188">
        <f t="shared" si="8"/>
        <v>0</v>
      </c>
      <c r="AO18" s="188">
        <f t="shared" si="8"/>
        <v>0</v>
      </c>
      <c r="AP18" s="188">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3991040.9921441651</v>
      </c>
      <c r="D20" s="152">
        <f t="shared" si="10"/>
        <v>4010796.6450552787</v>
      </c>
      <c r="E20" s="152">
        <f t="shared" si="10"/>
        <v>4030650.0884483024</v>
      </c>
      <c r="F20" s="152">
        <f t="shared" si="10"/>
        <v>4050601.8063861211</v>
      </c>
      <c r="G20" s="152">
        <f t="shared" si="10"/>
        <v>4070652.2853277326</v>
      </c>
      <c r="H20" s="152">
        <f t="shared" si="10"/>
        <v>4090802.0141401039</v>
      </c>
      <c r="I20" s="152">
        <f t="shared" si="10"/>
        <v>4111051.4841100993</v>
      </c>
      <c r="J20" s="152">
        <f t="shared" si="10"/>
        <v>4131401.1889564423</v>
      </c>
      <c r="K20" s="152">
        <f t="shared" si="10"/>
        <v>4151851.6248417781</v>
      </c>
      <c r="L20" s="152">
        <f t="shared" si="10"/>
        <v>4172403.2903847457</v>
      </c>
      <c r="M20" s="152">
        <f t="shared" si="10"/>
        <v>4193056.6866721497</v>
      </c>
      <c r="N20" s="152">
        <f t="shared" si="10"/>
        <v>4213812.3172711758</v>
      </c>
      <c r="O20" s="152">
        <f t="shared" si="10"/>
        <v>4234670.688241669</v>
      </c>
      <c r="P20" s="152">
        <f t="shared" si="10"/>
        <v>4255632.3081484651</v>
      </c>
      <c r="Q20" s="152">
        <f t="shared" si="10"/>
        <v>4276697.6880738009</v>
      </c>
      <c r="R20" s="152">
        <f t="shared" si="10"/>
        <v>4297867.341629765</v>
      </c>
      <c r="S20" s="152">
        <f t="shared" si="10"/>
        <v>4319141.784970833</v>
      </c>
      <c r="T20" s="152">
        <f t="shared" si="10"/>
        <v>4340521.536806439</v>
      </c>
      <c r="U20" s="152">
        <f t="shared" si="10"/>
        <v>4362007.1184136309</v>
      </c>
      <c r="V20" s="152">
        <f t="shared" si="10"/>
        <v>4383599.0536497775</v>
      </c>
      <c r="W20" s="152">
        <f t="shared" si="10"/>
        <v>4405297.8689653436</v>
      </c>
      <c r="X20" s="152">
        <f t="shared" si="10"/>
        <v>4427104.0934167216</v>
      </c>
      <c r="Y20" s="152">
        <f t="shared" si="10"/>
        <v>4449018.2586791357</v>
      </c>
      <c r="Z20" s="152">
        <f t="shared" si="10"/>
        <v>4471040.8990595965</v>
      </c>
      <c r="AA20" s="152">
        <f t="shared" si="10"/>
        <v>4493172.5515099429</v>
      </c>
      <c r="AB20" s="152">
        <f t="shared" si="10"/>
        <v>4515413.7556399181</v>
      </c>
      <c r="AC20" s="152">
        <f t="shared" si="10"/>
        <v>4537765.0537303351</v>
      </c>
      <c r="AD20" s="152">
        <f t="shared" si="10"/>
        <v>4560226.9907462988</v>
      </c>
      <c r="AE20" s="152">
        <f t="shared" si="10"/>
        <v>4582800.1143504921</v>
      </c>
      <c r="AF20" s="152">
        <f t="shared" si="10"/>
        <v>8628199.9749165289</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37">C23+C27+C31+C39+C40</f>
        <v>777254.19374999998</v>
      </c>
      <c r="D41" s="152">
        <f t="shared" si="37"/>
        <v>771730.84531250002</v>
      </c>
      <c r="E41" s="152">
        <f t="shared" si="37"/>
        <v>766376.23850343737</v>
      </c>
      <c r="F41" s="152">
        <f t="shared" si="37"/>
        <v>761193.77251473407</v>
      </c>
      <c r="G41" s="152">
        <f t="shared" si="37"/>
        <v>756186.91758800286</v>
      </c>
      <c r="H41" s="152">
        <f t="shared" si="37"/>
        <v>751359.21653930179</v>
      </c>
      <c r="I41" s="152">
        <f t="shared" si="37"/>
        <v>746714.28631722322</v>
      </c>
      <c r="J41" s="152">
        <f t="shared" si="37"/>
        <v>742255.81959505379</v>
      </c>
      <c r="K41" s="152">
        <f t="shared" si="37"/>
        <v>737987.58639776008</v>
      </c>
      <c r="L41" s="152">
        <f t="shared" si="37"/>
        <v>733913.4357645741</v>
      </c>
      <c r="M41" s="152">
        <f t="shared" si="37"/>
        <v>730037.29744796408</v>
      </c>
      <c r="N41" s="152">
        <f t="shared" si="37"/>
        <v>726363.18364979955</v>
      </c>
      <c r="O41" s="152">
        <f t="shared" si="37"/>
        <v>722895.19079553359</v>
      </c>
      <c r="P41" s="152">
        <f t="shared" si="37"/>
        <v>719637.50134724576</v>
      </c>
      <c r="Q41" s="152">
        <f t="shared" si="37"/>
        <v>716594.38565640873</v>
      </c>
      <c r="R41" s="152">
        <f t="shared" si="37"/>
        <v>713770.2038572568</v>
      </c>
      <c r="S41" s="152">
        <f t="shared" si="37"/>
        <v>711169.40780165966</v>
      </c>
      <c r="T41" s="152">
        <f t="shared" si="37"/>
        <v>708796.54303642223</v>
      </c>
      <c r="U41" s="152">
        <f t="shared" si="37"/>
        <v>706656.25082394935</v>
      </c>
      <c r="V41" s="152">
        <f t="shared" si="37"/>
        <v>704753.27020724164</v>
      </c>
      <c r="W41" s="152">
        <f t="shared" si="37"/>
        <v>703092.440120204</v>
      </c>
      <c r="X41" s="152">
        <f t="shared" si="37"/>
        <v>716009.62373177486</v>
      </c>
      <c r="Y41" s="152">
        <f t="shared" si="37"/>
        <v>729178.94408740243</v>
      </c>
      <c r="Z41" s="152">
        <f t="shared" si="37"/>
        <v>742605.55292392347</v>
      </c>
      <c r="AA41" s="152">
        <f t="shared" si="37"/>
        <v>756294.71078391466</v>
      </c>
      <c r="AB41" s="152">
        <f t="shared" si="37"/>
        <v>770251.78936812212</v>
      </c>
      <c r="AC41" s="152">
        <f t="shared" si="37"/>
        <v>784482.27393958764</v>
      </c>
      <c r="AD41" s="152">
        <f t="shared" si="37"/>
        <v>798991.765780624</v>
      </c>
      <c r="AE41" s="152">
        <f t="shared" si="37"/>
        <v>813785.98470381368</v>
      </c>
      <c r="AF41" s="152">
        <f t="shared" si="37"/>
        <v>828870.77161823248</v>
      </c>
      <c r="AG41" s="152">
        <f t="shared" si="37"/>
        <v>0</v>
      </c>
      <c r="AH41" s="152">
        <f t="shared" si="37"/>
        <v>0</v>
      </c>
      <c r="AI41" s="152">
        <f t="shared" si="37"/>
        <v>0</v>
      </c>
      <c r="AJ41" s="152">
        <f t="shared" si="37"/>
        <v>0</v>
      </c>
      <c r="AK41" s="152">
        <f t="shared" si="37"/>
        <v>0</v>
      </c>
      <c r="AL41" s="152">
        <f t="shared" si="37"/>
        <v>0</v>
      </c>
      <c r="AM41" s="152">
        <f t="shared" si="37"/>
        <v>0</v>
      </c>
      <c r="AN41" s="152">
        <f t="shared" si="37"/>
        <v>0</v>
      </c>
      <c r="AO41" s="152">
        <f t="shared" si="37"/>
        <v>0</v>
      </c>
      <c r="AP41" s="152">
        <f t="shared" si="37"/>
        <v>0</v>
      </c>
    </row>
    <row r="43" spans="1:42" ht="13.5" thickBot="1">
      <c r="A43" s="182" t="s">
        <v>79</v>
      </c>
      <c r="C43" s="193">
        <f t="shared" ref="C43:AP43" si="38">C20-C41</f>
        <v>3213786.798394165</v>
      </c>
      <c r="D43" s="193">
        <f t="shared" si="38"/>
        <v>3239065.7997427788</v>
      </c>
      <c r="E43" s="193">
        <f t="shared" si="38"/>
        <v>3264273.8499448649</v>
      </c>
      <c r="F43" s="193">
        <f t="shared" si="38"/>
        <v>3289408.0338713871</v>
      </c>
      <c r="G43" s="193">
        <f t="shared" si="38"/>
        <v>3314465.3677397296</v>
      </c>
      <c r="H43" s="193">
        <f t="shared" si="38"/>
        <v>3339442.797600802</v>
      </c>
      <c r="I43" s="193">
        <f t="shared" si="38"/>
        <v>3364337.197792876</v>
      </c>
      <c r="J43" s="193">
        <f t="shared" si="38"/>
        <v>3389145.3693613885</v>
      </c>
      <c r="K43" s="193">
        <f t="shared" si="38"/>
        <v>3413864.038444018</v>
      </c>
      <c r="L43" s="193">
        <f t="shared" si="38"/>
        <v>3438489.8546201717</v>
      </c>
      <c r="M43" s="193">
        <f t="shared" si="38"/>
        <v>3463019.3892241856</v>
      </c>
      <c r="N43" s="193">
        <f t="shared" si="38"/>
        <v>3487449.133621376</v>
      </c>
      <c r="O43" s="193">
        <f t="shared" si="38"/>
        <v>3511775.4974461356</v>
      </c>
      <c r="P43" s="193">
        <f t="shared" si="38"/>
        <v>3535994.8068012195</v>
      </c>
      <c r="Q43" s="193">
        <f t="shared" si="38"/>
        <v>3560103.3024173919</v>
      </c>
      <c r="R43" s="193">
        <f t="shared" si="38"/>
        <v>3584097.137772508</v>
      </c>
      <c r="S43" s="193">
        <f t="shared" si="38"/>
        <v>3607972.3771691732</v>
      </c>
      <c r="T43" s="193">
        <f t="shared" si="38"/>
        <v>3631724.9937700168</v>
      </c>
      <c r="U43" s="193">
        <f t="shared" si="38"/>
        <v>3655350.8675896814</v>
      </c>
      <c r="V43" s="193">
        <f t="shared" si="38"/>
        <v>3678845.7834425359</v>
      </c>
      <c r="W43" s="193">
        <f t="shared" si="38"/>
        <v>3702205.4288451397</v>
      </c>
      <c r="X43" s="193">
        <f t="shared" si="38"/>
        <v>3711094.4696849468</v>
      </c>
      <c r="Y43" s="193">
        <f t="shared" si="38"/>
        <v>3719839.3145917333</v>
      </c>
      <c r="Z43" s="193">
        <f t="shared" si="38"/>
        <v>3728435.3461356731</v>
      </c>
      <c r="AA43" s="193">
        <f t="shared" si="38"/>
        <v>3736877.8407260282</v>
      </c>
      <c r="AB43" s="193">
        <f t="shared" si="38"/>
        <v>3745161.9662717963</v>
      </c>
      <c r="AC43" s="193">
        <f t="shared" si="38"/>
        <v>3753282.7797907474</v>
      </c>
      <c r="AD43" s="193">
        <f t="shared" si="38"/>
        <v>3761235.2249656748</v>
      </c>
      <c r="AE43" s="193">
        <f t="shared" si="38"/>
        <v>3769014.1296466785</v>
      </c>
      <c r="AF43" s="193">
        <f t="shared" si="38"/>
        <v>7799329.2032982968</v>
      </c>
      <c r="AG43" s="193">
        <f t="shared" si="38"/>
        <v>0</v>
      </c>
      <c r="AH43" s="193">
        <f t="shared" si="38"/>
        <v>0</v>
      </c>
      <c r="AI43" s="193">
        <f t="shared" si="38"/>
        <v>0</v>
      </c>
      <c r="AJ43" s="193">
        <f t="shared" si="38"/>
        <v>0</v>
      </c>
      <c r="AK43" s="193">
        <f t="shared" si="38"/>
        <v>0</v>
      </c>
      <c r="AL43" s="193">
        <f t="shared" si="38"/>
        <v>0</v>
      </c>
      <c r="AM43" s="193">
        <f t="shared" si="38"/>
        <v>0</v>
      </c>
      <c r="AN43" s="193">
        <f t="shared" si="38"/>
        <v>0</v>
      </c>
      <c r="AO43" s="193">
        <f t="shared" si="38"/>
        <v>0</v>
      </c>
      <c r="AP43" s="193">
        <f t="shared" si="38"/>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3213786.798394165</v>
      </c>
      <c r="D47" s="152">
        <f t="shared" ref="D47:AP47" si="39">D43</f>
        <v>3239065.7997427788</v>
      </c>
      <c r="E47" s="152">
        <f t="shared" si="39"/>
        <v>3264273.8499448649</v>
      </c>
      <c r="F47" s="152">
        <f t="shared" si="39"/>
        <v>3289408.0338713871</v>
      </c>
      <c r="G47" s="152">
        <f t="shared" si="39"/>
        <v>3314465.3677397296</v>
      </c>
      <c r="H47" s="152">
        <f t="shared" si="39"/>
        <v>3339442.797600802</v>
      </c>
      <c r="I47" s="152">
        <f t="shared" si="39"/>
        <v>3364337.197792876</v>
      </c>
      <c r="J47" s="152">
        <f t="shared" si="39"/>
        <v>3389145.3693613885</v>
      </c>
      <c r="K47" s="152">
        <f t="shared" si="39"/>
        <v>3413864.038444018</v>
      </c>
      <c r="L47" s="152">
        <f t="shared" si="39"/>
        <v>3438489.8546201717</v>
      </c>
      <c r="M47" s="152">
        <f t="shared" si="39"/>
        <v>3463019.3892241856</v>
      </c>
      <c r="N47" s="152">
        <f t="shared" si="39"/>
        <v>3487449.133621376</v>
      </c>
      <c r="O47" s="152">
        <f t="shared" si="39"/>
        <v>3511775.4974461356</v>
      </c>
      <c r="P47" s="152">
        <f t="shared" si="39"/>
        <v>3535994.8068012195</v>
      </c>
      <c r="Q47" s="152">
        <f t="shared" si="39"/>
        <v>3560103.3024173919</v>
      </c>
      <c r="R47" s="152">
        <f t="shared" si="39"/>
        <v>3584097.137772508</v>
      </c>
      <c r="S47" s="152">
        <f t="shared" si="39"/>
        <v>3607972.3771691732</v>
      </c>
      <c r="T47" s="152">
        <f t="shared" si="39"/>
        <v>3631724.9937700168</v>
      </c>
      <c r="U47" s="152">
        <f t="shared" si="39"/>
        <v>3655350.8675896814</v>
      </c>
      <c r="V47" s="152">
        <f t="shared" si="39"/>
        <v>3678845.7834425359</v>
      </c>
      <c r="W47" s="152">
        <f t="shared" si="39"/>
        <v>3702205.4288451397</v>
      </c>
      <c r="X47" s="152">
        <f t="shared" si="39"/>
        <v>3711094.4696849468</v>
      </c>
      <c r="Y47" s="152">
        <f t="shared" si="39"/>
        <v>3719839.3145917333</v>
      </c>
      <c r="Z47" s="152">
        <f t="shared" si="39"/>
        <v>3728435.3461356731</v>
      </c>
      <c r="AA47" s="152">
        <f t="shared" si="39"/>
        <v>3736877.8407260282</v>
      </c>
      <c r="AB47" s="152">
        <f t="shared" si="39"/>
        <v>3745161.9662717963</v>
      </c>
      <c r="AC47" s="152">
        <f t="shared" si="39"/>
        <v>3753282.7797907474</v>
      </c>
      <c r="AD47" s="152">
        <f t="shared" si="39"/>
        <v>3761235.2249656748</v>
      </c>
      <c r="AE47" s="152">
        <f t="shared" si="39"/>
        <v>3769014.1296466785</v>
      </c>
      <c r="AF47" s="152">
        <f t="shared" si="39"/>
        <v>7799329.2032982968</v>
      </c>
      <c r="AG47" s="152">
        <f t="shared" si="39"/>
        <v>0</v>
      </c>
      <c r="AH47" s="152">
        <f t="shared" si="39"/>
        <v>0</v>
      </c>
      <c r="AI47" s="152">
        <f t="shared" si="39"/>
        <v>0</v>
      </c>
      <c r="AJ47" s="152">
        <f t="shared" si="39"/>
        <v>0</v>
      </c>
      <c r="AK47" s="152">
        <f t="shared" si="39"/>
        <v>0</v>
      </c>
      <c r="AL47" s="152">
        <f t="shared" si="39"/>
        <v>0</v>
      </c>
      <c r="AM47" s="152">
        <f t="shared" si="39"/>
        <v>0</v>
      </c>
      <c r="AN47" s="152">
        <f t="shared" si="39"/>
        <v>0</v>
      </c>
      <c r="AO47" s="152">
        <f t="shared" si="39"/>
        <v>0</v>
      </c>
      <c r="AP47" s="152">
        <f t="shared" si="39"/>
        <v>0</v>
      </c>
    </row>
    <row r="48" spans="1:42">
      <c r="A48" s="180" t="s">
        <v>212</v>
      </c>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row>
    <row r="49" spans="1:42">
      <c r="A49" s="184" t="str">
        <f>A14</f>
        <v>Federal</v>
      </c>
      <c r="B49" s="152">
        <v>0</v>
      </c>
      <c r="C49" s="186">
        <f t="shared" ref="C49:AP49" si="40">IF(PBIFedDebtSwitch="Yes",0,C509)</f>
        <v>0</v>
      </c>
      <c r="D49" s="186">
        <f t="shared" si="40"/>
        <v>0</v>
      </c>
      <c r="E49" s="186">
        <f t="shared" si="40"/>
        <v>0</v>
      </c>
      <c r="F49" s="186">
        <f t="shared" si="40"/>
        <v>0</v>
      </c>
      <c r="G49" s="186">
        <f t="shared" si="40"/>
        <v>0</v>
      </c>
      <c r="H49" s="186">
        <f t="shared" si="40"/>
        <v>0</v>
      </c>
      <c r="I49" s="186">
        <f t="shared" si="40"/>
        <v>0</v>
      </c>
      <c r="J49" s="186">
        <f t="shared" si="40"/>
        <v>0</v>
      </c>
      <c r="K49" s="186">
        <f t="shared" si="40"/>
        <v>0</v>
      </c>
      <c r="L49" s="186">
        <f t="shared" si="40"/>
        <v>0</v>
      </c>
      <c r="M49" s="186">
        <f t="shared" si="40"/>
        <v>0</v>
      </c>
      <c r="N49" s="186">
        <f t="shared" si="40"/>
        <v>0</v>
      </c>
      <c r="O49" s="186">
        <f t="shared" si="40"/>
        <v>0</v>
      </c>
      <c r="P49" s="186">
        <f t="shared" si="40"/>
        <v>0</v>
      </c>
      <c r="Q49" s="186">
        <f t="shared" si="40"/>
        <v>0</v>
      </c>
      <c r="R49" s="186">
        <f t="shared" si="40"/>
        <v>0</v>
      </c>
      <c r="S49" s="186">
        <f t="shared" si="40"/>
        <v>0</v>
      </c>
      <c r="T49" s="186">
        <f t="shared" si="40"/>
        <v>0</v>
      </c>
      <c r="U49" s="186">
        <f t="shared" si="40"/>
        <v>0</v>
      </c>
      <c r="V49" s="186">
        <f t="shared" si="40"/>
        <v>0</v>
      </c>
      <c r="W49" s="186">
        <f t="shared" si="40"/>
        <v>0</v>
      </c>
      <c r="X49" s="186">
        <f t="shared" si="40"/>
        <v>0</v>
      </c>
      <c r="Y49" s="186">
        <f t="shared" si="40"/>
        <v>0</v>
      </c>
      <c r="Z49" s="186">
        <f t="shared" si="40"/>
        <v>0</v>
      </c>
      <c r="AA49" s="186">
        <f t="shared" si="40"/>
        <v>0</v>
      </c>
      <c r="AB49" s="186">
        <f t="shared" si="40"/>
        <v>0</v>
      </c>
      <c r="AC49" s="186">
        <f t="shared" si="40"/>
        <v>0</v>
      </c>
      <c r="AD49" s="186">
        <f t="shared" si="40"/>
        <v>0</v>
      </c>
      <c r="AE49" s="186">
        <f t="shared" si="40"/>
        <v>0</v>
      </c>
      <c r="AF49" s="186">
        <f t="shared" si="40"/>
        <v>0</v>
      </c>
      <c r="AG49" s="186">
        <f t="shared" si="40"/>
        <v>0</v>
      </c>
      <c r="AH49" s="186">
        <f t="shared" si="40"/>
        <v>0</v>
      </c>
      <c r="AI49" s="186">
        <f t="shared" si="40"/>
        <v>0</v>
      </c>
      <c r="AJ49" s="186">
        <f t="shared" si="40"/>
        <v>0</v>
      </c>
      <c r="AK49" s="186">
        <f t="shared" si="40"/>
        <v>0</v>
      </c>
      <c r="AL49" s="186">
        <f t="shared" si="40"/>
        <v>0</v>
      </c>
      <c r="AM49" s="186">
        <f t="shared" si="40"/>
        <v>0</v>
      </c>
      <c r="AN49" s="186">
        <f t="shared" si="40"/>
        <v>0</v>
      </c>
      <c r="AO49" s="186">
        <f t="shared" si="40"/>
        <v>0</v>
      </c>
      <c r="AP49" s="186">
        <f t="shared" si="40"/>
        <v>0</v>
      </c>
    </row>
    <row r="50" spans="1:42">
      <c r="A50" s="184" t="str">
        <f t="shared" ref="A50:A52" si="41">A15</f>
        <v>State</v>
      </c>
      <c r="B50" s="152">
        <v>0</v>
      </c>
      <c r="C50" s="186">
        <f t="shared" ref="C50:AP50" si="42">IF(PBIStateDebtSwitch="Yes",0,C513)</f>
        <v>0</v>
      </c>
      <c r="D50" s="186">
        <f t="shared" si="42"/>
        <v>0</v>
      </c>
      <c r="E50" s="186">
        <f t="shared" si="42"/>
        <v>0</v>
      </c>
      <c r="F50" s="186">
        <f t="shared" si="42"/>
        <v>0</v>
      </c>
      <c r="G50" s="186">
        <f t="shared" si="42"/>
        <v>0</v>
      </c>
      <c r="H50" s="186">
        <f t="shared" si="42"/>
        <v>0</v>
      </c>
      <c r="I50" s="186">
        <f t="shared" si="42"/>
        <v>0</v>
      </c>
      <c r="J50" s="186">
        <f t="shared" si="42"/>
        <v>0</v>
      </c>
      <c r="K50" s="186">
        <f t="shared" si="42"/>
        <v>0</v>
      </c>
      <c r="L50" s="186">
        <f t="shared" si="42"/>
        <v>0</v>
      </c>
      <c r="M50" s="186">
        <f t="shared" si="42"/>
        <v>0</v>
      </c>
      <c r="N50" s="186">
        <f t="shared" si="42"/>
        <v>0</v>
      </c>
      <c r="O50" s="186">
        <f t="shared" si="42"/>
        <v>0</v>
      </c>
      <c r="P50" s="186">
        <f t="shared" si="42"/>
        <v>0</v>
      </c>
      <c r="Q50" s="186">
        <f t="shared" si="42"/>
        <v>0</v>
      </c>
      <c r="R50" s="186">
        <f t="shared" si="42"/>
        <v>0</v>
      </c>
      <c r="S50" s="186">
        <f t="shared" si="42"/>
        <v>0</v>
      </c>
      <c r="T50" s="186">
        <f t="shared" si="42"/>
        <v>0</v>
      </c>
      <c r="U50" s="186">
        <f t="shared" si="42"/>
        <v>0</v>
      </c>
      <c r="V50" s="186">
        <f t="shared" si="42"/>
        <v>0</v>
      </c>
      <c r="W50" s="186">
        <f t="shared" si="42"/>
        <v>0</v>
      </c>
      <c r="X50" s="186">
        <f t="shared" si="42"/>
        <v>0</v>
      </c>
      <c r="Y50" s="186">
        <f t="shared" si="42"/>
        <v>0</v>
      </c>
      <c r="Z50" s="186">
        <f t="shared" si="42"/>
        <v>0</v>
      </c>
      <c r="AA50" s="186">
        <f t="shared" si="42"/>
        <v>0</v>
      </c>
      <c r="AB50" s="186">
        <f t="shared" si="42"/>
        <v>0</v>
      </c>
      <c r="AC50" s="186">
        <f t="shared" si="42"/>
        <v>0</v>
      </c>
      <c r="AD50" s="186">
        <f t="shared" si="42"/>
        <v>0</v>
      </c>
      <c r="AE50" s="186">
        <f t="shared" si="42"/>
        <v>0</v>
      </c>
      <c r="AF50" s="186">
        <f t="shared" si="42"/>
        <v>0</v>
      </c>
      <c r="AG50" s="186">
        <f t="shared" si="42"/>
        <v>0</v>
      </c>
      <c r="AH50" s="186">
        <f t="shared" si="42"/>
        <v>0</v>
      </c>
      <c r="AI50" s="186">
        <f t="shared" si="42"/>
        <v>0</v>
      </c>
      <c r="AJ50" s="186">
        <f t="shared" si="42"/>
        <v>0</v>
      </c>
      <c r="AK50" s="186">
        <f t="shared" si="42"/>
        <v>0</v>
      </c>
      <c r="AL50" s="186">
        <f t="shared" si="42"/>
        <v>0</v>
      </c>
      <c r="AM50" s="186">
        <f t="shared" si="42"/>
        <v>0</v>
      </c>
      <c r="AN50" s="186">
        <f t="shared" si="42"/>
        <v>0</v>
      </c>
      <c r="AO50" s="186">
        <f t="shared" si="42"/>
        <v>0</v>
      </c>
      <c r="AP50" s="186">
        <f t="shared" si="42"/>
        <v>0</v>
      </c>
    </row>
    <row r="51" spans="1:42">
      <c r="A51" s="184" t="str">
        <f t="shared" si="41"/>
        <v>Utility</v>
      </c>
      <c r="B51" s="152">
        <v>0</v>
      </c>
      <c r="C51" s="186">
        <f t="shared" ref="C51:AP51" si="43">IF(PBIUtilityDebtSwitch="Yes",0,C517)</f>
        <v>0</v>
      </c>
      <c r="D51" s="186">
        <f t="shared" si="43"/>
        <v>0</v>
      </c>
      <c r="E51" s="186">
        <f t="shared" si="43"/>
        <v>0</v>
      </c>
      <c r="F51" s="186">
        <f t="shared" si="43"/>
        <v>0</v>
      </c>
      <c r="G51" s="186">
        <f t="shared" si="43"/>
        <v>0</v>
      </c>
      <c r="H51" s="186">
        <f t="shared" si="43"/>
        <v>0</v>
      </c>
      <c r="I51" s="186">
        <f t="shared" si="43"/>
        <v>0</v>
      </c>
      <c r="J51" s="186">
        <f t="shared" si="43"/>
        <v>0</v>
      </c>
      <c r="K51" s="186">
        <f t="shared" si="43"/>
        <v>0</v>
      </c>
      <c r="L51" s="186">
        <f t="shared" si="43"/>
        <v>0</v>
      </c>
      <c r="M51" s="186">
        <f t="shared" si="43"/>
        <v>0</v>
      </c>
      <c r="N51" s="186">
        <f t="shared" si="43"/>
        <v>0</v>
      </c>
      <c r="O51" s="186">
        <f t="shared" si="43"/>
        <v>0</v>
      </c>
      <c r="P51" s="186">
        <f t="shared" si="43"/>
        <v>0</v>
      </c>
      <c r="Q51" s="186">
        <f t="shared" si="43"/>
        <v>0</v>
      </c>
      <c r="R51" s="186">
        <f t="shared" si="43"/>
        <v>0</v>
      </c>
      <c r="S51" s="186">
        <f t="shared" si="43"/>
        <v>0</v>
      </c>
      <c r="T51" s="186">
        <f t="shared" si="43"/>
        <v>0</v>
      </c>
      <c r="U51" s="186">
        <f t="shared" si="43"/>
        <v>0</v>
      </c>
      <c r="V51" s="186">
        <f t="shared" si="43"/>
        <v>0</v>
      </c>
      <c r="W51" s="186">
        <f t="shared" si="43"/>
        <v>0</v>
      </c>
      <c r="X51" s="186">
        <f t="shared" si="43"/>
        <v>0</v>
      </c>
      <c r="Y51" s="186">
        <f t="shared" si="43"/>
        <v>0</v>
      </c>
      <c r="Z51" s="186">
        <f t="shared" si="43"/>
        <v>0</v>
      </c>
      <c r="AA51" s="186">
        <f t="shared" si="43"/>
        <v>0</v>
      </c>
      <c r="AB51" s="186">
        <f t="shared" si="43"/>
        <v>0</v>
      </c>
      <c r="AC51" s="186">
        <f t="shared" si="43"/>
        <v>0</v>
      </c>
      <c r="AD51" s="186">
        <f t="shared" si="43"/>
        <v>0</v>
      </c>
      <c r="AE51" s="186">
        <f t="shared" si="43"/>
        <v>0</v>
      </c>
      <c r="AF51" s="186">
        <f t="shared" si="43"/>
        <v>0</v>
      </c>
      <c r="AG51" s="186">
        <f t="shared" si="43"/>
        <v>0</v>
      </c>
      <c r="AH51" s="186">
        <f t="shared" si="43"/>
        <v>0</v>
      </c>
      <c r="AI51" s="186">
        <f t="shared" si="43"/>
        <v>0</v>
      </c>
      <c r="AJ51" s="186">
        <f t="shared" si="43"/>
        <v>0</v>
      </c>
      <c r="AK51" s="186">
        <f t="shared" si="43"/>
        <v>0</v>
      </c>
      <c r="AL51" s="186">
        <f t="shared" si="43"/>
        <v>0</v>
      </c>
      <c r="AM51" s="186">
        <f t="shared" si="43"/>
        <v>0</v>
      </c>
      <c r="AN51" s="186">
        <f t="shared" si="43"/>
        <v>0</v>
      </c>
      <c r="AO51" s="186">
        <f t="shared" si="43"/>
        <v>0</v>
      </c>
      <c r="AP51" s="186">
        <f t="shared" si="43"/>
        <v>0</v>
      </c>
    </row>
    <row r="52" spans="1:42">
      <c r="A52" s="184" t="str">
        <f t="shared" si="41"/>
        <v>Other</v>
      </c>
      <c r="B52" s="187">
        <v>0</v>
      </c>
      <c r="C52" s="187">
        <f t="shared" ref="C52:AP52" si="44">IF(PBIOtherDebtSwitch="Yes",0,C521)</f>
        <v>0</v>
      </c>
      <c r="D52" s="187">
        <f t="shared" si="44"/>
        <v>0</v>
      </c>
      <c r="E52" s="187">
        <f t="shared" si="44"/>
        <v>0</v>
      </c>
      <c r="F52" s="187">
        <f t="shared" si="44"/>
        <v>0</v>
      </c>
      <c r="G52" s="187">
        <f t="shared" si="44"/>
        <v>0</v>
      </c>
      <c r="H52" s="187">
        <f t="shared" si="44"/>
        <v>0</v>
      </c>
      <c r="I52" s="187">
        <f t="shared" si="44"/>
        <v>0</v>
      </c>
      <c r="J52" s="187">
        <f t="shared" si="44"/>
        <v>0</v>
      </c>
      <c r="K52" s="187">
        <f t="shared" si="44"/>
        <v>0</v>
      </c>
      <c r="L52" s="187">
        <f t="shared" si="44"/>
        <v>0</v>
      </c>
      <c r="M52" s="187">
        <f t="shared" si="44"/>
        <v>0</v>
      </c>
      <c r="N52" s="187">
        <f t="shared" si="44"/>
        <v>0</v>
      </c>
      <c r="O52" s="187">
        <f t="shared" si="44"/>
        <v>0</v>
      </c>
      <c r="P52" s="187">
        <f t="shared" si="44"/>
        <v>0</v>
      </c>
      <c r="Q52" s="187">
        <f t="shared" si="44"/>
        <v>0</v>
      </c>
      <c r="R52" s="187">
        <f t="shared" si="44"/>
        <v>0</v>
      </c>
      <c r="S52" s="187">
        <f t="shared" si="44"/>
        <v>0</v>
      </c>
      <c r="T52" s="187">
        <f t="shared" si="44"/>
        <v>0</v>
      </c>
      <c r="U52" s="187">
        <f t="shared" si="44"/>
        <v>0</v>
      </c>
      <c r="V52" s="187">
        <f t="shared" si="44"/>
        <v>0</v>
      </c>
      <c r="W52" s="187">
        <f t="shared" si="44"/>
        <v>0</v>
      </c>
      <c r="X52" s="187">
        <f t="shared" si="44"/>
        <v>0</v>
      </c>
      <c r="Y52" s="187">
        <f t="shared" si="44"/>
        <v>0</v>
      </c>
      <c r="Z52" s="187">
        <f t="shared" si="44"/>
        <v>0</v>
      </c>
      <c r="AA52" s="187">
        <f t="shared" si="44"/>
        <v>0</v>
      </c>
      <c r="AB52" s="187">
        <f t="shared" si="44"/>
        <v>0</v>
      </c>
      <c r="AC52" s="187">
        <f t="shared" si="44"/>
        <v>0</v>
      </c>
      <c r="AD52" s="187">
        <f t="shared" si="44"/>
        <v>0</v>
      </c>
      <c r="AE52" s="187">
        <f t="shared" si="44"/>
        <v>0</v>
      </c>
      <c r="AF52" s="187">
        <f t="shared" si="44"/>
        <v>0</v>
      </c>
      <c r="AG52" s="187">
        <f t="shared" si="44"/>
        <v>0</v>
      </c>
      <c r="AH52" s="187">
        <f t="shared" si="44"/>
        <v>0</v>
      </c>
      <c r="AI52" s="187">
        <f t="shared" si="44"/>
        <v>0</v>
      </c>
      <c r="AJ52" s="187">
        <f t="shared" si="44"/>
        <v>0</v>
      </c>
      <c r="AK52" s="187">
        <f t="shared" si="44"/>
        <v>0</v>
      </c>
      <c r="AL52" s="187">
        <f t="shared" si="44"/>
        <v>0</v>
      </c>
      <c r="AM52" s="187">
        <f t="shared" si="44"/>
        <v>0</v>
      </c>
      <c r="AN52" s="187">
        <f t="shared" si="44"/>
        <v>0</v>
      </c>
      <c r="AO52" s="187">
        <f t="shared" si="44"/>
        <v>0</v>
      </c>
      <c r="AP52" s="187">
        <f t="shared" si="44"/>
        <v>0</v>
      </c>
    </row>
    <row r="53" spans="1:42">
      <c r="A53" s="184" t="s">
        <v>53</v>
      </c>
      <c r="B53" s="152">
        <f>SUM(B49:B52)</f>
        <v>0</v>
      </c>
      <c r="C53" s="152">
        <f>SUM(C49:C52)</f>
        <v>0</v>
      </c>
      <c r="D53" s="152">
        <f t="shared" ref="D53:AP53" si="45">SUM(D49:D52)</f>
        <v>0</v>
      </c>
      <c r="E53" s="152">
        <f t="shared" si="45"/>
        <v>0</v>
      </c>
      <c r="F53" s="152">
        <f t="shared" si="45"/>
        <v>0</v>
      </c>
      <c r="G53" s="152">
        <f t="shared" si="45"/>
        <v>0</v>
      </c>
      <c r="H53" s="152">
        <f t="shared" si="45"/>
        <v>0</v>
      </c>
      <c r="I53" s="152">
        <f t="shared" si="45"/>
        <v>0</v>
      </c>
      <c r="J53" s="152">
        <f t="shared" si="45"/>
        <v>0</v>
      </c>
      <c r="K53" s="152">
        <f t="shared" si="45"/>
        <v>0</v>
      </c>
      <c r="L53" s="152">
        <f t="shared" si="45"/>
        <v>0</v>
      </c>
      <c r="M53" s="152">
        <f t="shared" si="45"/>
        <v>0</v>
      </c>
      <c r="N53" s="152">
        <f t="shared" si="45"/>
        <v>0</v>
      </c>
      <c r="O53" s="152">
        <f t="shared" si="45"/>
        <v>0</v>
      </c>
      <c r="P53" s="152">
        <f t="shared" si="45"/>
        <v>0</v>
      </c>
      <c r="Q53" s="152">
        <f t="shared" si="45"/>
        <v>0</v>
      </c>
      <c r="R53" s="152">
        <f t="shared" si="45"/>
        <v>0</v>
      </c>
      <c r="S53" s="152">
        <f t="shared" si="45"/>
        <v>0</v>
      </c>
      <c r="T53" s="152">
        <f t="shared" si="45"/>
        <v>0</v>
      </c>
      <c r="U53" s="152">
        <f t="shared" si="45"/>
        <v>0</v>
      </c>
      <c r="V53" s="152">
        <f t="shared" si="45"/>
        <v>0</v>
      </c>
      <c r="W53" s="152">
        <f t="shared" si="45"/>
        <v>0</v>
      </c>
      <c r="X53" s="152">
        <f t="shared" si="45"/>
        <v>0</v>
      </c>
      <c r="Y53" s="152">
        <f t="shared" si="45"/>
        <v>0</v>
      </c>
      <c r="Z53" s="152">
        <f t="shared" si="45"/>
        <v>0</v>
      </c>
      <c r="AA53" s="152">
        <f t="shared" si="45"/>
        <v>0</v>
      </c>
      <c r="AB53" s="152">
        <f t="shared" si="45"/>
        <v>0</v>
      </c>
      <c r="AC53" s="152">
        <f t="shared" si="45"/>
        <v>0</v>
      </c>
      <c r="AD53" s="152">
        <f t="shared" si="45"/>
        <v>0</v>
      </c>
      <c r="AE53" s="152">
        <f t="shared" si="45"/>
        <v>0</v>
      </c>
      <c r="AF53" s="152">
        <f t="shared" si="45"/>
        <v>0</v>
      </c>
      <c r="AG53" s="152">
        <f t="shared" si="45"/>
        <v>0</v>
      </c>
      <c r="AH53" s="152">
        <f t="shared" si="45"/>
        <v>0</v>
      </c>
      <c r="AI53" s="152">
        <f t="shared" si="45"/>
        <v>0</v>
      </c>
      <c r="AJ53" s="152">
        <f t="shared" si="45"/>
        <v>0</v>
      </c>
      <c r="AK53" s="152">
        <f t="shared" si="45"/>
        <v>0</v>
      </c>
      <c r="AL53" s="152">
        <f t="shared" si="45"/>
        <v>0</v>
      </c>
      <c r="AM53" s="152">
        <f t="shared" si="45"/>
        <v>0</v>
      </c>
      <c r="AN53" s="152">
        <f t="shared" si="45"/>
        <v>0</v>
      </c>
      <c r="AO53" s="152">
        <f t="shared" si="45"/>
        <v>0</v>
      </c>
      <c r="AP53" s="152">
        <f t="shared" si="45"/>
        <v>0</v>
      </c>
    </row>
    <row r="54" spans="1:42">
      <c r="A54" s="180" t="s">
        <v>129</v>
      </c>
      <c r="B54" s="152">
        <v>0</v>
      </c>
      <c r="C54" s="152">
        <f t="shared" ref="C54:AP54" si="46">C665</f>
        <v>22480.724861201375</v>
      </c>
      <c r="D54" s="152">
        <f t="shared" si="46"/>
        <v>34725.382086966929</v>
      </c>
      <c r="E54" s="152">
        <f t="shared" si="46"/>
        <v>46969.579444190174</v>
      </c>
      <c r="F54" s="152">
        <f t="shared" si="46"/>
        <v>57400.237219775809</v>
      </c>
      <c r="G54" s="152">
        <f t="shared" si="46"/>
        <v>69670.908797472148</v>
      </c>
      <c r="H54" s="152">
        <f t="shared" si="46"/>
        <v>81941.062478825072</v>
      </c>
      <c r="I54" s="152">
        <f t="shared" si="46"/>
        <v>92314.799514199316</v>
      </c>
      <c r="J54" s="152">
        <f t="shared" si="46"/>
        <v>104612.56115764481</v>
      </c>
      <c r="K54" s="152">
        <f t="shared" si="46"/>
        <v>116909.74269238551</v>
      </c>
      <c r="L54" s="152">
        <f t="shared" si="46"/>
        <v>127223.84326336232</v>
      </c>
      <c r="M54" s="152">
        <f t="shared" si="46"/>
        <v>121610.60951335869</v>
      </c>
      <c r="N54" s="152">
        <f t="shared" si="46"/>
        <v>133777.59365682982</v>
      </c>
      <c r="O54" s="152">
        <f t="shared" si="46"/>
        <v>92347.901148577046</v>
      </c>
      <c r="P54" s="152">
        <f t="shared" si="46"/>
        <v>105386.37546337843</v>
      </c>
      <c r="Q54" s="152">
        <f t="shared" si="46"/>
        <v>118424.84977817982</v>
      </c>
      <c r="R54" s="152">
        <f t="shared" si="46"/>
        <v>21529.125128545482</v>
      </c>
      <c r="S54" s="152">
        <f t="shared" si="46"/>
        <v>36398.398355727615</v>
      </c>
      <c r="T54" s="152">
        <f t="shared" si="46"/>
        <v>51267.671582909745</v>
      </c>
      <c r="U54" s="152">
        <f t="shared" si="46"/>
        <v>63882.909231071135</v>
      </c>
      <c r="V54" s="152">
        <f t="shared" si="46"/>
        <v>78786.502685733882</v>
      </c>
      <c r="W54" s="152">
        <f t="shared" si="46"/>
        <v>93690.096140396621</v>
      </c>
      <c r="X54" s="152">
        <f t="shared" si="46"/>
        <v>106236.69333359678</v>
      </c>
      <c r="Y54" s="152">
        <f t="shared" si="46"/>
        <v>121176.17470796108</v>
      </c>
      <c r="Z54" s="152">
        <f t="shared" si="46"/>
        <v>136115.65608232541</v>
      </c>
      <c r="AA54" s="152">
        <f t="shared" si="46"/>
        <v>86973.976921940499</v>
      </c>
      <c r="AB54" s="152">
        <f t="shared" si="46"/>
        <v>96816.277141678642</v>
      </c>
      <c r="AC54" s="152">
        <f t="shared" si="46"/>
        <v>106658.57736141678</v>
      </c>
      <c r="AD54" s="152">
        <f t="shared" si="46"/>
        <v>113923.63589592067</v>
      </c>
      <c r="AE54" s="152">
        <f t="shared" si="46"/>
        <v>123805.1775197134</v>
      </c>
      <c r="AF54" s="152">
        <f t="shared" si="46"/>
        <v>133686.71914350611</v>
      </c>
      <c r="AG54" s="152">
        <f t="shared" si="46"/>
        <v>0</v>
      </c>
      <c r="AH54" s="152">
        <f t="shared" si="46"/>
        <v>0</v>
      </c>
      <c r="AI54" s="152">
        <f t="shared" si="46"/>
        <v>0</v>
      </c>
      <c r="AJ54" s="152">
        <f t="shared" si="46"/>
        <v>0</v>
      </c>
      <c r="AK54" s="152">
        <f t="shared" si="46"/>
        <v>0</v>
      </c>
      <c r="AL54" s="152">
        <f t="shared" si="46"/>
        <v>0</v>
      </c>
      <c r="AM54" s="152">
        <f t="shared" si="46"/>
        <v>0</v>
      </c>
      <c r="AN54" s="152">
        <f t="shared" si="46"/>
        <v>0</v>
      </c>
      <c r="AO54" s="152">
        <f t="shared" si="46"/>
        <v>0</v>
      </c>
      <c r="AP54" s="152">
        <f t="shared" si="46"/>
        <v>0</v>
      </c>
    </row>
    <row r="55" spans="1:42">
      <c r="A55" s="180" t="s">
        <v>190</v>
      </c>
      <c r="B55" s="187">
        <v>0</v>
      </c>
      <c r="C55" s="187">
        <f>-C544</f>
        <v>-999069.81294370862</v>
      </c>
      <c r="D55" s="187">
        <f t="shared" ref="D55:AP55" si="47">-D544</f>
        <v>-933808.12153276079</v>
      </c>
      <c r="E55" s="187">
        <f t="shared" si="47"/>
        <v>-862247.41430217994</v>
      </c>
      <c r="F55" s="187">
        <f t="shared" si="47"/>
        <v>-783919.20679585624</v>
      </c>
      <c r="G55" s="187">
        <f t="shared" si="47"/>
        <v>-698407.18647857441</v>
      </c>
      <c r="H55" s="187">
        <f t="shared" si="47"/>
        <v>-605089.69053369958</v>
      </c>
      <c r="I55" s="187">
        <f t="shared" si="47"/>
        <v>-503385.74740067741</v>
      </c>
      <c r="J55" s="187">
        <f t="shared" si="47"/>
        <v>-392762.11330480583</v>
      </c>
      <c r="K55" s="187">
        <f t="shared" si="47"/>
        <v>-272463.47489793762</v>
      </c>
      <c r="L55" s="187">
        <f t="shared" si="47"/>
        <v>-141769.17921707488</v>
      </c>
      <c r="M55" s="187">
        <f t="shared" si="47"/>
        <v>-3.6670826375484466E-10</v>
      </c>
      <c r="N55" s="187">
        <f t="shared" si="47"/>
        <v>-3.9421138353645801E-10</v>
      </c>
      <c r="O55" s="187">
        <f t="shared" si="47"/>
        <v>-4.237772373016923E-10</v>
      </c>
      <c r="P55" s="187">
        <f t="shared" si="47"/>
        <v>-4.5556053009931928E-10</v>
      </c>
      <c r="Q55" s="187">
        <f t="shared" si="47"/>
        <v>-4.8972756985676815E-10</v>
      </c>
      <c r="R55" s="187">
        <f t="shared" si="47"/>
        <v>0</v>
      </c>
      <c r="S55" s="187">
        <f t="shared" si="47"/>
        <v>0</v>
      </c>
      <c r="T55" s="187">
        <f t="shared" si="47"/>
        <v>0</v>
      </c>
      <c r="U55" s="187">
        <f t="shared" si="47"/>
        <v>0</v>
      </c>
      <c r="V55" s="187">
        <f t="shared" si="47"/>
        <v>0</v>
      </c>
      <c r="W55" s="187">
        <f t="shared" si="47"/>
        <v>0</v>
      </c>
      <c r="X55" s="187">
        <f t="shared" si="47"/>
        <v>0</v>
      </c>
      <c r="Y55" s="187">
        <f t="shared" si="47"/>
        <v>0</v>
      </c>
      <c r="Z55" s="187">
        <f t="shared" si="47"/>
        <v>0</v>
      </c>
      <c r="AA55" s="187">
        <f t="shared" si="47"/>
        <v>0</v>
      </c>
      <c r="AB55" s="187">
        <f t="shared" si="47"/>
        <v>0</v>
      </c>
      <c r="AC55" s="187">
        <f t="shared" si="47"/>
        <v>0</v>
      </c>
      <c r="AD55" s="187">
        <f t="shared" si="47"/>
        <v>0</v>
      </c>
      <c r="AE55" s="187">
        <f t="shared" si="47"/>
        <v>0</v>
      </c>
      <c r="AF55" s="187">
        <f t="shared" si="47"/>
        <v>0</v>
      </c>
      <c r="AG55" s="187">
        <f t="shared" si="47"/>
        <v>0</v>
      </c>
      <c r="AH55" s="187">
        <f t="shared" si="47"/>
        <v>0</v>
      </c>
      <c r="AI55" s="187">
        <f t="shared" si="47"/>
        <v>0</v>
      </c>
      <c r="AJ55" s="187">
        <f t="shared" si="47"/>
        <v>0</v>
      </c>
      <c r="AK55" s="187">
        <f t="shared" si="47"/>
        <v>0</v>
      </c>
      <c r="AL55" s="187">
        <f t="shared" si="47"/>
        <v>0</v>
      </c>
      <c r="AM55" s="187">
        <f t="shared" si="47"/>
        <v>0</v>
      </c>
      <c r="AN55" s="187">
        <f t="shared" si="47"/>
        <v>0</v>
      </c>
      <c r="AO55" s="187">
        <f t="shared" si="47"/>
        <v>0</v>
      </c>
      <c r="AP55" s="187">
        <f t="shared" si="47"/>
        <v>0</v>
      </c>
    </row>
    <row r="56" spans="1:42">
      <c r="A56" s="180" t="s">
        <v>53</v>
      </c>
      <c r="B56" s="152">
        <f>B47+B53+B54+B55</f>
        <v>0</v>
      </c>
      <c r="C56" s="152">
        <f t="shared" ref="C56:AP56" si="48">C47+C53+C54+C55</f>
        <v>2237197.7103116577</v>
      </c>
      <c r="D56" s="152">
        <f t="shared" si="48"/>
        <v>2339983.0602969853</v>
      </c>
      <c r="E56" s="152">
        <f t="shared" si="48"/>
        <v>2448996.0150868748</v>
      </c>
      <c r="F56" s="152">
        <f t="shared" si="48"/>
        <v>2562889.0642953068</v>
      </c>
      <c r="G56" s="152">
        <f t="shared" si="48"/>
        <v>2685729.0900586275</v>
      </c>
      <c r="H56" s="152">
        <f t="shared" si="48"/>
        <v>2816294.1695459276</v>
      </c>
      <c r="I56" s="152">
        <f t="shared" si="48"/>
        <v>2953266.2499063979</v>
      </c>
      <c r="J56" s="152">
        <f t="shared" si="48"/>
        <v>3100995.8172142273</v>
      </c>
      <c r="K56" s="152">
        <f t="shared" si="48"/>
        <v>3258310.3062384659</v>
      </c>
      <c r="L56" s="152">
        <f t="shared" si="48"/>
        <v>3423944.5186664592</v>
      </c>
      <c r="M56" s="152">
        <f t="shared" si="48"/>
        <v>3584629.9987375438</v>
      </c>
      <c r="N56" s="152">
        <f t="shared" si="48"/>
        <v>3621226.7272782056</v>
      </c>
      <c r="O56" s="152">
        <f t="shared" si="48"/>
        <v>3604123.3985947124</v>
      </c>
      <c r="P56" s="152">
        <f t="shared" si="48"/>
        <v>3641381.1822645976</v>
      </c>
      <c r="Q56" s="152">
        <f t="shared" si="48"/>
        <v>3678528.1521955715</v>
      </c>
      <c r="R56" s="152">
        <f t="shared" si="48"/>
        <v>3605626.2629010533</v>
      </c>
      <c r="S56" s="152">
        <f t="shared" si="48"/>
        <v>3644370.7755249008</v>
      </c>
      <c r="T56" s="152">
        <f t="shared" si="48"/>
        <v>3682992.6653529266</v>
      </c>
      <c r="U56" s="152">
        <f t="shared" si="48"/>
        <v>3719233.7768207528</v>
      </c>
      <c r="V56" s="152">
        <f t="shared" si="48"/>
        <v>3757632.28612827</v>
      </c>
      <c r="W56" s="152">
        <f t="shared" si="48"/>
        <v>3795895.5249855365</v>
      </c>
      <c r="X56" s="152">
        <f t="shared" si="48"/>
        <v>3817331.1630185437</v>
      </c>
      <c r="Y56" s="152">
        <f t="shared" si="48"/>
        <v>3841015.4892996945</v>
      </c>
      <c r="Z56" s="152">
        <f t="shared" si="48"/>
        <v>3864551.0022179987</v>
      </c>
      <c r="AA56" s="152">
        <f t="shared" si="48"/>
        <v>3823851.8176479689</v>
      </c>
      <c r="AB56" s="152">
        <f t="shared" si="48"/>
        <v>3841978.2434134749</v>
      </c>
      <c r="AC56" s="152">
        <f t="shared" si="48"/>
        <v>3859941.3571521644</v>
      </c>
      <c r="AD56" s="152">
        <f t="shared" si="48"/>
        <v>3875158.8608615953</v>
      </c>
      <c r="AE56" s="152">
        <f t="shared" si="48"/>
        <v>3892819.307166392</v>
      </c>
      <c r="AF56" s="152">
        <f t="shared" si="48"/>
        <v>7933015.9224418029</v>
      </c>
      <c r="AG56" s="152">
        <f t="shared" si="48"/>
        <v>0</v>
      </c>
      <c r="AH56" s="152">
        <f t="shared" si="48"/>
        <v>0</v>
      </c>
      <c r="AI56" s="152">
        <f t="shared" si="48"/>
        <v>0</v>
      </c>
      <c r="AJ56" s="152">
        <f t="shared" si="48"/>
        <v>0</v>
      </c>
      <c r="AK56" s="152">
        <f t="shared" si="48"/>
        <v>0</v>
      </c>
      <c r="AL56" s="152">
        <f t="shared" si="48"/>
        <v>0</v>
      </c>
      <c r="AM56" s="152">
        <f t="shared" si="48"/>
        <v>0</v>
      </c>
      <c r="AN56" s="152">
        <f t="shared" si="48"/>
        <v>0</v>
      </c>
      <c r="AO56" s="152">
        <f t="shared" si="48"/>
        <v>0</v>
      </c>
      <c r="AP56" s="152">
        <f t="shared" si="48"/>
        <v>0</v>
      </c>
    </row>
    <row r="57" spans="1:42">
      <c r="A57" s="180"/>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2" t="s">
        <v>182</v>
      </c>
      <c r="B58" s="152"/>
      <c r="C58" s="152"/>
      <c r="D58" s="152"/>
      <c r="E58" s="152"/>
      <c r="F58" s="152"/>
      <c r="G58" s="152"/>
      <c r="H58" s="152"/>
      <c r="I58" s="152"/>
      <c r="J58" s="152"/>
      <c r="K58" s="152"/>
      <c r="L58" s="152"/>
      <c r="M58" s="152"/>
      <c r="N58" s="152"/>
      <c r="O58" s="152"/>
      <c r="P58" s="152"/>
      <c r="Q58" s="152"/>
      <c r="R58" s="152"/>
      <c r="S58" s="152"/>
      <c r="T58" s="152"/>
      <c r="U58" s="152"/>
      <c r="V58" s="152"/>
      <c r="W58" s="152"/>
      <c r="X58" s="152"/>
      <c r="Y58" s="152"/>
      <c r="Z58" s="152"/>
      <c r="AA58" s="152"/>
      <c r="AB58" s="152"/>
      <c r="AC58" s="152"/>
      <c r="AD58" s="152"/>
      <c r="AE58" s="152"/>
      <c r="AF58" s="152"/>
      <c r="AG58" s="152"/>
      <c r="AH58" s="152"/>
      <c r="AI58" s="152"/>
      <c r="AJ58" s="152"/>
      <c r="AK58" s="152"/>
      <c r="AL58" s="152"/>
      <c r="AM58" s="152"/>
      <c r="AN58" s="152"/>
      <c r="AO58" s="152"/>
      <c r="AP58" s="152"/>
    </row>
    <row r="59" spans="1:42">
      <c r="A59" s="180" t="s">
        <v>183</v>
      </c>
      <c r="B59" s="152">
        <f>-SOInstalledCostTotal+'Inputs &amp; Results'!$E$149+'Inputs &amp; Results'!$E$152</f>
        <v>-41499874</v>
      </c>
      <c r="C59" s="152">
        <v>0</v>
      </c>
      <c r="D59" s="152">
        <v>0</v>
      </c>
      <c r="E59" s="152">
        <v>0</v>
      </c>
      <c r="F59" s="152">
        <v>0</v>
      </c>
      <c r="G59" s="152">
        <v>0</v>
      </c>
      <c r="H59" s="152">
        <v>0</v>
      </c>
      <c r="I59" s="152">
        <v>0</v>
      </c>
      <c r="J59" s="152">
        <v>0</v>
      </c>
      <c r="K59" s="152">
        <v>0</v>
      </c>
      <c r="L59" s="152">
        <v>0</v>
      </c>
      <c r="M59" s="152">
        <v>0</v>
      </c>
      <c r="N59" s="152">
        <v>0</v>
      </c>
      <c r="O59" s="152">
        <v>0</v>
      </c>
      <c r="P59" s="152">
        <v>0</v>
      </c>
      <c r="Q59" s="152">
        <v>0</v>
      </c>
      <c r="R59" s="152">
        <v>0</v>
      </c>
      <c r="S59" s="152">
        <v>0</v>
      </c>
      <c r="T59" s="152">
        <v>0</v>
      </c>
      <c r="U59" s="152">
        <v>0</v>
      </c>
      <c r="V59" s="152">
        <v>0</v>
      </c>
      <c r="W59" s="152">
        <v>0</v>
      </c>
      <c r="X59" s="152">
        <v>0</v>
      </c>
      <c r="Y59" s="152">
        <v>0</v>
      </c>
      <c r="Z59" s="152">
        <v>0</v>
      </c>
      <c r="AA59" s="152">
        <v>0</v>
      </c>
      <c r="AB59" s="152">
        <v>0</v>
      </c>
      <c r="AC59" s="152">
        <v>0</v>
      </c>
      <c r="AD59" s="152">
        <v>0</v>
      </c>
      <c r="AE59" s="152">
        <v>0</v>
      </c>
      <c r="AF59" s="152">
        <v>0</v>
      </c>
      <c r="AG59" s="152">
        <v>0</v>
      </c>
      <c r="AH59" s="152">
        <v>0</v>
      </c>
      <c r="AI59" s="152">
        <v>0</v>
      </c>
      <c r="AJ59" s="152">
        <v>0</v>
      </c>
      <c r="AK59" s="152">
        <v>0</v>
      </c>
      <c r="AL59" s="152">
        <v>0</v>
      </c>
      <c r="AM59" s="152">
        <v>0</v>
      </c>
      <c r="AN59" s="152">
        <v>0</v>
      </c>
      <c r="AO59" s="152">
        <v>0</v>
      </c>
      <c r="AP59" s="152">
        <v>0</v>
      </c>
    </row>
    <row r="60" spans="1:42">
      <c r="A60" s="180" t="s">
        <v>184</v>
      </c>
      <c r="B60" s="152"/>
      <c r="C60" s="152"/>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152"/>
      <c r="AB60" s="152"/>
      <c r="AC60" s="152"/>
      <c r="AD60" s="152"/>
      <c r="AE60" s="152"/>
      <c r="AF60" s="152"/>
      <c r="AG60" s="152"/>
      <c r="AH60" s="152"/>
      <c r="AI60" s="152"/>
      <c r="AJ60" s="152"/>
      <c r="AK60" s="152"/>
      <c r="AL60" s="152"/>
      <c r="AM60" s="152"/>
      <c r="AN60" s="152"/>
      <c r="AO60" s="152"/>
      <c r="AP60" s="152"/>
    </row>
    <row r="61" spans="1:42">
      <c r="A61" s="184" t="s">
        <v>185</v>
      </c>
      <c r="B61" s="152">
        <f t="shared" ref="B61:AP61" si="49">-B557-B558</f>
        <v>-934612.84921150713</v>
      </c>
      <c r="C61" s="152">
        <f t="shared" si="49"/>
        <v>-9362.5930920792744</v>
      </c>
      <c r="D61" s="152">
        <f t="shared" si="49"/>
        <v>-9336.3148896615021</v>
      </c>
      <c r="E61" s="152">
        <f t="shared" si="49"/>
        <v>-8727.981653225841</v>
      </c>
      <c r="F61" s="152">
        <f t="shared" si="49"/>
        <v>-9280.4940253120149</v>
      </c>
      <c r="G61" s="152">
        <f t="shared" si="49"/>
        <v>-9250.8999485453824</v>
      </c>
      <c r="H61" s="152">
        <f t="shared" si="49"/>
        <v>-8612.6348524849163</v>
      </c>
      <c r="I61" s="152">
        <f t="shared" si="49"/>
        <v>-9188.2116920417175</v>
      </c>
      <c r="J61" s="152">
        <f t="shared" si="49"/>
        <v>-9155.0626231960487</v>
      </c>
      <c r="K61" s="152">
        <f t="shared" si="49"/>
        <v>-8485.4090676469496</v>
      </c>
      <c r="L61" s="152">
        <f t="shared" si="49"/>
        <v>1016012.4510557008</v>
      </c>
      <c r="M61" s="152">
        <f t="shared" si="49"/>
        <v>0</v>
      </c>
      <c r="N61" s="152">
        <f t="shared" si="49"/>
        <v>0</v>
      </c>
      <c r="O61" s="152">
        <f t="shared" si="49"/>
        <v>0</v>
      </c>
      <c r="P61" s="152">
        <f t="shared" si="49"/>
        <v>0</v>
      </c>
      <c r="Q61" s="152">
        <f t="shared" si="49"/>
        <v>0</v>
      </c>
      <c r="R61" s="152">
        <f t="shared" si="49"/>
        <v>0</v>
      </c>
      <c r="S61" s="152">
        <f t="shared" si="49"/>
        <v>0</v>
      </c>
      <c r="T61" s="152">
        <f t="shared" si="49"/>
        <v>0</v>
      </c>
      <c r="U61" s="152">
        <f t="shared" si="49"/>
        <v>0</v>
      </c>
      <c r="V61" s="152">
        <f t="shared" si="49"/>
        <v>0</v>
      </c>
      <c r="W61" s="152">
        <f t="shared" si="49"/>
        <v>0</v>
      </c>
      <c r="X61" s="152">
        <f t="shared" si="49"/>
        <v>0</v>
      </c>
      <c r="Y61" s="152">
        <f t="shared" si="49"/>
        <v>0</v>
      </c>
      <c r="Z61" s="152">
        <f t="shared" si="49"/>
        <v>0</v>
      </c>
      <c r="AA61" s="152">
        <f t="shared" si="49"/>
        <v>0</v>
      </c>
      <c r="AB61" s="152">
        <f t="shared" si="49"/>
        <v>0</v>
      </c>
      <c r="AC61" s="152">
        <f t="shared" si="49"/>
        <v>0</v>
      </c>
      <c r="AD61" s="152">
        <f t="shared" si="49"/>
        <v>0</v>
      </c>
      <c r="AE61" s="152">
        <f t="shared" si="49"/>
        <v>0</v>
      </c>
      <c r="AF61" s="152">
        <f t="shared" si="49"/>
        <v>0</v>
      </c>
      <c r="AG61" s="152">
        <f t="shared" si="49"/>
        <v>0</v>
      </c>
      <c r="AH61" s="152">
        <f t="shared" si="49"/>
        <v>0</v>
      </c>
      <c r="AI61" s="152">
        <f t="shared" si="49"/>
        <v>0</v>
      </c>
      <c r="AJ61" s="152">
        <f t="shared" si="49"/>
        <v>0</v>
      </c>
      <c r="AK61" s="152">
        <f t="shared" si="49"/>
        <v>0</v>
      </c>
      <c r="AL61" s="152">
        <f t="shared" si="49"/>
        <v>0</v>
      </c>
      <c r="AM61" s="152">
        <f t="shared" si="49"/>
        <v>0</v>
      </c>
      <c r="AN61" s="152">
        <f t="shared" si="49"/>
        <v>0</v>
      </c>
      <c r="AO61" s="152">
        <f t="shared" si="49"/>
        <v>0</v>
      </c>
      <c r="AP61" s="152">
        <f t="shared" si="49"/>
        <v>0</v>
      </c>
    </row>
    <row r="62" spans="1:42">
      <c r="A62" s="184" t="s">
        <v>191</v>
      </c>
      <c r="B62" s="152">
        <f t="shared" ref="B62:AP62" si="50">-B563-B564</f>
        <v>-350000</v>
      </c>
      <c r="C62" s="152">
        <f t="shared" si="50"/>
        <v>0</v>
      </c>
      <c r="D62" s="152">
        <f t="shared" si="50"/>
        <v>0</v>
      </c>
      <c r="E62" s="152">
        <f t="shared" si="50"/>
        <v>0</v>
      </c>
      <c r="F62" s="152">
        <f t="shared" si="50"/>
        <v>0</v>
      </c>
      <c r="G62" s="152">
        <f t="shared" si="50"/>
        <v>0</v>
      </c>
      <c r="H62" s="152">
        <f t="shared" si="50"/>
        <v>0</v>
      </c>
      <c r="I62" s="152">
        <f t="shared" si="50"/>
        <v>0</v>
      </c>
      <c r="J62" s="152">
        <f t="shared" si="50"/>
        <v>0</v>
      </c>
      <c r="K62" s="152">
        <f t="shared" si="50"/>
        <v>0</v>
      </c>
      <c r="L62" s="152">
        <f t="shared" si="50"/>
        <v>0</v>
      </c>
      <c r="M62" s="152">
        <f t="shared" si="50"/>
        <v>0</v>
      </c>
      <c r="N62" s="152">
        <f t="shared" si="50"/>
        <v>0</v>
      </c>
      <c r="O62" s="152">
        <f t="shared" si="50"/>
        <v>0</v>
      </c>
      <c r="P62" s="152">
        <f t="shared" si="50"/>
        <v>0</v>
      </c>
      <c r="Q62" s="152">
        <f t="shared" si="50"/>
        <v>0</v>
      </c>
      <c r="R62" s="152">
        <f t="shared" si="50"/>
        <v>0</v>
      </c>
      <c r="S62" s="152">
        <f t="shared" si="50"/>
        <v>0</v>
      </c>
      <c r="T62" s="152">
        <f t="shared" si="50"/>
        <v>0</v>
      </c>
      <c r="U62" s="152">
        <f t="shared" si="50"/>
        <v>0</v>
      </c>
      <c r="V62" s="152">
        <f t="shared" si="50"/>
        <v>0</v>
      </c>
      <c r="W62" s="152">
        <f t="shared" si="50"/>
        <v>0</v>
      </c>
      <c r="X62" s="152">
        <f t="shared" si="50"/>
        <v>0</v>
      </c>
      <c r="Y62" s="152">
        <f t="shared" si="50"/>
        <v>0</v>
      </c>
      <c r="Z62" s="152">
        <f t="shared" si="50"/>
        <v>0</v>
      </c>
      <c r="AA62" s="152">
        <f t="shared" si="50"/>
        <v>0</v>
      </c>
      <c r="AB62" s="152">
        <f t="shared" si="50"/>
        <v>0</v>
      </c>
      <c r="AC62" s="152">
        <f t="shared" si="50"/>
        <v>0</v>
      </c>
      <c r="AD62" s="152">
        <f t="shared" si="50"/>
        <v>0</v>
      </c>
      <c r="AE62" s="152">
        <f t="shared" si="50"/>
        <v>0</v>
      </c>
      <c r="AF62" s="152">
        <f t="shared" si="50"/>
        <v>350000</v>
      </c>
      <c r="AG62" s="152">
        <f t="shared" si="50"/>
        <v>0</v>
      </c>
      <c r="AH62" s="152">
        <f t="shared" si="50"/>
        <v>0</v>
      </c>
      <c r="AI62" s="152">
        <f t="shared" si="50"/>
        <v>0</v>
      </c>
      <c r="AJ62" s="152">
        <f t="shared" si="50"/>
        <v>0</v>
      </c>
      <c r="AK62" s="152">
        <f t="shared" si="50"/>
        <v>0</v>
      </c>
      <c r="AL62" s="152">
        <f t="shared" si="50"/>
        <v>0</v>
      </c>
      <c r="AM62" s="152">
        <f t="shared" si="50"/>
        <v>0</v>
      </c>
      <c r="AN62" s="152">
        <f t="shared" si="50"/>
        <v>0</v>
      </c>
      <c r="AO62" s="152">
        <f t="shared" si="50"/>
        <v>0</v>
      </c>
      <c r="AP62" s="152">
        <f t="shared" si="50"/>
        <v>0</v>
      </c>
    </row>
    <row r="63" spans="1:42">
      <c r="A63" s="184" t="s">
        <v>357</v>
      </c>
      <c r="B63" s="186">
        <f>-B569-B570</f>
        <v>0</v>
      </c>
      <c r="C63" s="186">
        <f t="shared" ref="C63:AP63" si="51">-C569-C570</f>
        <v>-245406.02862510949</v>
      </c>
      <c r="D63" s="186">
        <f t="shared" si="51"/>
        <v>-245406.02862510949</v>
      </c>
      <c r="E63" s="186">
        <f t="shared" si="51"/>
        <v>-245406.02862510949</v>
      </c>
      <c r="F63" s="186">
        <f t="shared" si="51"/>
        <v>-245406.02862510949</v>
      </c>
      <c r="G63" s="186">
        <f t="shared" si="51"/>
        <v>-245406.02862510949</v>
      </c>
      <c r="H63" s="186">
        <f t="shared" si="51"/>
        <v>-245406.02862510949</v>
      </c>
      <c r="I63" s="186">
        <f t="shared" si="51"/>
        <v>-245406.02862510949</v>
      </c>
      <c r="J63" s="186">
        <f t="shared" si="51"/>
        <v>-245406.02862510949</v>
      </c>
      <c r="K63" s="186">
        <f t="shared" si="51"/>
        <v>-245406.02862510949</v>
      </c>
      <c r="L63" s="186">
        <f t="shared" si="51"/>
        <v>-245406.02862510949</v>
      </c>
      <c r="M63" s="186">
        <f t="shared" si="51"/>
        <v>-245406.02862510949</v>
      </c>
      <c r="N63" s="186">
        <f t="shared" si="51"/>
        <v>2699466.3148762044</v>
      </c>
      <c r="O63" s="186">
        <f t="shared" si="51"/>
        <v>-293411.90721039008</v>
      </c>
      <c r="P63" s="186">
        <f t="shared" si="51"/>
        <v>-293411.90721039008</v>
      </c>
      <c r="Q63" s="186">
        <f t="shared" si="51"/>
        <v>-293411.90721039008</v>
      </c>
      <c r="R63" s="186">
        <f t="shared" si="51"/>
        <v>-293411.90721039008</v>
      </c>
      <c r="S63" s="186">
        <f t="shared" si="51"/>
        <v>-293411.90721039008</v>
      </c>
      <c r="T63" s="186">
        <f t="shared" si="51"/>
        <v>-293411.90721039008</v>
      </c>
      <c r="U63" s="186">
        <f t="shared" si="51"/>
        <v>-293411.90721039008</v>
      </c>
      <c r="V63" s="186">
        <f t="shared" si="51"/>
        <v>-293411.90721039008</v>
      </c>
      <c r="W63" s="186">
        <f t="shared" si="51"/>
        <v>-293411.90721039008</v>
      </c>
      <c r="X63" s="186">
        <f t="shared" si="51"/>
        <v>-293411.90721039008</v>
      </c>
      <c r="Y63" s="186">
        <f t="shared" si="51"/>
        <v>-293411.90721039008</v>
      </c>
      <c r="Z63" s="186">
        <f t="shared" si="51"/>
        <v>3227530.9793142909</v>
      </c>
      <c r="AA63" s="186">
        <f t="shared" si="51"/>
        <v>0</v>
      </c>
      <c r="AB63" s="186">
        <f t="shared" si="51"/>
        <v>0</v>
      </c>
      <c r="AC63" s="186">
        <f t="shared" si="51"/>
        <v>0</v>
      </c>
      <c r="AD63" s="186">
        <f t="shared" si="51"/>
        <v>0</v>
      </c>
      <c r="AE63" s="186">
        <f t="shared" si="51"/>
        <v>0</v>
      </c>
      <c r="AF63" s="186">
        <f t="shared" si="51"/>
        <v>0</v>
      </c>
      <c r="AG63" s="186">
        <f t="shared" si="51"/>
        <v>0</v>
      </c>
      <c r="AH63" s="186">
        <f t="shared" si="51"/>
        <v>0</v>
      </c>
      <c r="AI63" s="186">
        <f t="shared" si="51"/>
        <v>0</v>
      </c>
      <c r="AJ63" s="186">
        <f t="shared" si="51"/>
        <v>0</v>
      </c>
      <c r="AK63" s="186">
        <f t="shared" si="51"/>
        <v>0</v>
      </c>
      <c r="AL63" s="186">
        <f t="shared" si="51"/>
        <v>0</v>
      </c>
      <c r="AM63" s="186">
        <f t="shared" si="51"/>
        <v>0</v>
      </c>
      <c r="AN63" s="186">
        <f t="shared" si="51"/>
        <v>0</v>
      </c>
      <c r="AO63" s="186">
        <f t="shared" si="51"/>
        <v>0</v>
      </c>
      <c r="AP63" s="186">
        <f t="shared" si="51"/>
        <v>0</v>
      </c>
    </row>
    <row r="64" spans="1:42">
      <c r="A64" s="184" t="s">
        <v>358</v>
      </c>
      <c r="B64" s="186">
        <f>-B601-B602</f>
        <v>0</v>
      </c>
      <c r="C64" s="186">
        <f t="shared" ref="C64:AP64" si="52">-C601-C602</f>
        <v>-410585.24356465257</v>
      </c>
      <c r="D64" s="186">
        <f t="shared" si="52"/>
        <v>-410585.24356465257</v>
      </c>
      <c r="E64" s="186">
        <f t="shared" si="52"/>
        <v>-410585.24356465257</v>
      </c>
      <c r="F64" s="186">
        <f t="shared" si="52"/>
        <v>-410585.24356465257</v>
      </c>
      <c r="G64" s="186">
        <f t="shared" si="52"/>
        <v>-410585.24356465257</v>
      </c>
      <c r="H64" s="186">
        <f t="shared" si="52"/>
        <v>-410585.24356465257</v>
      </c>
      <c r="I64" s="186">
        <f t="shared" si="52"/>
        <v>-410585.24356465257</v>
      </c>
      <c r="J64" s="186">
        <f t="shared" si="52"/>
        <v>-410585.24356465257</v>
      </c>
      <c r="K64" s="186">
        <f t="shared" si="52"/>
        <v>-410585.24356465257</v>
      </c>
      <c r="L64" s="186">
        <f t="shared" si="52"/>
        <v>-410585.24356465257</v>
      </c>
      <c r="M64" s="186">
        <f t="shared" si="52"/>
        <v>-410585.24356465257</v>
      </c>
      <c r="N64" s="186">
        <f t="shared" si="52"/>
        <v>-410585.24356465257</v>
      </c>
      <c r="O64" s="186">
        <f t="shared" si="52"/>
        <v>-410585.24356465257</v>
      </c>
      <c r="P64" s="186">
        <f t="shared" si="52"/>
        <v>-410585.24356465257</v>
      </c>
      <c r="Q64" s="186">
        <f t="shared" si="52"/>
        <v>5748193.4099051366</v>
      </c>
      <c r="R64" s="186">
        <f t="shared" si="52"/>
        <v>-513326.83759962226</v>
      </c>
      <c r="S64" s="186">
        <f t="shared" si="52"/>
        <v>-513326.83759962226</v>
      </c>
      <c r="T64" s="186">
        <f t="shared" si="52"/>
        <v>-513326.83759962226</v>
      </c>
      <c r="U64" s="186">
        <f t="shared" si="52"/>
        <v>-513326.83759962226</v>
      </c>
      <c r="V64" s="186">
        <f t="shared" si="52"/>
        <v>-513326.83759962226</v>
      </c>
      <c r="W64" s="186">
        <f t="shared" si="52"/>
        <v>-513326.83759962226</v>
      </c>
      <c r="X64" s="186">
        <f t="shared" si="52"/>
        <v>-513326.83759962226</v>
      </c>
      <c r="Y64" s="186">
        <f t="shared" si="52"/>
        <v>-513326.83759962226</v>
      </c>
      <c r="Z64" s="186">
        <f t="shared" si="52"/>
        <v>-513326.83759962226</v>
      </c>
      <c r="AA64" s="186">
        <f t="shared" si="52"/>
        <v>-513326.83759962226</v>
      </c>
      <c r="AB64" s="186">
        <f t="shared" si="52"/>
        <v>-513326.83759962226</v>
      </c>
      <c r="AC64" s="186">
        <f t="shared" si="52"/>
        <v>-513326.83759962226</v>
      </c>
      <c r="AD64" s="186">
        <f t="shared" si="52"/>
        <v>-513326.83759962226</v>
      </c>
      <c r="AE64" s="186">
        <f t="shared" si="52"/>
        <v>-513326.83759962226</v>
      </c>
      <c r="AF64" s="186">
        <f t="shared" si="52"/>
        <v>7186575.726394712</v>
      </c>
      <c r="AG64" s="186">
        <f t="shared" si="52"/>
        <v>0</v>
      </c>
      <c r="AH64" s="186">
        <f t="shared" si="52"/>
        <v>0</v>
      </c>
      <c r="AI64" s="186">
        <f t="shared" si="52"/>
        <v>0</v>
      </c>
      <c r="AJ64" s="186">
        <f t="shared" si="52"/>
        <v>0</v>
      </c>
      <c r="AK64" s="186">
        <f t="shared" si="52"/>
        <v>0</v>
      </c>
      <c r="AL64" s="186">
        <f t="shared" si="52"/>
        <v>0</v>
      </c>
      <c r="AM64" s="186">
        <f t="shared" si="52"/>
        <v>0</v>
      </c>
      <c r="AN64" s="186">
        <f t="shared" si="52"/>
        <v>0</v>
      </c>
      <c r="AO64" s="186">
        <f t="shared" si="52"/>
        <v>0</v>
      </c>
      <c r="AP64" s="186">
        <f t="shared" si="52"/>
        <v>0</v>
      </c>
    </row>
    <row r="65" spans="1:42">
      <c r="A65" s="184" t="s">
        <v>359</v>
      </c>
      <c r="B65" s="187">
        <f>-B633-B634</f>
        <v>0</v>
      </c>
      <c r="C65" s="187">
        <f t="shared" ref="C65:AP65" si="53">-C633-C634</f>
        <v>-34340.833333333321</v>
      </c>
      <c r="D65" s="187">
        <f t="shared" si="53"/>
        <v>-34340.833333333321</v>
      </c>
      <c r="E65" s="187">
        <f t="shared" si="53"/>
        <v>68681.666666666657</v>
      </c>
      <c r="F65" s="187">
        <f t="shared" si="53"/>
        <v>-35909.466796145811</v>
      </c>
      <c r="G65" s="187">
        <f t="shared" si="53"/>
        <v>-35909.466796145811</v>
      </c>
      <c r="H65" s="187">
        <f t="shared" si="53"/>
        <v>71818.933592291607</v>
      </c>
      <c r="I65" s="187">
        <f t="shared" si="53"/>
        <v>-37549.752886510192</v>
      </c>
      <c r="J65" s="187">
        <f t="shared" si="53"/>
        <v>-37549.752886510192</v>
      </c>
      <c r="K65" s="187">
        <f t="shared" si="53"/>
        <v>75099.505773020384</v>
      </c>
      <c r="L65" s="187">
        <f t="shared" si="53"/>
        <v>-39264.96458001752</v>
      </c>
      <c r="M65" s="187">
        <f t="shared" si="53"/>
        <v>-39264.96458001752</v>
      </c>
      <c r="N65" s="187">
        <f t="shared" si="53"/>
        <v>78529.929160035041</v>
      </c>
      <c r="O65" s="187">
        <f t="shared" si="53"/>
        <v>-41058.524356465256</v>
      </c>
      <c r="P65" s="187">
        <f t="shared" si="53"/>
        <v>-41058.524356465256</v>
      </c>
      <c r="Q65" s="187">
        <f t="shared" si="53"/>
        <v>82117.048712930526</v>
      </c>
      <c r="R65" s="187">
        <f t="shared" si="53"/>
        <v>-42934.011028966495</v>
      </c>
      <c r="S65" s="187">
        <f t="shared" si="53"/>
        <v>-42934.011028966495</v>
      </c>
      <c r="T65" s="187">
        <f t="shared" si="53"/>
        <v>85868.022057932976</v>
      </c>
      <c r="U65" s="187">
        <f t="shared" si="53"/>
        <v>-44895.166885001738</v>
      </c>
      <c r="V65" s="187">
        <f t="shared" si="53"/>
        <v>-44895.166885001738</v>
      </c>
      <c r="W65" s="187">
        <f t="shared" si="53"/>
        <v>89790.33377000349</v>
      </c>
      <c r="X65" s="187">
        <f t="shared" si="53"/>
        <v>-46945.90515366241</v>
      </c>
      <c r="Y65" s="187">
        <f t="shared" si="53"/>
        <v>-46945.90515366241</v>
      </c>
      <c r="Z65" s="187">
        <f t="shared" si="53"/>
        <v>93891.810307324835</v>
      </c>
      <c r="AA65" s="187">
        <f t="shared" si="53"/>
        <v>-49090.317813985828</v>
      </c>
      <c r="AB65" s="187">
        <f t="shared" si="53"/>
        <v>-49090.317813985828</v>
      </c>
      <c r="AC65" s="187">
        <f t="shared" si="53"/>
        <v>98180.635627971642</v>
      </c>
      <c r="AD65" s="187">
        <f t="shared" si="53"/>
        <v>-51332.68375996223</v>
      </c>
      <c r="AE65" s="187">
        <f t="shared" si="53"/>
        <v>-51332.68375996223</v>
      </c>
      <c r="AF65" s="187">
        <f t="shared" si="53"/>
        <v>102665.36751992445</v>
      </c>
      <c r="AG65" s="187">
        <f t="shared" si="53"/>
        <v>0</v>
      </c>
      <c r="AH65" s="187">
        <f t="shared" si="53"/>
        <v>0</v>
      </c>
      <c r="AI65" s="187">
        <f t="shared" si="53"/>
        <v>0</v>
      </c>
      <c r="AJ65" s="187">
        <f t="shared" si="53"/>
        <v>0</v>
      </c>
      <c r="AK65" s="187">
        <f t="shared" si="53"/>
        <v>0</v>
      </c>
      <c r="AL65" s="187">
        <f t="shared" si="53"/>
        <v>0</v>
      </c>
      <c r="AM65" s="187">
        <f t="shared" si="53"/>
        <v>0</v>
      </c>
      <c r="AN65" s="187">
        <f t="shared" si="53"/>
        <v>0</v>
      </c>
      <c r="AO65" s="187">
        <f t="shared" si="53"/>
        <v>0</v>
      </c>
      <c r="AP65" s="187">
        <f t="shared" si="53"/>
        <v>0</v>
      </c>
    </row>
    <row r="66" spans="1:42">
      <c r="A66" s="184" t="s">
        <v>53</v>
      </c>
      <c r="B66" s="152">
        <f>SUM(B61:B65)</f>
        <v>-1284612.849211507</v>
      </c>
      <c r="C66" s="152">
        <f t="shared" ref="C66:AP66" si="54">SUM(C61:C65)</f>
        <v>-699694.69861517474</v>
      </c>
      <c r="D66" s="152">
        <f t="shared" si="54"/>
        <v>-699668.42041275697</v>
      </c>
      <c r="E66" s="152">
        <f t="shared" si="54"/>
        <v>-596037.58717632131</v>
      </c>
      <c r="F66" s="152">
        <f t="shared" si="54"/>
        <v>-701181.23301121988</v>
      </c>
      <c r="G66" s="152">
        <f t="shared" si="54"/>
        <v>-701151.63893445325</v>
      </c>
      <c r="H66" s="152">
        <f t="shared" si="54"/>
        <v>-592784.97344995546</v>
      </c>
      <c r="I66" s="152">
        <f t="shared" si="54"/>
        <v>-702729.23676831403</v>
      </c>
      <c r="J66" s="152">
        <f t="shared" si="54"/>
        <v>-702696.08769946836</v>
      </c>
      <c r="K66" s="152">
        <f t="shared" si="54"/>
        <v>-589377.1754843886</v>
      </c>
      <c r="L66" s="152">
        <f t="shared" si="54"/>
        <v>320756.21428592119</v>
      </c>
      <c r="M66" s="152">
        <f t="shared" si="54"/>
        <v>-695256.23676977959</v>
      </c>
      <c r="N66" s="152">
        <f t="shared" si="54"/>
        <v>2367411.0004715868</v>
      </c>
      <c r="O66" s="152">
        <f t="shared" si="54"/>
        <v>-745055.6751315078</v>
      </c>
      <c r="P66" s="152">
        <f t="shared" si="54"/>
        <v>-745055.6751315078</v>
      </c>
      <c r="Q66" s="152">
        <f t="shared" si="54"/>
        <v>5536898.5514076771</v>
      </c>
      <c r="R66" s="152">
        <f t="shared" si="54"/>
        <v>-849672.75583897892</v>
      </c>
      <c r="S66" s="152">
        <f t="shared" si="54"/>
        <v>-849672.75583897892</v>
      </c>
      <c r="T66" s="152">
        <f t="shared" si="54"/>
        <v>-720870.72275207937</v>
      </c>
      <c r="U66" s="152">
        <f t="shared" si="54"/>
        <v>-851633.9116950141</v>
      </c>
      <c r="V66" s="152">
        <f t="shared" si="54"/>
        <v>-851633.9116950141</v>
      </c>
      <c r="W66" s="152">
        <f t="shared" si="54"/>
        <v>-716948.41104000888</v>
      </c>
      <c r="X66" s="152">
        <f t="shared" si="54"/>
        <v>-853684.64996367483</v>
      </c>
      <c r="Y66" s="152">
        <f t="shared" si="54"/>
        <v>-853684.64996367483</v>
      </c>
      <c r="Z66" s="152">
        <f t="shared" si="54"/>
        <v>2808095.9520219937</v>
      </c>
      <c r="AA66" s="152">
        <f t="shared" si="54"/>
        <v>-562417.15541360807</v>
      </c>
      <c r="AB66" s="152">
        <f t="shared" si="54"/>
        <v>-562417.15541360807</v>
      </c>
      <c r="AC66" s="152">
        <f t="shared" si="54"/>
        <v>-415146.20197165059</v>
      </c>
      <c r="AD66" s="152">
        <f t="shared" si="54"/>
        <v>-564659.52135958453</v>
      </c>
      <c r="AE66" s="152">
        <f t="shared" si="54"/>
        <v>-564659.52135958453</v>
      </c>
      <c r="AF66" s="152">
        <f t="shared" si="54"/>
        <v>7639241.0939146364</v>
      </c>
      <c r="AG66" s="152">
        <f t="shared" si="54"/>
        <v>0</v>
      </c>
      <c r="AH66" s="152">
        <f t="shared" si="54"/>
        <v>0</v>
      </c>
      <c r="AI66" s="152">
        <f t="shared" si="54"/>
        <v>0</v>
      </c>
      <c r="AJ66" s="152">
        <f t="shared" si="54"/>
        <v>0</v>
      </c>
      <c r="AK66" s="152">
        <f t="shared" si="54"/>
        <v>0</v>
      </c>
      <c r="AL66" s="152">
        <f t="shared" si="54"/>
        <v>0</v>
      </c>
      <c r="AM66" s="152">
        <f t="shared" si="54"/>
        <v>0</v>
      </c>
      <c r="AN66" s="152">
        <f t="shared" si="54"/>
        <v>0</v>
      </c>
      <c r="AO66" s="152">
        <f t="shared" si="54"/>
        <v>0</v>
      </c>
      <c r="AP66" s="152">
        <f t="shared" si="54"/>
        <v>0</v>
      </c>
    </row>
    <row r="67" spans="1:42">
      <c r="A67" s="180" t="s">
        <v>202</v>
      </c>
    </row>
    <row r="68" spans="1:42">
      <c r="A68" s="184" t="s">
        <v>365</v>
      </c>
      <c r="B68" s="186">
        <f>B570</f>
        <v>0</v>
      </c>
      <c r="C68" s="186">
        <f t="shared" ref="C68:AP68" si="55">C570</f>
        <v>0</v>
      </c>
      <c r="D68" s="186">
        <f t="shared" si="55"/>
        <v>0</v>
      </c>
      <c r="E68" s="186">
        <f t="shared" si="55"/>
        <v>0</v>
      </c>
      <c r="F68" s="186">
        <f t="shared" si="55"/>
        <v>0</v>
      </c>
      <c r="G68" s="186">
        <f t="shared" si="55"/>
        <v>0</v>
      </c>
      <c r="H68" s="186">
        <f t="shared" si="55"/>
        <v>0</v>
      </c>
      <c r="I68" s="186">
        <f t="shared" si="55"/>
        <v>0</v>
      </c>
      <c r="J68" s="186">
        <f t="shared" si="55"/>
        <v>0</v>
      </c>
      <c r="K68" s="186">
        <f t="shared" si="55"/>
        <v>0</v>
      </c>
      <c r="L68" s="186">
        <f t="shared" si="55"/>
        <v>0</v>
      </c>
      <c r="M68" s="186">
        <f t="shared" si="55"/>
        <v>0</v>
      </c>
      <c r="N68" s="186">
        <f t="shared" si="55"/>
        <v>-2944872.3435013141</v>
      </c>
      <c r="O68" s="186">
        <f t="shared" si="55"/>
        <v>0</v>
      </c>
      <c r="P68" s="186">
        <f t="shared" si="55"/>
        <v>0</v>
      </c>
      <c r="Q68" s="186">
        <f t="shared" si="55"/>
        <v>0</v>
      </c>
      <c r="R68" s="186">
        <f t="shared" si="55"/>
        <v>0</v>
      </c>
      <c r="S68" s="186">
        <f t="shared" si="55"/>
        <v>0</v>
      </c>
      <c r="T68" s="186">
        <f t="shared" si="55"/>
        <v>0</v>
      </c>
      <c r="U68" s="186">
        <f t="shared" si="55"/>
        <v>0</v>
      </c>
      <c r="V68" s="186">
        <f t="shared" si="55"/>
        <v>0</v>
      </c>
      <c r="W68" s="186">
        <f t="shared" si="55"/>
        <v>0</v>
      </c>
      <c r="X68" s="186">
        <f t="shared" si="55"/>
        <v>0</v>
      </c>
      <c r="Y68" s="186">
        <f t="shared" si="55"/>
        <v>0</v>
      </c>
      <c r="Z68" s="186">
        <f t="shared" si="55"/>
        <v>-3520942.886524681</v>
      </c>
      <c r="AA68" s="186">
        <f t="shared" si="55"/>
        <v>0</v>
      </c>
      <c r="AB68" s="186">
        <f t="shared" si="55"/>
        <v>0</v>
      </c>
      <c r="AC68" s="186">
        <f t="shared" si="55"/>
        <v>0</v>
      </c>
      <c r="AD68" s="186">
        <f t="shared" si="55"/>
        <v>0</v>
      </c>
      <c r="AE68" s="186">
        <f t="shared" si="55"/>
        <v>0</v>
      </c>
      <c r="AF68" s="186">
        <f t="shared" si="55"/>
        <v>0</v>
      </c>
      <c r="AG68" s="186">
        <f t="shared" si="55"/>
        <v>0</v>
      </c>
      <c r="AH68" s="186">
        <f t="shared" si="55"/>
        <v>0</v>
      </c>
      <c r="AI68" s="186">
        <f t="shared" si="55"/>
        <v>0</v>
      </c>
      <c r="AJ68" s="186">
        <f t="shared" si="55"/>
        <v>0</v>
      </c>
      <c r="AK68" s="186">
        <f t="shared" si="55"/>
        <v>0</v>
      </c>
      <c r="AL68" s="186">
        <f t="shared" si="55"/>
        <v>0</v>
      </c>
      <c r="AM68" s="186">
        <f t="shared" si="55"/>
        <v>0</v>
      </c>
      <c r="AN68" s="186">
        <f t="shared" si="55"/>
        <v>0</v>
      </c>
      <c r="AO68" s="186">
        <f t="shared" si="55"/>
        <v>0</v>
      </c>
      <c r="AP68" s="186">
        <f t="shared" si="55"/>
        <v>0</v>
      </c>
    </row>
    <row r="69" spans="1:42">
      <c r="A69" s="184" t="s">
        <v>366</v>
      </c>
      <c r="B69" s="186">
        <f>B602</f>
        <v>0</v>
      </c>
      <c r="C69" s="186">
        <f t="shared" ref="C69:AP69" si="56">C602</f>
        <v>0</v>
      </c>
      <c r="D69" s="186">
        <f t="shared" si="56"/>
        <v>0</v>
      </c>
      <c r="E69" s="186">
        <f t="shared" si="56"/>
        <v>0</v>
      </c>
      <c r="F69" s="186">
        <f t="shared" si="56"/>
        <v>0</v>
      </c>
      <c r="G69" s="186">
        <f t="shared" si="56"/>
        <v>0</v>
      </c>
      <c r="H69" s="186">
        <f t="shared" si="56"/>
        <v>0</v>
      </c>
      <c r="I69" s="186">
        <f t="shared" si="56"/>
        <v>0</v>
      </c>
      <c r="J69" s="186">
        <f t="shared" si="56"/>
        <v>0</v>
      </c>
      <c r="K69" s="186">
        <f t="shared" si="56"/>
        <v>0</v>
      </c>
      <c r="L69" s="186">
        <f t="shared" si="56"/>
        <v>0</v>
      </c>
      <c r="M69" s="186">
        <f t="shared" si="56"/>
        <v>0</v>
      </c>
      <c r="N69" s="186">
        <f t="shared" si="56"/>
        <v>0</v>
      </c>
      <c r="O69" s="186">
        <f t="shared" si="56"/>
        <v>0</v>
      </c>
      <c r="P69" s="186">
        <f t="shared" si="56"/>
        <v>0</v>
      </c>
      <c r="Q69" s="186">
        <f t="shared" si="56"/>
        <v>-6158778.6534697888</v>
      </c>
      <c r="R69" s="186">
        <f t="shared" si="56"/>
        <v>0</v>
      </c>
      <c r="S69" s="186">
        <f t="shared" si="56"/>
        <v>0</v>
      </c>
      <c r="T69" s="186">
        <f t="shared" si="56"/>
        <v>0</v>
      </c>
      <c r="U69" s="186">
        <f t="shared" si="56"/>
        <v>0</v>
      </c>
      <c r="V69" s="186">
        <f t="shared" si="56"/>
        <v>0</v>
      </c>
      <c r="W69" s="186">
        <f t="shared" si="56"/>
        <v>0</v>
      </c>
      <c r="X69" s="186">
        <f t="shared" si="56"/>
        <v>0</v>
      </c>
      <c r="Y69" s="186">
        <f t="shared" si="56"/>
        <v>0</v>
      </c>
      <c r="Z69" s="186">
        <f t="shared" si="56"/>
        <v>0</v>
      </c>
      <c r="AA69" s="186">
        <f t="shared" si="56"/>
        <v>0</v>
      </c>
      <c r="AB69" s="186">
        <f t="shared" si="56"/>
        <v>0</v>
      </c>
      <c r="AC69" s="186">
        <f t="shared" si="56"/>
        <v>0</v>
      </c>
      <c r="AD69" s="186">
        <f t="shared" si="56"/>
        <v>0</v>
      </c>
      <c r="AE69" s="186">
        <f t="shared" si="56"/>
        <v>0</v>
      </c>
      <c r="AF69" s="186">
        <f t="shared" si="56"/>
        <v>-7699902.5639943341</v>
      </c>
      <c r="AG69" s="186">
        <f t="shared" si="56"/>
        <v>0</v>
      </c>
      <c r="AH69" s="186">
        <f t="shared" si="56"/>
        <v>0</v>
      </c>
      <c r="AI69" s="186">
        <f t="shared" si="56"/>
        <v>0</v>
      </c>
      <c r="AJ69" s="186">
        <f t="shared" si="56"/>
        <v>0</v>
      </c>
      <c r="AK69" s="186">
        <f t="shared" si="56"/>
        <v>0</v>
      </c>
      <c r="AL69" s="186">
        <f t="shared" si="56"/>
        <v>0</v>
      </c>
      <c r="AM69" s="186">
        <f t="shared" si="56"/>
        <v>0</v>
      </c>
      <c r="AN69" s="186">
        <f t="shared" si="56"/>
        <v>0</v>
      </c>
      <c r="AO69" s="186">
        <f t="shared" si="56"/>
        <v>0</v>
      </c>
      <c r="AP69" s="186">
        <f t="shared" si="56"/>
        <v>0</v>
      </c>
    </row>
    <row r="70" spans="1:42">
      <c r="A70" s="184" t="s">
        <v>367</v>
      </c>
      <c r="B70" s="187">
        <f>B634</f>
        <v>0</v>
      </c>
      <c r="C70" s="187">
        <f t="shared" ref="C70:AP70" si="57">C634</f>
        <v>0</v>
      </c>
      <c r="D70" s="187">
        <f t="shared" si="57"/>
        <v>0</v>
      </c>
      <c r="E70" s="187">
        <f t="shared" si="57"/>
        <v>-103022.49999999997</v>
      </c>
      <c r="F70" s="187">
        <f t="shared" si="57"/>
        <v>0</v>
      </c>
      <c r="G70" s="187">
        <f t="shared" si="57"/>
        <v>0</v>
      </c>
      <c r="H70" s="187">
        <f t="shared" si="57"/>
        <v>-107728.40038843743</v>
      </c>
      <c r="I70" s="187">
        <f t="shared" si="57"/>
        <v>0</v>
      </c>
      <c r="J70" s="187">
        <f t="shared" si="57"/>
        <v>0</v>
      </c>
      <c r="K70" s="187">
        <f t="shared" si="57"/>
        <v>-112649.25865953058</v>
      </c>
      <c r="L70" s="187">
        <f t="shared" si="57"/>
        <v>0</v>
      </c>
      <c r="M70" s="187">
        <f t="shared" si="57"/>
        <v>0</v>
      </c>
      <c r="N70" s="187">
        <f t="shared" si="57"/>
        <v>-117794.89374005256</v>
      </c>
      <c r="O70" s="187">
        <f t="shared" si="57"/>
        <v>0</v>
      </c>
      <c r="P70" s="187">
        <f t="shared" si="57"/>
        <v>0</v>
      </c>
      <c r="Q70" s="187">
        <f t="shared" si="57"/>
        <v>-123175.57306939577</v>
      </c>
      <c r="R70" s="187">
        <f t="shared" si="57"/>
        <v>0</v>
      </c>
      <c r="S70" s="187">
        <f t="shared" si="57"/>
        <v>0</v>
      </c>
      <c r="T70" s="187">
        <f t="shared" si="57"/>
        <v>-128802.03308689948</v>
      </c>
      <c r="U70" s="187">
        <f t="shared" si="57"/>
        <v>0</v>
      </c>
      <c r="V70" s="187">
        <f t="shared" si="57"/>
        <v>0</v>
      </c>
      <c r="W70" s="187">
        <f t="shared" si="57"/>
        <v>-134685.50065500522</v>
      </c>
      <c r="X70" s="187">
        <f t="shared" si="57"/>
        <v>0</v>
      </c>
      <c r="Y70" s="187">
        <f t="shared" si="57"/>
        <v>0</v>
      </c>
      <c r="Z70" s="187">
        <f t="shared" si="57"/>
        <v>-140837.71546098724</v>
      </c>
      <c r="AA70" s="187">
        <f t="shared" si="57"/>
        <v>0</v>
      </c>
      <c r="AB70" s="187">
        <f t="shared" si="57"/>
        <v>0</v>
      </c>
      <c r="AC70" s="187">
        <f t="shared" si="57"/>
        <v>-147270.95344195748</v>
      </c>
      <c r="AD70" s="187">
        <f t="shared" si="57"/>
        <v>0</v>
      </c>
      <c r="AE70" s="187">
        <f t="shared" si="57"/>
        <v>0</v>
      </c>
      <c r="AF70" s="187">
        <f t="shared" si="57"/>
        <v>-153998.05127988668</v>
      </c>
      <c r="AG70" s="187">
        <f t="shared" si="57"/>
        <v>0</v>
      </c>
      <c r="AH70" s="187">
        <f t="shared" si="57"/>
        <v>0</v>
      </c>
      <c r="AI70" s="187">
        <f t="shared" si="57"/>
        <v>0</v>
      </c>
      <c r="AJ70" s="187">
        <f t="shared" si="57"/>
        <v>0</v>
      </c>
      <c r="AK70" s="187">
        <f t="shared" si="57"/>
        <v>0</v>
      </c>
      <c r="AL70" s="187">
        <f t="shared" si="57"/>
        <v>0</v>
      </c>
      <c r="AM70" s="187">
        <f t="shared" si="57"/>
        <v>0</v>
      </c>
      <c r="AN70" s="187">
        <f t="shared" si="57"/>
        <v>0</v>
      </c>
      <c r="AO70" s="187">
        <f t="shared" si="57"/>
        <v>0</v>
      </c>
      <c r="AP70" s="187">
        <f t="shared" si="57"/>
        <v>0</v>
      </c>
    </row>
    <row r="71" spans="1:42">
      <c r="A71" s="184" t="s">
        <v>53</v>
      </c>
      <c r="B71" s="251">
        <f>SUM(B68:B70)</f>
        <v>0</v>
      </c>
      <c r="C71" s="251">
        <f t="shared" ref="C71:AP71" si="58">SUM(C68:C70)</f>
        <v>0</v>
      </c>
      <c r="D71" s="251">
        <f t="shared" si="58"/>
        <v>0</v>
      </c>
      <c r="E71" s="251">
        <f t="shared" si="58"/>
        <v>-103022.49999999997</v>
      </c>
      <c r="F71" s="251">
        <f t="shared" si="58"/>
        <v>0</v>
      </c>
      <c r="G71" s="251">
        <f t="shared" si="58"/>
        <v>0</v>
      </c>
      <c r="H71" s="251">
        <f t="shared" si="58"/>
        <v>-107728.40038843743</v>
      </c>
      <c r="I71" s="251">
        <f t="shared" si="58"/>
        <v>0</v>
      </c>
      <c r="J71" s="251">
        <f t="shared" si="58"/>
        <v>0</v>
      </c>
      <c r="K71" s="251">
        <f t="shared" si="58"/>
        <v>-112649.25865953058</v>
      </c>
      <c r="L71" s="251">
        <f t="shared" si="58"/>
        <v>0</v>
      </c>
      <c r="M71" s="251">
        <f t="shared" si="58"/>
        <v>0</v>
      </c>
      <c r="N71" s="251">
        <f t="shared" si="58"/>
        <v>-3062667.2372413664</v>
      </c>
      <c r="O71" s="251">
        <f t="shared" si="58"/>
        <v>0</v>
      </c>
      <c r="P71" s="251">
        <f t="shared" si="58"/>
        <v>0</v>
      </c>
      <c r="Q71" s="251">
        <f t="shared" si="58"/>
        <v>-6281954.2265391843</v>
      </c>
      <c r="R71" s="251">
        <f t="shared" si="58"/>
        <v>0</v>
      </c>
      <c r="S71" s="251">
        <f t="shared" si="58"/>
        <v>0</v>
      </c>
      <c r="T71" s="251">
        <f t="shared" si="58"/>
        <v>-128802.03308689948</v>
      </c>
      <c r="U71" s="251">
        <f t="shared" si="58"/>
        <v>0</v>
      </c>
      <c r="V71" s="251">
        <f t="shared" si="58"/>
        <v>0</v>
      </c>
      <c r="W71" s="251">
        <f t="shared" si="58"/>
        <v>-134685.50065500522</v>
      </c>
      <c r="X71" s="251">
        <f t="shared" si="58"/>
        <v>0</v>
      </c>
      <c r="Y71" s="251">
        <f t="shared" si="58"/>
        <v>0</v>
      </c>
      <c r="Z71" s="251">
        <f t="shared" si="58"/>
        <v>-3661780.6019856683</v>
      </c>
      <c r="AA71" s="251">
        <f t="shared" si="58"/>
        <v>0</v>
      </c>
      <c r="AB71" s="251">
        <f t="shared" si="58"/>
        <v>0</v>
      </c>
      <c r="AC71" s="251">
        <f t="shared" si="58"/>
        <v>-147270.95344195748</v>
      </c>
      <c r="AD71" s="251">
        <f t="shared" si="58"/>
        <v>0</v>
      </c>
      <c r="AE71" s="251">
        <f t="shared" si="58"/>
        <v>0</v>
      </c>
      <c r="AF71" s="251">
        <f t="shared" si="58"/>
        <v>-7853900.6152742207</v>
      </c>
      <c r="AG71" s="251">
        <f t="shared" si="58"/>
        <v>0</v>
      </c>
      <c r="AH71" s="251">
        <f t="shared" si="58"/>
        <v>0</v>
      </c>
      <c r="AI71" s="251">
        <f t="shared" si="58"/>
        <v>0</v>
      </c>
      <c r="AJ71" s="251">
        <f t="shared" si="58"/>
        <v>0</v>
      </c>
      <c r="AK71" s="251">
        <f t="shared" si="58"/>
        <v>0</v>
      </c>
      <c r="AL71" s="251">
        <f t="shared" si="58"/>
        <v>0</v>
      </c>
      <c r="AM71" s="251">
        <f t="shared" si="58"/>
        <v>0</v>
      </c>
      <c r="AN71" s="251">
        <f t="shared" si="58"/>
        <v>0</v>
      </c>
      <c r="AO71" s="251">
        <f t="shared" si="58"/>
        <v>0</v>
      </c>
      <c r="AP71" s="251">
        <f t="shared" si="58"/>
        <v>0</v>
      </c>
    </row>
    <row r="72" spans="1:42">
      <c r="A72" s="180" t="s">
        <v>53</v>
      </c>
      <c r="B72" s="152">
        <f>B59+B66+B71</f>
        <v>-42784486.849211507</v>
      </c>
      <c r="C72" s="152">
        <f t="shared" ref="C72:AP72" si="59">C59+C66+C71</f>
        <v>-699694.69861517474</v>
      </c>
      <c r="D72" s="152">
        <f t="shared" si="59"/>
        <v>-699668.42041275697</v>
      </c>
      <c r="E72" s="152">
        <f t="shared" si="59"/>
        <v>-699060.08717632131</v>
      </c>
      <c r="F72" s="152">
        <f t="shared" si="59"/>
        <v>-701181.23301121988</v>
      </c>
      <c r="G72" s="152">
        <f t="shared" si="59"/>
        <v>-701151.63893445325</v>
      </c>
      <c r="H72" s="152">
        <f t="shared" si="59"/>
        <v>-700513.3738383929</v>
      </c>
      <c r="I72" s="152">
        <f t="shared" si="59"/>
        <v>-702729.23676831403</v>
      </c>
      <c r="J72" s="152">
        <f t="shared" si="59"/>
        <v>-702696.08769946836</v>
      </c>
      <c r="K72" s="152">
        <f t="shared" si="59"/>
        <v>-702026.43414391915</v>
      </c>
      <c r="L72" s="152">
        <f t="shared" si="59"/>
        <v>320756.21428592119</v>
      </c>
      <c r="M72" s="152">
        <f t="shared" si="59"/>
        <v>-695256.23676977959</v>
      </c>
      <c r="N72" s="152">
        <f t="shared" si="59"/>
        <v>-695256.23676977959</v>
      </c>
      <c r="O72" s="152">
        <f t="shared" si="59"/>
        <v>-745055.6751315078</v>
      </c>
      <c r="P72" s="152">
        <f t="shared" si="59"/>
        <v>-745055.6751315078</v>
      </c>
      <c r="Q72" s="152">
        <f t="shared" si="59"/>
        <v>-745055.67513150722</v>
      </c>
      <c r="R72" s="152">
        <f t="shared" si="59"/>
        <v>-849672.75583897892</v>
      </c>
      <c r="S72" s="152">
        <f t="shared" si="59"/>
        <v>-849672.75583897892</v>
      </c>
      <c r="T72" s="152">
        <f t="shared" si="59"/>
        <v>-849672.7558389788</v>
      </c>
      <c r="U72" s="152">
        <f t="shared" si="59"/>
        <v>-851633.9116950141</v>
      </c>
      <c r="V72" s="152">
        <f t="shared" si="59"/>
        <v>-851633.9116950141</v>
      </c>
      <c r="W72" s="152">
        <f t="shared" si="59"/>
        <v>-851633.9116950141</v>
      </c>
      <c r="X72" s="152">
        <f t="shared" si="59"/>
        <v>-853684.64996367483</v>
      </c>
      <c r="Y72" s="152">
        <f t="shared" si="59"/>
        <v>-853684.64996367483</v>
      </c>
      <c r="Z72" s="152">
        <f t="shared" si="59"/>
        <v>-853684.6499636746</v>
      </c>
      <c r="AA72" s="152">
        <f t="shared" si="59"/>
        <v>-562417.15541360807</v>
      </c>
      <c r="AB72" s="152">
        <f t="shared" si="59"/>
        <v>-562417.15541360807</v>
      </c>
      <c r="AC72" s="152">
        <f t="shared" si="59"/>
        <v>-562417.15541360807</v>
      </c>
      <c r="AD72" s="152">
        <f t="shared" si="59"/>
        <v>-564659.52135958453</v>
      </c>
      <c r="AE72" s="152">
        <f t="shared" si="59"/>
        <v>-564659.52135958453</v>
      </c>
      <c r="AF72" s="152">
        <f t="shared" si="59"/>
        <v>-214659.52135958429</v>
      </c>
      <c r="AG72" s="152">
        <f t="shared" si="59"/>
        <v>0</v>
      </c>
      <c r="AH72" s="152">
        <f t="shared" si="59"/>
        <v>0</v>
      </c>
      <c r="AI72" s="152">
        <f t="shared" si="59"/>
        <v>0</v>
      </c>
      <c r="AJ72" s="152">
        <f t="shared" si="59"/>
        <v>0</v>
      </c>
      <c r="AK72" s="152">
        <f t="shared" si="59"/>
        <v>0</v>
      </c>
      <c r="AL72" s="152">
        <f t="shared" si="59"/>
        <v>0</v>
      </c>
      <c r="AM72" s="152">
        <f t="shared" si="59"/>
        <v>0</v>
      </c>
      <c r="AN72" s="152">
        <f t="shared" si="59"/>
        <v>0</v>
      </c>
      <c r="AO72" s="152">
        <f t="shared" si="59"/>
        <v>0</v>
      </c>
      <c r="AP72" s="152">
        <f t="shared" si="59"/>
        <v>0</v>
      </c>
    </row>
    <row r="73" spans="1:42">
      <c r="A73" s="180"/>
      <c r="B73" s="152"/>
      <c r="C73" s="152"/>
      <c r="D73" s="152"/>
      <c r="E73" s="152"/>
      <c r="F73" s="152"/>
      <c r="G73" s="152"/>
      <c r="H73" s="152"/>
      <c r="I73" s="152"/>
      <c r="J73" s="152"/>
      <c r="K73" s="152"/>
      <c r="L73" s="152"/>
      <c r="M73" s="152"/>
      <c r="N73" s="152"/>
      <c r="O73" s="152"/>
      <c r="P73" s="152"/>
      <c r="Q73" s="152"/>
      <c r="R73" s="152"/>
      <c r="S73" s="152"/>
      <c r="T73" s="152"/>
      <c r="U73" s="152"/>
      <c r="V73" s="152"/>
      <c r="W73" s="152"/>
      <c r="X73" s="152"/>
      <c r="Y73" s="152"/>
      <c r="Z73" s="152"/>
      <c r="AA73" s="152"/>
      <c r="AB73" s="152"/>
      <c r="AC73" s="152"/>
      <c r="AD73" s="152"/>
      <c r="AE73" s="152"/>
      <c r="AF73" s="152"/>
      <c r="AG73" s="152"/>
      <c r="AH73" s="152"/>
      <c r="AI73" s="152"/>
      <c r="AJ73" s="152"/>
      <c r="AK73" s="152"/>
      <c r="AL73" s="152"/>
      <c r="AM73" s="152"/>
      <c r="AN73" s="152"/>
      <c r="AO73" s="152"/>
      <c r="AP73" s="152"/>
    </row>
    <row r="74" spans="1:42">
      <c r="A74" s="182" t="s">
        <v>186</v>
      </c>
      <c r="B74" s="152"/>
      <c r="C74" s="152"/>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2"/>
      <c r="AB74" s="152"/>
      <c r="AC74" s="152"/>
      <c r="AD74" s="152"/>
      <c r="AE74" s="152"/>
      <c r="AF74" s="152"/>
      <c r="AG74" s="152"/>
      <c r="AH74" s="152"/>
      <c r="AI74" s="152"/>
      <c r="AJ74" s="152"/>
      <c r="AK74" s="152"/>
      <c r="AL74" s="152"/>
      <c r="AM74" s="152"/>
      <c r="AN74" s="152"/>
      <c r="AO74" s="152"/>
      <c r="AP74" s="152"/>
    </row>
    <row r="75" spans="1:42">
      <c r="A75" s="180" t="s">
        <v>204</v>
      </c>
      <c r="B75" s="152"/>
      <c r="C75" s="152"/>
      <c r="D75" s="152"/>
      <c r="E75" s="152"/>
      <c r="F75" s="152"/>
      <c r="G75" s="152"/>
      <c r="H75" s="152"/>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c r="AL75" s="152"/>
      <c r="AM75" s="152"/>
      <c r="AN75" s="152"/>
      <c r="AO75" s="152"/>
      <c r="AP75" s="152"/>
    </row>
    <row r="76" spans="1:42">
      <c r="A76" s="184" t="s">
        <v>205</v>
      </c>
      <c r="B76" s="152">
        <f>'Inputs &amp; Results'!$E$166+'Inputs &amp; Results'!$E$167</f>
        <v>6641229.75</v>
      </c>
      <c r="C76" s="152">
        <v>0</v>
      </c>
      <c r="D76" s="152">
        <v>0</v>
      </c>
      <c r="E76" s="152">
        <v>0</v>
      </c>
      <c r="F76" s="152">
        <v>0</v>
      </c>
      <c r="G76" s="152">
        <v>0</v>
      </c>
      <c r="H76" s="152">
        <v>0</v>
      </c>
      <c r="I76" s="152">
        <v>0</v>
      </c>
      <c r="J76" s="152">
        <v>0</v>
      </c>
      <c r="K76" s="152">
        <v>0</v>
      </c>
      <c r="L76" s="152">
        <v>0</v>
      </c>
      <c r="M76" s="152">
        <v>0</v>
      </c>
      <c r="N76" s="152">
        <v>0</v>
      </c>
      <c r="O76" s="152">
        <v>0</v>
      </c>
      <c r="P76" s="152">
        <v>0</v>
      </c>
      <c r="Q76" s="152">
        <v>0</v>
      </c>
      <c r="R76" s="152">
        <v>0</v>
      </c>
      <c r="S76" s="152">
        <v>0</v>
      </c>
      <c r="T76" s="152">
        <v>0</v>
      </c>
      <c r="U76" s="152">
        <v>0</v>
      </c>
      <c r="V76" s="152">
        <v>0</v>
      </c>
      <c r="W76" s="152">
        <v>0</v>
      </c>
      <c r="X76" s="152">
        <v>0</v>
      </c>
      <c r="Y76" s="152">
        <v>0</v>
      </c>
      <c r="Z76" s="152">
        <v>0</v>
      </c>
      <c r="AA76" s="152">
        <v>0</v>
      </c>
      <c r="AB76" s="152">
        <v>0</v>
      </c>
      <c r="AC76" s="152">
        <v>0</v>
      </c>
      <c r="AD76" s="152">
        <v>0</v>
      </c>
      <c r="AE76" s="152">
        <v>0</v>
      </c>
      <c r="AF76" s="152">
        <v>0</v>
      </c>
      <c r="AG76" s="152">
        <v>0</v>
      </c>
      <c r="AH76" s="152">
        <v>0</v>
      </c>
      <c r="AI76" s="152">
        <v>0</v>
      </c>
      <c r="AJ76" s="152">
        <v>0</v>
      </c>
      <c r="AK76" s="152">
        <v>0</v>
      </c>
      <c r="AL76" s="152">
        <v>0</v>
      </c>
      <c r="AM76" s="152">
        <v>0</v>
      </c>
      <c r="AN76" s="152">
        <v>0</v>
      </c>
      <c r="AO76" s="152">
        <v>0</v>
      </c>
      <c r="AP76" s="152">
        <v>0</v>
      </c>
    </row>
    <row r="77" spans="1:42">
      <c r="A77" s="184" t="s">
        <v>180</v>
      </c>
      <c r="B77" s="187">
        <f>'Inputs &amp; Results'!$E$168</f>
        <v>7150000</v>
      </c>
      <c r="C77" s="187">
        <v>0</v>
      </c>
      <c r="D77" s="187">
        <v>0</v>
      </c>
      <c r="E77" s="187">
        <v>0</v>
      </c>
      <c r="F77" s="187">
        <v>0</v>
      </c>
      <c r="G77" s="187">
        <v>0</v>
      </c>
      <c r="H77" s="187">
        <v>0</v>
      </c>
      <c r="I77" s="187">
        <v>0</v>
      </c>
      <c r="J77" s="187">
        <v>0</v>
      </c>
      <c r="K77" s="187">
        <v>0</v>
      </c>
      <c r="L77" s="187">
        <v>0</v>
      </c>
      <c r="M77" s="187">
        <v>0</v>
      </c>
      <c r="N77" s="187">
        <v>0</v>
      </c>
      <c r="O77" s="187">
        <v>0</v>
      </c>
      <c r="P77" s="187">
        <v>0</v>
      </c>
      <c r="Q77" s="187">
        <v>0</v>
      </c>
      <c r="R77" s="187">
        <v>0</v>
      </c>
      <c r="S77" s="187">
        <v>0</v>
      </c>
      <c r="T77" s="187">
        <v>0</v>
      </c>
      <c r="U77" s="187">
        <v>0</v>
      </c>
      <c r="V77" s="187">
        <v>0</v>
      </c>
      <c r="W77" s="187">
        <v>0</v>
      </c>
      <c r="X77" s="187">
        <v>0</v>
      </c>
      <c r="Y77" s="187">
        <v>0</v>
      </c>
      <c r="Z77" s="187">
        <v>0</v>
      </c>
      <c r="AA77" s="187">
        <v>0</v>
      </c>
      <c r="AB77" s="187">
        <v>0</v>
      </c>
      <c r="AC77" s="187">
        <v>0</v>
      </c>
      <c r="AD77" s="187">
        <v>0</v>
      </c>
      <c r="AE77" s="187">
        <v>0</v>
      </c>
      <c r="AF77" s="187">
        <v>0</v>
      </c>
      <c r="AG77" s="187">
        <v>0</v>
      </c>
      <c r="AH77" s="187">
        <v>0</v>
      </c>
      <c r="AI77" s="187">
        <v>0</v>
      </c>
      <c r="AJ77" s="187">
        <v>0</v>
      </c>
      <c r="AK77" s="187">
        <v>0</v>
      </c>
      <c r="AL77" s="187">
        <v>0</v>
      </c>
      <c r="AM77" s="187">
        <v>0</v>
      </c>
      <c r="AN77" s="187">
        <v>0</v>
      </c>
      <c r="AO77" s="187">
        <v>0</v>
      </c>
      <c r="AP77" s="187">
        <v>0</v>
      </c>
    </row>
    <row r="78" spans="1:42">
      <c r="A78" s="184" t="s">
        <v>53</v>
      </c>
      <c r="B78" s="152">
        <f>SUM(B76:B77)</f>
        <v>13791229.75</v>
      </c>
      <c r="C78" s="152">
        <f t="shared" ref="C78:AP78" si="60">SUM(C76:C77)</f>
        <v>0</v>
      </c>
      <c r="D78" s="152">
        <f t="shared" si="60"/>
        <v>0</v>
      </c>
      <c r="E78" s="152">
        <f t="shared" si="60"/>
        <v>0</v>
      </c>
      <c r="F78" s="152">
        <f t="shared" si="60"/>
        <v>0</v>
      </c>
      <c r="G78" s="152">
        <f t="shared" si="60"/>
        <v>0</v>
      </c>
      <c r="H78" s="152">
        <f t="shared" si="60"/>
        <v>0</v>
      </c>
      <c r="I78" s="152">
        <f t="shared" si="60"/>
        <v>0</v>
      </c>
      <c r="J78" s="152">
        <f t="shared" si="60"/>
        <v>0</v>
      </c>
      <c r="K78" s="152">
        <f t="shared" si="60"/>
        <v>0</v>
      </c>
      <c r="L78" s="152">
        <f t="shared" si="60"/>
        <v>0</v>
      </c>
      <c r="M78" s="152">
        <f t="shared" si="60"/>
        <v>0</v>
      </c>
      <c r="N78" s="152">
        <f t="shared" si="60"/>
        <v>0</v>
      </c>
      <c r="O78" s="152">
        <f t="shared" si="60"/>
        <v>0</v>
      </c>
      <c r="P78" s="152">
        <f t="shared" si="60"/>
        <v>0</v>
      </c>
      <c r="Q78" s="152">
        <f t="shared" si="60"/>
        <v>0</v>
      </c>
      <c r="R78" s="152">
        <f t="shared" si="60"/>
        <v>0</v>
      </c>
      <c r="S78" s="152">
        <f t="shared" si="60"/>
        <v>0</v>
      </c>
      <c r="T78" s="152">
        <f t="shared" si="60"/>
        <v>0</v>
      </c>
      <c r="U78" s="152">
        <f t="shared" si="60"/>
        <v>0</v>
      </c>
      <c r="V78" s="152">
        <f t="shared" si="60"/>
        <v>0</v>
      </c>
      <c r="W78" s="152">
        <f t="shared" si="60"/>
        <v>0</v>
      </c>
      <c r="X78" s="152">
        <f t="shared" si="60"/>
        <v>0</v>
      </c>
      <c r="Y78" s="152">
        <f t="shared" si="60"/>
        <v>0</v>
      </c>
      <c r="Z78" s="152">
        <f t="shared" si="60"/>
        <v>0</v>
      </c>
      <c r="AA78" s="152">
        <f t="shared" si="60"/>
        <v>0</v>
      </c>
      <c r="AB78" s="152">
        <f t="shared" si="60"/>
        <v>0</v>
      </c>
      <c r="AC78" s="152">
        <f t="shared" si="60"/>
        <v>0</v>
      </c>
      <c r="AD78" s="152">
        <f t="shared" si="60"/>
        <v>0</v>
      </c>
      <c r="AE78" s="152">
        <f t="shared" si="60"/>
        <v>0</v>
      </c>
      <c r="AF78" s="152">
        <f t="shared" si="60"/>
        <v>0</v>
      </c>
      <c r="AG78" s="152">
        <f t="shared" si="60"/>
        <v>0</v>
      </c>
      <c r="AH78" s="152">
        <f t="shared" si="60"/>
        <v>0</v>
      </c>
      <c r="AI78" s="152">
        <f t="shared" si="60"/>
        <v>0</v>
      </c>
      <c r="AJ78" s="152">
        <f t="shared" si="60"/>
        <v>0</v>
      </c>
      <c r="AK78" s="152">
        <f t="shared" si="60"/>
        <v>0</v>
      </c>
      <c r="AL78" s="152">
        <f t="shared" si="60"/>
        <v>0</v>
      </c>
      <c r="AM78" s="152">
        <f t="shared" si="60"/>
        <v>0</v>
      </c>
      <c r="AN78" s="152">
        <f t="shared" si="60"/>
        <v>0</v>
      </c>
      <c r="AO78" s="152">
        <f t="shared" si="60"/>
        <v>0</v>
      </c>
      <c r="AP78" s="152">
        <f t="shared" si="60"/>
        <v>0</v>
      </c>
    </row>
    <row r="79" spans="1:42">
      <c r="A79" s="180" t="s">
        <v>375</v>
      </c>
      <c r="B79" s="152">
        <f>'Inputs &amp; Results'!$E$164</f>
        <v>15672326.25996206</v>
      </c>
      <c r="C79" s="152">
        <v>0</v>
      </c>
      <c r="D79" s="152">
        <v>0</v>
      </c>
      <c r="E79" s="152">
        <v>0</v>
      </c>
      <c r="F79" s="152">
        <v>0</v>
      </c>
      <c r="G79" s="152">
        <v>0</v>
      </c>
      <c r="H79" s="152">
        <v>0</v>
      </c>
      <c r="I79" s="152">
        <v>0</v>
      </c>
      <c r="J79" s="152">
        <v>0</v>
      </c>
      <c r="K79" s="152">
        <v>0</v>
      </c>
      <c r="L79" s="152">
        <v>0</v>
      </c>
      <c r="M79" s="152">
        <v>0</v>
      </c>
      <c r="N79" s="152">
        <v>0</v>
      </c>
      <c r="O79" s="152">
        <v>0</v>
      </c>
      <c r="P79" s="152">
        <v>0</v>
      </c>
      <c r="Q79" s="152">
        <v>0</v>
      </c>
      <c r="R79" s="152">
        <v>0</v>
      </c>
      <c r="S79" s="152">
        <v>0</v>
      </c>
      <c r="T79" s="152">
        <v>0</v>
      </c>
      <c r="U79" s="152">
        <v>0</v>
      </c>
      <c r="V79" s="152">
        <v>0</v>
      </c>
      <c r="W79" s="152">
        <v>0</v>
      </c>
      <c r="X79" s="152">
        <v>0</v>
      </c>
      <c r="Y79" s="152">
        <v>0</v>
      </c>
      <c r="Z79" s="152">
        <v>0</v>
      </c>
      <c r="AA79" s="152">
        <v>0</v>
      </c>
      <c r="AB79" s="152">
        <v>0</v>
      </c>
      <c r="AC79" s="152">
        <v>0</v>
      </c>
      <c r="AD79" s="152">
        <v>0</v>
      </c>
      <c r="AE79" s="152">
        <v>0</v>
      </c>
      <c r="AF79" s="152">
        <v>0</v>
      </c>
      <c r="AG79" s="152">
        <v>0</v>
      </c>
      <c r="AH79" s="152">
        <v>0</v>
      </c>
      <c r="AI79" s="152">
        <v>0</v>
      </c>
      <c r="AJ79" s="152">
        <v>0</v>
      </c>
      <c r="AK79" s="152">
        <v>0</v>
      </c>
      <c r="AL79" s="152">
        <v>0</v>
      </c>
      <c r="AM79" s="152">
        <v>0</v>
      </c>
      <c r="AN79" s="152">
        <v>0</v>
      </c>
      <c r="AO79" s="152">
        <v>0</v>
      </c>
      <c r="AP79" s="152">
        <v>0</v>
      </c>
    </row>
    <row r="80" spans="1:42">
      <c r="A80" s="180" t="s">
        <v>187</v>
      </c>
      <c r="B80" s="187">
        <f>'Inputs &amp; Results'!E165</f>
        <v>13320930.839249449</v>
      </c>
      <c r="C80" s="187">
        <f>-C543</f>
        <v>-870155.88547930564</v>
      </c>
      <c r="D80" s="187">
        <f t="shared" ref="D80:AP80" si="61">-D543</f>
        <v>-954142.76307441201</v>
      </c>
      <c r="E80" s="187">
        <f t="shared" si="61"/>
        <v>-1044376.1000843159</v>
      </c>
      <c r="F80" s="187">
        <f t="shared" si="61"/>
        <v>-1140160.2708970914</v>
      </c>
      <c r="G80" s="187">
        <f t="shared" si="61"/>
        <v>-1244233.2792649972</v>
      </c>
      <c r="H80" s="187">
        <f t="shared" si="61"/>
        <v>-1356052.5751069626</v>
      </c>
      <c r="I80" s="187">
        <f t="shared" si="61"/>
        <v>-1474981.7879449548</v>
      </c>
      <c r="J80" s="187">
        <f t="shared" si="61"/>
        <v>-1603981.8454249096</v>
      </c>
      <c r="K80" s="187">
        <f t="shared" si="61"/>
        <v>-1742590.60907817</v>
      </c>
      <c r="L80" s="187">
        <f t="shared" si="61"/>
        <v>-1890255.7228943268</v>
      </c>
      <c r="M80" s="187">
        <f t="shared" si="61"/>
        <v>3.6670826375484466E-10</v>
      </c>
      <c r="N80" s="187">
        <f t="shared" si="61"/>
        <v>3.9421138353645801E-10</v>
      </c>
      <c r="O80" s="187">
        <f t="shared" si="61"/>
        <v>4.237772373016923E-10</v>
      </c>
      <c r="P80" s="187">
        <f t="shared" si="61"/>
        <v>4.5556053009931928E-10</v>
      </c>
      <c r="Q80" s="187">
        <f t="shared" si="61"/>
        <v>4.8972756985676815E-10</v>
      </c>
      <c r="R80" s="187">
        <f t="shared" si="61"/>
        <v>0</v>
      </c>
      <c r="S80" s="187">
        <f t="shared" si="61"/>
        <v>0</v>
      </c>
      <c r="T80" s="187">
        <f t="shared" si="61"/>
        <v>0</v>
      </c>
      <c r="U80" s="187">
        <f t="shared" si="61"/>
        <v>0</v>
      </c>
      <c r="V80" s="187">
        <f t="shared" si="61"/>
        <v>0</v>
      </c>
      <c r="W80" s="187">
        <f t="shared" si="61"/>
        <v>0</v>
      </c>
      <c r="X80" s="187">
        <f t="shared" si="61"/>
        <v>0</v>
      </c>
      <c r="Y80" s="187">
        <f t="shared" si="61"/>
        <v>0</v>
      </c>
      <c r="Z80" s="187">
        <f t="shared" si="61"/>
        <v>0</v>
      </c>
      <c r="AA80" s="187">
        <f t="shared" si="61"/>
        <v>0</v>
      </c>
      <c r="AB80" s="187">
        <f t="shared" si="61"/>
        <v>0</v>
      </c>
      <c r="AC80" s="187">
        <f t="shared" si="61"/>
        <v>0</v>
      </c>
      <c r="AD80" s="187">
        <f t="shared" si="61"/>
        <v>0</v>
      </c>
      <c r="AE80" s="187">
        <f t="shared" si="61"/>
        <v>0</v>
      </c>
      <c r="AF80" s="187">
        <f t="shared" si="61"/>
        <v>0</v>
      </c>
      <c r="AG80" s="187">
        <f t="shared" si="61"/>
        <v>0</v>
      </c>
      <c r="AH80" s="187">
        <f t="shared" si="61"/>
        <v>0</v>
      </c>
      <c r="AI80" s="187">
        <f t="shared" si="61"/>
        <v>0</v>
      </c>
      <c r="AJ80" s="187">
        <f t="shared" si="61"/>
        <v>0</v>
      </c>
      <c r="AK80" s="187">
        <f t="shared" si="61"/>
        <v>0</v>
      </c>
      <c r="AL80" s="187">
        <f t="shared" si="61"/>
        <v>0</v>
      </c>
      <c r="AM80" s="187">
        <f t="shared" si="61"/>
        <v>0</v>
      </c>
      <c r="AN80" s="187">
        <f t="shared" si="61"/>
        <v>0</v>
      </c>
      <c r="AO80" s="187">
        <f t="shared" si="61"/>
        <v>0</v>
      </c>
      <c r="AP80" s="187">
        <f t="shared" si="61"/>
        <v>0</v>
      </c>
    </row>
    <row r="81" spans="1:42">
      <c r="A81" s="180" t="s">
        <v>53</v>
      </c>
      <c r="B81" s="187">
        <f>SUM(B78:B80)</f>
        <v>42784486.849211507</v>
      </c>
      <c r="C81" s="194">
        <f>SUM(C78:C80)</f>
        <v>-870155.88547930564</v>
      </c>
      <c r="D81" s="194">
        <f t="shared" ref="D81:AP81" si="62">SUM(D78:D80)</f>
        <v>-954142.76307441201</v>
      </c>
      <c r="E81" s="194">
        <f t="shared" si="62"/>
        <v>-1044376.1000843159</v>
      </c>
      <c r="F81" s="194">
        <f t="shared" si="62"/>
        <v>-1140160.2708970914</v>
      </c>
      <c r="G81" s="194">
        <f t="shared" si="62"/>
        <v>-1244233.2792649972</v>
      </c>
      <c r="H81" s="194">
        <f t="shared" si="62"/>
        <v>-1356052.5751069626</v>
      </c>
      <c r="I81" s="194">
        <f t="shared" si="62"/>
        <v>-1474981.7879449548</v>
      </c>
      <c r="J81" s="194">
        <f t="shared" si="62"/>
        <v>-1603981.8454249096</v>
      </c>
      <c r="K81" s="194">
        <f t="shared" si="62"/>
        <v>-1742590.60907817</v>
      </c>
      <c r="L81" s="194">
        <f t="shared" si="62"/>
        <v>-1890255.7228943268</v>
      </c>
      <c r="M81" s="194">
        <f t="shared" si="62"/>
        <v>3.6670826375484466E-10</v>
      </c>
      <c r="N81" s="194">
        <f t="shared" si="62"/>
        <v>3.9421138353645801E-10</v>
      </c>
      <c r="O81" s="194">
        <f t="shared" si="62"/>
        <v>4.237772373016923E-10</v>
      </c>
      <c r="P81" s="194">
        <f t="shared" si="62"/>
        <v>4.5556053009931928E-10</v>
      </c>
      <c r="Q81" s="194">
        <f t="shared" si="62"/>
        <v>4.8972756985676815E-10</v>
      </c>
      <c r="R81" s="194">
        <f t="shared" si="62"/>
        <v>0</v>
      </c>
      <c r="S81" s="194">
        <f t="shared" si="62"/>
        <v>0</v>
      </c>
      <c r="T81" s="194">
        <f t="shared" si="62"/>
        <v>0</v>
      </c>
      <c r="U81" s="194">
        <f t="shared" si="62"/>
        <v>0</v>
      </c>
      <c r="V81" s="194">
        <f t="shared" si="62"/>
        <v>0</v>
      </c>
      <c r="W81" s="194">
        <f t="shared" si="62"/>
        <v>0</v>
      </c>
      <c r="X81" s="194">
        <f t="shared" si="62"/>
        <v>0</v>
      </c>
      <c r="Y81" s="194">
        <f t="shared" si="62"/>
        <v>0</v>
      </c>
      <c r="Z81" s="194">
        <f t="shared" si="62"/>
        <v>0</v>
      </c>
      <c r="AA81" s="194">
        <f t="shared" si="62"/>
        <v>0</v>
      </c>
      <c r="AB81" s="194">
        <f t="shared" si="62"/>
        <v>0</v>
      </c>
      <c r="AC81" s="194">
        <f t="shared" si="62"/>
        <v>0</v>
      </c>
      <c r="AD81" s="194">
        <f t="shared" si="62"/>
        <v>0</v>
      </c>
      <c r="AE81" s="194">
        <f t="shared" si="62"/>
        <v>0</v>
      </c>
      <c r="AF81" s="194">
        <f t="shared" si="62"/>
        <v>0</v>
      </c>
      <c r="AG81" s="194">
        <f t="shared" si="62"/>
        <v>0</v>
      </c>
      <c r="AH81" s="194">
        <f t="shared" si="62"/>
        <v>0</v>
      </c>
      <c r="AI81" s="194">
        <f t="shared" si="62"/>
        <v>0</v>
      </c>
      <c r="AJ81" s="194">
        <f t="shared" si="62"/>
        <v>0</v>
      </c>
      <c r="AK81" s="194">
        <f t="shared" si="62"/>
        <v>0</v>
      </c>
      <c r="AL81" s="194">
        <f t="shared" si="62"/>
        <v>0</v>
      </c>
      <c r="AM81" s="194">
        <f t="shared" si="62"/>
        <v>0</v>
      </c>
      <c r="AN81" s="194">
        <f t="shared" si="62"/>
        <v>0</v>
      </c>
      <c r="AO81" s="194">
        <f t="shared" si="62"/>
        <v>0</v>
      </c>
      <c r="AP81" s="194">
        <f t="shared" si="62"/>
        <v>0</v>
      </c>
    </row>
    <row r="82" spans="1:42" ht="13.5" thickBot="1">
      <c r="A82" s="182" t="s">
        <v>188</v>
      </c>
      <c r="B82" s="193">
        <f t="shared" ref="B82:AP82" si="63">B56+B72+B81</f>
        <v>0</v>
      </c>
      <c r="C82" s="193">
        <f t="shared" si="63"/>
        <v>667347.12621717737</v>
      </c>
      <c r="D82" s="193">
        <f t="shared" si="63"/>
        <v>686171.87680981634</v>
      </c>
      <c r="E82" s="193">
        <f t="shared" si="63"/>
        <v>705559.82782623766</v>
      </c>
      <c r="F82" s="193">
        <f t="shared" si="63"/>
        <v>721547.56038699555</v>
      </c>
      <c r="G82" s="193">
        <f t="shared" si="63"/>
        <v>740344.17185917706</v>
      </c>
      <c r="H82" s="193">
        <f t="shared" si="63"/>
        <v>759728.22060057195</v>
      </c>
      <c r="I82" s="193">
        <f t="shared" si="63"/>
        <v>775555.22519312892</v>
      </c>
      <c r="J82" s="193">
        <f t="shared" si="63"/>
        <v>794317.88408984942</v>
      </c>
      <c r="K82" s="193">
        <f t="shared" si="63"/>
        <v>813693.26301637688</v>
      </c>
      <c r="L82" s="193">
        <f t="shared" si="63"/>
        <v>1854445.0100580538</v>
      </c>
      <c r="M82" s="193">
        <f t="shared" si="63"/>
        <v>2889373.7619677647</v>
      </c>
      <c r="N82" s="193">
        <f t="shared" si="63"/>
        <v>2925970.4905084264</v>
      </c>
      <c r="O82" s="193">
        <f t="shared" si="63"/>
        <v>2859067.7234632052</v>
      </c>
      <c r="P82" s="193">
        <f t="shared" si="63"/>
        <v>2896325.5071330904</v>
      </c>
      <c r="Q82" s="193">
        <f t="shared" si="63"/>
        <v>2933472.4770640647</v>
      </c>
      <c r="R82" s="193">
        <f t="shared" si="63"/>
        <v>2755953.5070620743</v>
      </c>
      <c r="S82" s="193">
        <f t="shared" si="63"/>
        <v>2794698.0196859217</v>
      </c>
      <c r="T82" s="193">
        <f t="shared" si="63"/>
        <v>2833319.9095139476</v>
      </c>
      <c r="U82" s="193">
        <f t="shared" si="63"/>
        <v>2867599.8651257385</v>
      </c>
      <c r="V82" s="193">
        <f t="shared" si="63"/>
        <v>2905998.3744332558</v>
      </c>
      <c r="W82" s="193">
        <f t="shared" si="63"/>
        <v>2944261.6132905222</v>
      </c>
      <c r="X82" s="193">
        <f t="shared" si="63"/>
        <v>2963646.5130548691</v>
      </c>
      <c r="Y82" s="193">
        <f t="shared" si="63"/>
        <v>2987330.8393360199</v>
      </c>
      <c r="Z82" s="193">
        <f t="shared" si="63"/>
        <v>3010866.3522543241</v>
      </c>
      <c r="AA82" s="193">
        <f t="shared" si="63"/>
        <v>3261434.6622343608</v>
      </c>
      <c r="AB82" s="193">
        <f t="shared" si="63"/>
        <v>3279561.0879998668</v>
      </c>
      <c r="AC82" s="193">
        <f t="shared" si="63"/>
        <v>3297524.2017385564</v>
      </c>
      <c r="AD82" s="193">
        <f t="shared" si="63"/>
        <v>3310499.3395020105</v>
      </c>
      <c r="AE82" s="193">
        <f t="shared" si="63"/>
        <v>3328159.7858068077</v>
      </c>
      <c r="AF82" s="193">
        <f t="shared" si="63"/>
        <v>7718356.4010822186</v>
      </c>
      <c r="AG82" s="193">
        <f t="shared" si="63"/>
        <v>0</v>
      </c>
      <c r="AH82" s="193">
        <f t="shared" si="63"/>
        <v>0</v>
      </c>
      <c r="AI82" s="193">
        <f t="shared" si="63"/>
        <v>0</v>
      </c>
      <c r="AJ82" s="193">
        <f t="shared" si="63"/>
        <v>0</v>
      </c>
      <c r="AK82" s="193">
        <f t="shared" si="63"/>
        <v>0</v>
      </c>
      <c r="AL82" s="193">
        <f t="shared" si="63"/>
        <v>0</v>
      </c>
      <c r="AM82" s="193">
        <f t="shared" si="63"/>
        <v>0</v>
      </c>
      <c r="AN82" s="193">
        <f t="shared" si="63"/>
        <v>0</v>
      </c>
      <c r="AO82" s="193">
        <f t="shared" si="63"/>
        <v>0</v>
      </c>
      <c r="AP82" s="193">
        <f t="shared" si="63"/>
        <v>0</v>
      </c>
    </row>
    <row r="83" spans="1:42" ht="13.5" thickTop="1">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79" t="s">
        <v>246</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c r="A85" s="195" t="s">
        <v>213</v>
      </c>
      <c r="B85" s="152"/>
      <c r="C85" s="152"/>
      <c r="D85" s="152"/>
      <c r="E85" s="152"/>
      <c r="F85" s="152"/>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row>
    <row r="86" spans="1:42">
      <c r="A86" s="180" t="s">
        <v>214</v>
      </c>
      <c r="B86" s="186">
        <f>-B79</f>
        <v>-15672326.25996206</v>
      </c>
      <c r="C86" s="186">
        <f t="shared" ref="C86:AP86" si="64">-C79</f>
        <v>0</v>
      </c>
      <c r="D86" s="186">
        <f t="shared" si="64"/>
        <v>0</v>
      </c>
      <c r="E86" s="186">
        <f t="shared" si="64"/>
        <v>0</v>
      </c>
      <c r="F86" s="186">
        <f t="shared" si="64"/>
        <v>0</v>
      </c>
      <c r="G86" s="186">
        <f t="shared" si="64"/>
        <v>0</v>
      </c>
      <c r="H86" s="186">
        <f t="shared" si="64"/>
        <v>0</v>
      </c>
      <c r="I86" s="186">
        <f t="shared" si="64"/>
        <v>0</v>
      </c>
      <c r="J86" s="186">
        <f t="shared" si="64"/>
        <v>0</v>
      </c>
      <c r="K86" s="186">
        <f t="shared" si="64"/>
        <v>0</v>
      </c>
      <c r="L86" s="186">
        <f t="shared" si="64"/>
        <v>0</v>
      </c>
      <c r="M86" s="186">
        <f t="shared" si="64"/>
        <v>0</v>
      </c>
      <c r="N86" s="186">
        <f t="shared" si="64"/>
        <v>0</v>
      </c>
      <c r="O86" s="186">
        <f t="shared" si="64"/>
        <v>0</v>
      </c>
      <c r="P86" s="186">
        <f t="shared" si="64"/>
        <v>0</v>
      </c>
      <c r="Q86" s="186">
        <f t="shared" si="64"/>
        <v>0</v>
      </c>
      <c r="R86" s="186">
        <f t="shared" si="64"/>
        <v>0</v>
      </c>
      <c r="S86" s="186">
        <f t="shared" si="64"/>
        <v>0</v>
      </c>
      <c r="T86" s="186">
        <f t="shared" si="64"/>
        <v>0</v>
      </c>
      <c r="U86" s="186">
        <f t="shared" si="64"/>
        <v>0</v>
      </c>
      <c r="V86" s="186">
        <f t="shared" si="64"/>
        <v>0</v>
      </c>
      <c r="W86" s="186">
        <f t="shared" si="64"/>
        <v>0</v>
      </c>
      <c r="X86" s="186">
        <f t="shared" si="64"/>
        <v>0</v>
      </c>
      <c r="Y86" s="186">
        <f t="shared" si="64"/>
        <v>0</v>
      </c>
      <c r="Z86" s="186">
        <f t="shared" si="64"/>
        <v>0</v>
      </c>
      <c r="AA86" s="186">
        <f t="shared" si="64"/>
        <v>0</v>
      </c>
      <c r="AB86" s="186">
        <f t="shared" si="64"/>
        <v>0</v>
      </c>
      <c r="AC86" s="186">
        <f t="shared" si="64"/>
        <v>0</v>
      </c>
      <c r="AD86" s="186">
        <f t="shared" si="64"/>
        <v>0</v>
      </c>
      <c r="AE86" s="186">
        <f t="shared" si="64"/>
        <v>0</v>
      </c>
      <c r="AF86" s="186">
        <f t="shared" si="64"/>
        <v>0</v>
      </c>
      <c r="AG86" s="186">
        <f t="shared" si="64"/>
        <v>0</v>
      </c>
      <c r="AH86" s="186">
        <f t="shared" si="64"/>
        <v>0</v>
      </c>
      <c r="AI86" s="186">
        <f t="shared" si="64"/>
        <v>0</v>
      </c>
      <c r="AJ86" s="186">
        <f t="shared" si="64"/>
        <v>0</v>
      </c>
      <c r="AK86" s="186">
        <f t="shared" si="64"/>
        <v>0</v>
      </c>
      <c r="AL86" s="186">
        <f t="shared" si="64"/>
        <v>0</v>
      </c>
      <c r="AM86" s="186">
        <f t="shared" si="64"/>
        <v>0</v>
      </c>
      <c r="AN86" s="186">
        <f t="shared" si="64"/>
        <v>0</v>
      </c>
      <c r="AO86" s="186">
        <f t="shared" si="64"/>
        <v>0</v>
      </c>
      <c r="AP86" s="186">
        <f t="shared" si="64"/>
        <v>0</v>
      </c>
    </row>
    <row r="87" spans="1:42">
      <c r="A87" s="180" t="s">
        <v>215</v>
      </c>
      <c r="B87" s="187">
        <f>B82</f>
        <v>0</v>
      </c>
      <c r="C87" s="187">
        <f t="shared" ref="C87:AP87" si="65">C82</f>
        <v>667347.12621717737</v>
      </c>
      <c r="D87" s="187">
        <f t="shared" si="65"/>
        <v>686171.87680981634</v>
      </c>
      <c r="E87" s="187">
        <f t="shared" si="65"/>
        <v>705559.82782623766</v>
      </c>
      <c r="F87" s="187">
        <f t="shared" si="65"/>
        <v>721547.56038699555</v>
      </c>
      <c r="G87" s="187">
        <f t="shared" si="65"/>
        <v>740344.17185917706</v>
      </c>
      <c r="H87" s="187">
        <f t="shared" si="65"/>
        <v>759728.22060057195</v>
      </c>
      <c r="I87" s="187">
        <f t="shared" si="65"/>
        <v>775555.22519312892</v>
      </c>
      <c r="J87" s="187">
        <f t="shared" si="65"/>
        <v>794317.88408984942</v>
      </c>
      <c r="K87" s="187">
        <f t="shared" si="65"/>
        <v>813693.26301637688</v>
      </c>
      <c r="L87" s="187">
        <f t="shared" si="65"/>
        <v>1854445.0100580538</v>
      </c>
      <c r="M87" s="187">
        <f t="shared" si="65"/>
        <v>2889373.7619677647</v>
      </c>
      <c r="N87" s="187">
        <f t="shared" si="65"/>
        <v>2925970.4905084264</v>
      </c>
      <c r="O87" s="187">
        <f t="shared" si="65"/>
        <v>2859067.7234632052</v>
      </c>
      <c r="P87" s="187">
        <f t="shared" si="65"/>
        <v>2896325.5071330904</v>
      </c>
      <c r="Q87" s="187">
        <f t="shared" si="65"/>
        <v>2933472.4770640647</v>
      </c>
      <c r="R87" s="187">
        <f t="shared" si="65"/>
        <v>2755953.5070620743</v>
      </c>
      <c r="S87" s="187">
        <f t="shared" si="65"/>
        <v>2794698.0196859217</v>
      </c>
      <c r="T87" s="187">
        <f t="shared" si="65"/>
        <v>2833319.9095139476</v>
      </c>
      <c r="U87" s="187">
        <f t="shared" si="65"/>
        <v>2867599.8651257385</v>
      </c>
      <c r="V87" s="187">
        <f t="shared" si="65"/>
        <v>2905998.3744332558</v>
      </c>
      <c r="W87" s="187">
        <f t="shared" si="65"/>
        <v>2944261.6132905222</v>
      </c>
      <c r="X87" s="187">
        <f t="shared" si="65"/>
        <v>2963646.5130548691</v>
      </c>
      <c r="Y87" s="187">
        <f t="shared" si="65"/>
        <v>2987330.8393360199</v>
      </c>
      <c r="Z87" s="187">
        <f t="shared" si="65"/>
        <v>3010866.3522543241</v>
      </c>
      <c r="AA87" s="187">
        <f t="shared" si="65"/>
        <v>3261434.6622343608</v>
      </c>
      <c r="AB87" s="187">
        <f t="shared" si="65"/>
        <v>3279561.0879998668</v>
      </c>
      <c r="AC87" s="187">
        <f t="shared" si="65"/>
        <v>3297524.2017385564</v>
      </c>
      <c r="AD87" s="187">
        <f t="shared" si="65"/>
        <v>3310499.3395020105</v>
      </c>
      <c r="AE87" s="187">
        <f t="shared" si="65"/>
        <v>3328159.7858068077</v>
      </c>
      <c r="AF87" s="187">
        <f t="shared" si="65"/>
        <v>7718356.4010822186</v>
      </c>
      <c r="AG87" s="187">
        <f t="shared" si="65"/>
        <v>0</v>
      </c>
      <c r="AH87" s="187">
        <f t="shared" si="65"/>
        <v>0</v>
      </c>
      <c r="AI87" s="187">
        <f t="shared" si="65"/>
        <v>0</v>
      </c>
      <c r="AJ87" s="187">
        <f t="shared" si="65"/>
        <v>0</v>
      </c>
      <c r="AK87" s="187">
        <f t="shared" si="65"/>
        <v>0</v>
      </c>
      <c r="AL87" s="187">
        <f t="shared" si="65"/>
        <v>0</v>
      </c>
      <c r="AM87" s="187">
        <f t="shared" si="65"/>
        <v>0</v>
      </c>
      <c r="AN87" s="187">
        <f t="shared" si="65"/>
        <v>0</v>
      </c>
      <c r="AO87" s="187">
        <f t="shared" si="65"/>
        <v>0</v>
      </c>
      <c r="AP87" s="187">
        <f t="shared" si="65"/>
        <v>0</v>
      </c>
    </row>
    <row r="88" spans="1:42">
      <c r="A88" s="180" t="s">
        <v>53</v>
      </c>
      <c r="B88" s="152">
        <f>SUM(B86:B87)</f>
        <v>-15672326.25996206</v>
      </c>
      <c r="C88" s="152">
        <f t="shared" ref="C88:AP88" si="66">SUM(C86:C87)</f>
        <v>667347.12621717737</v>
      </c>
      <c r="D88" s="152">
        <f t="shared" si="66"/>
        <v>686171.87680981634</v>
      </c>
      <c r="E88" s="152">
        <f t="shared" si="66"/>
        <v>705559.82782623766</v>
      </c>
      <c r="F88" s="152">
        <f t="shared" si="66"/>
        <v>721547.56038699555</v>
      </c>
      <c r="G88" s="152">
        <f t="shared" si="66"/>
        <v>740344.17185917706</v>
      </c>
      <c r="H88" s="152">
        <f t="shared" si="66"/>
        <v>759728.22060057195</v>
      </c>
      <c r="I88" s="152">
        <f t="shared" si="66"/>
        <v>775555.22519312892</v>
      </c>
      <c r="J88" s="152">
        <f t="shared" si="66"/>
        <v>794317.88408984942</v>
      </c>
      <c r="K88" s="152">
        <f t="shared" si="66"/>
        <v>813693.26301637688</v>
      </c>
      <c r="L88" s="152">
        <f t="shared" si="66"/>
        <v>1854445.0100580538</v>
      </c>
      <c r="M88" s="152">
        <f t="shared" si="66"/>
        <v>2889373.7619677647</v>
      </c>
      <c r="N88" s="152">
        <f t="shared" si="66"/>
        <v>2925970.4905084264</v>
      </c>
      <c r="O88" s="152">
        <f t="shared" si="66"/>
        <v>2859067.7234632052</v>
      </c>
      <c r="P88" s="152">
        <f t="shared" si="66"/>
        <v>2896325.5071330904</v>
      </c>
      <c r="Q88" s="152">
        <f t="shared" si="66"/>
        <v>2933472.4770640647</v>
      </c>
      <c r="R88" s="152">
        <f t="shared" si="66"/>
        <v>2755953.5070620743</v>
      </c>
      <c r="S88" s="152">
        <f t="shared" si="66"/>
        <v>2794698.0196859217</v>
      </c>
      <c r="T88" s="152">
        <f t="shared" si="66"/>
        <v>2833319.9095139476</v>
      </c>
      <c r="U88" s="152">
        <f t="shared" si="66"/>
        <v>2867599.8651257385</v>
      </c>
      <c r="V88" s="152">
        <f t="shared" si="66"/>
        <v>2905998.3744332558</v>
      </c>
      <c r="W88" s="152">
        <f t="shared" si="66"/>
        <v>2944261.6132905222</v>
      </c>
      <c r="X88" s="152">
        <f t="shared" si="66"/>
        <v>2963646.5130548691</v>
      </c>
      <c r="Y88" s="152">
        <f t="shared" si="66"/>
        <v>2987330.8393360199</v>
      </c>
      <c r="Z88" s="152">
        <f t="shared" si="66"/>
        <v>3010866.3522543241</v>
      </c>
      <c r="AA88" s="152">
        <f t="shared" si="66"/>
        <v>3261434.6622343608</v>
      </c>
      <c r="AB88" s="152">
        <f t="shared" si="66"/>
        <v>3279561.0879998668</v>
      </c>
      <c r="AC88" s="152">
        <f t="shared" si="66"/>
        <v>3297524.2017385564</v>
      </c>
      <c r="AD88" s="152">
        <f t="shared" si="66"/>
        <v>3310499.3395020105</v>
      </c>
      <c r="AE88" s="152">
        <f t="shared" si="66"/>
        <v>3328159.7858068077</v>
      </c>
      <c r="AF88" s="152">
        <f t="shared" si="66"/>
        <v>7718356.4010822186</v>
      </c>
      <c r="AG88" s="152">
        <f t="shared" si="66"/>
        <v>0</v>
      </c>
      <c r="AH88" s="152">
        <f t="shared" si="66"/>
        <v>0</v>
      </c>
      <c r="AI88" s="152">
        <f t="shared" si="66"/>
        <v>0</v>
      </c>
      <c r="AJ88" s="152">
        <f t="shared" si="66"/>
        <v>0</v>
      </c>
      <c r="AK88" s="152">
        <f t="shared" si="66"/>
        <v>0</v>
      </c>
      <c r="AL88" s="152">
        <f t="shared" si="66"/>
        <v>0</v>
      </c>
      <c r="AM88" s="152">
        <f t="shared" si="66"/>
        <v>0</v>
      </c>
      <c r="AN88" s="152">
        <f t="shared" si="66"/>
        <v>0</v>
      </c>
      <c r="AO88" s="152">
        <f t="shared" si="66"/>
        <v>0</v>
      </c>
      <c r="AP88" s="152">
        <f t="shared" si="66"/>
        <v>0</v>
      </c>
    </row>
    <row r="89" spans="1:42">
      <c r="A89" s="180"/>
      <c r="B89" s="152"/>
      <c r="C89" s="152"/>
      <c r="D89" s="152"/>
      <c r="E89" s="152"/>
      <c r="F89" s="152"/>
      <c r="G89" s="152"/>
      <c r="H89" s="152"/>
      <c r="I89" s="152"/>
      <c r="J89" s="152"/>
      <c r="K89" s="152"/>
      <c r="L89" s="152"/>
      <c r="M89" s="152"/>
      <c r="N89" s="152"/>
      <c r="O89" s="152"/>
      <c r="P89" s="152"/>
      <c r="Q89" s="152"/>
      <c r="R89" s="152"/>
      <c r="S89" s="152"/>
      <c r="T89" s="152"/>
      <c r="U89" s="152"/>
      <c r="V89" s="152"/>
      <c r="W89" s="152"/>
      <c r="X89" s="152"/>
      <c r="Y89" s="152"/>
      <c r="Z89" s="152"/>
      <c r="AA89" s="152"/>
      <c r="AB89" s="152"/>
      <c r="AC89" s="152"/>
      <c r="AD89" s="152"/>
      <c r="AE89" s="152"/>
      <c r="AF89" s="152"/>
      <c r="AG89" s="152"/>
      <c r="AH89" s="152"/>
      <c r="AI89" s="152"/>
      <c r="AJ89" s="152"/>
      <c r="AK89" s="152"/>
      <c r="AL89" s="152"/>
      <c r="AM89" s="152"/>
      <c r="AN89" s="152"/>
      <c r="AO89" s="152"/>
      <c r="AP89" s="152"/>
    </row>
    <row r="90" spans="1:42">
      <c r="A90" s="180" t="s">
        <v>401</v>
      </c>
      <c r="B90" s="201">
        <f>ROUND(IF(ISERROR(IRR($B88:B$88)),0,IRR($B88:B$88)),4)</f>
        <v>0</v>
      </c>
      <c r="C90" s="201">
        <f>ROUND(IF(ISERROR(IRR($B88:C$88)),0,IRR($B88:C$88)),4)</f>
        <v>0</v>
      </c>
      <c r="D90" s="201">
        <f>ROUND(IF(ISERROR(IRR($B88:D$88)),0,IRR($B88:D$88)),4)</f>
        <v>0</v>
      </c>
      <c r="E90" s="201">
        <f>ROUND(IF(ISERROR(IRR($B88:E$88)),0,IRR($B88:E$88)),4)</f>
        <v>0</v>
      </c>
      <c r="F90" s="201">
        <f>ROUND(IF(ISERROR(IRR($B88:F$88)),0,IRR($B88:F$88)),4)</f>
        <v>0</v>
      </c>
      <c r="G90" s="201">
        <f>ROUND(IF(ISERROR(IRR($B88:G$88)),0,IRR($B88:G$88)),4)</f>
        <v>0</v>
      </c>
      <c r="H90" s="201">
        <f>ROUND(IF(ISERROR(IRR($B88:H$88)),0,IRR($B88:H$88)),4)</f>
        <v>0</v>
      </c>
      <c r="I90" s="201">
        <f>ROUND(IF(ISERROR(IRR($B88:I$88)),0,IRR($B88:I$88)),4)</f>
        <v>0</v>
      </c>
      <c r="J90" s="201">
        <f>ROUND(IF(ISERROR(IRR($B88:J$88)),0,IRR($B88:J$88)),4)</f>
        <v>-0.17510000000000001</v>
      </c>
      <c r="K90" s="201">
        <f>ROUND(IF(ISERROR(IRR($B88:K$88)),0,IRR($B88:K$88)),4)</f>
        <v>-0.1404</v>
      </c>
      <c r="L90" s="201">
        <f>ROUND(IF(ISERROR(IRR($B88:L$88)),0,IRR($B88:L$88)),4)</f>
        <v>-8.7900000000000006E-2</v>
      </c>
      <c r="M90" s="201">
        <f>ROUND(IF(ISERROR(IRR($B88:M$88)),0,IRR($B88:M$88)),4)</f>
        <v>-4.0599999999999997E-2</v>
      </c>
      <c r="N90" s="201">
        <f>ROUND(IF(ISERROR(IRR($B88:N$88)),0,IRR($B88:N$88)),4)</f>
        <v>-1.0500000000000001E-2</v>
      </c>
      <c r="O90" s="201">
        <f>ROUND(IF(ISERROR(IRR($B88:O$88)),0,IRR($B88:O$88)),4)</f>
        <v>1.03E-2</v>
      </c>
      <c r="P90" s="201">
        <f>ROUND(IF(ISERROR(IRR($B88:P$88)),0,IRR($B88:P$88)),4)</f>
        <v>2.6100000000000002E-2</v>
      </c>
      <c r="Q90" s="201">
        <f>ROUND(IF(ISERROR(IRR($B88:Q$88)),0,IRR($B88:Q$88)),4)</f>
        <v>3.85E-2</v>
      </c>
      <c r="R90" s="201">
        <f>ROUND(IF(ISERROR(IRR($B88:R$88)),0,IRR($B88:R$88)),4)</f>
        <v>4.7699999999999999E-2</v>
      </c>
      <c r="S90" s="201">
        <f>ROUND(IF(ISERROR(IRR($B88:S$88)),0,IRR($B88:S$88)),4)</f>
        <v>5.5399999999999998E-2</v>
      </c>
      <c r="T90" s="201">
        <f>ROUND(IF(ISERROR(IRR($B88:T$88)),0,IRR($B88:T$88)),4)</f>
        <v>6.1800000000000001E-2</v>
      </c>
      <c r="U90" s="201">
        <f>ROUND(IF(ISERROR(IRR($B88:U$88)),0,IRR($B88:U$88)),4)</f>
        <v>6.7100000000000007E-2</v>
      </c>
      <c r="V90" s="201">
        <f>ROUND(IF(ISERROR(IRR($B88:V$88)),0,IRR($B88:V$88)),4)</f>
        <v>7.17E-2</v>
      </c>
      <c r="W90" s="201">
        <f>ROUND(IF(ISERROR(IRR($B88:W$88)),0,IRR($B88:W$88)),4)</f>
        <v>7.5600000000000001E-2</v>
      </c>
      <c r="X90" s="201">
        <f>ROUND(IF(ISERROR(IRR($B88:X$88)),0,IRR($B88:X$88)),4)</f>
        <v>7.8899999999999998E-2</v>
      </c>
      <c r="Y90" s="201">
        <f>ROUND(IF(ISERROR(IRR($B88:Y$88)),0,IRR($B88:Y$88)),4)</f>
        <v>8.1699999999999995E-2</v>
      </c>
      <c r="Z90" s="201">
        <f>ROUND(IF(ISERROR(IRR($B88:Z$88)),0,IRR($B88:Z$88)),4)</f>
        <v>8.4199999999999997E-2</v>
      </c>
      <c r="AA90" s="201">
        <f>ROUND(IF(ISERROR(IRR($B88:AA$88)),0,IRR($B88:AA$88)),4)</f>
        <v>8.6499999999999994E-2</v>
      </c>
      <c r="AB90" s="201">
        <f>ROUND(IF(ISERROR(IRR($B88:AB$88)),0,IRR($B88:AB$88)),4)</f>
        <v>8.8499999999999995E-2</v>
      </c>
      <c r="AC90" s="201">
        <f>ROUND(IF(ISERROR(IRR($B88:AC$88)),0,IRR($B88:AC$88)),4)</f>
        <v>9.0200000000000002E-2</v>
      </c>
      <c r="AD90" s="201">
        <f>ROUND(IF(ISERROR(IRR($B88:AD$88)),0,IRR($B88:AD$88)),4)</f>
        <v>9.1700000000000004E-2</v>
      </c>
      <c r="AE90" s="201">
        <f>ROUND(IF(ISERROR(IRR($B88:AE$88)),0,IRR($B88:AE$88)),4)</f>
        <v>9.2999999999999999E-2</v>
      </c>
      <c r="AF90" s="201">
        <f>ROUND(IF(ISERROR(IRR($B88:AF$88)),0,IRR($B88:AF$88)),4)</f>
        <v>9.5600000000000004E-2</v>
      </c>
      <c r="AG90" s="201">
        <f>ROUND(IF(ISERROR(IRR($B88:AG$88)),0,IRR($B88:AG$88)),4)</f>
        <v>9.5600000000000004E-2</v>
      </c>
      <c r="AH90" s="201">
        <f>ROUND(IF(ISERROR(IRR($B88:AH$88)),0,IRR($B88:AH$88)),4)</f>
        <v>9.5600000000000004E-2</v>
      </c>
      <c r="AI90" s="201">
        <f>ROUND(IF(ISERROR(IRR($B88:AI$88)),0,IRR($B88:AI$88)),4)</f>
        <v>9.5600000000000004E-2</v>
      </c>
      <c r="AJ90" s="201">
        <f>ROUND(IF(ISERROR(IRR($B88:AJ$88)),0,IRR($B88:AJ$88)),4)</f>
        <v>9.5600000000000004E-2</v>
      </c>
      <c r="AK90" s="201">
        <f>ROUND(IF(ISERROR(IRR($B88:AK$88)),0,IRR($B88:AK$88)),4)</f>
        <v>9.5600000000000004E-2</v>
      </c>
      <c r="AL90" s="201">
        <f>ROUND(IF(ISERROR(IRR($B88:AL$88)),0,IRR($B88:AL$88)),4)</f>
        <v>9.5600000000000004E-2</v>
      </c>
      <c r="AM90" s="201">
        <f>ROUND(IF(ISERROR(IRR($B88:AM$88)),0,IRR($B88:AM$88)),4)</f>
        <v>9.5600000000000004E-2</v>
      </c>
      <c r="AN90" s="201">
        <f>ROUND(IF(ISERROR(IRR($B88:AN$88)),0,IRR($B88:AN$88)),4)</f>
        <v>9.5600000000000004E-2</v>
      </c>
      <c r="AO90" s="201">
        <f>ROUND(IF(ISERROR(IRR($B88:AO$88)),0,IRR($B88:AO$88)),4)</f>
        <v>9.5600000000000004E-2</v>
      </c>
      <c r="AP90" s="201">
        <f>ROUND(IF(ISERROR(IRR($B88:AP$88)),0,IRR($B88:AP$88)),4)</f>
        <v>9.5600000000000004E-2</v>
      </c>
    </row>
    <row r="91" spans="1:42">
      <c r="A91" s="180" t="s">
        <v>402</v>
      </c>
      <c r="B91" s="251">
        <f>B88</f>
        <v>-15672326.25996206</v>
      </c>
      <c r="C91" s="251">
        <f>NPV(DiscountRate,$C88:C88)+$B$88</f>
        <v>-15054412.254205413</v>
      </c>
      <c r="D91" s="251">
        <f>NPV(DiscountRate,$C88:D88)+$B$88</f>
        <v>-14466130.466817025</v>
      </c>
      <c r="E91" s="251">
        <f>NPV(DiscountRate,$C88:E88)+$B$88</f>
        <v>-13906034.327519918</v>
      </c>
      <c r="F91" s="251">
        <f>NPV(DiscountRate,$C88:F88)+$B$88</f>
        <v>-13375675.330423025</v>
      </c>
      <c r="G91" s="251">
        <f>NPV(DiscountRate,$C88:G88)+$B$88</f>
        <v>-12871809.5270338</v>
      </c>
      <c r="H91" s="251">
        <f>NPV(DiscountRate,$C88:H88)+$B$88</f>
        <v>-12393051.877725372</v>
      </c>
      <c r="I91" s="251">
        <f>NPV(DiscountRate,$C88:I88)+$B$88</f>
        <v>-11940522.852829821</v>
      </c>
      <c r="J91" s="251">
        <f>NPV(DiscountRate,$C88:J88)+$B$88</f>
        <v>-11511377.615652628</v>
      </c>
      <c r="K91" s="251">
        <f>NPV(DiscountRate,$C88:K88)+$B$88</f>
        <v>-11104328.401266858</v>
      </c>
      <c r="L91" s="251">
        <f>NPV(DiscountRate,$C88:L88)+$B$88</f>
        <v>-10245361.548596831</v>
      </c>
      <c r="M91" s="251">
        <f>NPV(DiscountRate,$C88:M88)+$B$88</f>
        <v>-9006158.6678688545</v>
      </c>
      <c r="N91" s="251">
        <f>NPV(DiscountRate,$C88:N88)+$B$88</f>
        <v>-7844215.5286957985</v>
      </c>
      <c r="O91" s="251">
        <f>NPV(DiscountRate,$C88:O88)+$B$88</f>
        <v>-6792942.2602810673</v>
      </c>
      <c r="P91" s="251">
        <f>NPV(DiscountRate,$C88:P88)+$B$88</f>
        <v>-5806856.2619958501</v>
      </c>
      <c r="Q91" s="251">
        <f>NPV(DiscountRate,$C88:Q88)+$B$88</f>
        <v>-4882103.3968556616</v>
      </c>
      <c r="R91" s="251">
        <f>NPV(DiscountRate,$C88:R88)+$B$88</f>
        <v>-4077666.8391029108</v>
      </c>
      <c r="S91" s="251">
        <f>NPV(DiscountRate,$C88:S88)+$B$88</f>
        <v>-3322346.7357159201</v>
      </c>
      <c r="T91" s="251">
        <f>NPV(DiscountRate,$C88:T88)+$B$88</f>
        <v>-2613311.1791847609</v>
      </c>
      <c r="U91" s="251">
        <f>NPV(DiscountRate,$C88:U88)+$B$88</f>
        <v>-1948853.6957207322</v>
      </c>
      <c r="V91" s="251">
        <f>NPV(DiscountRate,$C88:V88)+$B$88</f>
        <v>-1325376.9537669756</v>
      </c>
      <c r="W91" s="251">
        <f>NPV(DiscountRate,$C88:W88)+$B$88</f>
        <v>-740482.4618595168</v>
      </c>
      <c r="X91" s="251">
        <f>NPV(DiscountRate,$C88:X88)+$B$88</f>
        <v>-195347.81957967766</v>
      </c>
      <c r="Y91" s="251">
        <f>NPV(DiscountRate,$C88:Y88)+$B$88</f>
        <v>313440.28159138374</v>
      </c>
      <c r="Z91" s="251">
        <f>NPV(DiscountRate,$C88:Z88)+$B$88</f>
        <v>788251.9100586623</v>
      </c>
      <c r="AA91" s="251">
        <f>NPV(DiscountRate,$C88:AA88)+$B$88</f>
        <v>1264479.7664484791</v>
      </c>
      <c r="AB91" s="251">
        <f>NPV(DiscountRate,$C88:AB88)+$B$88</f>
        <v>1707882.2100629732</v>
      </c>
      <c r="AC91" s="251">
        <f>NPV(DiscountRate,$C88:AC88)+$B$88</f>
        <v>2120688.7732809857</v>
      </c>
      <c r="AD91" s="251">
        <f>NPV(DiscountRate,$C88:AD88)+$B$88</f>
        <v>2504421.0690515041</v>
      </c>
      <c r="AE91" s="251">
        <f>NPV(DiscountRate,$C88:AE88)+$B$88</f>
        <v>2861624.2022095397</v>
      </c>
      <c r="AF91" s="251">
        <f>NPV(DiscountRate,$C88:AF88)+$B$88</f>
        <v>3628653.873017773</v>
      </c>
      <c r="AG91" s="251">
        <f>NPV(DiscountRate,$C88:AG88)+$B$88</f>
        <v>3628653.873017773</v>
      </c>
      <c r="AH91" s="251">
        <f>NPV(DiscountRate,$C88:AH88)+$B$88</f>
        <v>3628653.873017773</v>
      </c>
      <c r="AI91" s="251">
        <f>NPV(DiscountRate,$C88:AI88)+$B$88</f>
        <v>3628653.873017773</v>
      </c>
      <c r="AJ91" s="251">
        <f>NPV(DiscountRate,$C88:AJ88)+$B$88</f>
        <v>3628653.873017773</v>
      </c>
      <c r="AK91" s="251">
        <f>NPV(DiscountRate,$C88:AK88)+$B$88</f>
        <v>3628653.873017773</v>
      </c>
      <c r="AL91" s="251">
        <f>NPV(DiscountRate,$C88:AL88)+$B$88</f>
        <v>3628653.873017773</v>
      </c>
      <c r="AM91" s="251">
        <f>NPV(DiscountRate,$C88:AM88)+$B$88</f>
        <v>3628653.873017773</v>
      </c>
      <c r="AN91" s="251">
        <f>NPV(DiscountRate,$C88:AN88)+$B$88</f>
        <v>3628653.873017773</v>
      </c>
      <c r="AO91" s="251">
        <f>NPV(DiscountRate,$C88:AO88)+$B$88</f>
        <v>3628653.873017773</v>
      </c>
      <c r="AP91" s="251">
        <f>NPV(DiscountRate,$C88:AP88)+$B$88</f>
        <v>3628653.873017773</v>
      </c>
    </row>
    <row r="92" spans="1:42">
      <c r="A92" s="180"/>
      <c r="B92" s="152"/>
      <c r="C92" s="152"/>
      <c r="D92" s="152"/>
      <c r="E92" s="152"/>
      <c r="F92" s="152"/>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row>
    <row r="93" spans="1:42">
      <c r="A93" s="195" t="s">
        <v>218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s="118" customFormat="1">
      <c r="A94" s="197" t="s">
        <v>219</v>
      </c>
      <c r="B94" s="198"/>
      <c r="C94" s="198"/>
      <c r="D94" s="198"/>
      <c r="E94" s="198"/>
      <c r="F94" s="198"/>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row>
    <row r="95" spans="1:42">
      <c r="A95" s="184" t="s">
        <v>214</v>
      </c>
      <c r="B95" s="186">
        <f>B86</f>
        <v>-15672326.25996206</v>
      </c>
      <c r="C95" s="186">
        <f t="shared" ref="C95:AP96" si="67">C86</f>
        <v>0</v>
      </c>
      <c r="D95" s="186">
        <f t="shared" si="67"/>
        <v>0</v>
      </c>
      <c r="E95" s="186">
        <f t="shared" si="67"/>
        <v>0</v>
      </c>
      <c r="F95" s="186">
        <f t="shared" si="67"/>
        <v>0</v>
      </c>
      <c r="G95" s="186">
        <f t="shared" si="67"/>
        <v>0</v>
      </c>
      <c r="H95" s="186">
        <f t="shared" si="67"/>
        <v>0</v>
      </c>
      <c r="I95" s="186">
        <f t="shared" si="67"/>
        <v>0</v>
      </c>
      <c r="J95" s="186">
        <f t="shared" si="67"/>
        <v>0</v>
      </c>
      <c r="K95" s="186">
        <f t="shared" si="67"/>
        <v>0</v>
      </c>
      <c r="L95" s="186">
        <f t="shared" si="67"/>
        <v>0</v>
      </c>
      <c r="M95" s="186">
        <f t="shared" si="67"/>
        <v>0</v>
      </c>
      <c r="N95" s="186">
        <f t="shared" si="67"/>
        <v>0</v>
      </c>
      <c r="O95" s="186">
        <f t="shared" si="67"/>
        <v>0</v>
      </c>
      <c r="P95" s="186">
        <f t="shared" si="67"/>
        <v>0</v>
      </c>
      <c r="Q95" s="186">
        <f t="shared" si="67"/>
        <v>0</v>
      </c>
      <c r="R95" s="186">
        <f t="shared" si="67"/>
        <v>0</v>
      </c>
      <c r="S95" s="186">
        <f t="shared" si="67"/>
        <v>0</v>
      </c>
      <c r="T95" s="186">
        <f t="shared" si="67"/>
        <v>0</v>
      </c>
      <c r="U95" s="186">
        <f t="shared" si="67"/>
        <v>0</v>
      </c>
      <c r="V95" s="186">
        <f t="shared" si="67"/>
        <v>0</v>
      </c>
      <c r="W95" s="186">
        <f t="shared" si="67"/>
        <v>0</v>
      </c>
      <c r="X95" s="186">
        <f t="shared" si="67"/>
        <v>0</v>
      </c>
      <c r="Y95" s="186">
        <f t="shared" si="67"/>
        <v>0</v>
      </c>
      <c r="Z95" s="186">
        <f t="shared" si="67"/>
        <v>0</v>
      </c>
      <c r="AA95" s="186">
        <f t="shared" si="67"/>
        <v>0</v>
      </c>
      <c r="AB95" s="186">
        <f t="shared" si="67"/>
        <v>0</v>
      </c>
      <c r="AC95" s="186">
        <f t="shared" si="67"/>
        <v>0</v>
      </c>
      <c r="AD95" s="186">
        <f t="shared" si="67"/>
        <v>0</v>
      </c>
      <c r="AE95" s="186">
        <f t="shared" si="67"/>
        <v>0</v>
      </c>
      <c r="AF95" s="186">
        <f t="shared" si="67"/>
        <v>0</v>
      </c>
      <c r="AG95" s="186">
        <f t="shared" si="67"/>
        <v>0</v>
      </c>
      <c r="AH95" s="186">
        <f t="shared" si="67"/>
        <v>0</v>
      </c>
      <c r="AI95" s="186">
        <f t="shared" si="67"/>
        <v>0</v>
      </c>
      <c r="AJ95" s="186">
        <f t="shared" si="67"/>
        <v>0</v>
      </c>
      <c r="AK95" s="186">
        <f t="shared" si="67"/>
        <v>0</v>
      </c>
      <c r="AL95" s="186">
        <f t="shared" si="67"/>
        <v>0</v>
      </c>
      <c r="AM95" s="186">
        <f t="shared" si="67"/>
        <v>0</v>
      </c>
      <c r="AN95" s="186">
        <f t="shared" si="67"/>
        <v>0</v>
      </c>
      <c r="AO95" s="186">
        <f t="shared" si="67"/>
        <v>0</v>
      </c>
      <c r="AP95" s="186">
        <f t="shared" si="67"/>
        <v>0</v>
      </c>
    </row>
    <row r="96" spans="1:42">
      <c r="A96" s="184" t="s">
        <v>215</v>
      </c>
      <c r="B96" s="187">
        <f>B87</f>
        <v>0</v>
      </c>
      <c r="C96" s="187">
        <f t="shared" si="67"/>
        <v>667347.12621717737</v>
      </c>
      <c r="D96" s="187">
        <f t="shared" si="67"/>
        <v>686171.87680981634</v>
      </c>
      <c r="E96" s="187">
        <f t="shared" si="67"/>
        <v>705559.82782623766</v>
      </c>
      <c r="F96" s="187">
        <f t="shared" si="67"/>
        <v>721547.56038699555</v>
      </c>
      <c r="G96" s="187">
        <f t="shared" si="67"/>
        <v>740344.17185917706</v>
      </c>
      <c r="H96" s="187">
        <f t="shared" si="67"/>
        <v>759728.22060057195</v>
      </c>
      <c r="I96" s="187">
        <f t="shared" si="67"/>
        <v>775555.22519312892</v>
      </c>
      <c r="J96" s="187">
        <f t="shared" si="67"/>
        <v>794317.88408984942</v>
      </c>
      <c r="K96" s="187">
        <f t="shared" si="67"/>
        <v>813693.26301637688</v>
      </c>
      <c r="L96" s="187">
        <f t="shared" si="67"/>
        <v>1854445.0100580538</v>
      </c>
      <c r="M96" s="187">
        <f t="shared" si="67"/>
        <v>2889373.7619677647</v>
      </c>
      <c r="N96" s="187">
        <f t="shared" si="67"/>
        <v>2925970.4905084264</v>
      </c>
      <c r="O96" s="187">
        <f t="shared" si="67"/>
        <v>2859067.7234632052</v>
      </c>
      <c r="P96" s="187">
        <f t="shared" si="67"/>
        <v>2896325.5071330904</v>
      </c>
      <c r="Q96" s="187">
        <f t="shared" si="67"/>
        <v>2933472.4770640647</v>
      </c>
      <c r="R96" s="187">
        <f t="shared" si="67"/>
        <v>2755953.5070620743</v>
      </c>
      <c r="S96" s="187">
        <f t="shared" si="67"/>
        <v>2794698.0196859217</v>
      </c>
      <c r="T96" s="187">
        <f t="shared" si="67"/>
        <v>2833319.9095139476</v>
      </c>
      <c r="U96" s="187">
        <f t="shared" si="67"/>
        <v>2867599.8651257385</v>
      </c>
      <c r="V96" s="187">
        <f t="shared" si="67"/>
        <v>2905998.3744332558</v>
      </c>
      <c r="W96" s="187">
        <f t="shared" si="67"/>
        <v>2944261.6132905222</v>
      </c>
      <c r="X96" s="187">
        <f t="shared" si="67"/>
        <v>2963646.5130548691</v>
      </c>
      <c r="Y96" s="187">
        <f t="shared" si="67"/>
        <v>2987330.8393360199</v>
      </c>
      <c r="Z96" s="187">
        <f t="shared" si="67"/>
        <v>3010866.3522543241</v>
      </c>
      <c r="AA96" s="187">
        <f t="shared" si="67"/>
        <v>3261434.6622343608</v>
      </c>
      <c r="AB96" s="187">
        <f t="shared" si="67"/>
        <v>3279561.0879998668</v>
      </c>
      <c r="AC96" s="187">
        <f t="shared" si="67"/>
        <v>3297524.2017385564</v>
      </c>
      <c r="AD96" s="187">
        <f t="shared" si="67"/>
        <v>3310499.3395020105</v>
      </c>
      <c r="AE96" s="187">
        <f t="shared" si="67"/>
        <v>3328159.7858068077</v>
      </c>
      <c r="AF96" s="187">
        <f t="shared" si="67"/>
        <v>7718356.4010822186</v>
      </c>
      <c r="AG96" s="187">
        <f t="shared" si="67"/>
        <v>0</v>
      </c>
      <c r="AH96" s="187">
        <f t="shared" si="67"/>
        <v>0</v>
      </c>
      <c r="AI96" s="187">
        <f t="shared" si="67"/>
        <v>0</v>
      </c>
      <c r="AJ96" s="187">
        <f t="shared" si="67"/>
        <v>0</v>
      </c>
      <c r="AK96" s="187">
        <f t="shared" si="67"/>
        <v>0</v>
      </c>
      <c r="AL96" s="187">
        <f t="shared" si="67"/>
        <v>0</v>
      </c>
      <c r="AM96" s="187">
        <f t="shared" si="67"/>
        <v>0</v>
      </c>
      <c r="AN96" s="187">
        <f t="shared" si="67"/>
        <v>0</v>
      </c>
      <c r="AO96" s="187">
        <f t="shared" si="67"/>
        <v>0</v>
      </c>
      <c r="AP96" s="187">
        <f t="shared" si="67"/>
        <v>0</v>
      </c>
    </row>
    <row r="97" spans="1:42">
      <c r="A97" s="184" t="s">
        <v>220</v>
      </c>
      <c r="B97" s="152">
        <f>SUM(B95:B96)</f>
        <v>-15672326.25996206</v>
      </c>
      <c r="C97" s="152">
        <f t="shared" ref="C97:AP97" si="68">SUM(C95:C96)</f>
        <v>667347.12621717737</v>
      </c>
      <c r="D97" s="152">
        <f t="shared" si="68"/>
        <v>686171.87680981634</v>
      </c>
      <c r="E97" s="152">
        <f t="shared" si="68"/>
        <v>705559.82782623766</v>
      </c>
      <c r="F97" s="152">
        <f t="shared" si="68"/>
        <v>721547.56038699555</v>
      </c>
      <c r="G97" s="152">
        <f t="shared" si="68"/>
        <v>740344.17185917706</v>
      </c>
      <c r="H97" s="152">
        <f t="shared" si="68"/>
        <v>759728.22060057195</v>
      </c>
      <c r="I97" s="152">
        <f t="shared" si="68"/>
        <v>775555.22519312892</v>
      </c>
      <c r="J97" s="152">
        <f t="shared" si="68"/>
        <v>794317.88408984942</v>
      </c>
      <c r="K97" s="152">
        <f t="shared" si="68"/>
        <v>813693.26301637688</v>
      </c>
      <c r="L97" s="152">
        <f t="shared" si="68"/>
        <v>1854445.0100580538</v>
      </c>
      <c r="M97" s="152">
        <f t="shared" si="68"/>
        <v>2889373.7619677647</v>
      </c>
      <c r="N97" s="152">
        <f t="shared" si="68"/>
        <v>2925970.4905084264</v>
      </c>
      <c r="O97" s="152">
        <f t="shared" si="68"/>
        <v>2859067.7234632052</v>
      </c>
      <c r="P97" s="152">
        <f t="shared" si="68"/>
        <v>2896325.5071330904</v>
      </c>
      <c r="Q97" s="152">
        <f t="shared" si="68"/>
        <v>2933472.4770640647</v>
      </c>
      <c r="R97" s="152">
        <f t="shared" si="68"/>
        <v>2755953.5070620743</v>
      </c>
      <c r="S97" s="152">
        <f t="shared" si="68"/>
        <v>2794698.0196859217</v>
      </c>
      <c r="T97" s="152">
        <f t="shared" si="68"/>
        <v>2833319.9095139476</v>
      </c>
      <c r="U97" s="152">
        <f t="shared" si="68"/>
        <v>2867599.8651257385</v>
      </c>
      <c r="V97" s="152">
        <f t="shared" si="68"/>
        <v>2905998.3744332558</v>
      </c>
      <c r="W97" s="152">
        <f t="shared" si="68"/>
        <v>2944261.6132905222</v>
      </c>
      <c r="X97" s="152">
        <f t="shared" si="68"/>
        <v>2963646.5130548691</v>
      </c>
      <c r="Y97" s="152">
        <f t="shared" si="68"/>
        <v>2987330.8393360199</v>
      </c>
      <c r="Z97" s="152">
        <f t="shared" si="68"/>
        <v>3010866.3522543241</v>
      </c>
      <c r="AA97" s="152">
        <f t="shared" si="68"/>
        <v>3261434.6622343608</v>
      </c>
      <c r="AB97" s="152">
        <f t="shared" si="68"/>
        <v>3279561.0879998668</v>
      </c>
      <c r="AC97" s="152">
        <f t="shared" si="68"/>
        <v>3297524.2017385564</v>
      </c>
      <c r="AD97" s="152">
        <f t="shared" si="68"/>
        <v>3310499.3395020105</v>
      </c>
      <c r="AE97" s="152">
        <f t="shared" si="68"/>
        <v>3328159.7858068077</v>
      </c>
      <c r="AF97" s="152">
        <f t="shared" si="68"/>
        <v>7718356.4010822186</v>
      </c>
      <c r="AG97" s="152">
        <f t="shared" si="68"/>
        <v>0</v>
      </c>
      <c r="AH97" s="152">
        <f t="shared" si="68"/>
        <v>0</v>
      </c>
      <c r="AI97" s="152">
        <f t="shared" si="68"/>
        <v>0</v>
      </c>
      <c r="AJ97" s="152">
        <f t="shared" si="68"/>
        <v>0</v>
      </c>
      <c r="AK97" s="152">
        <f t="shared" si="68"/>
        <v>0</v>
      </c>
      <c r="AL97" s="152">
        <f t="shared" si="68"/>
        <v>0</v>
      </c>
      <c r="AM97" s="152">
        <f t="shared" si="68"/>
        <v>0</v>
      </c>
      <c r="AN97" s="152">
        <f t="shared" si="68"/>
        <v>0</v>
      </c>
      <c r="AO97" s="152">
        <f t="shared" si="68"/>
        <v>0</v>
      </c>
      <c r="AP97" s="152">
        <f t="shared" si="68"/>
        <v>0</v>
      </c>
    </row>
    <row r="98" spans="1:42">
      <c r="A98" s="180" t="s">
        <v>33</v>
      </c>
      <c r="B98" s="152"/>
      <c r="C98" s="152"/>
      <c r="D98" s="152"/>
      <c r="E98" s="152"/>
      <c r="F98" s="152"/>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row>
    <row r="99" spans="1:42">
      <c r="A99" s="184" t="s">
        <v>37</v>
      </c>
      <c r="B99" s="152">
        <v>0</v>
      </c>
      <c r="C99" s="152">
        <f>I213+K213</f>
        <v>20000</v>
      </c>
      <c r="D99" s="152">
        <v>0</v>
      </c>
      <c r="E99" s="152">
        <v>0</v>
      </c>
      <c r="F99" s="152">
        <v>0</v>
      </c>
      <c r="G99" s="152">
        <v>0</v>
      </c>
      <c r="H99" s="152">
        <v>0</v>
      </c>
      <c r="I99" s="152">
        <v>0</v>
      </c>
      <c r="J99" s="152">
        <v>0</v>
      </c>
      <c r="K99" s="152">
        <v>0</v>
      </c>
      <c r="L99" s="152">
        <v>0</v>
      </c>
      <c r="M99" s="152">
        <v>0</v>
      </c>
      <c r="N99" s="152">
        <v>0</v>
      </c>
      <c r="O99" s="152">
        <v>0</v>
      </c>
      <c r="P99" s="152">
        <v>0</v>
      </c>
      <c r="Q99" s="152">
        <v>0</v>
      </c>
      <c r="R99" s="152">
        <v>0</v>
      </c>
      <c r="S99" s="152">
        <v>0</v>
      </c>
      <c r="T99" s="152">
        <v>0</v>
      </c>
      <c r="U99" s="152">
        <v>0</v>
      </c>
      <c r="V99" s="152">
        <v>0</v>
      </c>
      <c r="W99" s="152">
        <v>0</v>
      </c>
      <c r="X99" s="152">
        <v>0</v>
      </c>
      <c r="Y99" s="152">
        <v>0</v>
      </c>
      <c r="Z99" s="152">
        <v>0</v>
      </c>
      <c r="AA99" s="152">
        <v>0</v>
      </c>
      <c r="AB99" s="152">
        <v>0</v>
      </c>
      <c r="AC99" s="152">
        <v>0</v>
      </c>
      <c r="AD99" s="152">
        <v>0</v>
      </c>
      <c r="AE99" s="152">
        <v>0</v>
      </c>
      <c r="AF99" s="152">
        <v>0</v>
      </c>
      <c r="AG99" s="152">
        <v>0</v>
      </c>
      <c r="AH99" s="152">
        <v>0</v>
      </c>
      <c r="AI99" s="152">
        <v>0</v>
      </c>
      <c r="AJ99" s="152">
        <v>0</v>
      </c>
      <c r="AK99" s="152">
        <v>0</v>
      </c>
      <c r="AL99" s="152">
        <v>0</v>
      </c>
      <c r="AM99" s="152">
        <v>0</v>
      </c>
      <c r="AN99" s="152">
        <v>0</v>
      </c>
      <c r="AO99" s="152">
        <v>0</v>
      </c>
      <c r="AP99" s="152">
        <v>0</v>
      </c>
    </row>
    <row r="100" spans="1:42">
      <c r="A100" s="184" t="s">
        <v>36</v>
      </c>
      <c r="B100" s="187">
        <v>0</v>
      </c>
      <c r="C100" s="187">
        <f>I347+K347</f>
        <v>10000</v>
      </c>
      <c r="D100" s="187">
        <v>0</v>
      </c>
      <c r="E100" s="187">
        <v>0</v>
      </c>
      <c r="F100" s="187">
        <v>0</v>
      </c>
      <c r="G100" s="187">
        <v>0</v>
      </c>
      <c r="H100" s="187">
        <v>0</v>
      </c>
      <c r="I100" s="187">
        <v>0</v>
      </c>
      <c r="J100" s="187">
        <v>0</v>
      </c>
      <c r="K100" s="187">
        <v>0</v>
      </c>
      <c r="L100" s="187">
        <v>0</v>
      </c>
      <c r="M100" s="187">
        <v>0</v>
      </c>
      <c r="N100" s="187">
        <v>0</v>
      </c>
      <c r="O100" s="187">
        <v>0</v>
      </c>
      <c r="P100" s="187">
        <v>0</v>
      </c>
      <c r="Q100" s="187">
        <v>0</v>
      </c>
      <c r="R100" s="187">
        <v>0</v>
      </c>
      <c r="S100" s="187">
        <v>0</v>
      </c>
      <c r="T100" s="187">
        <v>0</v>
      </c>
      <c r="U100" s="187">
        <v>0</v>
      </c>
      <c r="V100" s="187">
        <v>0</v>
      </c>
      <c r="W100" s="187">
        <v>0</v>
      </c>
      <c r="X100" s="187">
        <v>0</v>
      </c>
      <c r="Y100" s="187">
        <v>0</v>
      </c>
      <c r="Z100" s="187">
        <v>0</v>
      </c>
      <c r="AA100" s="187">
        <v>0</v>
      </c>
      <c r="AB100" s="187">
        <v>0</v>
      </c>
      <c r="AC100" s="187">
        <v>0</v>
      </c>
      <c r="AD100" s="187">
        <v>0</v>
      </c>
      <c r="AE100" s="187">
        <v>0</v>
      </c>
      <c r="AF100" s="187">
        <v>0</v>
      </c>
      <c r="AG100" s="187">
        <v>0</v>
      </c>
      <c r="AH100" s="187">
        <v>0</v>
      </c>
      <c r="AI100" s="187">
        <v>0</v>
      </c>
      <c r="AJ100" s="187">
        <v>0</v>
      </c>
      <c r="AK100" s="187">
        <v>0</v>
      </c>
      <c r="AL100" s="187">
        <v>0</v>
      </c>
      <c r="AM100" s="187">
        <v>0</v>
      </c>
      <c r="AN100" s="187">
        <v>0</v>
      </c>
      <c r="AO100" s="187">
        <v>0</v>
      </c>
      <c r="AP100" s="187">
        <v>0</v>
      </c>
    </row>
    <row r="101" spans="1:42">
      <c r="A101" s="184" t="s">
        <v>53</v>
      </c>
      <c r="B101" s="152">
        <f>SUM(B99:B100)</f>
        <v>0</v>
      </c>
      <c r="C101" s="152">
        <f>SUM(C99:C100)</f>
        <v>30000</v>
      </c>
      <c r="D101" s="152">
        <f>SUM(D99:D100)</f>
        <v>0</v>
      </c>
      <c r="E101" s="152">
        <f t="shared" ref="E101:AP101" si="69">SUM(E99:E100)</f>
        <v>0</v>
      </c>
      <c r="F101" s="152">
        <f t="shared" si="69"/>
        <v>0</v>
      </c>
      <c r="G101" s="152">
        <f t="shared" si="69"/>
        <v>0</v>
      </c>
      <c r="H101" s="152">
        <f t="shared" si="69"/>
        <v>0</v>
      </c>
      <c r="I101" s="152">
        <f t="shared" si="69"/>
        <v>0</v>
      </c>
      <c r="J101" s="152">
        <f t="shared" si="69"/>
        <v>0</v>
      </c>
      <c r="K101" s="152">
        <f t="shared" si="69"/>
        <v>0</v>
      </c>
      <c r="L101" s="152">
        <f t="shared" si="69"/>
        <v>0</v>
      </c>
      <c r="M101" s="152">
        <f t="shared" si="69"/>
        <v>0</v>
      </c>
      <c r="N101" s="152">
        <f t="shared" si="69"/>
        <v>0</v>
      </c>
      <c r="O101" s="152">
        <f t="shared" si="69"/>
        <v>0</v>
      </c>
      <c r="P101" s="152">
        <f t="shared" si="69"/>
        <v>0</v>
      </c>
      <c r="Q101" s="152">
        <f t="shared" si="69"/>
        <v>0</v>
      </c>
      <c r="R101" s="152">
        <f t="shared" si="69"/>
        <v>0</v>
      </c>
      <c r="S101" s="152">
        <f t="shared" si="69"/>
        <v>0</v>
      </c>
      <c r="T101" s="152">
        <f t="shared" si="69"/>
        <v>0</v>
      </c>
      <c r="U101" s="152">
        <f t="shared" si="69"/>
        <v>0</v>
      </c>
      <c r="V101" s="152">
        <f t="shared" si="69"/>
        <v>0</v>
      </c>
      <c r="W101" s="152">
        <f t="shared" si="69"/>
        <v>0</v>
      </c>
      <c r="X101" s="152">
        <f t="shared" si="69"/>
        <v>0</v>
      </c>
      <c r="Y101" s="152">
        <f t="shared" si="69"/>
        <v>0</v>
      </c>
      <c r="Z101" s="152">
        <f t="shared" si="69"/>
        <v>0</v>
      </c>
      <c r="AA101" s="152">
        <f t="shared" si="69"/>
        <v>0</v>
      </c>
      <c r="AB101" s="152">
        <f t="shared" si="69"/>
        <v>0</v>
      </c>
      <c r="AC101" s="152">
        <f t="shared" si="69"/>
        <v>0</v>
      </c>
      <c r="AD101" s="152">
        <f t="shared" si="69"/>
        <v>0</v>
      </c>
      <c r="AE101" s="152">
        <f t="shared" si="69"/>
        <v>0</v>
      </c>
      <c r="AF101" s="152">
        <f t="shared" si="69"/>
        <v>0</v>
      </c>
      <c r="AG101" s="152">
        <f t="shared" si="69"/>
        <v>0</v>
      </c>
      <c r="AH101" s="152">
        <f t="shared" si="69"/>
        <v>0</v>
      </c>
      <c r="AI101" s="152">
        <f t="shared" si="69"/>
        <v>0</v>
      </c>
      <c r="AJ101" s="152">
        <f t="shared" si="69"/>
        <v>0</v>
      </c>
      <c r="AK101" s="152">
        <f t="shared" si="69"/>
        <v>0</v>
      </c>
      <c r="AL101" s="152">
        <f t="shared" si="69"/>
        <v>0</v>
      </c>
      <c r="AM101" s="152">
        <f t="shared" si="69"/>
        <v>0</v>
      </c>
      <c r="AN101" s="152">
        <f t="shared" si="69"/>
        <v>0</v>
      </c>
      <c r="AO101" s="152">
        <f t="shared" si="69"/>
        <v>0</v>
      </c>
      <c r="AP101" s="152">
        <f t="shared" si="69"/>
        <v>0</v>
      </c>
    </row>
    <row r="102" spans="1:42">
      <c r="A102" s="180" t="s">
        <v>38</v>
      </c>
      <c r="B102" s="152"/>
      <c r="C102" s="152"/>
      <c r="D102" s="152"/>
      <c r="E102" s="152"/>
      <c r="F102" s="152"/>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row>
    <row r="103" spans="1:42">
      <c r="A103" s="184" t="s">
        <v>37</v>
      </c>
      <c r="B103" s="152">
        <f>B477</f>
        <v>0</v>
      </c>
      <c r="C103" s="152">
        <f t="shared" ref="C103:AO103" si="70">C477</f>
        <v>0</v>
      </c>
      <c r="D103" s="152">
        <f t="shared" si="70"/>
        <v>0</v>
      </c>
      <c r="E103" s="152">
        <f t="shared" si="70"/>
        <v>0</v>
      </c>
      <c r="F103" s="152">
        <f t="shared" si="70"/>
        <v>0</v>
      </c>
      <c r="G103" s="152">
        <f t="shared" si="70"/>
        <v>0</v>
      </c>
      <c r="H103" s="152">
        <f t="shared" si="70"/>
        <v>0</v>
      </c>
      <c r="I103" s="152">
        <f t="shared" si="70"/>
        <v>0</v>
      </c>
      <c r="J103" s="152">
        <f t="shared" si="70"/>
        <v>0</v>
      </c>
      <c r="K103" s="152">
        <f t="shared" si="70"/>
        <v>0</v>
      </c>
      <c r="L103" s="152">
        <f t="shared" si="70"/>
        <v>0</v>
      </c>
      <c r="M103" s="152">
        <f t="shared" si="70"/>
        <v>0</v>
      </c>
      <c r="N103" s="152">
        <f t="shared" si="70"/>
        <v>0</v>
      </c>
      <c r="O103" s="152">
        <f t="shared" si="70"/>
        <v>0</v>
      </c>
      <c r="P103" s="152">
        <f t="shared" si="70"/>
        <v>0</v>
      </c>
      <c r="Q103" s="152">
        <f t="shared" si="70"/>
        <v>0</v>
      </c>
      <c r="R103" s="152">
        <f t="shared" si="70"/>
        <v>0</v>
      </c>
      <c r="S103" s="152">
        <f t="shared" si="70"/>
        <v>0</v>
      </c>
      <c r="T103" s="152">
        <f t="shared" si="70"/>
        <v>0</v>
      </c>
      <c r="U103" s="152">
        <f t="shared" si="70"/>
        <v>0</v>
      </c>
      <c r="V103" s="152">
        <f t="shared" si="70"/>
        <v>0</v>
      </c>
      <c r="W103" s="152">
        <f t="shared" si="70"/>
        <v>0</v>
      </c>
      <c r="X103" s="152">
        <f t="shared" si="70"/>
        <v>0</v>
      </c>
      <c r="Y103" s="152">
        <f t="shared" si="70"/>
        <v>0</v>
      </c>
      <c r="Z103" s="152">
        <f t="shared" si="70"/>
        <v>0</v>
      </c>
      <c r="AA103" s="152">
        <f t="shared" si="70"/>
        <v>0</v>
      </c>
      <c r="AB103" s="152">
        <f t="shared" si="70"/>
        <v>0</v>
      </c>
      <c r="AC103" s="152">
        <f t="shared" si="70"/>
        <v>0</v>
      </c>
      <c r="AD103" s="152">
        <f t="shared" si="70"/>
        <v>0</v>
      </c>
      <c r="AE103" s="152">
        <f t="shared" si="70"/>
        <v>0</v>
      </c>
      <c r="AF103" s="152">
        <f t="shared" si="70"/>
        <v>0</v>
      </c>
      <c r="AG103" s="152">
        <f t="shared" si="70"/>
        <v>0</v>
      </c>
      <c r="AH103" s="152">
        <f t="shared" si="70"/>
        <v>0</v>
      </c>
      <c r="AI103" s="152">
        <f t="shared" si="70"/>
        <v>0</v>
      </c>
      <c r="AJ103" s="152">
        <f t="shared" si="70"/>
        <v>0</v>
      </c>
      <c r="AK103" s="152">
        <f t="shared" si="70"/>
        <v>0</v>
      </c>
      <c r="AL103" s="152">
        <f t="shared" si="70"/>
        <v>0</v>
      </c>
      <c r="AM103" s="152">
        <f t="shared" si="70"/>
        <v>0</v>
      </c>
      <c r="AN103" s="152">
        <f t="shared" si="70"/>
        <v>0</v>
      </c>
      <c r="AO103" s="152">
        <f t="shared" si="70"/>
        <v>0</v>
      </c>
      <c r="AP103" s="152">
        <f>AP477</f>
        <v>0</v>
      </c>
    </row>
    <row r="104" spans="1:42">
      <c r="A104" s="184" t="s">
        <v>36</v>
      </c>
      <c r="B104" s="187">
        <f>B483</f>
        <v>0</v>
      </c>
      <c r="C104" s="187">
        <f t="shared" ref="C104:AO104" si="71">C483</f>
        <v>0</v>
      </c>
      <c r="D104" s="187">
        <f t="shared" si="71"/>
        <v>0</v>
      </c>
      <c r="E104" s="187">
        <f t="shared" si="71"/>
        <v>0</v>
      </c>
      <c r="F104" s="187">
        <f t="shared" si="71"/>
        <v>0</v>
      </c>
      <c r="G104" s="187">
        <f t="shared" si="71"/>
        <v>0</v>
      </c>
      <c r="H104" s="187">
        <f t="shared" si="71"/>
        <v>0</v>
      </c>
      <c r="I104" s="187">
        <f t="shared" si="71"/>
        <v>0</v>
      </c>
      <c r="J104" s="187">
        <f t="shared" si="71"/>
        <v>0</v>
      </c>
      <c r="K104" s="187">
        <f t="shared" si="71"/>
        <v>0</v>
      </c>
      <c r="L104" s="187">
        <f t="shared" si="71"/>
        <v>0</v>
      </c>
      <c r="M104" s="187">
        <f t="shared" si="71"/>
        <v>0</v>
      </c>
      <c r="N104" s="187">
        <f t="shared" si="71"/>
        <v>0</v>
      </c>
      <c r="O104" s="187">
        <f t="shared" si="71"/>
        <v>0</v>
      </c>
      <c r="P104" s="187">
        <f t="shared" si="71"/>
        <v>0</v>
      </c>
      <c r="Q104" s="187">
        <f t="shared" si="71"/>
        <v>0</v>
      </c>
      <c r="R104" s="187">
        <f t="shared" si="71"/>
        <v>0</v>
      </c>
      <c r="S104" s="187">
        <f t="shared" si="71"/>
        <v>0</v>
      </c>
      <c r="T104" s="187">
        <f t="shared" si="71"/>
        <v>0</v>
      </c>
      <c r="U104" s="187">
        <f t="shared" si="71"/>
        <v>0</v>
      </c>
      <c r="V104" s="187">
        <f t="shared" si="71"/>
        <v>0</v>
      </c>
      <c r="W104" s="187">
        <f t="shared" si="71"/>
        <v>0</v>
      </c>
      <c r="X104" s="187">
        <f t="shared" si="71"/>
        <v>0</v>
      </c>
      <c r="Y104" s="187">
        <f t="shared" si="71"/>
        <v>0</v>
      </c>
      <c r="Z104" s="187">
        <f t="shared" si="71"/>
        <v>0</v>
      </c>
      <c r="AA104" s="187">
        <f t="shared" si="71"/>
        <v>0</v>
      </c>
      <c r="AB104" s="187">
        <f t="shared" si="71"/>
        <v>0</v>
      </c>
      <c r="AC104" s="187">
        <f t="shared" si="71"/>
        <v>0</v>
      </c>
      <c r="AD104" s="187">
        <f t="shared" si="71"/>
        <v>0</v>
      </c>
      <c r="AE104" s="187">
        <f t="shared" si="71"/>
        <v>0</v>
      </c>
      <c r="AF104" s="187">
        <f t="shared" si="71"/>
        <v>0</v>
      </c>
      <c r="AG104" s="187">
        <f t="shared" si="71"/>
        <v>0</v>
      </c>
      <c r="AH104" s="187">
        <f t="shared" si="71"/>
        <v>0</v>
      </c>
      <c r="AI104" s="187">
        <f t="shared" si="71"/>
        <v>0</v>
      </c>
      <c r="AJ104" s="187">
        <f t="shared" si="71"/>
        <v>0</v>
      </c>
      <c r="AK104" s="187">
        <f t="shared" si="71"/>
        <v>0</v>
      </c>
      <c r="AL104" s="187">
        <f t="shared" si="71"/>
        <v>0</v>
      </c>
      <c r="AM104" s="187">
        <f t="shared" si="71"/>
        <v>0</v>
      </c>
      <c r="AN104" s="187">
        <f t="shared" si="71"/>
        <v>0</v>
      </c>
      <c r="AO104" s="187">
        <f t="shared" si="71"/>
        <v>0</v>
      </c>
      <c r="AP104" s="187">
        <f>AP483</f>
        <v>0</v>
      </c>
    </row>
    <row r="105" spans="1:42">
      <c r="A105" s="184" t="s">
        <v>53</v>
      </c>
      <c r="B105" s="152">
        <f>SUM(B103:B104)</f>
        <v>0</v>
      </c>
      <c r="C105" s="152">
        <f>SUM(C103:C104)</f>
        <v>0</v>
      </c>
      <c r="D105" s="152">
        <f>SUM(D103:D104)</f>
        <v>0</v>
      </c>
      <c r="E105" s="152">
        <f t="shared" ref="E105:AP105" si="72">SUM(E103:E104)</f>
        <v>0</v>
      </c>
      <c r="F105" s="152">
        <f t="shared" si="72"/>
        <v>0</v>
      </c>
      <c r="G105" s="152">
        <f t="shared" si="72"/>
        <v>0</v>
      </c>
      <c r="H105" s="152">
        <f t="shared" si="72"/>
        <v>0</v>
      </c>
      <c r="I105" s="152">
        <f t="shared" si="72"/>
        <v>0</v>
      </c>
      <c r="J105" s="152">
        <f t="shared" si="72"/>
        <v>0</v>
      </c>
      <c r="K105" s="152">
        <f t="shared" si="72"/>
        <v>0</v>
      </c>
      <c r="L105" s="152">
        <f t="shared" si="72"/>
        <v>0</v>
      </c>
      <c r="M105" s="152">
        <f t="shared" si="72"/>
        <v>0</v>
      </c>
      <c r="N105" s="152">
        <f t="shared" si="72"/>
        <v>0</v>
      </c>
      <c r="O105" s="152">
        <f t="shared" si="72"/>
        <v>0</v>
      </c>
      <c r="P105" s="152">
        <f t="shared" si="72"/>
        <v>0</v>
      </c>
      <c r="Q105" s="152">
        <f t="shared" si="72"/>
        <v>0</v>
      </c>
      <c r="R105" s="152">
        <f t="shared" si="72"/>
        <v>0</v>
      </c>
      <c r="S105" s="152">
        <f t="shared" si="72"/>
        <v>0</v>
      </c>
      <c r="T105" s="152">
        <f t="shared" si="72"/>
        <v>0</v>
      </c>
      <c r="U105" s="152">
        <f t="shared" si="72"/>
        <v>0</v>
      </c>
      <c r="V105" s="152">
        <f t="shared" si="72"/>
        <v>0</v>
      </c>
      <c r="W105" s="152">
        <f t="shared" si="72"/>
        <v>0</v>
      </c>
      <c r="X105" s="152">
        <f t="shared" si="72"/>
        <v>0</v>
      </c>
      <c r="Y105" s="152">
        <f t="shared" si="72"/>
        <v>0</v>
      </c>
      <c r="Z105" s="152">
        <f t="shared" si="72"/>
        <v>0</v>
      </c>
      <c r="AA105" s="152">
        <f t="shared" si="72"/>
        <v>0</v>
      </c>
      <c r="AB105" s="152">
        <f t="shared" si="72"/>
        <v>0</v>
      </c>
      <c r="AC105" s="152">
        <f t="shared" si="72"/>
        <v>0</v>
      </c>
      <c r="AD105" s="152">
        <f t="shared" si="72"/>
        <v>0</v>
      </c>
      <c r="AE105" s="152">
        <f t="shared" si="72"/>
        <v>0</v>
      </c>
      <c r="AF105" s="152">
        <f t="shared" si="72"/>
        <v>0</v>
      </c>
      <c r="AG105" s="152">
        <f t="shared" si="72"/>
        <v>0</v>
      </c>
      <c r="AH105" s="152">
        <f t="shared" si="72"/>
        <v>0</v>
      </c>
      <c r="AI105" s="152">
        <f t="shared" si="72"/>
        <v>0</v>
      </c>
      <c r="AJ105" s="152">
        <f t="shared" si="72"/>
        <v>0</v>
      </c>
      <c r="AK105" s="152">
        <f t="shared" si="72"/>
        <v>0</v>
      </c>
      <c r="AL105" s="152">
        <f t="shared" si="72"/>
        <v>0</v>
      </c>
      <c r="AM105" s="152">
        <f t="shared" si="72"/>
        <v>0</v>
      </c>
      <c r="AN105" s="152">
        <f t="shared" si="72"/>
        <v>0</v>
      </c>
      <c r="AO105" s="152">
        <f t="shared" si="72"/>
        <v>0</v>
      </c>
      <c r="AP105" s="152">
        <f t="shared" si="72"/>
        <v>0</v>
      </c>
    </row>
    <row r="106" spans="1:42">
      <c r="A106" s="180" t="s">
        <v>223</v>
      </c>
      <c r="B106" s="152"/>
      <c r="C106" s="152"/>
      <c r="D106" s="152"/>
      <c r="E106" s="152"/>
      <c r="F106" s="152"/>
      <c r="G106" s="152"/>
      <c r="H106" s="152"/>
      <c r="I106" s="152"/>
      <c r="J106" s="152"/>
      <c r="K106" s="152"/>
      <c r="L106" s="152"/>
      <c r="M106" s="152"/>
      <c r="N106" s="152"/>
      <c r="O106" s="15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152"/>
      <c r="AL106" s="152"/>
      <c r="AM106" s="152"/>
      <c r="AN106" s="152"/>
      <c r="AO106" s="152"/>
      <c r="AP106" s="152"/>
    </row>
    <row r="107" spans="1:42">
      <c r="A107" s="184" t="s">
        <v>37</v>
      </c>
      <c r="B107" s="152">
        <f>B161</f>
        <v>0</v>
      </c>
      <c r="C107" s="152">
        <f>C161</f>
        <v>-368109.99229683203</v>
      </c>
      <c r="D107" s="152">
        <f t="shared" ref="D107:AP107" si="73">D161</f>
        <v>525424.75515264238</v>
      </c>
      <c r="E107" s="152">
        <f t="shared" si="73"/>
        <v>262785.52748074371</v>
      </c>
      <c r="F107" s="152">
        <f t="shared" si="73"/>
        <v>102436.46851458556</v>
      </c>
      <c r="G107" s="152">
        <f t="shared" si="73"/>
        <v>94683.200244893276</v>
      </c>
      <c r="H107" s="152">
        <f t="shared" si="73"/>
        <v>-27843.761833437864</v>
      </c>
      <c r="I107" s="152">
        <f t="shared" si="73"/>
        <v>-150631.34723539525</v>
      </c>
      <c r="J107" s="152">
        <f t="shared" si="73"/>
        <v>-159847.13952300226</v>
      </c>
      <c r="K107" s="152">
        <f t="shared" si="73"/>
        <v>-168032.30203021446</v>
      </c>
      <c r="L107" s="152">
        <f t="shared" si="73"/>
        <v>-176408.11119370803</v>
      </c>
      <c r="M107" s="152">
        <f t="shared" si="73"/>
        <v>-186370.73436390451</v>
      </c>
      <c r="N107" s="152">
        <f t="shared" si="73"/>
        <v>-155520.74145210112</v>
      </c>
      <c r="O107" s="152">
        <f t="shared" si="73"/>
        <v>-134357.04202160917</v>
      </c>
      <c r="P107" s="152">
        <f t="shared" si="73"/>
        <v>-158333.68291217228</v>
      </c>
      <c r="Q107" s="152">
        <f t="shared" si="73"/>
        <v>-104559.43644087891</v>
      </c>
      <c r="R107" s="152">
        <f t="shared" si="73"/>
        <v>-62098.609361929572</v>
      </c>
      <c r="S107" s="152">
        <f t="shared" si="73"/>
        <v>-121157.30725895865</v>
      </c>
      <c r="T107" s="152">
        <f t="shared" si="73"/>
        <v>-158102.19329602635</v>
      </c>
      <c r="U107" s="152">
        <f t="shared" si="73"/>
        <v>-159245.36100838325</v>
      </c>
      <c r="V107" s="152">
        <f t="shared" si="73"/>
        <v>-182165.2763229046</v>
      </c>
      <c r="W107" s="152">
        <f t="shared" si="73"/>
        <v>-204704.22146572606</v>
      </c>
      <c r="X107" s="152">
        <f t="shared" si="73"/>
        <v>-206464.97398866006</v>
      </c>
      <c r="Y107" s="152">
        <f t="shared" si="73"/>
        <v>-209123.84269955388</v>
      </c>
      <c r="Z107" s="152">
        <f t="shared" si="73"/>
        <v>-171115.66568380428</v>
      </c>
      <c r="AA107" s="152">
        <f t="shared" si="73"/>
        <v>-144709.45855934726</v>
      </c>
      <c r="AB107" s="152">
        <f t="shared" si="73"/>
        <v>-171912.03108050427</v>
      </c>
      <c r="AC107" s="152">
        <f t="shared" si="73"/>
        <v>-187174.06677713315</v>
      </c>
      <c r="AD107" s="152">
        <f t="shared" si="73"/>
        <v>-187039.04118843493</v>
      </c>
      <c r="AE107" s="152">
        <f t="shared" si="73"/>
        <v>-200647.67419452072</v>
      </c>
      <c r="AF107" s="152">
        <f t="shared" si="73"/>
        <v>-348688.17472108133</v>
      </c>
      <c r="AG107" s="152">
        <f t="shared" si="73"/>
        <v>0</v>
      </c>
      <c r="AH107" s="152">
        <f t="shared" si="73"/>
        <v>0</v>
      </c>
      <c r="AI107" s="152">
        <f t="shared" si="73"/>
        <v>0</v>
      </c>
      <c r="AJ107" s="152">
        <f t="shared" si="73"/>
        <v>0</v>
      </c>
      <c r="AK107" s="152">
        <f t="shared" si="73"/>
        <v>0</v>
      </c>
      <c r="AL107" s="152">
        <f t="shared" si="73"/>
        <v>0</v>
      </c>
      <c r="AM107" s="152">
        <f t="shared" si="73"/>
        <v>0</v>
      </c>
      <c r="AN107" s="152">
        <f t="shared" si="73"/>
        <v>0</v>
      </c>
      <c r="AO107" s="152">
        <f t="shared" si="73"/>
        <v>0</v>
      </c>
      <c r="AP107" s="152">
        <f t="shared" si="73"/>
        <v>0</v>
      </c>
    </row>
    <row r="108" spans="1:42">
      <c r="A108" s="184" t="s">
        <v>36</v>
      </c>
      <c r="B108" s="187">
        <f>B200</f>
        <v>0</v>
      </c>
      <c r="C108" s="187">
        <f>C200</f>
        <v>-1681287.1011940655</v>
      </c>
      <c r="D108" s="187">
        <f t="shared" ref="D108:AP108" si="74">D200</f>
        <v>2944656.4002206363</v>
      </c>
      <c r="E108" s="187">
        <f t="shared" si="74"/>
        <v>1451262.3956635478</v>
      </c>
      <c r="F108" s="187">
        <f t="shared" si="74"/>
        <v>538595.14708259352</v>
      </c>
      <c r="G108" s="187">
        <f t="shared" si="74"/>
        <v>491969.81107894407</v>
      </c>
      <c r="H108" s="187">
        <f t="shared" si="74"/>
        <v>-206152.52113159685</v>
      </c>
      <c r="I108" s="187">
        <f t="shared" si="74"/>
        <v>-905842.1472383088</v>
      </c>
      <c r="J108" s="187">
        <f t="shared" si="74"/>
        <v>-961262.57085878158</v>
      </c>
      <c r="K108" s="187">
        <f t="shared" si="74"/>
        <v>-1010485.1617544258</v>
      </c>
      <c r="L108" s="187">
        <f t="shared" si="74"/>
        <v>-1060854.2323148896</v>
      </c>
      <c r="M108" s="187">
        <f t="shared" si="74"/>
        <v>-1120765.8252883891</v>
      </c>
      <c r="N108" s="187">
        <f t="shared" si="74"/>
        <v>-935245.18609604437</v>
      </c>
      <c r="O108" s="187">
        <f t="shared" si="74"/>
        <v>-807974.39361176768</v>
      </c>
      <c r="P108" s="187">
        <f t="shared" si="74"/>
        <v>-952161.19314910867</v>
      </c>
      <c r="Q108" s="187">
        <f t="shared" si="74"/>
        <v>-628782.42914219445</v>
      </c>
      <c r="R108" s="187">
        <f t="shared" si="74"/>
        <v>-373438.45539014915</v>
      </c>
      <c r="S108" s="187">
        <f t="shared" si="74"/>
        <v>-728595.98865273769</v>
      </c>
      <c r="T108" s="187">
        <f t="shared" si="74"/>
        <v>-950769.09877564933</v>
      </c>
      <c r="U108" s="187">
        <f t="shared" si="74"/>
        <v>-957643.69370041369</v>
      </c>
      <c r="V108" s="187">
        <f t="shared" si="74"/>
        <v>-1095475.7298872853</v>
      </c>
      <c r="W108" s="187">
        <f t="shared" si="74"/>
        <v>-1231016.7499961616</v>
      </c>
      <c r="X108" s="187">
        <f t="shared" si="74"/>
        <v>-1241605.275395442</v>
      </c>
      <c r="Y108" s="187">
        <f t="shared" si="74"/>
        <v>-1257594.744961408</v>
      </c>
      <c r="Z108" s="187">
        <f t="shared" si="74"/>
        <v>-1029027.3895439686</v>
      </c>
      <c r="AA108" s="187">
        <f t="shared" si="74"/>
        <v>-870230.06215461995</v>
      </c>
      <c r="AB108" s="187">
        <f t="shared" si="74"/>
        <v>-1033816.4414523049</v>
      </c>
      <c r="AC108" s="187">
        <f t="shared" si="74"/>
        <v>-1125596.7743006689</v>
      </c>
      <c r="AD108" s="187">
        <f t="shared" si="74"/>
        <v>-1124784.7795104517</v>
      </c>
      <c r="AE108" s="187">
        <f t="shared" si="74"/>
        <v>-1206622.1498152313</v>
      </c>
      <c r="AF108" s="187">
        <f t="shared" si="74"/>
        <v>-2096883.8870726842</v>
      </c>
      <c r="AG108" s="187">
        <f t="shared" si="74"/>
        <v>0</v>
      </c>
      <c r="AH108" s="187">
        <f t="shared" si="74"/>
        <v>0</v>
      </c>
      <c r="AI108" s="187">
        <f t="shared" si="74"/>
        <v>0</v>
      </c>
      <c r="AJ108" s="187">
        <f t="shared" si="74"/>
        <v>0</v>
      </c>
      <c r="AK108" s="187">
        <f t="shared" si="74"/>
        <v>0</v>
      </c>
      <c r="AL108" s="187">
        <f t="shared" si="74"/>
        <v>0</v>
      </c>
      <c r="AM108" s="187">
        <f t="shared" si="74"/>
        <v>0</v>
      </c>
      <c r="AN108" s="187">
        <f t="shared" si="74"/>
        <v>0</v>
      </c>
      <c r="AO108" s="187">
        <f t="shared" si="74"/>
        <v>0</v>
      </c>
      <c r="AP108" s="187">
        <f t="shared" si="74"/>
        <v>0</v>
      </c>
    </row>
    <row r="109" spans="1:42">
      <c r="A109" s="184" t="s">
        <v>53</v>
      </c>
      <c r="B109" s="194">
        <f>SUM(B107:B108)</f>
        <v>0</v>
      </c>
      <c r="C109" s="194">
        <f>SUM(C107:C108)</f>
        <v>-2049397.0934908977</v>
      </c>
      <c r="D109" s="194">
        <f>SUM(D107:D108)</f>
        <v>3470081.1553732785</v>
      </c>
      <c r="E109" s="194">
        <f t="shared" ref="E109:AP109" si="75">SUM(E107:E108)</f>
        <v>1714047.9231442916</v>
      </c>
      <c r="F109" s="194">
        <f t="shared" si="75"/>
        <v>641031.61559717904</v>
      </c>
      <c r="G109" s="194">
        <f t="shared" si="75"/>
        <v>586653.01132383733</v>
      </c>
      <c r="H109" s="194">
        <f t="shared" si="75"/>
        <v>-233996.28296503471</v>
      </c>
      <c r="I109" s="194">
        <f t="shared" si="75"/>
        <v>-1056473.4944737041</v>
      </c>
      <c r="J109" s="194">
        <f t="shared" si="75"/>
        <v>-1121109.7103817838</v>
      </c>
      <c r="K109" s="194">
        <f t="shared" si="75"/>
        <v>-1178517.4637846402</v>
      </c>
      <c r="L109" s="194">
        <f t="shared" si="75"/>
        <v>-1237262.3435085975</v>
      </c>
      <c r="M109" s="194">
        <f t="shared" si="75"/>
        <v>-1307136.5596522936</v>
      </c>
      <c r="N109" s="194">
        <f t="shared" si="75"/>
        <v>-1090765.9275481454</v>
      </c>
      <c r="O109" s="194">
        <f t="shared" si="75"/>
        <v>-942331.43563337682</v>
      </c>
      <c r="P109" s="194">
        <f t="shared" si="75"/>
        <v>-1110494.876061281</v>
      </c>
      <c r="Q109" s="194">
        <f t="shared" si="75"/>
        <v>-733341.86558307335</v>
      </c>
      <c r="R109" s="194">
        <f t="shared" si="75"/>
        <v>-435537.06475207873</v>
      </c>
      <c r="S109" s="194">
        <f t="shared" si="75"/>
        <v>-849753.29591169639</v>
      </c>
      <c r="T109" s="194">
        <f t="shared" si="75"/>
        <v>-1108871.2920716756</v>
      </c>
      <c r="U109" s="194">
        <f t="shared" si="75"/>
        <v>-1116889.054708797</v>
      </c>
      <c r="V109" s="194">
        <f t="shared" si="75"/>
        <v>-1277641.0062101898</v>
      </c>
      <c r="W109" s="194">
        <f t="shared" si="75"/>
        <v>-1435720.9714618877</v>
      </c>
      <c r="X109" s="194">
        <f t="shared" si="75"/>
        <v>-1448070.2493841022</v>
      </c>
      <c r="Y109" s="194">
        <f t="shared" si="75"/>
        <v>-1466718.5876609618</v>
      </c>
      <c r="Z109" s="194">
        <f t="shared" si="75"/>
        <v>-1200143.0552277728</v>
      </c>
      <c r="AA109" s="194">
        <f t="shared" si="75"/>
        <v>-1014939.5207139673</v>
      </c>
      <c r="AB109" s="194">
        <f t="shared" si="75"/>
        <v>-1205728.4725328092</v>
      </c>
      <c r="AC109" s="194">
        <f t="shared" si="75"/>
        <v>-1312770.841077802</v>
      </c>
      <c r="AD109" s="194">
        <f t="shared" si="75"/>
        <v>-1311823.8206988866</v>
      </c>
      <c r="AE109" s="194">
        <f t="shared" si="75"/>
        <v>-1407269.8240097521</v>
      </c>
      <c r="AF109" s="194">
        <f t="shared" si="75"/>
        <v>-2445572.0617937655</v>
      </c>
      <c r="AG109" s="194">
        <f t="shared" si="75"/>
        <v>0</v>
      </c>
      <c r="AH109" s="194">
        <f t="shared" si="75"/>
        <v>0</v>
      </c>
      <c r="AI109" s="194">
        <f t="shared" si="75"/>
        <v>0</v>
      </c>
      <c r="AJ109" s="194">
        <f t="shared" si="75"/>
        <v>0</v>
      </c>
      <c r="AK109" s="194">
        <f t="shared" si="75"/>
        <v>0</v>
      </c>
      <c r="AL109" s="194">
        <f t="shared" si="75"/>
        <v>0</v>
      </c>
      <c r="AM109" s="194">
        <f t="shared" si="75"/>
        <v>0</v>
      </c>
      <c r="AN109" s="194">
        <f t="shared" si="75"/>
        <v>0</v>
      </c>
      <c r="AO109" s="194">
        <f t="shared" si="75"/>
        <v>0</v>
      </c>
      <c r="AP109" s="194">
        <f t="shared" si="75"/>
        <v>0</v>
      </c>
    </row>
    <row r="110" spans="1:42">
      <c r="A110" s="180" t="s">
        <v>53</v>
      </c>
      <c r="B110" s="152">
        <f>B97+B101+B105+B109</f>
        <v>-15672326.25996206</v>
      </c>
      <c r="C110" s="152">
        <f t="shared" ref="C110:AP110" si="76">C97+C101+C105+C109</f>
        <v>-1352049.9672737203</v>
      </c>
      <c r="D110" s="152">
        <f t="shared" si="76"/>
        <v>4156253.0321830949</v>
      </c>
      <c r="E110" s="152">
        <f t="shared" si="76"/>
        <v>2419607.7509705294</v>
      </c>
      <c r="F110" s="152">
        <f t="shared" si="76"/>
        <v>1362579.1759841745</v>
      </c>
      <c r="G110" s="152">
        <f t="shared" si="76"/>
        <v>1326997.1831830144</v>
      </c>
      <c r="H110" s="152">
        <f t="shared" si="76"/>
        <v>525731.93763553724</v>
      </c>
      <c r="I110" s="152">
        <f t="shared" si="76"/>
        <v>-280918.26928057522</v>
      </c>
      <c r="J110" s="152">
        <f t="shared" si="76"/>
        <v>-326791.82629193435</v>
      </c>
      <c r="K110" s="152">
        <f t="shared" si="76"/>
        <v>-364824.20076826331</v>
      </c>
      <c r="L110" s="152">
        <f t="shared" si="76"/>
        <v>617182.66654945631</v>
      </c>
      <c r="M110" s="152">
        <f t="shared" si="76"/>
        <v>1582237.2023154711</v>
      </c>
      <c r="N110" s="152">
        <f t="shared" si="76"/>
        <v>1835204.562960281</v>
      </c>
      <c r="O110" s="152">
        <f t="shared" si="76"/>
        <v>1916736.2878298284</v>
      </c>
      <c r="P110" s="152">
        <f t="shared" si="76"/>
        <v>1785830.6310718094</v>
      </c>
      <c r="Q110" s="152">
        <f t="shared" si="76"/>
        <v>2200130.6114809914</v>
      </c>
      <c r="R110" s="152">
        <f t="shared" si="76"/>
        <v>2320416.4423099956</v>
      </c>
      <c r="S110" s="152">
        <f t="shared" si="76"/>
        <v>1944944.7237742255</v>
      </c>
      <c r="T110" s="152">
        <f t="shared" si="76"/>
        <v>1724448.6174422719</v>
      </c>
      <c r="U110" s="152">
        <f t="shared" si="76"/>
        <v>1750710.8104169415</v>
      </c>
      <c r="V110" s="152">
        <f t="shared" si="76"/>
        <v>1628357.368223066</v>
      </c>
      <c r="W110" s="152">
        <f t="shared" si="76"/>
        <v>1508540.6418286345</v>
      </c>
      <c r="X110" s="152">
        <f t="shared" si="76"/>
        <v>1515576.263670767</v>
      </c>
      <c r="Y110" s="152">
        <f t="shared" si="76"/>
        <v>1520612.2516750582</v>
      </c>
      <c r="Z110" s="152">
        <f t="shared" si="76"/>
        <v>1810723.2970265513</v>
      </c>
      <c r="AA110" s="152">
        <f t="shared" si="76"/>
        <v>2246495.1415203935</v>
      </c>
      <c r="AB110" s="152">
        <f t="shared" si="76"/>
        <v>2073832.6154670576</v>
      </c>
      <c r="AC110" s="152">
        <f t="shared" si="76"/>
        <v>1984753.3606607544</v>
      </c>
      <c r="AD110" s="152">
        <f t="shared" si="76"/>
        <v>1998675.5188031239</v>
      </c>
      <c r="AE110" s="152">
        <f t="shared" si="76"/>
        <v>1920889.9617970556</v>
      </c>
      <c r="AF110" s="152">
        <f t="shared" si="76"/>
        <v>5272784.3392884526</v>
      </c>
      <c r="AG110" s="152">
        <f t="shared" si="76"/>
        <v>0</v>
      </c>
      <c r="AH110" s="152">
        <f t="shared" si="76"/>
        <v>0</v>
      </c>
      <c r="AI110" s="152">
        <f t="shared" si="76"/>
        <v>0</v>
      </c>
      <c r="AJ110" s="152">
        <f t="shared" si="76"/>
        <v>0</v>
      </c>
      <c r="AK110" s="152">
        <f t="shared" si="76"/>
        <v>0</v>
      </c>
      <c r="AL110" s="152">
        <f t="shared" si="76"/>
        <v>0</v>
      </c>
      <c r="AM110" s="152">
        <f t="shared" si="76"/>
        <v>0</v>
      </c>
      <c r="AN110" s="152">
        <f t="shared" si="76"/>
        <v>0</v>
      </c>
      <c r="AO110" s="152">
        <f t="shared" si="76"/>
        <v>0</v>
      </c>
      <c r="AP110" s="152">
        <f t="shared" si="76"/>
        <v>0</v>
      </c>
    </row>
    <row r="111" spans="1:42">
      <c r="A111" s="184"/>
      <c r="B111" s="152"/>
      <c r="C111" s="152"/>
      <c r="D111" s="152"/>
      <c r="E111" s="152"/>
      <c r="F111" s="152"/>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152"/>
      <c r="AL111" s="152"/>
      <c r="AM111" s="152"/>
      <c r="AN111" s="152"/>
      <c r="AO111" s="152"/>
      <c r="AP111" s="152"/>
    </row>
    <row r="112" spans="1:42">
      <c r="A112" s="180" t="s">
        <v>401</v>
      </c>
      <c r="B112" s="270">
        <f>ROUND(IF(ISERROR(IRR($B110:B110)),0,IRR($B110:B110)),4)</f>
        <v>0</v>
      </c>
      <c r="C112" s="270">
        <f>ROUND(IF(ISERROR(IRR($B110:C110)),0,IRR($B110:C110)),4)</f>
        <v>0</v>
      </c>
      <c r="D112" s="270">
        <f>ROUND(IF(ISERROR(IRR($B110:D110)),0,IRR($B110:D110)),4)</f>
        <v>0</v>
      </c>
      <c r="E112" s="270">
        <f>ROUND(IF(ISERROR(IRR($B110:E110)),0,IRR($B110:E110)),4)</f>
        <v>0</v>
      </c>
      <c r="F112" s="270">
        <f>ROUND(IF(ISERROR(IRR($B110:F110)),0,IRR($B110:F110)),4)</f>
        <v>-0.25069999999999998</v>
      </c>
      <c r="G112" s="270">
        <f>ROUND(IF(ISERROR(IRR($B110:G110)),0,IRR($B110:G110)),4)</f>
        <v>-0.18240000000000001</v>
      </c>
      <c r="H112" s="270">
        <f>ROUND(IF(ISERROR(IRR($B110:H110)),0,IRR($B110:H110)),4)</f>
        <v>-0.15859999999999999</v>
      </c>
      <c r="I112" s="270">
        <f>ROUND(IF(ISERROR(IRR($B110:I110)),0,IRR($B110:I110)),4)</f>
        <v>-0.1734</v>
      </c>
      <c r="J112" s="270">
        <f>ROUND(IF(ISERROR(IRR($B110:J110)),0,IRR($B110:J110)),4)</f>
        <v>0</v>
      </c>
      <c r="K112" s="270">
        <f>ROUND(IF(ISERROR(IRR($B110:K110)),0,IRR($B110:K110)),4)</f>
        <v>0</v>
      </c>
      <c r="L112" s="270">
        <f>ROUND(IF(ISERROR(IRR($B110:L110)),0,IRR($B110:L110)),4)</f>
        <v>-0.16539999999999999</v>
      </c>
      <c r="M112" s="270">
        <f>ROUND(IF(ISERROR(IRR($B110:M110)),0,IRR($B110:M110)),4)</f>
        <v>-8.9300000000000004E-2</v>
      </c>
      <c r="N112" s="270">
        <f>ROUND(IF(ISERROR(IRR($B110:N110)),0,IRR($B110:N110)),4)</f>
        <v>-4.8500000000000001E-2</v>
      </c>
      <c r="O112" s="270">
        <f>ROUND(IF(ISERROR(IRR($B110:O110)),0,IRR($B110:O110)),4)</f>
        <v>-2.1700000000000001E-2</v>
      </c>
      <c r="P112" s="270">
        <f>ROUND(IF(ISERROR(IRR($B110:P110)),0,IRR($B110:P110)),4)</f>
        <v>-3.8999999999999998E-3</v>
      </c>
      <c r="Q112" s="270">
        <f>ROUND(IF(ISERROR(IRR($B110:Q110)),0,IRR($B110:Q110)),4)</f>
        <v>1.2500000000000001E-2</v>
      </c>
      <c r="R112" s="270">
        <f>ROUND(IF(ISERROR(IRR($B110:R110)),0,IRR($B110:R110)),4)</f>
        <v>2.5499999999999998E-2</v>
      </c>
      <c r="S112" s="270">
        <f>ROUND(IF(ISERROR(IRR($B110:S110)),0,IRR($B110:S110)),4)</f>
        <v>3.4099999999999998E-2</v>
      </c>
      <c r="T112" s="270">
        <f>ROUND(IF(ISERROR(IRR($B110:T110)),0,IRR($B110:T110)),4)</f>
        <v>4.0500000000000001E-2</v>
      </c>
      <c r="U112" s="270">
        <f>ROUND(IF(ISERROR(IRR($B110:U110)),0,IRR($B110:U110)),4)</f>
        <v>4.5900000000000003E-2</v>
      </c>
      <c r="V112" s="270">
        <f>ROUND(IF(ISERROR(IRR($B110:V110)),0,IRR($B110:V110)),4)</f>
        <v>5.0200000000000002E-2</v>
      </c>
      <c r="W112" s="270">
        <f>ROUND(IF(ISERROR(IRR($B110:W110)),0,IRR($B110:W110)),4)</f>
        <v>5.3699999999999998E-2</v>
      </c>
      <c r="X112" s="270">
        <f>ROUND(IF(ISERROR(IRR($B110:X110)),0,IRR($B110:X110)),4)</f>
        <v>5.67E-2</v>
      </c>
      <c r="Y112" s="270">
        <f>ROUND(IF(ISERROR(IRR($B110:Y110)),0,IRR($B110:Y110)),4)</f>
        <v>5.9400000000000001E-2</v>
      </c>
      <c r="Z112" s="270">
        <f>ROUND(IF(ISERROR(IRR($B110:Z110)),0,IRR($B110:Z110)),4)</f>
        <v>6.2100000000000002E-2</v>
      </c>
      <c r="AA112" s="270">
        <f>ROUND(IF(ISERROR(IRR($B110:AA110)),0,IRR($B110:AA110)),4)</f>
        <v>6.5100000000000005E-2</v>
      </c>
      <c r="AB112" s="270">
        <f>ROUND(IF(ISERROR(IRR($B110:AB110)),0,IRR($B110:AB110)),4)</f>
        <v>6.7400000000000002E-2</v>
      </c>
      <c r="AC112" s="270">
        <f>ROUND(IF(ISERROR(IRR($B110:AC110)),0,IRR($B110:AC110)),4)</f>
        <v>6.9400000000000003E-2</v>
      </c>
      <c r="AD112" s="270">
        <f>ROUND(IF(ISERROR(IRR($B110:AD110)),0,IRR($B110:AD110)),4)</f>
        <v>7.1099999999999997E-2</v>
      </c>
      <c r="AE112" s="270">
        <f>ROUND(IF(ISERROR(IRR($B110:AE110)),0,IRR($B110:AE110)),4)</f>
        <v>7.2599999999999998E-2</v>
      </c>
      <c r="AF112" s="270">
        <f>ROUND(IF(ISERROR(IRR($B110:AF110)),0,IRR($B110:AF110)),4)</f>
        <v>7.5999999999999998E-2</v>
      </c>
      <c r="AG112" s="270">
        <f>ROUND(IF(ISERROR(IRR($B110:AG110)),0,IRR($B110:AG110)),4)</f>
        <v>7.5999999999999998E-2</v>
      </c>
      <c r="AH112" s="270">
        <f>ROUND(IF(ISERROR(IRR($B110:AH110)),0,IRR($B110:AH110)),4)</f>
        <v>7.5999999999999998E-2</v>
      </c>
      <c r="AI112" s="270">
        <f>ROUND(IF(ISERROR(IRR($B110:AI110)),0,IRR($B110:AI110)),4)</f>
        <v>7.5999999999999998E-2</v>
      </c>
      <c r="AJ112" s="270">
        <f>ROUND(IF(ISERROR(IRR($B110:AJ110)),0,IRR($B110:AJ110)),4)</f>
        <v>7.5999999999999998E-2</v>
      </c>
      <c r="AK112" s="270">
        <f>ROUND(IF(ISERROR(IRR($B110:AK110)),0,IRR($B110:AK110)),4)</f>
        <v>7.5999999999999998E-2</v>
      </c>
      <c r="AL112" s="270">
        <f>ROUND(IF(ISERROR(IRR($B110:AL110)),0,IRR($B110:AL110)),4)</f>
        <v>7.5999999999999998E-2</v>
      </c>
      <c r="AM112" s="270">
        <f>ROUND(IF(ISERROR(IRR($B110:AM110)),0,IRR($B110:AM110)),4)</f>
        <v>7.5999999999999998E-2</v>
      </c>
      <c r="AN112" s="270">
        <f>ROUND(IF(ISERROR(IRR($B110:AN110)),0,IRR($B110:AN110)),4)</f>
        <v>7.5999999999999998E-2</v>
      </c>
      <c r="AO112" s="270">
        <f>ROUND(IF(ISERROR(IRR($B110:AO110)),0,IRR($B110:AO110)),4)</f>
        <v>7.5999999999999998E-2</v>
      </c>
      <c r="AP112" s="270">
        <f>ROUND(IF(ISERROR(IRR($B110:AP110)),0,IRR($B110:AP110)),4)</f>
        <v>7.5999999999999998E-2</v>
      </c>
    </row>
    <row r="113" spans="1:42" s="118" customFormat="1">
      <c r="A113" s="267" t="s">
        <v>395</v>
      </c>
      <c r="B113" s="297">
        <f>MAX($B$112:B112)</f>
        <v>0</v>
      </c>
      <c r="C113" s="297">
        <f>MAX($B$112:C112)</f>
        <v>0</v>
      </c>
      <c r="D113" s="297">
        <f>MAX($B$112:D112)</f>
        <v>0</v>
      </c>
      <c r="E113" s="297">
        <f>MAX($B$112:E112)</f>
        <v>0</v>
      </c>
      <c r="F113" s="297">
        <f>MAX($B$112:F112)</f>
        <v>0</v>
      </c>
      <c r="G113" s="297">
        <f>MAX($B$112:G112)</f>
        <v>0</v>
      </c>
      <c r="H113" s="297">
        <f>MAX($B$112:H112)</f>
        <v>0</v>
      </c>
      <c r="I113" s="297">
        <f>MAX($B$112:I112)</f>
        <v>0</v>
      </c>
      <c r="J113" s="297">
        <f>MAX($B$112:J112)</f>
        <v>0</v>
      </c>
      <c r="K113" s="297">
        <f>MAX($B$112:K112)</f>
        <v>0</v>
      </c>
      <c r="L113" s="297">
        <f>MAX($B$112:L112)</f>
        <v>0</v>
      </c>
      <c r="M113" s="297">
        <f>MAX($B$112:M112)</f>
        <v>0</v>
      </c>
      <c r="N113" s="297">
        <f>MAX($B$112:N112)</f>
        <v>0</v>
      </c>
      <c r="O113" s="297">
        <f>MAX($B$112:O112)</f>
        <v>0</v>
      </c>
      <c r="P113" s="297">
        <f>MAX($B$112:P112)</f>
        <v>0</v>
      </c>
      <c r="Q113" s="297">
        <f>MAX($B$112:Q112)</f>
        <v>1.2500000000000001E-2</v>
      </c>
      <c r="R113" s="297">
        <f>MAX($B$112:R112)</f>
        <v>2.5499999999999998E-2</v>
      </c>
      <c r="S113" s="297">
        <f>MAX($B$112:S112)</f>
        <v>3.4099999999999998E-2</v>
      </c>
      <c r="T113" s="297">
        <f>MAX($B$112:T112)</f>
        <v>4.0500000000000001E-2</v>
      </c>
      <c r="U113" s="297">
        <f>MAX($B$112:U112)</f>
        <v>4.5900000000000003E-2</v>
      </c>
      <c r="V113" s="297">
        <f>MAX($B$112:V112)</f>
        <v>5.0200000000000002E-2</v>
      </c>
      <c r="W113" s="297">
        <f>MAX($B$112:W112)</f>
        <v>5.3699999999999998E-2</v>
      </c>
      <c r="X113" s="297">
        <f>MAX($B$112:X112)</f>
        <v>5.67E-2</v>
      </c>
      <c r="Y113" s="297">
        <f>MAX($B$112:Y112)</f>
        <v>5.9400000000000001E-2</v>
      </c>
      <c r="Z113" s="297">
        <f>MAX($B$112:Z112)</f>
        <v>6.2100000000000002E-2</v>
      </c>
      <c r="AA113" s="297">
        <f>MAX($B$112:AA112)</f>
        <v>6.5100000000000005E-2</v>
      </c>
      <c r="AB113" s="297">
        <f>MAX($B$112:AB112)</f>
        <v>6.7400000000000002E-2</v>
      </c>
      <c r="AC113" s="297">
        <f>MAX($B$112:AC112)</f>
        <v>6.9400000000000003E-2</v>
      </c>
      <c r="AD113" s="297">
        <f>MAX($B$112:AD112)</f>
        <v>7.1099999999999997E-2</v>
      </c>
      <c r="AE113" s="297">
        <f>MAX($B$112:AE112)</f>
        <v>7.2599999999999998E-2</v>
      </c>
      <c r="AF113" s="297">
        <f>MAX($B$112:AF112)</f>
        <v>7.5999999999999998E-2</v>
      </c>
      <c r="AG113" s="297">
        <f>MAX($B$112:AG112)</f>
        <v>7.5999999999999998E-2</v>
      </c>
      <c r="AH113" s="297">
        <f>MAX($B$112:AH112)</f>
        <v>7.5999999999999998E-2</v>
      </c>
      <c r="AI113" s="297">
        <f>MAX($B$112:AI112)</f>
        <v>7.5999999999999998E-2</v>
      </c>
      <c r="AJ113" s="297">
        <f>MAX($B$112:AJ112)</f>
        <v>7.5999999999999998E-2</v>
      </c>
      <c r="AK113" s="297">
        <f>MAX($B$112:AK112)</f>
        <v>7.5999999999999998E-2</v>
      </c>
      <c r="AL113" s="297">
        <f>MAX($B$112:AL112)</f>
        <v>7.5999999999999998E-2</v>
      </c>
      <c r="AM113" s="297">
        <f>MAX($B$112:AM112)</f>
        <v>7.5999999999999998E-2</v>
      </c>
      <c r="AN113" s="297">
        <f>MAX($B$112:AN112)</f>
        <v>7.5999999999999998E-2</v>
      </c>
      <c r="AO113" s="297">
        <f>MAX($B$112:AO112)</f>
        <v>7.5999999999999998E-2</v>
      </c>
      <c r="AP113" s="297">
        <f>MAX($B$112:AP112)</f>
        <v>7.5999999999999998E-2</v>
      </c>
    </row>
    <row r="114" spans="1:42">
      <c r="A114" s="180" t="s">
        <v>402</v>
      </c>
      <c r="B114" s="251">
        <f>B110</f>
        <v>-15672326.25996206</v>
      </c>
      <c r="C114" s="251">
        <f>NPV(DiscountRate,$C110:C110)+$B110</f>
        <v>-16924224.377808098</v>
      </c>
      <c r="D114" s="251">
        <f>NPV(DiscountRate,$C110:D110)+$B110</f>
        <v>-13360907.306320533</v>
      </c>
      <c r="E114" s="251">
        <f>NPV(DiscountRate,$C110:E110)+$B110</f>
        <v>-11440144.662977826</v>
      </c>
      <c r="F114" s="251">
        <f>NPV(DiscountRate,$C110:F110)+$B110</f>
        <v>-10438608.291830666</v>
      </c>
      <c r="G114" s="251">
        <f>NPV(DiscountRate,$C110:G110)+$B110</f>
        <v>-9535476.3064451851</v>
      </c>
      <c r="H114" s="251">
        <f>NPV(DiscountRate,$C110:H110)+$B110</f>
        <v>-9204176.0074648671</v>
      </c>
      <c r="I114" s="251">
        <f>NPV(DiscountRate,$C110:I110)+$B110</f>
        <v>-9368089.1194437444</v>
      </c>
      <c r="J114" s="251">
        <f>NPV(DiscountRate,$C110:J110)+$B110</f>
        <v>-9544644.5748988502</v>
      </c>
      <c r="K114" s="251">
        <f>NPV(DiscountRate,$C110:K110)+$B110</f>
        <v>-9727147.5045177341</v>
      </c>
      <c r="L114" s="251">
        <f>NPV(DiscountRate,$C110:L110)+$B110</f>
        <v>-9441272.5124132857</v>
      </c>
      <c r="M114" s="251">
        <f>NPV(DiscountRate,$C110:M110)+$B110</f>
        <v>-8762678.0969337896</v>
      </c>
      <c r="N114" s="251">
        <f>NPV(DiscountRate,$C110:N110)+$B110</f>
        <v>-8033893.1150523582</v>
      </c>
      <c r="O114" s="251">
        <f>NPV(DiscountRate,$C110:O110)+$B110</f>
        <v>-7329113.1598734064</v>
      </c>
      <c r="P114" s="251">
        <f>NPV(DiscountRate,$C110:P110)+$B110</f>
        <v>-6721107.4035204668</v>
      </c>
      <c r="Q114" s="251">
        <f>NPV(DiscountRate,$C110:Q110)+$B110</f>
        <v>-6027534.4784095529</v>
      </c>
      <c r="R114" s="251">
        <f>NPV(DiscountRate,$C110:R110)+$B110</f>
        <v>-5350227.0381274354</v>
      </c>
      <c r="S114" s="251">
        <f>NPV(DiscountRate,$C110:S110)+$B110</f>
        <v>-4824568.8670137525</v>
      </c>
      <c r="T114" s="251">
        <f>NPV(DiscountRate,$C110:T110)+$B110</f>
        <v>-4393027.2747382373</v>
      </c>
      <c r="U114" s="251">
        <f>NPV(DiscountRate,$C110:U110)+$B110</f>
        <v>-3987366.4593957514</v>
      </c>
      <c r="V114" s="251">
        <f>NPV(DiscountRate,$C110:V110)+$B110</f>
        <v>-3638005.3050303049</v>
      </c>
      <c r="W114" s="251">
        <f>NPV(DiscountRate,$C110:W110)+$B110</f>
        <v>-3338325.036048362</v>
      </c>
      <c r="X114" s="251">
        <f>NPV(DiscountRate,$C110:X110)+$B110</f>
        <v>-3059549.1696605887</v>
      </c>
      <c r="Y114" s="251">
        <f>NPV(DiscountRate,$C110:Y110)+$B110</f>
        <v>-2800565.6617210526</v>
      </c>
      <c r="Z114" s="251">
        <f>NPV(DiscountRate,$C110:Z110)+$B110</f>
        <v>-2515015.7977355272</v>
      </c>
      <c r="AA114" s="251">
        <f>NPV(DiscountRate,$C110:AA110)+$B110</f>
        <v>-2186987.2837736793</v>
      </c>
      <c r="AB114" s="251">
        <f>NPV(DiscountRate,$C110:AB110)+$B110</f>
        <v>-1906601.4563194495</v>
      </c>
      <c r="AC114" s="251">
        <f>NPV(DiscountRate,$C110:AC110)+$B110</f>
        <v>-1658136.4979067706</v>
      </c>
      <c r="AD114" s="251">
        <f>NPV(DiscountRate,$C110:AD110)+$B110</f>
        <v>-1426462.582078103</v>
      </c>
      <c r="AE114" s="251">
        <f>NPV(DiscountRate,$C110:AE110)+$B110</f>
        <v>-1220298.227911016</v>
      </c>
      <c r="AF114" s="251">
        <f>NPV(DiscountRate,$C110:AF110)+$B110</f>
        <v>-696302.98516216315</v>
      </c>
      <c r="AG114" s="251">
        <f>NPV(DiscountRate,$C110:AG110)+$B110</f>
        <v>-696302.98516216315</v>
      </c>
      <c r="AH114" s="251">
        <f>NPV(DiscountRate,$C110:AH110)+$B110</f>
        <v>-696302.98516216315</v>
      </c>
      <c r="AI114" s="251">
        <f>NPV(DiscountRate,$C110:AI110)+$B110</f>
        <v>-696302.98516216315</v>
      </c>
      <c r="AJ114" s="251">
        <f>NPV(DiscountRate,$C110:AJ110)+$B110</f>
        <v>-696302.98516216315</v>
      </c>
      <c r="AK114" s="251">
        <f>NPV(DiscountRate,$C110:AK110)+$B110</f>
        <v>-696302.98516216315</v>
      </c>
      <c r="AL114" s="251">
        <f>NPV(DiscountRate,$C110:AL110)+$B110</f>
        <v>-696302.98516216315</v>
      </c>
      <c r="AM114" s="251">
        <f>NPV(DiscountRate,$C110:AM110)+$B110</f>
        <v>-696302.98516216315</v>
      </c>
      <c r="AN114" s="251">
        <f>NPV(DiscountRate,$C110:AN110)+$B110</f>
        <v>-696302.98516216315</v>
      </c>
      <c r="AO114" s="251">
        <f>NPV(DiscountRate,$C110:AO110)+$B110</f>
        <v>-696302.98516216315</v>
      </c>
      <c r="AP114" s="251">
        <f>NPV(DiscountRate,$C110:AP110)+$B110</f>
        <v>-696302.98516216315</v>
      </c>
    </row>
    <row r="115" spans="1:42">
      <c r="A115" s="184"/>
      <c r="B115" s="152"/>
      <c r="C115" s="152"/>
      <c r="D115" s="152"/>
      <c r="E115" s="152"/>
      <c r="F115" s="152"/>
      <c r="G115" s="152"/>
      <c r="H115" s="152"/>
      <c r="I115" s="152"/>
      <c r="J115" s="152"/>
      <c r="K115" s="152"/>
      <c r="L115" s="152"/>
      <c r="M115" s="152"/>
      <c r="N115" s="152"/>
      <c r="O115" s="152"/>
      <c r="P115" s="152"/>
      <c r="Q115" s="152"/>
      <c r="R115" s="152"/>
      <c r="S115" s="152"/>
      <c r="T115" s="152"/>
      <c r="U115" s="152"/>
      <c r="V115" s="152"/>
      <c r="W115" s="152"/>
      <c r="X115" s="152"/>
      <c r="Y115" s="152"/>
      <c r="Z115" s="152"/>
      <c r="AA115" s="152"/>
      <c r="AB115" s="152"/>
      <c r="AC115" s="152"/>
      <c r="AD115" s="152"/>
      <c r="AE115" s="152"/>
      <c r="AF115" s="152"/>
      <c r="AG115" s="152"/>
      <c r="AH115" s="152"/>
      <c r="AI115" s="152"/>
      <c r="AJ115" s="152"/>
      <c r="AK115" s="152"/>
      <c r="AL115" s="152"/>
      <c r="AM115" s="152"/>
      <c r="AN115" s="152"/>
      <c r="AO115" s="152"/>
      <c r="AP115" s="152"/>
    </row>
    <row r="116" spans="1:42">
      <c r="A116" s="37" t="s">
        <v>394</v>
      </c>
      <c r="B116" s="196">
        <f>SUM(C116:AP116)</f>
        <v>0</v>
      </c>
      <c r="C116" s="152">
        <f t="shared" ref="C116:AP116" si="77">IF(AND(B113&lt;SOReturnTarget,C113&gt;=SOReturnTarget),C$2,0)</f>
        <v>0</v>
      </c>
      <c r="D116" s="152">
        <f t="shared" si="77"/>
        <v>0</v>
      </c>
      <c r="E116" s="152">
        <f t="shared" si="77"/>
        <v>0</v>
      </c>
      <c r="F116" s="152">
        <f t="shared" si="77"/>
        <v>0</v>
      </c>
      <c r="G116" s="152">
        <f t="shared" si="77"/>
        <v>0</v>
      </c>
      <c r="H116" s="152">
        <f t="shared" si="77"/>
        <v>0</v>
      </c>
      <c r="I116" s="152">
        <f t="shared" si="77"/>
        <v>0</v>
      </c>
      <c r="J116" s="152">
        <f t="shared" si="77"/>
        <v>0</v>
      </c>
      <c r="K116" s="152">
        <f t="shared" si="77"/>
        <v>0</v>
      </c>
      <c r="L116" s="152">
        <f t="shared" si="77"/>
        <v>0</v>
      </c>
      <c r="M116" s="152">
        <f t="shared" si="77"/>
        <v>0</v>
      </c>
      <c r="N116" s="152">
        <f t="shared" si="77"/>
        <v>0</v>
      </c>
      <c r="O116" s="152">
        <f t="shared" si="77"/>
        <v>0</v>
      </c>
      <c r="P116" s="152">
        <f t="shared" si="77"/>
        <v>0</v>
      </c>
      <c r="Q116" s="152">
        <f t="shared" si="77"/>
        <v>0</v>
      </c>
      <c r="R116" s="152">
        <f t="shared" si="77"/>
        <v>0</v>
      </c>
      <c r="S116" s="152">
        <f t="shared" si="77"/>
        <v>0</v>
      </c>
      <c r="T116" s="152">
        <f t="shared" si="77"/>
        <v>0</v>
      </c>
      <c r="U116" s="152">
        <f t="shared" si="77"/>
        <v>0</v>
      </c>
      <c r="V116" s="152">
        <f t="shared" si="77"/>
        <v>0</v>
      </c>
      <c r="W116" s="152">
        <f t="shared" si="77"/>
        <v>0</v>
      </c>
      <c r="X116" s="152">
        <f t="shared" si="77"/>
        <v>0</v>
      </c>
      <c r="Y116" s="152">
        <f t="shared" si="77"/>
        <v>0</v>
      </c>
      <c r="Z116" s="152">
        <f t="shared" si="77"/>
        <v>0</v>
      </c>
      <c r="AA116" s="152">
        <f t="shared" si="77"/>
        <v>0</v>
      </c>
      <c r="AB116" s="152">
        <f t="shared" si="77"/>
        <v>0</v>
      </c>
      <c r="AC116" s="152">
        <f t="shared" si="77"/>
        <v>0</v>
      </c>
      <c r="AD116" s="152">
        <f t="shared" si="77"/>
        <v>0</v>
      </c>
      <c r="AE116" s="152">
        <f t="shared" si="77"/>
        <v>0</v>
      </c>
      <c r="AF116" s="152">
        <f t="shared" si="77"/>
        <v>0</v>
      </c>
      <c r="AG116" s="152">
        <f t="shared" si="77"/>
        <v>0</v>
      </c>
      <c r="AH116" s="152">
        <f t="shared" si="77"/>
        <v>0</v>
      </c>
      <c r="AI116" s="152">
        <f t="shared" si="77"/>
        <v>0</v>
      </c>
      <c r="AJ116" s="152">
        <f t="shared" si="77"/>
        <v>0</v>
      </c>
      <c r="AK116" s="152">
        <f t="shared" si="77"/>
        <v>0</v>
      </c>
      <c r="AL116" s="152">
        <f t="shared" si="77"/>
        <v>0</v>
      </c>
      <c r="AM116" s="152">
        <f t="shared" si="77"/>
        <v>0</v>
      </c>
      <c r="AN116" s="152">
        <f t="shared" si="77"/>
        <v>0</v>
      </c>
      <c r="AO116" s="152">
        <f t="shared" si="77"/>
        <v>0</v>
      </c>
      <c r="AP116" s="152">
        <f t="shared" si="77"/>
        <v>0</v>
      </c>
    </row>
    <row r="117" spans="1:42">
      <c r="A117" s="184"/>
      <c r="B117" s="152"/>
      <c r="C117" s="152"/>
      <c r="D117" s="152"/>
      <c r="E117" s="152"/>
      <c r="F117" s="152"/>
      <c r="G117" s="152"/>
      <c r="H117" s="152"/>
      <c r="I117" s="152"/>
      <c r="J117" s="152"/>
      <c r="K117" s="152"/>
      <c r="L117" s="152"/>
      <c r="M117" s="152"/>
      <c r="N117" s="152"/>
      <c r="O117" s="152"/>
      <c r="P117" s="152"/>
      <c r="Q117" s="152"/>
      <c r="R117" s="152"/>
      <c r="S117" s="152"/>
      <c r="T117" s="152"/>
      <c r="U117" s="152"/>
      <c r="V117" s="152"/>
      <c r="W117" s="152"/>
      <c r="X117" s="152"/>
      <c r="Y117" s="152"/>
      <c r="Z117" s="152"/>
      <c r="AA117" s="152"/>
      <c r="AB117" s="152"/>
      <c r="AC117" s="152"/>
      <c r="AD117" s="152"/>
      <c r="AE117" s="152"/>
      <c r="AF117" s="152"/>
      <c r="AG117" s="152"/>
      <c r="AH117" s="152"/>
      <c r="AI117" s="152"/>
      <c r="AJ117" s="152"/>
      <c r="AK117" s="152"/>
      <c r="AL117" s="152"/>
      <c r="AM117" s="152"/>
      <c r="AN117" s="152"/>
      <c r="AO117" s="152"/>
      <c r="AP117" s="152"/>
    </row>
    <row r="118" spans="1:42">
      <c r="A118" s="179" t="s">
        <v>250</v>
      </c>
      <c r="B118" s="152"/>
      <c r="C118" s="152"/>
      <c r="D118" s="152"/>
      <c r="E118" s="152"/>
      <c r="F118" s="152"/>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row>
    <row r="119" spans="1:42">
      <c r="A119" s="180" t="s">
        <v>438</v>
      </c>
      <c r="B119" s="196">
        <f>SUM(C119:AP119)</f>
        <v>128735582.5046868</v>
      </c>
      <c r="C119" s="152">
        <f t="shared" ref="C119:AP119" si="78">C12</f>
        <v>3991040.9921441651</v>
      </c>
      <c r="D119" s="152">
        <f t="shared" si="78"/>
        <v>4010796.6450552787</v>
      </c>
      <c r="E119" s="152">
        <f t="shared" si="78"/>
        <v>4030650.0884483024</v>
      </c>
      <c r="F119" s="152">
        <f t="shared" si="78"/>
        <v>4050601.8063861211</v>
      </c>
      <c r="G119" s="152">
        <f t="shared" si="78"/>
        <v>4070652.2853277326</v>
      </c>
      <c r="H119" s="152">
        <f t="shared" si="78"/>
        <v>4090802.0141401039</v>
      </c>
      <c r="I119" s="152">
        <f t="shared" si="78"/>
        <v>4111051.4841100993</v>
      </c>
      <c r="J119" s="152">
        <f t="shared" si="78"/>
        <v>4131401.1889564423</v>
      </c>
      <c r="K119" s="152">
        <f t="shared" si="78"/>
        <v>4151851.6248417781</v>
      </c>
      <c r="L119" s="152">
        <f t="shared" si="78"/>
        <v>4172403.2903847457</v>
      </c>
      <c r="M119" s="152">
        <f t="shared" si="78"/>
        <v>4193056.6866721497</v>
      </c>
      <c r="N119" s="152">
        <f t="shared" si="78"/>
        <v>4213812.3172711758</v>
      </c>
      <c r="O119" s="152">
        <f t="shared" si="78"/>
        <v>4234670.688241669</v>
      </c>
      <c r="P119" s="152">
        <f t="shared" si="78"/>
        <v>4255632.3081484651</v>
      </c>
      <c r="Q119" s="152">
        <f t="shared" si="78"/>
        <v>4276697.6880738009</v>
      </c>
      <c r="R119" s="152">
        <f t="shared" si="78"/>
        <v>4297867.341629765</v>
      </c>
      <c r="S119" s="152">
        <f t="shared" si="78"/>
        <v>4319141.784970833</v>
      </c>
      <c r="T119" s="152">
        <f t="shared" si="78"/>
        <v>4340521.536806439</v>
      </c>
      <c r="U119" s="152">
        <f t="shared" si="78"/>
        <v>4362007.1184136309</v>
      </c>
      <c r="V119" s="152">
        <f t="shared" si="78"/>
        <v>4383599.0536497775</v>
      </c>
      <c r="W119" s="152">
        <f t="shared" si="78"/>
        <v>4405297.8689653436</v>
      </c>
      <c r="X119" s="152">
        <f t="shared" si="78"/>
        <v>4427104.0934167216</v>
      </c>
      <c r="Y119" s="152">
        <f t="shared" si="78"/>
        <v>4449018.2586791357</v>
      </c>
      <c r="Z119" s="152">
        <f t="shared" si="78"/>
        <v>4471040.8990595965</v>
      </c>
      <c r="AA119" s="152">
        <f t="shared" si="78"/>
        <v>4493172.5515099429</v>
      </c>
      <c r="AB119" s="152">
        <f t="shared" si="78"/>
        <v>4515413.7556399181</v>
      </c>
      <c r="AC119" s="152">
        <f t="shared" si="78"/>
        <v>4537765.0537303351</v>
      </c>
      <c r="AD119" s="152">
        <f t="shared" si="78"/>
        <v>4560226.9907462988</v>
      </c>
      <c r="AE119" s="152">
        <f t="shared" si="78"/>
        <v>4582800.1143504921</v>
      </c>
      <c r="AF119" s="152">
        <f t="shared" si="78"/>
        <v>4605484.974916528</v>
      </c>
      <c r="AG119" s="152">
        <f t="shared" si="78"/>
        <v>0</v>
      </c>
      <c r="AH119" s="152">
        <f t="shared" si="78"/>
        <v>0</v>
      </c>
      <c r="AI119" s="152">
        <f t="shared" si="78"/>
        <v>0</v>
      </c>
      <c r="AJ119" s="152">
        <f t="shared" si="78"/>
        <v>0</v>
      </c>
      <c r="AK119" s="152">
        <f t="shared" si="78"/>
        <v>0</v>
      </c>
      <c r="AL119" s="152">
        <f t="shared" si="78"/>
        <v>0</v>
      </c>
      <c r="AM119" s="152">
        <f t="shared" si="78"/>
        <v>0</v>
      </c>
      <c r="AN119" s="152">
        <f t="shared" si="78"/>
        <v>0</v>
      </c>
      <c r="AO119" s="152">
        <f t="shared" si="78"/>
        <v>0</v>
      </c>
      <c r="AP119" s="152">
        <f t="shared" si="78"/>
        <v>0</v>
      </c>
    </row>
    <row r="120" spans="1:42">
      <c r="A120" s="180" t="s">
        <v>127</v>
      </c>
      <c r="B120" s="196">
        <f>SUM(C120:AP120)</f>
        <v>474693747.49003303</v>
      </c>
      <c r="C120" s="152">
        <f t="shared" ref="C120:AP120" si="79">C5</f>
        <v>17000000</v>
      </c>
      <c r="D120" s="152">
        <f t="shared" si="79"/>
        <v>16915000</v>
      </c>
      <c r="E120" s="152">
        <f t="shared" si="79"/>
        <v>16830425</v>
      </c>
      <c r="F120" s="152">
        <f t="shared" si="79"/>
        <v>16746272.875</v>
      </c>
      <c r="G120" s="152">
        <f t="shared" si="79"/>
        <v>16662541.510624999</v>
      </c>
      <c r="H120" s="152">
        <f t="shared" si="79"/>
        <v>16579228.803071873</v>
      </c>
      <c r="I120" s="152">
        <f t="shared" si="79"/>
        <v>16496332.659056515</v>
      </c>
      <c r="J120" s="152">
        <f t="shared" si="79"/>
        <v>16413850.995761232</v>
      </c>
      <c r="K120" s="152">
        <f t="shared" si="79"/>
        <v>16331781.740782427</v>
      </c>
      <c r="L120" s="152">
        <f t="shared" si="79"/>
        <v>16250122.832078515</v>
      </c>
      <c r="M120" s="152">
        <f t="shared" si="79"/>
        <v>16168872.217918122</v>
      </c>
      <c r="N120" s="152">
        <f t="shared" si="79"/>
        <v>16088027.856828531</v>
      </c>
      <c r="O120" s="152">
        <f t="shared" si="79"/>
        <v>16007587.717544388</v>
      </c>
      <c r="P120" s="152">
        <f t="shared" si="79"/>
        <v>15927549.778956667</v>
      </c>
      <c r="Q120" s="152">
        <f t="shared" si="79"/>
        <v>15847912.030061884</v>
      </c>
      <c r="R120" s="152">
        <f t="shared" si="79"/>
        <v>15768672.469911573</v>
      </c>
      <c r="S120" s="152">
        <f t="shared" si="79"/>
        <v>15689829.107562015</v>
      </c>
      <c r="T120" s="152">
        <f t="shared" si="79"/>
        <v>15611379.962024204</v>
      </c>
      <c r="U120" s="152">
        <f t="shared" si="79"/>
        <v>15533323.062214084</v>
      </c>
      <c r="V120" s="152">
        <f t="shared" si="79"/>
        <v>15455656.446903013</v>
      </c>
      <c r="W120" s="152">
        <f t="shared" si="79"/>
        <v>15378378.164668497</v>
      </c>
      <c r="X120" s="152">
        <f t="shared" si="79"/>
        <v>15301486.273845155</v>
      </c>
      <c r="Y120" s="152">
        <f t="shared" si="79"/>
        <v>15224978.842475928</v>
      </c>
      <c r="Z120" s="152">
        <f t="shared" si="79"/>
        <v>15148853.948263548</v>
      </c>
      <c r="AA120" s="152">
        <f t="shared" si="79"/>
        <v>15073109.678522231</v>
      </c>
      <c r="AB120" s="152">
        <f t="shared" si="79"/>
        <v>14997744.13012962</v>
      </c>
      <c r="AC120" s="152">
        <f t="shared" si="79"/>
        <v>14922755.409478972</v>
      </c>
      <c r="AD120" s="152">
        <f t="shared" si="79"/>
        <v>14848141.632431576</v>
      </c>
      <c r="AE120" s="152">
        <f t="shared" si="79"/>
        <v>14773900.924269417</v>
      </c>
      <c r="AF120" s="152">
        <f t="shared" si="79"/>
        <v>14700031.41964807</v>
      </c>
      <c r="AG120" s="152">
        <f t="shared" si="79"/>
        <v>0</v>
      </c>
      <c r="AH120" s="152">
        <f t="shared" si="79"/>
        <v>0</v>
      </c>
      <c r="AI120" s="152">
        <f t="shared" si="79"/>
        <v>0</v>
      </c>
      <c r="AJ120" s="152">
        <f t="shared" si="79"/>
        <v>0</v>
      </c>
      <c r="AK120" s="152">
        <f t="shared" si="79"/>
        <v>0</v>
      </c>
      <c r="AL120" s="152">
        <f t="shared" si="79"/>
        <v>0</v>
      </c>
      <c r="AM120" s="152">
        <f t="shared" si="79"/>
        <v>0</v>
      </c>
      <c r="AN120" s="152">
        <f t="shared" si="79"/>
        <v>0</v>
      </c>
      <c r="AO120" s="152">
        <f t="shared" si="79"/>
        <v>0</v>
      </c>
      <c r="AP120" s="152">
        <f t="shared" si="79"/>
        <v>0</v>
      </c>
    </row>
    <row r="121" spans="1:42">
      <c r="B121" s="152"/>
      <c r="C121" s="152"/>
      <c r="D121" s="152"/>
      <c r="E121" s="152"/>
      <c r="F121" s="152"/>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row>
    <row r="122" spans="1:42">
      <c r="A122" s="37" t="s">
        <v>436</v>
      </c>
      <c r="B122" s="196">
        <f>NPV(DiscountRate,C119:AP119)</f>
        <v>47049895.539238364</v>
      </c>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37" t="s">
        <v>437</v>
      </c>
      <c r="B123" s="196">
        <f>NPV(DiscountRate,C120:AP120)</f>
        <v>182899462.80790007</v>
      </c>
      <c r="C123" s="152"/>
      <c r="D123" s="152"/>
      <c r="E123" s="152"/>
      <c r="F123" s="152"/>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c r="A124" s="37" t="s">
        <v>374</v>
      </c>
      <c r="B124" s="199">
        <f>B122/B123</f>
        <v>0.25724458025694164</v>
      </c>
      <c r="C124" s="152"/>
      <c r="D124" s="152"/>
      <c r="E124" s="152"/>
      <c r="F124" s="152"/>
      <c r="G124" s="186"/>
      <c r="H124" s="186"/>
      <c r="I124" s="186"/>
      <c r="J124" s="186"/>
      <c r="K124" s="186"/>
      <c r="L124" s="186"/>
      <c r="M124" s="186"/>
      <c r="N124" s="186"/>
      <c r="O124" s="186"/>
      <c r="P124" s="186"/>
      <c r="Q124" s="186"/>
      <c r="R124" s="186"/>
      <c r="S124" s="186"/>
      <c r="T124" s="186"/>
      <c r="U124" s="186"/>
      <c r="V124" s="186"/>
      <c r="W124" s="186"/>
      <c r="X124" s="186"/>
      <c r="Y124" s="186"/>
      <c r="Z124" s="186"/>
      <c r="AA124" s="186"/>
      <c r="AB124" s="186"/>
      <c r="AC124" s="186"/>
      <c r="AD124" s="186"/>
      <c r="AE124" s="186"/>
      <c r="AF124" s="186"/>
      <c r="AG124" s="186"/>
      <c r="AH124" s="186"/>
      <c r="AI124" s="186"/>
      <c r="AJ124" s="186"/>
      <c r="AK124" s="186"/>
      <c r="AL124" s="186"/>
      <c r="AM124" s="186"/>
      <c r="AN124" s="186"/>
      <c r="AO124" s="186"/>
      <c r="AP124" s="186"/>
    </row>
    <row r="125" spans="1:42">
      <c r="B125" s="152"/>
      <c r="C125" s="152"/>
      <c r="D125" s="152"/>
      <c r="E125" s="152"/>
      <c r="F125" s="152"/>
      <c r="G125" s="186"/>
      <c r="H125" s="186"/>
      <c r="I125" s="186"/>
      <c r="J125" s="186"/>
      <c r="K125" s="186"/>
      <c r="L125" s="186"/>
      <c r="M125" s="186"/>
      <c r="N125" s="186"/>
      <c r="O125" s="186"/>
      <c r="P125" s="186"/>
      <c r="Q125" s="186"/>
      <c r="R125" s="186"/>
      <c r="S125" s="186"/>
      <c r="T125" s="186"/>
      <c r="U125" s="186"/>
      <c r="V125" s="186"/>
      <c r="W125" s="186"/>
      <c r="X125" s="186"/>
      <c r="Y125" s="186"/>
      <c r="Z125" s="186"/>
      <c r="AA125" s="186"/>
      <c r="AB125" s="186"/>
      <c r="AC125" s="186"/>
      <c r="AD125" s="186"/>
      <c r="AE125" s="186"/>
      <c r="AF125" s="186"/>
      <c r="AG125" s="186"/>
      <c r="AH125" s="186"/>
      <c r="AI125" s="186"/>
      <c r="AJ125" s="186"/>
      <c r="AK125" s="186"/>
      <c r="AL125" s="186"/>
      <c r="AM125" s="186"/>
      <c r="AN125" s="186"/>
      <c r="AO125" s="186"/>
      <c r="AP125" s="186"/>
    </row>
    <row r="126" spans="1:42">
      <c r="A126" s="179" t="s">
        <v>115</v>
      </c>
    </row>
    <row r="127" spans="1:42" s="118" customFormat="1">
      <c r="A127" s="195" t="s">
        <v>133</v>
      </c>
    </row>
    <row r="128" spans="1:42" s="118" customFormat="1">
      <c r="A128" s="42" t="s">
        <v>116</v>
      </c>
      <c r="C128" s="198">
        <f t="shared" ref="C128:AP128" si="80">C43</f>
        <v>3213786.798394165</v>
      </c>
      <c r="D128" s="198">
        <f t="shared" si="80"/>
        <v>3239065.7997427788</v>
      </c>
      <c r="E128" s="198">
        <f t="shared" si="80"/>
        <v>3264273.8499448649</v>
      </c>
      <c r="F128" s="198">
        <f t="shared" si="80"/>
        <v>3289408.0338713871</v>
      </c>
      <c r="G128" s="198">
        <f t="shared" si="80"/>
        <v>3314465.3677397296</v>
      </c>
      <c r="H128" s="198">
        <f t="shared" si="80"/>
        <v>3339442.797600802</v>
      </c>
      <c r="I128" s="198">
        <f t="shared" si="80"/>
        <v>3364337.197792876</v>
      </c>
      <c r="J128" s="198">
        <f t="shared" si="80"/>
        <v>3389145.3693613885</v>
      </c>
      <c r="K128" s="198">
        <f t="shared" si="80"/>
        <v>3413864.038444018</v>
      </c>
      <c r="L128" s="198">
        <f t="shared" si="80"/>
        <v>3438489.8546201717</v>
      </c>
      <c r="M128" s="198">
        <f t="shared" si="80"/>
        <v>3463019.3892241856</v>
      </c>
      <c r="N128" s="198">
        <f t="shared" si="80"/>
        <v>3487449.133621376</v>
      </c>
      <c r="O128" s="198">
        <f t="shared" si="80"/>
        <v>3511775.4974461356</v>
      </c>
      <c r="P128" s="198">
        <f t="shared" si="80"/>
        <v>3535994.8068012195</v>
      </c>
      <c r="Q128" s="198">
        <f t="shared" si="80"/>
        <v>3560103.3024173919</v>
      </c>
      <c r="R128" s="198">
        <f t="shared" si="80"/>
        <v>3584097.137772508</v>
      </c>
      <c r="S128" s="198">
        <f t="shared" si="80"/>
        <v>3607972.3771691732</v>
      </c>
      <c r="T128" s="198">
        <f t="shared" si="80"/>
        <v>3631724.9937700168</v>
      </c>
      <c r="U128" s="198">
        <f t="shared" si="80"/>
        <v>3655350.8675896814</v>
      </c>
      <c r="V128" s="198">
        <f t="shared" si="80"/>
        <v>3678845.7834425359</v>
      </c>
      <c r="W128" s="198">
        <f t="shared" si="80"/>
        <v>3702205.4288451397</v>
      </c>
      <c r="X128" s="198">
        <f t="shared" si="80"/>
        <v>3711094.4696849468</v>
      </c>
      <c r="Y128" s="198">
        <f t="shared" si="80"/>
        <v>3719839.3145917333</v>
      </c>
      <c r="Z128" s="198">
        <f t="shared" si="80"/>
        <v>3728435.3461356731</v>
      </c>
      <c r="AA128" s="198">
        <f t="shared" si="80"/>
        <v>3736877.8407260282</v>
      </c>
      <c r="AB128" s="198">
        <f t="shared" si="80"/>
        <v>3745161.9662717963</v>
      </c>
      <c r="AC128" s="198">
        <f t="shared" si="80"/>
        <v>3753282.7797907474</v>
      </c>
      <c r="AD128" s="198">
        <f t="shared" si="80"/>
        <v>3761235.2249656748</v>
      </c>
      <c r="AE128" s="198">
        <f t="shared" si="80"/>
        <v>3769014.1296466785</v>
      </c>
      <c r="AF128" s="198">
        <f t="shared" si="80"/>
        <v>7799329.2032982968</v>
      </c>
      <c r="AG128" s="198">
        <f t="shared" si="80"/>
        <v>0</v>
      </c>
      <c r="AH128" s="198">
        <f t="shared" si="80"/>
        <v>0</v>
      </c>
      <c r="AI128" s="198">
        <f t="shared" si="80"/>
        <v>0</v>
      </c>
      <c r="AJ128" s="198">
        <f t="shared" si="80"/>
        <v>0</v>
      </c>
      <c r="AK128" s="198">
        <f t="shared" si="80"/>
        <v>0</v>
      </c>
      <c r="AL128" s="198">
        <f t="shared" si="80"/>
        <v>0</v>
      </c>
      <c r="AM128" s="198">
        <f t="shared" si="80"/>
        <v>0</v>
      </c>
      <c r="AN128" s="198">
        <f t="shared" si="80"/>
        <v>0</v>
      </c>
      <c r="AO128" s="198">
        <f t="shared" si="80"/>
        <v>0</v>
      </c>
      <c r="AP128" s="198">
        <f t="shared" si="80"/>
        <v>0</v>
      </c>
    </row>
    <row r="129" spans="1:42" s="118" customFormat="1">
      <c r="A129" s="42" t="s">
        <v>129</v>
      </c>
      <c r="C129" s="198">
        <f t="shared" ref="C129:AP129" si="81">C665</f>
        <v>22480.724861201375</v>
      </c>
      <c r="D129" s="198">
        <f t="shared" si="81"/>
        <v>34725.382086966929</v>
      </c>
      <c r="E129" s="198">
        <f t="shared" si="81"/>
        <v>46969.579444190174</v>
      </c>
      <c r="F129" s="198">
        <f t="shared" si="81"/>
        <v>57400.237219775809</v>
      </c>
      <c r="G129" s="198">
        <f t="shared" si="81"/>
        <v>69670.908797472148</v>
      </c>
      <c r="H129" s="198">
        <f t="shared" si="81"/>
        <v>81941.062478825072</v>
      </c>
      <c r="I129" s="198">
        <f t="shared" si="81"/>
        <v>92314.799514199316</v>
      </c>
      <c r="J129" s="198">
        <f t="shared" si="81"/>
        <v>104612.56115764481</v>
      </c>
      <c r="K129" s="198">
        <f t="shared" si="81"/>
        <v>116909.74269238551</v>
      </c>
      <c r="L129" s="198">
        <f t="shared" si="81"/>
        <v>127223.84326336232</v>
      </c>
      <c r="M129" s="198">
        <f t="shared" si="81"/>
        <v>121610.60951335869</v>
      </c>
      <c r="N129" s="198">
        <f t="shared" si="81"/>
        <v>133777.59365682982</v>
      </c>
      <c r="O129" s="198">
        <f t="shared" si="81"/>
        <v>92347.901148577046</v>
      </c>
      <c r="P129" s="198">
        <f t="shared" si="81"/>
        <v>105386.37546337843</v>
      </c>
      <c r="Q129" s="198">
        <f t="shared" si="81"/>
        <v>118424.84977817982</v>
      </c>
      <c r="R129" s="198">
        <f t="shared" si="81"/>
        <v>21529.125128545482</v>
      </c>
      <c r="S129" s="198">
        <f t="shared" si="81"/>
        <v>36398.398355727615</v>
      </c>
      <c r="T129" s="198">
        <f t="shared" si="81"/>
        <v>51267.671582909745</v>
      </c>
      <c r="U129" s="198">
        <f t="shared" si="81"/>
        <v>63882.909231071135</v>
      </c>
      <c r="V129" s="198">
        <f t="shared" si="81"/>
        <v>78786.502685733882</v>
      </c>
      <c r="W129" s="198">
        <f t="shared" si="81"/>
        <v>93690.096140396621</v>
      </c>
      <c r="X129" s="198">
        <f t="shared" si="81"/>
        <v>106236.69333359678</v>
      </c>
      <c r="Y129" s="198">
        <f t="shared" si="81"/>
        <v>121176.17470796108</v>
      </c>
      <c r="Z129" s="198">
        <f t="shared" si="81"/>
        <v>136115.65608232541</v>
      </c>
      <c r="AA129" s="198">
        <f t="shared" si="81"/>
        <v>86973.976921940499</v>
      </c>
      <c r="AB129" s="198">
        <f t="shared" si="81"/>
        <v>96816.277141678642</v>
      </c>
      <c r="AC129" s="198">
        <f t="shared" si="81"/>
        <v>106658.57736141678</v>
      </c>
      <c r="AD129" s="198">
        <f t="shared" si="81"/>
        <v>113923.63589592067</v>
      </c>
      <c r="AE129" s="198">
        <f t="shared" si="81"/>
        <v>123805.1775197134</v>
      </c>
      <c r="AF129" s="198">
        <f t="shared" si="81"/>
        <v>133686.71914350611</v>
      </c>
      <c r="AG129" s="198">
        <f t="shared" si="81"/>
        <v>0</v>
      </c>
      <c r="AH129" s="198">
        <f t="shared" si="81"/>
        <v>0</v>
      </c>
      <c r="AI129" s="198">
        <f t="shared" si="81"/>
        <v>0</v>
      </c>
      <c r="AJ129" s="198">
        <f t="shared" si="81"/>
        <v>0</v>
      </c>
      <c r="AK129" s="198">
        <f t="shared" si="81"/>
        <v>0</v>
      </c>
      <c r="AL129" s="198">
        <f t="shared" si="81"/>
        <v>0</v>
      </c>
      <c r="AM129" s="198">
        <f t="shared" si="81"/>
        <v>0</v>
      </c>
      <c r="AN129" s="198">
        <f t="shared" si="81"/>
        <v>0</v>
      </c>
      <c r="AO129" s="198">
        <f t="shared" si="81"/>
        <v>0</v>
      </c>
      <c r="AP129" s="198">
        <f t="shared" si="81"/>
        <v>0</v>
      </c>
    </row>
    <row r="130" spans="1:42" s="118" customFormat="1">
      <c r="A130" s="42" t="s">
        <v>117</v>
      </c>
      <c r="C130" s="198">
        <f>-C544</f>
        <v>-999069.81294370862</v>
      </c>
      <c r="D130" s="198">
        <f t="shared" ref="D130:AP130" si="82">-D544</f>
        <v>-933808.12153276079</v>
      </c>
      <c r="E130" s="198">
        <f t="shared" si="82"/>
        <v>-862247.41430217994</v>
      </c>
      <c r="F130" s="198">
        <f t="shared" si="82"/>
        <v>-783919.20679585624</v>
      </c>
      <c r="G130" s="198">
        <f t="shared" si="82"/>
        <v>-698407.18647857441</v>
      </c>
      <c r="H130" s="198">
        <f t="shared" si="82"/>
        <v>-605089.69053369958</v>
      </c>
      <c r="I130" s="198">
        <f t="shared" si="82"/>
        <v>-503385.74740067741</v>
      </c>
      <c r="J130" s="198">
        <f t="shared" si="82"/>
        <v>-392762.11330480583</v>
      </c>
      <c r="K130" s="198">
        <f t="shared" si="82"/>
        <v>-272463.47489793762</v>
      </c>
      <c r="L130" s="198">
        <f t="shared" si="82"/>
        <v>-141769.17921707488</v>
      </c>
      <c r="M130" s="198">
        <f t="shared" si="82"/>
        <v>-3.6670826375484466E-10</v>
      </c>
      <c r="N130" s="198">
        <f t="shared" si="82"/>
        <v>-3.9421138353645801E-10</v>
      </c>
      <c r="O130" s="198">
        <f t="shared" si="82"/>
        <v>-4.237772373016923E-10</v>
      </c>
      <c r="P130" s="198">
        <f t="shared" si="82"/>
        <v>-4.5556053009931928E-10</v>
      </c>
      <c r="Q130" s="198">
        <f t="shared" si="82"/>
        <v>-4.8972756985676815E-10</v>
      </c>
      <c r="R130" s="198">
        <f t="shared" si="82"/>
        <v>0</v>
      </c>
      <c r="S130" s="198">
        <f t="shared" si="82"/>
        <v>0</v>
      </c>
      <c r="T130" s="198">
        <f t="shared" si="82"/>
        <v>0</v>
      </c>
      <c r="U130" s="198">
        <f t="shared" si="82"/>
        <v>0</v>
      </c>
      <c r="V130" s="198">
        <f t="shared" si="82"/>
        <v>0</v>
      </c>
      <c r="W130" s="198">
        <f t="shared" si="82"/>
        <v>0</v>
      </c>
      <c r="X130" s="198">
        <f t="shared" si="82"/>
        <v>0</v>
      </c>
      <c r="Y130" s="198">
        <f t="shared" si="82"/>
        <v>0</v>
      </c>
      <c r="Z130" s="198">
        <f t="shared" si="82"/>
        <v>0</v>
      </c>
      <c r="AA130" s="198">
        <f t="shared" si="82"/>
        <v>0</v>
      </c>
      <c r="AB130" s="198">
        <f t="shared" si="82"/>
        <v>0</v>
      </c>
      <c r="AC130" s="198">
        <f t="shared" si="82"/>
        <v>0</v>
      </c>
      <c r="AD130" s="198">
        <f t="shared" si="82"/>
        <v>0</v>
      </c>
      <c r="AE130" s="198">
        <f t="shared" si="82"/>
        <v>0</v>
      </c>
      <c r="AF130" s="198">
        <f t="shared" si="82"/>
        <v>0</v>
      </c>
      <c r="AG130" s="198">
        <f t="shared" si="82"/>
        <v>0</v>
      </c>
      <c r="AH130" s="198">
        <f t="shared" si="82"/>
        <v>0</v>
      </c>
      <c r="AI130" s="198">
        <f t="shared" si="82"/>
        <v>0</v>
      </c>
      <c r="AJ130" s="198">
        <f t="shared" si="82"/>
        <v>0</v>
      </c>
      <c r="AK130" s="198">
        <f t="shared" si="82"/>
        <v>0</v>
      </c>
      <c r="AL130" s="198">
        <f t="shared" si="82"/>
        <v>0</v>
      </c>
      <c r="AM130" s="198">
        <f t="shared" si="82"/>
        <v>0</v>
      </c>
      <c r="AN130" s="198">
        <f t="shared" si="82"/>
        <v>0</v>
      </c>
      <c r="AO130" s="198">
        <f t="shared" si="82"/>
        <v>0</v>
      </c>
      <c r="AP130" s="198">
        <f t="shared" si="82"/>
        <v>0</v>
      </c>
    </row>
    <row r="131" spans="1:42" s="42" customFormat="1">
      <c r="A131" s="42" t="s">
        <v>120</v>
      </c>
      <c r="B131" s="118"/>
      <c r="C131" s="203">
        <f t="shared" ref="C131:AP131" si="83">IF(C$2&lt;=AnalysisPeriod,-C253-C283-C309-C335,0)</f>
        <v>-9335518.5094601661</v>
      </c>
      <c r="D131" s="203">
        <f t="shared" si="83"/>
        <v>-11893160.426708663</v>
      </c>
      <c r="E131" s="203">
        <f t="shared" si="83"/>
        <v>-7226914.696554943</v>
      </c>
      <c r="F131" s="203">
        <f t="shared" si="83"/>
        <v>-4425370.3100150442</v>
      </c>
      <c r="G131" s="203">
        <f t="shared" si="83"/>
        <v>-4407241.8217839599</v>
      </c>
      <c r="H131" s="203">
        <f t="shared" si="83"/>
        <v>-2310043.9543925119</v>
      </c>
      <c r="I131" s="203">
        <f t="shared" si="83"/>
        <v>-214514.48199012049</v>
      </c>
      <c r="J131" s="203">
        <f t="shared" si="83"/>
        <v>-194684.18952327751</v>
      </c>
      <c r="K131" s="203">
        <f t="shared" si="83"/>
        <v>-203177.5420527485</v>
      </c>
      <c r="L131" s="203">
        <f t="shared" si="83"/>
        <v>-216524.31514449531</v>
      </c>
      <c r="M131" s="203">
        <f t="shared" si="83"/>
        <v>-196071.19212109825</v>
      </c>
      <c r="N131" s="203">
        <f t="shared" si="83"/>
        <v>-793576.88269454869</v>
      </c>
      <c r="O131" s="203">
        <f t="shared" si="83"/>
        <v>-1161268.0891109097</v>
      </c>
      <c r="P131" s="203">
        <f t="shared" si="83"/>
        <v>-762586.94749782886</v>
      </c>
      <c r="Q131" s="203">
        <f t="shared" si="83"/>
        <v>-1777447.4896341367</v>
      </c>
      <c r="R131" s="203">
        <f t="shared" si="83"/>
        <v>-2476560.6381386975</v>
      </c>
      <c r="S131" s="203">
        <f t="shared" si="83"/>
        <v>-1441510.6435438346</v>
      </c>
      <c r="T131" s="203">
        <f t="shared" si="83"/>
        <v>-808407.33269790211</v>
      </c>
      <c r="U131" s="203">
        <f t="shared" si="83"/>
        <v>-823863.57666833</v>
      </c>
      <c r="V131" s="203">
        <f t="shared" si="83"/>
        <v>-445536.35298454989</v>
      </c>
      <c r="W131" s="203">
        <f t="shared" si="83"/>
        <v>-74000.589245062845</v>
      </c>
      <c r="X131" s="203">
        <f t="shared" si="83"/>
        <v>-63422.545042906277</v>
      </c>
      <c r="Y131" s="203">
        <f t="shared" si="83"/>
        <v>-38763.803853260193</v>
      </c>
      <c r="Z131" s="203">
        <f t="shared" si="83"/>
        <v>-753357.08069428406</v>
      </c>
      <c r="AA131" s="203">
        <f t="shared" si="83"/>
        <v>-1192770.7529325644</v>
      </c>
      <c r="AB131" s="203">
        <f t="shared" si="83"/>
        <v>-716304.95104067028</v>
      </c>
      <c r="AC131" s="203">
        <f t="shared" si="83"/>
        <v>-456776.50665883429</v>
      </c>
      <c r="AD131" s="203">
        <f t="shared" si="83"/>
        <v>-474449.02107186918</v>
      </c>
      <c r="AE131" s="203">
        <f t="shared" si="83"/>
        <v>-244679.77635692412</v>
      </c>
      <c r="AF131" s="203">
        <f t="shared" si="83"/>
        <v>-1593230.9275130515</v>
      </c>
      <c r="AG131" s="203">
        <f t="shared" si="83"/>
        <v>0</v>
      </c>
      <c r="AH131" s="203">
        <f t="shared" si="83"/>
        <v>0</v>
      </c>
      <c r="AI131" s="203">
        <f t="shared" si="83"/>
        <v>0</v>
      </c>
      <c r="AJ131" s="203">
        <f t="shared" si="83"/>
        <v>0</v>
      </c>
      <c r="AK131" s="203">
        <f t="shared" si="83"/>
        <v>0</v>
      </c>
      <c r="AL131" s="203">
        <f t="shared" si="83"/>
        <v>0</v>
      </c>
      <c r="AM131" s="203">
        <f t="shared" si="83"/>
        <v>0</v>
      </c>
      <c r="AN131" s="203">
        <f t="shared" si="83"/>
        <v>0</v>
      </c>
      <c r="AO131" s="203">
        <f t="shared" si="83"/>
        <v>0</v>
      </c>
      <c r="AP131" s="203">
        <f t="shared" si="83"/>
        <v>0</v>
      </c>
    </row>
    <row r="132" spans="1:42" s="118" customFormat="1">
      <c r="A132" s="42" t="s">
        <v>118</v>
      </c>
      <c r="C132" s="198">
        <f t="shared" ref="C132:AP132" si="84">SUM(C128:C131)</f>
        <v>-7098320.7991485083</v>
      </c>
      <c r="D132" s="198">
        <f t="shared" si="84"/>
        <v>-9553177.3664116785</v>
      </c>
      <c r="E132" s="198">
        <f t="shared" si="84"/>
        <v>-4777918.6814680677</v>
      </c>
      <c r="F132" s="198">
        <f t="shared" si="84"/>
        <v>-1862481.2457197374</v>
      </c>
      <c r="G132" s="198">
        <f t="shared" si="84"/>
        <v>-1721512.7317253323</v>
      </c>
      <c r="H132" s="198">
        <f t="shared" si="84"/>
        <v>506250.21515341569</v>
      </c>
      <c r="I132" s="198">
        <f t="shared" si="84"/>
        <v>2738751.7679162775</v>
      </c>
      <c r="J132" s="198">
        <f t="shared" si="84"/>
        <v>2906311.6276909499</v>
      </c>
      <c r="K132" s="198">
        <f t="shared" si="84"/>
        <v>3055132.7641857173</v>
      </c>
      <c r="L132" s="198">
        <f t="shared" si="84"/>
        <v>3207420.2035219641</v>
      </c>
      <c r="M132" s="198">
        <f t="shared" si="84"/>
        <v>3388558.8066164455</v>
      </c>
      <c r="N132" s="198">
        <f t="shared" si="84"/>
        <v>2827649.8445836566</v>
      </c>
      <c r="O132" s="198">
        <f t="shared" si="84"/>
        <v>2442855.3094838029</v>
      </c>
      <c r="P132" s="198">
        <f t="shared" si="84"/>
        <v>2878794.2347667688</v>
      </c>
      <c r="Q132" s="198">
        <f t="shared" si="84"/>
        <v>1901080.6625614348</v>
      </c>
      <c r="R132" s="198">
        <f t="shared" si="84"/>
        <v>1129065.6247623558</v>
      </c>
      <c r="S132" s="198">
        <f t="shared" si="84"/>
        <v>2202860.1319810664</v>
      </c>
      <c r="T132" s="198">
        <f t="shared" si="84"/>
        <v>2874585.3326550247</v>
      </c>
      <c r="U132" s="198">
        <f t="shared" si="84"/>
        <v>2895370.2001524228</v>
      </c>
      <c r="V132" s="198">
        <f t="shared" si="84"/>
        <v>3312095.93314372</v>
      </c>
      <c r="W132" s="198">
        <f t="shared" si="84"/>
        <v>3721894.9357404737</v>
      </c>
      <c r="X132" s="198">
        <f t="shared" si="84"/>
        <v>3753908.6179756373</v>
      </c>
      <c r="Y132" s="198">
        <f t="shared" si="84"/>
        <v>3802251.6854464342</v>
      </c>
      <c r="Z132" s="198">
        <f t="shared" si="84"/>
        <v>3111193.9215237144</v>
      </c>
      <c r="AA132" s="198">
        <f t="shared" si="84"/>
        <v>2631081.0647154045</v>
      </c>
      <c r="AB132" s="198">
        <f t="shared" si="84"/>
        <v>3125673.2923728046</v>
      </c>
      <c r="AC132" s="198">
        <f t="shared" si="84"/>
        <v>3403164.85049333</v>
      </c>
      <c r="AD132" s="198">
        <f t="shared" si="84"/>
        <v>3400709.8397897258</v>
      </c>
      <c r="AE132" s="198">
        <f t="shared" si="84"/>
        <v>3648139.5308094677</v>
      </c>
      <c r="AF132" s="198">
        <f t="shared" si="84"/>
        <v>6339784.9949287511</v>
      </c>
      <c r="AG132" s="198">
        <f t="shared" si="84"/>
        <v>0</v>
      </c>
      <c r="AH132" s="198">
        <f t="shared" si="84"/>
        <v>0</v>
      </c>
      <c r="AI132" s="198">
        <f t="shared" si="84"/>
        <v>0</v>
      </c>
      <c r="AJ132" s="198">
        <f t="shared" si="84"/>
        <v>0</v>
      </c>
      <c r="AK132" s="198">
        <f t="shared" si="84"/>
        <v>0</v>
      </c>
      <c r="AL132" s="198">
        <f t="shared" si="84"/>
        <v>0</v>
      </c>
      <c r="AM132" s="198">
        <f t="shared" si="84"/>
        <v>0</v>
      </c>
      <c r="AN132" s="198">
        <f t="shared" si="84"/>
        <v>0</v>
      </c>
      <c r="AO132" s="198">
        <f t="shared" si="84"/>
        <v>0</v>
      </c>
      <c r="AP132" s="198">
        <f t="shared" si="84"/>
        <v>0</v>
      </c>
    </row>
    <row r="133" spans="1:42" s="118" customFormat="1">
      <c r="A133" s="42" t="str">
        <f>'Inputs &amp; Results'!A48</f>
        <v>Investment Based Incentive (IBI)</v>
      </c>
    </row>
    <row r="134" spans="1:42" s="118" customFormat="1">
      <c r="A134" s="204" t="str">
        <f>'Inputs &amp; Results'!A49</f>
        <v>Fixed Amount ($)</v>
      </c>
    </row>
    <row r="135" spans="1:42" s="118" customFormat="1">
      <c r="A135" s="205" t="str">
        <f>'Inputs &amp; Results'!A50</f>
        <v>Federal</v>
      </c>
      <c r="C135" s="198">
        <f>IF(IBIFedFixedStateTax="Yes",C487,0)</f>
        <v>1000</v>
      </c>
    </row>
    <row r="136" spans="1:42" s="118" customFormat="1">
      <c r="A136" s="205" t="str">
        <f>'Inputs &amp; Results'!A51</f>
        <v>State</v>
      </c>
      <c r="C136" s="198">
        <f>IF(IBIStateFixedStateTax="Yes",C488,0)</f>
        <v>2000</v>
      </c>
    </row>
    <row r="137" spans="1:42" s="118" customFormat="1">
      <c r="A137" s="205" t="str">
        <f>'Inputs &amp; Results'!A52</f>
        <v>Utility</v>
      </c>
      <c r="C137" s="198">
        <f>IF(IBIUtilityFixedStateTax="Yes",C489,0)</f>
        <v>500</v>
      </c>
    </row>
    <row r="138" spans="1:42">
      <c r="A138" s="205" t="str">
        <f>'Inputs &amp; Results'!A53</f>
        <v>Other</v>
      </c>
      <c r="C138" s="203">
        <f>IF(IBIOtherFixedStateTax="Yes",C490,0)</f>
        <v>250</v>
      </c>
      <c r="D138" s="186"/>
      <c r="E138" s="186"/>
      <c r="F138" s="186"/>
      <c r="G138" s="186"/>
      <c r="H138" s="186"/>
      <c r="I138" s="186"/>
      <c r="J138" s="186"/>
      <c r="K138" s="186"/>
      <c r="L138" s="186"/>
      <c r="M138" s="186"/>
      <c r="N138" s="186"/>
      <c r="O138" s="186"/>
      <c r="P138" s="186"/>
      <c r="Q138" s="186"/>
      <c r="R138" s="186"/>
      <c r="S138" s="186"/>
      <c r="T138" s="186"/>
      <c r="U138" s="186"/>
      <c r="V138" s="186"/>
      <c r="W138" s="186"/>
      <c r="X138" s="186"/>
      <c r="Y138" s="186"/>
      <c r="Z138" s="186"/>
      <c r="AA138" s="186"/>
      <c r="AB138" s="186"/>
      <c r="AC138" s="186"/>
      <c r="AD138" s="186"/>
      <c r="AE138" s="186"/>
      <c r="AF138" s="186"/>
      <c r="AG138" s="186"/>
      <c r="AH138" s="186"/>
      <c r="AI138" s="186"/>
      <c r="AJ138" s="186"/>
      <c r="AK138" s="186"/>
      <c r="AL138" s="186"/>
      <c r="AM138" s="186"/>
      <c r="AN138" s="186"/>
      <c r="AO138" s="186"/>
      <c r="AP138" s="186"/>
    </row>
    <row r="139" spans="1:42">
      <c r="A139" s="205" t="s">
        <v>53</v>
      </c>
      <c r="C139" s="186">
        <f>SUM(C135:C138)</f>
        <v>3750</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6"/>
      <c r="AB139" s="186"/>
      <c r="AC139" s="186"/>
      <c r="AD139" s="186"/>
      <c r="AE139" s="186"/>
      <c r="AF139" s="186"/>
      <c r="AG139" s="186"/>
      <c r="AH139" s="186"/>
      <c r="AI139" s="186"/>
      <c r="AJ139" s="186"/>
      <c r="AK139" s="186"/>
      <c r="AL139" s="186"/>
      <c r="AM139" s="186"/>
      <c r="AN139" s="186"/>
      <c r="AO139" s="186"/>
      <c r="AP139" s="186"/>
    </row>
    <row r="140" spans="1:42">
      <c r="A140" s="204" t="str">
        <f>'Inputs &amp; Results'!A54</f>
        <v>Percentage of Pre-Financing Costs</v>
      </c>
      <c r="C140" s="186"/>
      <c r="D140" s="186"/>
      <c r="E140" s="186"/>
      <c r="F140" s="186"/>
      <c r="G140" s="186"/>
      <c r="H140" s="186"/>
      <c r="I140" s="186"/>
      <c r="J140" s="186"/>
      <c r="K140" s="186"/>
      <c r="L140" s="186"/>
      <c r="M140" s="186"/>
      <c r="N140" s="186"/>
      <c r="O140" s="186"/>
      <c r="P140" s="186"/>
      <c r="Q140" s="186"/>
      <c r="R140" s="186"/>
      <c r="S140" s="186"/>
      <c r="T140" s="186"/>
      <c r="U140" s="186"/>
      <c r="V140" s="186"/>
      <c r="W140" s="186"/>
      <c r="X140" s="186"/>
      <c r="Y140" s="186"/>
      <c r="Z140" s="186"/>
      <c r="AA140" s="186"/>
      <c r="AB140" s="186"/>
      <c r="AC140" s="186"/>
      <c r="AD140" s="186"/>
      <c r="AE140" s="186"/>
      <c r="AF140" s="186"/>
      <c r="AG140" s="186"/>
      <c r="AH140" s="186"/>
      <c r="AI140" s="186"/>
      <c r="AJ140" s="186"/>
      <c r="AK140" s="186"/>
      <c r="AL140" s="186"/>
      <c r="AM140" s="186"/>
      <c r="AN140" s="186"/>
      <c r="AO140" s="186"/>
      <c r="AP140" s="186"/>
    </row>
    <row r="141" spans="1:42">
      <c r="A141" s="205" t="str">
        <f>'Inputs &amp; Results'!A55</f>
        <v>Federal</v>
      </c>
      <c r="C141" s="198">
        <f>IF(IBIFedPercentStateTax="Yes",C493,0)</f>
        <v>2011357.5</v>
      </c>
      <c r="D141" s="186"/>
      <c r="E141" s="186"/>
      <c r="F141" s="186"/>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row>
    <row r="142" spans="1:42">
      <c r="A142" s="205" t="str">
        <f>'Inputs &amp; Results'!A56</f>
        <v>State</v>
      </c>
      <c r="C142" s="198">
        <f>IF(IBIStatePercentStateTax="Yes",C494,0)</f>
        <v>4022715</v>
      </c>
      <c r="D142" s="186"/>
      <c r="E142" s="186"/>
      <c r="F142" s="186"/>
      <c r="G142" s="186"/>
      <c r="H142" s="186"/>
      <c r="I142" s="186"/>
      <c r="J142" s="186"/>
      <c r="K142" s="186"/>
      <c r="L142" s="186"/>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row>
    <row r="143" spans="1:42">
      <c r="A143" s="205" t="str">
        <f>'Inputs &amp; Results'!A57</f>
        <v>Utility</v>
      </c>
      <c r="C143" s="198">
        <f>IF(IBIUtilityPercentStateTax="Yes",C495,0)</f>
        <v>402271.5</v>
      </c>
      <c r="D143" s="186"/>
      <c r="E143" s="186"/>
      <c r="F143" s="186"/>
      <c r="G143" s="186"/>
      <c r="H143" s="186"/>
      <c r="I143" s="186"/>
      <c r="J143" s="186"/>
      <c r="K143" s="186"/>
      <c r="L143" s="186"/>
      <c r="M143" s="186"/>
      <c r="N143" s="186"/>
      <c r="O143" s="186"/>
      <c r="P143" s="186"/>
      <c r="Q143" s="186"/>
      <c r="R143" s="186"/>
      <c r="S143" s="186"/>
      <c r="T143" s="186"/>
      <c r="U143" s="186"/>
      <c r="V143" s="186"/>
      <c r="W143" s="186"/>
      <c r="X143" s="186"/>
      <c r="Y143" s="186"/>
      <c r="Z143" s="186"/>
      <c r="AA143" s="186"/>
      <c r="AB143" s="186"/>
      <c r="AC143" s="186"/>
      <c r="AD143" s="186"/>
      <c r="AE143" s="186"/>
      <c r="AF143" s="186"/>
      <c r="AG143" s="186"/>
      <c r="AH143" s="186"/>
      <c r="AI143" s="186"/>
      <c r="AJ143" s="186"/>
      <c r="AK143" s="186"/>
      <c r="AL143" s="186"/>
      <c r="AM143" s="186"/>
      <c r="AN143" s="186"/>
      <c r="AO143" s="186"/>
      <c r="AP143" s="186"/>
    </row>
    <row r="144" spans="1:42">
      <c r="A144" s="205" t="str">
        <f>'Inputs &amp; Results'!A58</f>
        <v>Other</v>
      </c>
      <c r="C144" s="203">
        <f>IF(IBIOtherPercentStateTax="Yes",C496,0)</f>
        <v>201135.75</v>
      </c>
      <c r="D144" s="186"/>
      <c r="E144" s="186"/>
      <c r="F144" s="186"/>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row>
    <row r="145" spans="1:42">
      <c r="A145" s="205" t="s">
        <v>53</v>
      </c>
      <c r="C145" s="186">
        <f>SUM(C141:C144)</f>
        <v>6637479.75</v>
      </c>
      <c r="D145" s="186"/>
      <c r="E145" s="186"/>
      <c r="F145" s="186"/>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row>
    <row r="146" spans="1:42">
      <c r="A146" s="197" t="str">
        <f>'Inputs &amp; Results'!A59</f>
        <v>Capacity Based Incentive (CBI) ($/DC-Watt)</v>
      </c>
      <c r="C146" s="186"/>
      <c r="D146" s="186"/>
      <c r="E146" s="186"/>
      <c r="F146" s="186"/>
      <c r="G146" s="186"/>
      <c r="H146" s="186"/>
      <c r="I146" s="186"/>
      <c r="J146" s="186"/>
      <c r="K146" s="186"/>
      <c r="L146" s="186"/>
      <c r="M146" s="186"/>
      <c r="N146" s="186"/>
      <c r="O146" s="186"/>
      <c r="P146" s="186"/>
      <c r="Q146" s="186"/>
      <c r="R146" s="186"/>
      <c r="S146" s="186"/>
      <c r="T146" s="186"/>
      <c r="U146" s="186"/>
      <c r="V146" s="186"/>
      <c r="W146" s="186"/>
      <c r="X146" s="186"/>
      <c r="Y146" s="186"/>
      <c r="Z146" s="186"/>
      <c r="AA146" s="186"/>
      <c r="AB146" s="186"/>
      <c r="AC146" s="186"/>
      <c r="AD146" s="186"/>
      <c r="AE146" s="186"/>
      <c r="AF146" s="186"/>
      <c r="AG146" s="186"/>
      <c r="AH146" s="186"/>
      <c r="AI146" s="186"/>
      <c r="AJ146" s="186"/>
      <c r="AK146" s="186"/>
      <c r="AL146" s="186"/>
      <c r="AM146" s="186"/>
      <c r="AN146" s="186"/>
      <c r="AO146" s="186"/>
      <c r="AP146" s="186"/>
    </row>
    <row r="147" spans="1:42">
      <c r="A147" s="204" t="str">
        <f>'Inputs &amp; Results'!A60</f>
        <v>Federal</v>
      </c>
      <c r="C147" s="141">
        <f>IF(CBIFedStateTax="Yes",C499,0)</f>
        <v>5000000</v>
      </c>
      <c r="D147" s="186"/>
      <c r="E147" s="186"/>
      <c r="F147" s="186"/>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row>
    <row r="148" spans="1:42">
      <c r="A148" s="204" t="str">
        <f>'Inputs &amp; Results'!A61</f>
        <v>State</v>
      </c>
      <c r="C148" s="141">
        <f>IF(CBIStateStateTax="Yes",C500,0)</f>
        <v>2000000</v>
      </c>
      <c r="D148" s="186"/>
      <c r="E148" s="186"/>
      <c r="F148" s="186"/>
      <c r="G148" s="186"/>
      <c r="H148" s="186"/>
      <c r="I148" s="186"/>
      <c r="J148" s="186"/>
      <c r="K148" s="186"/>
      <c r="L148" s="186"/>
      <c r="M148" s="186"/>
      <c r="N148" s="186"/>
      <c r="O148" s="186"/>
      <c r="P148" s="186"/>
      <c r="Q148" s="186"/>
      <c r="R148" s="186"/>
      <c r="S148" s="186"/>
      <c r="T148" s="186"/>
      <c r="U148" s="186"/>
      <c r="V148" s="186"/>
      <c r="W148" s="186"/>
      <c r="X148" s="186"/>
      <c r="Y148" s="186"/>
      <c r="Z148" s="186"/>
      <c r="AA148" s="186"/>
      <c r="AB148" s="186"/>
      <c r="AC148" s="186"/>
      <c r="AD148" s="186"/>
      <c r="AE148" s="186"/>
      <c r="AF148" s="186"/>
      <c r="AG148" s="186"/>
      <c r="AH148" s="186"/>
      <c r="AI148" s="186"/>
      <c r="AJ148" s="186"/>
      <c r="AK148" s="186"/>
      <c r="AL148" s="186"/>
      <c r="AM148" s="186"/>
      <c r="AN148" s="186"/>
      <c r="AO148" s="186"/>
      <c r="AP148" s="186"/>
    </row>
    <row r="149" spans="1:42">
      <c r="A149" s="204" t="str">
        <f>'Inputs &amp; Results'!A62</f>
        <v>Utility</v>
      </c>
      <c r="C149" s="141">
        <f>IF(CBIUtilityStateTax="Yes",C501,0)</f>
        <v>100000</v>
      </c>
      <c r="D149" s="186"/>
      <c r="E149" s="186"/>
      <c r="F149" s="186"/>
      <c r="G149" s="186"/>
      <c r="H149" s="186"/>
      <c r="I149" s="186"/>
      <c r="J149" s="186"/>
      <c r="K149" s="186"/>
      <c r="L149" s="186"/>
      <c r="M149" s="186"/>
      <c r="N149" s="186"/>
      <c r="O149" s="186"/>
      <c r="P149" s="186"/>
      <c r="Q149" s="186"/>
      <c r="R149" s="186"/>
      <c r="S149" s="186"/>
      <c r="T149" s="186"/>
      <c r="U149" s="186"/>
      <c r="V149" s="186"/>
      <c r="W149" s="186"/>
      <c r="X149" s="186"/>
      <c r="Y149" s="186"/>
      <c r="Z149" s="186"/>
      <c r="AA149" s="186"/>
      <c r="AB149" s="186"/>
      <c r="AC149" s="186"/>
      <c r="AD149" s="186"/>
      <c r="AE149" s="186"/>
      <c r="AF149" s="186"/>
      <c r="AG149" s="186"/>
      <c r="AH149" s="186"/>
      <c r="AI149" s="186"/>
      <c r="AJ149" s="186"/>
      <c r="AK149" s="186"/>
      <c r="AL149" s="186"/>
      <c r="AM149" s="186"/>
      <c r="AN149" s="186"/>
      <c r="AO149" s="186"/>
      <c r="AP149" s="186"/>
    </row>
    <row r="150" spans="1:42">
      <c r="A150" s="204" t="str">
        <f>'Inputs &amp; Results'!A63</f>
        <v>Other</v>
      </c>
      <c r="C150" s="203">
        <f>IF(CBIOtherStateTax="Yes",C502,0)</f>
        <v>50000</v>
      </c>
      <c r="D150" s="186"/>
      <c r="E150" s="186"/>
      <c r="F150" s="186"/>
      <c r="G150" s="186"/>
      <c r="H150" s="186"/>
      <c r="I150" s="186"/>
      <c r="J150" s="186"/>
      <c r="K150" s="186"/>
      <c r="L150" s="186"/>
      <c r="M150" s="186"/>
      <c r="N150" s="186"/>
      <c r="O150" s="186"/>
      <c r="P150" s="186"/>
      <c r="Q150" s="186"/>
      <c r="R150" s="186"/>
      <c r="S150" s="186"/>
      <c r="T150" s="186"/>
      <c r="U150" s="186"/>
      <c r="V150" s="186"/>
      <c r="W150" s="186"/>
      <c r="X150" s="186"/>
      <c r="Y150" s="186"/>
      <c r="Z150" s="186"/>
      <c r="AA150" s="186"/>
      <c r="AB150" s="186"/>
      <c r="AC150" s="186"/>
      <c r="AD150" s="186"/>
      <c r="AE150" s="186"/>
      <c r="AF150" s="186"/>
      <c r="AG150" s="186"/>
      <c r="AH150" s="186"/>
      <c r="AI150" s="186"/>
      <c r="AJ150" s="186"/>
      <c r="AK150" s="186"/>
      <c r="AL150" s="186"/>
      <c r="AM150" s="186"/>
      <c r="AN150" s="186"/>
      <c r="AO150" s="186"/>
      <c r="AP150" s="186"/>
    </row>
    <row r="151" spans="1:42">
      <c r="A151" s="204" t="s">
        <v>53</v>
      </c>
      <c r="C151" s="186">
        <f>SUM(C147:C150)</f>
        <v>7150000</v>
      </c>
      <c r="D151" s="186"/>
      <c r="E151" s="186"/>
      <c r="F151" s="186"/>
      <c r="G151" s="186"/>
      <c r="H151" s="186"/>
      <c r="I151" s="186"/>
      <c r="J151" s="186"/>
      <c r="K151" s="186"/>
      <c r="L151" s="186"/>
      <c r="M151" s="186"/>
      <c r="N151" s="186"/>
      <c r="O151" s="186"/>
      <c r="P151" s="186"/>
      <c r="Q151" s="186"/>
      <c r="R151" s="186"/>
      <c r="S151" s="186"/>
      <c r="T151" s="186"/>
      <c r="U151" s="186"/>
      <c r="V151" s="186"/>
      <c r="W151" s="186"/>
      <c r="X151" s="186"/>
      <c r="Y151" s="186"/>
      <c r="Z151" s="186"/>
      <c r="AA151" s="186"/>
      <c r="AB151" s="186"/>
      <c r="AC151" s="186"/>
      <c r="AD151" s="186"/>
      <c r="AE151" s="186"/>
      <c r="AF151" s="186"/>
      <c r="AG151" s="186"/>
      <c r="AH151" s="186"/>
      <c r="AI151" s="186"/>
      <c r="AJ151" s="186"/>
      <c r="AK151" s="186"/>
      <c r="AL151" s="186"/>
      <c r="AM151" s="186"/>
      <c r="AN151" s="186"/>
      <c r="AO151" s="186"/>
      <c r="AP151" s="186"/>
    </row>
    <row r="152" spans="1:42">
      <c r="A152" s="197" t="str">
        <f>'Inputs &amp; Results'!A66</f>
        <v>Production Based Incentive (PBI) ($/kWh)</v>
      </c>
      <c r="C152" s="186"/>
      <c r="D152" s="186"/>
      <c r="E152" s="186"/>
      <c r="F152" s="186"/>
      <c r="G152" s="186"/>
      <c r="H152" s="186"/>
      <c r="I152" s="186"/>
      <c r="J152" s="186"/>
      <c r="K152" s="186"/>
      <c r="L152" s="186"/>
      <c r="M152" s="186"/>
      <c r="N152" s="186"/>
      <c r="O152" s="186"/>
      <c r="P152" s="186"/>
      <c r="Q152" s="186"/>
      <c r="R152" s="186"/>
      <c r="S152" s="186"/>
      <c r="T152" s="186"/>
      <c r="U152" s="186"/>
      <c r="V152" s="186"/>
      <c r="W152" s="186"/>
      <c r="X152" s="186"/>
      <c r="Y152" s="186"/>
      <c r="Z152" s="186"/>
      <c r="AA152" s="186"/>
      <c r="AB152" s="186"/>
      <c r="AC152" s="186"/>
      <c r="AD152" s="186"/>
      <c r="AE152" s="186"/>
      <c r="AF152" s="186"/>
      <c r="AG152" s="186"/>
      <c r="AH152" s="186"/>
      <c r="AI152" s="186"/>
      <c r="AJ152" s="186"/>
      <c r="AK152" s="186"/>
      <c r="AL152" s="186"/>
      <c r="AM152" s="186"/>
      <c r="AN152" s="186"/>
      <c r="AO152" s="186"/>
      <c r="AP152" s="186"/>
    </row>
    <row r="153" spans="1:42">
      <c r="A153" s="204" t="str">
        <f>'Inputs &amp; Results'!A67</f>
        <v>Federal</v>
      </c>
      <c r="C153" s="141">
        <f t="shared" ref="C153:AP153" si="85">IF(AND(PBIFedStateTax="Yes",PBIFedDebtSwitch="No"),C509,0)</f>
        <v>0</v>
      </c>
      <c r="D153" s="141">
        <f t="shared" si="85"/>
        <v>0</v>
      </c>
      <c r="E153" s="141">
        <f t="shared" si="85"/>
        <v>0</v>
      </c>
      <c r="F153" s="141">
        <f t="shared" si="85"/>
        <v>0</v>
      </c>
      <c r="G153" s="141">
        <f t="shared" si="85"/>
        <v>0</v>
      </c>
      <c r="H153" s="141">
        <f t="shared" si="85"/>
        <v>0</v>
      </c>
      <c r="I153" s="141">
        <f t="shared" si="85"/>
        <v>0</v>
      </c>
      <c r="J153" s="141">
        <f t="shared" si="85"/>
        <v>0</v>
      </c>
      <c r="K153" s="141">
        <f t="shared" si="85"/>
        <v>0</v>
      </c>
      <c r="L153" s="141">
        <f t="shared" si="85"/>
        <v>0</v>
      </c>
      <c r="M153" s="141">
        <f t="shared" si="85"/>
        <v>0</v>
      </c>
      <c r="N153" s="141">
        <f t="shared" si="85"/>
        <v>0</v>
      </c>
      <c r="O153" s="141">
        <f t="shared" si="85"/>
        <v>0</v>
      </c>
      <c r="P153" s="141">
        <f t="shared" si="85"/>
        <v>0</v>
      </c>
      <c r="Q153" s="141">
        <f t="shared" si="85"/>
        <v>0</v>
      </c>
      <c r="R153" s="141">
        <f t="shared" si="85"/>
        <v>0</v>
      </c>
      <c r="S153" s="141">
        <f t="shared" si="85"/>
        <v>0</v>
      </c>
      <c r="T153" s="141">
        <f t="shared" si="85"/>
        <v>0</v>
      </c>
      <c r="U153" s="141">
        <f t="shared" si="85"/>
        <v>0</v>
      </c>
      <c r="V153" s="141">
        <f t="shared" si="85"/>
        <v>0</v>
      </c>
      <c r="W153" s="141">
        <f t="shared" si="85"/>
        <v>0</v>
      </c>
      <c r="X153" s="141">
        <f t="shared" si="85"/>
        <v>0</v>
      </c>
      <c r="Y153" s="141">
        <f t="shared" si="85"/>
        <v>0</v>
      </c>
      <c r="Z153" s="141">
        <f t="shared" si="85"/>
        <v>0</v>
      </c>
      <c r="AA153" s="141">
        <f t="shared" si="85"/>
        <v>0</v>
      </c>
      <c r="AB153" s="141">
        <f t="shared" si="85"/>
        <v>0</v>
      </c>
      <c r="AC153" s="141">
        <f t="shared" si="85"/>
        <v>0</v>
      </c>
      <c r="AD153" s="141">
        <f t="shared" si="85"/>
        <v>0</v>
      </c>
      <c r="AE153" s="141">
        <f t="shared" si="85"/>
        <v>0</v>
      </c>
      <c r="AF153" s="141">
        <f t="shared" si="85"/>
        <v>0</v>
      </c>
      <c r="AG153" s="141">
        <f t="shared" si="85"/>
        <v>0</v>
      </c>
      <c r="AH153" s="141">
        <f t="shared" si="85"/>
        <v>0</v>
      </c>
      <c r="AI153" s="141">
        <f t="shared" si="85"/>
        <v>0</v>
      </c>
      <c r="AJ153" s="141">
        <f t="shared" si="85"/>
        <v>0</v>
      </c>
      <c r="AK153" s="141">
        <f t="shared" si="85"/>
        <v>0</v>
      </c>
      <c r="AL153" s="141">
        <f t="shared" si="85"/>
        <v>0</v>
      </c>
      <c r="AM153" s="141">
        <f t="shared" si="85"/>
        <v>0</v>
      </c>
      <c r="AN153" s="141">
        <f t="shared" si="85"/>
        <v>0</v>
      </c>
      <c r="AO153" s="141">
        <f t="shared" si="85"/>
        <v>0</v>
      </c>
      <c r="AP153" s="141">
        <f t="shared" si="85"/>
        <v>0</v>
      </c>
    </row>
    <row r="154" spans="1:42">
      <c r="A154" s="204" t="str">
        <f>'Inputs &amp; Results'!A68</f>
        <v>State</v>
      </c>
      <c r="C154" s="141">
        <f t="shared" ref="C154:AP154" si="86">IF(AND(PBIStateStateTax="Yes",PBIStateDebtSwitch="No"),C513,0)</f>
        <v>0</v>
      </c>
      <c r="D154" s="141">
        <f t="shared" si="86"/>
        <v>0</v>
      </c>
      <c r="E154" s="141">
        <f t="shared" si="86"/>
        <v>0</v>
      </c>
      <c r="F154" s="141">
        <f t="shared" si="86"/>
        <v>0</v>
      </c>
      <c r="G154" s="141">
        <f t="shared" si="86"/>
        <v>0</v>
      </c>
      <c r="H154" s="141">
        <f t="shared" si="86"/>
        <v>0</v>
      </c>
      <c r="I154" s="141">
        <f t="shared" si="86"/>
        <v>0</v>
      </c>
      <c r="J154" s="141">
        <f t="shared" si="86"/>
        <v>0</v>
      </c>
      <c r="K154" s="141">
        <f t="shared" si="86"/>
        <v>0</v>
      </c>
      <c r="L154" s="141">
        <f t="shared" si="86"/>
        <v>0</v>
      </c>
      <c r="M154" s="141">
        <f t="shared" si="86"/>
        <v>0</v>
      </c>
      <c r="N154" s="141">
        <f t="shared" si="86"/>
        <v>0</v>
      </c>
      <c r="O154" s="141">
        <f t="shared" si="86"/>
        <v>0</v>
      </c>
      <c r="P154" s="141">
        <f t="shared" si="86"/>
        <v>0</v>
      </c>
      <c r="Q154" s="141">
        <f t="shared" si="86"/>
        <v>0</v>
      </c>
      <c r="R154" s="141">
        <f t="shared" si="86"/>
        <v>0</v>
      </c>
      <c r="S154" s="141">
        <f t="shared" si="86"/>
        <v>0</v>
      </c>
      <c r="T154" s="141">
        <f t="shared" si="86"/>
        <v>0</v>
      </c>
      <c r="U154" s="141">
        <f t="shared" si="86"/>
        <v>0</v>
      </c>
      <c r="V154" s="141">
        <f t="shared" si="86"/>
        <v>0</v>
      </c>
      <c r="W154" s="141">
        <f t="shared" si="86"/>
        <v>0</v>
      </c>
      <c r="X154" s="141">
        <f t="shared" si="86"/>
        <v>0</v>
      </c>
      <c r="Y154" s="141">
        <f t="shared" si="86"/>
        <v>0</v>
      </c>
      <c r="Z154" s="141">
        <f t="shared" si="86"/>
        <v>0</v>
      </c>
      <c r="AA154" s="141">
        <f t="shared" si="86"/>
        <v>0</v>
      </c>
      <c r="AB154" s="141">
        <f t="shared" si="86"/>
        <v>0</v>
      </c>
      <c r="AC154" s="141">
        <f t="shared" si="86"/>
        <v>0</v>
      </c>
      <c r="AD154" s="141">
        <f t="shared" si="86"/>
        <v>0</v>
      </c>
      <c r="AE154" s="141">
        <f t="shared" si="86"/>
        <v>0</v>
      </c>
      <c r="AF154" s="141">
        <f t="shared" si="86"/>
        <v>0</v>
      </c>
      <c r="AG154" s="141">
        <f t="shared" si="86"/>
        <v>0</v>
      </c>
      <c r="AH154" s="141">
        <f t="shared" si="86"/>
        <v>0</v>
      </c>
      <c r="AI154" s="141">
        <f t="shared" si="86"/>
        <v>0</v>
      </c>
      <c r="AJ154" s="141">
        <f t="shared" si="86"/>
        <v>0</v>
      </c>
      <c r="AK154" s="141">
        <f t="shared" si="86"/>
        <v>0</v>
      </c>
      <c r="AL154" s="141">
        <f t="shared" si="86"/>
        <v>0</v>
      </c>
      <c r="AM154" s="141">
        <f t="shared" si="86"/>
        <v>0</v>
      </c>
      <c r="AN154" s="141">
        <f t="shared" si="86"/>
        <v>0</v>
      </c>
      <c r="AO154" s="141">
        <f t="shared" si="86"/>
        <v>0</v>
      </c>
      <c r="AP154" s="141">
        <f t="shared" si="86"/>
        <v>0</v>
      </c>
    </row>
    <row r="155" spans="1:42">
      <c r="A155" s="204" t="str">
        <f>'Inputs &amp; Results'!A69</f>
        <v>Utility</v>
      </c>
      <c r="C155" s="141">
        <f t="shared" ref="C155:AP155" si="87">IF(AND(PBIUtilityStateTax="Yes",PBIUtilityDebtSwitch="No"),C517,0)</f>
        <v>0</v>
      </c>
      <c r="D155" s="141">
        <f t="shared" si="87"/>
        <v>0</v>
      </c>
      <c r="E155" s="141">
        <f t="shared" si="87"/>
        <v>0</v>
      </c>
      <c r="F155" s="141">
        <f t="shared" si="87"/>
        <v>0</v>
      </c>
      <c r="G155" s="141">
        <f t="shared" si="87"/>
        <v>0</v>
      </c>
      <c r="H155" s="141">
        <f t="shared" si="87"/>
        <v>0</v>
      </c>
      <c r="I155" s="141">
        <f t="shared" si="87"/>
        <v>0</v>
      </c>
      <c r="J155" s="141">
        <f t="shared" si="87"/>
        <v>0</v>
      </c>
      <c r="K155" s="141">
        <f t="shared" si="87"/>
        <v>0</v>
      </c>
      <c r="L155" s="141">
        <f t="shared" si="87"/>
        <v>0</v>
      </c>
      <c r="M155" s="141">
        <f t="shared" si="87"/>
        <v>0</v>
      </c>
      <c r="N155" s="141">
        <f t="shared" si="87"/>
        <v>0</v>
      </c>
      <c r="O155" s="141">
        <f t="shared" si="87"/>
        <v>0</v>
      </c>
      <c r="P155" s="141">
        <f t="shared" si="87"/>
        <v>0</v>
      </c>
      <c r="Q155" s="141">
        <f t="shared" si="87"/>
        <v>0</v>
      </c>
      <c r="R155" s="141">
        <f t="shared" si="87"/>
        <v>0</v>
      </c>
      <c r="S155" s="141">
        <f t="shared" si="87"/>
        <v>0</v>
      </c>
      <c r="T155" s="141">
        <f t="shared" si="87"/>
        <v>0</v>
      </c>
      <c r="U155" s="141">
        <f t="shared" si="87"/>
        <v>0</v>
      </c>
      <c r="V155" s="141">
        <f t="shared" si="87"/>
        <v>0</v>
      </c>
      <c r="W155" s="141">
        <f t="shared" si="87"/>
        <v>0</v>
      </c>
      <c r="X155" s="141">
        <f t="shared" si="87"/>
        <v>0</v>
      </c>
      <c r="Y155" s="141">
        <f t="shared" si="87"/>
        <v>0</v>
      </c>
      <c r="Z155" s="141">
        <f t="shared" si="87"/>
        <v>0</v>
      </c>
      <c r="AA155" s="141">
        <f t="shared" si="87"/>
        <v>0</v>
      </c>
      <c r="AB155" s="141">
        <f t="shared" si="87"/>
        <v>0</v>
      </c>
      <c r="AC155" s="141">
        <f t="shared" si="87"/>
        <v>0</v>
      </c>
      <c r="AD155" s="141">
        <f t="shared" si="87"/>
        <v>0</v>
      </c>
      <c r="AE155" s="141">
        <f t="shared" si="87"/>
        <v>0</v>
      </c>
      <c r="AF155" s="141">
        <f t="shared" si="87"/>
        <v>0</v>
      </c>
      <c r="AG155" s="141">
        <f t="shared" si="87"/>
        <v>0</v>
      </c>
      <c r="AH155" s="141">
        <f t="shared" si="87"/>
        <v>0</v>
      </c>
      <c r="AI155" s="141">
        <f t="shared" si="87"/>
        <v>0</v>
      </c>
      <c r="AJ155" s="141">
        <f t="shared" si="87"/>
        <v>0</v>
      </c>
      <c r="AK155" s="141">
        <f t="shared" si="87"/>
        <v>0</v>
      </c>
      <c r="AL155" s="141">
        <f t="shared" si="87"/>
        <v>0</v>
      </c>
      <c r="AM155" s="141">
        <f t="shared" si="87"/>
        <v>0</v>
      </c>
      <c r="AN155" s="141">
        <f t="shared" si="87"/>
        <v>0</v>
      </c>
      <c r="AO155" s="141">
        <f t="shared" si="87"/>
        <v>0</v>
      </c>
      <c r="AP155" s="141">
        <f t="shared" si="87"/>
        <v>0</v>
      </c>
    </row>
    <row r="156" spans="1:42">
      <c r="A156" s="204" t="str">
        <f>'Inputs &amp; Results'!A70</f>
        <v>Other</v>
      </c>
      <c r="C156" s="203">
        <f t="shared" ref="C156:AP156" si="88">IF(AND(PBIOtherStateTax="Yes",PBIOtherDebtSwitch="No"),C521,0)</f>
        <v>0</v>
      </c>
      <c r="D156" s="203">
        <f t="shared" si="88"/>
        <v>0</v>
      </c>
      <c r="E156" s="203">
        <f t="shared" si="88"/>
        <v>0</v>
      </c>
      <c r="F156" s="203">
        <f t="shared" si="88"/>
        <v>0</v>
      </c>
      <c r="G156" s="203">
        <f t="shared" si="88"/>
        <v>0</v>
      </c>
      <c r="H156" s="203">
        <f t="shared" si="88"/>
        <v>0</v>
      </c>
      <c r="I156" s="203">
        <f t="shared" si="88"/>
        <v>0</v>
      </c>
      <c r="J156" s="203">
        <f t="shared" si="88"/>
        <v>0</v>
      </c>
      <c r="K156" s="203">
        <f t="shared" si="88"/>
        <v>0</v>
      </c>
      <c r="L156" s="203">
        <f t="shared" si="88"/>
        <v>0</v>
      </c>
      <c r="M156" s="203">
        <f t="shared" si="88"/>
        <v>0</v>
      </c>
      <c r="N156" s="203">
        <f t="shared" si="88"/>
        <v>0</v>
      </c>
      <c r="O156" s="203">
        <f t="shared" si="88"/>
        <v>0</v>
      </c>
      <c r="P156" s="203">
        <f t="shared" si="88"/>
        <v>0</v>
      </c>
      <c r="Q156" s="203">
        <f t="shared" si="88"/>
        <v>0</v>
      </c>
      <c r="R156" s="203">
        <f t="shared" si="88"/>
        <v>0</v>
      </c>
      <c r="S156" s="203">
        <f t="shared" si="88"/>
        <v>0</v>
      </c>
      <c r="T156" s="203">
        <f t="shared" si="88"/>
        <v>0</v>
      </c>
      <c r="U156" s="203">
        <f t="shared" si="88"/>
        <v>0</v>
      </c>
      <c r="V156" s="203">
        <f t="shared" si="88"/>
        <v>0</v>
      </c>
      <c r="W156" s="203">
        <f t="shared" si="88"/>
        <v>0</v>
      </c>
      <c r="X156" s="203">
        <f t="shared" si="88"/>
        <v>0</v>
      </c>
      <c r="Y156" s="203">
        <f t="shared" si="88"/>
        <v>0</v>
      </c>
      <c r="Z156" s="203">
        <f t="shared" si="88"/>
        <v>0</v>
      </c>
      <c r="AA156" s="203">
        <f t="shared" si="88"/>
        <v>0</v>
      </c>
      <c r="AB156" s="203">
        <f t="shared" si="88"/>
        <v>0</v>
      </c>
      <c r="AC156" s="203">
        <f t="shared" si="88"/>
        <v>0</v>
      </c>
      <c r="AD156" s="203">
        <f t="shared" si="88"/>
        <v>0</v>
      </c>
      <c r="AE156" s="203">
        <f t="shared" si="88"/>
        <v>0</v>
      </c>
      <c r="AF156" s="203">
        <f t="shared" si="88"/>
        <v>0</v>
      </c>
      <c r="AG156" s="203">
        <f t="shared" si="88"/>
        <v>0</v>
      </c>
      <c r="AH156" s="203">
        <f t="shared" si="88"/>
        <v>0</v>
      </c>
      <c r="AI156" s="203">
        <f t="shared" si="88"/>
        <v>0</v>
      </c>
      <c r="AJ156" s="203">
        <f t="shared" si="88"/>
        <v>0</v>
      </c>
      <c r="AK156" s="203">
        <f t="shared" si="88"/>
        <v>0</v>
      </c>
      <c r="AL156" s="203">
        <f t="shared" si="88"/>
        <v>0</v>
      </c>
      <c r="AM156" s="203">
        <f t="shared" si="88"/>
        <v>0</v>
      </c>
      <c r="AN156" s="203">
        <f t="shared" si="88"/>
        <v>0</v>
      </c>
      <c r="AO156" s="203">
        <f t="shared" si="88"/>
        <v>0</v>
      </c>
      <c r="AP156" s="203">
        <f t="shared" si="88"/>
        <v>0</v>
      </c>
    </row>
    <row r="157" spans="1:42">
      <c r="A157" s="204" t="s">
        <v>53</v>
      </c>
      <c r="C157" s="194">
        <f>SUM(C153:C156)</f>
        <v>0</v>
      </c>
      <c r="D157" s="194">
        <f t="shared" ref="D157:AL157" si="89">SUM(D153:D156)</f>
        <v>0</v>
      </c>
      <c r="E157" s="194">
        <f t="shared" si="89"/>
        <v>0</v>
      </c>
      <c r="F157" s="194">
        <f t="shared" si="89"/>
        <v>0</v>
      </c>
      <c r="G157" s="194">
        <f t="shared" si="89"/>
        <v>0</v>
      </c>
      <c r="H157" s="194">
        <f t="shared" si="89"/>
        <v>0</v>
      </c>
      <c r="I157" s="194">
        <f t="shared" si="89"/>
        <v>0</v>
      </c>
      <c r="J157" s="194">
        <f t="shared" si="89"/>
        <v>0</v>
      </c>
      <c r="K157" s="194">
        <f t="shared" si="89"/>
        <v>0</v>
      </c>
      <c r="L157" s="194">
        <f t="shared" si="89"/>
        <v>0</v>
      </c>
      <c r="M157" s="194">
        <f t="shared" si="89"/>
        <v>0</v>
      </c>
      <c r="N157" s="194">
        <f t="shared" si="89"/>
        <v>0</v>
      </c>
      <c r="O157" s="194">
        <f t="shared" si="89"/>
        <v>0</v>
      </c>
      <c r="P157" s="194">
        <f t="shared" si="89"/>
        <v>0</v>
      </c>
      <c r="Q157" s="194">
        <f t="shared" si="89"/>
        <v>0</v>
      </c>
      <c r="R157" s="194">
        <f t="shared" si="89"/>
        <v>0</v>
      </c>
      <c r="S157" s="194">
        <f t="shared" si="89"/>
        <v>0</v>
      </c>
      <c r="T157" s="194">
        <f t="shared" si="89"/>
        <v>0</v>
      </c>
      <c r="U157" s="194">
        <f t="shared" si="89"/>
        <v>0</v>
      </c>
      <c r="V157" s="194">
        <f t="shared" si="89"/>
        <v>0</v>
      </c>
      <c r="W157" s="194">
        <f t="shared" si="89"/>
        <v>0</v>
      </c>
      <c r="X157" s="194">
        <f t="shared" si="89"/>
        <v>0</v>
      </c>
      <c r="Y157" s="194">
        <f t="shared" si="89"/>
        <v>0</v>
      </c>
      <c r="Z157" s="194">
        <f t="shared" si="89"/>
        <v>0</v>
      </c>
      <c r="AA157" s="194">
        <f t="shared" si="89"/>
        <v>0</v>
      </c>
      <c r="AB157" s="194">
        <f t="shared" si="89"/>
        <v>0</v>
      </c>
      <c r="AC157" s="194">
        <f t="shared" si="89"/>
        <v>0</v>
      </c>
      <c r="AD157" s="194">
        <f t="shared" si="89"/>
        <v>0</v>
      </c>
      <c r="AE157" s="194">
        <f t="shared" si="89"/>
        <v>0</v>
      </c>
      <c r="AF157" s="194">
        <f t="shared" si="89"/>
        <v>0</v>
      </c>
      <c r="AG157" s="194">
        <f t="shared" si="89"/>
        <v>0</v>
      </c>
      <c r="AH157" s="194">
        <f t="shared" si="89"/>
        <v>0</v>
      </c>
      <c r="AI157" s="194">
        <f t="shared" si="89"/>
        <v>0</v>
      </c>
      <c r="AJ157" s="194">
        <f t="shared" si="89"/>
        <v>0</v>
      </c>
      <c r="AK157" s="194">
        <f t="shared" si="89"/>
        <v>0</v>
      </c>
      <c r="AL157" s="194">
        <f t="shared" si="89"/>
        <v>0</v>
      </c>
      <c r="AM157" s="194">
        <f>SUM(AM153:AM156)</f>
        <v>0</v>
      </c>
      <c r="AN157" s="194">
        <f t="shared" ref="AN157:AP157" si="90">SUM(AN153:AN156)</f>
        <v>0</v>
      </c>
      <c r="AO157" s="194">
        <f t="shared" si="90"/>
        <v>0</v>
      </c>
      <c r="AP157" s="194">
        <f t="shared" si="90"/>
        <v>0</v>
      </c>
    </row>
    <row r="158" spans="1:42">
      <c r="A158" s="197" t="s">
        <v>131</v>
      </c>
      <c r="C158" s="186">
        <f>C139+C145+C151+C157</f>
        <v>13791229.75</v>
      </c>
      <c r="D158" s="186">
        <f t="shared" ref="D158:AP158" si="91">D139+D145+D151+D157</f>
        <v>0</v>
      </c>
      <c r="E158" s="186">
        <f t="shared" si="91"/>
        <v>0</v>
      </c>
      <c r="F158" s="186">
        <f t="shared" si="91"/>
        <v>0</v>
      </c>
      <c r="G158" s="186">
        <f t="shared" si="91"/>
        <v>0</v>
      </c>
      <c r="H158" s="186">
        <f t="shared" si="91"/>
        <v>0</v>
      </c>
      <c r="I158" s="186">
        <f t="shared" si="91"/>
        <v>0</v>
      </c>
      <c r="J158" s="186">
        <f t="shared" si="91"/>
        <v>0</v>
      </c>
      <c r="K158" s="186">
        <f t="shared" si="91"/>
        <v>0</v>
      </c>
      <c r="L158" s="186">
        <f t="shared" si="91"/>
        <v>0</v>
      </c>
      <c r="M158" s="186">
        <f t="shared" si="91"/>
        <v>0</v>
      </c>
      <c r="N158" s="186">
        <f t="shared" si="91"/>
        <v>0</v>
      </c>
      <c r="O158" s="186">
        <f t="shared" si="91"/>
        <v>0</v>
      </c>
      <c r="P158" s="186">
        <f t="shared" si="91"/>
        <v>0</v>
      </c>
      <c r="Q158" s="186">
        <f t="shared" si="91"/>
        <v>0</v>
      </c>
      <c r="R158" s="186">
        <f t="shared" si="91"/>
        <v>0</v>
      </c>
      <c r="S158" s="186">
        <f t="shared" si="91"/>
        <v>0</v>
      </c>
      <c r="T158" s="186">
        <f t="shared" si="91"/>
        <v>0</v>
      </c>
      <c r="U158" s="186">
        <f t="shared" si="91"/>
        <v>0</v>
      </c>
      <c r="V158" s="186">
        <f t="shared" si="91"/>
        <v>0</v>
      </c>
      <c r="W158" s="186">
        <f t="shared" si="91"/>
        <v>0</v>
      </c>
      <c r="X158" s="186">
        <f t="shared" si="91"/>
        <v>0</v>
      </c>
      <c r="Y158" s="186">
        <f t="shared" si="91"/>
        <v>0</v>
      </c>
      <c r="Z158" s="186">
        <f t="shared" si="91"/>
        <v>0</v>
      </c>
      <c r="AA158" s="186">
        <f t="shared" si="91"/>
        <v>0</v>
      </c>
      <c r="AB158" s="186">
        <f t="shared" si="91"/>
        <v>0</v>
      </c>
      <c r="AC158" s="186">
        <f t="shared" si="91"/>
        <v>0</v>
      </c>
      <c r="AD158" s="186">
        <f t="shared" si="91"/>
        <v>0</v>
      </c>
      <c r="AE158" s="186">
        <f t="shared" si="91"/>
        <v>0</v>
      </c>
      <c r="AF158" s="186">
        <f t="shared" si="91"/>
        <v>0</v>
      </c>
      <c r="AG158" s="186">
        <f t="shared" si="91"/>
        <v>0</v>
      </c>
      <c r="AH158" s="186">
        <f t="shared" si="91"/>
        <v>0</v>
      </c>
      <c r="AI158" s="186">
        <f t="shared" si="91"/>
        <v>0</v>
      </c>
      <c r="AJ158" s="186">
        <f t="shared" si="91"/>
        <v>0</v>
      </c>
      <c r="AK158" s="186">
        <f t="shared" si="91"/>
        <v>0</v>
      </c>
      <c r="AL158" s="186">
        <f t="shared" si="91"/>
        <v>0</v>
      </c>
      <c r="AM158" s="186">
        <f t="shared" si="91"/>
        <v>0</v>
      </c>
      <c r="AN158" s="186">
        <f t="shared" si="91"/>
        <v>0</v>
      </c>
      <c r="AO158" s="186">
        <f t="shared" si="91"/>
        <v>0</v>
      </c>
      <c r="AP158" s="186">
        <f t="shared" si="91"/>
        <v>0</v>
      </c>
    </row>
    <row r="159" spans="1:42">
      <c r="A159" s="204"/>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row>
    <row r="160" spans="1:42">
      <c r="A160" s="197" t="s">
        <v>132</v>
      </c>
      <c r="C160" s="186">
        <f>C132+C158</f>
        <v>6692908.9508514917</v>
      </c>
      <c r="D160" s="186">
        <f t="shared" ref="D160:AP160" si="92">D132+D158</f>
        <v>-9553177.3664116785</v>
      </c>
      <c r="E160" s="186">
        <f t="shared" si="92"/>
        <v>-4777918.6814680677</v>
      </c>
      <c r="F160" s="186">
        <f t="shared" si="92"/>
        <v>-1862481.2457197374</v>
      </c>
      <c r="G160" s="186">
        <f t="shared" si="92"/>
        <v>-1721512.7317253323</v>
      </c>
      <c r="H160" s="186">
        <f t="shared" si="92"/>
        <v>506250.21515341569</v>
      </c>
      <c r="I160" s="186">
        <f t="shared" si="92"/>
        <v>2738751.7679162775</v>
      </c>
      <c r="J160" s="186">
        <f t="shared" si="92"/>
        <v>2906311.6276909499</v>
      </c>
      <c r="K160" s="186">
        <f t="shared" si="92"/>
        <v>3055132.7641857173</v>
      </c>
      <c r="L160" s="186">
        <f t="shared" si="92"/>
        <v>3207420.2035219641</v>
      </c>
      <c r="M160" s="186">
        <f t="shared" si="92"/>
        <v>3388558.8066164455</v>
      </c>
      <c r="N160" s="186">
        <f t="shared" si="92"/>
        <v>2827649.8445836566</v>
      </c>
      <c r="O160" s="186">
        <f t="shared" si="92"/>
        <v>2442855.3094838029</v>
      </c>
      <c r="P160" s="186">
        <f t="shared" si="92"/>
        <v>2878794.2347667688</v>
      </c>
      <c r="Q160" s="186">
        <f t="shared" si="92"/>
        <v>1901080.6625614348</v>
      </c>
      <c r="R160" s="186">
        <f t="shared" si="92"/>
        <v>1129065.6247623558</v>
      </c>
      <c r="S160" s="186">
        <f t="shared" si="92"/>
        <v>2202860.1319810664</v>
      </c>
      <c r="T160" s="186">
        <f t="shared" si="92"/>
        <v>2874585.3326550247</v>
      </c>
      <c r="U160" s="186">
        <f t="shared" si="92"/>
        <v>2895370.2001524228</v>
      </c>
      <c r="V160" s="186">
        <f t="shared" si="92"/>
        <v>3312095.93314372</v>
      </c>
      <c r="W160" s="186">
        <f t="shared" si="92"/>
        <v>3721894.9357404737</v>
      </c>
      <c r="X160" s="186">
        <f t="shared" si="92"/>
        <v>3753908.6179756373</v>
      </c>
      <c r="Y160" s="186">
        <f t="shared" si="92"/>
        <v>3802251.6854464342</v>
      </c>
      <c r="Z160" s="186">
        <f t="shared" si="92"/>
        <v>3111193.9215237144</v>
      </c>
      <c r="AA160" s="186">
        <f t="shared" si="92"/>
        <v>2631081.0647154045</v>
      </c>
      <c r="AB160" s="186">
        <f t="shared" si="92"/>
        <v>3125673.2923728046</v>
      </c>
      <c r="AC160" s="186">
        <f t="shared" si="92"/>
        <v>3403164.85049333</v>
      </c>
      <c r="AD160" s="186">
        <f t="shared" si="92"/>
        <v>3400709.8397897258</v>
      </c>
      <c r="AE160" s="186">
        <f t="shared" si="92"/>
        <v>3648139.5308094677</v>
      </c>
      <c r="AF160" s="186">
        <f t="shared" si="92"/>
        <v>6339784.9949287511</v>
      </c>
      <c r="AG160" s="186">
        <f t="shared" si="92"/>
        <v>0</v>
      </c>
      <c r="AH160" s="186">
        <f t="shared" si="92"/>
        <v>0</v>
      </c>
      <c r="AI160" s="186">
        <f t="shared" si="92"/>
        <v>0</v>
      </c>
      <c r="AJ160" s="186">
        <f t="shared" si="92"/>
        <v>0</v>
      </c>
      <c r="AK160" s="186">
        <f t="shared" si="92"/>
        <v>0</v>
      </c>
      <c r="AL160" s="186">
        <f t="shared" si="92"/>
        <v>0</v>
      </c>
      <c r="AM160" s="186">
        <f t="shared" si="92"/>
        <v>0</v>
      </c>
      <c r="AN160" s="186">
        <f t="shared" si="92"/>
        <v>0</v>
      </c>
      <c r="AO160" s="186">
        <f t="shared" si="92"/>
        <v>0</v>
      </c>
      <c r="AP160" s="186">
        <f t="shared" si="92"/>
        <v>0</v>
      </c>
    </row>
    <row r="161" spans="1:42">
      <c r="A161" s="197" t="s">
        <v>130</v>
      </c>
      <c r="C161" s="194">
        <f t="shared" ref="C161:AP161" si="93">C160*-StateTax</f>
        <v>-368109.99229683203</v>
      </c>
      <c r="D161" s="194">
        <f t="shared" si="93"/>
        <v>525424.75515264238</v>
      </c>
      <c r="E161" s="194">
        <f t="shared" si="93"/>
        <v>262785.52748074371</v>
      </c>
      <c r="F161" s="194">
        <f t="shared" si="93"/>
        <v>102436.46851458556</v>
      </c>
      <c r="G161" s="194">
        <f t="shared" si="93"/>
        <v>94683.200244893276</v>
      </c>
      <c r="H161" s="194">
        <f t="shared" si="93"/>
        <v>-27843.761833437864</v>
      </c>
      <c r="I161" s="194">
        <f t="shared" si="93"/>
        <v>-150631.34723539525</v>
      </c>
      <c r="J161" s="194">
        <f t="shared" si="93"/>
        <v>-159847.13952300226</v>
      </c>
      <c r="K161" s="194">
        <f t="shared" si="93"/>
        <v>-168032.30203021446</v>
      </c>
      <c r="L161" s="194">
        <f t="shared" si="93"/>
        <v>-176408.11119370803</v>
      </c>
      <c r="M161" s="194">
        <f t="shared" si="93"/>
        <v>-186370.73436390451</v>
      </c>
      <c r="N161" s="194">
        <f t="shared" si="93"/>
        <v>-155520.74145210112</v>
      </c>
      <c r="O161" s="194">
        <f t="shared" si="93"/>
        <v>-134357.04202160917</v>
      </c>
      <c r="P161" s="194">
        <f t="shared" si="93"/>
        <v>-158333.68291217228</v>
      </c>
      <c r="Q161" s="194">
        <f t="shared" si="93"/>
        <v>-104559.43644087891</v>
      </c>
      <c r="R161" s="194">
        <f t="shared" si="93"/>
        <v>-62098.609361929572</v>
      </c>
      <c r="S161" s="194">
        <f t="shared" si="93"/>
        <v>-121157.30725895865</v>
      </c>
      <c r="T161" s="194">
        <f t="shared" si="93"/>
        <v>-158102.19329602635</v>
      </c>
      <c r="U161" s="194">
        <f t="shared" si="93"/>
        <v>-159245.36100838325</v>
      </c>
      <c r="V161" s="194">
        <f t="shared" si="93"/>
        <v>-182165.2763229046</v>
      </c>
      <c r="W161" s="194">
        <f t="shared" si="93"/>
        <v>-204704.22146572606</v>
      </c>
      <c r="X161" s="194">
        <f t="shared" si="93"/>
        <v>-206464.97398866006</v>
      </c>
      <c r="Y161" s="194">
        <f t="shared" si="93"/>
        <v>-209123.84269955388</v>
      </c>
      <c r="Z161" s="194">
        <f t="shared" si="93"/>
        <v>-171115.66568380428</v>
      </c>
      <c r="AA161" s="194">
        <f t="shared" si="93"/>
        <v>-144709.45855934726</v>
      </c>
      <c r="AB161" s="194">
        <f t="shared" si="93"/>
        <v>-171912.03108050427</v>
      </c>
      <c r="AC161" s="194">
        <f t="shared" si="93"/>
        <v>-187174.06677713315</v>
      </c>
      <c r="AD161" s="194">
        <f t="shared" si="93"/>
        <v>-187039.04118843493</v>
      </c>
      <c r="AE161" s="194">
        <f t="shared" si="93"/>
        <v>-200647.67419452072</v>
      </c>
      <c r="AF161" s="194">
        <f t="shared" si="93"/>
        <v>-348688.17472108133</v>
      </c>
      <c r="AG161" s="194">
        <f t="shared" si="93"/>
        <v>0</v>
      </c>
      <c r="AH161" s="194">
        <f t="shared" si="93"/>
        <v>0</v>
      </c>
      <c r="AI161" s="194">
        <f t="shared" si="93"/>
        <v>0</v>
      </c>
      <c r="AJ161" s="194">
        <f t="shared" si="93"/>
        <v>0</v>
      </c>
      <c r="AK161" s="194">
        <f t="shared" si="93"/>
        <v>0</v>
      </c>
      <c r="AL161" s="194">
        <f t="shared" si="93"/>
        <v>0</v>
      </c>
      <c r="AM161" s="194">
        <f t="shared" si="93"/>
        <v>0</v>
      </c>
      <c r="AN161" s="194">
        <f t="shared" si="93"/>
        <v>0</v>
      </c>
      <c r="AO161" s="194">
        <f t="shared" si="93"/>
        <v>0</v>
      </c>
      <c r="AP161" s="194">
        <f t="shared" si="93"/>
        <v>0</v>
      </c>
    </row>
    <row r="162" spans="1:42" s="118" customFormat="1">
      <c r="A162" s="42"/>
    </row>
    <row r="163" spans="1:42" s="118" customFormat="1">
      <c r="A163" s="195" t="s">
        <v>119</v>
      </c>
    </row>
    <row r="164" spans="1:42" s="118" customFormat="1">
      <c r="A164" s="42" t="s">
        <v>116</v>
      </c>
      <c r="C164" s="198">
        <f>C$43</f>
        <v>3213786.798394165</v>
      </c>
      <c r="D164" s="198">
        <f t="shared" ref="D164:AP164" si="94">D$43</f>
        <v>3239065.7997427788</v>
      </c>
      <c r="E164" s="198">
        <f t="shared" si="94"/>
        <v>3264273.8499448649</v>
      </c>
      <c r="F164" s="198">
        <f t="shared" si="94"/>
        <v>3289408.0338713871</v>
      </c>
      <c r="G164" s="198">
        <f t="shared" si="94"/>
        <v>3314465.3677397296</v>
      </c>
      <c r="H164" s="198">
        <f t="shared" si="94"/>
        <v>3339442.797600802</v>
      </c>
      <c r="I164" s="198">
        <f t="shared" si="94"/>
        <v>3364337.197792876</v>
      </c>
      <c r="J164" s="198">
        <f t="shared" si="94"/>
        <v>3389145.3693613885</v>
      </c>
      <c r="K164" s="198">
        <f t="shared" si="94"/>
        <v>3413864.038444018</v>
      </c>
      <c r="L164" s="198">
        <f t="shared" si="94"/>
        <v>3438489.8546201717</v>
      </c>
      <c r="M164" s="198">
        <f t="shared" si="94"/>
        <v>3463019.3892241856</v>
      </c>
      <c r="N164" s="198">
        <f t="shared" si="94"/>
        <v>3487449.133621376</v>
      </c>
      <c r="O164" s="198">
        <f t="shared" si="94"/>
        <v>3511775.4974461356</v>
      </c>
      <c r="P164" s="198">
        <f t="shared" si="94"/>
        <v>3535994.8068012195</v>
      </c>
      <c r="Q164" s="198">
        <f t="shared" si="94"/>
        <v>3560103.3024173919</v>
      </c>
      <c r="R164" s="198">
        <f t="shared" si="94"/>
        <v>3584097.137772508</v>
      </c>
      <c r="S164" s="198">
        <f t="shared" si="94"/>
        <v>3607972.3771691732</v>
      </c>
      <c r="T164" s="198">
        <f t="shared" si="94"/>
        <v>3631724.9937700168</v>
      </c>
      <c r="U164" s="198">
        <f t="shared" si="94"/>
        <v>3655350.8675896814</v>
      </c>
      <c r="V164" s="198">
        <f t="shared" si="94"/>
        <v>3678845.7834425359</v>
      </c>
      <c r="W164" s="198">
        <f t="shared" si="94"/>
        <v>3702205.4288451397</v>
      </c>
      <c r="X164" s="198">
        <f t="shared" si="94"/>
        <v>3711094.4696849468</v>
      </c>
      <c r="Y164" s="198">
        <f t="shared" si="94"/>
        <v>3719839.3145917333</v>
      </c>
      <c r="Z164" s="198">
        <f t="shared" si="94"/>
        <v>3728435.3461356731</v>
      </c>
      <c r="AA164" s="198">
        <f t="shared" si="94"/>
        <v>3736877.8407260282</v>
      </c>
      <c r="AB164" s="198">
        <f t="shared" si="94"/>
        <v>3745161.9662717963</v>
      </c>
      <c r="AC164" s="198">
        <f t="shared" si="94"/>
        <v>3753282.7797907474</v>
      </c>
      <c r="AD164" s="198">
        <f t="shared" si="94"/>
        <v>3761235.2249656748</v>
      </c>
      <c r="AE164" s="198">
        <f t="shared" si="94"/>
        <v>3769014.1296466785</v>
      </c>
      <c r="AF164" s="198">
        <f t="shared" si="94"/>
        <v>7799329.2032982968</v>
      </c>
      <c r="AG164" s="198">
        <f t="shared" si="94"/>
        <v>0</v>
      </c>
      <c r="AH164" s="198">
        <f t="shared" si="94"/>
        <v>0</v>
      </c>
      <c r="AI164" s="198">
        <f t="shared" si="94"/>
        <v>0</v>
      </c>
      <c r="AJ164" s="198">
        <f t="shared" si="94"/>
        <v>0</v>
      </c>
      <c r="AK164" s="198">
        <f t="shared" si="94"/>
        <v>0</v>
      </c>
      <c r="AL164" s="198">
        <f t="shared" si="94"/>
        <v>0</v>
      </c>
      <c r="AM164" s="198">
        <f t="shared" si="94"/>
        <v>0</v>
      </c>
      <c r="AN164" s="198">
        <f t="shared" si="94"/>
        <v>0</v>
      </c>
      <c r="AO164" s="198">
        <f t="shared" si="94"/>
        <v>0</v>
      </c>
      <c r="AP164" s="198">
        <f t="shared" si="94"/>
        <v>0</v>
      </c>
    </row>
    <row r="165" spans="1:42" s="118" customFormat="1">
      <c r="A165" s="42" t="s">
        <v>129</v>
      </c>
      <c r="C165" s="198">
        <f t="shared" ref="C165:AP165" si="95">C665</f>
        <v>22480.724861201375</v>
      </c>
      <c r="D165" s="198">
        <f t="shared" si="95"/>
        <v>34725.382086966929</v>
      </c>
      <c r="E165" s="198">
        <f t="shared" si="95"/>
        <v>46969.579444190174</v>
      </c>
      <c r="F165" s="198">
        <f t="shared" si="95"/>
        <v>57400.237219775809</v>
      </c>
      <c r="G165" s="198">
        <f t="shared" si="95"/>
        <v>69670.908797472148</v>
      </c>
      <c r="H165" s="198">
        <f t="shared" si="95"/>
        <v>81941.062478825072</v>
      </c>
      <c r="I165" s="198">
        <f t="shared" si="95"/>
        <v>92314.799514199316</v>
      </c>
      <c r="J165" s="198">
        <f t="shared" si="95"/>
        <v>104612.56115764481</v>
      </c>
      <c r="K165" s="198">
        <f t="shared" si="95"/>
        <v>116909.74269238551</v>
      </c>
      <c r="L165" s="198">
        <f t="shared" si="95"/>
        <v>127223.84326336232</v>
      </c>
      <c r="M165" s="198">
        <f t="shared" si="95"/>
        <v>121610.60951335869</v>
      </c>
      <c r="N165" s="198">
        <f t="shared" si="95"/>
        <v>133777.59365682982</v>
      </c>
      <c r="O165" s="198">
        <f t="shared" si="95"/>
        <v>92347.901148577046</v>
      </c>
      <c r="P165" s="198">
        <f t="shared" si="95"/>
        <v>105386.37546337843</v>
      </c>
      <c r="Q165" s="198">
        <f t="shared" si="95"/>
        <v>118424.84977817982</v>
      </c>
      <c r="R165" s="198">
        <f t="shared" si="95"/>
        <v>21529.125128545482</v>
      </c>
      <c r="S165" s="198">
        <f t="shared" si="95"/>
        <v>36398.398355727615</v>
      </c>
      <c r="T165" s="198">
        <f t="shared" si="95"/>
        <v>51267.671582909745</v>
      </c>
      <c r="U165" s="198">
        <f t="shared" si="95"/>
        <v>63882.909231071135</v>
      </c>
      <c r="V165" s="198">
        <f t="shared" si="95"/>
        <v>78786.502685733882</v>
      </c>
      <c r="W165" s="198">
        <f t="shared" si="95"/>
        <v>93690.096140396621</v>
      </c>
      <c r="X165" s="198">
        <f t="shared" si="95"/>
        <v>106236.69333359678</v>
      </c>
      <c r="Y165" s="198">
        <f t="shared" si="95"/>
        <v>121176.17470796108</v>
      </c>
      <c r="Z165" s="198">
        <f t="shared" si="95"/>
        <v>136115.65608232541</v>
      </c>
      <c r="AA165" s="198">
        <f t="shared" si="95"/>
        <v>86973.976921940499</v>
      </c>
      <c r="AB165" s="198">
        <f t="shared" si="95"/>
        <v>96816.277141678642</v>
      </c>
      <c r="AC165" s="198">
        <f t="shared" si="95"/>
        <v>106658.57736141678</v>
      </c>
      <c r="AD165" s="198">
        <f t="shared" si="95"/>
        <v>113923.63589592067</v>
      </c>
      <c r="AE165" s="198">
        <f t="shared" si="95"/>
        <v>123805.1775197134</v>
      </c>
      <c r="AF165" s="198">
        <f t="shared" si="95"/>
        <v>133686.71914350611</v>
      </c>
      <c r="AG165" s="198">
        <f t="shared" si="95"/>
        <v>0</v>
      </c>
      <c r="AH165" s="198">
        <f t="shared" si="95"/>
        <v>0</v>
      </c>
      <c r="AI165" s="198">
        <f t="shared" si="95"/>
        <v>0</v>
      </c>
      <c r="AJ165" s="198">
        <f t="shared" si="95"/>
        <v>0</v>
      </c>
      <c r="AK165" s="198">
        <f t="shared" si="95"/>
        <v>0</v>
      </c>
      <c r="AL165" s="198">
        <f t="shared" si="95"/>
        <v>0</v>
      </c>
      <c r="AM165" s="198">
        <f t="shared" si="95"/>
        <v>0</v>
      </c>
      <c r="AN165" s="198">
        <f t="shared" si="95"/>
        <v>0</v>
      </c>
      <c r="AO165" s="198">
        <f t="shared" si="95"/>
        <v>0</v>
      </c>
      <c r="AP165" s="198">
        <f t="shared" si="95"/>
        <v>0</v>
      </c>
    </row>
    <row r="166" spans="1:42" s="118" customFormat="1">
      <c r="A166" s="42" t="s">
        <v>117</v>
      </c>
      <c r="C166" s="198">
        <f>-C544</f>
        <v>-999069.81294370862</v>
      </c>
      <c r="D166" s="198">
        <f t="shared" ref="D166:AP166" si="96">-D544</f>
        <v>-933808.12153276079</v>
      </c>
      <c r="E166" s="198">
        <f t="shared" si="96"/>
        <v>-862247.41430217994</v>
      </c>
      <c r="F166" s="198">
        <f t="shared" si="96"/>
        <v>-783919.20679585624</v>
      </c>
      <c r="G166" s="198">
        <f t="shared" si="96"/>
        <v>-698407.18647857441</v>
      </c>
      <c r="H166" s="198">
        <f t="shared" si="96"/>
        <v>-605089.69053369958</v>
      </c>
      <c r="I166" s="198">
        <f t="shared" si="96"/>
        <v>-503385.74740067741</v>
      </c>
      <c r="J166" s="198">
        <f t="shared" si="96"/>
        <v>-392762.11330480583</v>
      </c>
      <c r="K166" s="198">
        <f t="shared" si="96"/>
        <v>-272463.47489793762</v>
      </c>
      <c r="L166" s="198">
        <f t="shared" si="96"/>
        <v>-141769.17921707488</v>
      </c>
      <c r="M166" s="198">
        <f t="shared" si="96"/>
        <v>-3.6670826375484466E-10</v>
      </c>
      <c r="N166" s="198">
        <f t="shared" si="96"/>
        <v>-3.9421138353645801E-10</v>
      </c>
      <c r="O166" s="198">
        <f t="shared" si="96"/>
        <v>-4.237772373016923E-10</v>
      </c>
      <c r="P166" s="198">
        <f t="shared" si="96"/>
        <v>-4.5556053009931928E-10</v>
      </c>
      <c r="Q166" s="198">
        <f t="shared" si="96"/>
        <v>-4.8972756985676815E-10</v>
      </c>
      <c r="R166" s="198">
        <f t="shared" si="96"/>
        <v>0</v>
      </c>
      <c r="S166" s="198">
        <f t="shared" si="96"/>
        <v>0</v>
      </c>
      <c r="T166" s="198">
        <f t="shared" si="96"/>
        <v>0</v>
      </c>
      <c r="U166" s="198">
        <f t="shared" si="96"/>
        <v>0</v>
      </c>
      <c r="V166" s="198">
        <f t="shared" si="96"/>
        <v>0</v>
      </c>
      <c r="W166" s="198">
        <f t="shared" si="96"/>
        <v>0</v>
      </c>
      <c r="X166" s="198">
        <f t="shared" si="96"/>
        <v>0</v>
      </c>
      <c r="Y166" s="198">
        <f t="shared" si="96"/>
        <v>0</v>
      </c>
      <c r="Z166" s="198">
        <f t="shared" si="96"/>
        <v>0</v>
      </c>
      <c r="AA166" s="198">
        <f t="shared" si="96"/>
        <v>0</v>
      </c>
      <c r="AB166" s="198">
        <f t="shared" si="96"/>
        <v>0</v>
      </c>
      <c r="AC166" s="198">
        <f t="shared" si="96"/>
        <v>0</v>
      </c>
      <c r="AD166" s="198">
        <f t="shared" si="96"/>
        <v>0</v>
      </c>
      <c r="AE166" s="198">
        <f t="shared" si="96"/>
        <v>0</v>
      </c>
      <c r="AF166" s="198">
        <f t="shared" si="96"/>
        <v>0</v>
      </c>
      <c r="AG166" s="198">
        <f t="shared" si="96"/>
        <v>0</v>
      </c>
      <c r="AH166" s="198">
        <f t="shared" si="96"/>
        <v>0</v>
      </c>
      <c r="AI166" s="198">
        <f t="shared" si="96"/>
        <v>0</v>
      </c>
      <c r="AJ166" s="198">
        <f t="shared" si="96"/>
        <v>0</v>
      </c>
      <c r="AK166" s="198">
        <f t="shared" si="96"/>
        <v>0</v>
      </c>
      <c r="AL166" s="198">
        <f t="shared" si="96"/>
        <v>0</v>
      </c>
      <c r="AM166" s="198">
        <f t="shared" si="96"/>
        <v>0</v>
      </c>
      <c r="AN166" s="198">
        <f t="shared" si="96"/>
        <v>0</v>
      </c>
      <c r="AO166" s="198">
        <f t="shared" si="96"/>
        <v>0</v>
      </c>
      <c r="AP166" s="198">
        <f t="shared" si="96"/>
        <v>0</v>
      </c>
    </row>
    <row r="167" spans="1:42" s="42" customFormat="1">
      <c r="A167" s="42" t="s">
        <v>120</v>
      </c>
      <c r="B167" s="118"/>
      <c r="C167" s="141">
        <f t="shared" ref="C167:AP167" si="97">IF(C$2&lt;=AnalysisPeriod,-C387-C418-C444-C470,0)</f>
        <v>-10876640.036031781</v>
      </c>
      <c r="D167" s="141">
        <f t="shared" si="97"/>
        <v>-11278711.816080017</v>
      </c>
      <c r="E167" s="141">
        <f t="shared" si="97"/>
        <v>-6858245.5301777553</v>
      </c>
      <c r="F167" s="141">
        <f t="shared" si="97"/>
        <v>-4204168.8101887312</v>
      </c>
      <c r="G167" s="141">
        <f t="shared" si="97"/>
        <v>-4186040.3219576469</v>
      </c>
      <c r="H167" s="141">
        <f t="shared" si="97"/>
        <v>-2199443.2044793558</v>
      </c>
      <c r="I167" s="141">
        <f t="shared" si="97"/>
        <v>-214514.48199012049</v>
      </c>
      <c r="J167" s="141">
        <f t="shared" si="97"/>
        <v>-194684.18952327751</v>
      </c>
      <c r="K167" s="141">
        <f t="shared" si="97"/>
        <v>-203177.5420527485</v>
      </c>
      <c r="L167" s="141">
        <f t="shared" si="97"/>
        <v>-216524.31514449531</v>
      </c>
      <c r="M167" s="141">
        <f t="shared" si="97"/>
        <v>-196071.19212109825</v>
      </c>
      <c r="N167" s="141">
        <f t="shared" si="97"/>
        <v>-793576.88269454869</v>
      </c>
      <c r="O167" s="141">
        <f t="shared" si="97"/>
        <v>-1161268.0891109097</v>
      </c>
      <c r="P167" s="141">
        <f t="shared" si="97"/>
        <v>-762586.94749782886</v>
      </c>
      <c r="Q167" s="141">
        <f t="shared" si="97"/>
        <v>-1777447.4896341367</v>
      </c>
      <c r="R167" s="141">
        <f t="shared" si="97"/>
        <v>-2476560.6381386975</v>
      </c>
      <c r="S167" s="141">
        <f t="shared" si="97"/>
        <v>-1441510.6435438346</v>
      </c>
      <c r="T167" s="141">
        <f t="shared" si="97"/>
        <v>-808407.33269790211</v>
      </c>
      <c r="U167" s="141">
        <f t="shared" si="97"/>
        <v>-823863.57666833</v>
      </c>
      <c r="V167" s="141">
        <f t="shared" si="97"/>
        <v>-445536.35298454989</v>
      </c>
      <c r="W167" s="141">
        <f t="shared" si="97"/>
        <v>-74000.589245062845</v>
      </c>
      <c r="X167" s="141">
        <f t="shared" si="97"/>
        <v>-63422.545042906277</v>
      </c>
      <c r="Y167" s="141">
        <f t="shared" si="97"/>
        <v>-38763.803853260193</v>
      </c>
      <c r="Z167" s="141">
        <f t="shared" si="97"/>
        <v>-753357.08069428406</v>
      </c>
      <c r="AA167" s="141">
        <f t="shared" si="97"/>
        <v>-1192770.7529325644</v>
      </c>
      <c r="AB167" s="141">
        <f t="shared" si="97"/>
        <v>-716304.95104067028</v>
      </c>
      <c r="AC167" s="141">
        <f t="shared" si="97"/>
        <v>-456776.50665883429</v>
      </c>
      <c r="AD167" s="141">
        <f t="shared" si="97"/>
        <v>-474449.02107186918</v>
      </c>
      <c r="AE167" s="141">
        <f t="shared" si="97"/>
        <v>-244679.77635692412</v>
      </c>
      <c r="AF167" s="141">
        <f t="shared" si="97"/>
        <v>-1593230.9275130515</v>
      </c>
      <c r="AG167" s="141">
        <f t="shared" si="97"/>
        <v>0</v>
      </c>
      <c r="AH167" s="141">
        <f t="shared" si="97"/>
        <v>0</v>
      </c>
      <c r="AI167" s="141">
        <f t="shared" si="97"/>
        <v>0</v>
      </c>
      <c r="AJ167" s="141">
        <f t="shared" si="97"/>
        <v>0</v>
      </c>
      <c r="AK167" s="141">
        <f t="shared" si="97"/>
        <v>0</v>
      </c>
      <c r="AL167" s="141">
        <f t="shared" si="97"/>
        <v>0</v>
      </c>
      <c r="AM167" s="141">
        <f t="shared" si="97"/>
        <v>0</v>
      </c>
      <c r="AN167" s="141">
        <f t="shared" si="97"/>
        <v>0</v>
      </c>
      <c r="AO167" s="141">
        <f t="shared" si="97"/>
        <v>0</v>
      </c>
      <c r="AP167" s="141">
        <f t="shared" si="97"/>
        <v>0</v>
      </c>
    </row>
    <row r="168" spans="1:42" s="118" customFormat="1">
      <c r="A168" s="42" t="s">
        <v>130</v>
      </c>
      <c r="C168" s="141">
        <f>C161</f>
        <v>-368109.99229683203</v>
      </c>
      <c r="D168" s="141">
        <f t="shared" ref="D168:AP168" si="98">D161</f>
        <v>525424.75515264238</v>
      </c>
      <c r="E168" s="141">
        <f t="shared" si="98"/>
        <v>262785.52748074371</v>
      </c>
      <c r="F168" s="141">
        <f t="shared" si="98"/>
        <v>102436.46851458556</v>
      </c>
      <c r="G168" s="141">
        <f t="shared" si="98"/>
        <v>94683.200244893276</v>
      </c>
      <c r="H168" s="141">
        <f t="shared" si="98"/>
        <v>-27843.761833437864</v>
      </c>
      <c r="I168" s="141">
        <f t="shared" si="98"/>
        <v>-150631.34723539525</v>
      </c>
      <c r="J168" s="141">
        <f t="shared" si="98"/>
        <v>-159847.13952300226</v>
      </c>
      <c r="K168" s="141">
        <f t="shared" si="98"/>
        <v>-168032.30203021446</v>
      </c>
      <c r="L168" s="141">
        <f t="shared" si="98"/>
        <v>-176408.11119370803</v>
      </c>
      <c r="M168" s="141">
        <f t="shared" si="98"/>
        <v>-186370.73436390451</v>
      </c>
      <c r="N168" s="141">
        <f t="shared" si="98"/>
        <v>-155520.74145210112</v>
      </c>
      <c r="O168" s="141">
        <f t="shared" si="98"/>
        <v>-134357.04202160917</v>
      </c>
      <c r="P168" s="141">
        <f t="shared" si="98"/>
        <v>-158333.68291217228</v>
      </c>
      <c r="Q168" s="141">
        <f t="shared" si="98"/>
        <v>-104559.43644087891</v>
      </c>
      <c r="R168" s="141">
        <f t="shared" si="98"/>
        <v>-62098.609361929572</v>
      </c>
      <c r="S168" s="141">
        <f t="shared" si="98"/>
        <v>-121157.30725895865</v>
      </c>
      <c r="T168" s="141">
        <f t="shared" si="98"/>
        <v>-158102.19329602635</v>
      </c>
      <c r="U168" s="141">
        <f t="shared" si="98"/>
        <v>-159245.36100838325</v>
      </c>
      <c r="V168" s="141">
        <f t="shared" si="98"/>
        <v>-182165.2763229046</v>
      </c>
      <c r="W168" s="141">
        <f t="shared" si="98"/>
        <v>-204704.22146572606</v>
      </c>
      <c r="X168" s="141">
        <f t="shared" si="98"/>
        <v>-206464.97398866006</v>
      </c>
      <c r="Y168" s="141">
        <f t="shared" si="98"/>
        <v>-209123.84269955388</v>
      </c>
      <c r="Z168" s="141">
        <f t="shared" si="98"/>
        <v>-171115.66568380428</v>
      </c>
      <c r="AA168" s="141">
        <f t="shared" si="98"/>
        <v>-144709.45855934726</v>
      </c>
      <c r="AB168" s="141">
        <f t="shared" si="98"/>
        <v>-171912.03108050427</v>
      </c>
      <c r="AC168" s="141">
        <f t="shared" si="98"/>
        <v>-187174.06677713315</v>
      </c>
      <c r="AD168" s="141">
        <f t="shared" si="98"/>
        <v>-187039.04118843493</v>
      </c>
      <c r="AE168" s="141">
        <f t="shared" si="98"/>
        <v>-200647.67419452072</v>
      </c>
      <c r="AF168" s="141">
        <f t="shared" si="98"/>
        <v>-348688.17472108133</v>
      </c>
      <c r="AG168" s="141">
        <f t="shared" si="98"/>
        <v>0</v>
      </c>
      <c r="AH168" s="141">
        <f t="shared" si="98"/>
        <v>0</v>
      </c>
      <c r="AI168" s="141">
        <f t="shared" si="98"/>
        <v>0</v>
      </c>
      <c r="AJ168" s="141">
        <f t="shared" si="98"/>
        <v>0</v>
      </c>
      <c r="AK168" s="141">
        <f t="shared" si="98"/>
        <v>0</v>
      </c>
      <c r="AL168" s="141">
        <f t="shared" si="98"/>
        <v>0</v>
      </c>
      <c r="AM168" s="141">
        <f t="shared" si="98"/>
        <v>0</v>
      </c>
      <c r="AN168" s="141">
        <f t="shared" si="98"/>
        <v>0</v>
      </c>
      <c r="AO168" s="141">
        <f t="shared" si="98"/>
        <v>0</v>
      </c>
      <c r="AP168" s="141">
        <f t="shared" si="98"/>
        <v>0</v>
      </c>
    </row>
    <row r="169" spans="1:42" s="118" customFormat="1">
      <c r="A169" s="42" t="s">
        <v>159</v>
      </c>
      <c r="C169" s="141">
        <f>C99</f>
        <v>20000</v>
      </c>
      <c r="D169" s="141">
        <f t="shared" ref="D169:AP169" si="99">D99</f>
        <v>0</v>
      </c>
      <c r="E169" s="141">
        <f t="shared" si="99"/>
        <v>0</v>
      </c>
      <c r="F169" s="141">
        <f t="shared" si="99"/>
        <v>0</v>
      </c>
      <c r="G169" s="141">
        <f t="shared" si="99"/>
        <v>0</v>
      </c>
      <c r="H169" s="141">
        <f t="shared" si="99"/>
        <v>0</v>
      </c>
      <c r="I169" s="141">
        <f t="shared" si="99"/>
        <v>0</v>
      </c>
      <c r="J169" s="141">
        <f t="shared" si="99"/>
        <v>0</v>
      </c>
      <c r="K169" s="141">
        <f t="shared" si="99"/>
        <v>0</v>
      </c>
      <c r="L169" s="141">
        <f t="shared" si="99"/>
        <v>0</v>
      </c>
      <c r="M169" s="141">
        <f t="shared" si="99"/>
        <v>0</v>
      </c>
      <c r="N169" s="141">
        <f t="shared" si="99"/>
        <v>0</v>
      </c>
      <c r="O169" s="141">
        <f t="shared" si="99"/>
        <v>0</v>
      </c>
      <c r="P169" s="141">
        <f t="shared" si="99"/>
        <v>0</v>
      </c>
      <c r="Q169" s="141">
        <f t="shared" si="99"/>
        <v>0</v>
      </c>
      <c r="R169" s="141">
        <f t="shared" si="99"/>
        <v>0</v>
      </c>
      <c r="S169" s="141">
        <f t="shared" si="99"/>
        <v>0</v>
      </c>
      <c r="T169" s="141">
        <f t="shared" si="99"/>
        <v>0</v>
      </c>
      <c r="U169" s="141">
        <f t="shared" si="99"/>
        <v>0</v>
      </c>
      <c r="V169" s="141">
        <f t="shared" si="99"/>
        <v>0</v>
      </c>
      <c r="W169" s="141">
        <f t="shared" si="99"/>
        <v>0</v>
      </c>
      <c r="X169" s="141">
        <f t="shared" si="99"/>
        <v>0</v>
      </c>
      <c r="Y169" s="141">
        <f t="shared" si="99"/>
        <v>0</v>
      </c>
      <c r="Z169" s="141">
        <f t="shared" si="99"/>
        <v>0</v>
      </c>
      <c r="AA169" s="141">
        <f t="shared" si="99"/>
        <v>0</v>
      </c>
      <c r="AB169" s="141">
        <f t="shared" si="99"/>
        <v>0</v>
      </c>
      <c r="AC169" s="141">
        <f t="shared" si="99"/>
        <v>0</v>
      </c>
      <c r="AD169" s="141">
        <f t="shared" si="99"/>
        <v>0</v>
      </c>
      <c r="AE169" s="141">
        <f t="shared" si="99"/>
        <v>0</v>
      </c>
      <c r="AF169" s="141">
        <f t="shared" si="99"/>
        <v>0</v>
      </c>
      <c r="AG169" s="141">
        <f t="shared" si="99"/>
        <v>0</v>
      </c>
      <c r="AH169" s="141">
        <f t="shared" si="99"/>
        <v>0</v>
      </c>
      <c r="AI169" s="141">
        <f t="shared" si="99"/>
        <v>0</v>
      </c>
      <c r="AJ169" s="141">
        <f t="shared" si="99"/>
        <v>0</v>
      </c>
      <c r="AK169" s="141">
        <f t="shared" si="99"/>
        <v>0</v>
      </c>
      <c r="AL169" s="141">
        <f t="shared" si="99"/>
        <v>0</v>
      </c>
      <c r="AM169" s="141">
        <f t="shared" si="99"/>
        <v>0</v>
      </c>
      <c r="AN169" s="141">
        <f t="shared" si="99"/>
        <v>0</v>
      </c>
      <c r="AO169" s="141">
        <f t="shared" si="99"/>
        <v>0</v>
      </c>
      <c r="AP169" s="141">
        <f t="shared" si="99"/>
        <v>0</v>
      </c>
    </row>
    <row r="170" spans="1:42" s="118" customFormat="1">
      <c r="A170" s="42" t="s">
        <v>567</v>
      </c>
      <c r="C170" s="203">
        <f>C103</f>
        <v>0</v>
      </c>
      <c r="D170" s="203">
        <f t="shared" ref="D170:AP170" si="100">D103</f>
        <v>0</v>
      </c>
      <c r="E170" s="203">
        <f t="shared" si="100"/>
        <v>0</v>
      </c>
      <c r="F170" s="203">
        <f t="shared" si="100"/>
        <v>0</v>
      </c>
      <c r="G170" s="203">
        <f t="shared" si="100"/>
        <v>0</v>
      </c>
      <c r="H170" s="203">
        <f t="shared" si="100"/>
        <v>0</v>
      </c>
      <c r="I170" s="203">
        <f t="shared" si="100"/>
        <v>0</v>
      </c>
      <c r="J170" s="203">
        <f t="shared" si="100"/>
        <v>0</v>
      </c>
      <c r="K170" s="203">
        <f t="shared" si="100"/>
        <v>0</v>
      </c>
      <c r="L170" s="203">
        <f t="shared" si="100"/>
        <v>0</v>
      </c>
      <c r="M170" s="203">
        <f t="shared" si="100"/>
        <v>0</v>
      </c>
      <c r="N170" s="203">
        <f t="shared" si="100"/>
        <v>0</v>
      </c>
      <c r="O170" s="203">
        <f t="shared" si="100"/>
        <v>0</v>
      </c>
      <c r="P170" s="203">
        <f t="shared" si="100"/>
        <v>0</v>
      </c>
      <c r="Q170" s="203">
        <f t="shared" si="100"/>
        <v>0</v>
      </c>
      <c r="R170" s="203">
        <f t="shared" si="100"/>
        <v>0</v>
      </c>
      <c r="S170" s="203">
        <f t="shared" si="100"/>
        <v>0</v>
      </c>
      <c r="T170" s="203">
        <f t="shared" si="100"/>
        <v>0</v>
      </c>
      <c r="U170" s="203">
        <f t="shared" si="100"/>
        <v>0</v>
      </c>
      <c r="V170" s="203">
        <f t="shared" si="100"/>
        <v>0</v>
      </c>
      <c r="W170" s="203">
        <f t="shared" si="100"/>
        <v>0</v>
      </c>
      <c r="X170" s="203">
        <f t="shared" si="100"/>
        <v>0</v>
      </c>
      <c r="Y170" s="203">
        <f t="shared" si="100"/>
        <v>0</v>
      </c>
      <c r="Z170" s="203">
        <f t="shared" si="100"/>
        <v>0</v>
      </c>
      <c r="AA170" s="203">
        <f t="shared" si="100"/>
        <v>0</v>
      </c>
      <c r="AB170" s="203">
        <f t="shared" si="100"/>
        <v>0</v>
      </c>
      <c r="AC170" s="203">
        <f t="shared" si="100"/>
        <v>0</v>
      </c>
      <c r="AD170" s="203">
        <f t="shared" si="100"/>
        <v>0</v>
      </c>
      <c r="AE170" s="203">
        <f t="shared" si="100"/>
        <v>0</v>
      </c>
      <c r="AF170" s="203">
        <f t="shared" si="100"/>
        <v>0</v>
      </c>
      <c r="AG170" s="203">
        <f t="shared" si="100"/>
        <v>0</v>
      </c>
      <c r="AH170" s="203">
        <f t="shared" si="100"/>
        <v>0</v>
      </c>
      <c r="AI170" s="203">
        <f t="shared" si="100"/>
        <v>0</v>
      </c>
      <c r="AJ170" s="203">
        <f t="shared" si="100"/>
        <v>0</v>
      </c>
      <c r="AK170" s="203">
        <f t="shared" si="100"/>
        <v>0</v>
      </c>
      <c r="AL170" s="203">
        <f t="shared" si="100"/>
        <v>0</v>
      </c>
      <c r="AM170" s="203">
        <f t="shared" si="100"/>
        <v>0</v>
      </c>
      <c r="AN170" s="203">
        <f t="shared" si="100"/>
        <v>0</v>
      </c>
      <c r="AO170" s="203">
        <f t="shared" si="100"/>
        <v>0</v>
      </c>
      <c r="AP170" s="203">
        <f t="shared" si="100"/>
        <v>0</v>
      </c>
    </row>
    <row r="171" spans="1:42" s="118" customFormat="1">
      <c r="A171" s="42" t="s">
        <v>118</v>
      </c>
      <c r="C171" s="198">
        <f>SUM(C164:C170)</f>
        <v>-8987552.3180169556</v>
      </c>
      <c r="D171" s="198">
        <f t="shared" ref="D171:AP171" si="101">SUM(D164:D170)</f>
        <v>-8413304.0006303899</v>
      </c>
      <c r="E171" s="198">
        <f t="shared" si="101"/>
        <v>-4146463.9876101371</v>
      </c>
      <c r="F171" s="198">
        <f t="shared" si="101"/>
        <v>-1538843.2773788387</v>
      </c>
      <c r="G171" s="198">
        <f t="shared" si="101"/>
        <v>-1405628.031654126</v>
      </c>
      <c r="H171" s="198">
        <f t="shared" si="101"/>
        <v>589007.20323313389</v>
      </c>
      <c r="I171" s="198">
        <f t="shared" si="101"/>
        <v>2588120.4206808824</v>
      </c>
      <c r="J171" s="198">
        <f t="shared" si="101"/>
        <v>2746464.4881679476</v>
      </c>
      <c r="K171" s="198">
        <f t="shared" si="101"/>
        <v>2887100.4621555028</v>
      </c>
      <c r="L171" s="198">
        <f t="shared" si="101"/>
        <v>3031012.092328256</v>
      </c>
      <c r="M171" s="198">
        <f t="shared" si="101"/>
        <v>3202188.0722525408</v>
      </c>
      <c r="N171" s="198">
        <f t="shared" si="101"/>
        <v>2672129.1031315555</v>
      </c>
      <c r="O171" s="198">
        <f t="shared" si="101"/>
        <v>2308498.2674621935</v>
      </c>
      <c r="P171" s="198">
        <f t="shared" si="101"/>
        <v>2720460.5518545965</v>
      </c>
      <c r="Q171" s="198">
        <f t="shared" si="101"/>
        <v>1796521.2261205558</v>
      </c>
      <c r="R171" s="198">
        <f t="shared" si="101"/>
        <v>1066967.0154004262</v>
      </c>
      <c r="S171" s="198">
        <f t="shared" si="101"/>
        <v>2081702.8247221077</v>
      </c>
      <c r="T171" s="198">
        <f t="shared" si="101"/>
        <v>2716483.1393589983</v>
      </c>
      <c r="U171" s="198">
        <f t="shared" si="101"/>
        <v>2736124.8391440394</v>
      </c>
      <c r="V171" s="198">
        <f t="shared" si="101"/>
        <v>3129930.6568208155</v>
      </c>
      <c r="W171" s="198">
        <f t="shared" si="101"/>
        <v>3517190.7142747478</v>
      </c>
      <c r="X171" s="198">
        <f t="shared" si="101"/>
        <v>3547443.6439869772</v>
      </c>
      <c r="Y171" s="198">
        <f t="shared" si="101"/>
        <v>3593127.8427468804</v>
      </c>
      <c r="Z171" s="198">
        <f t="shared" si="101"/>
        <v>2940078.2558399104</v>
      </c>
      <c r="AA171" s="198">
        <f t="shared" si="101"/>
        <v>2486371.6061560572</v>
      </c>
      <c r="AB171" s="198">
        <f t="shared" si="101"/>
        <v>2953761.2612923002</v>
      </c>
      <c r="AC171" s="198">
        <f t="shared" si="101"/>
        <v>3215990.7837161971</v>
      </c>
      <c r="AD171" s="198">
        <f t="shared" si="101"/>
        <v>3213670.7986012911</v>
      </c>
      <c r="AE171" s="198">
        <f t="shared" si="101"/>
        <v>3447491.8566149469</v>
      </c>
      <c r="AF171" s="198">
        <f t="shared" si="101"/>
        <v>5991096.8202076694</v>
      </c>
      <c r="AG171" s="198">
        <f t="shared" si="101"/>
        <v>0</v>
      </c>
      <c r="AH171" s="198">
        <f t="shared" si="101"/>
        <v>0</v>
      </c>
      <c r="AI171" s="198">
        <f t="shared" si="101"/>
        <v>0</v>
      </c>
      <c r="AJ171" s="198">
        <f t="shared" si="101"/>
        <v>0</v>
      </c>
      <c r="AK171" s="198">
        <f t="shared" si="101"/>
        <v>0</v>
      </c>
      <c r="AL171" s="198">
        <f t="shared" si="101"/>
        <v>0</v>
      </c>
      <c r="AM171" s="198">
        <f t="shared" si="101"/>
        <v>0</v>
      </c>
      <c r="AN171" s="198">
        <f t="shared" si="101"/>
        <v>0</v>
      </c>
      <c r="AO171" s="198">
        <f t="shared" si="101"/>
        <v>0</v>
      </c>
      <c r="AP171" s="198">
        <f t="shared" si="101"/>
        <v>0</v>
      </c>
    </row>
    <row r="172" spans="1:42" s="118" customFormat="1">
      <c r="A172" s="42" t="str">
        <f>'Inputs &amp; Results'!A48</f>
        <v>Investment Based Incentive (IBI)</v>
      </c>
    </row>
    <row r="173" spans="1:42" s="118" customFormat="1">
      <c r="A173" s="204" t="str">
        <f>'Inputs &amp; Results'!A49</f>
        <v>Fixed Amount ($)</v>
      </c>
    </row>
    <row r="174" spans="1:42" s="118" customFormat="1">
      <c r="A174" s="205" t="str">
        <f>'Inputs &amp; Results'!A50</f>
        <v>Federal</v>
      </c>
      <c r="C174" s="198">
        <f>IF(IBIFedFixedFedTax="Yes",C487,0)</f>
        <v>1000</v>
      </c>
    </row>
    <row r="175" spans="1:42" s="118" customFormat="1">
      <c r="A175" s="205" t="str">
        <f>'Inputs &amp; Results'!A51</f>
        <v>State</v>
      </c>
      <c r="C175" s="198">
        <f>IF(IBIStateFixedFedTax="Yes",C488,0)</f>
        <v>2000</v>
      </c>
    </row>
    <row r="176" spans="1:42" s="118" customFormat="1">
      <c r="A176" s="205" t="str">
        <f>'Inputs &amp; Results'!A52</f>
        <v>Utility</v>
      </c>
      <c r="C176" s="198">
        <f>IF(IBIUtilityFixedFedTax="Yes",C489,0)</f>
        <v>500</v>
      </c>
    </row>
    <row r="177" spans="1:42">
      <c r="A177" s="205" t="str">
        <f>'Inputs &amp; Results'!A53</f>
        <v>Other</v>
      </c>
      <c r="C177" s="203">
        <f>IF(IBIOtherFixedFedTax="Yes",C490,0)</f>
        <v>250</v>
      </c>
      <c r="D177" s="186"/>
      <c r="E177" s="186"/>
      <c r="F177" s="186"/>
      <c r="G177" s="186"/>
      <c r="H177" s="186"/>
      <c r="I177" s="186"/>
      <c r="J177" s="186"/>
      <c r="K177" s="186"/>
      <c r="L177" s="186"/>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c r="AM177" s="186"/>
      <c r="AN177" s="186"/>
      <c r="AO177" s="186"/>
      <c r="AP177" s="186"/>
    </row>
    <row r="178" spans="1:42">
      <c r="A178" s="205" t="s">
        <v>53</v>
      </c>
      <c r="C178" s="186">
        <f>SUM(C174:C177)</f>
        <v>3750</v>
      </c>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c r="AM178" s="186"/>
      <c r="AN178" s="186"/>
      <c r="AO178" s="186"/>
      <c r="AP178" s="186"/>
    </row>
    <row r="179" spans="1:42">
      <c r="A179" s="204" t="str">
        <f>'Inputs &amp; Results'!A54</f>
        <v>Percentage of Pre-Financing Costs</v>
      </c>
      <c r="C179" s="186"/>
      <c r="D179" s="186"/>
      <c r="E179" s="186"/>
      <c r="F179" s="186"/>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row>
    <row r="180" spans="1:42">
      <c r="A180" s="205" t="str">
        <f>'Inputs &amp; Results'!A55</f>
        <v>Federal</v>
      </c>
      <c r="C180" s="198">
        <f>IF(IBIFedPercentFedTax="Yes",C493,0)</f>
        <v>2011357.5</v>
      </c>
      <c r="D180" s="186"/>
      <c r="E180" s="186"/>
      <c r="F180" s="186"/>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row>
    <row r="181" spans="1:42">
      <c r="A181" s="205" t="str">
        <f>'Inputs &amp; Results'!A56</f>
        <v>State</v>
      </c>
      <c r="C181" s="198">
        <f>IF(IBIStatePercentFedTax="Yes",C494,0)</f>
        <v>4022715</v>
      </c>
      <c r="D181" s="186"/>
      <c r="E181" s="186"/>
      <c r="F181" s="186"/>
      <c r="G181" s="186"/>
      <c r="H181" s="186"/>
      <c r="I181" s="186"/>
      <c r="J181" s="186"/>
      <c r="K181" s="186"/>
      <c r="L181" s="186"/>
      <c r="M181" s="186"/>
      <c r="N181" s="186"/>
      <c r="O181" s="186"/>
      <c r="P181" s="186"/>
      <c r="Q181" s="186"/>
      <c r="R181" s="186"/>
      <c r="S181" s="186"/>
      <c r="T181" s="186"/>
      <c r="U181" s="186"/>
      <c r="V181" s="186"/>
      <c r="W181" s="186"/>
      <c r="X181" s="186"/>
      <c r="Y181" s="186"/>
      <c r="Z181" s="186"/>
      <c r="AA181" s="186"/>
      <c r="AB181" s="186"/>
      <c r="AC181" s="186"/>
      <c r="AD181" s="186"/>
      <c r="AE181" s="186"/>
      <c r="AF181" s="186"/>
      <c r="AG181" s="186"/>
      <c r="AH181" s="186"/>
      <c r="AI181" s="186"/>
      <c r="AJ181" s="186"/>
      <c r="AK181" s="186"/>
      <c r="AL181" s="186"/>
      <c r="AM181" s="186"/>
      <c r="AN181" s="186"/>
      <c r="AO181" s="186"/>
      <c r="AP181" s="186"/>
    </row>
    <row r="182" spans="1:42">
      <c r="A182" s="205" t="str">
        <f>'Inputs &amp; Results'!A57</f>
        <v>Utility</v>
      </c>
      <c r="C182" s="198">
        <f>IF(IBIUtilityPercentFedTax="Yes",C495,0)</f>
        <v>402271.5</v>
      </c>
      <c r="D182" s="186"/>
      <c r="E182" s="186"/>
      <c r="F182" s="186"/>
      <c r="G182" s="186"/>
      <c r="H182" s="186"/>
      <c r="I182" s="186"/>
      <c r="J182" s="186"/>
      <c r="K182" s="186"/>
      <c r="L182" s="186"/>
      <c r="M182" s="186"/>
      <c r="N182" s="186"/>
      <c r="O182" s="186"/>
      <c r="P182" s="186"/>
      <c r="Q182" s="186"/>
      <c r="R182" s="186"/>
      <c r="S182" s="186"/>
      <c r="T182" s="186"/>
      <c r="U182" s="186"/>
      <c r="V182" s="186"/>
      <c r="W182" s="186"/>
      <c r="X182" s="186"/>
      <c r="Y182" s="186"/>
      <c r="Z182" s="186"/>
      <c r="AA182" s="186"/>
      <c r="AB182" s="186"/>
      <c r="AC182" s="186"/>
      <c r="AD182" s="186"/>
      <c r="AE182" s="186"/>
      <c r="AF182" s="186"/>
      <c r="AG182" s="186"/>
      <c r="AH182" s="186"/>
      <c r="AI182" s="186"/>
      <c r="AJ182" s="186"/>
      <c r="AK182" s="186"/>
      <c r="AL182" s="186"/>
      <c r="AM182" s="186"/>
      <c r="AN182" s="186"/>
      <c r="AO182" s="186"/>
      <c r="AP182" s="186"/>
    </row>
    <row r="183" spans="1:42">
      <c r="A183" s="205" t="str">
        <f>'Inputs &amp; Results'!A58</f>
        <v>Other</v>
      </c>
      <c r="C183" s="203">
        <f>IF(IBIOtherPercentFedTax="Yes",C496,0)</f>
        <v>201135.75</v>
      </c>
      <c r="D183" s="186"/>
      <c r="E183" s="186"/>
      <c r="F183" s="186"/>
      <c r="G183" s="186"/>
      <c r="H183" s="186"/>
      <c r="I183" s="186"/>
      <c r="J183" s="186"/>
      <c r="K183" s="186"/>
      <c r="L183" s="186"/>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row>
    <row r="184" spans="1:42">
      <c r="A184" s="205" t="s">
        <v>53</v>
      </c>
      <c r="C184" s="186">
        <f>SUM(C180:C183)</f>
        <v>6637479.75</v>
      </c>
      <c r="D184" s="186"/>
      <c r="E184" s="186"/>
      <c r="F184" s="186"/>
      <c r="G184" s="186"/>
      <c r="H184" s="186"/>
      <c r="I184" s="186"/>
      <c r="J184" s="186"/>
      <c r="K184" s="186"/>
      <c r="L184" s="186"/>
      <c r="M184" s="186"/>
      <c r="N184" s="186"/>
      <c r="O184" s="186"/>
      <c r="P184" s="186"/>
      <c r="Q184" s="186"/>
      <c r="R184" s="186"/>
      <c r="S184" s="186"/>
      <c r="T184" s="186"/>
      <c r="U184" s="186"/>
      <c r="V184" s="186"/>
      <c r="W184" s="186"/>
      <c r="X184" s="186"/>
      <c r="Y184" s="186"/>
      <c r="Z184" s="186"/>
      <c r="AA184" s="186"/>
      <c r="AB184" s="186"/>
      <c r="AC184" s="186"/>
      <c r="AD184" s="186"/>
      <c r="AE184" s="186"/>
      <c r="AF184" s="186"/>
      <c r="AG184" s="186"/>
      <c r="AH184" s="186"/>
      <c r="AI184" s="186"/>
      <c r="AJ184" s="186"/>
      <c r="AK184" s="186"/>
      <c r="AL184" s="186"/>
      <c r="AM184" s="186"/>
      <c r="AN184" s="186"/>
      <c r="AO184" s="186"/>
      <c r="AP184" s="186"/>
    </row>
    <row r="185" spans="1:42">
      <c r="A185" s="197" t="str">
        <f>'Inputs &amp; Results'!A59</f>
        <v>Capacity Based Incentive (CBI) ($/DC-Watt)</v>
      </c>
      <c r="C185" s="186"/>
      <c r="D185" s="186"/>
      <c r="E185" s="186"/>
      <c r="F185" s="186"/>
      <c r="G185" s="186"/>
      <c r="H185" s="186"/>
      <c r="I185" s="186"/>
      <c r="J185" s="186"/>
      <c r="K185" s="186"/>
      <c r="L185" s="186"/>
      <c r="M185" s="186"/>
      <c r="N185" s="186"/>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row>
    <row r="186" spans="1:42">
      <c r="A186" s="204" t="str">
        <f>'Inputs &amp; Results'!A60</f>
        <v>Federal</v>
      </c>
      <c r="C186" s="141">
        <f>IF(CBIFedFedTax="Yes",C499,0)</f>
        <v>5000000</v>
      </c>
      <c r="D186" s="186"/>
      <c r="E186" s="186"/>
      <c r="F186" s="186"/>
      <c r="G186" s="186"/>
      <c r="H186" s="186"/>
      <c r="I186" s="186"/>
      <c r="J186" s="186"/>
      <c r="K186" s="186"/>
      <c r="L186" s="186"/>
      <c r="M186" s="186"/>
      <c r="N186" s="186"/>
      <c r="O186" s="186"/>
      <c r="P186" s="186"/>
      <c r="Q186" s="186"/>
      <c r="R186" s="186"/>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row>
    <row r="187" spans="1:42">
      <c r="A187" s="204" t="str">
        <f>'Inputs &amp; Results'!A61</f>
        <v>State</v>
      </c>
      <c r="C187" s="141">
        <f>IF(CBIStateFedTax="Yes",C500,0)</f>
        <v>2000000</v>
      </c>
      <c r="D187" s="186"/>
      <c r="E187" s="186"/>
      <c r="F187" s="186"/>
      <c r="G187" s="186"/>
      <c r="H187" s="186"/>
      <c r="I187" s="186"/>
      <c r="J187" s="186"/>
      <c r="K187" s="186"/>
      <c r="L187" s="186"/>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row>
    <row r="188" spans="1:42">
      <c r="A188" s="204" t="str">
        <f>'Inputs &amp; Results'!A62</f>
        <v>Utility</v>
      </c>
      <c r="C188" s="141">
        <f>IF(CBIUtilityFedTax="Yes",C501,0)</f>
        <v>100000</v>
      </c>
      <c r="D188" s="186"/>
      <c r="E188" s="186"/>
      <c r="F188" s="186"/>
      <c r="G188" s="186"/>
      <c r="H188" s="186"/>
      <c r="I188" s="186"/>
      <c r="J188" s="186"/>
      <c r="K188" s="186"/>
      <c r="L188" s="186"/>
      <c r="M188" s="186"/>
      <c r="N188" s="186"/>
      <c r="O188" s="186"/>
      <c r="P188" s="186"/>
      <c r="Q188" s="186"/>
      <c r="R188" s="186"/>
      <c r="S188" s="186"/>
      <c r="T188" s="186"/>
      <c r="U188" s="186"/>
      <c r="V188" s="186"/>
      <c r="W188" s="186"/>
      <c r="X188" s="186"/>
      <c r="Y188" s="186"/>
      <c r="Z188" s="186"/>
      <c r="AA188" s="186"/>
      <c r="AB188" s="186"/>
      <c r="AC188" s="186"/>
      <c r="AD188" s="186"/>
      <c r="AE188" s="186"/>
      <c r="AF188" s="186"/>
      <c r="AG188" s="186"/>
      <c r="AH188" s="186"/>
      <c r="AI188" s="186"/>
      <c r="AJ188" s="186"/>
      <c r="AK188" s="186"/>
      <c r="AL188" s="186"/>
      <c r="AM188" s="186"/>
      <c r="AN188" s="186"/>
      <c r="AO188" s="186"/>
      <c r="AP188" s="186"/>
    </row>
    <row r="189" spans="1:42">
      <c r="A189" s="204" t="str">
        <f>'Inputs &amp; Results'!A63</f>
        <v>Other</v>
      </c>
      <c r="C189" s="203">
        <f>IF(CBIOtherFedTax="Yes",C502,0)</f>
        <v>50000</v>
      </c>
      <c r="D189" s="186"/>
      <c r="E189" s="186"/>
      <c r="F189" s="186"/>
      <c r="G189" s="186"/>
      <c r="H189" s="186"/>
      <c r="I189" s="186"/>
      <c r="J189" s="186"/>
      <c r="K189" s="186"/>
      <c r="L189" s="186"/>
      <c r="M189" s="186"/>
      <c r="N189" s="186"/>
      <c r="O189" s="186"/>
      <c r="P189" s="186"/>
      <c r="Q189" s="186"/>
      <c r="R189" s="186"/>
      <c r="S189" s="186"/>
      <c r="T189" s="186"/>
      <c r="U189" s="186"/>
      <c r="V189" s="186"/>
      <c r="W189" s="186"/>
      <c r="X189" s="186"/>
      <c r="Y189" s="186"/>
      <c r="Z189" s="186"/>
      <c r="AA189" s="186"/>
      <c r="AB189" s="186"/>
      <c r="AC189" s="186"/>
      <c r="AD189" s="186"/>
      <c r="AE189" s="186"/>
      <c r="AF189" s="186"/>
      <c r="AG189" s="186"/>
      <c r="AH189" s="186"/>
      <c r="AI189" s="186"/>
      <c r="AJ189" s="186"/>
      <c r="AK189" s="186"/>
      <c r="AL189" s="186"/>
      <c r="AM189" s="186"/>
      <c r="AN189" s="186"/>
      <c r="AO189" s="186"/>
      <c r="AP189" s="186"/>
    </row>
    <row r="190" spans="1:42">
      <c r="A190" s="204" t="s">
        <v>53</v>
      </c>
      <c r="C190" s="186">
        <f>SUM(C186:C189)</f>
        <v>7150000</v>
      </c>
      <c r="D190" s="186"/>
      <c r="E190" s="186"/>
      <c r="F190" s="186"/>
      <c r="G190" s="186"/>
      <c r="H190" s="186"/>
      <c r="I190" s="186"/>
      <c r="J190" s="186"/>
      <c r="K190" s="186"/>
      <c r="L190" s="186"/>
      <c r="M190" s="186"/>
      <c r="N190" s="186"/>
      <c r="O190" s="186"/>
      <c r="P190" s="186"/>
      <c r="Q190" s="186"/>
      <c r="R190" s="186"/>
      <c r="S190" s="186"/>
      <c r="T190" s="186"/>
      <c r="U190" s="186"/>
      <c r="V190" s="186"/>
      <c r="W190" s="186"/>
      <c r="X190" s="186"/>
      <c r="Y190" s="186"/>
      <c r="Z190" s="186"/>
      <c r="AA190" s="186"/>
      <c r="AB190" s="186"/>
      <c r="AC190" s="186"/>
      <c r="AD190" s="186"/>
      <c r="AE190" s="186"/>
      <c r="AF190" s="186"/>
      <c r="AG190" s="186"/>
      <c r="AH190" s="186"/>
      <c r="AI190" s="186"/>
      <c r="AJ190" s="186"/>
      <c r="AK190" s="186"/>
      <c r="AL190" s="186"/>
      <c r="AM190" s="186"/>
      <c r="AN190" s="186"/>
      <c r="AO190" s="186"/>
      <c r="AP190" s="186"/>
    </row>
    <row r="191" spans="1:42">
      <c r="A191" s="197" t="str">
        <f>'Inputs &amp; Results'!A66</f>
        <v>Production Based Incentive (PBI) ($/kWh)</v>
      </c>
      <c r="C191" s="186"/>
      <c r="D191" s="186"/>
      <c r="E191" s="186"/>
      <c r="F191" s="186"/>
      <c r="G191" s="186"/>
      <c r="H191" s="186"/>
      <c r="I191" s="186"/>
      <c r="J191" s="186"/>
      <c r="K191" s="186"/>
      <c r="L191" s="186"/>
      <c r="M191" s="186"/>
      <c r="N191" s="186"/>
      <c r="O191" s="186"/>
      <c r="P191" s="186"/>
      <c r="Q191" s="186"/>
      <c r="R191" s="186"/>
      <c r="S191" s="186"/>
      <c r="T191" s="186"/>
      <c r="U191" s="186"/>
      <c r="V191" s="186"/>
      <c r="W191" s="186"/>
      <c r="X191" s="186"/>
      <c r="Y191" s="186"/>
      <c r="Z191" s="186"/>
      <c r="AA191" s="186"/>
      <c r="AB191" s="186"/>
      <c r="AC191" s="186"/>
      <c r="AD191" s="186"/>
      <c r="AE191" s="186"/>
      <c r="AF191" s="186"/>
      <c r="AG191" s="186"/>
      <c r="AH191" s="186"/>
      <c r="AI191" s="186"/>
      <c r="AJ191" s="186"/>
      <c r="AK191" s="186"/>
      <c r="AL191" s="186"/>
      <c r="AM191" s="186"/>
      <c r="AN191" s="186"/>
      <c r="AO191" s="186"/>
      <c r="AP191" s="186"/>
    </row>
    <row r="192" spans="1:42">
      <c r="A192" s="204" t="str">
        <f>'Inputs &amp; Results'!A67</f>
        <v>Federal</v>
      </c>
      <c r="C192" s="141">
        <f t="shared" ref="C192:AP192" si="102">IF(AND(PBIFedFedTax="Yes",PBIFedDebtSwitch="No"),C509,0)</f>
        <v>0</v>
      </c>
      <c r="D192" s="141">
        <f t="shared" si="102"/>
        <v>0</v>
      </c>
      <c r="E192" s="141">
        <f t="shared" si="102"/>
        <v>0</v>
      </c>
      <c r="F192" s="141">
        <f t="shared" si="102"/>
        <v>0</v>
      </c>
      <c r="G192" s="141">
        <f t="shared" si="102"/>
        <v>0</v>
      </c>
      <c r="H192" s="141">
        <f t="shared" si="102"/>
        <v>0</v>
      </c>
      <c r="I192" s="141">
        <f t="shared" si="102"/>
        <v>0</v>
      </c>
      <c r="J192" s="141">
        <f t="shared" si="102"/>
        <v>0</v>
      </c>
      <c r="K192" s="141">
        <f t="shared" si="102"/>
        <v>0</v>
      </c>
      <c r="L192" s="141">
        <f t="shared" si="102"/>
        <v>0</v>
      </c>
      <c r="M192" s="141">
        <f t="shared" si="102"/>
        <v>0</v>
      </c>
      <c r="N192" s="141">
        <f t="shared" si="102"/>
        <v>0</v>
      </c>
      <c r="O192" s="141">
        <f t="shared" si="102"/>
        <v>0</v>
      </c>
      <c r="P192" s="141">
        <f t="shared" si="102"/>
        <v>0</v>
      </c>
      <c r="Q192" s="141">
        <f t="shared" si="102"/>
        <v>0</v>
      </c>
      <c r="R192" s="141">
        <f t="shared" si="102"/>
        <v>0</v>
      </c>
      <c r="S192" s="141">
        <f t="shared" si="102"/>
        <v>0</v>
      </c>
      <c r="T192" s="141">
        <f t="shared" si="102"/>
        <v>0</v>
      </c>
      <c r="U192" s="141">
        <f t="shared" si="102"/>
        <v>0</v>
      </c>
      <c r="V192" s="141">
        <f t="shared" si="102"/>
        <v>0</v>
      </c>
      <c r="W192" s="141">
        <f t="shared" si="102"/>
        <v>0</v>
      </c>
      <c r="X192" s="141">
        <f t="shared" si="102"/>
        <v>0</v>
      </c>
      <c r="Y192" s="141">
        <f t="shared" si="102"/>
        <v>0</v>
      </c>
      <c r="Z192" s="141">
        <f t="shared" si="102"/>
        <v>0</v>
      </c>
      <c r="AA192" s="141">
        <f t="shared" si="102"/>
        <v>0</v>
      </c>
      <c r="AB192" s="141">
        <f t="shared" si="102"/>
        <v>0</v>
      </c>
      <c r="AC192" s="141">
        <f t="shared" si="102"/>
        <v>0</v>
      </c>
      <c r="AD192" s="141">
        <f t="shared" si="102"/>
        <v>0</v>
      </c>
      <c r="AE192" s="141">
        <f t="shared" si="102"/>
        <v>0</v>
      </c>
      <c r="AF192" s="141">
        <f t="shared" si="102"/>
        <v>0</v>
      </c>
      <c r="AG192" s="141">
        <f t="shared" si="102"/>
        <v>0</v>
      </c>
      <c r="AH192" s="141">
        <f t="shared" si="102"/>
        <v>0</v>
      </c>
      <c r="AI192" s="141">
        <f t="shared" si="102"/>
        <v>0</v>
      </c>
      <c r="AJ192" s="141">
        <f t="shared" si="102"/>
        <v>0</v>
      </c>
      <c r="AK192" s="141">
        <f t="shared" si="102"/>
        <v>0</v>
      </c>
      <c r="AL192" s="141">
        <f t="shared" si="102"/>
        <v>0</v>
      </c>
      <c r="AM192" s="141">
        <f t="shared" si="102"/>
        <v>0</v>
      </c>
      <c r="AN192" s="141">
        <f t="shared" si="102"/>
        <v>0</v>
      </c>
      <c r="AO192" s="141">
        <f t="shared" si="102"/>
        <v>0</v>
      </c>
      <c r="AP192" s="141">
        <f t="shared" si="102"/>
        <v>0</v>
      </c>
    </row>
    <row r="193" spans="1:42">
      <c r="A193" s="204" t="str">
        <f>'Inputs &amp; Results'!A68</f>
        <v>State</v>
      </c>
      <c r="C193" s="141">
        <f t="shared" ref="C193:AP193" si="103">IF(AND(PBIStateFedTax="Yes",PBIStateDebtSwitch="No"),C513,0)</f>
        <v>0</v>
      </c>
      <c r="D193" s="141">
        <f t="shared" si="103"/>
        <v>0</v>
      </c>
      <c r="E193" s="141">
        <f t="shared" si="103"/>
        <v>0</v>
      </c>
      <c r="F193" s="141">
        <f t="shared" si="103"/>
        <v>0</v>
      </c>
      <c r="G193" s="141">
        <f t="shared" si="103"/>
        <v>0</v>
      </c>
      <c r="H193" s="141">
        <f t="shared" si="103"/>
        <v>0</v>
      </c>
      <c r="I193" s="141">
        <f t="shared" si="103"/>
        <v>0</v>
      </c>
      <c r="J193" s="141">
        <f t="shared" si="103"/>
        <v>0</v>
      </c>
      <c r="K193" s="141">
        <f t="shared" si="103"/>
        <v>0</v>
      </c>
      <c r="L193" s="141">
        <f t="shared" si="103"/>
        <v>0</v>
      </c>
      <c r="M193" s="141">
        <f t="shared" si="103"/>
        <v>0</v>
      </c>
      <c r="N193" s="141">
        <f t="shared" si="103"/>
        <v>0</v>
      </c>
      <c r="O193" s="141">
        <f t="shared" si="103"/>
        <v>0</v>
      </c>
      <c r="P193" s="141">
        <f t="shared" si="103"/>
        <v>0</v>
      </c>
      <c r="Q193" s="141">
        <f t="shared" si="103"/>
        <v>0</v>
      </c>
      <c r="R193" s="141">
        <f t="shared" si="103"/>
        <v>0</v>
      </c>
      <c r="S193" s="141">
        <f t="shared" si="103"/>
        <v>0</v>
      </c>
      <c r="T193" s="141">
        <f t="shared" si="103"/>
        <v>0</v>
      </c>
      <c r="U193" s="141">
        <f t="shared" si="103"/>
        <v>0</v>
      </c>
      <c r="V193" s="141">
        <f t="shared" si="103"/>
        <v>0</v>
      </c>
      <c r="W193" s="141">
        <f t="shared" si="103"/>
        <v>0</v>
      </c>
      <c r="X193" s="141">
        <f t="shared" si="103"/>
        <v>0</v>
      </c>
      <c r="Y193" s="141">
        <f t="shared" si="103"/>
        <v>0</v>
      </c>
      <c r="Z193" s="141">
        <f t="shared" si="103"/>
        <v>0</v>
      </c>
      <c r="AA193" s="141">
        <f t="shared" si="103"/>
        <v>0</v>
      </c>
      <c r="AB193" s="141">
        <f t="shared" si="103"/>
        <v>0</v>
      </c>
      <c r="AC193" s="141">
        <f t="shared" si="103"/>
        <v>0</v>
      </c>
      <c r="AD193" s="141">
        <f t="shared" si="103"/>
        <v>0</v>
      </c>
      <c r="AE193" s="141">
        <f t="shared" si="103"/>
        <v>0</v>
      </c>
      <c r="AF193" s="141">
        <f t="shared" si="103"/>
        <v>0</v>
      </c>
      <c r="AG193" s="141">
        <f t="shared" si="103"/>
        <v>0</v>
      </c>
      <c r="AH193" s="141">
        <f t="shared" si="103"/>
        <v>0</v>
      </c>
      <c r="AI193" s="141">
        <f t="shared" si="103"/>
        <v>0</v>
      </c>
      <c r="AJ193" s="141">
        <f t="shared" si="103"/>
        <v>0</v>
      </c>
      <c r="AK193" s="141">
        <f t="shared" si="103"/>
        <v>0</v>
      </c>
      <c r="AL193" s="141">
        <f t="shared" si="103"/>
        <v>0</v>
      </c>
      <c r="AM193" s="141">
        <f t="shared" si="103"/>
        <v>0</v>
      </c>
      <c r="AN193" s="141">
        <f t="shared" si="103"/>
        <v>0</v>
      </c>
      <c r="AO193" s="141">
        <f t="shared" si="103"/>
        <v>0</v>
      </c>
      <c r="AP193" s="141">
        <f t="shared" si="103"/>
        <v>0</v>
      </c>
    </row>
    <row r="194" spans="1:42">
      <c r="A194" s="204" t="str">
        <f>'Inputs &amp; Results'!A69</f>
        <v>Utility</v>
      </c>
      <c r="C194" s="141">
        <f t="shared" ref="C194:AP194" si="104">IF(AND(PBIUtilityFedTax="Yes",PBIUtilityDebtSwitch="No"),C517,0)</f>
        <v>0</v>
      </c>
      <c r="D194" s="141">
        <f t="shared" si="104"/>
        <v>0</v>
      </c>
      <c r="E194" s="141">
        <f t="shared" si="104"/>
        <v>0</v>
      </c>
      <c r="F194" s="141">
        <f t="shared" si="104"/>
        <v>0</v>
      </c>
      <c r="G194" s="141">
        <f t="shared" si="104"/>
        <v>0</v>
      </c>
      <c r="H194" s="141">
        <f t="shared" si="104"/>
        <v>0</v>
      </c>
      <c r="I194" s="141">
        <f t="shared" si="104"/>
        <v>0</v>
      </c>
      <c r="J194" s="141">
        <f t="shared" si="104"/>
        <v>0</v>
      </c>
      <c r="K194" s="141">
        <f t="shared" si="104"/>
        <v>0</v>
      </c>
      <c r="L194" s="141">
        <f t="shared" si="104"/>
        <v>0</v>
      </c>
      <c r="M194" s="141">
        <f t="shared" si="104"/>
        <v>0</v>
      </c>
      <c r="N194" s="141">
        <f t="shared" si="104"/>
        <v>0</v>
      </c>
      <c r="O194" s="141">
        <f t="shared" si="104"/>
        <v>0</v>
      </c>
      <c r="P194" s="141">
        <f t="shared" si="104"/>
        <v>0</v>
      </c>
      <c r="Q194" s="141">
        <f t="shared" si="104"/>
        <v>0</v>
      </c>
      <c r="R194" s="141">
        <f t="shared" si="104"/>
        <v>0</v>
      </c>
      <c r="S194" s="141">
        <f t="shared" si="104"/>
        <v>0</v>
      </c>
      <c r="T194" s="141">
        <f t="shared" si="104"/>
        <v>0</v>
      </c>
      <c r="U194" s="141">
        <f t="shared" si="104"/>
        <v>0</v>
      </c>
      <c r="V194" s="141">
        <f t="shared" si="104"/>
        <v>0</v>
      </c>
      <c r="W194" s="141">
        <f t="shared" si="104"/>
        <v>0</v>
      </c>
      <c r="X194" s="141">
        <f t="shared" si="104"/>
        <v>0</v>
      </c>
      <c r="Y194" s="141">
        <f t="shared" si="104"/>
        <v>0</v>
      </c>
      <c r="Z194" s="141">
        <f t="shared" si="104"/>
        <v>0</v>
      </c>
      <c r="AA194" s="141">
        <f t="shared" si="104"/>
        <v>0</v>
      </c>
      <c r="AB194" s="141">
        <f t="shared" si="104"/>
        <v>0</v>
      </c>
      <c r="AC194" s="141">
        <f t="shared" si="104"/>
        <v>0</v>
      </c>
      <c r="AD194" s="141">
        <f t="shared" si="104"/>
        <v>0</v>
      </c>
      <c r="AE194" s="141">
        <f t="shared" si="104"/>
        <v>0</v>
      </c>
      <c r="AF194" s="141">
        <f t="shared" si="104"/>
        <v>0</v>
      </c>
      <c r="AG194" s="141">
        <f t="shared" si="104"/>
        <v>0</v>
      </c>
      <c r="AH194" s="141">
        <f t="shared" si="104"/>
        <v>0</v>
      </c>
      <c r="AI194" s="141">
        <f t="shared" si="104"/>
        <v>0</v>
      </c>
      <c r="AJ194" s="141">
        <f t="shared" si="104"/>
        <v>0</v>
      </c>
      <c r="AK194" s="141">
        <f t="shared" si="104"/>
        <v>0</v>
      </c>
      <c r="AL194" s="141">
        <f t="shared" si="104"/>
        <v>0</v>
      </c>
      <c r="AM194" s="141">
        <f t="shared" si="104"/>
        <v>0</v>
      </c>
      <c r="AN194" s="141">
        <f t="shared" si="104"/>
        <v>0</v>
      </c>
      <c r="AO194" s="141">
        <f t="shared" si="104"/>
        <v>0</v>
      </c>
      <c r="AP194" s="141">
        <f t="shared" si="104"/>
        <v>0</v>
      </c>
    </row>
    <row r="195" spans="1:42">
      <c r="A195" s="204" t="str">
        <f>'Inputs &amp; Results'!A70</f>
        <v>Other</v>
      </c>
      <c r="C195" s="203">
        <f t="shared" ref="C195:AP195" si="105">IF(AND(PBIOtherFedTax="Yes",PBIOtherDebtSwitch="No"),C521,0)</f>
        <v>0</v>
      </c>
      <c r="D195" s="203">
        <f t="shared" si="105"/>
        <v>0</v>
      </c>
      <c r="E195" s="203">
        <f t="shared" si="105"/>
        <v>0</v>
      </c>
      <c r="F195" s="203">
        <f t="shared" si="105"/>
        <v>0</v>
      </c>
      <c r="G195" s="203">
        <f t="shared" si="105"/>
        <v>0</v>
      </c>
      <c r="H195" s="203">
        <f t="shared" si="105"/>
        <v>0</v>
      </c>
      <c r="I195" s="203">
        <f t="shared" si="105"/>
        <v>0</v>
      </c>
      <c r="J195" s="203">
        <f t="shared" si="105"/>
        <v>0</v>
      </c>
      <c r="K195" s="203">
        <f t="shared" si="105"/>
        <v>0</v>
      </c>
      <c r="L195" s="203">
        <f t="shared" si="105"/>
        <v>0</v>
      </c>
      <c r="M195" s="203">
        <f t="shared" si="105"/>
        <v>0</v>
      </c>
      <c r="N195" s="203">
        <f t="shared" si="105"/>
        <v>0</v>
      </c>
      <c r="O195" s="203">
        <f t="shared" si="105"/>
        <v>0</v>
      </c>
      <c r="P195" s="203">
        <f t="shared" si="105"/>
        <v>0</v>
      </c>
      <c r="Q195" s="203">
        <f t="shared" si="105"/>
        <v>0</v>
      </c>
      <c r="R195" s="203">
        <f t="shared" si="105"/>
        <v>0</v>
      </c>
      <c r="S195" s="203">
        <f t="shared" si="105"/>
        <v>0</v>
      </c>
      <c r="T195" s="203">
        <f t="shared" si="105"/>
        <v>0</v>
      </c>
      <c r="U195" s="203">
        <f t="shared" si="105"/>
        <v>0</v>
      </c>
      <c r="V195" s="203">
        <f t="shared" si="105"/>
        <v>0</v>
      </c>
      <c r="W195" s="203">
        <f t="shared" si="105"/>
        <v>0</v>
      </c>
      <c r="X195" s="203">
        <f t="shared" si="105"/>
        <v>0</v>
      </c>
      <c r="Y195" s="203">
        <f t="shared" si="105"/>
        <v>0</v>
      </c>
      <c r="Z195" s="203">
        <f t="shared" si="105"/>
        <v>0</v>
      </c>
      <c r="AA195" s="203">
        <f t="shared" si="105"/>
        <v>0</v>
      </c>
      <c r="AB195" s="203">
        <f t="shared" si="105"/>
        <v>0</v>
      </c>
      <c r="AC195" s="203">
        <f t="shared" si="105"/>
        <v>0</v>
      </c>
      <c r="AD195" s="203">
        <f t="shared" si="105"/>
        <v>0</v>
      </c>
      <c r="AE195" s="203">
        <f t="shared" si="105"/>
        <v>0</v>
      </c>
      <c r="AF195" s="203">
        <f t="shared" si="105"/>
        <v>0</v>
      </c>
      <c r="AG195" s="203">
        <f t="shared" si="105"/>
        <v>0</v>
      </c>
      <c r="AH195" s="203">
        <f t="shared" si="105"/>
        <v>0</v>
      </c>
      <c r="AI195" s="203">
        <f t="shared" si="105"/>
        <v>0</v>
      </c>
      <c r="AJ195" s="203">
        <f t="shared" si="105"/>
        <v>0</v>
      </c>
      <c r="AK195" s="203">
        <f t="shared" si="105"/>
        <v>0</v>
      </c>
      <c r="AL195" s="203">
        <f t="shared" si="105"/>
        <v>0</v>
      </c>
      <c r="AM195" s="203">
        <f t="shared" si="105"/>
        <v>0</v>
      </c>
      <c r="AN195" s="203">
        <f t="shared" si="105"/>
        <v>0</v>
      </c>
      <c r="AO195" s="203">
        <f t="shared" si="105"/>
        <v>0</v>
      </c>
      <c r="AP195" s="203">
        <f t="shared" si="105"/>
        <v>0</v>
      </c>
    </row>
    <row r="196" spans="1:42">
      <c r="A196" s="204" t="s">
        <v>53</v>
      </c>
      <c r="C196" s="194">
        <f>SUM(C192:C195)</f>
        <v>0</v>
      </c>
      <c r="D196" s="194">
        <f t="shared" ref="D196:AL196" si="106">SUM(D192:D195)</f>
        <v>0</v>
      </c>
      <c r="E196" s="194">
        <f t="shared" si="106"/>
        <v>0</v>
      </c>
      <c r="F196" s="194">
        <f t="shared" si="106"/>
        <v>0</v>
      </c>
      <c r="G196" s="194">
        <f t="shared" si="106"/>
        <v>0</v>
      </c>
      <c r="H196" s="194">
        <f t="shared" si="106"/>
        <v>0</v>
      </c>
      <c r="I196" s="194">
        <f t="shared" si="106"/>
        <v>0</v>
      </c>
      <c r="J196" s="194">
        <f t="shared" si="106"/>
        <v>0</v>
      </c>
      <c r="K196" s="194">
        <f t="shared" si="106"/>
        <v>0</v>
      </c>
      <c r="L196" s="194">
        <f t="shared" si="106"/>
        <v>0</v>
      </c>
      <c r="M196" s="194">
        <f t="shared" si="106"/>
        <v>0</v>
      </c>
      <c r="N196" s="194">
        <f t="shared" si="106"/>
        <v>0</v>
      </c>
      <c r="O196" s="194">
        <f t="shared" si="106"/>
        <v>0</v>
      </c>
      <c r="P196" s="194">
        <f t="shared" si="106"/>
        <v>0</v>
      </c>
      <c r="Q196" s="194">
        <f t="shared" si="106"/>
        <v>0</v>
      </c>
      <c r="R196" s="194">
        <f t="shared" si="106"/>
        <v>0</v>
      </c>
      <c r="S196" s="194">
        <f t="shared" si="106"/>
        <v>0</v>
      </c>
      <c r="T196" s="194">
        <f t="shared" si="106"/>
        <v>0</v>
      </c>
      <c r="U196" s="194">
        <f t="shared" si="106"/>
        <v>0</v>
      </c>
      <c r="V196" s="194">
        <f t="shared" si="106"/>
        <v>0</v>
      </c>
      <c r="W196" s="194">
        <f t="shared" si="106"/>
        <v>0</v>
      </c>
      <c r="X196" s="194">
        <f t="shared" si="106"/>
        <v>0</v>
      </c>
      <c r="Y196" s="194">
        <f t="shared" si="106"/>
        <v>0</v>
      </c>
      <c r="Z196" s="194">
        <f t="shared" si="106"/>
        <v>0</v>
      </c>
      <c r="AA196" s="194">
        <f t="shared" si="106"/>
        <v>0</v>
      </c>
      <c r="AB196" s="194">
        <f t="shared" si="106"/>
        <v>0</v>
      </c>
      <c r="AC196" s="194">
        <f t="shared" si="106"/>
        <v>0</v>
      </c>
      <c r="AD196" s="194">
        <f t="shared" si="106"/>
        <v>0</v>
      </c>
      <c r="AE196" s="194">
        <f t="shared" si="106"/>
        <v>0</v>
      </c>
      <c r="AF196" s="194">
        <f t="shared" si="106"/>
        <v>0</v>
      </c>
      <c r="AG196" s="194">
        <f t="shared" si="106"/>
        <v>0</v>
      </c>
      <c r="AH196" s="194">
        <f t="shared" si="106"/>
        <v>0</v>
      </c>
      <c r="AI196" s="194">
        <f t="shared" si="106"/>
        <v>0</v>
      </c>
      <c r="AJ196" s="194">
        <f t="shared" si="106"/>
        <v>0</v>
      </c>
      <c r="AK196" s="194">
        <f t="shared" si="106"/>
        <v>0</v>
      </c>
      <c r="AL196" s="194">
        <f t="shared" si="106"/>
        <v>0</v>
      </c>
      <c r="AM196" s="194">
        <f>SUM(AM192:AM195)</f>
        <v>0</v>
      </c>
      <c r="AN196" s="194">
        <f t="shared" ref="AN196:AP196" si="107">SUM(AN192:AN195)</f>
        <v>0</v>
      </c>
      <c r="AO196" s="194">
        <f t="shared" si="107"/>
        <v>0</v>
      </c>
      <c r="AP196" s="194">
        <f t="shared" si="107"/>
        <v>0</v>
      </c>
    </row>
    <row r="197" spans="1:42">
      <c r="A197" s="197" t="s">
        <v>131</v>
      </c>
      <c r="C197" s="186">
        <f>C178+C184+C190+C196</f>
        <v>13791229.75</v>
      </c>
      <c r="D197" s="186">
        <f t="shared" ref="D197:AP197" si="108">D178+D184+D190+D196</f>
        <v>0</v>
      </c>
      <c r="E197" s="186">
        <f t="shared" si="108"/>
        <v>0</v>
      </c>
      <c r="F197" s="186">
        <f t="shared" si="108"/>
        <v>0</v>
      </c>
      <c r="G197" s="186">
        <f t="shared" si="108"/>
        <v>0</v>
      </c>
      <c r="H197" s="186">
        <f t="shared" si="108"/>
        <v>0</v>
      </c>
      <c r="I197" s="186">
        <f t="shared" si="108"/>
        <v>0</v>
      </c>
      <c r="J197" s="186">
        <f t="shared" si="108"/>
        <v>0</v>
      </c>
      <c r="K197" s="186">
        <f t="shared" si="108"/>
        <v>0</v>
      </c>
      <c r="L197" s="186">
        <f t="shared" si="108"/>
        <v>0</v>
      </c>
      <c r="M197" s="186">
        <f t="shared" si="108"/>
        <v>0</v>
      </c>
      <c r="N197" s="186">
        <f t="shared" si="108"/>
        <v>0</v>
      </c>
      <c r="O197" s="186">
        <f t="shared" si="108"/>
        <v>0</v>
      </c>
      <c r="P197" s="186">
        <f t="shared" si="108"/>
        <v>0</v>
      </c>
      <c r="Q197" s="186">
        <f t="shared" si="108"/>
        <v>0</v>
      </c>
      <c r="R197" s="186">
        <f t="shared" si="108"/>
        <v>0</v>
      </c>
      <c r="S197" s="186">
        <f t="shared" si="108"/>
        <v>0</v>
      </c>
      <c r="T197" s="186">
        <f t="shared" si="108"/>
        <v>0</v>
      </c>
      <c r="U197" s="186">
        <f t="shared" si="108"/>
        <v>0</v>
      </c>
      <c r="V197" s="186">
        <f t="shared" si="108"/>
        <v>0</v>
      </c>
      <c r="W197" s="186">
        <f t="shared" si="108"/>
        <v>0</v>
      </c>
      <c r="X197" s="186">
        <f t="shared" si="108"/>
        <v>0</v>
      </c>
      <c r="Y197" s="186">
        <f t="shared" si="108"/>
        <v>0</v>
      </c>
      <c r="Z197" s="186">
        <f t="shared" si="108"/>
        <v>0</v>
      </c>
      <c r="AA197" s="186">
        <f t="shared" si="108"/>
        <v>0</v>
      </c>
      <c r="AB197" s="186">
        <f t="shared" si="108"/>
        <v>0</v>
      </c>
      <c r="AC197" s="186">
        <f t="shared" si="108"/>
        <v>0</v>
      </c>
      <c r="AD197" s="186">
        <f t="shared" si="108"/>
        <v>0</v>
      </c>
      <c r="AE197" s="186">
        <f t="shared" si="108"/>
        <v>0</v>
      </c>
      <c r="AF197" s="186">
        <f t="shared" si="108"/>
        <v>0</v>
      </c>
      <c r="AG197" s="186">
        <f t="shared" si="108"/>
        <v>0</v>
      </c>
      <c r="AH197" s="186">
        <f t="shared" si="108"/>
        <v>0</v>
      </c>
      <c r="AI197" s="186">
        <f t="shared" si="108"/>
        <v>0</v>
      </c>
      <c r="AJ197" s="186">
        <f t="shared" si="108"/>
        <v>0</v>
      </c>
      <c r="AK197" s="186">
        <f t="shared" si="108"/>
        <v>0</v>
      </c>
      <c r="AL197" s="186">
        <f t="shared" si="108"/>
        <v>0</v>
      </c>
      <c r="AM197" s="186">
        <f t="shared" si="108"/>
        <v>0</v>
      </c>
      <c r="AN197" s="186">
        <f t="shared" si="108"/>
        <v>0</v>
      </c>
      <c r="AO197" s="186">
        <f t="shared" si="108"/>
        <v>0</v>
      </c>
      <c r="AP197" s="186">
        <f t="shared" si="108"/>
        <v>0</v>
      </c>
    </row>
    <row r="198" spans="1:42">
      <c r="A198" s="204"/>
      <c r="C198" s="186"/>
      <c r="D198" s="186"/>
      <c r="E198" s="186"/>
      <c r="F198" s="186"/>
      <c r="G198" s="186"/>
      <c r="H198" s="186"/>
      <c r="I198" s="186"/>
      <c r="J198" s="186"/>
      <c r="K198" s="186"/>
      <c r="L198" s="186"/>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row>
    <row r="199" spans="1:42">
      <c r="A199" s="197" t="s">
        <v>132</v>
      </c>
      <c r="C199" s="194">
        <f>C171+C197</f>
        <v>4803677.4319830444</v>
      </c>
      <c r="D199" s="194">
        <f t="shared" ref="D199:AP199" si="109">D171+D197</f>
        <v>-8413304.0006303899</v>
      </c>
      <c r="E199" s="194">
        <f t="shared" si="109"/>
        <v>-4146463.9876101371</v>
      </c>
      <c r="F199" s="194">
        <f t="shared" si="109"/>
        <v>-1538843.2773788387</v>
      </c>
      <c r="G199" s="194">
        <f t="shared" si="109"/>
        <v>-1405628.031654126</v>
      </c>
      <c r="H199" s="194">
        <f t="shared" si="109"/>
        <v>589007.20323313389</v>
      </c>
      <c r="I199" s="194">
        <f t="shared" si="109"/>
        <v>2588120.4206808824</v>
      </c>
      <c r="J199" s="194">
        <f t="shared" si="109"/>
        <v>2746464.4881679476</v>
      </c>
      <c r="K199" s="194">
        <f t="shared" si="109"/>
        <v>2887100.4621555028</v>
      </c>
      <c r="L199" s="194">
        <f t="shared" si="109"/>
        <v>3031012.092328256</v>
      </c>
      <c r="M199" s="194">
        <f t="shared" si="109"/>
        <v>3202188.0722525408</v>
      </c>
      <c r="N199" s="194">
        <f t="shared" si="109"/>
        <v>2672129.1031315555</v>
      </c>
      <c r="O199" s="194">
        <f t="shared" si="109"/>
        <v>2308498.2674621935</v>
      </c>
      <c r="P199" s="194">
        <f t="shared" si="109"/>
        <v>2720460.5518545965</v>
      </c>
      <c r="Q199" s="194">
        <f t="shared" si="109"/>
        <v>1796521.2261205558</v>
      </c>
      <c r="R199" s="194">
        <f t="shared" si="109"/>
        <v>1066967.0154004262</v>
      </c>
      <c r="S199" s="194">
        <f t="shared" si="109"/>
        <v>2081702.8247221077</v>
      </c>
      <c r="T199" s="194">
        <f t="shared" si="109"/>
        <v>2716483.1393589983</v>
      </c>
      <c r="U199" s="194">
        <f t="shared" si="109"/>
        <v>2736124.8391440394</v>
      </c>
      <c r="V199" s="194">
        <f t="shared" si="109"/>
        <v>3129930.6568208155</v>
      </c>
      <c r="W199" s="194">
        <f t="shared" si="109"/>
        <v>3517190.7142747478</v>
      </c>
      <c r="X199" s="194">
        <f t="shared" si="109"/>
        <v>3547443.6439869772</v>
      </c>
      <c r="Y199" s="194">
        <f t="shared" si="109"/>
        <v>3593127.8427468804</v>
      </c>
      <c r="Z199" s="194">
        <f t="shared" si="109"/>
        <v>2940078.2558399104</v>
      </c>
      <c r="AA199" s="194">
        <f t="shared" si="109"/>
        <v>2486371.6061560572</v>
      </c>
      <c r="AB199" s="194">
        <f t="shared" si="109"/>
        <v>2953761.2612923002</v>
      </c>
      <c r="AC199" s="194">
        <f t="shared" si="109"/>
        <v>3215990.7837161971</v>
      </c>
      <c r="AD199" s="194">
        <f t="shared" si="109"/>
        <v>3213670.7986012911</v>
      </c>
      <c r="AE199" s="194">
        <f t="shared" si="109"/>
        <v>3447491.8566149469</v>
      </c>
      <c r="AF199" s="194">
        <f t="shared" si="109"/>
        <v>5991096.8202076694</v>
      </c>
      <c r="AG199" s="194">
        <f t="shared" si="109"/>
        <v>0</v>
      </c>
      <c r="AH199" s="194">
        <f t="shared" si="109"/>
        <v>0</v>
      </c>
      <c r="AI199" s="194">
        <f t="shared" si="109"/>
        <v>0</v>
      </c>
      <c r="AJ199" s="194">
        <f t="shared" si="109"/>
        <v>0</v>
      </c>
      <c r="AK199" s="194">
        <f t="shared" si="109"/>
        <v>0</v>
      </c>
      <c r="AL199" s="194">
        <f t="shared" si="109"/>
        <v>0</v>
      </c>
      <c r="AM199" s="194">
        <f t="shared" si="109"/>
        <v>0</v>
      </c>
      <c r="AN199" s="194">
        <f t="shared" si="109"/>
        <v>0</v>
      </c>
      <c r="AO199" s="194">
        <f t="shared" si="109"/>
        <v>0</v>
      </c>
      <c r="AP199" s="194">
        <f t="shared" si="109"/>
        <v>0</v>
      </c>
    </row>
    <row r="200" spans="1:42">
      <c r="A200" s="197" t="s">
        <v>224</v>
      </c>
      <c r="C200" s="194">
        <f t="shared" ref="C200:AP200" si="110">C199*-FedTax</f>
        <v>-1681287.1011940655</v>
      </c>
      <c r="D200" s="194">
        <f t="shared" si="110"/>
        <v>2944656.4002206363</v>
      </c>
      <c r="E200" s="194">
        <f t="shared" si="110"/>
        <v>1451262.3956635478</v>
      </c>
      <c r="F200" s="194">
        <f t="shared" si="110"/>
        <v>538595.14708259352</v>
      </c>
      <c r="G200" s="194">
        <f t="shared" si="110"/>
        <v>491969.81107894407</v>
      </c>
      <c r="H200" s="194">
        <f t="shared" si="110"/>
        <v>-206152.52113159685</v>
      </c>
      <c r="I200" s="194">
        <f t="shared" si="110"/>
        <v>-905842.1472383088</v>
      </c>
      <c r="J200" s="194">
        <f t="shared" si="110"/>
        <v>-961262.57085878158</v>
      </c>
      <c r="K200" s="194">
        <f t="shared" si="110"/>
        <v>-1010485.1617544258</v>
      </c>
      <c r="L200" s="194">
        <f t="shared" si="110"/>
        <v>-1060854.2323148896</v>
      </c>
      <c r="M200" s="194">
        <f t="shared" si="110"/>
        <v>-1120765.8252883891</v>
      </c>
      <c r="N200" s="194">
        <f t="shared" si="110"/>
        <v>-935245.18609604437</v>
      </c>
      <c r="O200" s="194">
        <f t="shared" si="110"/>
        <v>-807974.39361176768</v>
      </c>
      <c r="P200" s="194">
        <f t="shared" si="110"/>
        <v>-952161.19314910867</v>
      </c>
      <c r="Q200" s="194">
        <f t="shared" si="110"/>
        <v>-628782.42914219445</v>
      </c>
      <c r="R200" s="194">
        <f t="shared" si="110"/>
        <v>-373438.45539014915</v>
      </c>
      <c r="S200" s="194">
        <f t="shared" si="110"/>
        <v>-728595.98865273769</v>
      </c>
      <c r="T200" s="194">
        <f t="shared" si="110"/>
        <v>-950769.09877564933</v>
      </c>
      <c r="U200" s="194">
        <f t="shared" si="110"/>
        <v>-957643.69370041369</v>
      </c>
      <c r="V200" s="194">
        <f t="shared" si="110"/>
        <v>-1095475.7298872853</v>
      </c>
      <c r="W200" s="194">
        <f t="shared" si="110"/>
        <v>-1231016.7499961616</v>
      </c>
      <c r="X200" s="194">
        <f t="shared" si="110"/>
        <v>-1241605.275395442</v>
      </c>
      <c r="Y200" s="194">
        <f t="shared" si="110"/>
        <v>-1257594.744961408</v>
      </c>
      <c r="Z200" s="194">
        <f t="shared" si="110"/>
        <v>-1029027.3895439686</v>
      </c>
      <c r="AA200" s="194">
        <f t="shared" si="110"/>
        <v>-870230.06215461995</v>
      </c>
      <c r="AB200" s="194">
        <f t="shared" si="110"/>
        <v>-1033816.4414523049</v>
      </c>
      <c r="AC200" s="194">
        <f t="shared" si="110"/>
        <v>-1125596.7743006689</v>
      </c>
      <c r="AD200" s="194">
        <f t="shared" si="110"/>
        <v>-1124784.7795104517</v>
      </c>
      <c r="AE200" s="194">
        <f t="shared" si="110"/>
        <v>-1206622.1498152313</v>
      </c>
      <c r="AF200" s="194">
        <f t="shared" si="110"/>
        <v>-2096883.8870726842</v>
      </c>
      <c r="AG200" s="194">
        <f t="shared" si="110"/>
        <v>0</v>
      </c>
      <c r="AH200" s="194">
        <f t="shared" si="110"/>
        <v>0</v>
      </c>
      <c r="AI200" s="194">
        <f t="shared" si="110"/>
        <v>0</v>
      </c>
      <c r="AJ200" s="194">
        <f t="shared" si="110"/>
        <v>0</v>
      </c>
      <c r="AK200" s="194">
        <f t="shared" si="110"/>
        <v>0</v>
      </c>
      <c r="AL200" s="194">
        <f t="shared" si="110"/>
        <v>0</v>
      </c>
      <c r="AM200" s="194">
        <f t="shared" si="110"/>
        <v>0</v>
      </c>
      <c r="AN200" s="194">
        <f t="shared" si="110"/>
        <v>0</v>
      </c>
      <c r="AO200" s="194">
        <f t="shared" si="110"/>
        <v>0</v>
      </c>
      <c r="AP200" s="194">
        <f t="shared" si="110"/>
        <v>0</v>
      </c>
    </row>
    <row r="201" spans="1:42">
      <c r="A201" s="204"/>
      <c r="C201" s="186"/>
      <c r="D201" s="186"/>
      <c r="E201" s="186"/>
      <c r="F201" s="186"/>
      <c r="G201" s="186"/>
      <c r="H201" s="186"/>
      <c r="I201" s="186"/>
      <c r="J201" s="186"/>
      <c r="K201" s="186"/>
      <c r="L201" s="186"/>
      <c r="M201" s="186"/>
      <c r="N201" s="186"/>
      <c r="O201" s="186"/>
      <c r="P201" s="186"/>
      <c r="Q201" s="186"/>
      <c r="R201" s="186"/>
      <c r="S201" s="186"/>
      <c r="T201" s="186"/>
      <c r="U201" s="186"/>
      <c r="V201" s="186"/>
      <c r="W201" s="186"/>
      <c r="X201" s="186"/>
      <c r="Y201" s="186"/>
      <c r="Z201" s="186"/>
      <c r="AA201" s="186"/>
      <c r="AB201" s="186"/>
      <c r="AC201" s="186"/>
      <c r="AD201" s="186"/>
      <c r="AE201" s="186"/>
      <c r="AF201" s="186"/>
      <c r="AG201" s="186"/>
      <c r="AH201" s="186"/>
      <c r="AI201" s="186"/>
      <c r="AJ201" s="186"/>
      <c r="AK201" s="186"/>
      <c r="AL201" s="186"/>
      <c r="AM201" s="186"/>
      <c r="AN201" s="186"/>
      <c r="AO201" s="186"/>
      <c r="AP201" s="186"/>
    </row>
    <row r="202" spans="1:42">
      <c r="A202" s="179" t="s">
        <v>499</v>
      </c>
    </row>
    <row r="203" spans="1:42">
      <c r="A203" s="195" t="s">
        <v>500</v>
      </c>
    </row>
    <row r="204" spans="1:42">
      <c r="A204" s="37" t="s">
        <v>82</v>
      </c>
      <c r="G204" s="293" t="s">
        <v>166</v>
      </c>
      <c r="H204" s="294"/>
      <c r="I204" s="294"/>
      <c r="J204" s="295"/>
      <c r="K204" s="226" t="s">
        <v>167</v>
      </c>
      <c r="L204" s="227"/>
    </row>
    <row r="205" spans="1:42" ht="51">
      <c r="B205" s="129" t="s">
        <v>154</v>
      </c>
      <c r="C205" s="129" t="s">
        <v>150</v>
      </c>
      <c r="D205" s="129" t="s">
        <v>152</v>
      </c>
      <c r="E205" s="206" t="s">
        <v>153</v>
      </c>
      <c r="F205" s="129" t="s">
        <v>155</v>
      </c>
      <c r="G205" s="129" t="s">
        <v>160</v>
      </c>
      <c r="H205" s="129" t="s">
        <v>162</v>
      </c>
      <c r="I205" s="129" t="s">
        <v>161</v>
      </c>
      <c r="J205" s="129" t="s">
        <v>163</v>
      </c>
      <c r="K205" s="228" t="s">
        <v>34</v>
      </c>
      <c r="L205" s="129" t="s">
        <v>163</v>
      </c>
      <c r="M205" s="207" t="s">
        <v>168</v>
      </c>
      <c r="N205" s="207" t="s">
        <v>169</v>
      </c>
      <c r="O205" s="129" t="s">
        <v>156</v>
      </c>
      <c r="P205" s="208" t="s">
        <v>319</v>
      </c>
      <c r="Q205" s="129" t="s">
        <v>324</v>
      </c>
    </row>
    <row r="206" spans="1:42" s="118" customFormat="1">
      <c r="A206" s="257" t="str">
        <f>'Inputs &amp; Results'!A217</f>
        <v>5-yr MACRS</v>
      </c>
      <c r="B206" s="351">
        <f t="shared" ref="B206:B211" si="111">C206/$C$213</f>
        <v>0.92783505154639179</v>
      </c>
      <c r="C206" s="141">
        <f>'Inputs &amp; Results'!E226</f>
        <v>38506038.164290354</v>
      </c>
      <c r="D206" s="141">
        <f>IF(StateBasisReduction="5-Yr MACRS",D213,$B206*D$213)</f>
        <v>3000</v>
      </c>
      <c r="E206" s="141">
        <f>IF(StateBasisReduction="5-Yr MACRS",E213,$B206*E$213)</f>
        <v>0</v>
      </c>
      <c r="F206" s="223">
        <f>C206-D206-E206</f>
        <v>38503038.164290354</v>
      </c>
      <c r="G206" s="352">
        <f>IF('Inputs &amp; Results'!B256="Yes",F206,0)</f>
        <v>38503038.164290354</v>
      </c>
      <c r="H206" s="353">
        <f>IF($G$213=0,0,G206/$G$213)</f>
        <v>1</v>
      </c>
      <c r="I206" s="353">
        <f t="shared" ref="I206:I211" si="112">$I$213*H206</f>
        <v>0</v>
      </c>
      <c r="J206" s="354">
        <f>I206*0.5</f>
        <v>0</v>
      </c>
      <c r="K206" s="355">
        <f t="shared" ref="K206:K211" si="113">H206*$K$213</f>
        <v>20000</v>
      </c>
      <c r="L206" s="354">
        <f>K206*0.5</f>
        <v>10000</v>
      </c>
      <c r="M206" s="141">
        <f t="shared" ref="M206:M211" si="114">IF(ITCStateFixedStateDeprec="Yes",L206,0)+IF(ITCStatePercentStateDeprec="Yes",J206,0)</f>
        <v>10000</v>
      </c>
      <c r="N206" s="141">
        <f t="shared" ref="N206:N211" si="115">IF(ITCFedFixedStateDeprec="Yes",L340,0)+IF(ITCFedPercentStateDeprec="Yes",J340,0)</f>
        <v>0</v>
      </c>
      <c r="O206" s="356">
        <f t="shared" ref="O206:O211" si="116">F206-M206-N206</f>
        <v>38493038.164290354</v>
      </c>
      <c r="P206" s="141">
        <f>IF('Inputs &amp; Results'!B238="Yes",O206*StateBonusDeprec,0)</f>
        <v>1924651.9082145179</v>
      </c>
      <c r="Q206" s="223">
        <f>O206-P206</f>
        <v>36568386.256075837</v>
      </c>
    </row>
    <row r="207" spans="1:42" s="118" customFormat="1">
      <c r="A207" s="257" t="str">
        <f>'Inputs &amp; Results'!A218</f>
        <v>15-yr MACRS</v>
      </c>
      <c r="B207" s="351">
        <f t="shared" si="111"/>
        <v>1.5463917525773196E-2</v>
      </c>
      <c r="C207" s="141">
        <f>'Inputs &amp; Results'!E227</f>
        <v>641767.30273817258</v>
      </c>
      <c r="D207" s="141">
        <f t="shared" ref="D207:E211" si="117">IF(StateBasisReduction="5-Yr MACRS",0,$B207*D$213)</f>
        <v>0</v>
      </c>
      <c r="E207" s="141">
        <f t="shared" si="117"/>
        <v>0</v>
      </c>
      <c r="F207" s="223">
        <f t="shared" ref="F207:F211" si="118">C207-D207-E207</f>
        <v>641767.30273817258</v>
      </c>
      <c r="G207" s="355">
        <f>IF('Inputs &amp; Results'!B257="Yes",F207,0)</f>
        <v>0</v>
      </c>
      <c r="H207" s="141">
        <f t="shared" ref="H207:H211" si="119">IF($G$213=0,0,G207/$G$213)</f>
        <v>0</v>
      </c>
      <c r="I207" s="141">
        <f t="shared" si="112"/>
        <v>0</v>
      </c>
      <c r="J207" s="326">
        <f t="shared" ref="J207:J211" si="120">I207*0.5</f>
        <v>0</v>
      </c>
      <c r="K207" s="355">
        <f t="shared" si="113"/>
        <v>0</v>
      </c>
      <c r="L207" s="326">
        <f t="shared" ref="L207:L211" si="121">K207*0.5</f>
        <v>0</v>
      </c>
      <c r="M207" s="141">
        <f t="shared" si="114"/>
        <v>0</v>
      </c>
      <c r="N207" s="141">
        <f t="shared" si="115"/>
        <v>0</v>
      </c>
      <c r="O207" s="223">
        <f t="shared" si="116"/>
        <v>641767.30273817258</v>
      </c>
      <c r="P207" s="141">
        <f>IF('Inputs &amp; Results'!B239="Yes",O207*StateBonusDeprec,0)</f>
        <v>0</v>
      </c>
      <c r="Q207" s="223">
        <f t="shared" ref="Q207:Q211" si="122">O207-P207</f>
        <v>641767.30273817258</v>
      </c>
    </row>
    <row r="208" spans="1:42" s="118" customFormat="1">
      <c r="A208" s="257" t="str">
        <f>'Inputs &amp; Results'!A219</f>
        <v>5-yr SL</v>
      </c>
      <c r="B208" s="351">
        <f t="shared" si="111"/>
        <v>0</v>
      </c>
      <c r="C208" s="141">
        <f>'Inputs &amp; Results'!E228</f>
        <v>0</v>
      </c>
      <c r="D208" s="141">
        <f t="shared" si="117"/>
        <v>0</v>
      </c>
      <c r="E208" s="141">
        <f t="shared" si="117"/>
        <v>0</v>
      </c>
      <c r="F208" s="223">
        <f t="shared" si="118"/>
        <v>0</v>
      </c>
      <c r="G208" s="355">
        <f>IF('Inputs &amp; Results'!B258="Yes",F208,0)</f>
        <v>0</v>
      </c>
      <c r="H208" s="141">
        <f t="shared" si="119"/>
        <v>0</v>
      </c>
      <c r="I208" s="141">
        <f t="shared" si="112"/>
        <v>0</v>
      </c>
      <c r="J208" s="326">
        <f t="shared" si="120"/>
        <v>0</v>
      </c>
      <c r="K208" s="355">
        <f t="shared" si="113"/>
        <v>0</v>
      </c>
      <c r="L208" s="326">
        <f t="shared" si="121"/>
        <v>0</v>
      </c>
      <c r="M208" s="141">
        <f t="shared" si="114"/>
        <v>0</v>
      </c>
      <c r="N208" s="141">
        <f t="shared" si="115"/>
        <v>0</v>
      </c>
      <c r="O208" s="223">
        <f t="shared" si="116"/>
        <v>0</v>
      </c>
      <c r="P208" s="141">
        <f>IF('Inputs &amp; Results'!B240="Yes",O208*StateBonusDeprec,0)</f>
        <v>0</v>
      </c>
      <c r="Q208" s="223">
        <f t="shared" si="122"/>
        <v>0</v>
      </c>
    </row>
    <row r="209" spans="1:17" s="118" customFormat="1">
      <c r="A209" s="257" t="str">
        <f>'Inputs &amp; Results'!A220</f>
        <v>15-yr SL</v>
      </c>
      <c r="B209" s="351">
        <f t="shared" si="111"/>
        <v>2.5773195876288665E-2</v>
      </c>
      <c r="C209" s="141">
        <f>'Inputs &amp; Results'!E229</f>
        <v>1069612.1712302878</v>
      </c>
      <c r="D209" s="141">
        <f t="shared" si="117"/>
        <v>0</v>
      </c>
      <c r="E209" s="141">
        <f t="shared" si="117"/>
        <v>0</v>
      </c>
      <c r="F209" s="223">
        <f t="shared" si="118"/>
        <v>1069612.1712302878</v>
      </c>
      <c r="G209" s="355">
        <f>IF('Inputs &amp; Results'!B259="Yes",F209,0)</f>
        <v>0</v>
      </c>
      <c r="H209" s="141">
        <f t="shared" si="119"/>
        <v>0</v>
      </c>
      <c r="I209" s="141">
        <f t="shared" si="112"/>
        <v>0</v>
      </c>
      <c r="J209" s="326">
        <f t="shared" si="120"/>
        <v>0</v>
      </c>
      <c r="K209" s="355">
        <f t="shared" si="113"/>
        <v>0</v>
      </c>
      <c r="L209" s="326">
        <f t="shared" si="121"/>
        <v>0</v>
      </c>
      <c r="M209" s="141">
        <f t="shared" si="114"/>
        <v>0</v>
      </c>
      <c r="N209" s="141">
        <f t="shared" si="115"/>
        <v>0</v>
      </c>
      <c r="O209" s="223">
        <f t="shared" si="116"/>
        <v>1069612.1712302878</v>
      </c>
      <c r="P209" s="141">
        <f>IF('Inputs &amp; Results'!B241="Yes",O209*StateBonusDeprec,0)</f>
        <v>0</v>
      </c>
      <c r="Q209" s="223">
        <f t="shared" si="122"/>
        <v>1069612.1712302878</v>
      </c>
    </row>
    <row r="210" spans="1:17" s="118" customFormat="1">
      <c r="A210" s="257" t="str">
        <f>'Inputs &amp; Results'!A221</f>
        <v>20-yr SL</v>
      </c>
      <c r="B210" s="351">
        <f t="shared" si="111"/>
        <v>2.5773195876288665E-2</v>
      </c>
      <c r="C210" s="141">
        <f>'Inputs &amp; Results'!E230</f>
        <v>1069612.1712302878</v>
      </c>
      <c r="D210" s="141">
        <f t="shared" si="117"/>
        <v>0</v>
      </c>
      <c r="E210" s="141">
        <f t="shared" si="117"/>
        <v>0</v>
      </c>
      <c r="F210" s="223">
        <f t="shared" si="118"/>
        <v>1069612.1712302878</v>
      </c>
      <c r="G210" s="355">
        <f>IF('Inputs &amp; Results'!B260="Yes",F210,0)</f>
        <v>0</v>
      </c>
      <c r="H210" s="141">
        <f t="shared" si="119"/>
        <v>0</v>
      </c>
      <c r="I210" s="141">
        <f t="shared" si="112"/>
        <v>0</v>
      </c>
      <c r="J210" s="326">
        <f t="shared" si="120"/>
        <v>0</v>
      </c>
      <c r="K210" s="355">
        <f t="shared" si="113"/>
        <v>0</v>
      </c>
      <c r="L210" s="326">
        <f t="shared" si="121"/>
        <v>0</v>
      </c>
      <c r="M210" s="141">
        <f t="shared" si="114"/>
        <v>0</v>
      </c>
      <c r="N210" s="141">
        <f t="shared" si="115"/>
        <v>0</v>
      </c>
      <c r="O210" s="223">
        <f t="shared" si="116"/>
        <v>1069612.1712302878</v>
      </c>
      <c r="P210" s="141">
        <f>IF('Inputs &amp; Results'!B242="Yes",O210*StateBonusDeprec,0)</f>
        <v>0</v>
      </c>
      <c r="Q210" s="223">
        <f t="shared" si="122"/>
        <v>1069612.1712302878</v>
      </c>
    </row>
    <row r="211" spans="1:17" s="118" customFormat="1">
      <c r="A211" s="257" t="str">
        <f>'Inputs &amp; Results'!A222</f>
        <v>39-yr SL</v>
      </c>
      <c r="B211" s="351">
        <f t="shared" si="111"/>
        <v>5.1546391752577327E-3</v>
      </c>
      <c r="C211" s="141">
        <f>'Inputs &amp; Results'!E231</f>
        <v>213922.43424605753</v>
      </c>
      <c r="D211" s="141">
        <f t="shared" si="117"/>
        <v>0</v>
      </c>
      <c r="E211" s="141">
        <f t="shared" si="117"/>
        <v>0</v>
      </c>
      <c r="F211" s="223">
        <f t="shared" si="118"/>
        <v>213922.43424605753</v>
      </c>
      <c r="G211" s="355">
        <f>IF('Inputs &amp; Results'!B261="Yes",F211,0)</f>
        <v>0</v>
      </c>
      <c r="H211" s="141">
        <f t="shared" si="119"/>
        <v>0</v>
      </c>
      <c r="I211" s="141">
        <f t="shared" si="112"/>
        <v>0</v>
      </c>
      <c r="J211" s="326">
        <f t="shared" si="120"/>
        <v>0</v>
      </c>
      <c r="K211" s="355">
        <f t="shared" si="113"/>
        <v>0</v>
      </c>
      <c r="L211" s="326">
        <f t="shared" si="121"/>
        <v>0</v>
      </c>
      <c r="M211" s="141">
        <f t="shared" si="114"/>
        <v>0</v>
      </c>
      <c r="N211" s="141">
        <f t="shared" si="115"/>
        <v>0</v>
      </c>
      <c r="O211" s="223">
        <f t="shared" si="116"/>
        <v>213922.43424605753</v>
      </c>
      <c r="P211" s="141">
        <f>IF('Inputs &amp; Results'!B243="Yes",O211*StateBonusDeprec,0)</f>
        <v>0</v>
      </c>
      <c r="Q211" s="223">
        <f t="shared" si="122"/>
        <v>213922.43424605753</v>
      </c>
    </row>
    <row r="212" spans="1:17">
      <c r="A212" s="261" t="s">
        <v>376</v>
      </c>
      <c r="B212" s="209"/>
      <c r="C212" s="210"/>
      <c r="D212" s="211"/>
      <c r="E212" s="211"/>
      <c r="F212" s="103"/>
      <c r="G212" s="209"/>
      <c r="H212" s="230"/>
      <c r="I212" s="230"/>
      <c r="J212" s="296"/>
      <c r="K212" s="209"/>
      <c r="L212" s="296"/>
      <c r="M212" s="211"/>
      <c r="N212" s="211"/>
      <c r="O212" s="103"/>
      <c r="P212" s="211"/>
      <c r="Q212" s="103"/>
    </row>
    <row r="213" spans="1:17" s="118" customFormat="1">
      <c r="B213" s="357">
        <f>SUM(B206:B212)</f>
        <v>1</v>
      </c>
      <c r="C213" s="203">
        <f>SUM(C206:C212)</f>
        <v>41500952.243735157</v>
      </c>
      <c r="D213" s="203">
        <f>B222+B228</f>
        <v>3000</v>
      </c>
      <c r="E213" s="203">
        <f>B234</f>
        <v>0</v>
      </c>
      <c r="F213" s="224">
        <f t="shared" ref="F213:Q213" si="123">SUM(F206:F212)</f>
        <v>41497952.243735157</v>
      </c>
      <c r="G213" s="224">
        <f>SUM(G206:G212)</f>
        <v>38503038.164290354</v>
      </c>
      <c r="H213" s="358">
        <f>SUM(H206:H212)</f>
        <v>1</v>
      </c>
      <c r="I213" s="224">
        <f>MIN(ITCStateMax,ITCStatePercent*G213)</f>
        <v>0</v>
      </c>
      <c r="J213" s="224">
        <f>SUM(J206:J212)</f>
        <v>0</v>
      </c>
      <c r="K213" s="224">
        <f>ITCStateFixed</f>
        <v>20000</v>
      </c>
      <c r="L213" s="224">
        <f>SUM(L206:L212)</f>
        <v>10000</v>
      </c>
      <c r="M213" s="203">
        <f t="shared" si="123"/>
        <v>10000</v>
      </c>
      <c r="N213" s="203">
        <f t="shared" si="123"/>
        <v>0</v>
      </c>
      <c r="O213" s="224">
        <f t="shared" si="123"/>
        <v>41487952.243735157</v>
      </c>
      <c r="P213" s="224">
        <f t="shared" si="123"/>
        <v>1924651.9082145179</v>
      </c>
      <c r="Q213" s="224">
        <f t="shared" si="123"/>
        <v>39563300.33552064</v>
      </c>
    </row>
    <row r="215" spans="1:17">
      <c r="A215" s="37" t="s">
        <v>165</v>
      </c>
    </row>
    <row r="216" spans="1:17">
      <c r="A216" s="184" t="str">
        <f>A485</f>
        <v>Investment Based Incentive (IBI)</v>
      </c>
    </row>
    <row r="217" spans="1:17">
      <c r="A217" s="200" t="str">
        <f t="shared" ref="A217:A233" si="124">A486</f>
        <v>Fixed Amount ($)</v>
      </c>
    </row>
    <row r="218" spans="1:17">
      <c r="A218" s="213" t="str">
        <f t="shared" si="124"/>
        <v>Federal</v>
      </c>
      <c r="B218" s="152">
        <f>IF(IBIFedFixedStateDeprec="Yes",IBIFedFixed,0)</f>
        <v>1000</v>
      </c>
    </row>
    <row r="219" spans="1:17">
      <c r="A219" s="213" t="str">
        <f t="shared" si="124"/>
        <v>State</v>
      </c>
      <c r="B219" s="152">
        <f>IF(IBIStateFixedStateDeprec="Yes",IBIStateFixed,0)</f>
        <v>2000</v>
      </c>
    </row>
    <row r="220" spans="1:17">
      <c r="A220" s="213" t="str">
        <f t="shared" si="124"/>
        <v>Utility</v>
      </c>
      <c r="B220" s="152">
        <f>IF(IBIUtilityFixedStateDeprec="Yes",IBIUtilityFixed,0)</f>
        <v>0</v>
      </c>
    </row>
    <row r="221" spans="1:17">
      <c r="A221" s="213" t="str">
        <f t="shared" si="124"/>
        <v>Other</v>
      </c>
      <c r="B221" s="187">
        <f>IF(IBIOtherFixedStateDeprec="Yes",IBIOtherFixed,0)</f>
        <v>0</v>
      </c>
    </row>
    <row r="222" spans="1:17">
      <c r="A222" s="213" t="str">
        <f t="shared" si="124"/>
        <v>Total</v>
      </c>
      <c r="B222" s="152">
        <f>SUM(B218:B221)</f>
        <v>3000</v>
      </c>
    </row>
    <row r="223" spans="1:17">
      <c r="A223" s="200" t="str">
        <f t="shared" si="124"/>
        <v>Percentage of Pre-Financing Costs</v>
      </c>
    </row>
    <row r="224" spans="1:17">
      <c r="A224" s="213" t="str">
        <f t="shared" si="124"/>
        <v>Federal</v>
      </c>
      <c r="B224" s="152">
        <f>IF(IBIFedPercentStateDeprec="Yes",IBIFedPercent,0)</f>
        <v>0</v>
      </c>
    </row>
    <row r="225" spans="1:42">
      <c r="A225" s="213" t="str">
        <f>A494</f>
        <v>State</v>
      </c>
      <c r="B225" s="152">
        <f>IF(IBIStatePercentStateDeprec="Yes",IBIStatePercent,0)</f>
        <v>0</v>
      </c>
    </row>
    <row r="226" spans="1:42">
      <c r="A226" s="213" t="str">
        <f t="shared" si="124"/>
        <v>Utility</v>
      </c>
      <c r="B226" s="152">
        <f>IF(IBIUtilityPercentStateDeprec="Yes",IBIUtilityPercent,0)</f>
        <v>0</v>
      </c>
    </row>
    <row r="227" spans="1:42">
      <c r="A227" s="213" t="str">
        <f t="shared" si="124"/>
        <v>Other</v>
      </c>
      <c r="B227" s="187">
        <f>IF(IBIOtherPercentStateDeprec="Yes",IBIOtherPercent,0)</f>
        <v>0</v>
      </c>
    </row>
    <row r="228" spans="1:42">
      <c r="A228" s="213" t="str">
        <f t="shared" si="124"/>
        <v>Total</v>
      </c>
      <c r="B228" s="152">
        <f>SUM(B224:B227)</f>
        <v>0</v>
      </c>
    </row>
    <row r="229" spans="1:42">
      <c r="A229" s="184" t="str">
        <f t="shared" si="124"/>
        <v>Capacity Based Incentive (CBI)</v>
      </c>
    </row>
    <row r="230" spans="1:42">
      <c r="A230" s="200" t="str">
        <f t="shared" si="124"/>
        <v>Federal</v>
      </c>
      <c r="B230" s="152">
        <f>IF(CBIFedStateDeprec="Yes",CBIFed,0)</f>
        <v>0</v>
      </c>
    </row>
    <row r="231" spans="1:42">
      <c r="A231" s="200" t="str">
        <f>A500</f>
        <v>State</v>
      </c>
      <c r="B231" s="152">
        <f>IF(CBIStateStateDeprec="Yes",CBIState,0)</f>
        <v>0</v>
      </c>
    </row>
    <row r="232" spans="1:42">
      <c r="A232" s="200" t="str">
        <f t="shared" si="124"/>
        <v>Utility</v>
      </c>
      <c r="B232" s="152">
        <f>IF(CBIUtilityStateDeprec="Yes",CBIUtility,0)</f>
        <v>0</v>
      </c>
    </row>
    <row r="233" spans="1:42">
      <c r="A233" s="200" t="str">
        <f t="shared" si="124"/>
        <v>Other</v>
      </c>
      <c r="B233" s="187">
        <f>IF(CBIOtherStateDeprec="Yes",CBIOther,0)</f>
        <v>0</v>
      </c>
    </row>
    <row r="234" spans="1:42">
      <c r="A234" s="200" t="str">
        <f>A503</f>
        <v>Total</v>
      </c>
      <c r="B234" s="194">
        <f>SUM(B230:B233)</f>
        <v>0</v>
      </c>
    </row>
    <row r="235" spans="1:42">
      <c r="A235" s="184" t="s">
        <v>151</v>
      </c>
      <c r="B235" s="152">
        <f>B222+B228+B234</f>
        <v>3000</v>
      </c>
    </row>
    <row r="237" spans="1:42">
      <c r="A237" s="37" t="s">
        <v>252</v>
      </c>
    </row>
    <row r="238" spans="1:42">
      <c r="A238" s="184" t="s">
        <v>157</v>
      </c>
    </row>
    <row r="239" spans="1:42">
      <c r="A239" s="205" t="str">
        <f>A206</f>
        <v>5-yr MACRS</v>
      </c>
      <c r="B239" s="214">
        <f>SUM(C239:AP239)</f>
        <v>0.99999999999999989</v>
      </c>
      <c r="C239" s="215">
        <f>LOOKUP(C$2,'Depreciation Schedules'!$A$3:$A$42,'Depreciation Schedules'!$B$3:$B$42)</f>
        <v>0.2</v>
      </c>
      <c r="D239" s="215">
        <f>LOOKUP(D$2,'Depreciation Schedules'!$A$3:$A$42,'Depreciation Schedules'!$B$3:$B$42)</f>
        <v>0.32</v>
      </c>
      <c r="E239" s="215">
        <f>LOOKUP(E$2,'Depreciation Schedules'!$A$3:$A$42,'Depreciation Schedules'!$B$3:$B$42)</f>
        <v>0.192</v>
      </c>
      <c r="F239" s="215">
        <f>LOOKUP(F$2,'Depreciation Schedules'!$A$3:$A$42,'Depreciation Schedules'!$B$3:$B$42)</f>
        <v>0.1152</v>
      </c>
      <c r="G239" s="215">
        <f>LOOKUP(G$2,'Depreciation Schedules'!$A$3:$A$42,'Depreciation Schedules'!$B$3:$B$42)</f>
        <v>0.1152</v>
      </c>
      <c r="H239" s="215">
        <f>LOOKUP(H$2,'Depreciation Schedules'!$A$3:$A$42,'Depreciation Schedules'!$B$3:$B$42)</f>
        <v>5.7599999999999998E-2</v>
      </c>
      <c r="I239" s="215">
        <f>LOOKUP(I$2,'Depreciation Schedules'!$A$3:$A$42,'Depreciation Schedules'!$B$3:$B$42)</f>
        <v>0</v>
      </c>
      <c r="J239" s="215">
        <f>LOOKUP(J$2,'Depreciation Schedules'!$A$3:$A$42,'Depreciation Schedules'!$B$3:$B$42)</f>
        <v>0</v>
      </c>
      <c r="K239" s="215">
        <f>LOOKUP(K$2,'Depreciation Schedules'!$A$3:$A$42,'Depreciation Schedules'!$B$3:$B$42)</f>
        <v>0</v>
      </c>
      <c r="L239" s="215">
        <f>LOOKUP(L$2,'Depreciation Schedules'!$A$3:$A$42,'Depreciation Schedules'!$B$3:$B$42)</f>
        <v>0</v>
      </c>
      <c r="M239" s="215">
        <f>LOOKUP(M$2,'Depreciation Schedules'!$A$3:$A$42,'Depreciation Schedules'!$B$3:$B$42)</f>
        <v>0</v>
      </c>
      <c r="N239" s="215">
        <f>LOOKUP(N$2,'Depreciation Schedules'!$A$3:$A$42,'Depreciation Schedules'!$B$3:$B$42)</f>
        <v>0</v>
      </c>
      <c r="O239" s="215">
        <f>LOOKUP(O$2,'Depreciation Schedules'!$A$3:$A$42,'Depreciation Schedules'!$B$3:$B$42)</f>
        <v>0</v>
      </c>
      <c r="P239" s="215">
        <f>LOOKUP(P$2,'Depreciation Schedules'!$A$3:$A$42,'Depreciation Schedules'!$B$3:$B$42)</f>
        <v>0</v>
      </c>
      <c r="Q239" s="215">
        <f>LOOKUP(Q$2,'Depreciation Schedules'!$A$3:$A$42,'Depreciation Schedules'!$B$3:$B$42)</f>
        <v>0</v>
      </c>
      <c r="R239" s="215">
        <f>LOOKUP(R$2,'Depreciation Schedules'!$A$3:$A$42,'Depreciation Schedules'!$B$3:$B$42)</f>
        <v>0</v>
      </c>
      <c r="S239" s="215">
        <f>LOOKUP(S$2,'Depreciation Schedules'!$A$3:$A$42,'Depreciation Schedules'!$B$3:$B$42)</f>
        <v>0</v>
      </c>
      <c r="T239" s="215">
        <f>LOOKUP(T$2,'Depreciation Schedules'!$A$3:$A$42,'Depreciation Schedules'!$B$3:$B$42)</f>
        <v>0</v>
      </c>
      <c r="U239" s="215">
        <f>LOOKUP(U$2,'Depreciation Schedules'!$A$3:$A$42,'Depreciation Schedules'!$B$3:$B$42)</f>
        <v>0</v>
      </c>
      <c r="V239" s="215">
        <f>LOOKUP(V$2,'Depreciation Schedules'!$A$3:$A$42,'Depreciation Schedules'!$B$3:$B$42)</f>
        <v>0</v>
      </c>
      <c r="W239" s="215">
        <f>LOOKUP(W$2,'Depreciation Schedules'!$A$3:$A$42,'Depreciation Schedules'!$B$3:$B$42)</f>
        <v>0</v>
      </c>
      <c r="X239" s="215">
        <f>LOOKUP(X$2,'Depreciation Schedules'!$A$3:$A$42,'Depreciation Schedules'!$B$3:$B$42)</f>
        <v>0</v>
      </c>
      <c r="Y239" s="215">
        <f>LOOKUP(Y$2,'Depreciation Schedules'!$A$3:$A$42,'Depreciation Schedules'!$B$3:$B$42)</f>
        <v>0</v>
      </c>
      <c r="Z239" s="215">
        <f>LOOKUP(Z$2,'Depreciation Schedules'!$A$3:$A$42,'Depreciation Schedules'!$B$3:$B$42)</f>
        <v>0</v>
      </c>
      <c r="AA239" s="215">
        <f>LOOKUP(AA$2,'Depreciation Schedules'!$A$3:$A$42,'Depreciation Schedules'!$B$3:$B$42)</f>
        <v>0</v>
      </c>
      <c r="AB239" s="215">
        <f>LOOKUP(AB$2,'Depreciation Schedules'!$A$3:$A$42,'Depreciation Schedules'!$B$3:$B$42)</f>
        <v>0</v>
      </c>
      <c r="AC239" s="215">
        <f>LOOKUP(AC$2,'Depreciation Schedules'!$A$3:$A$42,'Depreciation Schedules'!$B$3:$B$42)</f>
        <v>0</v>
      </c>
      <c r="AD239" s="215">
        <f>LOOKUP(AD$2,'Depreciation Schedules'!$A$3:$A$42,'Depreciation Schedules'!$B$3:$B$42)</f>
        <v>0</v>
      </c>
      <c r="AE239" s="215">
        <f>LOOKUP(AE$2,'Depreciation Schedules'!$A$3:$A$42,'Depreciation Schedules'!$B$3:$B$42)</f>
        <v>0</v>
      </c>
      <c r="AF239" s="215">
        <f>LOOKUP(AF$2,'Depreciation Schedules'!$A$3:$A$42,'Depreciation Schedules'!$B$3:$B$42)</f>
        <v>0</v>
      </c>
      <c r="AG239" s="215">
        <f>LOOKUP(AG$2,'Depreciation Schedules'!$A$3:$A$42,'Depreciation Schedules'!$B$3:$B$42)</f>
        <v>0</v>
      </c>
      <c r="AH239" s="215">
        <f>LOOKUP(AH$2,'Depreciation Schedules'!$A$3:$A$42,'Depreciation Schedules'!$B$3:$B$42)</f>
        <v>0</v>
      </c>
      <c r="AI239" s="215">
        <f>LOOKUP(AI$2,'Depreciation Schedules'!$A$3:$A$42,'Depreciation Schedules'!$B$3:$B$42)</f>
        <v>0</v>
      </c>
      <c r="AJ239" s="215">
        <f>LOOKUP(AJ$2,'Depreciation Schedules'!$A$3:$A$42,'Depreciation Schedules'!$B$3:$B$42)</f>
        <v>0</v>
      </c>
      <c r="AK239" s="215">
        <f>LOOKUP(AK$2,'Depreciation Schedules'!$A$3:$A$42,'Depreciation Schedules'!$B$3:$B$42)</f>
        <v>0</v>
      </c>
      <c r="AL239" s="215">
        <f>LOOKUP(AL$2,'Depreciation Schedules'!$A$3:$A$42,'Depreciation Schedules'!$B$3:$B$42)</f>
        <v>0</v>
      </c>
      <c r="AM239" s="215">
        <f>LOOKUP(AM$2,'Depreciation Schedules'!$A$3:$A$42,'Depreciation Schedules'!$B$3:$B$42)</f>
        <v>0</v>
      </c>
      <c r="AN239" s="215">
        <f>LOOKUP(AN$2,'Depreciation Schedules'!$A$3:$A$42,'Depreciation Schedules'!$B$3:$B$42)</f>
        <v>0</v>
      </c>
      <c r="AO239" s="215">
        <f>LOOKUP(AO$2,'Depreciation Schedules'!$A$3:$A$42,'Depreciation Schedules'!$B$3:$B$42)</f>
        <v>0</v>
      </c>
      <c r="AP239" s="215">
        <f>LOOKUP(AP$2,'Depreciation Schedules'!$A$3:$A$42,'Depreciation Schedules'!$B$3:$B$42)</f>
        <v>0</v>
      </c>
    </row>
    <row r="240" spans="1:42">
      <c r="A240" s="205" t="str">
        <f t="shared" ref="A240:A244" si="125">A207</f>
        <v>15-yr MACRS</v>
      </c>
      <c r="B240" s="216">
        <f t="shared" ref="B240:B244" si="126">SUM(C240:AP240)</f>
        <v>1.0000000000000002</v>
      </c>
      <c r="C240" s="215">
        <f>LOOKUP(C$2,'Depreciation Schedules'!$A$3:$A$42,'Depreciation Schedules'!$C$3:$C$42)</f>
        <v>0.05</v>
      </c>
      <c r="D240" s="215">
        <f>LOOKUP(D$2,'Depreciation Schedules'!$A$3:$A$42,'Depreciation Schedules'!$C$3:$C$42)</f>
        <v>9.5000000000000001E-2</v>
      </c>
      <c r="E240" s="215">
        <f>LOOKUP(E$2,'Depreciation Schedules'!$A$3:$A$42,'Depreciation Schedules'!$C$3:$C$42)</f>
        <v>8.5500000000000007E-2</v>
      </c>
      <c r="F240" s="215">
        <f>LOOKUP(F$2,'Depreciation Schedules'!$A$3:$A$42,'Depreciation Schedules'!$C$3:$C$42)</f>
        <v>7.6999999999999999E-2</v>
      </c>
      <c r="G240" s="215">
        <f>LOOKUP(G$2,'Depreciation Schedules'!$A$3:$A$42,'Depreciation Schedules'!$C$3:$C$42)</f>
        <v>6.93E-2</v>
      </c>
      <c r="H240" s="215">
        <f>LOOKUP(H$2,'Depreciation Schedules'!$A$3:$A$42,'Depreciation Schedules'!$C$3:$C$42)</f>
        <v>6.2300000000000001E-2</v>
      </c>
      <c r="I240" s="215">
        <f>LOOKUP(I$2,'Depreciation Schedules'!$A$3:$A$42,'Depreciation Schedules'!$C$3:$C$42)</f>
        <v>5.8999999999999997E-2</v>
      </c>
      <c r="J240" s="215">
        <f>LOOKUP(J$2,'Depreciation Schedules'!$A$3:$A$42,'Depreciation Schedules'!$C$3:$C$42)</f>
        <v>5.8999999999999997E-2</v>
      </c>
      <c r="K240" s="215">
        <f>LOOKUP(K$2,'Depreciation Schedules'!$A$3:$A$42,'Depreciation Schedules'!$C$3:$C$42)</f>
        <v>5.91E-2</v>
      </c>
      <c r="L240" s="215">
        <f>LOOKUP(L$2,'Depreciation Schedules'!$A$3:$A$42,'Depreciation Schedules'!$C$3:$C$42)</f>
        <v>5.8999999999999997E-2</v>
      </c>
      <c r="M240" s="215">
        <f>LOOKUP(M$2,'Depreciation Schedules'!$A$3:$A$42,'Depreciation Schedules'!$C$3:$C$42)</f>
        <v>5.91E-2</v>
      </c>
      <c r="N240" s="215">
        <f>LOOKUP(N$2,'Depreciation Schedules'!$A$3:$A$42,'Depreciation Schedules'!$C$3:$C$42)</f>
        <v>5.8999999999999997E-2</v>
      </c>
      <c r="O240" s="215">
        <f>LOOKUP(O$2,'Depreciation Schedules'!$A$3:$A$42,'Depreciation Schedules'!$C$3:$C$42)</f>
        <v>5.91E-2</v>
      </c>
      <c r="P240" s="215">
        <f>LOOKUP(P$2,'Depreciation Schedules'!$A$3:$A$42,'Depreciation Schedules'!$C$3:$C$42)</f>
        <v>5.8999999999999997E-2</v>
      </c>
      <c r="Q240" s="215">
        <f>LOOKUP(Q$2,'Depreciation Schedules'!$A$3:$A$42,'Depreciation Schedules'!$C$3:$C$42)</f>
        <v>5.91E-2</v>
      </c>
      <c r="R240" s="215">
        <f>LOOKUP(R$2,'Depreciation Schedules'!$A$3:$A$42,'Depreciation Schedules'!$C$3:$C$42)</f>
        <v>2.9499999999999998E-2</v>
      </c>
      <c r="S240" s="215">
        <f>LOOKUP(S$2,'Depreciation Schedules'!$A$3:$A$42,'Depreciation Schedules'!$C$3:$C$42)</f>
        <v>0</v>
      </c>
      <c r="T240" s="215">
        <f>LOOKUP(T$2,'Depreciation Schedules'!$A$3:$A$42,'Depreciation Schedules'!$C$3:$C$42)</f>
        <v>0</v>
      </c>
      <c r="U240" s="215">
        <f>LOOKUP(U$2,'Depreciation Schedules'!$A$3:$A$42,'Depreciation Schedules'!$C$3:$C$42)</f>
        <v>0</v>
      </c>
      <c r="V240" s="215">
        <f>LOOKUP(V$2,'Depreciation Schedules'!$A$3:$A$42,'Depreciation Schedules'!$C$3:$C$42)</f>
        <v>0</v>
      </c>
      <c r="W240" s="215">
        <f>LOOKUP(W$2,'Depreciation Schedules'!$A$3:$A$42,'Depreciation Schedules'!$C$3:$C$42)</f>
        <v>0</v>
      </c>
      <c r="X240" s="215">
        <f>LOOKUP(X$2,'Depreciation Schedules'!$A$3:$A$42,'Depreciation Schedules'!$C$3:$C$42)</f>
        <v>0</v>
      </c>
      <c r="Y240" s="215">
        <f>LOOKUP(Y$2,'Depreciation Schedules'!$A$3:$A$42,'Depreciation Schedules'!$C$3:$C$42)</f>
        <v>0</v>
      </c>
      <c r="Z240" s="215">
        <f>LOOKUP(Z$2,'Depreciation Schedules'!$A$3:$A$42,'Depreciation Schedules'!$C$3:$C$42)</f>
        <v>0</v>
      </c>
      <c r="AA240" s="215">
        <f>LOOKUP(AA$2,'Depreciation Schedules'!$A$3:$A$42,'Depreciation Schedules'!$C$3:$C$42)</f>
        <v>0</v>
      </c>
      <c r="AB240" s="215">
        <f>LOOKUP(AB$2,'Depreciation Schedules'!$A$3:$A$42,'Depreciation Schedules'!$C$3:$C$42)</f>
        <v>0</v>
      </c>
      <c r="AC240" s="215">
        <f>LOOKUP(AC$2,'Depreciation Schedules'!$A$3:$A$42,'Depreciation Schedules'!$C$3:$C$42)</f>
        <v>0</v>
      </c>
      <c r="AD240" s="215">
        <f>LOOKUP(AD$2,'Depreciation Schedules'!$A$3:$A$42,'Depreciation Schedules'!$C$3:$C$42)</f>
        <v>0</v>
      </c>
      <c r="AE240" s="215">
        <f>LOOKUP(AE$2,'Depreciation Schedules'!$A$3:$A$42,'Depreciation Schedules'!$C$3:$C$42)</f>
        <v>0</v>
      </c>
      <c r="AF240" s="215">
        <f>LOOKUP(AF$2,'Depreciation Schedules'!$A$3:$A$42,'Depreciation Schedules'!$C$3:$C$42)</f>
        <v>0</v>
      </c>
      <c r="AG240" s="215">
        <f>LOOKUP(AG$2,'Depreciation Schedules'!$A$3:$A$42,'Depreciation Schedules'!$C$3:$C$42)</f>
        <v>0</v>
      </c>
      <c r="AH240" s="215">
        <f>LOOKUP(AH$2,'Depreciation Schedules'!$A$3:$A$42,'Depreciation Schedules'!$C$3:$C$42)</f>
        <v>0</v>
      </c>
      <c r="AI240" s="215">
        <f>LOOKUP(AI$2,'Depreciation Schedules'!$A$3:$A$42,'Depreciation Schedules'!$C$3:$C$42)</f>
        <v>0</v>
      </c>
      <c r="AJ240" s="215">
        <f>LOOKUP(AJ$2,'Depreciation Schedules'!$A$3:$A$42,'Depreciation Schedules'!$C$3:$C$42)</f>
        <v>0</v>
      </c>
      <c r="AK240" s="215">
        <f>LOOKUP(AK$2,'Depreciation Schedules'!$A$3:$A$42,'Depreciation Schedules'!$C$3:$C$42)</f>
        <v>0</v>
      </c>
      <c r="AL240" s="215">
        <f>LOOKUP(AL$2,'Depreciation Schedules'!$A$3:$A$42,'Depreciation Schedules'!$C$3:$C$42)</f>
        <v>0</v>
      </c>
      <c r="AM240" s="215">
        <f>LOOKUP(AM$2,'Depreciation Schedules'!$A$3:$A$42,'Depreciation Schedules'!$C$3:$C$42)</f>
        <v>0</v>
      </c>
      <c r="AN240" s="215">
        <f>LOOKUP(AN$2,'Depreciation Schedules'!$A$3:$A$42,'Depreciation Schedules'!$C$3:$C$42)</f>
        <v>0</v>
      </c>
      <c r="AO240" s="215">
        <f>LOOKUP(AO$2,'Depreciation Schedules'!$A$3:$A$42,'Depreciation Schedules'!$C$3:$C$42)</f>
        <v>0</v>
      </c>
      <c r="AP240" s="215">
        <f>LOOKUP(AP$2,'Depreciation Schedules'!$A$3:$A$42,'Depreciation Schedules'!$C$3:$C$42)</f>
        <v>0</v>
      </c>
    </row>
    <row r="241" spans="1:42">
      <c r="A241" s="205" t="str">
        <f t="shared" si="125"/>
        <v>5-yr SL</v>
      </c>
      <c r="B241" s="216">
        <f t="shared" si="126"/>
        <v>0.99999999999999989</v>
      </c>
      <c r="C241" s="215">
        <f>LOOKUP(C$2,'Depreciation Schedules'!$A$3:$A$42,'Depreciation Schedules'!$D$3:$D$42)</f>
        <v>0.1</v>
      </c>
      <c r="D241" s="215">
        <f>LOOKUP(D$2,'Depreciation Schedules'!$A$3:$A$42,'Depreciation Schedules'!$D$3:$D$42)</f>
        <v>0.2</v>
      </c>
      <c r="E241" s="215">
        <f>LOOKUP(E$2,'Depreciation Schedules'!$A$3:$A$42,'Depreciation Schedules'!$D$3:$D$42)</f>
        <v>0.2</v>
      </c>
      <c r="F241" s="215">
        <f>LOOKUP(F$2,'Depreciation Schedules'!$A$3:$A$42,'Depreciation Schedules'!$D$3:$D$42)</f>
        <v>0.2</v>
      </c>
      <c r="G241" s="215">
        <f>LOOKUP(G$2,'Depreciation Schedules'!$A$3:$A$42,'Depreciation Schedules'!$D$3:$D$42)</f>
        <v>0.2</v>
      </c>
      <c r="H241" s="215">
        <f>LOOKUP(H$2,'Depreciation Schedules'!$A$3:$A$42,'Depreciation Schedules'!$D$3:$D$42)</f>
        <v>0.1</v>
      </c>
      <c r="I241" s="215">
        <f>LOOKUP(I$2,'Depreciation Schedules'!$A$3:$A$42,'Depreciation Schedules'!$D$3:$D$42)</f>
        <v>0</v>
      </c>
      <c r="J241" s="215">
        <f>LOOKUP(J$2,'Depreciation Schedules'!$A$3:$A$42,'Depreciation Schedules'!$D$3:$D$42)</f>
        <v>0</v>
      </c>
      <c r="K241" s="215">
        <f>LOOKUP(K$2,'Depreciation Schedules'!$A$3:$A$42,'Depreciation Schedules'!$D$3:$D$42)</f>
        <v>0</v>
      </c>
      <c r="L241" s="215">
        <f>LOOKUP(L$2,'Depreciation Schedules'!$A$3:$A$42,'Depreciation Schedules'!$D$3:$D$42)</f>
        <v>0</v>
      </c>
      <c r="M241" s="215">
        <f>LOOKUP(M$2,'Depreciation Schedules'!$A$3:$A$42,'Depreciation Schedules'!$D$3:$D$42)</f>
        <v>0</v>
      </c>
      <c r="N241" s="215">
        <f>LOOKUP(N$2,'Depreciation Schedules'!$A$3:$A$42,'Depreciation Schedules'!$D$3:$D$42)</f>
        <v>0</v>
      </c>
      <c r="O241" s="215">
        <f>LOOKUP(O$2,'Depreciation Schedules'!$A$3:$A$42,'Depreciation Schedules'!$D$3:$D$42)</f>
        <v>0</v>
      </c>
      <c r="P241" s="215">
        <f>LOOKUP(P$2,'Depreciation Schedules'!$A$3:$A$42,'Depreciation Schedules'!$D$3:$D$42)</f>
        <v>0</v>
      </c>
      <c r="Q241" s="215">
        <f>LOOKUP(Q$2,'Depreciation Schedules'!$A$3:$A$42,'Depreciation Schedules'!$D$3:$D$42)</f>
        <v>0</v>
      </c>
      <c r="R241" s="215">
        <f>LOOKUP(R$2,'Depreciation Schedules'!$A$3:$A$42,'Depreciation Schedules'!$D$3:$D$42)</f>
        <v>0</v>
      </c>
      <c r="S241" s="215">
        <f>LOOKUP(S$2,'Depreciation Schedules'!$A$3:$A$42,'Depreciation Schedules'!$D$3:$D$42)</f>
        <v>0</v>
      </c>
      <c r="T241" s="215">
        <f>LOOKUP(T$2,'Depreciation Schedules'!$A$3:$A$42,'Depreciation Schedules'!$D$3:$D$42)</f>
        <v>0</v>
      </c>
      <c r="U241" s="215">
        <f>LOOKUP(U$2,'Depreciation Schedules'!$A$3:$A$42,'Depreciation Schedules'!$D$3:$D$42)</f>
        <v>0</v>
      </c>
      <c r="V241" s="215">
        <f>LOOKUP(V$2,'Depreciation Schedules'!$A$3:$A$42,'Depreciation Schedules'!$D$3:$D$42)</f>
        <v>0</v>
      </c>
      <c r="W241" s="215">
        <f>LOOKUP(W$2,'Depreciation Schedules'!$A$3:$A$42,'Depreciation Schedules'!$D$3:$D$42)</f>
        <v>0</v>
      </c>
      <c r="X241" s="215">
        <f>LOOKUP(X$2,'Depreciation Schedules'!$A$3:$A$42,'Depreciation Schedules'!$D$3:$D$42)</f>
        <v>0</v>
      </c>
      <c r="Y241" s="215">
        <f>LOOKUP(Y$2,'Depreciation Schedules'!$A$3:$A$42,'Depreciation Schedules'!$D$3:$D$42)</f>
        <v>0</v>
      </c>
      <c r="Z241" s="215">
        <f>LOOKUP(Z$2,'Depreciation Schedules'!$A$3:$A$42,'Depreciation Schedules'!$D$3:$D$42)</f>
        <v>0</v>
      </c>
      <c r="AA241" s="215">
        <f>LOOKUP(AA$2,'Depreciation Schedules'!$A$3:$A$42,'Depreciation Schedules'!$D$3:$D$42)</f>
        <v>0</v>
      </c>
      <c r="AB241" s="215">
        <f>LOOKUP(AB$2,'Depreciation Schedules'!$A$3:$A$42,'Depreciation Schedules'!$D$3:$D$42)</f>
        <v>0</v>
      </c>
      <c r="AC241" s="215">
        <f>LOOKUP(AC$2,'Depreciation Schedules'!$A$3:$A$42,'Depreciation Schedules'!$D$3:$D$42)</f>
        <v>0</v>
      </c>
      <c r="AD241" s="215">
        <f>LOOKUP(AD$2,'Depreciation Schedules'!$A$3:$A$42,'Depreciation Schedules'!$D$3:$D$42)</f>
        <v>0</v>
      </c>
      <c r="AE241" s="215">
        <f>LOOKUP(AE$2,'Depreciation Schedules'!$A$3:$A$42,'Depreciation Schedules'!$D$3:$D$42)</f>
        <v>0</v>
      </c>
      <c r="AF241" s="215">
        <f>LOOKUP(AF$2,'Depreciation Schedules'!$A$3:$A$42,'Depreciation Schedules'!$D$3:$D$42)</f>
        <v>0</v>
      </c>
      <c r="AG241" s="215">
        <f>LOOKUP(AG$2,'Depreciation Schedules'!$A$3:$A$42,'Depreciation Schedules'!$D$3:$D$42)</f>
        <v>0</v>
      </c>
      <c r="AH241" s="215">
        <f>LOOKUP(AH$2,'Depreciation Schedules'!$A$3:$A$42,'Depreciation Schedules'!$D$3:$D$42)</f>
        <v>0</v>
      </c>
      <c r="AI241" s="215">
        <f>LOOKUP(AI$2,'Depreciation Schedules'!$A$3:$A$42,'Depreciation Schedules'!$D$3:$D$42)</f>
        <v>0</v>
      </c>
      <c r="AJ241" s="215">
        <f>LOOKUP(AJ$2,'Depreciation Schedules'!$A$3:$A$42,'Depreciation Schedules'!$D$3:$D$42)</f>
        <v>0</v>
      </c>
      <c r="AK241" s="215">
        <f>LOOKUP(AK$2,'Depreciation Schedules'!$A$3:$A$42,'Depreciation Schedules'!$D$3:$D$42)</f>
        <v>0</v>
      </c>
      <c r="AL241" s="215">
        <f>LOOKUP(AL$2,'Depreciation Schedules'!$A$3:$A$42,'Depreciation Schedules'!$D$3:$D$42)</f>
        <v>0</v>
      </c>
      <c r="AM241" s="215">
        <f>LOOKUP(AM$2,'Depreciation Schedules'!$A$3:$A$42,'Depreciation Schedules'!$D$3:$D$42)</f>
        <v>0</v>
      </c>
      <c r="AN241" s="215">
        <f>LOOKUP(AN$2,'Depreciation Schedules'!$A$3:$A$42,'Depreciation Schedules'!$D$3:$D$42)</f>
        <v>0</v>
      </c>
      <c r="AO241" s="215">
        <f>LOOKUP(AO$2,'Depreciation Schedules'!$A$3:$A$42,'Depreciation Schedules'!$D$3:$D$42)</f>
        <v>0</v>
      </c>
      <c r="AP241" s="215">
        <f>LOOKUP(AP$2,'Depreciation Schedules'!$A$3:$A$42,'Depreciation Schedules'!$D$3:$D$42)</f>
        <v>0</v>
      </c>
    </row>
    <row r="242" spans="1:42">
      <c r="A242" s="205" t="str">
        <f t="shared" si="125"/>
        <v>15-yr SL</v>
      </c>
      <c r="B242" s="216">
        <f t="shared" si="126"/>
        <v>0.99999999999999989</v>
      </c>
      <c r="C242" s="215">
        <f>LOOKUP(C$2,'Depreciation Schedules'!$A$3:$A$42,'Depreciation Schedules'!$E$3:$E$42)</f>
        <v>3.3300000000000003E-2</v>
      </c>
      <c r="D242" s="215">
        <f>LOOKUP(D$2,'Depreciation Schedules'!$A$3:$A$42,'Depreciation Schedules'!$E$3:$E$42)</f>
        <v>6.6699999999999995E-2</v>
      </c>
      <c r="E242" s="215">
        <f>LOOKUP(E$2,'Depreciation Schedules'!$A$3:$A$42,'Depreciation Schedules'!$E$3:$E$42)</f>
        <v>6.6699999999999995E-2</v>
      </c>
      <c r="F242" s="215">
        <f>LOOKUP(F$2,'Depreciation Schedules'!$A$3:$A$42,'Depreciation Schedules'!$E$3:$E$42)</f>
        <v>6.6699999999999995E-2</v>
      </c>
      <c r="G242" s="215">
        <f>LOOKUP(G$2,'Depreciation Schedules'!$A$3:$A$42,'Depreciation Schedules'!$E$3:$E$42)</f>
        <v>6.6699999999999995E-2</v>
      </c>
      <c r="H242" s="215">
        <f>LOOKUP(H$2,'Depreciation Schedules'!$A$3:$A$42,'Depreciation Schedules'!$E$3:$E$42)</f>
        <v>6.6699999999999995E-2</v>
      </c>
      <c r="I242" s="215">
        <f>LOOKUP(I$2,'Depreciation Schedules'!$A$3:$A$42,'Depreciation Schedules'!$E$3:$E$42)</f>
        <v>6.6699999999999995E-2</v>
      </c>
      <c r="J242" s="215">
        <f>LOOKUP(J$2,'Depreciation Schedules'!$A$3:$A$42,'Depreciation Schedules'!$E$3:$E$42)</f>
        <v>6.6600000000000006E-2</v>
      </c>
      <c r="K242" s="215">
        <f>LOOKUP(K$2,'Depreciation Schedules'!$A$3:$A$42,'Depreciation Schedules'!$E$3:$E$42)</f>
        <v>6.6699999999999995E-2</v>
      </c>
      <c r="L242" s="215">
        <f>LOOKUP(L$2,'Depreciation Schedules'!$A$3:$A$42,'Depreciation Schedules'!$E$3:$E$42)</f>
        <v>6.6600000000000006E-2</v>
      </c>
      <c r="M242" s="215">
        <f>LOOKUP(M$2,'Depreciation Schedules'!$A$3:$A$42,'Depreciation Schedules'!$E$3:$E$42)</f>
        <v>6.6699999999999995E-2</v>
      </c>
      <c r="N242" s="215">
        <f>LOOKUP(N$2,'Depreciation Schedules'!$A$3:$A$42,'Depreciation Schedules'!$E$3:$E$42)</f>
        <v>6.6600000000000006E-2</v>
      </c>
      <c r="O242" s="215">
        <f>LOOKUP(O$2,'Depreciation Schedules'!$A$3:$A$42,'Depreciation Schedules'!$E$3:$E$42)</f>
        <v>6.6699999999999995E-2</v>
      </c>
      <c r="P242" s="215">
        <f>LOOKUP(P$2,'Depreciation Schedules'!$A$3:$A$42,'Depreciation Schedules'!$E$3:$E$42)</f>
        <v>6.6600000000000006E-2</v>
      </c>
      <c r="Q242" s="215">
        <f>LOOKUP(Q$2,'Depreciation Schedules'!$A$3:$A$42,'Depreciation Schedules'!$E$3:$E$42)</f>
        <v>6.6699999999999995E-2</v>
      </c>
      <c r="R242" s="215">
        <f>LOOKUP(R$2,'Depreciation Schedules'!$A$3:$A$42,'Depreciation Schedules'!$E$3:$E$42)</f>
        <v>3.3300000000000003E-2</v>
      </c>
      <c r="S242" s="215">
        <f>LOOKUP(S$2,'Depreciation Schedules'!$A$3:$A$42,'Depreciation Schedules'!$E$3:$E$42)</f>
        <v>0</v>
      </c>
      <c r="T242" s="215">
        <f>LOOKUP(T$2,'Depreciation Schedules'!$A$3:$A$42,'Depreciation Schedules'!$E$3:$E$42)</f>
        <v>0</v>
      </c>
      <c r="U242" s="215">
        <f>LOOKUP(U$2,'Depreciation Schedules'!$A$3:$A$42,'Depreciation Schedules'!$E$3:$E$42)</f>
        <v>0</v>
      </c>
      <c r="V242" s="215">
        <f>LOOKUP(V$2,'Depreciation Schedules'!$A$3:$A$42,'Depreciation Schedules'!$E$3:$E$42)</f>
        <v>0</v>
      </c>
      <c r="W242" s="215">
        <f>LOOKUP(W$2,'Depreciation Schedules'!$A$3:$A$42,'Depreciation Schedules'!$E$3:$E$42)</f>
        <v>0</v>
      </c>
      <c r="X242" s="215">
        <f>LOOKUP(X$2,'Depreciation Schedules'!$A$3:$A$42,'Depreciation Schedules'!$E$3:$E$42)</f>
        <v>0</v>
      </c>
      <c r="Y242" s="215">
        <f>LOOKUP(Y$2,'Depreciation Schedules'!$A$3:$A$42,'Depreciation Schedules'!$E$3:$E$42)</f>
        <v>0</v>
      </c>
      <c r="Z242" s="215">
        <f>LOOKUP(Z$2,'Depreciation Schedules'!$A$3:$A$42,'Depreciation Schedules'!$E$3:$E$42)</f>
        <v>0</v>
      </c>
      <c r="AA242" s="215">
        <f>LOOKUP(AA$2,'Depreciation Schedules'!$A$3:$A$42,'Depreciation Schedules'!$E$3:$E$42)</f>
        <v>0</v>
      </c>
      <c r="AB242" s="215">
        <f>LOOKUP(AB$2,'Depreciation Schedules'!$A$3:$A$42,'Depreciation Schedules'!$E$3:$E$42)</f>
        <v>0</v>
      </c>
      <c r="AC242" s="215">
        <f>LOOKUP(AC$2,'Depreciation Schedules'!$A$3:$A$42,'Depreciation Schedules'!$E$3:$E$42)</f>
        <v>0</v>
      </c>
      <c r="AD242" s="215">
        <f>LOOKUP(AD$2,'Depreciation Schedules'!$A$3:$A$42,'Depreciation Schedules'!$E$3:$E$42)</f>
        <v>0</v>
      </c>
      <c r="AE242" s="215">
        <f>LOOKUP(AE$2,'Depreciation Schedules'!$A$3:$A$42,'Depreciation Schedules'!$E$3:$E$42)</f>
        <v>0</v>
      </c>
      <c r="AF242" s="215">
        <f>LOOKUP(AF$2,'Depreciation Schedules'!$A$3:$A$42,'Depreciation Schedules'!$E$3:$E$42)</f>
        <v>0</v>
      </c>
      <c r="AG242" s="215">
        <f>LOOKUP(AG$2,'Depreciation Schedules'!$A$3:$A$42,'Depreciation Schedules'!$E$3:$E$42)</f>
        <v>0</v>
      </c>
      <c r="AH242" s="215">
        <f>LOOKUP(AH$2,'Depreciation Schedules'!$A$3:$A$42,'Depreciation Schedules'!$E$3:$E$42)</f>
        <v>0</v>
      </c>
      <c r="AI242" s="215">
        <f>LOOKUP(AI$2,'Depreciation Schedules'!$A$3:$A$42,'Depreciation Schedules'!$E$3:$E$42)</f>
        <v>0</v>
      </c>
      <c r="AJ242" s="215">
        <f>LOOKUP(AJ$2,'Depreciation Schedules'!$A$3:$A$42,'Depreciation Schedules'!$E$3:$E$42)</f>
        <v>0</v>
      </c>
      <c r="AK242" s="215">
        <f>LOOKUP(AK$2,'Depreciation Schedules'!$A$3:$A$42,'Depreciation Schedules'!$E$3:$E$42)</f>
        <v>0</v>
      </c>
      <c r="AL242" s="215">
        <f>LOOKUP(AL$2,'Depreciation Schedules'!$A$3:$A$42,'Depreciation Schedules'!$E$3:$E$42)</f>
        <v>0</v>
      </c>
      <c r="AM242" s="215">
        <f>LOOKUP(AM$2,'Depreciation Schedules'!$A$3:$A$42,'Depreciation Schedules'!$E$3:$E$42)</f>
        <v>0</v>
      </c>
      <c r="AN242" s="215">
        <f>LOOKUP(AN$2,'Depreciation Schedules'!$A$3:$A$42,'Depreciation Schedules'!$E$3:$E$42)</f>
        <v>0</v>
      </c>
      <c r="AO242" s="215">
        <f>LOOKUP(AO$2,'Depreciation Schedules'!$A$3:$A$42,'Depreciation Schedules'!$E$3:$E$42)</f>
        <v>0</v>
      </c>
      <c r="AP242" s="215">
        <f>LOOKUP(AP$2,'Depreciation Schedules'!$A$3:$A$42,'Depreciation Schedules'!$E$3:$E$42)</f>
        <v>0</v>
      </c>
    </row>
    <row r="243" spans="1:42">
      <c r="A243" s="205" t="str">
        <f t="shared" si="125"/>
        <v>20-yr SL</v>
      </c>
      <c r="B243" s="216">
        <f t="shared" si="126"/>
        <v>1.0000000000000002</v>
      </c>
      <c r="C243" s="215">
        <f>LOOKUP(C$2,'Depreciation Schedules'!$A$3:$A$42,'Depreciation Schedules'!$F$3:$F$42)</f>
        <v>2.5000000000000001E-2</v>
      </c>
      <c r="D243" s="215">
        <f>LOOKUP(D$2,'Depreciation Schedules'!$A$3:$A$42,'Depreciation Schedules'!$F$3:$F$42)</f>
        <v>0.05</v>
      </c>
      <c r="E243" s="215">
        <f>LOOKUP(E$2,'Depreciation Schedules'!$A$3:$A$42,'Depreciation Schedules'!$F$3:$F$42)</f>
        <v>0.05</v>
      </c>
      <c r="F243" s="215">
        <f>LOOKUP(F$2,'Depreciation Schedules'!$A$3:$A$42,'Depreciation Schedules'!$F$3:$F$42)</f>
        <v>0.05</v>
      </c>
      <c r="G243" s="215">
        <f>LOOKUP(G$2,'Depreciation Schedules'!$A$3:$A$42,'Depreciation Schedules'!$F$3:$F$42)</f>
        <v>0.05</v>
      </c>
      <c r="H243" s="215">
        <f>LOOKUP(H$2,'Depreciation Schedules'!$A$3:$A$42,'Depreciation Schedules'!$F$3:$F$42)</f>
        <v>0.05</v>
      </c>
      <c r="I243" s="215">
        <f>LOOKUP(I$2,'Depreciation Schedules'!$A$3:$A$42,'Depreciation Schedules'!$F$3:$F$42)</f>
        <v>0.05</v>
      </c>
      <c r="J243" s="215">
        <f>LOOKUP(J$2,'Depreciation Schedules'!$A$3:$A$42,'Depreciation Schedules'!$F$3:$F$42)</f>
        <v>0.05</v>
      </c>
      <c r="K243" s="215">
        <f>LOOKUP(K$2,'Depreciation Schedules'!$A$3:$A$42,'Depreciation Schedules'!$F$3:$F$42)</f>
        <v>0.05</v>
      </c>
      <c r="L243" s="215">
        <f>LOOKUP(L$2,'Depreciation Schedules'!$A$3:$A$42,'Depreciation Schedules'!$F$3:$F$42)</f>
        <v>0.05</v>
      </c>
      <c r="M243" s="215">
        <f>LOOKUP(M$2,'Depreciation Schedules'!$A$3:$A$42,'Depreciation Schedules'!$F$3:$F$42)</f>
        <v>0.05</v>
      </c>
      <c r="N243" s="215">
        <f>LOOKUP(N$2,'Depreciation Schedules'!$A$3:$A$42,'Depreciation Schedules'!$F$3:$F$42)</f>
        <v>0.05</v>
      </c>
      <c r="O243" s="215">
        <f>LOOKUP(O$2,'Depreciation Schedules'!$A$3:$A$42,'Depreciation Schedules'!$F$3:$F$42)</f>
        <v>0.05</v>
      </c>
      <c r="P243" s="215">
        <f>LOOKUP(P$2,'Depreciation Schedules'!$A$3:$A$42,'Depreciation Schedules'!$F$3:$F$42)</f>
        <v>0.05</v>
      </c>
      <c r="Q243" s="215">
        <f>LOOKUP(Q$2,'Depreciation Schedules'!$A$3:$A$42,'Depreciation Schedules'!$F$3:$F$42)</f>
        <v>0.05</v>
      </c>
      <c r="R243" s="215">
        <f>LOOKUP(R$2,'Depreciation Schedules'!$A$3:$A$42,'Depreciation Schedules'!$F$3:$F$42)</f>
        <v>0.05</v>
      </c>
      <c r="S243" s="215">
        <f>LOOKUP(S$2,'Depreciation Schedules'!$A$3:$A$42,'Depreciation Schedules'!$F$3:$F$42)</f>
        <v>0.05</v>
      </c>
      <c r="T243" s="215">
        <f>LOOKUP(T$2,'Depreciation Schedules'!$A$3:$A$42,'Depreciation Schedules'!$F$3:$F$42)</f>
        <v>0.05</v>
      </c>
      <c r="U243" s="215">
        <f>LOOKUP(U$2,'Depreciation Schedules'!$A$3:$A$42,'Depreciation Schedules'!$F$3:$F$42)</f>
        <v>0.05</v>
      </c>
      <c r="V243" s="215">
        <f>LOOKUP(V$2,'Depreciation Schedules'!$A$3:$A$42,'Depreciation Schedules'!$F$3:$F$42)</f>
        <v>0.05</v>
      </c>
      <c r="W243" s="215">
        <f>LOOKUP(W$2,'Depreciation Schedules'!$A$3:$A$42,'Depreciation Schedules'!$F$3:$F$42)</f>
        <v>2.5000000000000001E-2</v>
      </c>
      <c r="X243" s="215">
        <f>LOOKUP(X$2,'Depreciation Schedules'!$A$3:$A$42,'Depreciation Schedules'!$F$3:$F$42)</f>
        <v>0</v>
      </c>
      <c r="Y243" s="215">
        <f>LOOKUP(Y$2,'Depreciation Schedules'!$A$3:$A$42,'Depreciation Schedules'!$F$3:$F$42)</f>
        <v>0</v>
      </c>
      <c r="Z243" s="215">
        <f>LOOKUP(Z$2,'Depreciation Schedules'!$A$3:$A$42,'Depreciation Schedules'!$F$3:$F$42)</f>
        <v>0</v>
      </c>
      <c r="AA243" s="215">
        <f>LOOKUP(AA$2,'Depreciation Schedules'!$A$3:$A$42,'Depreciation Schedules'!$F$3:$F$42)</f>
        <v>0</v>
      </c>
      <c r="AB243" s="215">
        <f>LOOKUP(AB$2,'Depreciation Schedules'!$A$3:$A$42,'Depreciation Schedules'!$F$3:$F$42)</f>
        <v>0</v>
      </c>
      <c r="AC243" s="215">
        <f>LOOKUP(AC$2,'Depreciation Schedules'!$A$3:$A$42,'Depreciation Schedules'!$F$3:$F$42)</f>
        <v>0</v>
      </c>
      <c r="AD243" s="215">
        <f>LOOKUP(AD$2,'Depreciation Schedules'!$A$3:$A$42,'Depreciation Schedules'!$F$3:$F$42)</f>
        <v>0</v>
      </c>
      <c r="AE243" s="215">
        <f>LOOKUP(AE$2,'Depreciation Schedules'!$A$3:$A$42,'Depreciation Schedules'!$F$3:$F$42)</f>
        <v>0</v>
      </c>
      <c r="AF243" s="215">
        <f>LOOKUP(AF$2,'Depreciation Schedules'!$A$3:$A$42,'Depreciation Schedules'!$F$3:$F$42)</f>
        <v>0</v>
      </c>
      <c r="AG243" s="215">
        <f>LOOKUP(AG$2,'Depreciation Schedules'!$A$3:$A$42,'Depreciation Schedules'!$F$3:$F$42)</f>
        <v>0</v>
      </c>
      <c r="AH243" s="215">
        <f>LOOKUP(AH$2,'Depreciation Schedules'!$A$3:$A$42,'Depreciation Schedules'!$F$3:$F$42)</f>
        <v>0</v>
      </c>
      <c r="AI243" s="215">
        <f>LOOKUP(AI$2,'Depreciation Schedules'!$A$3:$A$42,'Depreciation Schedules'!$F$3:$F$42)</f>
        <v>0</v>
      </c>
      <c r="AJ243" s="215">
        <f>LOOKUP(AJ$2,'Depreciation Schedules'!$A$3:$A$42,'Depreciation Schedules'!$F$3:$F$42)</f>
        <v>0</v>
      </c>
      <c r="AK243" s="215">
        <f>LOOKUP(AK$2,'Depreciation Schedules'!$A$3:$A$42,'Depreciation Schedules'!$F$3:$F$42)</f>
        <v>0</v>
      </c>
      <c r="AL243" s="215">
        <f>LOOKUP(AL$2,'Depreciation Schedules'!$A$3:$A$42,'Depreciation Schedules'!$F$3:$F$42)</f>
        <v>0</v>
      </c>
      <c r="AM243" s="215">
        <f>LOOKUP(AM$2,'Depreciation Schedules'!$A$3:$A$42,'Depreciation Schedules'!$F$3:$F$42)</f>
        <v>0</v>
      </c>
      <c r="AN243" s="215">
        <f>LOOKUP(AN$2,'Depreciation Schedules'!$A$3:$A$42,'Depreciation Schedules'!$F$3:$F$42)</f>
        <v>0</v>
      </c>
      <c r="AO243" s="215">
        <f>LOOKUP(AO$2,'Depreciation Schedules'!$A$3:$A$42,'Depreciation Schedules'!$F$3:$F$42)</f>
        <v>0</v>
      </c>
      <c r="AP243" s="215">
        <f>LOOKUP(AP$2,'Depreciation Schedules'!$A$3:$A$42,'Depreciation Schedules'!$F$3:$F$42)</f>
        <v>0</v>
      </c>
    </row>
    <row r="244" spans="1:42">
      <c r="A244" s="205" t="str">
        <f t="shared" si="125"/>
        <v>39-yr SL</v>
      </c>
      <c r="B244" s="217">
        <f t="shared" si="126"/>
        <v>1.0000000000000004</v>
      </c>
      <c r="C244" s="215">
        <f>LOOKUP(C$2,'Depreciation Schedules'!$A$3:$A$42,'Depreciation Schedules'!$G$3:$G$42)</f>
        <v>1.2820512820512799E-2</v>
      </c>
      <c r="D244" s="215">
        <f>LOOKUP(D$2,'Depreciation Schedules'!$A$3:$A$42,'Depreciation Schedules'!$G$3:$G$42)</f>
        <v>2.564102564102564E-2</v>
      </c>
      <c r="E244" s="215">
        <f>LOOKUP(E$2,'Depreciation Schedules'!$A$3:$A$42,'Depreciation Schedules'!$G$3:$G$42)</f>
        <v>2.564102564102564E-2</v>
      </c>
      <c r="F244" s="215">
        <f>LOOKUP(F$2,'Depreciation Schedules'!$A$3:$A$42,'Depreciation Schedules'!$G$3:$G$42)</f>
        <v>2.564102564102564E-2</v>
      </c>
      <c r="G244" s="215">
        <f>LOOKUP(G$2,'Depreciation Schedules'!$A$3:$A$42,'Depreciation Schedules'!$G$3:$G$42)</f>
        <v>2.564102564102564E-2</v>
      </c>
      <c r="H244" s="215">
        <f>LOOKUP(H$2,'Depreciation Schedules'!$A$3:$A$42,'Depreciation Schedules'!$G$3:$G$42)</f>
        <v>2.564102564102564E-2</v>
      </c>
      <c r="I244" s="215">
        <f>LOOKUP(I$2,'Depreciation Schedules'!$A$3:$A$42,'Depreciation Schedules'!$G$3:$G$42)</f>
        <v>2.564102564102564E-2</v>
      </c>
      <c r="J244" s="215">
        <f>LOOKUP(J$2,'Depreciation Schedules'!$A$3:$A$42,'Depreciation Schedules'!$G$3:$G$42)</f>
        <v>2.564102564102564E-2</v>
      </c>
      <c r="K244" s="215">
        <f>LOOKUP(K$2,'Depreciation Schedules'!$A$3:$A$42,'Depreciation Schedules'!$G$3:$G$42)</f>
        <v>2.564102564102564E-2</v>
      </c>
      <c r="L244" s="215">
        <f>LOOKUP(L$2,'Depreciation Schedules'!$A$3:$A$42,'Depreciation Schedules'!$G$3:$G$42)</f>
        <v>2.564102564102564E-2</v>
      </c>
      <c r="M244" s="215">
        <f>LOOKUP(M$2,'Depreciation Schedules'!$A$3:$A$42,'Depreciation Schedules'!$G$3:$G$42)</f>
        <v>2.564102564102564E-2</v>
      </c>
      <c r="N244" s="215">
        <f>LOOKUP(N$2,'Depreciation Schedules'!$A$3:$A$42,'Depreciation Schedules'!$G$3:$G$42)</f>
        <v>2.564102564102564E-2</v>
      </c>
      <c r="O244" s="215">
        <f>LOOKUP(O$2,'Depreciation Schedules'!$A$3:$A$42,'Depreciation Schedules'!$G$3:$G$42)</f>
        <v>2.564102564102564E-2</v>
      </c>
      <c r="P244" s="215">
        <f>LOOKUP(P$2,'Depreciation Schedules'!$A$3:$A$42,'Depreciation Schedules'!$G$3:$G$42)</f>
        <v>2.564102564102564E-2</v>
      </c>
      <c r="Q244" s="215">
        <f>LOOKUP(Q$2,'Depreciation Schedules'!$A$3:$A$42,'Depreciation Schedules'!$G$3:$G$42)</f>
        <v>2.564102564102564E-2</v>
      </c>
      <c r="R244" s="215">
        <f>LOOKUP(R$2,'Depreciation Schedules'!$A$3:$A$42,'Depreciation Schedules'!$G$3:$G$42)</f>
        <v>2.564102564102564E-2</v>
      </c>
      <c r="S244" s="215">
        <f>LOOKUP(S$2,'Depreciation Schedules'!$A$3:$A$42,'Depreciation Schedules'!$G$3:$G$42)</f>
        <v>2.564102564102564E-2</v>
      </c>
      <c r="T244" s="215">
        <f>LOOKUP(T$2,'Depreciation Schedules'!$A$3:$A$42,'Depreciation Schedules'!$G$3:$G$42)</f>
        <v>2.564102564102564E-2</v>
      </c>
      <c r="U244" s="215">
        <f>LOOKUP(U$2,'Depreciation Schedules'!$A$3:$A$42,'Depreciation Schedules'!$G$3:$G$42)</f>
        <v>2.564102564102564E-2</v>
      </c>
      <c r="V244" s="215">
        <f>LOOKUP(V$2,'Depreciation Schedules'!$A$3:$A$42,'Depreciation Schedules'!$G$3:$G$42)</f>
        <v>2.564102564102564E-2</v>
      </c>
      <c r="W244" s="215">
        <f>LOOKUP(W$2,'Depreciation Schedules'!$A$3:$A$42,'Depreciation Schedules'!$G$3:$G$42)</f>
        <v>2.564102564102564E-2</v>
      </c>
      <c r="X244" s="215">
        <f>LOOKUP(X$2,'Depreciation Schedules'!$A$3:$A$42,'Depreciation Schedules'!$G$3:$G$42)</f>
        <v>2.564102564102564E-2</v>
      </c>
      <c r="Y244" s="215">
        <f>LOOKUP(Y$2,'Depreciation Schedules'!$A$3:$A$42,'Depreciation Schedules'!$G$3:$G$42)</f>
        <v>2.564102564102564E-2</v>
      </c>
      <c r="Z244" s="215">
        <f>LOOKUP(Z$2,'Depreciation Schedules'!$A$3:$A$42,'Depreciation Schedules'!$G$3:$G$42)</f>
        <v>2.564102564102564E-2</v>
      </c>
      <c r="AA244" s="215">
        <f>LOOKUP(AA$2,'Depreciation Schedules'!$A$3:$A$42,'Depreciation Schedules'!$G$3:$G$42)</f>
        <v>2.564102564102564E-2</v>
      </c>
      <c r="AB244" s="215">
        <f>LOOKUP(AB$2,'Depreciation Schedules'!$A$3:$A$42,'Depreciation Schedules'!$G$3:$G$42)</f>
        <v>2.564102564102564E-2</v>
      </c>
      <c r="AC244" s="215">
        <f>LOOKUP(AC$2,'Depreciation Schedules'!$A$3:$A$42,'Depreciation Schedules'!$G$3:$G$42)</f>
        <v>2.564102564102564E-2</v>
      </c>
      <c r="AD244" s="215">
        <f>LOOKUP(AD$2,'Depreciation Schedules'!$A$3:$A$42,'Depreciation Schedules'!$G$3:$G$42)</f>
        <v>2.564102564102564E-2</v>
      </c>
      <c r="AE244" s="215">
        <f>LOOKUP(AE$2,'Depreciation Schedules'!$A$3:$A$42,'Depreciation Schedules'!$G$3:$G$42)</f>
        <v>2.564102564102564E-2</v>
      </c>
      <c r="AF244" s="215">
        <f>LOOKUP(AF$2,'Depreciation Schedules'!$A$3:$A$42,'Depreciation Schedules'!$G$3:$G$42)</f>
        <v>2.564102564102564E-2</v>
      </c>
      <c r="AG244" s="215">
        <f>LOOKUP(AG$2,'Depreciation Schedules'!$A$3:$A$42,'Depreciation Schedules'!$G$3:$G$42)</f>
        <v>2.564102564102564E-2</v>
      </c>
      <c r="AH244" s="215">
        <f>LOOKUP(AH$2,'Depreciation Schedules'!$A$3:$A$42,'Depreciation Schedules'!$G$3:$G$42)</f>
        <v>2.564102564102564E-2</v>
      </c>
      <c r="AI244" s="215">
        <f>LOOKUP(AI$2,'Depreciation Schedules'!$A$3:$A$42,'Depreciation Schedules'!$G$3:$G$42)</f>
        <v>2.564102564102564E-2</v>
      </c>
      <c r="AJ244" s="215">
        <f>LOOKUP(AJ$2,'Depreciation Schedules'!$A$3:$A$42,'Depreciation Schedules'!$G$3:$G$42)</f>
        <v>2.564102564102564E-2</v>
      </c>
      <c r="AK244" s="215">
        <f>LOOKUP(AK$2,'Depreciation Schedules'!$A$3:$A$42,'Depreciation Schedules'!$G$3:$G$42)</f>
        <v>2.564102564102564E-2</v>
      </c>
      <c r="AL244" s="215">
        <f>LOOKUP(AL$2,'Depreciation Schedules'!$A$3:$A$42,'Depreciation Schedules'!$G$3:$G$42)</f>
        <v>2.564102564102564E-2</v>
      </c>
      <c r="AM244" s="215">
        <f>LOOKUP(AM$2,'Depreciation Schedules'!$A$3:$A$42,'Depreciation Schedules'!$G$3:$G$42)</f>
        <v>2.564102564102564E-2</v>
      </c>
      <c r="AN244" s="215">
        <f>LOOKUP(AN$2,'Depreciation Schedules'!$A$3:$A$42,'Depreciation Schedules'!$G$3:$G$42)</f>
        <v>2.564102564102564E-2</v>
      </c>
      <c r="AO244" s="215">
        <f>LOOKUP(AO$2,'Depreciation Schedules'!$A$3:$A$42,'Depreciation Schedules'!$G$3:$G$42)</f>
        <v>2.564102564102564E-2</v>
      </c>
      <c r="AP244" s="215">
        <f>LOOKUP(AP$2,'Depreciation Schedules'!$A$3:$A$42,'Depreciation Schedules'!$G$3:$G$42)</f>
        <v>1.2820512820512799E-2</v>
      </c>
    </row>
    <row r="245" spans="1:42">
      <c r="A245" s="184" t="s">
        <v>34</v>
      </c>
      <c r="C245" s="186"/>
      <c r="D245" s="186"/>
      <c r="E245" s="186"/>
      <c r="F245" s="186"/>
      <c r="G245" s="186"/>
      <c r="H245" s="186"/>
      <c r="I245" s="186"/>
      <c r="J245" s="186"/>
      <c r="K245" s="186"/>
      <c r="L245" s="186"/>
      <c r="M245" s="186"/>
      <c r="N245" s="186"/>
      <c r="O245" s="186"/>
      <c r="P245" s="186"/>
      <c r="Q245" s="186"/>
      <c r="R245" s="186"/>
      <c r="S245" s="186"/>
      <c r="T245" s="186"/>
      <c r="U245" s="186"/>
      <c r="V245" s="186"/>
      <c r="W245" s="186"/>
      <c r="X245" s="186"/>
      <c r="Y245" s="186"/>
      <c r="Z245" s="186"/>
      <c r="AA245" s="186"/>
      <c r="AB245" s="186"/>
      <c r="AC245" s="186"/>
      <c r="AD245" s="186"/>
      <c r="AE245" s="186"/>
      <c r="AF245" s="186"/>
      <c r="AG245" s="186"/>
      <c r="AH245" s="186"/>
      <c r="AI245" s="186"/>
      <c r="AJ245" s="186"/>
      <c r="AK245" s="186"/>
      <c r="AL245" s="186"/>
      <c r="AM245" s="186"/>
      <c r="AN245" s="186"/>
      <c r="AO245" s="186"/>
      <c r="AP245" s="186"/>
    </row>
    <row r="246" spans="1:42">
      <c r="A246" s="205" t="str">
        <f>A239</f>
        <v>5-yr MACRS</v>
      </c>
      <c r="B246" s="218">
        <f>SUM(C246:AP246)</f>
        <v>36568386.256075837</v>
      </c>
      <c r="C246" s="186">
        <f t="shared" ref="C246:AP246" si="127">C239*$Q206</f>
        <v>7313677.2512151673</v>
      </c>
      <c r="D246" s="186">
        <f t="shared" si="127"/>
        <v>11701883.601944268</v>
      </c>
      <c r="E246" s="186">
        <f t="shared" si="127"/>
        <v>7021130.1611665608</v>
      </c>
      <c r="F246" s="186">
        <f t="shared" si="127"/>
        <v>4212678.0966999363</v>
      </c>
      <c r="G246" s="186">
        <f t="shared" si="127"/>
        <v>4212678.0966999363</v>
      </c>
      <c r="H246" s="186">
        <f t="shared" si="127"/>
        <v>2106339.0483499682</v>
      </c>
      <c r="I246" s="186">
        <f t="shared" si="127"/>
        <v>0</v>
      </c>
      <c r="J246" s="186">
        <f t="shared" si="127"/>
        <v>0</v>
      </c>
      <c r="K246" s="186">
        <f t="shared" si="127"/>
        <v>0</v>
      </c>
      <c r="L246" s="186">
        <f t="shared" si="127"/>
        <v>0</v>
      </c>
      <c r="M246" s="186">
        <f t="shared" si="127"/>
        <v>0</v>
      </c>
      <c r="N246" s="186">
        <f t="shared" si="127"/>
        <v>0</v>
      </c>
      <c r="O246" s="186">
        <f t="shared" si="127"/>
        <v>0</v>
      </c>
      <c r="P246" s="186">
        <f t="shared" si="127"/>
        <v>0</v>
      </c>
      <c r="Q246" s="186">
        <f t="shared" si="127"/>
        <v>0</v>
      </c>
      <c r="R246" s="186">
        <f t="shared" si="127"/>
        <v>0</v>
      </c>
      <c r="S246" s="186">
        <f t="shared" si="127"/>
        <v>0</v>
      </c>
      <c r="T246" s="186">
        <f t="shared" si="127"/>
        <v>0</v>
      </c>
      <c r="U246" s="186">
        <f t="shared" si="127"/>
        <v>0</v>
      </c>
      <c r="V246" s="186">
        <f t="shared" si="127"/>
        <v>0</v>
      </c>
      <c r="W246" s="186">
        <f t="shared" si="127"/>
        <v>0</v>
      </c>
      <c r="X246" s="186">
        <f t="shared" si="127"/>
        <v>0</v>
      </c>
      <c r="Y246" s="186">
        <f t="shared" si="127"/>
        <v>0</v>
      </c>
      <c r="Z246" s="186">
        <f t="shared" si="127"/>
        <v>0</v>
      </c>
      <c r="AA246" s="186">
        <f t="shared" si="127"/>
        <v>0</v>
      </c>
      <c r="AB246" s="186">
        <f t="shared" si="127"/>
        <v>0</v>
      </c>
      <c r="AC246" s="186">
        <f t="shared" si="127"/>
        <v>0</v>
      </c>
      <c r="AD246" s="186">
        <f t="shared" si="127"/>
        <v>0</v>
      </c>
      <c r="AE246" s="186">
        <f t="shared" si="127"/>
        <v>0</v>
      </c>
      <c r="AF246" s="186">
        <f t="shared" si="127"/>
        <v>0</v>
      </c>
      <c r="AG246" s="186">
        <f t="shared" si="127"/>
        <v>0</v>
      </c>
      <c r="AH246" s="186">
        <f t="shared" si="127"/>
        <v>0</v>
      </c>
      <c r="AI246" s="186">
        <f t="shared" si="127"/>
        <v>0</v>
      </c>
      <c r="AJ246" s="186">
        <f t="shared" si="127"/>
        <v>0</v>
      </c>
      <c r="AK246" s="186">
        <f t="shared" si="127"/>
        <v>0</v>
      </c>
      <c r="AL246" s="186">
        <f t="shared" si="127"/>
        <v>0</v>
      </c>
      <c r="AM246" s="186">
        <f t="shared" si="127"/>
        <v>0</v>
      </c>
      <c r="AN246" s="186">
        <f t="shared" si="127"/>
        <v>0</v>
      </c>
      <c r="AO246" s="186">
        <f t="shared" si="127"/>
        <v>0</v>
      </c>
      <c r="AP246" s="186">
        <f t="shared" si="127"/>
        <v>0</v>
      </c>
    </row>
    <row r="247" spans="1:42">
      <c r="A247" s="205" t="str">
        <f t="shared" ref="A247:A251" si="128">A240</f>
        <v>15-yr MACRS</v>
      </c>
      <c r="B247" s="153">
        <f t="shared" ref="B247:B253" si="129">SUM(C247:AP247)</f>
        <v>641767.30273817247</v>
      </c>
      <c r="C247" s="186">
        <f t="shared" ref="C247:AP247" si="130">C240*$Q207</f>
        <v>32088.365136908629</v>
      </c>
      <c r="D247" s="186">
        <f t="shared" si="130"/>
        <v>60967.893760126397</v>
      </c>
      <c r="E247" s="186">
        <f t="shared" si="130"/>
        <v>54871.104384113758</v>
      </c>
      <c r="F247" s="186">
        <f t="shared" si="130"/>
        <v>49416.082310839287</v>
      </c>
      <c r="G247" s="186">
        <f t="shared" si="130"/>
        <v>44474.47407975536</v>
      </c>
      <c r="H247" s="186">
        <f t="shared" si="130"/>
        <v>39982.102960588156</v>
      </c>
      <c r="I247" s="186">
        <f t="shared" si="130"/>
        <v>37864.270861552177</v>
      </c>
      <c r="J247" s="186">
        <f t="shared" si="130"/>
        <v>37864.270861552177</v>
      </c>
      <c r="K247" s="186">
        <f t="shared" si="130"/>
        <v>37928.447591826</v>
      </c>
      <c r="L247" s="186">
        <f t="shared" si="130"/>
        <v>37864.270861552177</v>
      </c>
      <c r="M247" s="186">
        <f t="shared" si="130"/>
        <v>37928.447591826</v>
      </c>
      <c r="N247" s="186">
        <f t="shared" si="130"/>
        <v>37864.270861552177</v>
      </c>
      <c r="O247" s="186">
        <f t="shared" si="130"/>
        <v>37928.447591826</v>
      </c>
      <c r="P247" s="186">
        <f t="shared" si="130"/>
        <v>37864.270861552177</v>
      </c>
      <c r="Q247" s="186">
        <f t="shared" si="130"/>
        <v>37928.447591826</v>
      </c>
      <c r="R247" s="186">
        <f t="shared" si="130"/>
        <v>18932.135430776088</v>
      </c>
      <c r="S247" s="186">
        <f t="shared" si="130"/>
        <v>0</v>
      </c>
      <c r="T247" s="186">
        <f t="shared" si="130"/>
        <v>0</v>
      </c>
      <c r="U247" s="186">
        <f t="shared" si="130"/>
        <v>0</v>
      </c>
      <c r="V247" s="186">
        <f t="shared" si="130"/>
        <v>0</v>
      </c>
      <c r="W247" s="186">
        <f t="shared" si="130"/>
        <v>0</v>
      </c>
      <c r="X247" s="186">
        <f t="shared" si="130"/>
        <v>0</v>
      </c>
      <c r="Y247" s="186">
        <f t="shared" si="130"/>
        <v>0</v>
      </c>
      <c r="Z247" s="186">
        <f t="shared" si="130"/>
        <v>0</v>
      </c>
      <c r="AA247" s="186">
        <f t="shared" si="130"/>
        <v>0</v>
      </c>
      <c r="AB247" s="186">
        <f t="shared" si="130"/>
        <v>0</v>
      </c>
      <c r="AC247" s="186">
        <f t="shared" si="130"/>
        <v>0</v>
      </c>
      <c r="AD247" s="186">
        <f t="shared" si="130"/>
        <v>0</v>
      </c>
      <c r="AE247" s="186">
        <f t="shared" si="130"/>
        <v>0</v>
      </c>
      <c r="AF247" s="186">
        <f t="shared" si="130"/>
        <v>0</v>
      </c>
      <c r="AG247" s="186">
        <f t="shared" si="130"/>
        <v>0</v>
      </c>
      <c r="AH247" s="186">
        <f t="shared" si="130"/>
        <v>0</v>
      </c>
      <c r="AI247" s="186">
        <f t="shared" si="130"/>
        <v>0</v>
      </c>
      <c r="AJ247" s="186">
        <f t="shared" si="130"/>
        <v>0</v>
      </c>
      <c r="AK247" s="186">
        <f t="shared" si="130"/>
        <v>0</v>
      </c>
      <c r="AL247" s="186">
        <f t="shared" si="130"/>
        <v>0</v>
      </c>
      <c r="AM247" s="186">
        <f t="shared" si="130"/>
        <v>0</v>
      </c>
      <c r="AN247" s="186">
        <f t="shared" si="130"/>
        <v>0</v>
      </c>
      <c r="AO247" s="186">
        <f t="shared" si="130"/>
        <v>0</v>
      </c>
      <c r="AP247" s="186">
        <f t="shared" si="130"/>
        <v>0</v>
      </c>
    </row>
    <row r="248" spans="1:42">
      <c r="A248" s="205" t="str">
        <f t="shared" si="128"/>
        <v>5-yr SL</v>
      </c>
      <c r="B248" s="153">
        <f t="shared" si="129"/>
        <v>0</v>
      </c>
      <c r="C248" s="186">
        <f t="shared" ref="C248:AP248" si="131">C241*$Q208</f>
        <v>0</v>
      </c>
      <c r="D248" s="186">
        <f t="shared" si="131"/>
        <v>0</v>
      </c>
      <c r="E248" s="186">
        <f t="shared" si="131"/>
        <v>0</v>
      </c>
      <c r="F248" s="186">
        <f t="shared" si="131"/>
        <v>0</v>
      </c>
      <c r="G248" s="186">
        <f t="shared" si="131"/>
        <v>0</v>
      </c>
      <c r="H248" s="186">
        <f t="shared" si="131"/>
        <v>0</v>
      </c>
      <c r="I248" s="186">
        <f t="shared" si="131"/>
        <v>0</v>
      </c>
      <c r="J248" s="186">
        <f t="shared" si="131"/>
        <v>0</v>
      </c>
      <c r="K248" s="186">
        <f t="shared" si="131"/>
        <v>0</v>
      </c>
      <c r="L248" s="186">
        <f t="shared" si="131"/>
        <v>0</v>
      </c>
      <c r="M248" s="186">
        <f t="shared" si="131"/>
        <v>0</v>
      </c>
      <c r="N248" s="186">
        <f t="shared" si="131"/>
        <v>0</v>
      </c>
      <c r="O248" s="186">
        <f t="shared" si="131"/>
        <v>0</v>
      </c>
      <c r="P248" s="186">
        <f t="shared" si="131"/>
        <v>0</v>
      </c>
      <c r="Q248" s="186">
        <f t="shared" si="131"/>
        <v>0</v>
      </c>
      <c r="R248" s="186">
        <f t="shared" si="131"/>
        <v>0</v>
      </c>
      <c r="S248" s="186">
        <f t="shared" si="131"/>
        <v>0</v>
      </c>
      <c r="T248" s="186">
        <f t="shared" si="131"/>
        <v>0</v>
      </c>
      <c r="U248" s="186">
        <f t="shared" si="131"/>
        <v>0</v>
      </c>
      <c r="V248" s="186">
        <f t="shared" si="131"/>
        <v>0</v>
      </c>
      <c r="W248" s="186">
        <f t="shared" si="131"/>
        <v>0</v>
      </c>
      <c r="X248" s="186">
        <f t="shared" si="131"/>
        <v>0</v>
      </c>
      <c r="Y248" s="186">
        <f t="shared" si="131"/>
        <v>0</v>
      </c>
      <c r="Z248" s="186">
        <f t="shared" si="131"/>
        <v>0</v>
      </c>
      <c r="AA248" s="186">
        <f t="shared" si="131"/>
        <v>0</v>
      </c>
      <c r="AB248" s="186">
        <f t="shared" si="131"/>
        <v>0</v>
      </c>
      <c r="AC248" s="186">
        <f t="shared" si="131"/>
        <v>0</v>
      </c>
      <c r="AD248" s="186">
        <f t="shared" si="131"/>
        <v>0</v>
      </c>
      <c r="AE248" s="186">
        <f t="shared" si="131"/>
        <v>0</v>
      </c>
      <c r="AF248" s="186">
        <f t="shared" si="131"/>
        <v>0</v>
      </c>
      <c r="AG248" s="186">
        <f t="shared" si="131"/>
        <v>0</v>
      </c>
      <c r="AH248" s="186">
        <f t="shared" si="131"/>
        <v>0</v>
      </c>
      <c r="AI248" s="186">
        <f t="shared" si="131"/>
        <v>0</v>
      </c>
      <c r="AJ248" s="186">
        <f t="shared" si="131"/>
        <v>0</v>
      </c>
      <c r="AK248" s="186">
        <f t="shared" si="131"/>
        <v>0</v>
      </c>
      <c r="AL248" s="186">
        <f t="shared" si="131"/>
        <v>0</v>
      </c>
      <c r="AM248" s="186">
        <f t="shared" si="131"/>
        <v>0</v>
      </c>
      <c r="AN248" s="186">
        <f t="shared" si="131"/>
        <v>0</v>
      </c>
      <c r="AO248" s="186">
        <f t="shared" si="131"/>
        <v>0</v>
      </c>
      <c r="AP248" s="186">
        <f t="shared" si="131"/>
        <v>0</v>
      </c>
    </row>
    <row r="249" spans="1:42">
      <c r="A249" s="205" t="str">
        <f t="shared" si="128"/>
        <v>15-yr SL</v>
      </c>
      <c r="B249" s="153">
        <f t="shared" si="129"/>
        <v>1069612.1712302878</v>
      </c>
      <c r="C249" s="186">
        <f t="shared" ref="C249:AP249" si="132">C242*$Q209</f>
        <v>35618.085301968589</v>
      </c>
      <c r="D249" s="186">
        <f t="shared" si="132"/>
        <v>71343.131821060189</v>
      </c>
      <c r="E249" s="186">
        <f t="shared" si="132"/>
        <v>71343.131821060189</v>
      </c>
      <c r="F249" s="186">
        <f t="shared" si="132"/>
        <v>71343.131821060189</v>
      </c>
      <c r="G249" s="186">
        <f t="shared" si="132"/>
        <v>71343.131821060189</v>
      </c>
      <c r="H249" s="186">
        <f t="shared" si="132"/>
        <v>71343.131821060189</v>
      </c>
      <c r="I249" s="186">
        <f t="shared" si="132"/>
        <v>71343.131821060189</v>
      </c>
      <c r="J249" s="186">
        <f t="shared" si="132"/>
        <v>71236.170603937178</v>
      </c>
      <c r="K249" s="186">
        <f t="shared" si="132"/>
        <v>71343.131821060189</v>
      </c>
      <c r="L249" s="186">
        <f t="shared" si="132"/>
        <v>71236.170603937178</v>
      </c>
      <c r="M249" s="186">
        <f t="shared" si="132"/>
        <v>71343.131821060189</v>
      </c>
      <c r="N249" s="186">
        <f t="shared" si="132"/>
        <v>71236.170603937178</v>
      </c>
      <c r="O249" s="186">
        <f t="shared" si="132"/>
        <v>71343.131821060189</v>
      </c>
      <c r="P249" s="186">
        <f t="shared" si="132"/>
        <v>71236.170603937178</v>
      </c>
      <c r="Q249" s="186">
        <f t="shared" si="132"/>
        <v>71343.131821060189</v>
      </c>
      <c r="R249" s="186">
        <f t="shared" si="132"/>
        <v>35618.085301968589</v>
      </c>
      <c r="S249" s="186">
        <f t="shared" si="132"/>
        <v>0</v>
      </c>
      <c r="T249" s="186">
        <f t="shared" si="132"/>
        <v>0</v>
      </c>
      <c r="U249" s="186">
        <f t="shared" si="132"/>
        <v>0</v>
      </c>
      <c r="V249" s="186">
        <f t="shared" si="132"/>
        <v>0</v>
      </c>
      <c r="W249" s="186">
        <f t="shared" si="132"/>
        <v>0</v>
      </c>
      <c r="X249" s="186">
        <f t="shared" si="132"/>
        <v>0</v>
      </c>
      <c r="Y249" s="186">
        <f t="shared" si="132"/>
        <v>0</v>
      </c>
      <c r="Z249" s="186">
        <f t="shared" si="132"/>
        <v>0</v>
      </c>
      <c r="AA249" s="186">
        <f t="shared" si="132"/>
        <v>0</v>
      </c>
      <c r="AB249" s="186">
        <f t="shared" si="132"/>
        <v>0</v>
      </c>
      <c r="AC249" s="186">
        <f t="shared" si="132"/>
        <v>0</v>
      </c>
      <c r="AD249" s="186">
        <f t="shared" si="132"/>
        <v>0</v>
      </c>
      <c r="AE249" s="186">
        <f t="shared" si="132"/>
        <v>0</v>
      </c>
      <c r="AF249" s="186">
        <f t="shared" si="132"/>
        <v>0</v>
      </c>
      <c r="AG249" s="186">
        <f t="shared" si="132"/>
        <v>0</v>
      </c>
      <c r="AH249" s="186">
        <f t="shared" si="132"/>
        <v>0</v>
      </c>
      <c r="AI249" s="186">
        <f t="shared" si="132"/>
        <v>0</v>
      </c>
      <c r="AJ249" s="186">
        <f t="shared" si="132"/>
        <v>0</v>
      </c>
      <c r="AK249" s="186">
        <f t="shared" si="132"/>
        <v>0</v>
      </c>
      <c r="AL249" s="186">
        <f t="shared" si="132"/>
        <v>0</v>
      </c>
      <c r="AM249" s="186">
        <f t="shared" si="132"/>
        <v>0</v>
      </c>
      <c r="AN249" s="186">
        <f t="shared" si="132"/>
        <v>0</v>
      </c>
      <c r="AO249" s="186">
        <f t="shared" si="132"/>
        <v>0</v>
      </c>
      <c r="AP249" s="186">
        <f t="shared" si="132"/>
        <v>0</v>
      </c>
    </row>
    <row r="250" spans="1:42">
      <c r="A250" s="205" t="str">
        <f t="shared" si="128"/>
        <v>20-yr SL</v>
      </c>
      <c r="B250" s="153">
        <f t="shared" si="129"/>
        <v>1069612.171230288</v>
      </c>
      <c r="C250" s="186">
        <f t="shared" ref="C250:AP250" si="133">C243*$Q210</f>
        <v>26740.304280757195</v>
      </c>
      <c r="D250" s="186">
        <f t="shared" si="133"/>
        <v>53480.608561514389</v>
      </c>
      <c r="E250" s="186">
        <f t="shared" si="133"/>
        <v>53480.608561514389</v>
      </c>
      <c r="F250" s="186">
        <f t="shared" si="133"/>
        <v>53480.608561514389</v>
      </c>
      <c r="G250" s="186">
        <f t="shared" si="133"/>
        <v>53480.608561514389</v>
      </c>
      <c r="H250" s="186">
        <f t="shared" si="133"/>
        <v>53480.608561514389</v>
      </c>
      <c r="I250" s="186">
        <f t="shared" si="133"/>
        <v>53480.608561514389</v>
      </c>
      <c r="J250" s="186">
        <f t="shared" si="133"/>
        <v>53480.608561514389</v>
      </c>
      <c r="K250" s="186">
        <f t="shared" si="133"/>
        <v>53480.608561514389</v>
      </c>
      <c r="L250" s="186">
        <f t="shared" si="133"/>
        <v>53480.608561514389</v>
      </c>
      <c r="M250" s="186">
        <f t="shared" si="133"/>
        <v>53480.608561514389</v>
      </c>
      <c r="N250" s="186">
        <f t="shared" si="133"/>
        <v>53480.608561514389</v>
      </c>
      <c r="O250" s="186">
        <f t="shared" si="133"/>
        <v>53480.608561514389</v>
      </c>
      <c r="P250" s="186">
        <f t="shared" si="133"/>
        <v>53480.608561514389</v>
      </c>
      <c r="Q250" s="186">
        <f t="shared" si="133"/>
        <v>53480.608561514389</v>
      </c>
      <c r="R250" s="186">
        <f t="shared" si="133"/>
        <v>53480.608561514389</v>
      </c>
      <c r="S250" s="186">
        <f t="shared" si="133"/>
        <v>53480.608561514389</v>
      </c>
      <c r="T250" s="186">
        <f t="shared" si="133"/>
        <v>53480.608561514389</v>
      </c>
      <c r="U250" s="186">
        <f t="shared" si="133"/>
        <v>53480.608561514389</v>
      </c>
      <c r="V250" s="186">
        <f t="shared" si="133"/>
        <v>53480.608561514389</v>
      </c>
      <c r="W250" s="186">
        <f t="shared" si="133"/>
        <v>26740.304280757195</v>
      </c>
      <c r="X250" s="186">
        <f t="shared" si="133"/>
        <v>0</v>
      </c>
      <c r="Y250" s="186">
        <f t="shared" si="133"/>
        <v>0</v>
      </c>
      <c r="Z250" s="186">
        <f t="shared" si="133"/>
        <v>0</v>
      </c>
      <c r="AA250" s="186">
        <f t="shared" si="133"/>
        <v>0</v>
      </c>
      <c r="AB250" s="186">
        <f t="shared" si="133"/>
        <v>0</v>
      </c>
      <c r="AC250" s="186">
        <f t="shared" si="133"/>
        <v>0</v>
      </c>
      <c r="AD250" s="186">
        <f t="shared" si="133"/>
        <v>0</v>
      </c>
      <c r="AE250" s="186">
        <f t="shared" si="133"/>
        <v>0</v>
      </c>
      <c r="AF250" s="186">
        <f t="shared" si="133"/>
        <v>0</v>
      </c>
      <c r="AG250" s="186">
        <f t="shared" si="133"/>
        <v>0</v>
      </c>
      <c r="AH250" s="186">
        <f t="shared" si="133"/>
        <v>0</v>
      </c>
      <c r="AI250" s="186">
        <f t="shared" si="133"/>
        <v>0</v>
      </c>
      <c r="AJ250" s="186">
        <f t="shared" si="133"/>
        <v>0</v>
      </c>
      <c r="AK250" s="186">
        <f t="shared" si="133"/>
        <v>0</v>
      </c>
      <c r="AL250" s="186">
        <f t="shared" si="133"/>
        <v>0</v>
      </c>
      <c r="AM250" s="186">
        <f t="shared" si="133"/>
        <v>0</v>
      </c>
      <c r="AN250" s="186">
        <f t="shared" si="133"/>
        <v>0</v>
      </c>
      <c r="AO250" s="186">
        <f t="shared" si="133"/>
        <v>0</v>
      </c>
      <c r="AP250" s="186">
        <f t="shared" si="133"/>
        <v>0</v>
      </c>
    </row>
    <row r="251" spans="1:42">
      <c r="A251" s="205" t="str">
        <f t="shared" si="128"/>
        <v>39-yr SL</v>
      </c>
      <c r="B251" s="153">
        <f t="shared" si="129"/>
        <v>213922.43424605762</v>
      </c>
      <c r="C251" s="186">
        <f t="shared" ref="C251:AP251" si="134">C244*$Q211</f>
        <v>2742.5953108468871</v>
      </c>
      <c r="D251" s="186">
        <f t="shared" si="134"/>
        <v>5485.1906216937823</v>
      </c>
      <c r="E251" s="186">
        <f t="shared" si="134"/>
        <v>5485.1906216937823</v>
      </c>
      <c r="F251" s="186">
        <f t="shared" si="134"/>
        <v>5485.1906216937823</v>
      </c>
      <c r="G251" s="186">
        <f t="shared" si="134"/>
        <v>5485.1906216937823</v>
      </c>
      <c r="H251" s="186">
        <f t="shared" si="134"/>
        <v>5485.1906216937823</v>
      </c>
      <c r="I251" s="186">
        <f t="shared" si="134"/>
        <v>5485.1906216937823</v>
      </c>
      <c r="J251" s="186">
        <f t="shared" si="134"/>
        <v>5485.1906216937823</v>
      </c>
      <c r="K251" s="186">
        <f t="shared" si="134"/>
        <v>5485.1906216937823</v>
      </c>
      <c r="L251" s="186">
        <f t="shared" si="134"/>
        <v>5485.1906216937823</v>
      </c>
      <c r="M251" s="186">
        <f t="shared" si="134"/>
        <v>5485.1906216937823</v>
      </c>
      <c r="N251" s="186">
        <f t="shared" si="134"/>
        <v>5485.1906216937823</v>
      </c>
      <c r="O251" s="186">
        <f t="shared" si="134"/>
        <v>5485.1906216937823</v>
      </c>
      <c r="P251" s="186">
        <f t="shared" si="134"/>
        <v>5485.1906216937823</v>
      </c>
      <c r="Q251" s="186">
        <f t="shared" si="134"/>
        <v>5485.1906216937823</v>
      </c>
      <c r="R251" s="186">
        <f t="shared" si="134"/>
        <v>5485.1906216937823</v>
      </c>
      <c r="S251" s="186">
        <f t="shared" si="134"/>
        <v>5485.1906216937823</v>
      </c>
      <c r="T251" s="186">
        <f t="shared" si="134"/>
        <v>5485.1906216937823</v>
      </c>
      <c r="U251" s="186">
        <f t="shared" si="134"/>
        <v>5485.1906216937823</v>
      </c>
      <c r="V251" s="186">
        <f t="shared" si="134"/>
        <v>5485.1906216937823</v>
      </c>
      <c r="W251" s="186">
        <f t="shared" si="134"/>
        <v>5485.1906216937823</v>
      </c>
      <c r="X251" s="186">
        <f t="shared" si="134"/>
        <v>5485.1906216937823</v>
      </c>
      <c r="Y251" s="186">
        <f t="shared" si="134"/>
        <v>5485.1906216937823</v>
      </c>
      <c r="Z251" s="186">
        <f t="shared" si="134"/>
        <v>5485.1906216937823</v>
      </c>
      <c r="AA251" s="186">
        <f t="shared" si="134"/>
        <v>5485.1906216937823</v>
      </c>
      <c r="AB251" s="186">
        <f t="shared" si="134"/>
        <v>5485.1906216937823</v>
      </c>
      <c r="AC251" s="186">
        <f t="shared" si="134"/>
        <v>5485.1906216937823</v>
      </c>
      <c r="AD251" s="186">
        <f t="shared" si="134"/>
        <v>5485.1906216937823</v>
      </c>
      <c r="AE251" s="186">
        <f t="shared" si="134"/>
        <v>5485.1906216937823</v>
      </c>
      <c r="AF251" s="186">
        <f t="shared" si="134"/>
        <v>5485.1906216937823</v>
      </c>
      <c r="AG251" s="186">
        <f t="shared" si="134"/>
        <v>5485.1906216937823</v>
      </c>
      <c r="AH251" s="186">
        <f t="shared" si="134"/>
        <v>5485.1906216937823</v>
      </c>
      <c r="AI251" s="186">
        <f t="shared" si="134"/>
        <v>5485.1906216937823</v>
      </c>
      <c r="AJ251" s="186">
        <f t="shared" si="134"/>
        <v>5485.1906216937823</v>
      </c>
      <c r="AK251" s="186">
        <f t="shared" si="134"/>
        <v>5485.1906216937823</v>
      </c>
      <c r="AL251" s="186">
        <f t="shared" si="134"/>
        <v>5485.1906216937823</v>
      </c>
      <c r="AM251" s="186">
        <f t="shared" si="134"/>
        <v>5485.1906216937823</v>
      </c>
      <c r="AN251" s="186">
        <f t="shared" si="134"/>
        <v>5485.1906216937823</v>
      </c>
      <c r="AO251" s="186">
        <f t="shared" si="134"/>
        <v>5485.1906216937823</v>
      </c>
      <c r="AP251" s="186">
        <f t="shared" si="134"/>
        <v>2742.5953108468871</v>
      </c>
    </row>
    <row r="252" spans="1:42">
      <c r="A252" s="205" t="s">
        <v>319</v>
      </c>
      <c r="B252" s="212">
        <f t="shared" si="129"/>
        <v>1924651.9082145179</v>
      </c>
      <c r="C252" s="187">
        <f>P213</f>
        <v>1924651.9082145179</v>
      </c>
      <c r="D252" s="187">
        <v>0</v>
      </c>
      <c r="E252" s="187">
        <v>0</v>
      </c>
      <c r="F252" s="187">
        <v>0</v>
      </c>
      <c r="G252" s="187">
        <v>0</v>
      </c>
      <c r="H252" s="187">
        <v>0</v>
      </c>
      <c r="I252" s="187">
        <v>0</v>
      </c>
      <c r="J252" s="187">
        <v>0</v>
      </c>
      <c r="K252" s="187">
        <v>0</v>
      </c>
      <c r="L252" s="187">
        <v>0</v>
      </c>
      <c r="M252" s="187">
        <v>0</v>
      </c>
      <c r="N252" s="187">
        <v>0</v>
      </c>
      <c r="O252" s="187">
        <v>0</v>
      </c>
      <c r="P252" s="187">
        <v>0</v>
      </c>
      <c r="Q252" s="187">
        <v>0</v>
      </c>
      <c r="R252" s="187">
        <v>0</v>
      </c>
      <c r="S252" s="187">
        <v>0</v>
      </c>
      <c r="T252" s="187">
        <v>0</v>
      </c>
      <c r="U252" s="187">
        <v>0</v>
      </c>
      <c r="V252" s="187">
        <v>0</v>
      </c>
      <c r="W252" s="187">
        <v>0</v>
      </c>
      <c r="X252" s="187">
        <v>0</v>
      </c>
      <c r="Y252" s="187">
        <v>0</v>
      </c>
      <c r="Z252" s="187">
        <v>0</v>
      </c>
      <c r="AA252" s="187">
        <v>0</v>
      </c>
      <c r="AB252" s="187">
        <v>0</v>
      </c>
      <c r="AC252" s="187">
        <v>0</v>
      </c>
      <c r="AD252" s="187">
        <v>0</v>
      </c>
      <c r="AE252" s="187">
        <v>0</v>
      </c>
      <c r="AF252" s="187">
        <v>0</v>
      </c>
      <c r="AG252" s="187">
        <v>0</v>
      </c>
      <c r="AH252" s="187">
        <v>0</v>
      </c>
      <c r="AI252" s="187">
        <v>0</v>
      </c>
      <c r="AJ252" s="187">
        <v>0</v>
      </c>
      <c r="AK252" s="187">
        <v>0</v>
      </c>
      <c r="AL252" s="187">
        <v>0</v>
      </c>
      <c r="AM252" s="187">
        <v>0</v>
      </c>
      <c r="AN252" s="187">
        <v>0</v>
      </c>
      <c r="AO252" s="187">
        <v>0</v>
      </c>
      <c r="AP252" s="187">
        <v>0</v>
      </c>
    </row>
    <row r="253" spans="1:42">
      <c r="A253" s="204"/>
      <c r="B253" s="212">
        <f t="shared" si="129"/>
        <v>41487952.243735194</v>
      </c>
      <c r="C253" s="186">
        <f>SUM(C246:C252)</f>
        <v>9335518.5094601661</v>
      </c>
      <c r="D253" s="186">
        <f t="shared" ref="D253:AP253" si="135">SUM(D246:D252)</f>
        <v>11893160.426708663</v>
      </c>
      <c r="E253" s="186">
        <f t="shared" si="135"/>
        <v>7206310.196554943</v>
      </c>
      <c r="F253" s="186">
        <f t="shared" si="135"/>
        <v>4392403.110015044</v>
      </c>
      <c r="G253" s="186">
        <f t="shared" si="135"/>
        <v>4387461.5017839596</v>
      </c>
      <c r="H253" s="186">
        <f t="shared" si="135"/>
        <v>2276630.0823148242</v>
      </c>
      <c r="I253" s="186">
        <f t="shared" si="135"/>
        <v>168173.20186582053</v>
      </c>
      <c r="J253" s="186">
        <f t="shared" si="135"/>
        <v>168066.24064869754</v>
      </c>
      <c r="K253" s="186">
        <f t="shared" si="135"/>
        <v>168237.37859609438</v>
      </c>
      <c r="L253" s="186">
        <f t="shared" si="135"/>
        <v>168066.24064869754</v>
      </c>
      <c r="M253" s="186">
        <f t="shared" si="135"/>
        <v>168237.37859609438</v>
      </c>
      <c r="N253" s="186">
        <f t="shared" si="135"/>
        <v>168066.24064869754</v>
      </c>
      <c r="O253" s="186">
        <f t="shared" si="135"/>
        <v>168237.37859609438</v>
      </c>
      <c r="P253" s="186">
        <f t="shared" si="135"/>
        <v>168066.24064869754</v>
      </c>
      <c r="Q253" s="186">
        <f t="shared" si="135"/>
        <v>168237.37859609438</v>
      </c>
      <c r="R253" s="186">
        <f t="shared" si="135"/>
        <v>113516.01991595286</v>
      </c>
      <c r="S253" s="186">
        <f t="shared" si="135"/>
        <v>58965.799183208175</v>
      </c>
      <c r="T253" s="186">
        <f t="shared" si="135"/>
        <v>58965.799183208175</v>
      </c>
      <c r="U253" s="186">
        <f t="shared" si="135"/>
        <v>58965.799183208175</v>
      </c>
      <c r="V253" s="186">
        <f t="shared" si="135"/>
        <v>58965.799183208175</v>
      </c>
      <c r="W253" s="186">
        <f t="shared" si="135"/>
        <v>32225.494902450977</v>
      </c>
      <c r="X253" s="186">
        <f t="shared" si="135"/>
        <v>5485.1906216937823</v>
      </c>
      <c r="Y253" s="186">
        <f t="shared" si="135"/>
        <v>5485.1906216937823</v>
      </c>
      <c r="Z253" s="186">
        <f t="shared" si="135"/>
        <v>5485.1906216937823</v>
      </c>
      <c r="AA253" s="186">
        <f t="shared" si="135"/>
        <v>5485.1906216937823</v>
      </c>
      <c r="AB253" s="186">
        <f t="shared" si="135"/>
        <v>5485.1906216937823</v>
      </c>
      <c r="AC253" s="186">
        <f t="shared" si="135"/>
        <v>5485.1906216937823</v>
      </c>
      <c r="AD253" s="186">
        <f t="shared" si="135"/>
        <v>5485.1906216937823</v>
      </c>
      <c r="AE253" s="186">
        <f t="shared" si="135"/>
        <v>5485.1906216937823</v>
      </c>
      <c r="AF253" s="186">
        <f t="shared" si="135"/>
        <v>5485.1906216937823</v>
      </c>
      <c r="AG253" s="186">
        <f t="shared" si="135"/>
        <v>5485.1906216937823</v>
      </c>
      <c r="AH253" s="186">
        <f t="shared" si="135"/>
        <v>5485.1906216937823</v>
      </c>
      <c r="AI253" s="186">
        <f t="shared" si="135"/>
        <v>5485.1906216937823</v>
      </c>
      <c r="AJ253" s="186">
        <f t="shared" si="135"/>
        <v>5485.1906216937823</v>
      </c>
      <c r="AK253" s="186">
        <f t="shared" si="135"/>
        <v>5485.1906216937823</v>
      </c>
      <c r="AL253" s="186">
        <f t="shared" si="135"/>
        <v>5485.1906216937823</v>
      </c>
      <c r="AM253" s="186">
        <f t="shared" si="135"/>
        <v>5485.1906216937823</v>
      </c>
      <c r="AN253" s="186">
        <f t="shared" si="135"/>
        <v>5485.1906216937823</v>
      </c>
      <c r="AO253" s="186">
        <f t="shared" si="135"/>
        <v>5485.1906216937823</v>
      </c>
      <c r="AP253" s="186">
        <f t="shared" si="135"/>
        <v>2742.5953108468871</v>
      </c>
    </row>
    <row r="254" spans="1:42">
      <c r="A254" s="204"/>
      <c r="C254" s="186"/>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197" t="s">
        <v>206</v>
      </c>
      <c r="C255" s="186"/>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204" t="s">
        <v>208</v>
      </c>
      <c r="B256" s="219" t="str">
        <f>MMStateTaxTreatment</f>
        <v>5-yr MACRS</v>
      </c>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4" t="s">
        <v>209</v>
      </c>
      <c r="B257" s="186">
        <f t="shared" ref="B257:AP257" si="136">B2</f>
        <v>0</v>
      </c>
      <c r="C257" s="186">
        <f t="shared" si="136"/>
        <v>1</v>
      </c>
      <c r="D257" s="186">
        <f t="shared" si="136"/>
        <v>2</v>
      </c>
      <c r="E257" s="186">
        <f t="shared" si="136"/>
        <v>3</v>
      </c>
      <c r="F257" s="186">
        <f t="shared" si="136"/>
        <v>4</v>
      </c>
      <c r="G257" s="186">
        <f t="shared" si="136"/>
        <v>5</v>
      </c>
      <c r="H257" s="186">
        <f t="shared" si="136"/>
        <v>6</v>
      </c>
      <c r="I257" s="186">
        <f t="shared" si="136"/>
        <v>7</v>
      </c>
      <c r="J257" s="186">
        <f t="shared" si="136"/>
        <v>8</v>
      </c>
      <c r="K257" s="186">
        <f t="shared" si="136"/>
        <v>9</v>
      </c>
      <c r="L257" s="186">
        <f t="shared" si="136"/>
        <v>10</v>
      </c>
      <c r="M257" s="186">
        <f t="shared" si="136"/>
        <v>11</v>
      </c>
      <c r="N257" s="186">
        <f t="shared" si="136"/>
        <v>12</v>
      </c>
      <c r="O257" s="186">
        <f t="shared" si="136"/>
        <v>13</v>
      </c>
      <c r="P257" s="186">
        <f t="shared" si="136"/>
        <v>14</v>
      </c>
      <c r="Q257" s="186">
        <f t="shared" si="136"/>
        <v>15</v>
      </c>
      <c r="R257" s="186">
        <f t="shared" si="136"/>
        <v>16</v>
      </c>
      <c r="S257" s="186">
        <f t="shared" si="136"/>
        <v>17</v>
      </c>
      <c r="T257" s="186">
        <f t="shared" si="136"/>
        <v>18</v>
      </c>
      <c r="U257" s="186">
        <f t="shared" si="136"/>
        <v>19</v>
      </c>
      <c r="V257" s="186">
        <f t="shared" si="136"/>
        <v>20</v>
      </c>
      <c r="W257" s="186">
        <f t="shared" si="136"/>
        <v>21</v>
      </c>
      <c r="X257" s="186">
        <f t="shared" si="136"/>
        <v>22</v>
      </c>
      <c r="Y257" s="186">
        <f t="shared" si="136"/>
        <v>23</v>
      </c>
      <c r="Z257" s="186">
        <f t="shared" si="136"/>
        <v>24</v>
      </c>
      <c r="AA257" s="186">
        <f t="shared" si="136"/>
        <v>25</v>
      </c>
      <c r="AB257" s="186">
        <f t="shared" si="136"/>
        <v>26</v>
      </c>
      <c r="AC257" s="186">
        <f t="shared" si="136"/>
        <v>27</v>
      </c>
      <c r="AD257" s="186">
        <f t="shared" si="136"/>
        <v>28</v>
      </c>
      <c r="AE257" s="186">
        <f t="shared" si="136"/>
        <v>29</v>
      </c>
      <c r="AF257" s="186">
        <f t="shared" si="136"/>
        <v>30</v>
      </c>
      <c r="AG257" s="186">
        <f t="shared" si="136"/>
        <v>31</v>
      </c>
      <c r="AH257" s="186">
        <f t="shared" si="136"/>
        <v>32</v>
      </c>
      <c r="AI257" s="186">
        <f t="shared" si="136"/>
        <v>33</v>
      </c>
      <c r="AJ257" s="186">
        <f t="shared" si="136"/>
        <v>34</v>
      </c>
      <c r="AK257" s="186">
        <f t="shared" si="136"/>
        <v>35</v>
      </c>
      <c r="AL257" s="186">
        <f t="shared" si="136"/>
        <v>36</v>
      </c>
      <c r="AM257" s="186">
        <f t="shared" si="136"/>
        <v>37</v>
      </c>
      <c r="AN257" s="186">
        <f t="shared" si="136"/>
        <v>38</v>
      </c>
      <c r="AO257" s="186">
        <f t="shared" si="136"/>
        <v>39</v>
      </c>
      <c r="AP257" s="186">
        <f t="shared" si="136"/>
        <v>40</v>
      </c>
    </row>
    <row r="258" spans="1:42">
      <c r="A258" s="204" t="s">
        <v>210</v>
      </c>
      <c r="B258" s="220">
        <v>0</v>
      </c>
      <c r="C258" s="215">
        <f t="shared" ref="C258:AP258" si="137">IF($B$256=$A239,C239,0)+IF($B$256=$A240,C240,0)+IF($B$256=$A241,C241,0)+IF($B$256=$A242,C242,0)+IF($B$256=$A243,C243,0)+IF($B$256=$A244,C244,0)</f>
        <v>0.2</v>
      </c>
      <c r="D258" s="215">
        <f t="shared" si="137"/>
        <v>0.32</v>
      </c>
      <c r="E258" s="215">
        <f t="shared" si="137"/>
        <v>0.192</v>
      </c>
      <c r="F258" s="215">
        <f t="shared" si="137"/>
        <v>0.1152</v>
      </c>
      <c r="G258" s="215">
        <f t="shared" si="137"/>
        <v>0.1152</v>
      </c>
      <c r="H258" s="215">
        <f t="shared" si="137"/>
        <v>5.7599999999999998E-2</v>
      </c>
      <c r="I258" s="215">
        <f t="shared" si="137"/>
        <v>0</v>
      </c>
      <c r="J258" s="215">
        <f t="shared" si="137"/>
        <v>0</v>
      </c>
      <c r="K258" s="215">
        <f t="shared" si="137"/>
        <v>0</v>
      </c>
      <c r="L258" s="215">
        <f t="shared" si="137"/>
        <v>0</v>
      </c>
      <c r="M258" s="215">
        <f t="shared" si="137"/>
        <v>0</v>
      </c>
      <c r="N258" s="215">
        <f t="shared" si="137"/>
        <v>0</v>
      </c>
      <c r="O258" s="215">
        <f t="shared" si="137"/>
        <v>0</v>
      </c>
      <c r="P258" s="215">
        <f t="shared" si="137"/>
        <v>0</v>
      </c>
      <c r="Q258" s="215">
        <f t="shared" si="137"/>
        <v>0</v>
      </c>
      <c r="R258" s="215">
        <f t="shared" si="137"/>
        <v>0</v>
      </c>
      <c r="S258" s="215">
        <f t="shared" si="137"/>
        <v>0</v>
      </c>
      <c r="T258" s="215">
        <f t="shared" si="137"/>
        <v>0</v>
      </c>
      <c r="U258" s="215">
        <f t="shared" si="137"/>
        <v>0</v>
      </c>
      <c r="V258" s="215">
        <f t="shared" si="137"/>
        <v>0</v>
      </c>
      <c r="W258" s="215">
        <f t="shared" si="137"/>
        <v>0</v>
      </c>
      <c r="X258" s="215">
        <f t="shared" si="137"/>
        <v>0</v>
      </c>
      <c r="Y258" s="215">
        <f t="shared" si="137"/>
        <v>0</v>
      </c>
      <c r="Z258" s="215">
        <f t="shared" si="137"/>
        <v>0</v>
      </c>
      <c r="AA258" s="215">
        <f t="shared" si="137"/>
        <v>0</v>
      </c>
      <c r="AB258" s="215">
        <f t="shared" si="137"/>
        <v>0</v>
      </c>
      <c r="AC258" s="215">
        <f t="shared" si="137"/>
        <v>0</v>
      </c>
      <c r="AD258" s="215">
        <f t="shared" si="137"/>
        <v>0</v>
      </c>
      <c r="AE258" s="215">
        <f t="shared" si="137"/>
        <v>0</v>
      </c>
      <c r="AF258" s="215">
        <f t="shared" si="137"/>
        <v>0</v>
      </c>
      <c r="AG258" s="215">
        <f t="shared" si="137"/>
        <v>0</v>
      </c>
      <c r="AH258" s="215">
        <f t="shared" si="137"/>
        <v>0</v>
      </c>
      <c r="AI258" s="215">
        <f t="shared" si="137"/>
        <v>0</v>
      </c>
      <c r="AJ258" s="215">
        <f t="shared" si="137"/>
        <v>0</v>
      </c>
      <c r="AK258" s="215">
        <f t="shared" si="137"/>
        <v>0</v>
      </c>
      <c r="AL258" s="215">
        <f t="shared" si="137"/>
        <v>0</v>
      </c>
      <c r="AM258" s="215">
        <f t="shared" si="137"/>
        <v>0</v>
      </c>
      <c r="AN258" s="215">
        <f t="shared" si="137"/>
        <v>0</v>
      </c>
      <c r="AO258" s="215">
        <f t="shared" si="137"/>
        <v>0</v>
      </c>
      <c r="AP258" s="215">
        <f t="shared" si="137"/>
        <v>0</v>
      </c>
    </row>
    <row r="259" spans="1:42">
      <c r="A259" s="204"/>
      <c r="B259" s="220"/>
      <c r="C259" s="215"/>
      <c r="D259" s="215"/>
      <c r="E259" s="215"/>
      <c r="F259" s="215"/>
      <c r="G259" s="215"/>
      <c r="H259" s="215"/>
      <c r="I259" s="215"/>
      <c r="J259" s="215"/>
      <c r="K259" s="215"/>
      <c r="L259" s="215"/>
      <c r="M259" s="215"/>
      <c r="N259" s="215"/>
      <c r="O259" s="215"/>
      <c r="P259" s="215"/>
      <c r="Q259" s="215"/>
      <c r="R259" s="215"/>
      <c r="S259" s="215"/>
      <c r="T259" s="215"/>
      <c r="U259" s="215"/>
      <c r="V259" s="215"/>
      <c r="W259" s="215"/>
      <c r="X259" s="215"/>
      <c r="Y259" s="215"/>
      <c r="Z259" s="215"/>
      <c r="AA259" s="215"/>
      <c r="AB259" s="215"/>
      <c r="AC259" s="215"/>
      <c r="AD259" s="215"/>
      <c r="AE259" s="215"/>
      <c r="AF259" s="215"/>
      <c r="AG259" s="215"/>
      <c r="AH259" s="215"/>
      <c r="AI259" s="215"/>
      <c r="AJ259" s="215"/>
      <c r="AK259" s="215"/>
      <c r="AL259" s="215"/>
      <c r="AM259" s="215"/>
      <c r="AN259" s="215"/>
      <c r="AO259" s="215"/>
      <c r="AP259" s="215"/>
    </row>
    <row r="260" spans="1:42">
      <c r="A260" s="197" t="s">
        <v>368</v>
      </c>
      <c r="C260" s="186"/>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
        <v>207</v>
      </c>
      <c r="C261" s="186"/>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37">
        <v>1</v>
      </c>
      <c r="C262" s="186">
        <f>IF(C$2&lt;=AnalysisPeriod,IF(SUM($C575:C575)&gt;0,B262+1,0),0)</f>
        <v>0</v>
      </c>
      <c r="D262" s="186">
        <f>IF(D$2&lt;=AnalysisPeriod,IF(SUM($C575:D575)&gt;0,C262+1,0),0)</f>
        <v>0</v>
      </c>
      <c r="E262" s="186">
        <f>IF(E$2&lt;=AnalysisPeriod,IF(SUM($C575:E575)&gt;0,D262+1,0),0)</f>
        <v>0</v>
      </c>
      <c r="F262" s="186">
        <f>IF(F$2&lt;=AnalysisPeriod,IF(SUM($C575:F575)&gt;0,E262+1,0),0)</f>
        <v>0</v>
      </c>
      <c r="G262" s="186">
        <f>IF(G$2&lt;=AnalysisPeriod,IF(SUM($C575:G575)&gt;0,F262+1,0),0)</f>
        <v>0</v>
      </c>
      <c r="H262" s="186">
        <f>IF(H$2&lt;=AnalysisPeriod,IF(SUM($C575:H575)&gt;0,G262+1,0),0)</f>
        <v>0</v>
      </c>
      <c r="I262" s="186">
        <f>IF(I$2&lt;=AnalysisPeriod,IF(SUM($C575:I575)&gt;0,H262+1,0),0)</f>
        <v>0</v>
      </c>
      <c r="J262" s="186">
        <f>IF(J$2&lt;=AnalysisPeriod,IF(SUM($C575:J575)&gt;0,I262+1,0),0)</f>
        <v>0</v>
      </c>
      <c r="K262" s="186">
        <f>IF(K$2&lt;=AnalysisPeriod,IF(SUM($C575:K575)&gt;0,J262+1,0),0)</f>
        <v>0</v>
      </c>
      <c r="L262" s="186">
        <f>IF(L$2&lt;=AnalysisPeriod,IF(SUM($C575:L575)&gt;0,K262+1,0),0)</f>
        <v>0</v>
      </c>
      <c r="M262" s="186">
        <f>IF(M$2&lt;=AnalysisPeriod,IF(SUM($C575:M575)&gt;0,L262+1,0),0)</f>
        <v>0</v>
      </c>
      <c r="N262" s="186">
        <f>IF(N$2&lt;=AnalysisPeriod,IF(SUM($C575:N575)&gt;0,M262+1,0),0)</f>
        <v>1</v>
      </c>
      <c r="O262" s="186">
        <f>IF(O$2&lt;=AnalysisPeriod,IF(SUM($C575:O575)&gt;0,N262+1,0),0)</f>
        <v>2</v>
      </c>
      <c r="P262" s="186">
        <f>IF(P$2&lt;=AnalysisPeriod,IF(SUM($C575:P575)&gt;0,O262+1,0),0)</f>
        <v>3</v>
      </c>
      <c r="Q262" s="186">
        <f>IF(Q$2&lt;=AnalysisPeriod,IF(SUM($C575:Q575)&gt;0,P262+1,0),0)</f>
        <v>4</v>
      </c>
      <c r="R262" s="186">
        <f>IF(R$2&lt;=AnalysisPeriod,IF(SUM($C575:R575)&gt;0,Q262+1,0),0)</f>
        <v>5</v>
      </c>
      <c r="S262" s="186">
        <f>IF(S$2&lt;=AnalysisPeriod,IF(SUM($C575:S575)&gt;0,R262+1,0),0)</f>
        <v>6</v>
      </c>
      <c r="T262" s="186">
        <f>IF(T$2&lt;=AnalysisPeriod,IF(SUM($C575:T575)&gt;0,S262+1,0),0)</f>
        <v>7</v>
      </c>
      <c r="U262" s="186">
        <f>IF(U$2&lt;=AnalysisPeriod,IF(SUM($C575:U575)&gt;0,T262+1,0),0)</f>
        <v>8</v>
      </c>
      <c r="V262" s="186">
        <f>IF(V$2&lt;=AnalysisPeriod,IF(SUM($C575:V575)&gt;0,U262+1,0),0)</f>
        <v>9</v>
      </c>
      <c r="W262" s="186">
        <f>IF(W$2&lt;=AnalysisPeriod,IF(SUM($C575:W575)&gt;0,V262+1,0),0)</f>
        <v>10</v>
      </c>
      <c r="X262" s="186">
        <f>IF(X$2&lt;=AnalysisPeriod,IF(SUM($C575:X575)&gt;0,W262+1,0),0)</f>
        <v>11</v>
      </c>
      <c r="Y262" s="186">
        <f>IF(Y$2&lt;=AnalysisPeriod,IF(SUM($C575:Y575)&gt;0,X262+1,0),0)</f>
        <v>12</v>
      </c>
      <c r="Z262" s="186">
        <f>IF(Z$2&lt;=AnalysisPeriod,IF(SUM($C575:Z575)&gt;0,Y262+1,0),0)</f>
        <v>13</v>
      </c>
      <c r="AA262" s="186">
        <f>IF(AA$2&lt;=AnalysisPeriod,IF(SUM($C575:AA575)&gt;0,Z262+1,0),0)</f>
        <v>14</v>
      </c>
      <c r="AB262" s="186">
        <f>IF(AB$2&lt;=AnalysisPeriod,IF(SUM($C575:AB575)&gt;0,AA262+1,0),0)</f>
        <v>15</v>
      </c>
      <c r="AC262" s="186">
        <f>IF(AC$2&lt;=AnalysisPeriod,IF(SUM($C575:AC575)&gt;0,AB262+1,0),0)</f>
        <v>16</v>
      </c>
      <c r="AD262" s="186">
        <f>IF(AD$2&lt;=AnalysisPeriod,IF(SUM($C575:AD575)&gt;0,AC262+1,0),0)</f>
        <v>17</v>
      </c>
      <c r="AE262" s="186">
        <f>IF(AE$2&lt;=AnalysisPeriod,IF(SUM($C575:AE575)&gt;0,AD262+1,0),0)</f>
        <v>18</v>
      </c>
      <c r="AF262" s="186">
        <f>IF(AF$2&lt;=AnalysisPeriod,IF(SUM($C575:AF575)&gt;0,AE262+1,0),0)</f>
        <v>19</v>
      </c>
      <c r="AG262" s="186">
        <f>IF(AG$2&lt;=AnalysisPeriod,IF(SUM($C575:AG575)&gt;0,AF262+1,0),0)</f>
        <v>0</v>
      </c>
      <c r="AH262" s="186">
        <f>IF(AH$2&lt;=AnalysisPeriod,IF(SUM($C575:AH575)&gt;0,AG262+1,0),0)</f>
        <v>0</v>
      </c>
      <c r="AI262" s="186">
        <f>IF(AI$2&lt;=AnalysisPeriod,IF(SUM($C575:AI575)&gt;0,AH262+1,0),0)</f>
        <v>0</v>
      </c>
      <c r="AJ262" s="186">
        <f>IF(AJ$2&lt;=AnalysisPeriod,IF(SUM($C575:AJ575)&gt;0,AI262+1,0),0)</f>
        <v>0</v>
      </c>
      <c r="AK262" s="186">
        <f>IF(AK$2&lt;=AnalysisPeriod,IF(SUM($C575:AK575)&gt;0,AJ262+1,0),0)</f>
        <v>0</v>
      </c>
      <c r="AL262" s="186">
        <f>IF(AL$2&lt;=AnalysisPeriod,IF(SUM($C575:AL575)&gt;0,AK262+1,0),0)</f>
        <v>0</v>
      </c>
      <c r="AM262" s="186">
        <f>IF(AM$2&lt;=AnalysisPeriod,IF(SUM($C575:AM575)&gt;0,AL262+1,0),0)</f>
        <v>0</v>
      </c>
      <c r="AN262" s="186">
        <f>IF(AN$2&lt;=AnalysisPeriod,IF(SUM($C575:AN575)&gt;0,AM262+1,0),0)</f>
        <v>0</v>
      </c>
      <c r="AO262" s="186">
        <f>IF(AO$2&lt;=AnalysisPeriod,IF(SUM($C575:AO575)&gt;0,AN262+1,0),0)</f>
        <v>0</v>
      </c>
      <c r="AP262" s="186">
        <f>IF(AP$2&lt;=AnalysisPeriod,IF(SUM($C575:AP575)&gt;0,AO262+1,0),0)</f>
        <v>0</v>
      </c>
    </row>
    <row r="263" spans="1:42">
      <c r="A263" s="37">
        <f>A262+1</f>
        <v>2</v>
      </c>
      <c r="C263" s="186">
        <f>IF(C$2&lt;=AnalysisPeriod,IF(SUM($C576:C576)&gt;0,B263+1,0),0)</f>
        <v>0</v>
      </c>
      <c r="D263" s="186">
        <f>IF(D$2&lt;=AnalysisPeriod,IF(SUM($C576:D576)&gt;0,C263+1,0),0)</f>
        <v>0</v>
      </c>
      <c r="E263" s="186">
        <f>IF(E$2&lt;=AnalysisPeriod,IF(SUM($C576:E576)&gt;0,D263+1,0),0)</f>
        <v>0</v>
      </c>
      <c r="F263" s="186">
        <f>IF(F$2&lt;=AnalysisPeriod,IF(SUM($C576:F576)&gt;0,E263+1,0),0)</f>
        <v>0</v>
      </c>
      <c r="G263" s="186">
        <f>IF(G$2&lt;=AnalysisPeriod,IF(SUM($C576:G576)&gt;0,F263+1,0),0)</f>
        <v>0</v>
      </c>
      <c r="H263" s="186">
        <f>IF(H$2&lt;=AnalysisPeriod,IF(SUM($C576:H576)&gt;0,G263+1,0),0)</f>
        <v>0</v>
      </c>
      <c r="I263" s="186">
        <f>IF(I$2&lt;=AnalysisPeriod,IF(SUM($C576:I576)&gt;0,H263+1,0),0)</f>
        <v>0</v>
      </c>
      <c r="J263" s="186">
        <f>IF(J$2&lt;=AnalysisPeriod,IF(SUM($C576:J576)&gt;0,I263+1,0),0)</f>
        <v>0</v>
      </c>
      <c r="K263" s="186">
        <f>IF(K$2&lt;=AnalysisPeriod,IF(SUM($C576:K576)&gt;0,J263+1,0),0)</f>
        <v>0</v>
      </c>
      <c r="L263" s="186">
        <f>IF(L$2&lt;=AnalysisPeriod,IF(SUM($C576:L576)&gt;0,K263+1,0),0)</f>
        <v>0</v>
      </c>
      <c r="M263" s="186">
        <f>IF(M$2&lt;=AnalysisPeriod,IF(SUM($C576:M576)&gt;0,L263+1,0),0)</f>
        <v>0</v>
      </c>
      <c r="N263" s="186">
        <f>IF(N$2&lt;=AnalysisPeriod,IF(SUM($C576:N576)&gt;0,M263+1,0),0)</f>
        <v>0</v>
      </c>
      <c r="O263" s="186">
        <f>IF(O$2&lt;=AnalysisPeriod,IF(SUM($C576:O576)&gt;0,N263+1,0),0)</f>
        <v>0</v>
      </c>
      <c r="P263" s="186">
        <f>IF(P$2&lt;=AnalysisPeriod,IF(SUM($C576:P576)&gt;0,O263+1,0),0)</f>
        <v>0</v>
      </c>
      <c r="Q263" s="186">
        <f>IF(Q$2&lt;=AnalysisPeriod,IF(SUM($C576:Q576)&gt;0,P263+1,0),0)</f>
        <v>0</v>
      </c>
      <c r="R263" s="186">
        <f>IF(R$2&lt;=AnalysisPeriod,IF(SUM($C576:R576)&gt;0,Q263+1,0),0)</f>
        <v>0</v>
      </c>
      <c r="S263" s="186">
        <f>IF(S$2&lt;=AnalysisPeriod,IF(SUM($C576:S576)&gt;0,R263+1,0),0)</f>
        <v>0</v>
      </c>
      <c r="T263" s="186">
        <f>IF(T$2&lt;=AnalysisPeriod,IF(SUM($C576:T576)&gt;0,S263+1,0),0)</f>
        <v>0</v>
      </c>
      <c r="U263" s="186">
        <f>IF(U$2&lt;=AnalysisPeriod,IF(SUM($C576:U576)&gt;0,T263+1,0),0)</f>
        <v>0</v>
      </c>
      <c r="V263" s="186">
        <f>IF(V$2&lt;=AnalysisPeriod,IF(SUM($C576:V576)&gt;0,U263+1,0),0)</f>
        <v>0</v>
      </c>
      <c r="W263" s="186">
        <f>IF(W$2&lt;=AnalysisPeriod,IF(SUM($C576:W576)&gt;0,V263+1,0),0)</f>
        <v>0</v>
      </c>
      <c r="X263" s="186">
        <f>IF(X$2&lt;=AnalysisPeriod,IF(SUM($C576:X576)&gt;0,W263+1,0),0)</f>
        <v>0</v>
      </c>
      <c r="Y263" s="186">
        <f>IF(Y$2&lt;=AnalysisPeriod,IF(SUM($C576:Y576)&gt;0,X263+1,0),0)</f>
        <v>0</v>
      </c>
      <c r="Z263" s="186">
        <f>IF(Z$2&lt;=AnalysisPeriod,IF(SUM($C576:Z576)&gt;0,Y263+1,0),0)</f>
        <v>1</v>
      </c>
      <c r="AA263" s="186">
        <f>IF(AA$2&lt;=AnalysisPeriod,IF(SUM($C576:AA576)&gt;0,Z263+1,0),0)</f>
        <v>2</v>
      </c>
      <c r="AB263" s="186">
        <f>IF(AB$2&lt;=AnalysisPeriod,IF(SUM($C576:AB576)&gt;0,AA263+1,0),0)</f>
        <v>3</v>
      </c>
      <c r="AC263" s="186">
        <f>IF(AC$2&lt;=AnalysisPeriod,IF(SUM($C576:AC576)&gt;0,AB263+1,0),0)</f>
        <v>4</v>
      </c>
      <c r="AD263" s="186">
        <f>IF(AD$2&lt;=AnalysisPeriod,IF(SUM($C576:AD576)&gt;0,AC263+1,0),0)</f>
        <v>5</v>
      </c>
      <c r="AE263" s="186">
        <f>IF(AE$2&lt;=AnalysisPeriod,IF(SUM($C576:AE576)&gt;0,AD263+1,0),0)</f>
        <v>6</v>
      </c>
      <c r="AF263" s="186">
        <f>IF(AF$2&lt;=AnalysisPeriod,IF(SUM($C576:AF576)&gt;0,AE263+1,0),0)</f>
        <v>7</v>
      </c>
      <c r="AG263" s="186">
        <f>IF(AG$2&lt;=AnalysisPeriod,IF(SUM($C576:AG576)&gt;0,AF263+1,0),0)</f>
        <v>0</v>
      </c>
      <c r="AH263" s="186">
        <f>IF(AH$2&lt;=AnalysisPeriod,IF(SUM($C576:AH576)&gt;0,AG263+1,0),0)</f>
        <v>0</v>
      </c>
      <c r="AI263" s="186">
        <f>IF(AI$2&lt;=AnalysisPeriod,IF(SUM($C576:AI576)&gt;0,AH263+1,0),0)</f>
        <v>0</v>
      </c>
      <c r="AJ263" s="186">
        <f>IF(AJ$2&lt;=AnalysisPeriod,IF(SUM($C576:AJ576)&gt;0,AI263+1,0),0)</f>
        <v>0</v>
      </c>
      <c r="AK263" s="186">
        <f>IF(AK$2&lt;=AnalysisPeriod,IF(SUM($C576:AK576)&gt;0,AJ263+1,0),0)</f>
        <v>0</v>
      </c>
      <c r="AL263" s="186">
        <f>IF(AL$2&lt;=AnalysisPeriod,IF(SUM($C576:AL576)&gt;0,AK263+1,0),0)</f>
        <v>0</v>
      </c>
      <c r="AM263" s="186">
        <f>IF(AM$2&lt;=AnalysisPeriod,IF(SUM($C576:AM576)&gt;0,AL263+1,0),0)</f>
        <v>0</v>
      </c>
      <c r="AN263" s="186">
        <f>IF(AN$2&lt;=AnalysisPeriod,IF(SUM($C576:AN576)&gt;0,AM263+1,0),0)</f>
        <v>0</v>
      </c>
      <c r="AO263" s="186">
        <f>IF(AO$2&lt;=AnalysisPeriod,IF(SUM($C576:AO576)&gt;0,AN263+1,0),0)</f>
        <v>0</v>
      </c>
      <c r="AP263" s="186">
        <f>IF(AP$2&lt;=AnalysisPeriod,IF(SUM($C576:AP576)&gt;0,AO263+1,0),0)</f>
        <v>0</v>
      </c>
    </row>
    <row r="264" spans="1:42">
      <c r="A264" s="37">
        <f t="shared" ref="A264:A271" si="138">A263+1</f>
        <v>3</v>
      </c>
      <c r="C264" s="186">
        <f>IF(C$2&lt;=AnalysisPeriod,IF(SUM($C577:C577)&gt;0,B264+1,0),0)</f>
        <v>0</v>
      </c>
      <c r="D264" s="186">
        <f>IF(D$2&lt;=AnalysisPeriod,IF(SUM($C577:D577)&gt;0,C264+1,0),0)</f>
        <v>0</v>
      </c>
      <c r="E264" s="186">
        <f>IF(E$2&lt;=AnalysisPeriod,IF(SUM($C577:E577)&gt;0,D264+1,0),0)</f>
        <v>0</v>
      </c>
      <c r="F264" s="186">
        <f>IF(F$2&lt;=AnalysisPeriod,IF(SUM($C577:F577)&gt;0,E264+1,0),0)</f>
        <v>0</v>
      </c>
      <c r="G264" s="186">
        <f>IF(G$2&lt;=AnalysisPeriod,IF(SUM($C577:G577)&gt;0,F264+1,0),0)</f>
        <v>0</v>
      </c>
      <c r="H264" s="186">
        <f>IF(H$2&lt;=AnalysisPeriod,IF(SUM($C577:H577)&gt;0,G264+1,0),0)</f>
        <v>0</v>
      </c>
      <c r="I264" s="186">
        <f>IF(I$2&lt;=AnalysisPeriod,IF(SUM($C577:I577)&gt;0,H264+1,0),0)</f>
        <v>0</v>
      </c>
      <c r="J264" s="186">
        <f>IF(J$2&lt;=AnalysisPeriod,IF(SUM($C577:J577)&gt;0,I264+1,0),0)</f>
        <v>0</v>
      </c>
      <c r="K264" s="186">
        <f>IF(K$2&lt;=AnalysisPeriod,IF(SUM($C577:K577)&gt;0,J264+1,0),0)</f>
        <v>0</v>
      </c>
      <c r="L264" s="186">
        <f>IF(L$2&lt;=AnalysisPeriod,IF(SUM($C577:L577)&gt;0,K264+1,0),0)</f>
        <v>0</v>
      </c>
      <c r="M264" s="186">
        <f>IF(M$2&lt;=AnalysisPeriod,IF(SUM($C577:M577)&gt;0,L264+1,0),0)</f>
        <v>0</v>
      </c>
      <c r="N264" s="186">
        <f>IF(N$2&lt;=AnalysisPeriod,IF(SUM($C577:N577)&gt;0,M264+1,0),0)</f>
        <v>0</v>
      </c>
      <c r="O264" s="186">
        <f>IF(O$2&lt;=AnalysisPeriod,IF(SUM($C577:O577)&gt;0,N264+1,0),0)</f>
        <v>0</v>
      </c>
      <c r="P264" s="186">
        <f>IF(P$2&lt;=AnalysisPeriod,IF(SUM($C577:P577)&gt;0,O264+1,0),0)</f>
        <v>0</v>
      </c>
      <c r="Q264" s="186">
        <f>IF(Q$2&lt;=AnalysisPeriod,IF(SUM($C577:Q577)&gt;0,P264+1,0),0)</f>
        <v>0</v>
      </c>
      <c r="R264" s="186">
        <f>IF(R$2&lt;=AnalysisPeriod,IF(SUM($C577:R577)&gt;0,Q264+1,0),0)</f>
        <v>0</v>
      </c>
      <c r="S264" s="186">
        <f>IF(S$2&lt;=AnalysisPeriod,IF(SUM($C577:S577)&gt;0,R264+1,0),0)</f>
        <v>0</v>
      </c>
      <c r="T264" s="186">
        <f>IF(T$2&lt;=AnalysisPeriod,IF(SUM($C577:T577)&gt;0,S264+1,0),0)</f>
        <v>0</v>
      </c>
      <c r="U264" s="186">
        <f>IF(U$2&lt;=AnalysisPeriod,IF(SUM($C577:U577)&gt;0,T264+1,0),0)</f>
        <v>0</v>
      </c>
      <c r="V264" s="186">
        <f>IF(V$2&lt;=AnalysisPeriod,IF(SUM($C577:V577)&gt;0,U264+1,0),0)</f>
        <v>0</v>
      </c>
      <c r="W264" s="186">
        <f>IF(W$2&lt;=AnalysisPeriod,IF(SUM($C577:W577)&gt;0,V264+1,0),0)</f>
        <v>0</v>
      </c>
      <c r="X264" s="186">
        <f>IF(X$2&lt;=AnalysisPeriod,IF(SUM($C577:X577)&gt;0,W264+1,0),0)</f>
        <v>0</v>
      </c>
      <c r="Y264" s="186">
        <f>IF(Y$2&lt;=AnalysisPeriod,IF(SUM($C577:Y577)&gt;0,X264+1,0),0)</f>
        <v>0</v>
      </c>
      <c r="Z264" s="186">
        <f>IF(Z$2&lt;=AnalysisPeriod,IF(SUM($C577:Z577)&gt;0,Y264+1,0),0)</f>
        <v>0</v>
      </c>
      <c r="AA264" s="186">
        <f>IF(AA$2&lt;=AnalysisPeriod,IF(SUM($C577:AA577)&gt;0,Z264+1,0),0)</f>
        <v>0</v>
      </c>
      <c r="AB264" s="186">
        <f>IF(AB$2&lt;=AnalysisPeriod,IF(SUM($C577:AB577)&gt;0,AA264+1,0),0)</f>
        <v>0</v>
      </c>
      <c r="AC264" s="186">
        <f>IF(AC$2&lt;=AnalysisPeriod,IF(SUM($C577:AC577)&gt;0,AB264+1,0),0)</f>
        <v>0</v>
      </c>
      <c r="AD264" s="186">
        <f>IF(AD$2&lt;=AnalysisPeriod,IF(SUM($C577:AD577)&gt;0,AC264+1,0),0)</f>
        <v>0</v>
      </c>
      <c r="AE264" s="186">
        <f>IF(AE$2&lt;=AnalysisPeriod,IF(SUM($C577:AE577)&gt;0,AD264+1,0),0)</f>
        <v>0</v>
      </c>
      <c r="AF264" s="186">
        <f>IF(AF$2&lt;=AnalysisPeriod,IF(SUM($C577:AF577)&gt;0,AE264+1,0),0)</f>
        <v>0</v>
      </c>
      <c r="AG264" s="186">
        <f>IF(AG$2&lt;=AnalysisPeriod,IF(SUM($C577:AG577)&gt;0,AF264+1,0),0)</f>
        <v>0</v>
      </c>
      <c r="AH264" s="186">
        <f>IF(AH$2&lt;=AnalysisPeriod,IF(SUM($C577:AH577)&gt;0,AG264+1,0),0)</f>
        <v>0</v>
      </c>
      <c r="AI264" s="186">
        <f>IF(AI$2&lt;=AnalysisPeriod,IF(SUM($C577:AI577)&gt;0,AH264+1,0),0)</f>
        <v>0</v>
      </c>
      <c r="AJ264" s="186">
        <f>IF(AJ$2&lt;=AnalysisPeriod,IF(SUM($C577:AJ577)&gt;0,AI264+1,0),0)</f>
        <v>0</v>
      </c>
      <c r="AK264" s="186">
        <f>IF(AK$2&lt;=AnalysisPeriod,IF(SUM($C577:AK577)&gt;0,AJ264+1,0),0)</f>
        <v>0</v>
      </c>
      <c r="AL264" s="186">
        <f>IF(AL$2&lt;=AnalysisPeriod,IF(SUM($C577:AL577)&gt;0,AK264+1,0),0)</f>
        <v>0</v>
      </c>
      <c r="AM264" s="186">
        <f>IF(AM$2&lt;=AnalysisPeriod,IF(SUM($C577:AM577)&gt;0,AL264+1,0),0)</f>
        <v>0</v>
      </c>
      <c r="AN264" s="186">
        <f>IF(AN$2&lt;=AnalysisPeriod,IF(SUM($C577:AN577)&gt;0,AM264+1,0),0)</f>
        <v>0</v>
      </c>
      <c r="AO264" s="186">
        <f>IF(AO$2&lt;=AnalysisPeriod,IF(SUM($C577:AO577)&gt;0,AN264+1,0),0)</f>
        <v>0</v>
      </c>
      <c r="AP264" s="186">
        <f>IF(AP$2&lt;=AnalysisPeriod,IF(SUM($C577:AP577)&gt;0,AO264+1,0),0)</f>
        <v>0</v>
      </c>
    </row>
    <row r="265" spans="1:42">
      <c r="A265" s="37">
        <f t="shared" si="138"/>
        <v>4</v>
      </c>
      <c r="C265" s="186">
        <f>IF(C$2&lt;=AnalysisPeriod,IF(SUM($C578:C578)&gt;0,B265+1,0),0)</f>
        <v>0</v>
      </c>
      <c r="D265" s="186">
        <f>IF(D$2&lt;=AnalysisPeriod,IF(SUM($C578:D578)&gt;0,C265+1,0),0)</f>
        <v>0</v>
      </c>
      <c r="E265" s="186">
        <f>IF(E$2&lt;=AnalysisPeriod,IF(SUM($C578:E578)&gt;0,D265+1,0),0)</f>
        <v>0</v>
      </c>
      <c r="F265" s="186">
        <f>IF(F$2&lt;=AnalysisPeriod,IF(SUM($C578:F578)&gt;0,E265+1,0),0)</f>
        <v>0</v>
      </c>
      <c r="G265" s="186">
        <f>IF(G$2&lt;=AnalysisPeriod,IF(SUM($C578:G578)&gt;0,F265+1,0),0)</f>
        <v>0</v>
      </c>
      <c r="H265" s="186">
        <f>IF(H$2&lt;=AnalysisPeriod,IF(SUM($C578:H578)&gt;0,G265+1,0),0)</f>
        <v>0</v>
      </c>
      <c r="I265" s="186">
        <f>IF(I$2&lt;=AnalysisPeriod,IF(SUM($C578:I578)&gt;0,H265+1,0),0)</f>
        <v>0</v>
      </c>
      <c r="J265" s="186">
        <f>IF(J$2&lt;=AnalysisPeriod,IF(SUM($C578:J578)&gt;0,I265+1,0),0)</f>
        <v>0</v>
      </c>
      <c r="K265" s="186">
        <f>IF(K$2&lt;=AnalysisPeriod,IF(SUM($C578:K578)&gt;0,J265+1,0),0)</f>
        <v>0</v>
      </c>
      <c r="L265" s="186">
        <f>IF(L$2&lt;=AnalysisPeriod,IF(SUM($C578:L578)&gt;0,K265+1,0),0)</f>
        <v>0</v>
      </c>
      <c r="M265" s="186">
        <f>IF(M$2&lt;=AnalysisPeriod,IF(SUM($C578:M578)&gt;0,L265+1,0),0)</f>
        <v>0</v>
      </c>
      <c r="N265" s="186">
        <f>IF(N$2&lt;=AnalysisPeriod,IF(SUM($C578:N578)&gt;0,M265+1,0),0)</f>
        <v>0</v>
      </c>
      <c r="O265" s="186">
        <f>IF(O$2&lt;=AnalysisPeriod,IF(SUM($C578:O578)&gt;0,N265+1,0),0)</f>
        <v>0</v>
      </c>
      <c r="P265" s="186">
        <f>IF(P$2&lt;=AnalysisPeriod,IF(SUM($C578:P578)&gt;0,O265+1,0),0)</f>
        <v>0</v>
      </c>
      <c r="Q265" s="186">
        <f>IF(Q$2&lt;=AnalysisPeriod,IF(SUM($C578:Q578)&gt;0,P265+1,0),0)</f>
        <v>0</v>
      </c>
      <c r="R265" s="186">
        <f>IF(R$2&lt;=AnalysisPeriod,IF(SUM($C578:R578)&gt;0,Q265+1,0),0)</f>
        <v>0</v>
      </c>
      <c r="S265" s="186">
        <f>IF(S$2&lt;=AnalysisPeriod,IF(SUM($C578:S578)&gt;0,R265+1,0),0)</f>
        <v>0</v>
      </c>
      <c r="T265" s="186">
        <f>IF(T$2&lt;=AnalysisPeriod,IF(SUM($C578:T578)&gt;0,S265+1,0),0)</f>
        <v>0</v>
      </c>
      <c r="U265" s="186">
        <f>IF(U$2&lt;=AnalysisPeriod,IF(SUM($C578:U578)&gt;0,T265+1,0),0)</f>
        <v>0</v>
      </c>
      <c r="V265" s="186">
        <f>IF(V$2&lt;=AnalysisPeriod,IF(SUM($C578:V578)&gt;0,U265+1,0),0)</f>
        <v>0</v>
      </c>
      <c r="W265" s="186">
        <f>IF(W$2&lt;=AnalysisPeriod,IF(SUM($C578:W578)&gt;0,V265+1,0),0)</f>
        <v>0</v>
      </c>
      <c r="X265" s="186">
        <f>IF(X$2&lt;=AnalysisPeriod,IF(SUM($C578:X578)&gt;0,W265+1,0),0)</f>
        <v>0</v>
      </c>
      <c r="Y265" s="186">
        <f>IF(Y$2&lt;=AnalysisPeriod,IF(SUM($C578:Y578)&gt;0,X265+1,0),0)</f>
        <v>0</v>
      </c>
      <c r="Z265" s="186">
        <f>IF(Z$2&lt;=AnalysisPeriod,IF(SUM($C578:Z578)&gt;0,Y265+1,0),0)</f>
        <v>0</v>
      </c>
      <c r="AA265" s="186">
        <f>IF(AA$2&lt;=AnalysisPeriod,IF(SUM($C578:AA578)&gt;0,Z265+1,0),0)</f>
        <v>0</v>
      </c>
      <c r="AB265" s="186">
        <f>IF(AB$2&lt;=AnalysisPeriod,IF(SUM($C578:AB578)&gt;0,AA265+1,0),0)</f>
        <v>0</v>
      </c>
      <c r="AC265" s="186">
        <f>IF(AC$2&lt;=AnalysisPeriod,IF(SUM($C578:AC578)&gt;0,AB265+1,0),0)</f>
        <v>0</v>
      </c>
      <c r="AD265" s="186">
        <f>IF(AD$2&lt;=AnalysisPeriod,IF(SUM($C578:AD578)&gt;0,AC265+1,0),0)</f>
        <v>0</v>
      </c>
      <c r="AE265" s="186">
        <f>IF(AE$2&lt;=AnalysisPeriod,IF(SUM($C578:AE578)&gt;0,AD265+1,0),0)</f>
        <v>0</v>
      </c>
      <c r="AF265" s="186">
        <f>IF(AF$2&lt;=AnalysisPeriod,IF(SUM($C578:AF578)&gt;0,AE265+1,0),0)</f>
        <v>0</v>
      </c>
      <c r="AG265" s="186">
        <f>IF(AG$2&lt;=AnalysisPeriod,IF(SUM($C578:AG578)&gt;0,AF265+1,0),0)</f>
        <v>0</v>
      </c>
      <c r="AH265" s="186">
        <f>IF(AH$2&lt;=AnalysisPeriod,IF(SUM($C578:AH578)&gt;0,AG265+1,0),0)</f>
        <v>0</v>
      </c>
      <c r="AI265" s="186">
        <f>IF(AI$2&lt;=AnalysisPeriod,IF(SUM($C578:AI578)&gt;0,AH265+1,0),0)</f>
        <v>0</v>
      </c>
      <c r="AJ265" s="186">
        <f>IF(AJ$2&lt;=AnalysisPeriod,IF(SUM($C578:AJ578)&gt;0,AI265+1,0),0)</f>
        <v>0</v>
      </c>
      <c r="AK265" s="186">
        <f>IF(AK$2&lt;=AnalysisPeriod,IF(SUM($C578:AK578)&gt;0,AJ265+1,0),0)</f>
        <v>0</v>
      </c>
      <c r="AL265" s="186">
        <f>IF(AL$2&lt;=AnalysisPeriod,IF(SUM($C578:AL578)&gt;0,AK265+1,0),0)</f>
        <v>0</v>
      </c>
      <c r="AM265" s="186">
        <f>IF(AM$2&lt;=AnalysisPeriod,IF(SUM($C578:AM578)&gt;0,AL265+1,0),0)</f>
        <v>0</v>
      </c>
      <c r="AN265" s="186">
        <f>IF(AN$2&lt;=AnalysisPeriod,IF(SUM($C578:AN578)&gt;0,AM265+1,0),0)</f>
        <v>0</v>
      </c>
      <c r="AO265" s="186">
        <f>IF(AO$2&lt;=AnalysisPeriod,IF(SUM($C578:AO578)&gt;0,AN265+1,0),0)</f>
        <v>0</v>
      </c>
      <c r="AP265" s="186">
        <f>IF(AP$2&lt;=AnalysisPeriod,IF(SUM($C578:AP578)&gt;0,AO265+1,0),0)</f>
        <v>0</v>
      </c>
    </row>
    <row r="266" spans="1:42">
      <c r="A266" s="37">
        <f t="shared" si="138"/>
        <v>5</v>
      </c>
      <c r="C266" s="186">
        <f>IF(C$2&lt;=AnalysisPeriod,IF(SUM($C579:C579)&gt;0,B266+1,0),0)</f>
        <v>0</v>
      </c>
      <c r="D266" s="186">
        <f>IF(D$2&lt;=AnalysisPeriod,IF(SUM($C579:D579)&gt;0,C266+1,0),0)</f>
        <v>0</v>
      </c>
      <c r="E266" s="186">
        <f>IF(E$2&lt;=AnalysisPeriod,IF(SUM($C579:E579)&gt;0,D266+1,0),0)</f>
        <v>0</v>
      </c>
      <c r="F266" s="186">
        <f>IF(F$2&lt;=AnalysisPeriod,IF(SUM($C579:F579)&gt;0,E266+1,0),0)</f>
        <v>0</v>
      </c>
      <c r="G266" s="186">
        <f>IF(G$2&lt;=AnalysisPeriod,IF(SUM($C579:G579)&gt;0,F266+1,0),0)</f>
        <v>0</v>
      </c>
      <c r="H266" s="186">
        <f>IF(H$2&lt;=AnalysisPeriod,IF(SUM($C579:H579)&gt;0,G266+1,0),0)</f>
        <v>0</v>
      </c>
      <c r="I266" s="186">
        <f>IF(I$2&lt;=AnalysisPeriod,IF(SUM($C579:I579)&gt;0,H266+1,0),0)</f>
        <v>0</v>
      </c>
      <c r="J266" s="186">
        <f>IF(J$2&lt;=AnalysisPeriod,IF(SUM($C579:J579)&gt;0,I266+1,0),0)</f>
        <v>0</v>
      </c>
      <c r="K266" s="186">
        <f>IF(K$2&lt;=AnalysisPeriod,IF(SUM($C579:K579)&gt;0,J266+1,0),0)</f>
        <v>0</v>
      </c>
      <c r="L266" s="186">
        <f>IF(L$2&lt;=AnalysisPeriod,IF(SUM($C579:L579)&gt;0,K266+1,0),0)</f>
        <v>0</v>
      </c>
      <c r="M266" s="186">
        <f>IF(M$2&lt;=AnalysisPeriod,IF(SUM($C579:M579)&gt;0,L266+1,0),0)</f>
        <v>0</v>
      </c>
      <c r="N266" s="186">
        <f>IF(N$2&lt;=AnalysisPeriod,IF(SUM($C579:N579)&gt;0,M266+1,0),0)</f>
        <v>0</v>
      </c>
      <c r="O266" s="186">
        <f>IF(O$2&lt;=AnalysisPeriod,IF(SUM($C579:O579)&gt;0,N266+1,0),0)</f>
        <v>0</v>
      </c>
      <c r="P266" s="186">
        <f>IF(P$2&lt;=AnalysisPeriod,IF(SUM($C579:P579)&gt;0,O266+1,0),0)</f>
        <v>0</v>
      </c>
      <c r="Q266" s="186">
        <f>IF(Q$2&lt;=AnalysisPeriod,IF(SUM($C579:Q579)&gt;0,P266+1,0),0)</f>
        <v>0</v>
      </c>
      <c r="R266" s="186">
        <f>IF(R$2&lt;=AnalysisPeriod,IF(SUM($C579:R579)&gt;0,Q266+1,0),0)</f>
        <v>0</v>
      </c>
      <c r="S266" s="186">
        <f>IF(S$2&lt;=AnalysisPeriod,IF(SUM($C579:S579)&gt;0,R266+1,0),0)</f>
        <v>0</v>
      </c>
      <c r="T266" s="186">
        <f>IF(T$2&lt;=AnalysisPeriod,IF(SUM($C579:T579)&gt;0,S266+1,0),0)</f>
        <v>0</v>
      </c>
      <c r="U266" s="186">
        <f>IF(U$2&lt;=AnalysisPeriod,IF(SUM($C579:U579)&gt;0,T266+1,0),0)</f>
        <v>0</v>
      </c>
      <c r="V266" s="186">
        <f>IF(V$2&lt;=AnalysisPeriod,IF(SUM($C579:V579)&gt;0,U266+1,0),0)</f>
        <v>0</v>
      </c>
      <c r="W266" s="186">
        <f>IF(W$2&lt;=AnalysisPeriod,IF(SUM($C579:W579)&gt;0,V266+1,0),0)</f>
        <v>0</v>
      </c>
      <c r="X266" s="186">
        <f>IF(X$2&lt;=AnalysisPeriod,IF(SUM($C579:X579)&gt;0,W266+1,0),0)</f>
        <v>0</v>
      </c>
      <c r="Y266" s="186">
        <f>IF(Y$2&lt;=AnalysisPeriod,IF(SUM($C579:Y579)&gt;0,X266+1,0),0)</f>
        <v>0</v>
      </c>
      <c r="Z266" s="186">
        <f>IF(Z$2&lt;=AnalysisPeriod,IF(SUM($C579:Z579)&gt;0,Y266+1,0),0)</f>
        <v>0</v>
      </c>
      <c r="AA266" s="186">
        <f>IF(AA$2&lt;=AnalysisPeriod,IF(SUM($C579:AA579)&gt;0,Z266+1,0),0)</f>
        <v>0</v>
      </c>
      <c r="AB266" s="186">
        <f>IF(AB$2&lt;=AnalysisPeriod,IF(SUM($C579:AB579)&gt;0,AA266+1,0),0)</f>
        <v>0</v>
      </c>
      <c r="AC266" s="186">
        <f>IF(AC$2&lt;=AnalysisPeriod,IF(SUM($C579:AC579)&gt;0,AB266+1,0),0)</f>
        <v>0</v>
      </c>
      <c r="AD266" s="186">
        <f>IF(AD$2&lt;=AnalysisPeriod,IF(SUM($C579:AD579)&gt;0,AC266+1,0),0)</f>
        <v>0</v>
      </c>
      <c r="AE266" s="186">
        <f>IF(AE$2&lt;=AnalysisPeriod,IF(SUM($C579:AE579)&gt;0,AD266+1,0),0)</f>
        <v>0</v>
      </c>
      <c r="AF266" s="186">
        <f>IF(AF$2&lt;=AnalysisPeriod,IF(SUM($C579:AF579)&gt;0,AE266+1,0),0)</f>
        <v>0</v>
      </c>
      <c r="AG266" s="186">
        <f>IF(AG$2&lt;=AnalysisPeriod,IF(SUM($C579:AG579)&gt;0,AF266+1,0),0)</f>
        <v>0</v>
      </c>
      <c r="AH266" s="186">
        <f>IF(AH$2&lt;=AnalysisPeriod,IF(SUM($C579:AH579)&gt;0,AG266+1,0),0)</f>
        <v>0</v>
      </c>
      <c r="AI266" s="186">
        <f>IF(AI$2&lt;=AnalysisPeriod,IF(SUM($C579:AI579)&gt;0,AH266+1,0),0)</f>
        <v>0</v>
      </c>
      <c r="AJ266" s="186">
        <f>IF(AJ$2&lt;=AnalysisPeriod,IF(SUM($C579:AJ579)&gt;0,AI266+1,0),0)</f>
        <v>0</v>
      </c>
      <c r="AK266" s="186">
        <f>IF(AK$2&lt;=AnalysisPeriod,IF(SUM($C579:AK579)&gt;0,AJ266+1,0),0)</f>
        <v>0</v>
      </c>
      <c r="AL266" s="186">
        <f>IF(AL$2&lt;=AnalysisPeriod,IF(SUM($C579:AL579)&gt;0,AK266+1,0),0)</f>
        <v>0</v>
      </c>
      <c r="AM266" s="186">
        <f>IF(AM$2&lt;=AnalysisPeriod,IF(SUM($C579:AM579)&gt;0,AL266+1,0),0)</f>
        <v>0</v>
      </c>
      <c r="AN266" s="186">
        <f>IF(AN$2&lt;=AnalysisPeriod,IF(SUM($C579:AN579)&gt;0,AM266+1,0),0)</f>
        <v>0</v>
      </c>
      <c r="AO266" s="186">
        <f>IF(AO$2&lt;=AnalysisPeriod,IF(SUM($C579:AO579)&gt;0,AN266+1,0),0)</f>
        <v>0</v>
      </c>
      <c r="AP266" s="186">
        <f>IF(AP$2&lt;=AnalysisPeriod,IF(SUM($C579:AP579)&gt;0,AO266+1,0),0)</f>
        <v>0</v>
      </c>
    </row>
    <row r="267" spans="1:42">
      <c r="A267" s="37">
        <f t="shared" si="138"/>
        <v>6</v>
      </c>
      <c r="C267" s="186">
        <f>IF(C$2&lt;=AnalysisPeriod,IF(SUM($C580:C580)&gt;0,B267+1,0),0)</f>
        <v>0</v>
      </c>
      <c r="D267" s="186">
        <f>IF(D$2&lt;=AnalysisPeriod,IF(SUM($C580:D580)&gt;0,C267+1,0),0)</f>
        <v>0</v>
      </c>
      <c r="E267" s="186">
        <f>IF(E$2&lt;=AnalysisPeriod,IF(SUM($C580:E580)&gt;0,D267+1,0),0)</f>
        <v>0</v>
      </c>
      <c r="F267" s="186">
        <f>IF(F$2&lt;=AnalysisPeriod,IF(SUM($C580:F580)&gt;0,E267+1,0),0)</f>
        <v>0</v>
      </c>
      <c r="G267" s="186">
        <f>IF(G$2&lt;=AnalysisPeriod,IF(SUM($C580:G580)&gt;0,F267+1,0),0)</f>
        <v>0</v>
      </c>
      <c r="H267" s="186">
        <f>IF(H$2&lt;=AnalysisPeriod,IF(SUM($C580:H580)&gt;0,G267+1,0),0)</f>
        <v>0</v>
      </c>
      <c r="I267" s="186">
        <f>IF(I$2&lt;=AnalysisPeriod,IF(SUM($C580:I580)&gt;0,H267+1,0),0)</f>
        <v>0</v>
      </c>
      <c r="J267" s="186">
        <f>IF(J$2&lt;=AnalysisPeriod,IF(SUM($C580:J580)&gt;0,I267+1,0),0)</f>
        <v>0</v>
      </c>
      <c r="K267" s="186">
        <f>IF(K$2&lt;=AnalysisPeriod,IF(SUM($C580:K580)&gt;0,J267+1,0),0)</f>
        <v>0</v>
      </c>
      <c r="L267" s="186">
        <f>IF(L$2&lt;=AnalysisPeriod,IF(SUM($C580:L580)&gt;0,K267+1,0),0)</f>
        <v>0</v>
      </c>
      <c r="M267" s="186">
        <f>IF(M$2&lt;=AnalysisPeriod,IF(SUM($C580:M580)&gt;0,L267+1,0),0)</f>
        <v>0</v>
      </c>
      <c r="N267" s="186">
        <f>IF(N$2&lt;=AnalysisPeriod,IF(SUM($C580:N580)&gt;0,M267+1,0),0)</f>
        <v>0</v>
      </c>
      <c r="O267" s="186">
        <f>IF(O$2&lt;=AnalysisPeriod,IF(SUM($C580:O580)&gt;0,N267+1,0),0)</f>
        <v>0</v>
      </c>
      <c r="P267" s="186">
        <f>IF(P$2&lt;=AnalysisPeriod,IF(SUM($C580:P580)&gt;0,O267+1,0),0)</f>
        <v>0</v>
      </c>
      <c r="Q267" s="186">
        <f>IF(Q$2&lt;=AnalysisPeriod,IF(SUM($C580:Q580)&gt;0,P267+1,0),0)</f>
        <v>0</v>
      </c>
      <c r="R267" s="186">
        <f>IF(R$2&lt;=AnalysisPeriod,IF(SUM($C580:R580)&gt;0,Q267+1,0),0)</f>
        <v>0</v>
      </c>
      <c r="S267" s="186">
        <f>IF(S$2&lt;=AnalysisPeriod,IF(SUM($C580:S580)&gt;0,R267+1,0),0)</f>
        <v>0</v>
      </c>
      <c r="T267" s="186">
        <f>IF(T$2&lt;=AnalysisPeriod,IF(SUM($C580:T580)&gt;0,S267+1,0),0)</f>
        <v>0</v>
      </c>
      <c r="U267" s="186">
        <f>IF(U$2&lt;=AnalysisPeriod,IF(SUM($C580:U580)&gt;0,T267+1,0),0)</f>
        <v>0</v>
      </c>
      <c r="V267" s="186">
        <f>IF(V$2&lt;=AnalysisPeriod,IF(SUM($C580:V580)&gt;0,U267+1,0),0)</f>
        <v>0</v>
      </c>
      <c r="W267" s="186">
        <f>IF(W$2&lt;=AnalysisPeriod,IF(SUM($C580:W580)&gt;0,V267+1,0),0)</f>
        <v>0</v>
      </c>
      <c r="X267" s="186">
        <f>IF(X$2&lt;=AnalysisPeriod,IF(SUM($C580:X580)&gt;0,W267+1,0),0)</f>
        <v>0</v>
      </c>
      <c r="Y267" s="186">
        <f>IF(Y$2&lt;=AnalysisPeriod,IF(SUM($C580:Y580)&gt;0,X267+1,0),0)</f>
        <v>0</v>
      </c>
      <c r="Z267" s="186">
        <f>IF(Z$2&lt;=AnalysisPeriod,IF(SUM($C580:Z580)&gt;0,Y267+1,0),0)</f>
        <v>0</v>
      </c>
      <c r="AA267" s="186">
        <f>IF(AA$2&lt;=AnalysisPeriod,IF(SUM($C580:AA580)&gt;0,Z267+1,0),0)</f>
        <v>0</v>
      </c>
      <c r="AB267" s="186">
        <f>IF(AB$2&lt;=AnalysisPeriod,IF(SUM($C580:AB580)&gt;0,AA267+1,0),0)</f>
        <v>0</v>
      </c>
      <c r="AC267" s="186">
        <f>IF(AC$2&lt;=AnalysisPeriod,IF(SUM($C580:AC580)&gt;0,AB267+1,0),0)</f>
        <v>0</v>
      </c>
      <c r="AD267" s="186">
        <f>IF(AD$2&lt;=AnalysisPeriod,IF(SUM($C580:AD580)&gt;0,AC267+1,0),0)</f>
        <v>0</v>
      </c>
      <c r="AE267" s="186">
        <f>IF(AE$2&lt;=AnalysisPeriod,IF(SUM($C580:AE580)&gt;0,AD267+1,0),0)</f>
        <v>0</v>
      </c>
      <c r="AF267" s="186">
        <f>IF(AF$2&lt;=AnalysisPeriod,IF(SUM($C580:AF580)&gt;0,AE267+1,0),0)</f>
        <v>0</v>
      </c>
      <c r="AG267" s="186">
        <f>IF(AG$2&lt;=AnalysisPeriod,IF(SUM($C580:AG580)&gt;0,AF267+1,0),0)</f>
        <v>0</v>
      </c>
      <c r="AH267" s="186">
        <f>IF(AH$2&lt;=AnalysisPeriod,IF(SUM($C580:AH580)&gt;0,AG267+1,0),0)</f>
        <v>0</v>
      </c>
      <c r="AI267" s="186">
        <f>IF(AI$2&lt;=AnalysisPeriod,IF(SUM($C580:AI580)&gt;0,AH267+1,0),0)</f>
        <v>0</v>
      </c>
      <c r="AJ267" s="186">
        <f>IF(AJ$2&lt;=AnalysisPeriod,IF(SUM($C580:AJ580)&gt;0,AI267+1,0),0)</f>
        <v>0</v>
      </c>
      <c r="AK267" s="186">
        <f>IF(AK$2&lt;=AnalysisPeriod,IF(SUM($C580:AK580)&gt;0,AJ267+1,0),0)</f>
        <v>0</v>
      </c>
      <c r="AL267" s="186">
        <f>IF(AL$2&lt;=AnalysisPeriod,IF(SUM($C580:AL580)&gt;0,AK267+1,0),0)</f>
        <v>0</v>
      </c>
      <c r="AM267" s="186">
        <f>IF(AM$2&lt;=AnalysisPeriod,IF(SUM($C580:AM580)&gt;0,AL267+1,0),0)</f>
        <v>0</v>
      </c>
      <c r="AN267" s="186">
        <f>IF(AN$2&lt;=AnalysisPeriod,IF(SUM($C580:AN580)&gt;0,AM267+1,0),0)</f>
        <v>0</v>
      </c>
      <c r="AO267" s="186">
        <f>IF(AO$2&lt;=AnalysisPeriod,IF(SUM($C580:AO580)&gt;0,AN267+1,0),0)</f>
        <v>0</v>
      </c>
      <c r="AP267" s="186">
        <f>IF(AP$2&lt;=AnalysisPeriod,IF(SUM($C580:AP580)&gt;0,AO267+1,0),0)</f>
        <v>0</v>
      </c>
    </row>
    <row r="268" spans="1:42">
      <c r="A268" s="37">
        <f t="shared" si="138"/>
        <v>7</v>
      </c>
      <c r="C268" s="186">
        <f>IF(C$2&lt;=AnalysisPeriod,IF(SUM($C581:C581)&gt;0,B268+1,0),0)</f>
        <v>0</v>
      </c>
      <c r="D268" s="186">
        <f>IF(D$2&lt;=AnalysisPeriod,IF(SUM($C581:D581)&gt;0,C268+1,0),0)</f>
        <v>0</v>
      </c>
      <c r="E268" s="186">
        <f>IF(E$2&lt;=AnalysisPeriod,IF(SUM($C581:E581)&gt;0,D268+1,0),0)</f>
        <v>0</v>
      </c>
      <c r="F268" s="186">
        <f>IF(F$2&lt;=AnalysisPeriod,IF(SUM($C581:F581)&gt;0,E268+1,0),0)</f>
        <v>0</v>
      </c>
      <c r="G268" s="186">
        <f>IF(G$2&lt;=AnalysisPeriod,IF(SUM($C581:G581)&gt;0,F268+1,0),0)</f>
        <v>0</v>
      </c>
      <c r="H268" s="186">
        <f>IF(H$2&lt;=AnalysisPeriod,IF(SUM($C581:H581)&gt;0,G268+1,0),0)</f>
        <v>0</v>
      </c>
      <c r="I268" s="186">
        <f>IF(I$2&lt;=AnalysisPeriod,IF(SUM($C581:I581)&gt;0,H268+1,0),0)</f>
        <v>0</v>
      </c>
      <c r="J268" s="186">
        <f>IF(J$2&lt;=AnalysisPeriod,IF(SUM($C581:J581)&gt;0,I268+1,0),0)</f>
        <v>0</v>
      </c>
      <c r="K268" s="186">
        <f>IF(K$2&lt;=AnalysisPeriod,IF(SUM($C581:K581)&gt;0,J268+1,0),0)</f>
        <v>0</v>
      </c>
      <c r="L268" s="186">
        <f>IF(L$2&lt;=AnalysisPeriod,IF(SUM($C581:L581)&gt;0,K268+1,0),0)</f>
        <v>0</v>
      </c>
      <c r="M268" s="186">
        <f>IF(M$2&lt;=AnalysisPeriod,IF(SUM($C581:M581)&gt;0,L268+1,0),0)</f>
        <v>0</v>
      </c>
      <c r="N268" s="186">
        <f>IF(N$2&lt;=AnalysisPeriod,IF(SUM($C581:N581)&gt;0,M268+1,0),0)</f>
        <v>0</v>
      </c>
      <c r="O268" s="186">
        <f>IF(O$2&lt;=AnalysisPeriod,IF(SUM($C581:O581)&gt;0,N268+1,0),0)</f>
        <v>0</v>
      </c>
      <c r="P268" s="186">
        <f>IF(P$2&lt;=AnalysisPeriod,IF(SUM($C581:P581)&gt;0,O268+1,0),0)</f>
        <v>0</v>
      </c>
      <c r="Q268" s="186">
        <f>IF(Q$2&lt;=AnalysisPeriod,IF(SUM($C581:Q581)&gt;0,P268+1,0),0)</f>
        <v>0</v>
      </c>
      <c r="R268" s="186">
        <f>IF(R$2&lt;=AnalysisPeriod,IF(SUM($C581:R581)&gt;0,Q268+1,0),0)</f>
        <v>0</v>
      </c>
      <c r="S268" s="186">
        <f>IF(S$2&lt;=AnalysisPeriod,IF(SUM($C581:S581)&gt;0,R268+1,0),0)</f>
        <v>0</v>
      </c>
      <c r="T268" s="186">
        <f>IF(T$2&lt;=AnalysisPeriod,IF(SUM($C581:T581)&gt;0,S268+1,0),0)</f>
        <v>0</v>
      </c>
      <c r="U268" s="186">
        <f>IF(U$2&lt;=AnalysisPeriod,IF(SUM($C581:U581)&gt;0,T268+1,0),0)</f>
        <v>0</v>
      </c>
      <c r="V268" s="186">
        <f>IF(V$2&lt;=AnalysisPeriod,IF(SUM($C581:V581)&gt;0,U268+1,0),0)</f>
        <v>0</v>
      </c>
      <c r="W268" s="186">
        <f>IF(W$2&lt;=AnalysisPeriod,IF(SUM($C581:W581)&gt;0,V268+1,0),0)</f>
        <v>0</v>
      </c>
      <c r="X268" s="186">
        <f>IF(X$2&lt;=AnalysisPeriod,IF(SUM($C581:X581)&gt;0,W268+1,0),0)</f>
        <v>0</v>
      </c>
      <c r="Y268" s="186">
        <f>IF(Y$2&lt;=AnalysisPeriod,IF(SUM($C581:Y581)&gt;0,X268+1,0),0)</f>
        <v>0</v>
      </c>
      <c r="Z268" s="186">
        <f>IF(Z$2&lt;=AnalysisPeriod,IF(SUM($C581:Z581)&gt;0,Y268+1,0),0)</f>
        <v>0</v>
      </c>
      <c r="AA268" s="186">
        <f>IF(AA$2&lt;=AnalysisPeriod,IF(SUM($C581:AA581)&gt;0,Z268+1,0),0)</f>
        <v>0</v>
      </c>
      <c r="AB268" s="186">
        <f>IF(AB$2&lt;=AnalysisPeriod,IF(SUM($C581:AB581)&gt;0,AA268+1,0),0)</f>
        <v>0</v>
      </c>
      <c r="AC268" s="186">
        <f>IF(AC$2&lt;=AnalysisPeriod,IF(SUM($C581:AC581)&gt;0,AB268+1,0),0)</f>
        <v>0</v>
      </c>
      <c r="AD268" s="186">
        <f>IF(AD$2&lt;=AnalysisPeriod,IF(SUM($C581:AD581)&gt;0,AC268+1,0),0)</f>
        <v>0</v>
      </c>
      <c r="AE268" s="186">
        <f>IF(AE$2&lt;=AnalysisPeriod,IF(SUM($C581:AE581)&gt;0,AD268+1,0),0)</f>
        <v>0</v>
      </c>
      <c r="AF268" s="186">
        <f>IF(AF$2&lt;=AnalysisPeriod,IF(SUM($C581:AF581)&gt;0,AE268+1,0),0)</f>
        <v>0</v>
      </c>
      <c r="AG268" s="186">
        <f>IF(AG$2&lt;=AnalysisPeriod,IF(SUM($C581:AG581)&gt;0,AF268+1,0),0)</f>
        <v>0</v>
      </c>
      <c r="AH268" s="186">
        <f>IF(AH$2&lt;=AnalysisPeriod,IF(SUM($C581:AH581)&gt;0,AG268+1,0),0)</f>
        <v>0</v>
      </c>
      <c r="AI268" s="186">
        <f>IF(AI$2&lt;=AnalysisPeriod,IF(SUM($C581:AI581)&gt;0,AH268+1,0),0)</f>
        <v>0</v>
      </c>
      <c r="AJ268" s="186">
        <f>IF(AJ$2&lt;=AnalysisPeriod,IF(SUM($C581:AJ581)&gt;0,AI268+1,0),0)</f>
        <v>0</v>
      </c>
      <c r="AK268" s="186">
        <f>IF(AK$2&lt;=AnalysisPeriod,IF(SUM($C581:AK581)&gt;0,AJ268+1,0),0)</f>
        <v>0</v>
      </c>
      <c r="AL268" s="186">
        <f>IF(AL$2&lt;=AnalysisPeriod,IF(SUM($C581:AL581)&gt;0,AK268+1,0),0)</f>
        <v>0</v>
      </c>
      <c r="AM268" s="186">
        <f>IF(AM$2&lt;=AnalysisPeriod,IF(SUM($C581:AM581)&gt;0,AL268+1,0),0)</f>
        <v>0</v>
      </c>
      <c r="AN268" s="186">
        <f>IF(AN$2&lt;=AnalysisPeriod,IF(SUM($C581:AN581)&gt;0,AM268+1,0),0)</f>
        <v>0</v>
      </c>
      <c r="AO268" s="186">
        <f>IF(AO$2&lt;=AnalysisPeriod,IF(SUM($C581:AO581)&gt;0,AN268+1,0),0)</f>
        <v>0</v>
      </c>
      <c r="AP268" s="186">
        <f>IF(AP$2&lt;=AnalysisPeriod,IF(SUM($C581:AP581)&gt;0,AO268+1,0),0)</f>
        <v>0</v>
      </c>
    </row>
    <row r="269" spans="1:42">
      <c r="A269" s="37">
        <f t="shared" si="138"/>
        <v>8</v>
      </c>
      <c r="C269" s="186">
        <f>IF(C$2&lt;=AnalysisPeriod,IF(SUM($C582:C582)&gt;0,B269+1,0),0)</f>
        <v>0</v>
      </c>
      <c r="D269" s="186">
        <f>IF(D$2&lt;=AnalysisPeriod,IF(SUM($C582:D582)&gt;0,C269+1,0),0)</f>
        <v>0</v>
      </c>
      <c r="E269" s="186">
        <f>IF(E$2&lt;=AnalysisPeriod,IF(SUM($C582:E582)&gt;0,D269+1,0),0)</f>
        <v>0</v>
      </c>
      <c r="F269" s="186">
        <f>IF(F$2&lt;=AnalysisPeriod,IF(SUM($C582:F582)&gt;0,E269+1,0),0)</f>
        <v>0</v>
      </c>
      <c r="G269" s="186">
        <f>IF(G$2&lt;=AnalysisPeriod,IF(SUM($C582:G582)&gt;0,F269+1,0),0)</f>
        <v>0</v>
      </c>
      <c r="H269" s="186">
        <f>IF(H$2&lt;=AnalysisPeriod,IF(SUM($C582:H582)&gt;0,G269+1,0),0)</f>
        <v>0</v>
      </c>
      <c r="I269" s="186">
        <f>IF(I$2&lt;=AnalysisPeriod,IF(SUM($C582:I582)&gt;0,H269+1,0),0)</f>
        <v>0</v>
      </c>
      <c r="J269" s="186">
        <f>IF(J$2&lt;=AnalysisPeriod,IF(SUM($C582:J582)&gt;0,I269+1,0),0)</f>
        <v>0</v>
      </c>
      <c r="K269" s="186">
        <f>IF(K$2&lt;=AnalysisPeriod,IF(SUM($C582:K582)&gt;0,J269+1,0),0)</f>
        <v>0</v>
      </c>
      <c r="L269" s="186">
        <f>IF(L$2&lt;=AnalysisPeriod,IF(SUM($C582:L582)&gt;0,K269+1,0),0)</f>
        <v>0</v>
      </c>
      <c r="M269" s="186">
        <f>IF(M$2&lt;=AnalysisPeriod,IF(SUM($C582:M582)&gt;0,L269+1,0),0)</f>
        <v>0</v>
      </c>
      <c r="N269" s="186">
        <f>IF(N$2&lt;=AnalysisPeriod,IF(SUM($C582:N582)&gt;0,M269+1,0),0)</f>
        <v>0</v>
      </c>
      <c r="O269" s="186">
        <f>IF(O$2&lt;=AnalysisPeriod,IF(SUM($C582:O582)&gt;0,N269+1,0),0)</f>
        <v>0</v>
      </c>
      <c r="P269" s="186">
        <f>IF(P$2&lt;=AnalysisPeriod,IF(SUM($C582:P582)&gt;0,O269+1,0),0)</f>
        <v>0</v>
      </c>
      <c r="Q269" s="186">
        <f>IF(Q$2&lt;=AnalysisPeriod,IF(SUM($C582:Q582)&gt;0,P269+1,0),0)</f>
        <v>0</v>
      </c>
      <c r="R269" s="186">
        <f>IF(R$2&lt;=AnalysisPeriod,IF(SUM($C582:R582)&gt;0,Q269+1,0),0)</f>
        <v>0</v>
      </c>
      <c r="S269" s="186">
        <f>IF(S$2&lt;=AnalysisPeriod,IF(SUM($C582:S582)&gt;0,R269+1,0),0)</f>
        <v>0</v>
      </c>
      <c r="T269" s="186">
        <f>IF(T$2&lt;=AnalysisPeriod,IF(SUM($C582:T582)&gt;0,S269+1,0),0)</f>
        <v>0</v>
      </c>
      <c r="U269" s="186">
        <f>IF(U$2&lt;=AnalysisPeriod,IF(SUM($C582:U582)&gt;0,T269+1,0),0)</f>
        <v>0</v>
      </c>
      <c r="V269" s="186">
        <f>IF(V$2&lt;=AnalysisPeriod,IF(SUM($C582:V582)&gt;0,U269+1,0),0)</f>
        <v>0</v>
      </c>
      <c r="W269" s="186">
        <f>IF(W$2&lt;=AnalysisPeriod,IF(SUM($C582:W582)&gt;0,V269+1,0),0)</f>
        <v>0</v>
      </c>
      <c r="X269" s="186">
        <f>IF(X$2&lt;=AnalysisPeriod,IF(SUM($C582:X582)&gt;0,W269+1,0),0)</f>
        <v>0</v>
      </c>
      <c r="Y269" s="186">
        <f>IF(Y$2&lt;=AnalysisPeriod,IF(SUM($C582:Y582)&gt;0,X269+1,0),0)</f>
        <v>0</v>
      </c>
      <c r="Z269" s="186">
        <f>IF(Z$2&lt;=AnalysisPeriod,IF(SUM($C582:Z582)&gt;0,Y269+1,0),0)</f>
        <v>0</v>
      </c>
      <c r="AA269" s="186">
        <f>IF(AA$2&lt;=AnalysisPeriod,IF(SUM($C582:AA582)&gt;0,Z269+1,0),0)</f>
        <v>0</v>
      </c>
      <c r="AB269" s="186">
        <f>IF(AB$2&lt;=AnalysisPeriod,IF(SUM($C582:AB582)&gt;0,AA269+1,0),0)</f>
        <v>0</v>
      </c>
      <c r="AC269" s="186">
        <f>IF(AC$2&lt;=AnalysisPeriod,IF(SUM($C582:AC582)&gt;0,AB269+1,0),0)</f>
        <v>0</v>
      </c>
      <c r="AD269" s="186">
        <f>IF(AD$2&lt;=AnalysisPeriod,IF(SUM($C582:AD582)&gt;0,AC269+1,0),0)</f>
        <v>0</v>
      </c>
      <c r="AE269" s="186">
        <f>IF(AE$2&lt;=AnalysisPeriod,IF(SUM($C582:AE582)&gt;0,AD269+1,0),0)</f>
        <v>0</v>
      </c>
      <c r="AF269" s="186">
        <f>IF(AF$2&lt;=AnalysisPeriod,IF(SUM($C582:AF582)&gt;0,AE269+1,0),0)</f>
        <v>0</v>
      </c>
      <c r="AG269" s="186">
        <f>IF(AG$2&lt;=AnalysisPeriod,IF(SUM($C582:AG582)&gt;0,AF269+1,0),0)</f>
        <v>0</v>
      </c>
      <c r="AH269" s="186">
        <f>IF(AH$2&lt;=AnalysisPeriod,IF(SUM($C582:AH582)&gt;0,AG269+1,0),0)</f>
        <v>0</v>
      </c>
      <c r="AI269" s="186">
        <f>IF(AI$2&lt;=AnalysisPeriod,IF(SUM($C582:AI582)&gt;0,AH269+1,0),0)</f>
        <v>0</v>
      </c>
      <c r="AJ269" s="186">
        <f>IF(AJ$2&lt;=AnalysisPeriod,IF(SUM($C582:AJ582)&gt;0,AI269+1,0),0)</f>
        <v>0</v>
      </c>
      <c r="AK269" s="186">
        <f>IF(AK$2&lt;=AnalysisPeriod,IF(SUM($C582:AK582)&gt;0,AJ269+1,0),0)</f>
        <v>0</v>
      </c>
      <c r="AL269" s="186">
        <f>IF(AL$2&lt;=AnalysisPeriod,IF(SUM($C582:AL582)&gt;0,AK269+1,0),0)</f>
        <v>0</v>
      </c>
      <c r="AM269" s="186">
        <f>IF(AM$2&lt;=AnalysisPeriod,IF(SUM($C582:AM582)&gt;0,AL269+1,0),0)</f>
        <v>0</v>
      </c>
      <c r="AN269" s="186">
        <f>IF(AN$2&lt;=AnalysisPeriod,IF(SUM($C582:AN582)&gt;0,AM269+1,0),0)</f>
        <v>0</v>
      </c>
      <c r="AO269" s="186">
        <f>IF(AO$2&lt;=AnalysisPeriod,IF(SUM($C582:AO582)&gt;0,AN269+1,0),0)</f>
        <v>0</v>
      </c>
      <c r="AP269" s="186">
        <f>IF(AP$2&lt;=AnalysisPeriod,IF(SUM($C582:AP582)&gt;0,AO269+1,0),0)</f>
        <v>0</v>
      </c>
    </row>
    <row r="270" spans="1:42">
      <c r="A270" s="37">
        <f>A269+1</f>
        <v>9</v>
      </c>
      <c r="C270" s="186">
        <f>IF(C$2&lt;=AnalysisPeriod,IF(SUM($C583:C583)&gt;0,B270+1,0),0)</f>
        <v>0</v>
      </c>
      <c r="D270" s="186">
        <f>IF(D$2&lt;=AnalysisPeriod,IF(SUM($C583:D583)&gt;0,C270+1,0),0)</f>
        <v>0</v>
      </c>
      <c r="E270" s="186">
        <f>IF(E$2&lt;=AnalysisPeriod,IF(SUM($C583:E583)&gt;0,D270+1,0),0)</f>
        <v>0</v>
      </c>
      <c r="F270" s="186">
        <f>IF(F$2&lt;=AnalysisPeriod,IF(SUM($C583:F583)&gt;0,E270+1,0),0)</f>
        <v>0</v>
      </c>
      <c r="G270" s="186">
        <f>IF(G$2&lt;=AnalysisPeriod,IF(SUM($C583:G583)&gt;0,F270+1,0),0)</f>
        <v>0</v>
      </c>
      <c r="H270" s="186">
        <f>IF(H$2&lt;=AnalysisPeriod,IF(SUM($C583:H583)&gt;0,G270+1,0),0)</f>
        <v>0</v>
      </c>
      <c r="I270" s="186">
        <f>IF(I$2&lt;=AnalysisPeriod,IF(SUM($C583:I583)&gt;0,H270+1,0),0)</f>
        <v>0</v>
      </c>
      <c r="J270" s="186">
        <f>IF(J$2&lt;=AnalysisPeriod,IF(SUM($C583:J583)&gt;0,I270+1,0),0)</f>
        <v>0</v>
      </c>
      <c r="K270" s="186">
        <f>IF(K$2&lt;=AnalysisPeriod,IF(SUM($C583:K583)&gt;0,J270+1,0),0)</f>
        <v>0</v>
      </c>
      <c r="L270" s="186">
        <f>IF(L$2&lt;=AnalysisPeriod,IF(SUM($C583:L583)&gt;0,K270+1,0),0)</f>
        <v>0</v>
      </c>
      <c r="M270" s="186">
        <f>IF(M$2&lt;=AnalysisPeriod,IF(SUM($C583:M583)&gt;0,L270+1,0),0)</f>
        <v>0</v>
      </c>
      <c r="N270" s="186">
        <f>IF(N$2&lt;=AnalysisPeriod,IF(SUM($C583:N583)&gt;0,M270+1,0),0)</f>
        <v>0</v>
      </c>
      <c r="O270" s="186">
        <f>IF(O$2&lt;=AnalysisPeriod,IF(SUM($C583:O583)&gt;0,N270+1,0),0)</f>
        <v>0</v>
      </c>
      <c r="P270" s="186">
        <f>IF(P$2&lt;=AnalysisPeriod,IF(SUM($C583:P583)&gt;0,O270+1,0),0)</f>
        <v>0</v>
      </c>
      <c r="Q270" s="186">
        <f>IF(Q$2&lt;=AnalysisPeriod,IF(SUM($C583:Q583)&gt;0,P270+1,0),0)</f>
        <v>0</v>
      </c>
      <c r="R270" s="186">
        <f>IF(R$2&lt;=AnalysisPeriod,IF(SUM($C583:R583)&gt;0,Q270+1,0),0)</f>
        <v>0</v>
      </c>
      <c r="S270" s="186">
        <f>IF(S$2&lt;=AnalysisPeriod,IF(SUM($C583:S583)&gt;0,R270+1,0),0)</f>
        <v>0</v>
      </c>
      <c r="T270" s="186">
        <f>IF(T$2&lt;=AnalysisPeriod,IF(SUM($C583:T583)&gt;0,S270+1,0),0)</f>
        <v>0</v>
      </c>
      <c r="U270" s="186">
        <f>IF(U$2&lt;=AnalysisPeriod,IF(SUM($C583:U583)&gt;0,T270+1,0),0)</f>
        <v>0</v>
      </c>
      <c r="V270" s="186">
        <f>IF(V$2&lt;=AnalysisPeriod,IF(SUM($C583:V583)&gt;0,U270+1,0),0)</f>
        <v>0</v>
      </c>
      <c r="W270" s="186">
        <f>IF(W$2&lt;=AnalysisPeriod,IF(SUM($C583:W583)&gt;0,V270+1,0),0)</f>
        <v>0</v>
      </c>
      <c r="X270" s="186">
        <f>IF(X$2&lt;=AnalysisPeriod,IF(SUM($C583:X583)&gt;0,W270+1,0),0)</f>
        <v>0</v>
      </c>
      <c r="Y270" s="186">
        <f>IF(Y$2&lt;=AnalysisPeriod,IF(SUM($C583:Y583)&gt;0,X270+1,0),0)</f>
        <v>0</v>
      </c>
      <c r="Z270" s="186">
        <f>IF(Z$2&lt;=AnalysisPeriod,IF(SUM($C583:Z583)&gt;0,Y270+1,0),0)</f>
        <v>0</v>
      </c>
      <c r="AA270" s="186">
        <f>IF(AA$2&lt;=AnalysisPeriod,IF(SUM($C583:AA583)&gt;0,Z270+1,0),0)</f>
        <v>0</v>
      </c>
      <c r="AB270" s="186">
        <f>IF(AB$2&lt;=AnalysisPeriod,IF(SUM($C583:AB583)&gt;0,AA270+1,0),0)</f>
        <v>0</v>
      </c>
      <c r="AC270" s="186">
        <f>IF(AC$2&lt;=AnalysisPeriod,IF(SUM($C583:AC583)&gt;0,AB270+1,0),0)</f>
        <v>0</v>
      </c>
      <c r="AD270" s="186">
        <f>IF(AD$2&lt;=AnalysisPeriod,IF(SUM($C583:AD583)&gt;0,AC270+1,0),0)</f>
        <v>0</v>
      </c>
      <c r="AE270" s="186">
        <f>IF(AE$2&lt;=AnalysisPeriod,IF(SUM($C583:AE583)&gt;0,AD270+1,0),0)</f>
        <v>0</v>
      </c>
      <c r="AF270" s="186">
        <f>IF(AF$2&lt;=AnalysisPeriod,IF(SUM($C583:AF583)&gt;0,AE270+1,0),0)</f>
        <v>0</v>
      </c>
      <c r="AG270" s="186">
        <f>IF(AG$2&lt;=AnalysisPeriod,IF(SUM($C583:AG583)&gt;0,AF270+1,0),0)</f>
        <v>0</v>
      </c>
      <c r="AH270" s="186">
        <f>IF(AH$2&lt;=AnalysisPeriod,IF(SUM($C583:AH583)&gt;0,AG270+1,0),0)</f>
        <v>0</v>
      </c>
      <c r="AI270" s="186">
        <f>IF(AI$2&lt;=AnalysisPeriod,IF(SUM($C583:AI583)&gt;0,AH270+1,0),0)</f>
        <v>0</v>
      </c>
      <c r="AJ270" s="186">
        <f>IF(AJ$2&lt;=AnalysisPeriod,IF(SUM($C583:AJ583)&gt;0,AI270+1,0),0)</f>
        <v>0</v>
      </c>
      <c r="AK270" s="186">
        <f>IF(AK$2&lt;=AnalysisPeriod,IF(SUM($C583:AK583)&gt;0,AJ270+1,0),0)</f>
        <v>0</v>
      </c>
      <c r="AL270" s="186">
        <f>IF(AL$2&lt;=AnalysisPeriod,IF(SUM($C583:AL583)&gt;0,AK270+1,0),0)</f>
        <v>0</v>
      </c>
      <c r="AM270" s="186">
        <f>IF(AM$2&lt;=AnalysisPeriod,IF(SUM($C583:AM583)&gt;0,AL270+1,0),0)</f>
        <v>0</v>
      </c>
      <c r="AN270" s="186">
        <f>IF(AN$2&lt;=AnalysisPeriod,IF(SUM($C583:AN583)&gt;0,AM270+1,0),0)</f>
        <v>0</v>
      </c>
      <c r="AO270" s="186">
        <f>IF(AO$2&lt;=AnalysisPeriod,IF(SUM($C583:AO583)&gt;0,AN270+1,0),0)</f>
        <v>0</v>
      </c>
      <c r="AP270" s="186">
        <f>IF(AP$2&lt;=AnalysisPeriod,IF(SUM($C583:AP583)&gt;0,AO270+1,0),0)</f>
        <v>0</v>
      </c>
    </row>
    <row r="271" spans="1:42">
      <c r="A271" s="37">
        <f t="shared" si="138"/>
        <v>10</v>
      </c>
      <c r="C271" s="186">
        <f>IF(C$2&lt;=AnalysisPeriod,IF(SUM($C584:C584)&gt;0,B271+1,0),0)</f>
        <v>0</v>
      </c>
      <c r="D271" s="186">
        <f>IF(D$2&lt;=AnalysisPeriod,IF(SUM($C584:D584)&gt;0,C271+1,0),0)</f>
        <v>0</v>
      </c>
      <c r="E271" s="186">
        <f>IF(E$2&lt;=AnalysisPeriod,IF(SUM($C584:E584)&gt;0,D271+1,0),0)</f>
        <v>0</v>
      </c>
      <c r="F271" s="186">
        <f>IF(F$2&lt;=AnalysisPeriod,IF(SUM($C584:F584)&gt;0,E271+1,0),0)</f>
        <v>0</v>
      </c>
      <c r="G271" s="186">
        <f>IF(G$2&lt;=AnalysisPeriod,IF(SUM($C584:G584)&gt;0,F271+1,0),0)</f>
        <v>0</v>
      </c>
      <c r="H271" s="186">
        <f>IF(H$2&lt;=AnalysisPeriod,IF(SUM($C584:H584)&gt;0,G271+1,0),0)</f>
        <v>0</v>
      </c>
      <c r="I271" s="186">
        <f>IF(I$2&lt;=AnalysisPeriod,IF(SUM($C584:I584)&gt;0,H271+1,0),0)</f>
        <v>0</v>
      </c>
      <c r="J271" s="186">
        <f>IF(J$2&lt;=AnalysisPeriod,IF(SUM($C584:J584)&gt;0,I271+1,0),0)</f>
        <v>0</v>
      </c>
      <c r="K271" s="186">
        <f>IF(K$2&lt;=AnalysisPeriod,IF(SUM($C584:K584)&gt;0,J271+1,0),0)</f>
        <v>0</v>
      </c>
      <c r="L271" s="186">
        <f>IF(L$2&lt;=AnalysisPeriod,IF(SUM($C584:L584)&gt;0,K271+1,0),0)</f>
        <v>0</v>
      </c>
      <c r="M271" s="186">
        <f>IF(M$2&lt;=AnalysisPeriod,IF(SUM($C584:M584)&gt;0,L271+1,0),0)</f>
        <v>0</v>
      </c>
      <c r="N271" s="186">
        <f>IF(N$2&lt;=AnalysisPeriod,IF(SUM($C584:N584)&gt;0,M271+1,0),0)</f>
        <v>0</v>
      </c>
      <c r="O271" s="186">
        <f>IF(O$2&lt;=AnalysisPeriod,IF(SUM($C584:O584)&gt;0,N271+1,0),0)</f>
        <v>0</v>
      </c>
      <c r="P271" s="186">
        <f>IF(P$2&lt;=AnalysisPeriod,IF(SUM($C584:P584)&gt;0,O271+1,0),0)</f>
        <v>0</v>
      </c>
      <c r="Q271" s="186">
        <f>IF(Q$2&lt;=AnalysisPeriod,IF(SUM($C584:Q584)&gt;0,P271+1,0),0)</f>
        <v>0</v>
      </c>
      <c r="R271" s="186">
        <f>IF(R$2&lt;=AnalysisPeriod,IF(SUM($C584:R584)&gt;0,Q271+1,0),0)</f>
        <v>0</v>
      </c>
      <c r="S271" s="186">
        <f>IF(S$2&lt;=AnalysisPeriod,IF(SUM($C584:S584)&gt;0,R271+1,0),0)</f>
        <v>0</v>
      </c>
      <c r="T271" s="186">
        <f>IF(T$2&lt;=AnalysisPeriod,IF(SUM($C584:T584)&gt;0,S271+1,0),0)</f>
        <v>0</v>
      </c>
      <c r="U271" s="186">
        <f>IF(U$2&lt;=AnalysisPeriod,IF(SUM($C584:U584)&gt;0,T271+1,0),0)</f>
        <v>0</v>
      </c>
      <c r="V271" s="186">
        <f>IF(V$2&lt;=AnalysisPeriod,IF(SUM($C584:V584)&gt;0,U271+1,0),0)</f>
        <v>0</v>
      </c>
      <c r="W271" s="186">
        <f>IF(W$2&lt;=AnalysisPeriod,IF(SUM($C584:W584)&gt;0,V271+1,0),0)</f>
        <v>0</v>
      </c>
      <c r="X271" s="186">
        <f>IF(X$2&lt;=AnalysisPeriod,IF(SUM($C584:X584)&gt;0,W271+1,0),0)</f>
        <v>0</v>
      </c>
      <c r="Y271" s="186">
        <f>IF(Y$2&lt;=AnalysisPeriod,IF(SUM($C584:Y584)&gt;0,X271+1,0),0)</f>
        <v>0</v>
      </c>
      <c r="Z271" s="186">
        <f>IF(Z$2&lt;=AnalysisPeriod,IF(SUM($C584:Z584)&gt;0,Y271+1,0),0)</f>
        <v>0</v>
      </c>
      <c r="AA271" s="186">
        <f>IF(AA$2&lt;=AnalysisPeriod,IF(SUM($C584:AA584)&gt;0,Z271+1,0),0)</f>
        <v>0</v>
      </c>
      <c r="AB271" s="186">
        <f>IF(AB$2&lt;=AnalysisPeriod,IF(SUM($C584:AB584)&gt;0,AA271+1,0),0)</f>
        <v>0</v>
      </c>
      <c r="AC271" s="186">
        <f>IF(AC$2&lt;=AnalysisPeriod,IF(SUM($C584:AC584)&gt;0,AB271+1,0),0)</f>
        <v>0</v>
      </c>
      <c r="AD271" s="186">
        <f>IF(AD$2&lt;=AnalysisPeriod,IF(SUM($C584:AD584)&gt;0,AC271+1,0),0)</f>
        <v>0</v>
      </c>
      <c r="AE271" s="186">
        <f>IF(AE$2&lt;=AnalysisPeriod,IF(SUM($C584:AE584)&gt;0,AD271+1,0),0)</f>
        <v>0</v>
      </c>
      <c r="AF271" s="186">
        <f>IF(AF$2&lt;=AnalysisPeriod,IF(SUM($C584:AF584)&gt;0,AE271+1,0),0)</f>
        <v>0</v>
      </c>
      <c r="AG271" s="186">
        <f>IF(AG$2&lt;=AnalysisPeriod,IF(SUM($C584:AG584)&gt;0,AF271+1,0),0)</f>
        <v>0</v>
      </c>
      <c r="AH271" s="186">
        <f>IF(AH$2&lt;=AnalysisPeriod,IF(SUM($C584:AH584)&gt;0,AG271+1,0),0)</f>
        <v>0</v>
      </c>
      <c r="AI271" s="186">
        <f>IF(AI$2&lt;=AnalysisPeriod,IF(SUM($C584:AI584)&gt;0,AH271+1,0),0)</f>
        <v>0</v>
      </c>
      <c r="AJ271" s="186">
        <f>IF(AJ$2&lt;=AnalysisPeriod,IF(SUM($C584:AJ584)&gt;0,AI271+1,0),0)</f>
        <v>0</v>
      </c>
      <c r="AK271" s="186">
        <f>IF(AK$2&lt;=AnalysisPeriod,IF(SUM($C584:AK584)&gt;0,AJ271+1,0),0)</f>
        <v>0</v>
      </c>
      <c r="AL271" s="186">
        <f>IF(AL$2&lt;=AnalysisPeriod,IF(SUM($C584:AL584)&gt;0,AK271+1,0),0)</f>
        <v>0</v>
      </c>
      <c r="AM271" s="186">
        <f>IF(AM$2&lt;=AnalysisPeriod,IF(SUM($C584:AM584)&gt;0,AL271+1,0),0)</f>
        <v>0</v>
      </c>
      <c r="AN271" s="186">
        <f>IF(AN$2&lt;=AnalysisPeriod,IF(SUM($C584:AN584)&gt;0,AM271+1,0),0)</f>
        <v>0</v>
      </c>
      <c r="AO271" s="186">
        <f>IF(AO$2&lt;=AnalysisPeriod,IF(SUM($C584:AO584)&gt;0,AN271+1,0),0)</f>
        <v>0</v>
      </c>
      <c r="AP271" s="186">
        <f>IF(AP$2&lt;=AnalysisPeriod,IF(SUM($C584:AP584)&gt;0,AO271+1,0),0)</f>
        <v>0</v>
      </c>
    </row>
    <row r="272" spans="1:42">
      <c r="A272" s="204" t="s">
        <v>211</v>
      </c>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42">
      <c r="A273" s="37">
        <v>1</v>
      </c>
      <c r="B273" s="196">
        <f t="shared" ref="B273:B282" si="139">SUM(C273:AP273)</f>
        <v>2944872.3435013141</v>
      </c>
      <c r="C273" s="186">
        <f t="shared" ref="C273:AP273" si="140">LOOKUP(C262,$B$257:$AP$257,$B$258:$AP$258)*$B575</f>
        <v>0</v>
      </c>
      <c r="D273" s="186">
        <f t="shared" si="140"/>
        <v>0</v>
      </c>
      <c r="E273" s="186">
        <f t="shared" si="140"/>
        <v>0</v>
      </c>
      <c r="F273" s="186">
        <f t="shared" si="140"/>
        <v>0</v>
      </c>
      <c r="G273" s="186">
        <f t="shared" si="140"/>
        <v>0</v>
      </c>
      <c r="H273" s="186">
        <f t="shared" si="140"/>
        <v>0</v>
      </c>
      <c r="I273" s="186">
        <f t="shared" si="140"/>
        <v>0</v>
      </c>
      <c r="J273" s="186">
        <f t="shared" si="140"/>
        <v>0</v>
      </c>
      <c r="K273" s="186">
        <f t="shared" si="140"/>
        <v>0</v>
      </c>
      <c r="L273" s="186">
        <f t="shared" si="140"/>
        <v>0</v>
      </c>
      <c r="M273" s="186">
        <f t="shared" si="140"/>
        <v>0</v>
      </c>
      <c r="N273" s="186">
        <f t="shared" si="140"/>
        <v>588974.46870026283</v>
      </c>
      <c r="O273" s="186">
        <f t="shared" si="140"/>
        <v>942359.14992042049</v>
      </c>
      <c r="P273" s="186">
        <f t="shared" si="140"/>
        <v>565415.48995225236</v>
      </c>
      <c r="Q273" s="186">
        <f t="shared" si="140"/>
        <v>339249.29397135135</v>
      </c>
      <c r="R273" s="186">
        <f t="shared" si="140"/>
        <v>339249.29397135135</v>
      </c>
      <c r="S273" s="186">
        <f t="shared" si="140"/>
        <v>169624.64698567567</v>
      </c>
      <c r="T273" s="186">
        <f t="shared" si="140"/>
        <v>0</v>
      </c>
      <c r="U273" s="186">
        <f t="shared" si="140"/>
        <v>0</v>
      </c>
      <c r="V273" s="186">
        <f t="shared" si="140"/>
        <v>0</v>
      </c>
      <c r="W273" s="186">
        <f t="shared" si="140"/>
        <v>0</v>
      </c>
      <c r="X273" s="186">
        <f t="shared" si="140"/>
        <v>0</v>
      </c>
      <c r="Y273" s="186">
        <f t="shared" si="140"/>
        <v>0</v>
      </c>
      <c r="Z273" s="186">
        <f t="shared" si="140"/>
        <v>0</v>
      </c>
      <c r="AA273" s="186">
        <f t="shared" si="140"/>
        <v>0</v>
      </c>
      <c r="AB273" s="186">
        <f t="shared" si="140"/>
        <v>0</v>
      </c>
      <c r="AC273" s="186">
        <f t="shared" si="140"/>
        <v>0</v>
      </c>
      <c r="AD273" s="186">
        <f t="shared" si="140"/>
        <v>0</v>
      </c>
      <c r="AE273" s="186">
        <f t="shared" si="140"/>
        <v>0</v>
      </c>
      <c r="AF273" s="186">
        <f t="shared" si="140"/>
        <v>0</v>
      </c>
      <c r="AG273" s="186">
        <f t="shared" si="140"/>
        <v>0</v>
      </c>
      <c r="AH273" s="186">
        <f t="shared" si="140"/>
        <v>0</v>
      </c>
      <c r="AI273" s="186">
        <f t="shared" si="140"/>
        <v>0</v>
      </c>
      <c r="AJ273" s="186">
        <f t="shared" si="140"/>
        <v>0</v>
      </c>
      <c r="AK273" s="186">
        <f t="shared" si="140"/>
        <v>0</v>
      </c>
      <c r="AL273" s="186">
        <f t="shared" si="140"/>
        <v>0</v>
      </c>
      <c r="AM273" s="186">
        <f t="shared" si="140"/>
        <v>0</v>
      </c>
      <c r="AN273" s="186">
        <f t="shared" si="140"/>
        <v>0</v>
      </c>
      <c r="AO273" s="186">
        <f t="shared" si="140"/>
        <v>0</v>
      </c>
      <c r="AP273" s="186">
        <f t="shared" si="140"/>
        <v>0</v>
      </c>
    </row>
    <row r="274" spans="1:42">
      <c r="A274" s="37">
        <f>A273+1</f>
        <v>2</v>
      </c>
      <c r="B274" s="196">
        <f t="shared" si="139"/>
        <v>3520942.886524681</v>
      </c>
      <c r="C274" s="186">
        <f t="shared" ref="C274:AP274" si="141">LOOKUP(C263,$B$257:$AP$257,$B$258:$AP$258)*$B576</f>
        <v>0</v>
      </c>
      <c r="D274" s="186">
        <f t="shared" si="141"/>
        <v>0</v>
      </c>
      <c r="E274" s="186">
        <f t="shared" si="141"/>
        <v>0</v>
      </c>
      <c r="F274" s="186">
        <f t="shared" si="141"/>
        <v>0</v>
      </c>
      <c r="G274" s="186">
        <f t="shared" si="141"/>
        <v>0</v>
      </c>
      <c r="H274" s="186">
        <f t="shared" si="141"/>
        <v>0</v>
      </c>
      <c r="I274" s="186">
        <f t="shared" si="141"/>
        <v>0</v>
      </c>
      <c r="J274" s="186">
        <f t="shared" si="141"/>
        <v>0</v>
      </c>
      <c r="K274" s="186">
        <f t="shared" si="141"/>
        <v>0</v>
      </c>
      <c r="L274" s="186">
        <f t="shared" si="141"/>
        <v>0</v>
      </c>
      <c r="M274" s="186">
        <f t="shared" si="141"/>
        <v>0</v>
      </c>
      <c r="N274" s="186">
        <f t="shared" si="141"/>
        <v>0</v>
      </c>
      <c r="O274" s="186">
        <f t="shared" si="141"/>
        <v>0</v>
      </c>
      <c r="P274" s="186">
        <f t="shared" si="141"/>
        <v>0</v>
      </c>
      <c r="Q274" s="186">
        <f t="shared" si="141"/>
        <v>0</v>
      </c>
      <c r="R274" s="186">
        <f t="shared" si="141"/>
        <v>0</v>
      </c>
      <c r="S274" s="186">
        <f t="shared" si="141"/>
        <v>0</v>
      </c>
      <c r="T274" s="186">
        <f t="shared" si="141"/>
        <v>0</v>
      </c>
      <c r="U274" s="186">
        <f t="shared" si="141"/>
        <v>0</v>
      </c>
      <c r="V274" s="186">
        <f t="shared" si="141"/>
        <v>0</v>
      </c>
      <c r="W274" s="186">
        <f t="shared" si="141"/>
        <v>0</v>
      </c>
      <c r="X274" s="186">
        <f t="shared" si="141"/>
        <v>0</v>
      </c>
      <c r="Y274" s="186">
        <f t="shared" si="141"/>
        <v>0</v>
      </c>
      <c r="Z274" s="186">
        <f t="shared" si="141"/>
        <v>704188.57730493625</v>
      </c>
      <c r="AA274" s="186">
        <f t="shared" si="141"/>
        <v>1126701.7236878979</v>
      </c>
      <c r="AB274" s="186">
        <f t="shared" si="141"/>
        <v>676021.03421273874</v>
      </c>
      <c r="AC274" s="186">
        <f t="shared" si="141"/>
        <v>405612.62052764324</v>
      </c>
      <c r="AD274" s="186">
        <f t="shared" si="141"/>
        <v>405612.62052764324</v>
      </c>
      <c r="AE274" s="186">
        <f t="shared" si="141"/>
        <v>202806.31026382162</v>
      </c>
      <c r="AF274" s="186">
        <f t="shared" si="141"/>
        <v>0</v>
      </c>
      <c r="AG274" s="186">
        <f t="shared" si="141"/>
        <v>0</v>
      </c>
      <c r="AH274" s="186">
        <f t="shared" si="141"/>
        <v>0</v>
      </c>
      <c r="AI274" s="186">
        <f t="shared" si="141"/>
        <v>0</v>
      </c>
      <c r="AJ274" s="186">
        <f t="shared" si="141"/>
        <v>0</v>
      </c>
      <c r="AK274" s="186">
        <f t="shared" si="141"/>
        <v>0</v>
      </c>
      <c r="AL274" s="186">
        <f t="shared" si="141"/>
        <v>0</v>
      </c>
      <c r="AM274" s="186">
        <f t="shared" si="141"/>
        <v>0</v>
      </c>
      <c r="AN274" s="186">
        <f t="shared" si="141"/>
        <v>0</v>
      </c>
      <c r="AO274" s="186">
        <f t="shared" si="141"/>
        <v>0</v>
      </c>
      <c r="AP274" s="186">
        <f t="shared" si="141"/>
        <v>0</v>
      </c>
    </row>
    <row r="275" spans="1:42">
      <c r="A275" s="37">
        <f t="shared" ref="A275:A282" si="142">A274+1</f>
        <v>3</v>
      </c>
      <c r="B275" s="196">
        <f t="shared" si="139"/>
        <v>0</v>
      </c>
      <c r="C275" s="186">
        <f t="shared" ref="C275:AP275" si="143">LOOKUP(C264,$B$257:$AP$257,$B$258:$AP$258)*$B577</f>
        <v>0</v>
      </c>
      <c r="D275" s="186">
        <f t="shared" si="143"/>
        <v>0</v>
      </c>
      <c r="E275" s="186">
        <f t="shared" si="143"/>
        <v>0</v>
      </c>
      <c r="F275" s="186">
        <f t="shared" si="143"/>
        <v>0</v>
      </c>
      <c r="G275" s="186">
        <f t="shared" si="143"/>
        <v>0</v>
      </c>
      <c r="H275" s="186">
        <f t="shared" si="143"/>
        <v>0</v>
      </c>
      <c r="I275" s="186">
        <f t="shared" si="143"/>
        <v>0</v>
      </c>
      <c r="J275" s="186">
        <f t="shared" si="143"/>
        <v>0</v>
      </c>
      <c r="K275" s="186">
        <f t="shared" si="143"/>
        <v>0</v>
      </c>
      <c r="L275" s="186">
        <f t="shared" si="143"/>
        <v>0</v>
      </c>
      <c r="M275" s="186">
        <f t="shared" si="143"/>
        <v>0</v>
      </c>
      <c r="N275" s="186">
        <f t="shared" si="143"/>
        <v>0</v>
      </c>
      <c r="O275" s="186">
        <f t="shared" si="143"/>
        <v>0</v>
      </c>
      <c r="P275" s="186">
        <f t="shared" si="143"/>
        <v>0</v>
      </c>
      <c r="Q275" s="186">
        <f t="shared" si="143"/>
        <v>0</v>
      </c>
      <c r="R275" s="186">
        <f t="shared" si="143"/>
        <v>0</v>
      </c>
      <c r="S275" s="186">
        <f t="shared" si="143"/>
        <v>0</v>
      </c>
      <c r="T275" s="186">
        <f t="shared" si="143"/>
        <v>0</v>
      </c>
      <c r="U275" s="186">
        <f t="shared" si="143"/>
        <v>0</v>
      </c>
      <c r="V275" s="186">
        <f t="shared" si="143"/>
        <v>0</v>
      </c>
      <c r="W275" s="186">
        <f t="shared" si="143"/>
        <v>0</v>
      </c>
      <c r="X275" s="186">
        <f t="shared" si="143"/>
        <v>0</v>
      </c>
      <c r="Y275" s="186">
        <f t="shared" si="143"/>
        <v>0</v>
      </c>
      <c r="Z275" s="186">
        <f t="shared" si="143"/>
        <v>0</v>
      </c>
      <c r="AA275" s="186">
        <f t="shared" si="143"/>
        <v>0</v>
      </c>
      <c r="AB275" s="186">
        <f t="shared" si="143"/>
        <v>0</v>
      </c>
      <c r="AC275" s="186">
        <f t="shared" si="143"/>
        <v>0</v>
      </c>
      <c r="AD275" s="186">
        <f t="shared" si="143"/>
        <v>0</v>
      </c>
      <c r="AE275" s="186">
        <f t="shared" si="143"/>
        <v>0</v>
      </c>
      <c r="AF275" s="186">
        <f t="shared" si="143"/>
        <v>0</v>
      </c>
      <c r="AG275" s="186">
        <f t="shared" si="143"/>
        <v>0</v>
      </c>
      <c r="AH275" s="186">
        <f t="shared" si="143"/>
        <v>0</v>
      </c>
      <c r="AI275" s="186">
        <f t="shared" si="143"/>
        <v>0</v>
      </c>
      <c r="AJ275" s="186">
        <f t="shared" si="143"/>
        <v>0</v>
      </c>
      <c r="AK275" s="186">
        <f t="shared" si="143"/>
        <v>0</v>
      </c>
      <c r="AL275" s="186">
        <f t="shared" si="143"/>
        <v>0</v>
      </c>
      <c r="AM275" s="186">
        <f t="shared" si="143"/>
        <v>0</v>
      </c>
      <c r="AN275" s="186">
        <f t="shared" si="143"/>
        <v>0</v>
      </c>
      <c r="AO275" s="186">
        <f t="shared" si="143"/>
        <v>0</v>
      </c>
      <c r="AP275" s="186">
        <f t="shared" si="143"/>
        <v>0</v>
      </c>
    </row>
    <row r="276" spans="1:42">
      <c r="A276" s="37">
        <f t="shared" si="142"/>
        <v>4</v>
      </c>
      <c r="B276" s="196">
        <f t="shared" si="139"/>
        <v>0</v>
      </c>
      <c r="C276" s="186">
        <f t="shared" ref="C276:AP276" si="144">LOOKUP(C265,$B$257:$AP$257,$B$258:$AP$258)*$B578</f>
        <v>0</v>
      </c>
      <c r="D276" s="186">
        <f t="shared" si="144"/>
        <v>0</v>
      </c>
      <c r="E276" s="186">
        <f t="shared" si="144"/>
        <v>0</v>
      </c>
      <c r="F276" s="186">
        <f t="shared" si="144"/>
        <v>0</v>
      </c>
      <c r="G276" s="186">
        <f t="shared" si="144"/>
        <v>0</v>
      </c>
      <c r="H276" s="186">
        <f t="shared" si="144"/>
        <v>0</v>
      </c>
      <c r="I276" s="186">
        <f t="shared" si="144"/>
        <v>0</v>
      </c>
      <c r="J276" s="186">
        <f t="shared" si="144"/>
        <v>0</v>
      </c>
      <c r="K276" s="186">
        <f t="shared" si="144"/>
        <v>0</v>
      </c>
      <c r="L276" s="186">
        <f t="shared" si="144"/>
        <v>0</v>
      </c>
      <c r="M276" s="186">
        <f t="shared" si="144"/>
        <v>0</v>
      </c>
      <c r="N276" s="186">
        <f t="shared" si="144"/>
        <v>0</v>
      </c>
      <c r="O276" s="186">
        <f t="shared" si="144"/>
        <v>0</v>
      </c>
      <c r="P276" s="186">
        <f t="shared" si="144"/>
        <v>0</v>
      </c>
      <c r="Q276" s="186">
        <f t="shared" si="144"/>
        <v>0</v>
      </c>
      <c r="R276" s="186">
        <f t="shared" si="144"/>
        <v>0</v>
      </c>
      <c r="S276" s="186">
        <f t="shared" si="144"/>
        <v>0</v>
      </c>
      <c r="T276" s="186">
        <f t="shared" si="144"/>
        <v>0</v>
      </c>
      <c r="U276" s="186">
        <f t="shared" si="144"/>
        <v>0</v>
      </c>
      <c r="V276" s="186">
        <f t="shared" si="144"/>
        <v>0</v>
      </c>
      <c r="W276" s="186">
        <f t="shared" si="144"/>
        <v>0</v>
      </c>
      <c r="X276" s="186">
        <f t="shared" si="144"/>
        <v>0</v>
      </c>
      <c r="Y276" s="186">
        <f t="shared" si="144"/>
        <v>0</v>
      </c>
      <c r="Z276" s="186">
        <f t="shared" si="144"/>
        <v>0</v>
      </c>
      <c r="AA276" s="186">
        <f t="shared" si="144"/>
        <v>0</v>
      </c>
      <c r="AB276" s="186">
        <f t="shared" si="144"/>
        <v>0</v>
      </c>
      <c r="AC276" s="186">
        <f t="shared" si="144"/>
        <v>0</v>
      </c>
      <c r="AD276" s="186">
        <f t="shared" si="144"/>
        <v>0</v>
      </c>
      <c r="AE276" s="186">
        <f t="shared" si="144"/>
        <v>0</v>
      </c>
      <c r="AF276" s="186">
        <f t="shared" si="144"/>
        <v>0</v>
      </c>
      <c r="AG276" s="186">
        <f t="shared" si="144"/>
        <v>0</v>
      </c>
      <c r="AH276" s="186">
        <f t="shared" si="144"/>
        <v>0</v>
      </c>
      <c r="AI276" s="186">
        <f t="shared" si="144"/>
        <v>0</v>
      </c>
      <c r="AJ276" s="186">
        <f t="shared" si="144"/>
        <v>0</v>
      </c>
      <c r="AK276" s="186">
        <f t="shared" si="144"/>
        <v>0</v>
      </c>
      <c r="AL276" s="186">
        <f t="shared" si="144"/>
        <v>0</v>
      </c>
      <c r="AM276" s="186">
        <f t="shared" si="144"/>
        <v>0</v>
      </c>
      <c r="AN276" s="186">
        <f t="shared" si="144"/>
        <v>0</v>
      </c>
      <c r="AO276" s="186">
        <f t="shared" si="144"/>
        <v>0</v>
      </c>
      <c r="AP276" s="186">
        <f t="shared" si="144"/>
        <v>0</v>
      </c>
    </row>
    <row r="277" spans="1:42">
      <c r="A277" s="37">
        <f t="shared" si="142"/>
        <v>5</v>
      </c>
      <c r="B277" s="196">
        <f t="shared" si="139"/>
        <v>0</v>
      </c>
      <c r="C277" s="186">
        <f t="shared" ref="C277:AP277" si="145">LOOKUP(C266,$B$257:$AP$257,$B$258:$AP$258)*$B579</f>
        <v>0</v>
      </c>
      <c r="D277" s="186">
        <f t="shared" si="145"/>
        <v>0</v>
      </c>
      <c r="E277" s="186">
        <f t="shared" si="145"/>
        <v>0</v>
      </c>
      <c r="F277" s="186">
        <f t="shared" si="145"/>
        <v>0</v>
      </c>
      <c r="G277" s="186">
        <f t="shared" si="145"/>
        <v>0</v>
      </c>
      <c r="H277" s="186">
        <f t="shared" si="145"/>
        <v>0</v>
      </c>
      <c r="I277" s="186">
        <f t="shared" si="145"/>
        <v>0</v>
      </c>
      <c r="J277" s="186">
        <f t="shared" si="145"/>
        <v>0</v>
      </c>
      <c r="K277" s="186">
        <f t="shared" si="145"/>
        <v>0</v>
      </c>
      <c r="L277" s="186">
        <f t="shared" si="145"/>
        <v>0</v>
      </c>
      <c r="M277" s="186">
        <f t="shared" si="145"/>
        <v>0</v>
      </c>
      <c r="N277" s="186">
        <f t="shared" si="145"/>
        <v>0</v>
      </c>
      <c r="O277" s="186">
        <f t="shared" si="145"/>
        <v>0</v>
      </c>
      <c r="P277" s="186">
        <f t="shared" si="145"/>
        <v>0</v>
      </c>
      <c r="Q277" s="186">
        <f t="shared" si="145"/>
        <v>0</v>
      </c>
      <c r="R277" s="186">
        <f t="shared" si="145"/>
        <v>0</v>
      </c>
      <c r="S277" s="186">
        <f t="shared" si="145"/>
        <v>0</v>
      </c>
      <c r="T277" s="186">
        <f t="shared" si="145"/>
        <v>0</v>
      </c>
      <c r="U277" s="186">
        <f t="shared" si="145"/>
        <v>0</v>
      </c>
      <c r="V277" s="186">
        <f t="shared" si="145"/>
        <v>0</v>
      </c>
      <c r="W277" s="186">
        <f t="shared" si="145"/>
        <v>0</v>
      </c>
      <c r="X277" s="186">
        <f t="shared" si="145"/>
        <v>0</v>
      </c>
      <c r="Y277" s="186">
        <f t="shared" si="145"/>
        <v>0</v>
      </c>
      <c r="Z277" s="186">
        <f t="shared" si="145"/>
        <v>0</v>
      </c>
      <c r="AA277" s="186">
        <f t="shared" si="145"/>
        <v>0</v>
      </c>
      <c r="AB277" s="186">
        <f t="shared" si="145"/>
        <v>0</v>
      </c>
      <c r="AC277" s="186">
        <f t="shared" si="145"/>
        <v>0</v>
      </c>
      <c r="AD277" s="186">
        <f t="shared" si="145"/>
        <v>0</v>
      </c>
      <c r="AE277" s="186">
        <f t="shared" si="145"/>
        <v>0</v>
      </c>
      <c r="AF277" s="186">
        <f t="shared" si="145"/>
        <v>0</v>
      </c>
      <c r="AG277" s="186">
        <f t="shared" si="145"/>
        <v>0</v>
      </c>
      <c r="AH277" s="186">
        <f t="shared" si="145"/>
        <v>0</v>
      </c>
      <c r="AI277" s="186">
        <f t="shared" si="145"/>
        <v>0</v>
      </c>
      <c r="AJ277" s="186">
        <f t="shared" si="145"/>
        <v>0</v>
      </c>
      <c r="AK277" s="186">
        <f t="shared" si="145"/>
        <v>0</v>
      </c>
      <c r="AL277" s="186">
        <f t="shared" si="145"/>
        <v>0</v>
      </c>
      <c r="AM277" s="186">
        <f t="shared" si="145"/>
        <v>0</v>
      </c>
      <c r="AN277" s="186">
        <f t="shared" si="145"/>
        <v>0</v>
      </c>
      <c r="AO277" s="186">
        <f t="shared" si="145"/>
        <v>0</v>
      </c>
      <c r="AP277" s="186">
        <f t="shared" si="145"/>
        <v>0</v>
      </c>
    </row>
    <row r="278" spans="1:42">
      <c r="A278" s="118">
        <f t="shared" si="142"/>
        <v>6</v>
      </c>
      <c r="B278" s="196">
        <f t="shared" si="139"/>
        <v>0</v>
      </c>
      <c r="C278" s="186">
        <f t="shared" ref="C278:AP278" si="146">LOOKUP(C267,$B$257:$AP$257,$B$258:$AP$258)*$B580</f>
        <v>0</v>
      </c>
      <c r="D278" s="186">
        <f t="shared" si="146"/>
        <v>0</v>
      </c>
      <c r="E278" s="186">
        <f t="shared" si="146"/>
        <v>0</v>
      </c>
      <c r="F278" s="186">
        <f t="shared" si="146"/>
        <v>0</v>
      </c>
      <c r="G278" s="186">
        <f t="shared" si="146"/>
        <v>0</v>
      </c>
      <c r="H278" s="186">
        <f t="shared" si="146"/>
        <v>0</v>
      </c>
      <c r="I278" s="186">
        <f t="shared" si="146"/>
        <v>0</v>
      </c>
      <c r="J278" s="186">
        <f t="shared" si="146"/>
        <v>0</v>
      </c>
      <c r="K278" s="186">
        <f t="shared" si="146"/>
        <v>0</v>
      </c>
      <c r="L278" s="186">
        <f t="shared" si="146"/>
        <v>0</v>
      </c>
      <c r="M278" s="186">
        <f t="shared" si="146"/>
        <v>0</v>
      </c>
      <c r="N278" s="186">
        <f t="shared" si="146"/>
        <v>0</v>
      </c>
      <c r="O278" s="186">
        <f t="shared" si="146"/>
        <v>0</v>
      </c>
      <c r="P278" s="186">
        <f t="shared" si="146"/>
        <v>0</v>
      </c>
      <c r="Q278" s="186">
        <f t="shared" si="146"/>
        <v>0</v>
      </c>
      <c r="R278" s="186">
        <f t="shared" si="146"/>
        <v>0</v>
      </c>
      <c r="S278" s="186">
        <f t="shared" si="146"/>
        <v>0</v>
      </c>
      <c r="T278" s="186">
        <f t="shared" si="146"/>
        <v>0</v>
      </c>
      <c r="U278" s="186">
        <f t="shared" si="146"/>
        <v>0</v>
      </c>
      <c r="V278" s="186">
        <f t="shared" si="146"/>
        <v>0</v>
      </c>
      <c r="W278" s="186">
        <f t="shared" si="146"/>
        <v>0</v>
      </c>
      <c r="X278" s="186">
        <f t="shared" si="146"/>
        <v>0</v>
      </c>
      <c r="Y278" s="186">
        <f t="shared" si="146"/>
        <v>0</v>
      </c>
      <c r="Z278" s="186">
        <f t="shared" si="146"/>
        <v>0</v>
      </c>
      <c r="AA278" s="186">
        <f t="shared" si="146"/>
        <v>0</v>
      </c>
      <c r="AB278" s="186">
        <f t="shared" si="146"/>
        <v>0</v>
      </c>
      <c r="AC278" s="186">
        <f t="shared" si="146"/>
        <v>0</v>
      </c>
      <c r="AD278" s="186">
        <f t="shared" si="146"/>
        <v>0</v>
      </c>
      <c r="AE278" s="186">
        <f t="shared" si="146"/>
        <v>0</v>
      </c>
      <c r="AF278" s="186">
        <f t="shared" si="146"/>
        <v>0</v>
      </c>
      <c r="AG278" s="186">
        <f t="shared" si="146"/>
        <v>0</v>
      </c>
      <c r="AH278" s="186">
        <f t="shared" si="146"/>
        <v>0</v>
      </c>
      <c r="AI278" s="186">
        <f t="shared" si="146"/>
        <v>0</v>
      </c>
      <c r="AJ278" s="186">
        <f t="shared" si="146"/>
        <v>0</v>
      </c>
      <c r="AK278" s="186">
        <f t="shared" si="146"/>
        <v>0</v>
      </c>
      <c r="AL278" s="186">
        <f t="shared" si="146"/>
        <v>0</v>
      </c>
      <c r="AM278" s="186">
        <f t="shared" si="146"/>
        <v>0</v>
      </c>
      <c r="AN278" s="186">
        <f t="shared" si="146"/>
        <v>0</v>
      </c>
      <c r="AO278" s="186">
        <f t="shared" si="146"/>
        <v>0</v>
      </c>
      <c r="AP278" s="186">
        <f t="shared" si="146"/>
        <v>0</v>
      </c>
    </row>
    <row r="279" spans="1:42">
      <c r="A279" s="118">
        <f t="shared" si="142"/>
        <v>7</v>
      </c>
      <c r="B279" s="196">
        <f t="shared" si="139"/>
        <v>0</v>
      </c>
      <c r="C279" s="186">
        <f t="shared" ref="C279:AP279" si="147">LOOKUP(C268,$B$257:$AP$257,$B$258:$AP$258)*$B581</f>
        <v>0</v>
      </c>
      <c r="D279" s="186">
        <f t="shared" si="147"/>
        <v>0</v>
      </c>
      <c r="E279" s="186">
        <f t="shared" si="147"/>
        <v>0</v>
      </c>
      <c r="F279" s="186">
        <f t="shared" si="147"/>
        <v>0</v>
      </c>
      <c r="G279" s="186">
        <f t="shared" si="147"/>
        <v>0</v>
      </c>
      <c r="H279" s="186">
        <f t="shared" si="147"/>
        <v>0</v>
      </c>
      <c r="I279" s="186">
        <f t="shared" si="147"/>
        <v>0</v>
      </c>
      <c r="J279" s="186">
        <f t="shared" si="147"/>
        <v>0</v>
      </c>
      <c r="K279" s="186">
        <f t="shared" si="147"/>
        <v>0</v>
      </c>
      <c r="L279" s="186">
        <f t="shared" si="147"/>
        <v>0</v>
      </c>
      <c r="M279" s="186">
        <f t="shared" si="147"/>
        <v>0</v>
      </c>
      <c r="N279" s="186">
        <f t="shared" si="147"/>
        <v>0</v>
      </c>
      <c r="O279" s="186">
        <f t="shared" si="147"/>
        <v>0</v>
      </c>
      <c r="P279" s="186">
        <f t="shared" si="147"/>
        <v>0</v>
      </c>
      <c r="Q279" s="186">
        <f t="shared" si="147"/>
        <v>0</v>
      </c>
      <c r="R279" s="186">
        <f t="shared" si="147"/>
        <v>0</v>
      </c>
      <c r="S279" s="186">
        <f t="shared" si="147"/>
        <v>0</v>
      </c>
      <c r="T279" s="186">
        <f t="shared" si="147"/>
        <v>0</v>
      </c>
      <c r="U279" s="186">
        <f t="shared" si="147"/>
        <v>0</v>
      </c>
      <c r="V279" s="186">
        <f t="shared" si="147"/>
        <v>0</v>
      </c>
      <c r="W279" s="186">
        <f t="shared" si="147"/>
        <v>0</v>
      </c>
      <c r="X279" s="186">
        <f t="shared" si="147"/>
        <v>0</v>
      </c>
      <c r="Y279" s="186">
        <f t="shared" si="147"/>
        <v>0</v>
      </c>
      <c r="Z279" s="186">
        <f t="shared" si="147"/>
        <v>0</v>
      </c>
      <c r="AA279" s="186">
        <f t="shared" si="147"/>
        <v>0</v>
      </c>
      <c r="AB279" s="186">
        <f t="shared" si="147"/>
        <v>0</v>
      </c>
      <c r="AC279" s="186">
        <f t="shared" si="147"/>
        <v>0</v>
      </c>
      <c r="AD279" s="186">
        <f t="shared" si="147"/>
        <v>0</v>
      </c>
      <c r="AE279" s="186">
        <f t="shared" si="147"/>
        <v>0</v>
      </c>
      <c r="AF279" s="186">
        <f t="shared" si="147"/>
        <v>0</v>
      </c>
      <c r="AG279" s="186">
        <f t="shared" si="147"/>
        <v>0</v>
      </c>
      <c r="AH279" s="186">
        <f t="shared" si="147"/>
        <v>0</v>
      </c>
      <c r="AI279" s="186">
        <f t="shared" si="147"/>
        <v>0</v>
      </c>
      <c r="AJ279" s="186">
        <f t="shared" si="147"/>
        <v>0</v>
      </c>
      <c r="AK279" s="186">
        <f t="shared" si="147"/>
        <v>0</v>
      </c>
      <c r="AL279" s="186">
        <f t="shared" si="147"/>
        <v>0</v>
      </c>
      <c r="AM279" s="186">
        <f t="shared" si="147"/>
        <v>0</v>
      </c>
      <c r="AN279" s="186">
        <f t="shared" si="147"/>
        <v>0</v>
      </c>
      <c r="AO279" s="186">
        <f t="shared" si="147"/>
        <v>0</v>
      </c>
      <c r="AP279" s="186">
        <f t="shared" si="147"/>
        <v>0</v>
      </c>
    </row>
    <row r="280" spans="1:42">
      <c r="A280" s="118">
        <f t="shared" si="142"/>
        <v>8</v>
      </c>
      <c r="B280" s="196">
        <f t="shared" si="139"/>
        <v>0</v>
      </c>
      <c r="C280" s="186">
        <f t="shared" ref="C280:AP280" si="148">LOOKUP(C269,$B$257:$AP$257,$B$258:$AP$258)*$B582</f>
        <v>0</v>
      </c>
      <c r="D280" s="186">
        <f t="shared" si="148"/>
        <v>0</v>
      </c>
      <c r="E280" s="186">
        <f t="shared" si="148"/>
        <v>0</v>
      </c>
      <c r="F280" s="186">
        <f t="shared" si="148"/>
        <v>0</v>
      </c>
      <c r="G280" s="186">
        <f t="shared" si="148"/>
        <v>0</v>
      </c>
      <c r="H280" s="186">
        <f t="shared" si="148"/>
        <v>0</v>
      </c>
      <c r="I280" s="186">
        <f t="shared" si="148"/>
        <v>0</v>
      </c>
      <c r="J280" s="186">
        <f t="shared" si="148"/>
        <v>0</v>
      </c>
      <c r="K280" s="186">
        <f t="shared" si="148"/>
        <v>0</v>
      </c>
      <c r="L280" s="186">
        <f t="shared" si="148"/>
        <v>0</v>
      </c>
      <c r="M280" s="186">
        <f t="shared" si="148"/>
        <v>0</v>
      </c>
      <c r="N280" s="186">
        <f t="shared" si="148"/>
        <v>0</v>
      </c>
      <c r="O280" s="186">
        <f t="shared" si="148"/>
        <v>0</v>
      </c>
      <c r="P280" s="186">
        <f t="shared" si="148"/>
        <v>0</v>
      </c>
      <c r="Q280" s="186">
        <f t="shared" si="148"/>
        <v>0</v>
      </c>
      <c r="R280" s="186">
        <f t="shared" si="148"/>
        <v>0</v>
      </c>
      <c r="S280" s="186">
        <f t="shared" si="148"/>
        <v>0</v>
      </c>
      <c r="T280" s="186">
        <f t="shared" si="148"/>
        <v>0</v>
      </c>
      <c r="U280" s="186">
        <f t="shared" si="148"/>
        <v>0</v>
      </c>
      <c r="V280" s="186">
        <f t="shared" si="148"/>
        <v>0</v>
      </c>
      <c r="W280" s="186">
        <f t="shared" si="148"/>
        <v>0</v>
      </c>
      <c r="X280" s="186">
        <f t="shared" si="148"/>
        <v>0</v>
      </c>
      <c r="Y280" s="186">
        <f t="shared" si="148"/>
        <v>0</v>
      </c>
      <c r="Z280" s="186">
        <f t="shared" si="148"/>
        <v>0</v>
      </c>
      <c r="AA280" s="186">
        <f t="shared" si="148"/>
        <v>0</v>
      </c>
      <c r="AB280" s="186">
        <f t="shared" si="148"/>
        <v>0</v>
      </c>
      <c r="AC280" s="186">
        <f t="shared" si="148"/>
        <v>0</v>
      </c>
      <c r="AD280" s="186">
        <f t="shared" si="148"/>
        <v>0</v>
      </c>
      <c r="AE280" s="186">
        <f t="shared" si="148"/>
        <v>0</v>
      </c>
      <c r="AF280" s="186">
        <f t="shared" si="148"/>
        <v>0</v>
      </c>
      <c r="AG280" s="186">
        <f t="shared" si="148"/>
        <v>0</v>
      </c>
      <c r="AH280" s="186">
        <f t="shared" si="148"/>
        <v>0</v>
      </c>
      <c r="AI280" s="186">
        <f t="shared" si="148"/>
        <v>0</v>
      </c>
      <c r="AJ280" s="186">
        <f t="shared" si="148"/>
        <v>0</v>
      </c>
      <c r="AK280" s="186">
        <f t="shared" si="148"/>
        <v>0</v>
      </c>
      <c r="AL280" s="186">
        <f t="shared" si="148"/>
        <v>0</v>
      </c>
      <c r="AM280" s="186">
        <f t="shared" si="148"/>
        <v>0</v>
      </c>
      <c r="AN280" s="186">
        <f t="shared" si="148"/>
        <v>0</v>
      </c>
      <c r="AO280" s="186">
        <f t="shared" si="148"/>
        <v>0</v>
      </c>
      <c r="AP280" s="186">
        <f t="shared" si="148"/>
        <v>0</v>
      </c>
    </row>
    <row r="281" spans="1:42">
      <c r="A281" s="118">
        <f>A280+1</f>
        <v>9</v>
      </c>
      <c r="B281" s="196">
        <f t="shared" si="139"/>
        <v>0</v>
      </c>
      <c r="C281" s="186">
        <f t="shared" ref="C281:AP281" si="149">LOOKUP(C270,$B$257:$AP$257,$B$258:$AP$258)*$B583</f>
        <v>0</v>
      </c>
      <c r="D281" s="186">
        <f t="shared" si="149"/>
        <v>0</v>
      </c>
      <c r="E281" s="186">
        <f t="shared" si="149"/>
        <v>0</v>
      </c>
      <c r="F281" s="186">
        <f t="shared" si="149"/>
        <v>0</v>
      </c>
      <c r="G281" s="186">
        <f t="shared" si="149"/>
        <v>0</v>
      </c>
      <c r="H281" s="186">
        <f t="shared" si="149"/>
        <v>0</v>
      </c>
      <c r="I281" s="186">
        <f t="shared" si="149"/>
        <v>0</v>
      </c>
      <c r="J281" s="186">
        <f t="shared" si="149"/>
        <v>0</v>
      </c>
      <c r="K281" s="186">
        <f t="shared" si="149"/>
        <v>0</v>
      </c>
      <c r="L281" s="186">
        <f t="shared" si="149"/>
        <v>0</v>
      </c>
      <c r="M281" s="186">
        <f t="shared" si="149"/>
        <v>0</v>
      </c>
      <c r="N281" s="186">
        <f t="shared" si="149"/>
        <v>0</v>
      </c>
      <c r="O281" s="186">
        <f t="shared" si="149"/>
        <v>0</v>
      </c>
      <c r="P281" s="186">
        <f t="shared" si="149"/>
        <v>0</v>
      </c>
      <c r="Q281" s="186">
        <f t="shared" si="149"/>
        <v>0</v>
      </c>
      <c r="R281" s="186">
        <f t="shared" si="149"/>
        <v>0</v>
      </c>
      <c r="S281" s="186">
        <f t="shared" si="149"/>
        <v>0</v>
      </c>
      <c r="T281" s="186">
        <f t="shared" si="149"/>
        <v>0</v>
      </c>
      <c r="U281" s="186">
        <f t="shared" si="149"/>
        <v>0</v>
      </c>
      <c r="V281" s="186">
        <f t="shared" si="149"/>
        <v>0</v>
      </c>
      <c r="W281" s="186">
        <f t="shared" si="149"/>
        <v>0</v>
      </c>
      <c r="X281" s="186">
        <f t="shared" si="149"/>
        <v>0</v>
      </c>
      <c r="Y281" s="186">
        <f t="shared" si="149"/>
        <v>0</v>
      </c>
      <c r="Z281" s="186">
        <f t="shared" si="149"/>
        <v>0</v>
      </c>
      <c r="AA281" s="186">
        <f t="shared" si="149"/>
        <v>0</v>
      </c>
      <c r="AB281" s="186">
        <f t="shared" si="149"/>
        <v>0</v>
      </c>
      <c r="AC281" s="186">
        <f t="shared" si="149"/>
        <v>0</v>
      </c>
      <c r="AD281" s="186">
        <f t="shared" si="149"/>
        <v>0</v>
      </c>
      <c r="AE281" s="186">
        <f t="shared" si="149"/>
        <v>0</v>
      </c>
      <c r="AF281" s="186">
        <f t="shared" si="149"/>
        <v>0</v>
      </c>
      <c r="AG281" s="186">
        <f t="shared" si="149"/>
        <v>0</v>
      </c>
      <c r="AH281" s="186">
        <f t="shared" si="149"/>
        <v>0</v>
      </c>
      <c r="AI281" s="186">
        <f t="shared" si="149"/>
        <v>0</v>
      </c>
      <c r="AJ281" s="186">
        <f t="shared" si="149"/>
        <v>0</v>
      </c>
      <c r="AK281" s="186">
        <f t="shared" si="149"/>
        <v>0</v>
      </c>
      <c r="AL281" s="186">
        <f t="shared" si="149"/>
        <v>0</v>
      </c>
      <c r="AM281" s="186">
        <f t="shared" si="149"/>
        <v>0</v>
      </c>
      <c r="AN281" s="186">
        <f t="shared" si="149"/>
        <v>0</v>
      </c>
      <c r="AO281" s="186">
        <f t="shared" si="149"/>
        <v>0</v>
      </c>
      <c r="AP281" s="186">
        <f t="shared" si="149"/>
        <v>0</v>
      </c>
    </row>
    <row r="282" spans="1:42">
      <c r="A282" s="118">
        <f t="shared" si="142"/>
        <v>10</v>
      </c>
      <c r="B282" s="196">
        <f t="shared" si="139"/>
        <v>0</v>
      </c>
      <c r="C282" s="221">
        <f t="shared" ref="C282:AP282" si="150">LOOKUP(C271,$B$257:$AP$257,$B$258:$AP$258)*$B584</f>
        <v>0</v>
      </c>
      <c r="D282" s="187">
        <f t="shared" si="150"/>
        <v>0</v>
      </c>
      <c r="E282" s="187">
        <f t="shared" si="150"/>
        <v>0</v>
      </c>
      <c r="F282" s="187">
        <f t="shared" si="150"/>
        <v>0</v>
      </c>
      <c r="G282" s="187">
        <f t="shared" si="150"/>
        <v>0</v>
      </c>
      <c r="H282" s="187">
        <f t="shared" si="150"/>
        <v>0</v>
      </c>
      <c r="I282" s="187">
        <f t="shared" si="150"/>
        <v>0</v>
      </c>
      <c r="J282" s="187">
        <f t="shared" si="150"/>
        <v>0</v>
      </c>
      <c r="K282" s="187">
        <f t="shared" si="150"/>
        <v>0</v>
      </c>
      <c r="L282" s="187">
        <f t="shared" si="150"/>
        <v>0</v>
      </c>
      <c r="M282" s="187">
        <f t="shared" si="150"/>
        <v>0</v>
      </c>
      <c r="N282" s="187">
        <f t="shared" si="150"/>
        <v>0</v>
      </c>
      <c r="O282" s="187">
        <f t="shared" si="150"/>
        <v>0</v>
      </c>
      <c r="P282" s="187">
        <f t="shared" si="150"/>
        <v>0</v>
      </c>
      <c r="Q282" s="187">
        <f t="shared" si="150"/>
        <v>0</v>
      </c>
      <c r="R282" s="187">
        <f t="shared" si="150"/>
        <v>0</v>
      </c>
      <c r="S282" s="187">
        <f t="shared" si="150"/>
        <v>0</v>
      </c>
      <c r="T282" s="187">
        <f t="shared" si="150"/>
        <v>0</v>
      </c>
      <c r="U282" s="187">
        <f t="shared" si="150"/>
        <v>0</v>
      </c>
      <c r="V282" s="187">
        <f t="shared" si="150"/>
        <v>0</v>
      </c>
      <c r="W282" s="187">
        <f t="shared" si="150"/>
        <v>0</v>
      </c>
      <c r="X282" s="187">
        <f t="shared" si="150"/>
        <v>0</v>
      </c>
      <c r="Y282" s="187">
        <f t="shared" si="150"/>
        <v>0</v>
      </c>
      <c r="Z282" s="187">
        <f t="shared" si="150"/>
        <v>0</v>
      </c>
      <c r="AA282" s="187">
        <f t="shared" si="150"/>
        <v>0</v>
      </c>
      <c r="AB282" s="187">
        <f t="shared" si="150"/>
        <v>0</v>
      </c>
      <c r="AC282" s="187">
        <f t="shared" si="150"/>
        <v>0</v>
      </c>
      <c r="AD282" s="187">
        <f t="shared" si="150"/>
        <v>0</v>
      </c>
      <c r="AE282" s="187">
        <f t="shared" si="150"/>
        <v>0</v>
      </c>
      <c r="AF282" s="187">
        <f t="shared" si="150"/>
        <v>0</v>
      </c>
      <c r="AG282" s="187">
        <f t="shared" si="150"/>
        <v>0</v>
      </c>
      <c r="AH282" s="187">
        <f t="shared" si="150"/>
        <v>0</v>
      </c>
      <c r="AI282" s="187">
        <f t="shared" si="150"/>
        <v>0</v>
      </c>
      <c r="AJ282" s="187">
        <f t="shared" si="150"/>
        <v>0</v>
      </c>
      <c r="AK282" s="187">
        <f t="shared" si="150"/>
        <v>0</v>
      </c>
      <c r="AL282" s="187">
        <f t="shared" si="150"/>
        <v>0</v>
      </c>
      <c r="AM282" s="187">
        <f t="shared" si="150"/>
        <v>0</v>
      </c>
      <c r="AN282" s="187">
        <f t="shared" si="150"/>
        <v>0</v>
      </c>
      <c r="AO282" s="187">
        <f t="shared" si="150"/>
        <v>0</v>
      </c>
      <c r="AP282" s="187">
        <f t="shared" si="150"/>
        <v>0</v>
      </c>
    </row>
    <row r="283" spans="1:42" s="118" customFormat="1" ht="12" customHeight="1">
      <c r="A283" s="222" t="s">
        <v>53</v>
      </c>
      <c r="B283" s="141"/>
      <c r="C283" s="141">
        <f>SUM(C273:C282)</f>
        <v>0</v>
      </c>
      <c r="D283" s="141">
        <f t="shared" ref="D283:AP283" si="151">SUM(D273:D282)</f>
        <v>0</v>
      </c>
      <c r="E283" s="141">
        <f t="shared" si="151"/>
        <v>0</v>
      </c>
      <c r="F283" s="141">
        <f t="shared" si="151"/>
        <v>0</v>
      </c>
      <c r="G283" s="141">
        <f t="shared" si="151"/>
        <v>0</v>
      </c>
      <c r="H283" s="141">
        <f t="shared" si="151"/>
        <v>0</v>
      </c>
      <c r="I283" s="141">
        <f t="shared" si="151"/>
        <v>0</v>
      </c>
      <c r="J283" s="141">
        <f t="shared" si="151"/>
        <v>0</v>
      </c>
      <c r="K283" s="141">
        <f t="shared" si="151"/>
        <v>0</v>
      </c>
      <c r="L283" s="141">
        <f t="shared" si="151"/>
        <v>0</v>
      </c>
      <c r="M283" s="141">
        <f t="shared" si="151"/>
        <v>0</v>
      </c>
      <c r="N283" s="141">
        <f t="shared" si="151"/>
        <v>588974.46870026283</v>
      </c>
      <c r="O283" s="141">
        <f t="shared" si="151"/>
        <v>942359.14992042049</v>
      </c>
      <c r="P283" s="141">
        <f t="shared" si="151"/>
        <v>565415.48995225236</v>
      </c>
      <c r="Q283" s="141">
        <f t="shared" si="151"/>
        <v>339249.29397135135</v>
      </c>
      <c r="R283" s="141">
        <f t="shared" si="151"/>
        <v>339249.29397135135</v>
      </c>
      <c r="S283" s="141">
        <f t="shared" si="151"/>
        <v>169624.64698567567</v>
      </c>
      <c r="T283" s="141">
        <f t="shared" si="151"/>
        <v>0</v>
      </c>
      <c r="U283" s="141">
        <f t="shared" si="151"/>
        <v>0</v>
      </c>
      <c r="V283" s="141">
        <f t="shared" si="151"/>
        <v>0</v>
      </c>
      <c r="W283" s="141">
        <f t="shared" si="151"/>
        <v>0</v>
      </c>
      <c r="X283" s="141">
        <f t="shared" si="151"/>
        <v>0</v>
      </c>
      <c r="Y283" s="141">
        <f t="shared" si="151"/>
        <v>0</v>
      </c>
      <c r="Z283" s="141">
        <f t="shared" si="151"/>
        <v>704188.57730493625</v>
      </c>
      <c r="AA283" s="141">
        <f t="shared" si="151"/>
        <v>1126701.7236878979</v>
      </c>
      <c r="AB283" s="141">
        <f t="shared" si="151"/>
        <v>676021.03421273874</v>
      </c>
      <c r="AC283" s="141">
        <f t="shared" si="151"/>
        <v>405612.62052764324</v>
      </c>
      <c r="AD283" s="141">
        <f t="shared" si="151"/>
        <v>405612.62052764324</v>
      </c>
      <c r="AE283" s="141">
        <f t="shared" si="151"/>
        <v>202806.31026382162</v>
      </c>
      <c r="AF283" s="141">
        <f t="shared" si="151"/>
        <v>0</v>
      </c>
      <c r="AG283" s="141">
        <f t="shared" si="151"/>
        <v>0</v>
      </c>
      <c r="AH283" s="141">
        <f t="shared" si="151"/>
        <v>0</v>
      </c>
      <c r="AI283" s="141">
        <f t="shared" si="151"/>
        <v>0</v>
      </c>
      <c r="AJ283" s="141">
        <f t="shared" si="151"/>
        <v>0</v>
      </c>
      <c r="AK283" s="141">
        <f t="shared" si="151"/>
        <v>0</v>
      </c>
      <c r="AL283" s="141">
        <f t="shared" si="151"/>
        <v>0</v>
      </c>
      <c r="AM283" s="141">
        <f t="shared" si="151"/>
        <v>0</v>
      </c>
      <c r="AN283" s="141">
        <f t="shared" si="151"/>
        <v>0</v>
      </c>
      <c r="AO283" s="141">
        <f t="shared" si="151"/>
        <v>0</v>
      </c>
      <c r="AP283" s="141">
        <f t="shared" si="151"/>
        <v>0</v>
      </c>
    </row>
    <row r="284" spans="1:42">
      <c r="A284" s="204"/>
      <c r="C284" s="186"/>
      <c r="D284" s="186"/>
      <c r="E284" s="186"/>
      <c r="F284" s="186"/>
      <c r="G284" s="186"/>
      <c r="H284" s="186"/>
      <c r="I284" s="186"/>
      <c r="J284" s="186"/>
      <c r="K284" s="186"/>
      <c r="L284" s="186"/>
      <c r="M284" s="186"/>
      <c r="N284" s="186"/>
      <c r="O284" s="186"/>
      <c r="P284" s="186"/>
      <c r="Q284" s="186"/>
      <c r="R284" s="186"/>
      <c r="S284" s="186"/>
      <c r="T284" s="186"/>
      <c r="U284" s="186"/>
      <c r="V284" s="186"/>
      <c r="W284" s="186"/>
      <c r="X284" s="186"/>
      <c r="Y284" s="186"/>
      <c r="Z284" s="186"/>
      <c r="AA284" s="186"/>
      <c r="AB284" s="186"/>
      <c r="AC284" s="186"/>
      <c r="AD284" s="186"/>
      <c r="AE284" s="186"/>
      <c r="AF284" s="186"/>
      <c r="AG284" s="186"/>
      <c r="AH284" s="186"/>
      <c r="AI284" s="186"/>
      <c r="AJ284" s="186"/>
      <c r="AK284" s="186"/>
      <c r="AL284" s="186"/>
      <c r="AM284" s="186"/>
      <c r="AN284" s="186"/>
      <c r="AO284" s="186"/>
      <c r="AP284" s="186"/>
    </row>
    <row r="285" spans="1:42">
      <c r="A285" s="197" t="s">
        <v>369</v>
      </c>
      <c r="C285" s="186"/>
      <c r="D285" s="186"/>
      <c r="E285" s="186"/>
      <c r="F285" s="186"/>
      <c r="G285" s="186"/>
      <c r="H285" s="186"/>
      <c r="I285" s="186"/>
      <c r="J285" s="186"/>
      <c r="K285" s="186"/>
      <c r="L285" s="186"/>
      <c r="M285" s="186"/>
      <c r="N285" s="186"/>
      <c r="O285" s="186"/>
      <c r="P285" s="186"/>
      <c r="Q285" s="186"/>
      <c r="R285" s="186"/>
      <c r="S285" s="186"/>
      <c r="T285" s="186"/>
      <c r="U285" s="186"/>
      <c r="V285" s="186"/>
      <c r="W285" s="186"/>
      <c r="X285" s="186"/>
      <c r="Y285" s="186"/>
      <c r="Z285" s="186"/>
      <c r="AA285" s="186"/>
      <c r="AB285" s="186"/>
      <c r="AC285" s="186"/>
      <c r="AD285" s="186"/>
      <c r="AE285" s="186"/>
      <c r="AF285" s="186"/>
      <c r="AG285" s="186"/>
      <c r="AH285" s="186"/>
      <c r="AI285" s="186"/>
      <c r="AJ285" s="186"/>
      <c r="AK285" s="186"/>
      <c r="AL285" s="186"/>
      <c r="AM285" s="186"/>
      <c r="AN285" s="186"/>
      <c r="AO285" s="186"/>
      <c r="AP285" s="186"/>
    </row>
    <row r="286" spans="1:42">
      <c r="A286" s="204" t="s">
        <v>207</v>
      </c>
      <c r="C286" s="186"/>
      <c r="D286" s="186"/>
      <c r="E286" s="186"/>
      <c r="F286" s="186"/>
      <c r="G286" s="186"/>
      <c r="H286" s="186"/>
      <c r="I286" s="186"/>
      <c r="J286" s="186"/>
      <c r="K286" s="186"/>
      <c r="L286" s="186"/>
      <c r="M286" s="186"/>
      <c r="N286" s="186"/>
      <c r="O286" s="186"/>
      <c r="P286" s="186"/>
      <c r="Q286" s="186"/>
      <c r="R286" s="186"/>
      <c r="S286" s="186"/>
      <c r="T286" s="186"/>
      <c r="U286" s="186"/>
      <c r="V286" s="186"/>
      <c r="W286" s="186"/>
      <c r="X286" s="186"/>
      <c r="Y286" s="186"/>
      <c r="Z286" s="186"/>
      <c r="AA286" s="186"/>
      <c r="AB286" s="186"/>
      <c r="AC286" s="186"/>
      <c r="AD286" s="186"/>
      <c r="AE286" s="186"/>
      <c r="AF286" s="186"/>
      <c r="AG286" s="186"/>
      <c r="AH286" s="186"/>
      <c r="AI286" s="186"/>
      <c r="AJ286" s="186"/>
      <c r="AK286" s="186"/>
      <c r="AL286" s="186"/>
      <c r="AM286" s="186"/>
      <c r="AN286" s="186"/>
      <c r="AO286" s="186"/>
      <c r="AP286" s="186"/>
    </row>
    <row r="287" spans="1:42">
      <c r="A287" s="118">
        <v>1</v>
      </c>
      <c r="C287" s="186">
        <f>IF(C$2&lt;=AnalysisPeriod,IF(SUM($C607:C607)&gt;0,B287+1,0),0)</f>
        <v>0</v>
      </c>
      <c r="D287" s="186">
        <f>IF(D$2&lt;=AnalysisPeriod,IF(SUM($C607:D607)&gt;0,C287+1,0),0)</f>
        <v>0</v>
      </c>
      <c r="E287" s="186">
        <f>IF(E$2&lt;=AnalysisPeriod,IF(SUM($C607:E607)&gt;0,D287+1,0),0)</f>
        <v>0</v>
      </c>
      <c r="F287" s="186">
        <f>IF(F$2&lt;=AnalysisPeriod,IF(SUM($C607:F607)&gt;0,E287+1,0),0)</f>
        <v>0</v>
      </c>
      <c r="G287" s="186">
        <f>IF(G$2&lt;=AnalysisPeriod,IF(SUM($C607:G607)&gt;0,F287+1,0),0)</f>
        <v>0</v>
      </c>
      <c r="H287" s="186">
        <f>IF(H$2&lt;=AnalysisPeriod,IF(SUM($C607:H607)&gt;0,G287+1,0),0)</f>
        <v>0</v>
      </c>
      <c r="I287" s="186">
        <f>IF(I$2&lt;=AnalysisPeriod,IF(SUM($C607:I607)&gt;0,H287+1,0),0)</f>
        <v>0</v>
      </c>
      <c r="J287" s="186">
        <f>IF(J$2&lt;=AnalysisPeriod,IF(SUM($C607:J607)&gt;0,I287+1,0),0)</f>
        <v>0</v>
      </c>
      <c r="K287" s="186">
        <f>IF(K$2&lt;=AnalysisPeriod,IF(SUM($C607:K607)&gt;0,J287+1,0),0)</f>
        <v>0</v>
      </c>
      <c r="L287" s="186">
        <f>IF(L$2&lt;=AnalysisPeriod,IF(SUM($C607:L607)&gt;0,K287+1,0),0)</f>
        <v>0</v>
      </c>
      <c r="M287" s="186">
        <f>IF(M$2&lt;=AnalysisPeriod,IF(SUM($C607:M607)&gt;0,L287+1,0),0)</f>
        <v>0</v>
      </c>
      <c r="N287" s="186">
        <f>IF(N$2&lt;=AnalysisPeriod,IF(SUM($C607:N607)&gt;0,M287+1,0),0)</f>
        <v>0</v>
      </c>
      <c r="O287" s="186">
        <f>IF(O$2&lt;=AnalysisPeriod,IF(SUM($C607:O607)&gt;0,N287+1,0),0)</f>
        <v>0</v>
      </c>
      <c r="P287" s="186">
        <f>IF(P$2&lt;=AnalysisPeriod,IF(SUM($C607:P607)&gt;0,O287+1,0),0)</f>
        <v>0</v>
      </c>
      <c r="Q287" s="186">
        <f>IF(Q$2&lt;=AnalysisPeriod,IF(SUM($C607:Q607)&gt;0,P287+1,0),0)</f>
        <v>1</v>
      </c>
      <c r="R287" s="186">
        <f>IF(R$2&lt;=AnalysisPeriod,IF(SUM($C607:R607)&gt;0,Q287+1,0),0)</f>
        <v>2</v>
      </c>
      <c r="S287" s="186">
        <f>IF(S$2&lt;=AnalysisPeriod,IF(SUM($C607:S607)&gt;0,R287+1,0),0)</f>
        <v>3</v>
      </c>
      <c r="T287" s="186">
        <f>IF(T$2&lt;=AnalysisPeriod,IF(SUM($C607:T607)&gt;0,S287+1,0),0)</f>
        <v>4</v>
      </c>
      <c r="U287" s="186">
        <f>IF(U$2&lt;=AnalysisPeriod,IF(SUM($C607:U607)&gt;0,T287+1,0),0)</f>
        <v>5</v>
      </c>
      <c r="V287" s="186">
        <f>IF(V$2&lt;=AnalysisPeriod,IF(SUM($C607:V607)&gt;0,U287+1,0),0)</f>
        <v>6</v>
      </c>
      <c r="W287" s="186">
        <f>IF(W$2&lt;=AnalysisPeriod,IF(SUM($C607:W607)&gt;0,V287+1,0),0)</f>
        <v>7</v>
      </c>
      <c r="X287" s="186">
        <f>IF(X$2&lt;=AnalysisPeriod,IF(SUM($C607:X607)&gt;0,W287+1,0),0)</f>
        <v>8</v>
      </c>
      <c r="Y287" s="186">
        <f>IF(Y$2&lt;=AnalysisPeriod,IF(SUM($C607:Y607)&gt;0,X287+1,0),0)</f>
        <v>9</v>
      </c>
      <c r="Z287" s="186">
        <f>IF(Z$2&lt;=AnalysisPeriod,IF(SUM($C607:Z607)&gt;0,Y287+1,0),0)</f>
        <v>10</v>
      </c>
      <c r="AA287" s="186">
        <f>IF(AA$2&lt;=AnalysisPeriod,IF(SUM($C607:AA607)&gt;0,Z287+1,0),0)</f>
        <v>11</v>
      </c>
      <c r="AB287" s="186">
        <f>IF(AB$2&lt;=AnalysisPeriod,IF(SUM($C607:AB607)&gt;0,AA287+1,0),0)</f>
        <v>12</v>
      </c>
      <c r="AC287" s="186">
        <f>IF(AC$2&lt;=AnalysisPeriod,IF(SUM($C607:AC607)&gt;0,AB287+1,0),0)</f>
        <v>13</v>
      </c>
      <c r="AD287" s="186">
        <f>IF(AD$2&lt;=AnalysisPeriod,IF(SUM($C607:AD607)&gt;0,AC287+1,0),0)</f>
        <v>14</v>
      </c>
      <c r="AE287" s="186">
        <f>IF(AE$2&lt;=AnalysisPeriod,IF(SUM($C607:AE607)&gt;0,AD287+1,0),0)</f>
        <v>15</v>
      </c>
      <c r="AF287" s="186">
        <f>IF(AF$2&lt;=AnalysisPeriod,IF(SUM($C607:AF607)&gt;0,AE287+1,0),0)</f>
        <v>16</v>
      </c>
      <c r="AG287" s="186">
        <f>IF(AG$2&lt;=AnalysisPeriod,IF(SUM($C607:AG607)&gt;0,AF287+1,0),0)</f>
        <v>0</v>
      </c>
      <c r="AH287" s="186">
        <f>IF(AH$2&lt;=AnalysisPeriod,IF(SUM($C607:AH607)&gt;0,AG287+1,0),0)</f>
        <v>0</v>
      </c>
      <c r="AI287" s="186">
        <f>IF(AI$2&lt;=AnalysisPeriod,IF(SUM($C607:AI607)&gt;0,AH287+1,0),0)</f>
        <v>0</v>
      </c>
      <c r="AJ287" s="186">
        <f>IF(AJ$2&lt;=AnalysisPeriod,IF(SUM($C607:AJ607)&gt;0,AI287+1,0),0)</f>
        <v>0</v>
      </c>
      <c r="AK287" s="186">
        <f>IF(AK$2&lt;=AnalysisPeriod,IF(SUM($C607:AK607)&gt;0,AJ287+1,0),0)</f>
        <v>0</v>
      </c>
      <c r="AL287" s="186">
        <f>IF(AL$2&lt;=AnalysisPeriod,IF(SUM($C607:AL607)&gt;0,AK287+1,0),0)</f>
        <v>0</v>
      </c>
      <c r="AM287" s="186">
        <f>IF(AM$2&lt;=AnalysisPeriod,IF(SUM($C607:AM607)&gt;0,AL287+1,0),0)</f>
        <v>0</v>
      </c>
      <c r="AN287" s="186">
        <f>IF(AN$2&lt;=AnalysisPeriod,IF(SUM($C607:AN607)&gt;0,AM287+1,0),0)</f>
        <v>0</v>
      </c>
      <c r="AO287" s="186">
        <f>IF(AO$2&lt;=AnalysisPeriod,IF(SUM($C607:AO607)&gt;0,AN287+1,0),0)</f>
        <v>0</v>
      </c>
      <c r="AP287" s="186">
        <f>IF(AP$2&lt;=AnalysisPeriod,IF(SUM($C607:AP607)&gt;0,AO287+1,0),0)</f>
        <v>0</v>
      </c>
    </row>
    <row r="288" spans="1:42">
      <c r="A288" s="118">
        <f>A287+1</f>
        <v>2</v>
      </c>
      <c r="C288" s="186">
        <f>IF(C$2&lt;=AnalysisPeriod,IF(SUM($C608:C608)&gt;0,B288+1,0),0)</f>
        <v>0</v>
      </c>
      <c r="D288" s="186">
        <f>IF(D$2&lt;=AnalysisPeriod,IF(SUM($C608:D608)&gt;0,C288+1,0),0)</f>
        <v>0</v>
      </c>
      <c r="E288" s="186">
        <f>IF(E$2&lt;=AnalysisPeriod,IF(SUM($C608:E608)&gt;0,D288+1,0),0)</f>
        <v>0</v>
      </c>
      <c r="F288" s="186">
        <f>IF(F$2&lt;=AnalysisPeriod,IF(SUM($C608:F608)&gt;0,E288+1,0),0)</f>
        <v>0</v>
      </c>
      <c r="G288" s="186">
        <f>IF(G$2&lt;=AnalysisPeriod,IF(SUM($C608:G608)&gt;0,F288+1,0),0)</f>
        <v>0</v>
      </c>
      <c r="H288" s="186">
        <f>IF(H$2&lt;=AnalysisPeriod,IF(SUM($C608:H608)&gt;0,G288+1,0),0)</f>
        <v>0</v>
      </c>
      <c r="I288" s="186">
        <f>IF(I$2&lt;=AnalysisPeriod,IF(SUM($C608:I608)&gt;0,H288+1,0),0)</f>
        <v>0</v>
      </c>
      <c r="J288" s="186">
        <f>IF(J$2&lt;=AnalysisPeriod,IF(SUM($C608:J608)&gt;0,I288+1,0),0)</f>
        <v>0</v>
      </c>
      <c r="K288" s="186">
        <f>IF(K$2&lt;=AnalysisPeriod,IF(SUM($C608:K608)&gt;0,J288+1,0),0)</f>
        <v>0</v>
      </c>
      <c r="L288" s="186">
        <f>IF(L$2&lt;=AnalysisPeriod,IF(SUM($C608:L608)&gt;0,K288+1,0),0)</f>
        <v>0</v>
      </c>
      <c r="M288" s="186">
        <f>IF(M$2&lt;=AnalysisPeriod,IF(SUM($C608:M608)&gt;0,L288+1,0),0)</f>
        <v>0</v>
      </c>
      <c r="N288" s="186">
        <f>IF(N$2&lt;=AnalysisPeriod,IF(SUM($C608:N608)&gt;0,M288+1,0),0)</f>
        <v>0</v>
      </c>
      <c r="O288" s="186">
        <f>IF(O$2&lt;=AnalysisPeriod,IF(SUM($C608:O608)&gt;0,N288+1,0),0)</f>
        <v>0</v>
      </c>
      <c r="P288" s="186">
        <f>IF(P$2&lt;=AnalysisPeriod,IF(SUM($C608:P608)&gt;0,O288+1,0),0)</f>
        <v>0</v>
      </c>
      <c r="Q288" s="186">
        <f>IF(Q$2&lt;=AnalysisPeriod,IF(SUM($C608:Q608)&gt;0,P288+1,0),0)</f>
        <v>0</v>
      </c>
      <c r="R288" s="186">
        <f>IF(R$2&lt;=AnalysisPeriod,IF(SUM($C608:R608)&gt;0,Q288+1,0),0)</f>
        <v>0</v>
      </c>
      <c r="S288" s="186">
        <f>IF(S$2&lt;=AnalysisPeriod,IF(SUM($C608:S608)&gt;0,R288+1,0),0)</f>
        <v>0</v>
      </c>
      <c r="T288" s="186">
        <f>IF(T$2&lt;=AnalysisPeriod,IF(SUM($C608:T608)&gt;0,S288+1,0),0)</f>
        <v>0</v>
      </c>
      <c r="U288" s="186">
        <f>IF(U$2&lt;=AnalysisPeriod,IF(SUM($C608:U608)&gt;0,T288+1,0),0)</f>
        <v>0</v>
      </c>
      <c r="V288" s="186">
        <f>IF(V$2&lt;=AnalysisPeriod,IF(SUM($C608:V608)&gt;0,U288+1,0),0)</f>
        <v>0</v>
      </c>
      <c r="W288" s="186">
        <f>IF(W$2&lt;=AnalysisPeriod,IF(SUM($C608:W608)&gt;0,V288+1,0),0)</f>
        <v>0</v>
      </c>
      <c r="X288" s="186">
        <f>IF(X$2&lt;=AnalysisPeriod,IF(SUM($C608:X608)&gt;0,W288+1,0),0)</f>
        <v>0</v>
      </c>
      <c r="Y288" s="186">
        <f>IF(Y$2&lt;=AnalysisPeriod,IF(SUM($C608:Y608)&gt;0,X288+1,0),0)</f>
        <v>0</v>
      </c>
      <c r="Z288" s="186">
        <f>IF(Z$2&lt;=AnalysisPeriod,IF(SUM($C608:Z608)&gt;0,Y288+1,0),0)</f>
        <v>0</v>
      </c>
      <c r="AA288" s="186">
        <f>IF(AA$2&lt;=AnalysisPeriod,IF(SUM($C608:AA608)&gt;0,Z288+1,0),0)</f>
        <v>0</v>
      </c>
      <c r="AB288" s="186">
        <f>IF(AB$2&lt;=AnalysisPeriod,IF(SUM($C608:AB608)&gt;0,AA288+1,0),0)</f>
        <v>0</v>
      </c>
      <c r="AC288" s="186">
        <f>IF(AC$2&lt;=AnalysisPeriod,IF(SUM($C608:AC608)&gt;0,AB288+1,0),0)</f>
        <v>0</v>
      </c>
      <c r="AD288" s="186">
        <f>IF(AD$2&lt;=AnalysisPeriod,IF(SUM($C608:AD608)&gt;0,AC288+1,0),0)</f>
        <v>0</v>
      </c>
      <c r="AE288" s="186">
        <f>IF(AE$2&lt;=AnalysisPeriod,IF(SUM($C608:AE608)&gt;0,AD288+1,0),0)</f>
        <v>0</v>
      </c>
      <c r="AF288" s="186">
        <f>IF(AF$2&lt;=AnalysisPeriod,IF(SUM($C608:AF608)&gt;0,AE288+1,0),0)</f>
        <v>1</v>
      </c>
      <c r="AG288" s="186">
        <f>IF(AG$2&lt;=AnalysisPeriod,IF(SUM($C608:AG608)&gt;0,AF288+1,0),0)</f>
        <v>0</v>
      </c>
      <c r="AH288" s="186">
        <f>IF(AH$2&lt;=AnalysisPeriod,IF(SUM($C608:AH608)&gt;0,AG288+1,0),0)</f>
        <v>0</v>
      </c>
      <c r="AI288" s="186">
        <f>IF(AI$2&lt;=AnalysisPeriod,IF(SUM($C608:AI608)&gt;0,AH288+1,0),0)</f>
        <v>0</v>
      </c>
      <c r="AJ288" s="186">
        <f>IF(AJ$2&lt;=AnalysisPeriod,IF(SUM($C608:AJ608)&gt;0,AI288+1,0),0)</f>
        <v>0</v>
      </c>
      <c r="AK288" s="186">
        <f>IF(AK$2&lt;=AnalysisPeriod,IF(SUM($C608:AK608)&gt;0,AJ288+1,0),0)</f>
        <v>0</v>
      </c>
      <c r="AL288" s="186">
        <f>IF(AL$2&lt;=AnalysisPeriod,IF(SUM($C608:AL608)&gt;0,AK288+1,0),0)</f>
        <v>0</v>
      </c>
      <c r="AM288" s="186">
        <f>IF(AM$2&lt;=AnalysisPeriod,IF(SUM($C608:AM608)&gt;0,AL288+1,0),0)</f>
        <v>0</v>
      </c>
      <c r="AN288" s="186">
        <f>IF(AN$2&lt;=AnalysisPeriod,IF(SUM($C608:AN608)&gt;0,AM288+1,0),0)</f>
        <v>0</v>
      </c>
      <c r="AO288" s="186">
        <f>IF(AO$2&lt;=AnalysisPeriod,IF(SUM($C608:AO608)&gt;0,AN288+1,0),0)</f>
        <v>0</v>
      </c>
      <c r="AP288" s="186">
        <f>IF(AP$2&lt;=AnalysisPeriod,IF(SUM($C608:AP608)&gt;0,AO288+1,0),0)</f>
        <v>0</v>
      </c>
    </row>
    <row r="289" spans="1:42">
      <c r="A289" s="118">
        <f t="shared" ref="A289:A296" si="152">A288+1</f>
        <v>3</v>
      </c>
      <c r="C289" s="186">
        <f>IF(C$2&lt;=AnalysisPeriod,IF(SUM($C609:C609)&gt;0,B289+1,0),0)</f>
        <v>0</v>
      </c>
      <c r="D289" s="186">
        <f>IF(D$2&lt;=AnalysisPeriod,IF(SUM($C609:D609)&gt;0,C289+1,0),0)</f>
        <v>0</v>
      </c>
      <c r="E289" s="186">
        <f>IF(E$2&lt;=AnalysisPeriod,IF(SUM($C609:E609)&gt;0,D289+1,0),0)</f>
        <v>0</v>
      </c>
      <c r="F289" s="186">
        <f>IF(F$2&lt;=AnalysisPeriod,IF(SUM($C609:F609)&gt;0,E289+1,0),0)</f>
        <v>0</v>
      </c>
      <c r="G289" s="186">
        <f>IF(G$2&lt;=AnalysisPeriod,IF(SUM($C609:G609)&gt;0,F289+1,0),0)</f>
        <v>0</v>
      </c>
      <c r="H289" s="186">
        <f>IF(H$2&lt;=AnalysisPeriod,IF(SUM($C609:H609)&gt;0,G289+1,0),0)</f>
        <v>0</v>
      </c>
      <c r="I289" s="186">
        <f>IF(I$2&lt;=AnalysisPeriod,IF(SUM($C609:I609)&gt;0,H289+1,0),0)</f>
        <v>0</v>
      </c>
      <c r="J289" s="186">
        <f>IF(J$2&lt;=AnalysisPeriod,IF(SUM($C609:J609)&gt;0,I289+1,0),0)</f>
        <v>0</v>
      </c>
      <c r="K289" s="186">
        <f>IF(K$2&lt;=AnalysisPeriod,IF(SUM($C609:K609)&gt;0,J289+1,0),0)</f>
        <v>0</v>
      </c>
      <c r="L289" s="186">
        <f>IF(L$2&lt;=AnalysisPeriod,IF(SUM($C609:L609)&gt;0,K289+1,0),0)</f>
        <v>0</v>
      </c>
      <c r="M289" s="186">
        <f>IF(M$2&lt;=AnalysisPeriod,IF(SUM($C609:M609)&gt;0,L289+1,0),0)</f>
        <v>0</v>
      </c>
      <c r="N289" s="186">
        <f>IF(N$2&lt;=AnalysisPeriod,IF(SUM($C609:N609)&gt;0,M289+1,0),0)</f>
        <v>0</v>
      </c>
      <c r="O289" s="186">
        <f>IF(O$2&lt;=AnalysisPeriod,IF(SUM($C609:O609)&gt;0,N289+1,0),0)</f>
        <v>0</v>
      </c>
      <c r="P289" s="186">
        <f>IF(P$2&lt;=AnalysisPeriod,IF(SUM($C609:P609)&gt;0,O289+1,0),0)</f>
        <v>0</v>
      </c>
      <c r="Q289" s="186">
        <f>IF(Q$2&lt;=AnalysisPeriod,IF(SUM($C609:Q609)&gt;0,P289+1,0),0)</f>
        <v>0</v>
      </c>
      <c r="R289" s="186">
        <f>IF(R$2&lt;=AnalysisPeriod,IF(SUM($C609:R609)&gt;0,Q289+1,0),0)</f>
        <v>0</v>
      </c>
      <c r="S289" s="186">
        <f>IF(S$2&lt;=AnalysisPeriod,IF(SUM($C609:S609)&gt;0,R289+1,0),0)</f>
        <v>0</v>
      </c>
      <c r="T289" s="186">
        <f>IF(T$2&lt;=AnalysisPeriod,IF(SUM($C609:T609)&gt;0,S289+1,0),0)</f>
        <v>0</v>
      </c>
      <c r="U289" s="186">
        <f>IF(U$2&lt;=AnalysisPeriod,IF(SUM($C609:U609)&gt;0,T289+1,0),0)</f>
        <v>0</v>
      </c>
      <c r="V289" s="186">
        <f>IF(V$2&lt;=AnalysisPeriod,IF(SUM($C609:V609)&gt;0,U289+1,0),0)</f>
        <v>0</v>
      </c>
      <c r="W289" s="186">
        <f>IF(W$2&lt;=AnalysisPeriod,IF(SUM($C609:W609)&gt;0,V289+1,0),0)</f>
        <v>0</v>
      </c>
      <c r="X289" s="186">
        <f>IF(X$2&lt;=AnalysisPeriod,IF(SUM($C609:X609)&gt;0,W289+1,0),0)</f>
        <v>0</v>
      </c>
      <c r="Y289" s="186">
        <f>IF(Y$2&lt;=AnalysisPeriod,IF(SUM($C609:Y609)&gt;0,X289+1,0),0)</f>
        <v>0</v>
      </c>
      <c r="Z289" s="186">
        <f>IF(Z$2&lt;=AnalysisPeriod,IF(SUM($C609:Z609)&gt;0,Y289+1,0),0)</f>
        <v>0</v>
      </c>
      <c r="AA289" s="186">
        <f>IF(AA$2&lt;=AnalysisPeriod,IF(SUM($C609:AA609)&gt;0,Z289+1,0),0)</f>
        <v>0</v>
      </c>
      <c r="AB289" s="186">
        <f>IF(AB$2&lt;=AnalysisPeriod,IF(SUM($C609:AB609)&gt;0,AA289+1,0),0)</f>
        <v>0</v>
      </c>
      <c r="AC289" s="186">
        <f>IF(AC$2&lt;=AnalysisPeriod,IF(SUM($C609:AC609)&gt;0,AB289+1,0),0)</f>
        <v>0</v>
      </c>
      <c r="AD289" s="186">
        <f>IF(AD$2&lt;=AnalysisPeriod,IF(SUM($C609:AD609)&gt;0,AC289+1,0),0)</f>
        <v>0</v>
      </c>
      <c r="AE289" s="186">
        <f>IF(AE$2&lt;=AnalysisPeriod,IF(SUM($C609:AE609)&gt;0,AD289+1,0),0)</f>
        <v>0</v>
      </c>
      <c r="AF289" s="186">
        <f>IF(AF$2&lt;=AnalysisPeriod,IF(SUM($C609:AF609)&gt;0,AE289+1,0),0)</f>
        <v>0</v>
      </c>
      <c r="AG289" s="186">
        <f>IF(AG$2&lt;=AnalysisPeriod,IF(SUM($C609:AG609)&gt;0,AF289+1,0),0)</f>
        <v>0</v>
      </c>
      <c r="AH289" s="186">
        <f>IF(AH$2&lt;=AnalysisPeriod,IF(SUM($C609:AH609)&gt;0,AG289+1,0),0)</f>
        <v>0</v>
      </c>
      <c r="AI289" s="186">
        <f>IF(AI$2&lt;=AnalysisPeriod,IF(SUM($C609:AI609)&gt;0,AH289+1,0),0)</f>
        <v>0</v>
      </c>
      <c r="AJ289" s="186">
        <f>IF(AJ$2&lt;=AnalysisPeriod,IF(SUM($C609:AJ609)&gt;0,AI289+1,0),0)</f>
        <v>0</v>
      </c>
      <c r="AK289" s="186">
        <f>IF(AK$2&lt;=AnalysisPeriod,IF(SUM($C609:AK609)&gt;0,AJ289+1,0),0)</f>
        <v>0</v>
      </c>
      <c r="AL289" s="186">
        <f>IF(AL$2&lt;=AnalysisPeriod,IF(SUM($C609:AL609)&gt;0,AK289+1,0),0)</f>
        <v>0</v>
      </c>
      <c r="AM289" s="186">
        <f>IF(AM$2&lt;=AnalysisPeriod,IF(SUM($C609:AM609)&gt;0,AL289+1,0),0)</f>
        <v>0</v>
      </c>
      <c r="AN289" s="186">
        <f>IF(AN$2&lt;=AnalysisPeriod,IF(SUM($C609:AN609)&gt;0,AM289+1,0),0)</f>
        <v>0</v>
      </c>
      <c r="AO289" s="186">
        <f>IF(AO$2&lt;=AnalysisPeriod,IF(SUM($C609:AO609)&gt;0,AN289+1,0),0)</f>
        <v>0</v>
      </c>
      <c r="AP289" s="186">
        <f>IF(AP$2&lt;=AnalysisPeriod,IF(SUM($C609:AP609)&gt;0,AO289+1,0),0)</f>
        <v>0</v>
      </c>
    </row>
    <row r="290" spans="1:42">
      <c r="A290" s="118">
        <f t="shared" si="152"/>
        <v>4</v>
      </c>
      <c r="C290" s="186">
        <f>IF(C$2&lt;=AnalysisPeriod,IF(SUM($C610:C610)&gt;0,B290+1,0),0)</f>
        <v>0</v>
      </c>
      <c r="D290" s="186">
        <f>IF(D$2&lt;=AnalysisPeriod,IF(SUM($C610:D610)&gt;0,C290+1,0),0)</f>
        <v>0</v>
      </c>
      <c r="E290" s="186">
        <f>IF(E$2&lt;=AnalysisPeriod,IF(SUM($C610:E610)&gt;0,D290+1,0),0)</f>
        <v>0</v>
      </c>
      <c r="F290" s="186">
        <f>IF(F$2&lt;=AnalysisPeriod,IF(SUM($C610:F610)&gt;0,E290+1,0),0)</f>
        <v>0</v>
      </c>
      <c r="G290" s="186">
        <f>IF(G$2&lt;=AnalysisPeriod,IF(SUM($C610:G610)&gt;0,F290+1,0),0)</f>
        <v>0</v>
      </c>
      <c r="H290" s="186">
        <f>IF(H$2&lt;=AnalysisPeriod,IF(SUM($C610:H610)&gt;0,G290+1,0),0)</f>
        <v>0</v>
      </c>
      <c r="I290" s="186">
        <f>IF(I$2&lt;=AnalysisPeriod,IF(SUM($C610:I610)&gt;0,H290+1,0),0)</f>
        <v>0</v>
      </c>
      <c r="J290" s="186">
        <f>IF(J$2&lt;=AnalysisPeriod,IF(SUM($C610:J610)&gt;0,I290+1,0),0)</f>
        <v>0</v>
      </c>
      <c r="K290" s="186">
        <f>IF(K$2&lt;=AnalysisPeriod,IF(SUM($C610:K610)&gt;0,J290+1,0),0)</f>
        <v>0</v>
      </c>
      <c r="L290" s="186">
        <f>IF(L$2&lt;=AnalysisPeriod,IF(SUM($C610:L610)&gt;0,K290+1,0),0)</f>
        <v>0</v>
      </c>
      <c r="M290" s="186">
        <f>IF(M$2&lt;=AnalysisPeriod,IF(SUM($C610:M610)&gt;0,L290+1,0),0)</f>
        <v>0</v>
      </c>
      <c r="N290" s="186">
        <f>IF(N$2&lt;=AnalysisPeriod,IF(SUM($C610:N610)&gt;0,M290+1,0),0)</f>
        <v>0</v>
      </c>
      <c r="O290" s="186">
        <f>IF(O$2&lt;=AnalysisPeriod,IF(SUM($C610:O610)&gt;0,N290+1,0),0)</f>
        <v>0</v>
      </c>
      <c r="P290" s="186">
        <f>IF(P$2&lt;=AnalysisPeriod,IF(SUM($C610:P610)&gt;0,O290+1,0),0)</f>
        <v>0</v>
      </c>
      <c r="Q290" s="186">
        <f>IF(Q$2&lt;=AnalysisPeriod,IF(SUM($C610:Q610)&gt;0,P290+1,0),0)</f>
        <v>0</v>
      </c>
      <c r="R290" s="186">
        <f>IF(R$2&lt;=AnalysisPeriod,IF(SUM($C610:R610)&gt;0,Q290+1,0),0)</f>
        <v>0</v>
      </c>
      <c r="S290" s="186">
        <f>IF(S$2&lt;=AnalysisPeriod,IF(SUM($C610:S610)&gt;0,R290+1,0),0)</f>
        <v>0</v>
      </c>
      <c r="T290" s="186">
        <f>IF(T$2&lt;=AnalysisPeriod,IF(SUM($C610:T610)&gt;0,S290+1,0),0)</f>
        <v>0</v>
      </c>
      <c r="U290" s="186">
        <f>IF(U$2&lt;=AnalysisPeriod,IF(SUM($C610:U610)&gt;0,T290+1,0),0)</f>
        <v>0</v>
      </c>
      <c r="V290" s="186">
        <f>IF(V$2&lt;=AnalysisPeriod,IF(SUM($C610:V610)&gt;0,U290+1,0),0)</f>
        <v>0</v>
      </c>
      <c r="W290" s="186">
        <f>IF(W$2&lt;=AnalysisPeriod,IF(SUM($C610:W610)&gt;0,V290+1,0),0)</f>
        <v>0</v>
      </c>
      <c r="X290" s="186">
        <f>IF(X$2&lt;=AnalysisPeriod,IF(SUM($C610:X610)&gt;0,W290+1,0),0)</f>
        <v>0</v>
      </c>
      <c r="Y290" s="186">
        <f>IF(Y$2&lt;=AnalysisPeriod,IF(SUM($C610:Y610)&gt;0,X290+1,0),0)</f>
        <v>0</v>
      </c>
      <c r="Z290" s="186">
        <f>IF(Z$2&lt;=AnalysisPeriod,IF(SUM($C610:Z610)&gt;0,Y290+1,0),0)</f>
        <v>0</v>
      </c>
      <c r="AA290" s="186">
        <f>IF(AA$2&lt;=AnalysisPeriod,IF(SUM($C610:AA610)&gt;0,Z290+1,0),0)</f>
        <v>0</v>
      </c>
      <c r="AB290" s="186">
        <f>IF(AB$2&lt;=AnalysisPeriod,IF(SUM($C610:AB610)&gt;0,AA290+1,0),0)</f>
        <v>0</v>
      </c>
      <c r="AC290" s="186">
        <f>IF(AC$2&lt;=AnalysisPeriod,IF(SUM($C610:AC610)&gt;0,AB290+1,0),0)</f>
        <v>0</v>
      </c>
      <c r="AD290" s="186">
        <f>IF(AD$2&lt;=AnalysisPeriod,IF(SUM($C610:AD610)&gt;0,AC290+1,0),0)</f>
        <v>0</v>
      </c>
      <c r="AE290" s="186">
        <f>IF(AE$2&lt;=AnalysisPeriod,IF(SUM($C610:AE610)&gt;0,AD290+1,0),0)</f>
        <v>0</v>
      </c>
      <c r="AF290" s="186">
        <f>IF(AF$2&lt;=AnalysisPeriod,IF(SUM($C610:AF610)&gt;0,AE290+1,0),0)</f>
        <v>0</v>
      </c>
      <c r="AG290" s="186">
        <f>IF(AG$2&lt;=AnalysisPeriod,IF(SUM($C610:AG610)&gt;0,AF290+1,0),0)</f>
        <v>0</v>
      </c>
      <c r="AH290" s="186">
        <f>IF(AH$2&lt;=AnalysisPeriod,IF(SUM($C610:AH610)&gt;0,AG290+1,0),0)</f>
        <v>0</v>
      </c>
      <c r="AI290" s="186">
        <f>IF(AI$2&lt;=AnalysisPeriod,IF(SUM($C610:AI610)&gt;0,AH290+1,0),0)</f>
        <v>0</v>
      </c>
      <c r="AJ290" s="186">
        <f>IF(AJ$2&lt;=AnalysisPeriod,IF(SUM($C610:AJ610)&gt;0,AI290+1,0),0)</f>
        <v>0</v>
      </c>
      <c r="AK290" s="186">
        <f>IF(AK$2&lt;=AnalysisPeriod,IF(SUM($C610:AK610)&gt;0,AJ290+1,0),0)</f>
        <v>0</v>
      </c>
      <c r="AL290" s="186">
        <f>IF(AL$2&lt;=AnalysisPeriod,IF(SUM($C610:AL610)&gt;0,AK290+1,0),0)</f>
        <v>0</v>
      </c>
      <c r="AM290" s="186">
        <f>IF(AM$2&lt;=AnalysisPeriod,IF(SUM($C610:AM610)&gt;0,AL290+1,0),0)</f>
        <v>0</v>
      </c>
      <c r="AN290" s="186">
        <f>IF(AN$2&lt;=AnalysisPeriod,IF(SUM($C610:AN610)&gt;0,AM290+1,0),0)</f>
        <v>0</v>
      </c>
      <c r="AO290" s="186">
        <f>IF(AO$2&lt;=AnalysisPeriod,IF(SUM($C610:AO610)&gt;0,AN290+1,0),0)</f>
        <v>0</v>
      </c>
      <c r="AP290" s="186">
        <f>IF(AP$2&lt;=AnalysisPeriod,IF(SUM($C610:AP610)&gt;0,AO290+1,0),0)</f>
        <v>0</v>
      </c>
    </row>
    <row r="291" spans="1:42">
      <c r="A291" s="118">
        <f t="shared" si="152"/>
        <v>5</v>
      </c>
      <c r="C291" s="186">
        <f>IF(C$2&lt;=AnalysisPeriod,IF(SUM($C611:C611)&gt;0,B291+1,0),0)</f>
        <v>0</v>
      </c>
      <c r="D291" s="186">
        <f>IF(D$2&lt;=AnalysisPeriod,IF(SUM($C611:D611)&gt;0,C291+1,0),0)</f>
        <v>0</v>
      </c>
      <c r="E291" s="186">
        <f>IF(E$2&lt;=AnalysisPeriod,IF(SUM($C611:E611)&gt;0,D291+1,0),0)</f>
        <v>0</v>
      </c>
      <c r="F291" s="186">
        <f>IF(F$2&lt;=AnalysisPeriod,IF(SUM($C611:F611)&gt;0,E291+1,0),0)</f>
        <v>0</v>
      </c>
      <c r="G291" s="186">
        <f>IF(G$2&lt;=AnalysisPeriod,IF(SUM($C611:G611)&gt;0,F291+1,0),0)</f>
        <v>0</v>
      </c>
      <c r="H291" s="186">
        <f>IF(H$2&lt;=AnalysisPeriod,IF(SUM($C611:H611)&gt;0,G291+1,0),0)</f>
        <v>0</v>
      </c>
      <c r="I291" s="186">
        <f>IF(I$2&lt;=AnalysisPeriod,IF(SUM($C611:I611)&gt;0,H291+1,0),0)</f>
        <v>0</v>
      </c>
      <c r="J291" s="186">
        <f>IF(J$2&lt;=AnalysisPeriod,IF(SUM($C611:J611)&gt;0,I291+1,0),0)</f>
        <v>0</v>
      </c>
      <c r="K291" s="186">
        <f>IF(K$2&lt;=AnalysisPeriod,IF(SUM($C611:K611)&gt;0,J291+1,0),0)</f>
        <v>0</v>
      </c>
      <c r="L291" s="186">
        <f>IF(L$2&lt;=AnalysisPeriod,IF(SUM($C611:L611)&gt;0,K291+1,0),0)</f>
        <v>0</v>
      </c>
      <c r="M291" s="186">
        <f>IF(M$2&lt;=AnalysisPeriod,IF(SUM($C611:M611)&gt;0,L291+1,0),0)</f>
        <v>0</v>
      </c>
      <c r="N291" s="186">
        <f>IF(N$2&lt;=AnalysisPeriod,IF(SUM($C611:N611)&gt;0,M291+1,0),0)</f>
        <v>0</v>
      </c>
      <c r="O291" s="186">
        <f>IF(O$2&lt;=AnalysisPeriod,IF(SUM($C611:O611)&gt;0,N291+1,0),0)</f>
        <v>0</v>
      </c>
      <c r="P291" s="186">
        <f>IF(P$2&lt;=AnalysisPeriod,IF(SUM($C611:P611)&gt;0,O291+1,0),0)</f>
        <v>0</v>
      </c>
      <c r="Q291" s="186">
        <f>IF(Q$2&lt;=AnalysisPeriod,IF(SUM($C611:Q611)&gt;0,P291+1,0),0)</f>
        <v>0</v>
      </c>
      <c r="R291" s="186">
        <f>IF(R$2&lt;=AnalysisPeriod,IF(SUM($C611:R611)&gt;0,Q291+1,0),0)</f>
        <v>0</v>
      </c>
      <c r="S291" s="186">
        <f>IF(S$2&lt;=AnalysisPeriod,IF(SUM($C611:S611)&gt;0,R291+1,0),0)</f>
        <v>0</v>
      </c>
      <c r="T291" s="186">
        <f>IF(T$2&lt;=AnalysisPeriod,IF(SUM($C611:T611)&gt;0,S291+1,0),0)</f>
        <v>0</v>
      </c>
      <c r="U291" s="186">
        <f>IF(U$2&lt;=AnalysisPeriod,IF(SUM($C611:U611)&gt;0,T291+1,0),0)</f>
        <v>0</v>
      </c>
      <c r="V291" s="186">
        <f>IF(V$2&lt;=AnalysisPeriod,IF(SUM($C611:V611)&gt;0,U291+1,0),0)</f>
        <v>0</v>
      </c>
      <c r="W291" s="186">
        <f>IF(W$2&lt;=AnalysisPeriod,IF(SUM($C611:W611)&gt;0,V291+1,0),0)</f>
        <v>0</v>
      </c>
      <c r="X291" s="186">
        <f>IF(X$2&lt;=AnalysisPeriod,IF(SUM($C611:X611)&gt;0,W291+1,0),0)</f>
        <v>0</v>
      </c>
      <c r="Y291" s="186">
        <f>IF(Y$2&lt;=AnalysisPeriod,IF(SUM($C611:Y611)&gt;0,X291+1,0),0)</f>
        <v>0</v>
      </c>
      <c r="Z291" s="186">
        <f>IF(Z$2&lt;=AnalysisPeriod,IF(SUM($C611:Z611)&gt;0,Y291+1,0),0)</f>
        <v>0</v>
      </c>
      <c r="AA291" s="186">
        <f>IF(AA$2&lt;=AnalysisPeriod,IF(SUM($C611:AA611)&gt;0,Z291+1,0),0)</f>
        <v>0</v>
      </c>
      <c r="AB291" s="186">
        <f>IF(AB$2&lt;=AnalysisPeriod,IF(SUM($C611:AB611)&gt;0,AA291+1,0),0)</f>
        <v>0</v>
      </c>
      <c r="AC291" s="186">
        <f>IF(AC$2&lt;=AnalysisPeriod,IF(SUM($C611:AC611)&gt;0,AB291+1,0),0)</f>
        <v>0</v>
      </c>
      <c r="AD291" s="186">
        <f>IF(AD$2&lt;=AnalysisPeriod,IF(SUM($C611:AD611)&gt;0,AC291+1,0),0)</f>
        <v>0</v>
      </c>
      <c r="AE291" s="186">
        <f>IF(AE$2&lt;=AnalysisPeriod,IF(SUM($C611:AE611)&gt;0,AD291+1,0),0)</f>
        <v>0</v>
      </c>
      <c r="AF291" s="186">
        <f>IF(AF$2&lt;=AnalysisPeriod,IF(SUM($C611:AF611)&gt;0,AE291+1,0),0)</f>
        <v>0</v>
      </c>
      <c r="AG291" s="186">
        <f>IF(AG$2&lt;=AnalysisPeriod,IF(SUM($C611:AG611)&gt;0,AF291+1,0),0)</f>
        <v>0</v>
      </c>
      <c r="AH291" s="186">
        <f>IF(AH$2&lt;=AnalysisPeriod,IF(SUM($C611:AH611)&gt;0,AG291+1,0),0)</f>
        <v>0</v>
      </c>
      <c r="AI291" s="186">
        <f>IF(AI$2&lt;=AnalysisPeriod,IF(SUM($C611:AI611)&gt;0,AH291+1,0),0)</f>
        <v>0</v>
      </c>
      <c r="AJ291" s="186">
        <f>IF(AJ$2&lt;=AnalysisPeriod,IF(SUM($C611:AJ611)&gt;0,AI291+1,0),0)</f>
        <v>0</v>
      </c>
      <c r="AK291" s="186">
        <f>IF(AK$2&lt;=AnalysisPeriod,IF(SUM($C611:AK611)&gt;0,AJ291+1,0),0)</f>
        <v>0</v>
      </c>
      <c r="AL291" s="186">
        <f>IF(AL$2&lt;=AnalysisPeriod,IF(SUM($C611:AL611)&gt;0,AK291+1,0),0)</f>
        <v>0</v>
      </c>
      <c r="AM291" s="186">
        <f>IF(AM$2&lt;=AnalysisPeriod,IF(SUM($C611:AM611)&gt;0,AL291+1,0),0)</f>
        <v>0</v>
      </c>
      <c r="AN291" s="186">
        <f>IF(AN$2&lt;=AnalysisPeriod,IF(SUM($C611:AN611)&gt;0,AM291+1,0),0)</f>
        <v>0</v>
      </c>
      <c r="AO291" s="186">
        <f>IF(AO$2&lt;=AnalysisPeriod,IF(SUM($C611:AO611)&gt;0,AN291+1,0),0)</f>
        <v>0</v>
      </c>
      <c r="AP291" s="186">
        <f>IF(AP$2&lt;=AnalysisPeriod,IF(SUM($C611:AP611)&gt;0,AO291+1,0),0)</f>
        <v>0</v>
      </c>
    </row>
    <row r="292" spans="1:42">
      <c r="A292" s="118">
        <f t="shared" si="152"/>
        <v>6</v>
      </c>
      <c r="C292" s="186">
        <f>IF(C$2&lt;=AnalysisPeriod,IF(SUM($C612:C612)&gt;0,B292+1,0),0)</f>
        <v>0</v>
      </c>
      <c r="D292" s="186">
        <f>IF(D$2&lt;=AnalysisPeriod,IF(SUM($C612:D612)&gt;0,C292+1,0),0)</f>
        <v>0</v>
      </c>
      <c r="E292" s="186">
        <f>IF(E$2&lt;=AnalysisPeriod,IF(SUM($C612:E612)&gt;0,D292+1,0),0)</f>
        <v>0</v>
      </c>
      <c r="F292" s="186">
        <f>IF(F$2&lt;=AnalysisPeriod,IF(SUM($C612:F612)&gt;0,E292+1,0),0)</f>
        <v>0</v>
      </c>
      <c r="G292" s="186">
        <f>IF(G$2&lt;=AnalysisPeriod,IF(SUM($C612:G612)&gt;0,F292+1,0),0)</f>
        <v>0</v>
      </c>
      <c r="H292" s="186">
        <f>IF(H$2&lt;=AnalysisPeriod,IF(SUM($C612:H612)&gt;0,G292+1,0),0)</f>
        <v>0</v>
      </c>
      <c r="I292" s="186">
        <f>IF(I$2&lt;=AnalysisPeriod,IF(SUM($C612:I612)&gt;0,H292+1,0),0)</f>
        <v>0</v>
      </c>
      <c r="J292" s="186">
        <f>IF(J$2&lt;=AnalysisPeriod,IF(SUM($C612:J612)&gt;0,I292+1,0),0)</f>
        <v>0</v>
      </c>
      <c r="K292" s="186">
        <f>IF(K$2&lt;=AnalysisPeriod,IF(SUM($C612:K612)&gt;0,J292+1,0),0)</f>
        <v>0</v>
      </c>
      <c r="L292" s="186">
        <f>IF(L$2&lt;=AnalysisPeriod,IF(SUM($C612:L612)&gt;0,K292+1,0),0)</f>
        <v>0</v>
      </c>
      <c r="M292" s="186">
        <f>IF(M$2&lt;=AnalysisPeriod,IF(SUM($C612:M612)&gt;0,L292+1,0),0)</f>
        <v>0</v>
      </c>
      <c r="N292" s="186">
        <f>IF(N$2&lt;=AnalysisPeriod,IF(SUM($C612:N612)&gt;0,M292+1,0),0)</f>
        <v>0</v>
      </c>
      <c r="O292" s="186">
        <f>IF(O$2&lt;=AnalysisPeriod,IF(SUM($C612:O612)&gt;0,N292+1,0),0)</f>
        <v>0</v>
      </c>
      <c r="P292" s="186">
        <f>IF(P$2&lt;=AnalysisPeriod,IF(SUM($C612:P612)&gt;0,O292+1,0),0)</f>
        <v>0</v>
      </c>
      <c r="Q292" s="186">
        <f>IF(Q$2&lt;=AnalysisPeriod,IF(SUM($C612:Q612)&gt;0,P292+1,0),0)</f>
        <v>0</v>
      </c>
      <c r="R292" s="186">
        <f>IF(R$2&lt;=AnalysisPeriod,IF(SUM($C612:R612)&gt;0,Q292+1,0),0)</f>
        <v>0</v>
      </c>
      <c r="S292" s="186">
        <f>IF(S$2&lt;=AnalysisPeriod,IF(SUM($C612:S612)&gt;0,R292+1,0),0)</f>
        <v>0</v>
      </c>
      <c r="T292" s="186">
        <f>IF(T$2&lt;=AnalysisPeriod,IF(SUM($C612:T612)&gt;0,S292+1,0),0)</f>
        <v>0</v>
      </c>
      <c r="U292" s="186">
        <f>IF(U$2&lt;=AnalysisPeriod,IF(SUM($C612:U612)&gt;0,T292+1,0),0)</f>
        <v>0</v>
      </c>
      <c r="V292" s="186">
        <f>IF(V$2&lt;=AnalysisPeriod,IF(SUM($C612:V612)&gt;0,U292+1,0),0)</f>
        <v>0</v>
      </c>
      <c r="W292" s="186">
        <f>IF(W$2&lt;=AnalysisPeriod,IF(SUM($C612:W612)&gt;0,V292+1,0),0)</f>
        <v>0</v>
      </c>
      <c r="X292" s="186">
        <f>IF(X$2&lt;=AnalysisPeriod,IF(SUM($C612:X612)&gt;0,W292+1,0),0)</f>
        <v>0</v>
      </c>
      <c r="Y292" s="186">
        <f>IF(Y$2&lt;=AnalysisPeriod,IF(SUM($C612:Y612)&gt;0,X292+1,0),0)</f>
        <v>0</v>
      </c>
      <c r="Z292" s="186">
        <f>IF(Z$2&lt;=AnalysisPeriod,IF(SUM($C612:Z612)&gt;0,Y292+1,0),0)</f>
        <v>0</v>
      </c>
      <c r="AA292" s="186">
        <f>IF(AA$2&lt;=AnalysisPeriod,IF(SUM($C612:AA612)&gt;0,Z292+1,0),0)</f>
        <v>0</v>
      </c>
      <c r="AB292" s="186">
        <f>IF(AB$2&lt;=AnalysisPeriod,IF(SUM($C612:AB612)&gt;0,AA292+1,0),0)</f>
        <v>0</v>
      </c>
      <c r="AC292" s="186">
        <f>IF(AC$2&lt;=AnalysisPeriod,IF(SUM($C612:AC612)&gt;0,AB292+1,0),0)</f>
        <v>0</v>
      </c>
      <c r="AD292" s="186">
        <f>IF(AD$2&lt;=AnalysisPeriod,IF(SUM($C612:AD612)&gt;0,AC292+1,0),0)</f>
        <v>0</v>
      </c>
      <c r="AE292" s="186">
        <f>IF(AE$2&lt;=AnalysisPeriod,IF(SUM($C612:AE612)&gt;0,AD292+1,0),0)</f>
        <v>0</v>
      </c>
      <c r="AF292" s="186">
        <f>IF(AF$2&lt;=AnalysisPeriod,IF(SUM($C612:AF612)&gt;0,AE292+1,0),0)</f>
        <v>0</v>
      </c>
      <c r="AG292" s="186">
        <f>IF(AG$2&lt;=AnalysisPeriod,IF(SUM($C612:AG612)&gt;0,AF292+1,0),0)</f>
        <v>0</v>
      </c>
      <c r="AH292" s="186">
        <f>IF(AH$2&lt;=AnalysisPeriod,IF(SUM($C612:AH612)&gt;0,AG292+1,0),0)</f>
        <v>0</v>
      </c>
      <c r="AI292" s="186">
        <f>IF(AI$2&lt;=AnalysisPeriod,IF(SUM($C612:AI612)&gt;0,AH292+1,0),0)</f>
        <v>0</v>
      </c>
      <c r="AJ292" s="186">
        <f>IF(AJ$2&lt;=AnalysisPeriod,IF(SUM($C612:AJ612)&gt;0,AI292+1,0),0)</f>
        <v>0</v>
      </c>
      <c r="AK292" s="186">
        <f>IF(AK$2&lt;=AnalysisPeriod,IF(SUM($C612:AK612)&gt;0,AJ292+1,0),0)</f>
        <v>0</v>
      </c>
      <c r="AL292" s="186">
        <f>IF(AL$2&lt;=AnalysisPeriod,IF(SUM($C612:AL612)&gt;0,AK292+1,0),0)</f>
        <v>0</v>
      </c>
      <c r="AM292" s="186">
        <f>IF(AM$2&lt;=AnalysisPeriod,IF(SUM($C612:AM612)&gt;0,AL292+1,0),0)</f>
        <v>0</v>
      </c>
      <c r="AN292" s="186">
        <f>IF(AN$2&lt;=AnalysisPeriod,IF(SUM($C612:AN612)&gt;0,AM292+1,0),0)</f>
        <v>0</v>
      </c>
      <c r="AO292" s="186">
        <f>IF(AO$2&lt;=AnalysisPeriod,IF(SUM($C612:AO612)&gt;0,AN292+1,0),0)</f>
        <v>0</v>
      </c>
      <c r="AP292" s="186">
        <f>IF(AP$2&lt;=AnalysisPeriod,IF(SUM($C612:AP612)&gt;0,AO292+1,0),0)</f>
        <v>0</v>
      </c>
    </row>
    <row r="293" spans="1:42">
      <c r="A293" s="118">
        <f t="shared" si="152"/>
        <v>7</v>
      </c>
      <c r="C293" s="186">
        <f>IF(C$2&lt;=AnalysisPeriod,IF(SUM($C613:C613)&gt;0,B293+1,0),0)</f>
        <v>0</v>
      </c>
      <c r="D293" s="186">
        <f>IF(D$2&lt;=AnalysisPeriod,IF(SUM($C613:D613)&gt;0,C293+1,0),0)</f>
        <v>0</v>
      </c>
      <c r="E293" s="186">
        <f>IF(E$2&lt;=AnalysisPeriod,IF(SUM($C613:E613)&gt;0,D293+1,0),0)</f>
        <v>0</v>
      </c>
      <c r="F293" s="186">
        <f>IF(F$2&lt;=AnalysisPeriod,IF(SUM($C613:F613)&gt;0,E293+1,0),0)</f>
        <v>0</v>
      </c>
      <c r="G293" s="186">
        <f>IF(G$2&lt;=AnalysisPeriod,IF(SUM($C613:G613)&gt;0,F293+1,0),0)</f>
        <v>0</v>
      </c>
      <c r="H293" s="186">
        <f>IF(H$2&lt;=AnalysisPeriod,IF(SUM($C613:H613)&gt;0,G293+1,0),0)</f>
        <v>0</v>
      </c>
      <c r="I293" s="186">
        <f>IF(I$2&lt;=AnalysisPeriod,IF(SUM($C613:I613)&gt;0,H293+1,0),0)</f>
        <v>0</v>
      </c>
      <c r="J293" s="186">
        <f>IF(J$2&lt;=AnalysisPeriod,IF(SUM($C613:J613)&gt;0,I293+1,0),0)</f>
        <v>0</v>
      </c>
      <c r="K293" s="186">
        <f>IF(K$2&lt;=AnalysisPeriod,IF(SUM($C613:K613)&gt;0,J293+1,0),0)</f>
        <v>0</v>
      </c>
      <c r="L293" s="186">
        <f>IF(L$2&lt;=AnalysisPeriod,IF(SUM($C613:L613)&gt;0,K293+1,0),0)</f>
        <v>0</v>
      </c>
      <c r="M293" s="186">
        <f>IF(M$2&lt;=AnalysisPeriod,IF(SUM($C613:M613)&gt;0,L293+1,0),0)</f>
        <v>0</v>
      </c>
      <c r="N293" s="186">
        <f>IF(N$2&lt;=AnalysisPeriod,IF(SUM($C613:N613)&gt;0,M293+1,0),0)</f>
        <v>0</v>
      </c>
      <c r="O293" s="186">
        <f>IF(O$2&lt;=AnalysisPeriod,IF(SUM($C613:O613)&gt;0,N293+1,0),0)</f>
        <v>0</v>
      </c>
      <c r="P293" s="186">
        <f>IF(P$2&lt;=AnalysisPeriod,IF(SUM($C613:P613)&gt;0,O293+1,0),0)</f>
        <v>0</v>
      </c>
      <c r="Q293" s="186">
        <f>IF(Q$2&lt;=AnalysisPeriod,IF(SUM($C613:Q613)&gt;0,P293+1,0),0)</f>
        <v>0</v>
      </c>
      <c r="R293" s="186">
        <f>IF(R$2&lt;=AnalysisPeriod,IF(SUM($C613:R613)&gt;0,Q293+1,0),0)</f>
        <v>0</v>
      </c>
      <c r="S293" s="186">
        <f>IF(S$2&lt;=AnalysisPeriod,IF(SUM($C613:S613)&gt;0,R293+1,0),0)</f>
        <v>0</v>
      </c>
      <c r="T293" s="186">
        <f>IF(T$2&lt;=AnalysisPeriod,IF(SUM($C613:T613)&gt;0,S293+1,0),0)</f>
        <v>0</v>
      </c>
      <c r="U293" s="186">
        <f>IF(U$2&lt;=AnalysisPeriod,IF(SUM($C613:U613)&gt;0,T293+1,0),0)</f>
        <v>0</v>
      </c>
      <c r="V293" s="186">
        <f>IF(V$2&lt;=AnalysisPeriod,IF(SUM($C613:V613)&gt;0,U293+1,0),0)</f>
        <v>0</v>
      </c>
      <c r="W293" s="186">
        <f>IF(W$2&lt;=AnalysisPeriod,IF(SUM($C613:W613)&gt;0,V293+1,0),0)</f>
        <v>0</v>
      </c>
      <c r="X293" s="186">
        <f>IF(X$2&lt;=AnalysisPeriod,IF(SUM($C613:X613)&gt;0,W293+1,0),0)</f>
        <v>0</v>
      </c>
      <c r="Y293" s="186">
        <f>IF(Y$2&lt;=AnalysisPeriod,IF(SUM($C613:Y613)&gt;0,X293+1,0),0)</f>
        <v>0</v>
      </c>
      <c r="Z293" s="186">
        <f>IF(Z$2&lt;=AnalysisPeriod,IF(SUM($C613:Z613)&gt;0,Y293+1,0),0)</f>
        <v>0</v>
      </c>
      <c r="AA293" s="186">
        <f>IF(AA$2&lt;=AnalysisPeriod,IF(SUM($C613:AA613)&gt;0,Z293+1,0),0)</f>
        <v>0</v>
      </c>
      <c r="AB293" s="186">
        <f>IF(AB$2&lt;=AnalysisPeriod,IF(SUM($C613:AB613)&gt;0,AA293+1,0),0)</f>
        <v>0</v>
      </c>
      <c r="AC293" s="186">
        <f>IF(AC$2&lt;=AnalysisPeriod,IF(SUM($C613:AC613)&gt;0,AB293+1,0),0)</f>
        <v>0</v>
      </c>
      <c r="AD293" s="186">
        <f>IF(AD$2&lt;=AnalysisPeriod,IF(SUM($C613:AD613)&gt;0,AC293+1,0),0)</f>
        <v>0</v>
      </c>
      <c r="AE293" s="186">
        <f>IF(AE$2&lt;=AnalysisPeriod,IF(SUM($C613:AE613)&gt;0,AD293+1,0),0)</f>
        <v>0</v>
      </c>
      <c r="AF293" s="186">
        <f>IF(AF$2&lt;=AnalysisPeriod,IF(SUM($C613:AF613)&gt;0,AE293+1,0),0)</f>
        <v>0</v>
      </c>
      <c r="AG293" s="186">
        <f>IF(AG$2&lt;=AnalysisPeriod,IF(SUM($C613:AG613)&gt;0,AF293+1,0),0)</f>
        <v>0</v>
      </c>
      <c r="AH293" s="186">
        <f>IF(AH$2&lt;=AnalysisPeriod,IF(SUM($C613:AH613)&gt;0,AG293+1,0),0)</f>
        <v>0</v>
      </c>
      <c r="AI293" s="186">
        <f>IF(AI$2&lt;=AnalysisPeriod,IF(SUM($C613:AI613)&gt;0,AH293+1,0),0)</f>
        <v>0</v>
      </c>
      <c r="AJ293" s="186">
        <f>IF(AJ$2&lt;=AnalysisPeriod,IF(SUM($C613:AJ613)&gt;0,AI293+1,0),0)</f>
        <v>0</v>
      </c>
      <c r="AK293" s="186">
        <f>IF(AK$2&lt;=AnalysisPeriod,IF(SUM($C613:AK613)&gt;0,AJ293+1,0),0)</f>
        <v>0</v>
      </c>
      <c r="AL293" s="186">
        <f>IF(AL$2&lt;=AnalysisPeriod,IF(SUM($C613:AL613)&gt;0,AK293+1,0),0)</f>
        <v>0</v>
      </c>
      <c r="AM293" s="186">
        <f>IF(AM$2&lt;=AnalysisPeriod,IF(SUM($C613:AM613)&gt;0,AL293+1,0),0)</f>
        <v>0</v>
      </c>
      <c r="AN293" s="186">
        <f>IF(AN$2&lt;=AnalysisPeriod,IF(SUM($C613:AN613)&gt;0,AM293+1,0),0)</f>
        <v>0</v>
      </c>
      <c r="AO293" s="186">
        <f>IF(AO$2&lt;=AnalysisPeriod,IF(SUM($C613:AO613)&gt;0,AN293+1,0),0)</f>
        <v>0</v>
      </c>
      <c r="AP293" s="186">
        <f>IF(AP$2&lt;=AnalysisPeriod,IF(SUM($C613:AP613)&gt;0,AO293+1,0),0)</f>
        <v>0</v>
      </c>
    </row>
    <row r="294" spans="1:42">
      <c r="A294" s="118">
        <f t="shared" si="152"/>
        <v>8</v>
      </c>
      <c r="C294" s="186">
        <f>IF(C$2&lt;=AnalysisPeriod,IF(SUM($C614:C614)&gt;0,B294+1,0),0)</f>
        <v>0</v>
      </c>
      <c r="D294" s="186">
        <f>IF(D$2&lt;=AnalysisPeriod,IF(SUM($C614:D614)&gt;0,C294+1,0),0)</f>
        <v>0</v>
      </c>
      <c r="E294" s="186">
        <f>IF(E$2&lt;=AnalysisPeriod,IF(SUM($C614:E614)&gt;0,D294+1,0),0)</f>
        <v>0</v>
      </c>
      <c r="F294" s="186">
        <f>IF(F$2&lt;=AnalysisPeriod,IF(SUM($C614:F614)&gt;0,E294+1,0),0)</f>
        <v>0</v>
      </c>
      <c r="G294" s="186">
        <f>IF(G$2&lt;=AnalysisPeriod,IF(SUM($C614:G614)&gt;0,F294+1,0),0)</f>
        <v>0</v>
      </c>
      <c r="H294" s="186">
        <f>IF(H$2&lt;=AnalysisPeriod,IF(SUM($C614:H614)&gt;0,G294+1,0),0)</f>
        <v>0</v>
      </c>
      <c r="I294" s="186">
        <f>IF(I$2&lt;=AnalysisPeriod,IF(SUM($C614:I614)&gt;0,H294+1,0),0)</f>
        <v>0</v>
      </c>
      <c r="J294" s="186">
        <f>IF(J$2&lt;=AnalysisPeriod,IF(SUM($C614:J614)&gt;0,I294+1,0),0)</f>
        <v>0</v>
      </c>
      <c r="K294" s="186">
        <f>IF(K$2&lt;=AnalysisPeriod,IF(SUM($C614:K614)&gt;0,J294+1,0),0)</f>
        <v>0</v>
      </c>
      <c r="L294" s="186">
        <f>IF(L$2&lt;=AnalysisPeriod,IF(SUM($C614:L614)&gt;0,K294+1,0),0)</f>
        <v>0</v>
      </c>
      <c r="M294" s="186">
        <f>IF(M$2&lt;=AnalysisPeriod,IF(SUM($C614:M614)&gt;0,L294+1,0),0)</f>
        <v>0</v>
      </c>
      <c r="N294" s="186">
        <f>IF(N$2&lt;=AnalysisPeriod,IF(SUM($C614:N614)&gt;0,M294+1,0),0)</f>
        <v>0</v>
      </c>
      <c r="O294" s="186">
        <f>IF(O$2&lt;=AnalysisPeriod,IF(SUM($C614:O614)&gt;0,N294+1,0),0)</f>
        <v>0</v>
      </c>
      <c r="P294" s="186">
        <f>IF(P$2&lt;=AnalysisPeriod,IF(SUM($C614:P614)&gt;0,O294+1,0),0)</f>
        <v>0</v>
      </c>
      <c r="Q294" s="186">
        <f>IF(Q$2&lt;=AnalysisPeriod,IF(SUM($C614:Q614)&gt;0,P294+1,0),0)</f>
        <v>0</v>
      </c>
      <c r="R294" s="186">
        <f>IF(R$2&lt;=AnalysisPeriod,IF(SUM($C614:R614)&gt;0,Q294+1,0),0)</f>
        <v>0</v>
      </c>
      <c r="S294" s="186">
        <f>IF(S$2&lt;=AnalysisPeriod,IF(SUM($C614:S614)&gt;0,R294+1,0),0)</f>
        <v>0</v>
      </c>
      <c r="T294" s="186">
        <f>IF(T$2&lt;=AnalysisPeriod,IF(SUM($C614:T614)&gt;0,S294+1,0),0)</f>
        <v>0</v>
      </c>
      <c r="U294" s="186">
        <f>IF(U$2&lt;=AnalysisPeriod,IF(SUM($C614:U614)&gt;0,T294+1,0),0)</f>
        <v>0</v>
      </c>
      <c r="V294" s="186">
        <f>IF(V$2&lt;=AnalysisPeriod,IF(SUM($C614:V614)&gt;0,U294+1,0),0)</f>
        <v>0</v>
      </c>
      <c r="W294" s="186">
        <f>IF(W$2&lt;=AnalysisPeriod,IF(SUM($C614:W614)&gt;0,V294+1,0),0)</f>
        <v>0</v>
      </c>
      <c r="X294" s="186">
        <f>IF(X$2&lt;=AnalysisPeriod,IF(SUM($C614:X614)&gt;0,W294+1,0),0)</f>
        <v>0</v>
      </c>
      <c r="Y294" s="186">
        <f>IF(Y$2&lt;=AnalysisPeriod,IF(SUM($C614:Y614)&gt;0,X294+1,0),0)</f>
        <v>0</v>
      </c>
      <c r="Z294" s="186">
        <f>IF(Z$2&lt;=AnalysisPeriod,IF(SUM($C614:Z614)&gt;0,Y294+1,0),0)</f>
        <v>0</v>
      </c>
      <c r="AA294" s="186">
        <f>IF(AA$2&lt;=AnalysisPeriod,IF(SUM($C614:AA614)&gt;0,Z294+1,0),0)</f>
        <v>0</v>
      </c>
      <c r="AB294" s="186">
        <f>IF(AB$2&lt;=AnalysisPeriod,IF(SUM($C614:AB614)&gt;0,AA294+1,0),0)</f>
        <v>0</v>
      </c>
      <c r="AC294" s="186">
        <f>IF(AC$2&lt;=AnalysisPeriod,IF(SUM($C614:AC614)&gt;0,AB294+1,0),0)</f>
        <v>0</v>
      </c>
      <c r="AD294" s="186">
        <f>IF(AD$2&lt;=AnalysisPeriod,IF(SUM($C614:AD614)&gt;0,AC294+1,0),0)</f>
        <v>0</v>
      </c>
      <c r="AE294" s="186">
        <f>IF(AE$2&lt;=AnalysisPeriod,IF(SUM($C614:AE614)&gt;0,AD294+1,0),0)</f>
        <v>0</v>
      </c>
      <c r="AF294" s="186">
        <f>IF(AF$2&lt;=AnalysisPeriod,IF(SUM($C614:AF614)&gt;0,AE294+1,0),0)</f>
        <v>0</v>
      </c>
      <c r="AG294" s="186">
        <f>IF(AG$2&lt;=AnalysisPeriod,IF(SUM($C614:AG614)&gt;0,AF294+1,0),0)</f>
        <v>0</v>
      </c>
      <c r="AH294" s="186">
        <f>IF(AH$2&lt;=AnalysisPeriod,IF(SUM($C614:AH614)&gt;0,AG294+1,0),0)</f>
        <v>0</v>
      </c>
      <c r="AI294" s="186">
        <f>IF(AI$2&lt;=AnalysisPeriod,IF(SUM($C614:AI614)&gt;0,AH294+1,0),0)</f>
        <v>0</v>
      </c>
      <c r="AJ294" s="186">
        <f>IF(AJ$2&lt;=AnalysisPeriod,IF(SUM($C614:AJ614)&gt;0,AI294+1,0),0)</f>
        <v>0</v>
      </c>
      <c r="AK294" s="186">
        <f>IF(AK$2&lt;=AnalysisPeriod,IF(SUM($C614:AK614)&gt;0,AJ294+1,0),0)</f>
        <v>0</v>
      </c>
      <c r="AL294" s="186">
        <f>IF(AL$2&lt;=AnalysisPeriod,IF(SUM($C614:AL614)&gt;0,AK294+1,0),0)</f>
        <v>0</v>
      </c>
      <c r="AM294" s="186">
        <f>IF(AM$2&lt;=AnalysisPeriod,IF(SUM($C614:AM614)&gt;0,AL294+1,0),0)</f>
        <v>0</v>
      </c>
      <c r="AN294" s="186">
        <f>IF(AN$2&lt;=AnalysisPeriod,IF(SUM($C614:AN614)&gt;0,AM294+1,0),0)</f>
        <v>0</v>
      </c>
      <c r="AO294" s="186">
        <f>IF(AO$2&lt;=AnalysisPeriod,IF(SUM($C614:AO614)&gt;0,AN294+1,0),0)</f>
        <v>0</v>
      </c>
      <c r="AP294" s="186">
        <f>IF(AP$2&lt;=AnalysisPeriod,IF(SUM($C614:AP614)&gt;0,AO294+1,0),0)</f>
        <v>0</v>
      </c>
    </row>
    <row r="295" spans="1:42">
      <c r="A295" s="118">
        <f>A294+1</f>
        <v>9</v>
      </c>
      <c r="C295" s="186">
        <f>IF(C$2&lt;=AnalysisPeriod,IF(SUM($C615:C615)&gt;0,B295+1,0),0)</f>
        <v>0</v>
      </c>
      <c r="D295" s="186">
        <f>IF(D$2&lt;=AnalysisPeriod,IF(SUM($C615:D615)&gt;0,C295+1,0),0)</f>
        <v>0</v>
      </c>
      <c r="E295" s="186">
        <f>IF(E$2&lt;=AnalysisPeriod,IF(SUM($C615:E615)&gt;0,D295+1,0),0)</f>
        <v>0</v>
      </c>
      <c r="F295" s="186">
        <f>IF(F$2&lt;=AnalysisPeriod,IF(SUM($C615:F615)&gt;0,E295+1,0),0)</f>
        <v>0</v>
      </c>
      <c r="G295" s="186">
        <f>IF(G$2&lt;=AnalysisPeriod,IF(SUM($C615:G615)&gt;0,F295+1,0),0)</f>
        <v>0</v>
      </c>
      <c r="H295" s="186">
        <f>IF(H$2&lt;=AnalysisPeriod,IF(SUM($C615:H615)&gt;0,G295+1,0),0)</f>
        <v>0</v>
      </c>
      <c r="I295" s="186">
        <f>IF(I$2&lt;=AnalysisPeriod,IF(SUM($C615:I615)&gt;0,H295+1,0),0)</f>
        <v>0</v>
      </c>
      <c r="J295" s="186">
        <f>IF(J$2&lt;=AnalysisPeriod,IF(SUM($C615:J615)&gt;0,I295+1,0),0)</f>
        <v>0</v>
      </c>
      <c r="K295" s="186">
        <f>IF(K$2&lt;=AnalysisPeriod,IF(SUM($C615:K615)&gt;0,J295+1,0),0)</f>
        <v>0</v>
      </c>
      <c r="L295" s="186">
        <f>IF(L$2&lt;=AnalysisPeriod,IF(SUM($C615:L615)&gt;0,K295+1,0),0)</f>
        <v>0</v>
      </c>
      <c r="M295" s="186">
        <f>IF(M$2&lt;=AnalysisPeriod,IF(SUM($C615:M615)&gt;0,L295+1,0),0)</f>
        <v>0</v>
      </c>
      <c r="N295" s="186">
        <f>IF(N$2&lt;=AnalysisPeriod,IF(SUM($C615:N615)&gt;0,M295+1,0),0)</f>
        <v>0</v>
      </c>
      <c r="O295" s="186">
        <f>IF(O$2&lt;=AnalysisPeriod,IF(SUM($C615:O615)&gt;0,N295+1,0),0)</f>
        <v>0</v>
      </c>
      <c r="P295" s="186">
        <f>IF(P$2&lt;=AnalysisPeriod,IF(SUM($C615:P615)&gt;0,O295+1,0),0)</f>
        <v>0</v>
      </c>
      <c r="Q295" s="186">
        <f>IF(Q$2&lt;=AnalysisPeriod,IF(SUM($C615:Q615)&gt;0,P295+1,0),0)</f>
        <v>0</v>
      </c>
      <c r="R295" s="186">
        <f>IF(R$2&lt;=AnalysisPeriod,IF(SUM($C615:R615)&gt;0,Q295+1,0),0)</f>
        <v>0</v>
      </c>
      <c r="S295" s="186">
        <f>IF(S$2&lt;=AnalysisPeriod,IF(SUM($C615:S615)&gt;0,R295+1,0),0)</f>
        <v>0</v>
      </c>
      <c r="T295" s="186">
        <f>IF(T$2&lt;=AnalysisPeriod,IF(SUM($C615:T615)&gt;0,S295+1,0),0)</f>
        <v>0</v>
      </c>
      <c r="U295" s="186">
        <f>IF(U$2&lt;=AnalysisPeriod,IF(SUM($C615:U615)&gt;0,T295+1,0),0)</f>
        <v>0</v>
      </c>
      <c r="V295" s="186">
        <f>IF(V$2&lt;=AnalysisPeriod,IF(SUM($C615:V615)&gt;0,U295+1,0),0)</f>
        <v>0</v>
      </c>
      <c r="W295" s="186">
        <f>IF(W$2&lt;=AnalysisPeriod,IF(SUM($C615:W615)&gt;0,V295+1,0),0)</f>
        <v>0</v>
      </c>
      <c r="X295" s="186">
        <f>IF(X$2&lt;=AnalysisPeriod,IF(SUM($C615:X615)&gt;0,W295+1,0),0)</f>
        <v>0</v>
      </c>
      <c r="Y295" s="186">
        <f>IF(Y$2&lt;=AnalysisPeriod,IF(SUM($C615:Y615)&gt;0,X295+1,0),0)</f>
        <v>0</v>
      </c>
      <c r="Z295" s="186">
        <f>IF(Z$2&lt;=AnalysisPeriod,IF(SUM($C615:Z615)&gt;0,Y295+1,0),0)</f>
        <v>0</v>
      </c>
      <c r="AA295" s="186">
        <f>IF(AA$2&lt;=AnalysisPeriod,IF(SUM($C615:AA615)&gt;0,Z295+1,0),0)</f>
        <v>0</v>
      </c>
      <c r="AB295" s="186">
        <f>IF(AB$2&lt;=AnalysisPeriod,IF(SUM($C615:AB615)&gt;0,AA295+1,0),0)</f>
        <v>0</v>
      </c>
      <c r="AC295" s="186">
        <f>IF(AC$2&lt;=AnalysisPeriod,IF(SUM($C615:AC615)&gt;0,AB295+1,0),0)</f>
        <v>0</v>
      </c>
      <c r="AD295" s="186">
        <f>IF(AD$2&lt;=AnalysisPeriod,IF(SUM($C615:AD615)&gt;0,AC295+1,0),0)</f>
        <v>0</v>
      </c>
      <c r="AE295" s="186">
        <f>IF(AE$2&lt;=AnalysisPeriod,IF(SUM($C615:AE615)&gt;0,AD295+1,0),0)</f>
        <v>0</v>
      </c>
      <c r="AF295" s="186">
        <f>IF(AF$2&lt;=AnalysisPeriod,IF(SUM($C615:AF615)&gt;0,AE295+1,0),0)</f>
        <v>0</v>
      </c>
      <c r="AG295" s="186">
        <f>IF(AG$2&lt;=AnalysisPeriod,IF(SUM($C615:AG615)&gt;0,AF295+1,0),0)</f>
        <v>0</v>
      </c>
      <c r="AH295" s="186">
        <f>IF(AH$2&lt;=AnalysisPeriod,IF(SUM($C615:AH615)&gt;0,AG295+1,0),0)</f>
        <v>0</v>
      </c>
      <c r="AI295" s="186">
        <f>IF(AI$2&lt;=AnalysisPeriod,IF(SUM($C615:AI615)&gt;0,AH295+1,0),0)</f>
        <v>0</v>
      </c>
      <c r="AJ295" s="186">
        <f>IF(AJ$2&lt;=AnalysisPeriod,IF(SUM($C615:AJ615)&gt;0,AI295+1,0),0)</f>
        <v>0</v>
      </c>
      <c r="AK295" s="186">
        <f>IF(AK$2&lt;=AnalysisPeriod,IF(SUM($C615:AK615)&gt;0,AJ295+1,0),0)</f>
        <v>0</v>
      </c>
      <c r="AL295" s="186">
        <f>IF(AL$2&lt;=AnalysisPeriod,IF(SUM($C615:AL615)&gt;0,AK295+1,0),0)</f>
        <v>0</v>
      </c>
      <c r="AM295" s="186">
        <f>IF(AM$2&lt;=AnalysisPeriod,IF(SUM($C615:AM615)&gt;0,AL295+1,0),0)</f>
        <v>0</v>
      </c>
      <c r="AN295" s="186">
        <f>IF(AN$2&lt;=AnalysisPeriod,IF(SUM($C615:AN615)&gt;0,AM295+1,0),0)</f>
        <v>0</v>
      </c>
      <c r="AO295" s="186">
        <f>IF(AO$2&lt;=AnalysisPeriod,IF(SUM($C615:AO615)&gt;0,AN295+1,0),0)</f>
        <v>0</v>
      </c>
      <c r="AP295" s="186">
        <f>IF(AP$2&lt;=AnalysisPeriod,IF(SUM($C615:AP615)&gt;0,AO295+1,0),0)</f>
        <v>0</v>
      </c>
    </row>
    <row r="296" spans="1:42">
      <c r="A296" s="118">
        <f t="shared" si="152"/>
        <v>10</v>
      </c>
      <c r="C296" s="186">
        <f>IF(C$2&lt;=AnalysisPeriod,IF(SUM($C616:C616)&gt;0,B296+1,0),0)</f>
        <v>0</v>
      </c>
      <c r="D296" s="186">
        <f>IF(D$2&lt;=AnalysisPeriod,IF(SUM($C616:D616)&gt;0,C296+1,0),0)</f>
        <v>0</v>
      </c>
      <c r="E296" s="186">
        <f>IF(E$2&lt;=AnalysisPeriod,IF(SUM($C616:E616)&gt;0,D296+1,0),0)</f>
        <v>0</v>
      </c>
      <c r="F296" s="186">
        <f>IF(F$2&lt;=AnalysisPeriod,IF(SUM($C616:F616)&gt;0,E296+1,0),0)</f>
        <v>0</v>
      </c>
      <c r="G296" s="186">
        <f>IF(G$2&lt;=AnalysisPeriod,IF(SUM($C616:G616)&gt;0,F296+1,0),0)</f>
        <v>0</v>
      </c>
      <c r="H296" s="186">
        <f>IF(H$2&lt;=AnalysisPeriod,IF(SUM($C616:H616)&gt;0,G296+1,0),0)</f>
        <v>0</v>
      </c>
      <c r="I296" s="186">
        <f>IF(I$2&lt;=AnalysisPeriod,IF(SUM($C616:I616)&gt;0,H296+1,0),0)</f>
        <v>0</v>
      </c>
      <c r="J296" s="186">
        <f>IF(J$2&lt;=AnalysisPeriod,IF(SUM($C616:J616)&gt;0,I296+1,0),0)</f>
        <v>0</v>
      </c>
      <c r="K296" s="186">
        <f>IF(K$2&lt;=AnalysisPeriod,IF(SUM($C616:K616)&gt;0,J296+1,0),0)</f>
        <v>0</v>
      </c>
      <c r="L296" s="186">
        <f>IF(L$2&lt;=AnalysisPeriod,IF(SUM($C616:L616)&gt;0,K296+1,0),0)</f>
        <v>0</v>
      </c>
      <c r="M296" s="186">
        <f>IF(M$2&lt;=AnalysisPeriod,IF(SUM($C616:M616)&gt;0,L296+1,0),0)</f>
        <v>0</v>
      </c>
      <c r="N296" s="186">
        <f>IF(N$2&lt;=AnalysisPeriod,IF(SUM($C616:N616)&gt;0,M296+1,0),0)</f>
        <v>0</v>
      </c>
      <c r="O296" s="186">
        <f>IF(O$2&lt;=AnalysisPeriod,IF(SUM($C616:O616)&gt;0,N296+1,0),0)</f>
        <v>0</v>
      </c>
      <c r="P296" s="186">
        <f>IF(P$2&lt;=AnalysisPeriod,IF(SUM($C616:P616)&gt;0,O296+1,0),0)</f>
        <v>0</v>
      </c>
      <c r="Q296" s="186">
        <f>IF(Q$2&lt;=AnalysisPeriod,IF(SUM($C616:Q616)&gt;0,P296+1,0),0)</f>
        <v>0</v>
      </c>
      <c r="R296" s="186">
        <f>IF(R$2&lt;=AnalysisPeriod,IF(SUM($C616:R616)&gt;0,Q296+1,0),0)</f>
        <v>0</v>
      </c>
      <c r="S296" s="186">
        <f>IF(S$2&lt;=AnalysisPeriod,IF(SUM($C616:S616)&gt;0,R296+1,0),0)</f>
        <v>0</v>
      </c>
      <c r="T296" s="186">
        <f>IF(T$2&lt;=AnalysisPeriod,IF(SUM($C616:T616)&gt;0,S296+1,0),0)</f>
        <v>0</v>
      </c>
      <c r="U296" s="186">
        <f>IF(U$2&lt;=AnalysisPeriod,IF(SUM($C616:U616)&gt;0,T296+1,0),0)</f>
        <v>0</v>
      </c>
      <c r="V296" s="186">
        <f>IF(V$2&lt;=AnalysisPeriod,IF(SUM($C616:V616)&gt;0,U296+1,0),0)</f>
        <v>0</v>
      </c>
      <c r="W296" s="186">
        <f>IF(W$2&lt;=AnalysisPeriod,IF(SUM($C616:W616)&gt;0,V296+1,0),0)</f>
        <v>0</v>
      </c>
      <c r="X296" s="186">
        <f>IF(X$2&lt;=AnalysisPeriod,IF(SUM($C616:X616)&gt;0,W296+1,0),0)</f>
        <v>0</v>
      </c>
      <c r="Y296" s="186">
        <f>IF(Y$2&lt;=AnalysisPeriod,IF(SUM($C616:Y616)&gt;0,X296+1,0),0)</f>
        <v>0</v>
      </c>
      <c r="Z296" s="186">
        <f>IF(Z$2&lt;=AnalysisPeriod,IF(SUM($C616:Z616)&gt;0,Y296+1,0),0)</f>
        <v>0</v>
      </c>
      <c r="AA296" s="186">
        <f>IF(AA$2&lt;=AnalysisPeriod,IF(SUM($C616:AA616)&gt;0,Z296+1,0),0)</f>
        <v>0</v>
      </c>
      <c r="AB296" s="186">
        <f>IF(AB$2&lt;=AnalysisPeriod,IF(SUM($C616:AB616)&gt;0,AA296+1,0),0)</f>
        <v>0</v>
      </c>
      <c r="AC296" s="186">
        <f>IF(AC$2&lt;=AnalysisPeriod,IF(SUM($C616:AC616)&gt;0,AB296+1,0),0)</f>
        <v>0</v>
      </c>
      <c r="AD296" s="186">
        <f>IF(AD$2&lt;=AnalysisPeriod,IF(SUM($C616:AD616)&gt;0,AC296+1,0),0)</f>
        <v>0</v>
      </c>
      <c r="AE296" s="186">
        <f>IF(AE$2&lt;=AnalysisPeriod,IF(SUM($C616:AE616)&gt;0,AD296+1,0),0)</f>
        <v>0</v>
      </c>
      <c r="AF296" s="186">
        <f>IF(AF$2&lt;=AnalysisPeriod,IF(SUM($C616:AF616)&gt;0,AE296+1,0),0)</f>
        <v>0</v>
      </c>
      <c r="AG296" s="186">
        <f>IF(AG$2&lt;=AnalysisPeriod,IF(SUM($C616:AG616)&gt;0,AF296+1,0),0)</f>
        <v>0</v>
      </c>
      <c r="AH296" s="186">
        <f>IF(AH$2&lt;=AnalysisPeriod,IF(SUM($C616:AH616)&gt;0,AG296+1,0),0)</f>
        <v>0</v>
      </c>
      <c r="AI296" s="186">
        <f>IF(AI$2&lt;=AnalysisPeriod,IF(SUM($C616:AI616)&gt;0,AH296+1,0),0)</f>
        <v>0</v>
      </c>
      <c r="AJ296" s="186">
        <f>IF(AJ$2&lt;=AnalysisPeriod,IF(SUM($C616:AJ616)&gt;0,AI296+1,0),0)</f>
        <v>0</v>
      </c>
      <c r="AK296" s="186">
        <f>IF(AK$2&lt;=AnalysisPeriod,IF(SUM($C616:AK616)&gt;0,AJ296+1,0),0)</f>
        <v>0</v>
      </c>
      <c r="AL296" s="186">
        <f>IF(AL$2&lt;=AnalysisPeriod,IF(SUM($C616:AL616)&gt;0,AK296+1,0),0)</f>
        <v>0</v>
      </c>
      <c r="AM296" s="186">
        <f>IF(AM$2&lt;=AnalysisPeriod,IF(SUM($C616:AM616)&gt;0,AL296+1,0),0)</f>
        <v>0</v>
      </c>
      <c r="AN296" s="186">
        <f>IF(AN$2&lt;=AnalysisPeriod,IF(SUM($C616:AN616)&gt;0,AM296+1,0),0)</f>
        <v>0</v>
      </c>
      <c r="AO296" s="186">
        <f>IF(AO$2&lt;=AnalysisPeriod,IF(SUM($C616:AO616)&gt;0,AN296+1,0),0)</f>
        <v>0</v>
      </c>
      <c r="AP296" s="186">
        <f>IF(AP$2&lt;=AnalysisPeriod,IF(SUM($C616:AP616)&gt;0,AO296+1,0),0)</f>
        <v>0</v>
      </c>
    </row>
    <row r="297" spans="1:42">
      <c r="A297" s="204"/>
      <c r="C297" s="186"/>
      <c r="D297" s="186"/>
      <c r="E297" s="186"/>
      <c r="F297" s="186"/>
      <c r="G297" s="186"/>
      <c r="H297" s="186"/>
      <c r="I297" s="186"/>
      <c r="J297" s="186"/>
      <c r="K297" s="186"/>
      <c r="L297" s="186"/>
      <c r="M297" s="186"/>
      <c r="N297" s="186"/>
      <c r="O297" s="186"/>
      <c r="P297" s="186"/>
      <c r="Q297" s="186"/>
      <c r="R297" s="186"/>
      <c r="S297" s="186"/>
      <c r="T297" s="186"/>
      <c r="U297" s="186"/>
      <c r="V297" s="186"/>
      <c r="W297" s="186"/>
      <c r="X297" s="186"/>
      <c r="Y297" s="186"/>
      <c r="Z297" s="186"/>
      <c r="AA297" s="186"/>
      <c r="AB297" s="186"/>
      <c r="AC297" s="186"/>
      <c r="AD297" s="186"/>
      <c r="AE297" s="186"/>
      <c r="AF297" s="186"/>
      <c r="AG297" s="186"/>
      <c r="AH297" s="186"/>
      <c r="AI297" s="186"/>
      <c r="AJ297" s="186"/>
      <c r="AK297" s="186"/>
      <c r="AL297" s="186"/>
      <c r="AM297" s="186"/>
      <c r="AN297" s="186"/>
      <c r="AO297" s="186"/>
      <c r="AP297" s="186"/>
    </row>
    <row r="298" spans="1:42">
      <c r="A298" s="204" t="s">
        <v>211</v>
      </c>
      <c r="C298" s="186"/>
      <c r="D298" s="186"/>
      <c r="E298" s="186"/>
      <c r="F298" s="186"/>
      <c r="G298" s="186"/>
      <c r="H298" s="186"/>
      <c r="I298" s="186"/>
      <c r="J298" s="186"/>
      <c r="K298" s="186"/>
      <c r="L298" s="186"/>
      <c r="M298" s="186"/>
      <c r="N298" s="186"/>
      <c r="O298" s="186"/>
      <c r="P298" s="186"/>
      <c r="Q298" s="186"/>
      <c r="R298" s="186"/>
      <c r="S298" s="186"/>
      <c r="T298" s="186"/>
      <c r="U298" s="186"/>
      <c r="V298" s="186"/>
      <c r="W298" s="186"/>
      <c r="X298" s="186"/>
      <c r="Y298" s="186"/>
      <c r="Z298" s="186"/>
      <c r="AA298" s="186"/>
      <c r="AB298" s="186"/>
      <c r="AC298" s="186"/>
      <c r="AD298" s="186"/>
      <c r="AE298" s="186"/>
      <c r="AF298" s="186"/>
      <c r="AG298" s="186"/>
      <c r="AH298" s="186"/>
      <c r="AI298" s="186"/>
      <c r="AJ298" s="186"/>
      <c r="AK298" s="186"/>
      <c r="AL298" s="186"/>
      <c r="AM298" s="186"/>
      <c r="AN298" s="186"/>
      <c r="AO298" s="186"/>
      <c r="AP298" s="186"/>
    </row>
    <row r="299" spans="1:42">
      <c r="A299" s="118">
        <v>1</v>
      </c>
      <c r="B299" s="196">
        <f t="shared" ref="B299:B308" si="153">SUM(C299:AP299)</f>
        <v>6158778.6534697898</v>
      </c>
      <c r="C299" s="225">
        <f t="shared" ref="C299:AP299" si="154">LOOKUP(C287,$B$257:$AP$257,$B$258:$AP$258)*$B607</f>
        <v>0</v>
      </c>
      <c r="D299" s="186">
        <f t="shared" si="154"/>
        <v>0</v>
      </c>
      <c r="E299" s="186">
        <f t="shared" si="154"/>
        <v>0</v>
      </c>
      <c r="F299" s="186">
        <f t="shared" si="154"/>
        <v>0</v>
      </c>
      <c r="G299" s="186">
        <f t="shared" si="154"/>
        <v>0</v>
      </c>
      <c r="H299" s="186">
        <f t="shared" si="154"/>
        <v>0</v>
      </c>
      <c r="I299" s="186">
        <f t="shared" si="154"/>
        <v>0</v>
      </c>
      <c r="J299" s="186">
        <f t="shared" si="154"/>
        <v>0</v>
      </c>
      <c r="K299" s="186">
        <f t="shared" si="154"/>
        <v>0</v>
      </c>
      <c r="L299" s="186">
        <f t="shared" si="154"/>
        <v>0</v>
      </c>
      <c r="M299" s="186">
        <f t="shared" si="154"/>
        <v>0</v>
      </c>
      <c r="N299" s="186">
        <f t="shared" si="154"/>
        <v>0</v>
      </c>
      <c r="O299" s="186">
        <f t="shared" si="154"/>
        <v>0</v>
      </c>
      <c r="P299" s="186">
        <f t="shared" si="154"/>
        <v>0</v>
      </c>
      <c r="Q299" s="186">
        <f t="shared" si="154"/>
        <v>1231755.7306939578</v>
      </c>
      <c r="R299" s="186">
        <f t="shared" si="154"/>
        <v>1970809.1691103324</v>
      </c>
      <c r="S299" s="186">
        <f t="shared" si="154"/>
        <v>1182485.5014661995</v>
      </c>
      <c r="T299" s="186">
        <f t="shared" si="154"/>
        <v>709491.30087971967</v>
      </c>
      <c r="U299" s="186">
        <f t="shared" si="154"/>
        <v>709491.30087971967</v>
      </c>
      <c r="V299" s="186">
        <f t="shared" si="154"/>
        <v>354745.65043985983</v>
      </c>
      <c r="W299" s="186">
        <f t="shared" si="154"/>
        <v>0</v>
      </c>
      <c r="X299" s="186">
        <f t="shared" si="154"/>
        <v>0</v>
      </c>
      <c r="Y299" s="186">
        <f t="shared" si="154"/>
        <v>0</v>
      </c>
      <c r="Z299" s="186">
        <f t="shared" si="154"/>
        <v>0</v>
      </c>
      <c r="AA299" s="186">
        <f t="shared" si="154"/>
        <v>0</v>
      </c>
      <c r="AB299" s="186">
        <f t="shared" si="154"/>
        <v>0</v>
      </c>
      <c r="AC299" s="186">
        <f t="shared" si="154"/>
        <v>0</v>
      </c>
      <c r="AD299" s="186">
        <f t="shared" si="154"/>
        <v>0</v>
      </c>
      <c r="AE299" s="186">
        <f t="shared" si="154"/>
        <v>0</v>
      </c>
      <c r="AF299" s="186">
        <f t="shared" si="154"/>
        <v>0</v>
      </c>
      <c r="AG299" s="186">
        <f t="shared" si="154"/>
        <v>0</v>
      </c>
      <c r="AH299" s="186">
        <f t="shared" si="154"/>
        <v>0</v>
      </c>
      <c r="AI299" s="186">
        <f t="shared" si="154"/>
        <v>0</v>
      </c>
      <c r="AJ299" s="186">
        <f t="shared" si="154"/>
        <v>0</v>
      </c>
      <c r="AK299" s="186">
        <f t="shared" si="154"/>
        <v>0</v>
      </c>
      <c r="AL299" s="186">
        <f t="shared" si="154"/>
        <v>0</v>
      </c>
      <c r="AM299" s="186">
        <f t="shared" si="154"/>
        <v>0</v>
      </c>
      <c r="AN299" s="186">
        <f t="shared" si="154"/>
        <v>0</v>
      </c>
      <c r="AO299" s="186">
        <f t="shared" si="154"/>
        <v>0</v>
      </c>
      <c r="AP299" s="186">
        <f t="shared" si="154"/>
        <v>0</v>
      </c>
    </row>
    <row r="300" spans="1:42">
      <c r="A300" s="118">
        <f>A299+1</f>
        <v>2</v>
      </c>
      <c r="B300" s="196">
        <f t="shared" si="153"/>
        <v>1539980.512798867</v>
      </c>
      <c r="C300" s="225">
        <f t="shared" ref="C300:AP300" si="155">LOOKUP(C288,$B$257:$AP$257,$B$258:$AP$258)*$B608</f>
        <v>0</v>
      </c>
      <c r="D300" s="186">
        <f t="shared" si="155"/>
        <v>0</v>
      </c>
      <c r="E300" s="186">
        <f t="shared" si="155"/>
        <v>0</v>
      </c>
      <c r="F300" s="186">
        <f t="shared" si="155"/>
        <v>0</v>
      </c>
      <c r="G300" s="186">
        <f t="shared" si="155"/>
        <v>0</v>
      </c>
      <c r="H300" s="186">
        <f t="shared" si="155"/>
        <v>0</v>
      </c>
      <c r="I300" s="186">
        <f t="shared" si="155"/>
        <v>0</v>
      </c>
      <c r="J300" s="186">
        <f t="shared" si="155"/>
        <v>0</v>
      </c>
      <c r="K300" s="186">
        <f t="shared" si="155"/>
        <v>0</v>
      </c>
      <c r="L300" s="186">
        <f t="shared" si="155"/>
        <v>0</v>
      </c>
      <c r="M300" s="186">
        <f t="shared" si="155"/>
        <v>0</v>
      </c>
      <c r="N300" s="186">
        <f t="shared" si="155"/>
        <v>0</v>
      </c>
      <c r="O300" s="186">
        <f t="shared" si="155"/>
        <v>0</v>
      </c>
      <c r="P300" s="186">
        <f t="shared" si="155"/>
        <v>0</v>
      </c>
      <c r="Q300" s="186">
        <f t="shared" si="155"/>
        <v>0</v>
      </c>
      <c r="R300" s="186">
        <f t="shared" si="155"/>
        <v>0</v>
      </c>
      <c r="S300" s="186">
        <f t="shared" si="155"/>
        <v>0</v>
      </c>
      <c r="T300" s="186">
        <f t="shared" si="155"/>
        <v>0</v>
      </c>
      <c r="U300" s="186">
        <f t="shared" si="155"/>
        <v>0</v>
      </c>
      <c r="V300" s="186">
        <f t="shared" si="155"/>
        <v>0</v>
      </c>
      <c r="W300" s="186">
        <f t="shared" si="155"/>
        <v>0</v>
      </c>
      <c r="X300" s="186">
        <f t="shared" si="155"/>
        <v>0</v>
      </c>
      <c r="Y300" s="186">
        <f t="shared" si="155"/>
        <v>0</v>
      </c>
      <c r="Z300" s="186">
        <f t="shared" si="155"/>
        <v>0</v>
      </c>
      <c r="AA300" s="186">
        <f t="shared" si="155"/>
        <v>0</v>
      </c>
      <c r="AB300" s="186">
        <f t="shared" si="155"/>
        <v>0</v>
      </c>
      <c r="AC300" s="186">
        <f t="shared" si="155"/>
        <v>0</v>
      </c>
      <c r="AD300" s="186">
        <f t="shared" si="155"/>
        <v>0</v>
      </c>
      <c r="AE300" s="186">
        <f t="shared" si="155"/>
        <v>0</v>
      </c>
      <c r="AF300" s="186">
        <f t="shared" si="155"/>
        <v>1539980.512798867</v>
      </c>
      <c r="AG300" s="186">
        <f t="shared" si="155"/>
        <v>0</v>
      </c>
      <c r="AH300" s="186">
        <f t="shared" si="155"/>
        <v>0</v>
      </c>
      <c r="AI300" s="186">
        <f t="shared" si="155"/>
        <v>0</v>
      </c>
      <c r="AJ300" s="186">
        <f t="shared" si="155"/>
        <v>0</v>
      </c>
      <c r="AK300" s="186">
        <f t="shared" si="155"/>
        <v>0</v>
      </c>
      <c r="AL300" s="186">
        <f t="shared" si="155"/>
        <v>0</v>
      </c>
      <c r="AM300" s="186">
        <f t="shared" si="155"/>
        <v>0</v>
      </c>
      <c r="AN300" s="186">
        <f t="shared" si="155"/>
        <v>0</v>
      </c>
      <c r="AO300" s="186">
        <f t="shared" si="155"/>
        <v>0</v>
      </c>
      <c r="AP300" s="186">
        <f t="shared" si="155"/>
        <v>0</v>
      </c>
    </row>
    <row r="301" spans="1:42">
      <c r="A301" s="118">
        <f t="shared" ref="A301:A308" si="156">A300+1</f>
        <v>3</v>
      </c>
      <c r="B301" s="196">
        <f t="shared" si="153"/>
        <v>0</v>
      </c>
      <c r="C301" s="225">
        <f t="shared" ref="C301:AP301" si="157">LOOKUP(C289,$B$257:$AP$257,$B$258:$AP$258)*$B609</f>
        <v>0</v>
      </c>
      <c r="D301" s="186">
        <f t="shared" si="157"/>
        <v>0</v>
      </c>
      <c r="E301" s="186">
        <f t="shared" si="157"/>
        <v>0</v>
      </c>
      <c r="F301" s="186">
        <f t="shared" si="157"/>
        <v>0</v>
      </c>
      <c r="G301" s="186">
        <f t="shared" si="157"/>
        <v>0</v>
      </c>
      <c r="H301" s="186">
        <f t="shared" si="157"/>
        <v>0</v>
      </c>
      <c r="I301" s="186">
        <f t="shared" si="157"/>
        <v>0</v>
      </c>
      <c r="J301" s="186">
        <f t="shared" si="157"/>
        <v>0</v>
      </c>
      <c r="K301" s="186">
        <f t="shared" si="157"/>
        <v>0</v>
      </c>
      <c r="L301" s="186">
        <f t="shared" si="157"/>
        <v>0</v>
      </c>
      <c r="M301" s="186">
        <f t="shared" si="157"/>
        <v>0</v>
      </c>
      <c r="N301" s="186">
        <f t="shared" si="157"/>
        <v>0</v>
      </c>
      <c r="O301" s="186">
        <f t="shared" si="157"/>
        <v>0</v>
      </c>
      <c r="P301" s="186">
        <f t="shared" si="157"/>
        <v>0</v>
      </c>
      <c r="Q301" s="186">
        <f t="shared" si="157"/>
        <v>0</v>
      </c>
      <c r="R301" s="186">
        <f t="shared" si="157"/>
        <v>0</v>
      </c>
      <c r="S301" s="186">
        <f t="shared" si="157"/>
        <v>0</v>
      </c>
      <c r="T301" s="186">
        <f t="shared" si="157"/>
        <v>0</v>
      </c>
      <c r="U301" s="186">
        <f t="shared" si="157"/>
        <v>0</v>
      </c>
      <c r="V301" s="186">
        <f t="shared" si="157"/>
        <v>0</v>
      </c>
      <c r="W301" s="186">
        <f t="shared" si="157"/>
        <v>0</v>
      </c>
      <c r="X301" s="186">
        <f t="shared" si="157"/>
        <v>0</v>
      </c>
      <c r="Y301" s="186">
        <f t="shared" si="157"/>
        <v>0</v>
      </c>
      <c r="Z301" s="186">
        <f t="shared" si="157"/>
        <v>0</v>
      </c>
      <c r="AA301" s="186">
        <f t="shared" si="157"/>
        <v>0</v>
      </c>
      <c r="AB301" s="186">
        <f t="shared" si="157"/>
        <v>0</v>
      </c>
      <c r="AC301" s="186">
        <f t="shared" si="157"/>
        <v>0</v>
      </c>
      <c r="AD301" s="186">
        <f t="shared" si="157"/>
        <v>0</v>
      </c>
      <c r="AE301" s="186">
        <f t="shared" si="157"/>
        <v>0</v>
      </c>
      <c r="AF301" s="186">
        <f t="shared" si="157"/>
        <v>0</v>
      </c>
      <c r="AG301" s="186">
        <f t="shared" si="157"/>
        <v>0</v>
      </c>
      <c r="AH301" s="186">
        <f t="shared" si="157"/>
        <v>0</v>
      </c>
      <c r="AI301" s="186">
        <f t="shared" si="157"/>
        <v>0</v>
      </c>
      <c r="AJ301" s="186">
        <f t="shared" si="157"/>
        <v>0</v>
      </c>
      <c r="AK301" s="186">
        <f t="shared" si="157"/>
        <v>0</v>
      </c>
      <c r="AL301" s="186">
        <f t="shared" si="157"/>
        <v>0</v>
      </c>
      <c r="AM301" s="186">
        <f t="shared" si="157"/>
        <v>0</v>
      </c>
      <c r="AN301" s="186">
        <f t="shared" si="157"/>
        <v>0</v>
      </c>
      <c r="AO301" s="186">
        <f t="shared" si="157"/>
        <v>0</v>
      </c>
      <c r="AP301" s="186">
        <f t="shared" si="157"/>
        <v>0</v>
      </c>
    </row>
    <row r="302" spans="1:42">
      <c r="A302" s="118">
        <f t="shared" si="156"/>
        <v>4</v>
      </c>
      <c r="B302" s="196">
        <f t="shared" si="153"/>
        <v>0</v>
      </c>
      <c r="C302" s="225">
        <f t="shared" ref="C302:AP302" si="158">LOOKUP(C290,$B$257:$AP$257,$B$258:$AP$258)*$B610</f>
        <v>0</v>
      </c>
      <c r="D302" s="186">
        <f t="shared" si="158"/>
        <v>0</v>
      </c>
      <c r="E302" s="186">
        <f t="shared" si="158"/>
        <v>0</v>
      </c>
      <c r="F302" s="186">
        <f t="shared" si="158"/>
        <v>0</v>
      </c>
      <c r="G302" s="186">
        <f t="shared" si="158"/>
        <v>0</v>
      </c>
      <c r="H302" s="186">
        <f t="shared" si="158"/>
        <v>0</v>
      </c>
      <c r="I302" s="186">
        <f t="shared" si="158"/>
        <v>0</v>
      </c>
      <c r="J302" s="186">
        <f t="shared" si="158"/>
        <v>0</v>
      </c>
      <c r="K302" s="186">
        <f t="shared" si="158"/>
        <v>0</v>
      </c>
      <c r="L302" s="186">
        <f t="shared" si="158"/>
        <v>0</v>
      </c>
      <c r="M302" s="186">
        <f t="shared" si="158"/>
        <v>0</v>
      </c>
      <c r="N302" s="186">
        <f t="shared" si="158"/>
        <v>0</v>
      </c>
      <c r="O302" s="186">
        <f t="shared" si="158"/>
        <v>0</v>
      </c>
      <c r="P302" s="186">
        <f t="shared" si="158"/>
        <v>0</v>
      </c>
      <c r="Q302" s="186">
        <f t="shared" si="158"/>
        <v>0</v>
      </c>
      <c r="R302" s="186">
        <f t="shared" si="158"/>
        <v>0</v>
      </c>
      <c r="S302" s="186">
        <f t="shared" si="158"/>
        <v>0</v>
      </c>
      <c r="T302" s="186">
        <f t="shared" si="158"/>
        <v>0</v>
      </c>
      <c r="U302" s="186">
        <f t="shared" si="158"/>
        <v>0</v>
      </c>
      <c r="V302" s="186">
        <f t="shared" si="158"/>
        <v>0</v>
      </c>
      <c r="W302" s="186">
        <f t="shared" si="158"/>
        <v>0</v>
      </c>
      <c r="X302" s="186">
        <f t="shared" si="158"/>
        <v>0</v>
      </c>
      <c r="Y302" s="186">
        <f t="shared" si="158"/>
        <v>0</v>
      </c>
      <c r="Z302" s="186">
        <f t="shared" si="158"/>
        <v>0</v>
      </c>
      <c r="AA302" s="186">
        <f t="shared" si="158"/>
        <v>0</v>
      </c>
      <c r="AB302" s="186">
        <f t="shared" si="158"/>
        <v>0</v>
      </c>
      <c r="AC302" s="186">
        <f t="shared" si="158"/>
        <v>0</v>
      </c>
      <c r="AD302" s="186">
        <f t="shared" si="158"/>
        <v>0</v>
      </c>
      <c r="AE302" s="186">
        <f t="shared" si="158"/>
        <v>0</v>
      </c>
      <c r="AF302" s="186">
        <f t="shared" si="158"/>
        <v>0</v>
      </c>
      <c r="AG302" s="186">
        <f t="shared" si="158"/>
        <v>0</v>
      </c>
      <c r="AH302" s="186">
        <f t="shared" si="158"/>
        <v>0</v>
      </c>
      <c r="AI302" s="186">
        <f t="shared" si="158"/>
        <v>0</v>
      </c>
      <c r="AJ302" s="186">
        <f t="shared" si="158"/>
        <v>0</v>
      </c>
      <c r="AK302" s="186">
        <f t="shared" si="158"/>
        <v>0</v>
      </c>
      <c r="AL302" s="186">
        <f t="shared" si="158"/>
        <v>0</v>
      </c>
      <c r="AM302" s="186">
        <f t="shared" si="158"/>
        <v>0</v>
      </c>
      <c r="AN302" s="186">
        <f t="shared" si="158"/>
        <v>0</v>
      </c>
      <c r="AO302" s="186">
        <f t="shared" si="158"/>
        <v>0</v>
      </c>
      <c r="AP302" s="186">
        <f t="shared" si="158"/>
        <v>0</v>
      </c>
    </row>
    <row r="303" spans="1:42">
      <c r="A303" s="118">
        <f t="shared" si="156"/>
        <v>5</v>
      </c>
      <c r="B303" s="196">
        <f t="shared" si="153"/>
        <v>0</v>
      </c>
      <c r="C303" s="225">
        <f t="shared" ref="C303:AP303" si="159">LOOKUP(C291,$B$257:$AP$257,$B$258:$AP$258)*$B611</f>
        <v>0</v>
      </c>
      <c r="D303" s="186">
        <f t="shared" si="159"/>
        <v>0</v>
      </c>
      <c r="E303" s="186">
        <f t="shared" si="159"/>
        <v>0</v>
      </c>
      <c r="F303" s="186">
        <f t="shared" si="159"/>
        <v>0</v>
      </c>
      <c r="G303" s="186">
        <f t="shared" si="159"/>
        <v>0</v>
      </c>
      <c r="H303" s="186">
        <f t="shared" si="159"/>
        <v>0</v>
      </c>
      <c r="I303" s="186">
        <f t="shared" si="159"/>
        <v>0</v>
      </c>
      <c r="J303" s="186">
        <f t="shared" si="159"/>
        <v>0</v>
      </c>
      <c r="K303" s="186">
        <f t="shared" si="159"/>
        <v>0</v>
      </c>
      <c r="L303" s="186">
        <f t="shared" si="159"/>
        <v>0</v>
      </c>
      <c r="M303" s="186">
        <f t="shared" si="159"/>
        <v>0</v>
      </c>
      <c r="N303" s="186">
        <f t="shared" si="159"/>
        <v>0</v>
      </c>
      <c r="O303" s="186">
        <f t="shared" si="159"/>
        <v>0</v>
      </c>
      <c r="P303" s="186">
        <f t="shared" si="159"/>
        <v>0</v>
      </c>
      <c r="Q303" s="186">
        <f t="shared" si="159"/>
        <v>0</v>
      </c>
      <c r="R303" s="186">
        <f t="shared" si="159"/>
        <v>0</v>
      </c>
      <c r="S303" s="186">
        <f t="shared" si="159"/>
        <v>0</v>
      </c>
      <c r="T303" s="186">
        <f t="shared" si="159"/>
        <v>0</v>
      </c>
      <c r="U303" s="186">
        <f t="shared" si="159"/>
        <v>0</v>
      </c>
      <c r="V303" s="186">
        <f t="shared" si="159"/>
        <v>0</v>
      </c>
      <c r="W303" s="186">
        <f t="shared" si="159"/>
        <v>0</v>
      </c>
      <c r="X303" s="186">
        <f t="shared" si="159"/>
        <v>0</v>
      </c>
      <c r="Y303" s="186">
        <f t="shared" si="159"/>
        <v>0</v>
      </c>
      <c r="Z303" s="186">
        <f t="shared" si="159"/>
        <v>0</v>
      </c>
      <c r="AA303" s="186">
        <f t="shared" si="159"/>
        <v>0</v>
      </c>
      <c r="AB303" s="186">
        <f t="shared" si="159"/>
        <v>0</v>
      </c>
      <c r="AC303" s="186">
        <f t="shared" si="159"/>
        <v>0</v>
      </c>
      <c r="AD303" s="186">
        <f t="shared" si="159"/>
        <v>0</v>
      </c>
      <c r="AE303" s="186">
        <f t="shared" si="159"/>
        <v>0</v>
      </c>
      <c r="AF303" s="186">
        <f t="shared" si="159"/>
        <v>0</v>
      </c>
      <c r="AG303" s="186">
        <f t="shared" si="159"/>
        <v>0</v>
      </c>
      <c r="AH303" s="186">
        <f t="shared" si="159"/>
        <v>0</v>
      </c>
      <c r="AI303" s="186">
        <f t="shared" si="159"/>
        <v>0</v>
      </c>
      <c r="AJ303" s="186">
        <f t="shared" si="159"/>
        <v>0</v>
      </c>
      <c r="AK303" s="186">
        <f t="shared" si="159"/>
        <v>0</v>
      </c>
      <c r="AL303" s="186">
        <f t="shared" si="159"/>
        <v>0</v>
      </c>
      <c r="AM303" s="186">
        <f t="shared" si="159"/>
        <v>0</v>
      </c>
      <c r="AN303" s="186">
        <f t="shared" si="159"/>
        <v>0</v>
      </c>
      <c r="AO303" s="186">
        <f t="shared" si="159"/>
        <v>0</v>
      </c>
      <c r="AP303" s="186">
        <f t="shared" si="159"/>
        <v>0</v>
      </c>
    </row>
    <row r="304" spans="1:42">
      <c r="A304" s="118">
        <f t="shared" si="156"/>
        <v>6</v>
      </c>
      <c r="B304" s="196">
        <f t="shared" si="153"/>
        <v>0</v>
      </c>
      <c r="C304" s="225">
        <f t="shared" ref="C304:AP304" si="160">LOOKUP(C292,$B$257:$AP$257,$B$258:$AP$258)*$B612</f>
        <v>0</v>
      </c>
      <c r="D304" s="186">
        <f t="shared" si="160"/>
        <v>0</v>
      </c>
      <c r="E304" s="186">
        <f t="shared" si="160"/>
        <v>0</v>
      </c>
      <c r="F304" s="186">
        <f t="shared" si="160"/>
        <v>0</v>
      </c>
      <c r="G304" s="186">
        <f t="shared" si="160"/>
        <v>0</v>
      </c>
      <c r="H304" s="186">
        <f t="shared" si="160"/>
        <v>0</v>
      </c>
      <c r="I304" s="186">
        <f t="shared" si="160"/>
        <v>0</v>
      </c>
      <c r="J304" s="186">
        <f t="shared" si="160"/>
        <v>0</v>
      </c>
      <c r="K304" s="186">
        <f t="shared" si="160"/>
        <v>0</v>
      </c>
      <c r="L304" s="186">
        <f t="shared" si="160"/>
        <v>0</v>
      </c>
      <c r="M304" s="186">
        <f t="shared" si="160"/>
        <v>0</v>
      </c>
      <c r="N304" s="186">
        <f t="shared" si="160"/>
        <v>0</v>
      </c>
      <c r="O304" s="186">
        <f t="shared" si="160"/>
        <v>0</v>
      </c>
      <c r="P304" s="186">
        <f t="shared" si="160"/>
        <v>0</v>
      </c>
      <c r="Q304" s="186">
        <f t="shared" si="160"/>
        <v>0</v>
      </c>
      <c r="R304" s="186">
        <f t="shared" si="160"/>
        <v>0</v>
      </c>
      <c r="S304" s="186">
        <f t="shared" si="160"/>
        <v>0</v>
      </c>
      <c r="T304" s="186">
        <f t="shared" si="160"/>
        <v>0</v>
      </c>
      <c r="U304" s="186">
        <f t="shared" si="160"/>
        <v>0</v>
      </c>
      <c r="V304" s="186">
        <f t="shared" si="160"/>
        <v>0</v>
      </c>
      <c r="W304" s="186">
        <f t="shared" si="160"/>
        <v>0</v>
      </c>
      <c r="X304" s="186">
        <f t="shared" si="160"/>
        <v>0</v>
      </c>
      <c r="Y304" s="186">
        <f t="shared" si="160"/>
        <v>0</v>
      </c>
      <c r="Z304" s="186">
        <f t="shared" si="160"/>
        <v>0</v>
      </c>
      <c r="AA304" s="186">
        <f t="shared" si="160"/>
        <v>0</v>
      </c>
      <c r="AB304" s="186">
        <f t="shared" si="160"/>
        <v>0</v>
      </c>
      <c r="AC304" s="186">
        <f t="shared" si="160"/>
        <v>0</v>
      </c>
      <c r="AD304" s="186">
        <f t="shared" si="160"/>
        <v>0</v>
      </c>
      <c r="AE304" s="186">
        <f t="shared" si="160"/>
        <v>0</v>
      </c>
      <c r="AF304" s="186">
        <f t="shared" si="160"/>
        <v>0</v>
      </c>
      <c r="AG304" s="186">
        <f t="shared" si="160"/>
        <v>0</v>
      </c>
      <c r="AH304" s="186">
        <f t="shared" si="160"/>
        <v>0</v>
      </c>
      <c r="AI304" s="186">
        <f t="shared" si="160"/>
        <v>0</v>
      </c>
      <c r="AJ304" s="186">
        <f t="shared" si="160"/>
        <v>0</v>
      </c>
      <c r="AK304" s="186">
        <f t="shared" si="160"/>
        <v>0</v>
      </c>
      <c r="AL304" s="186">
        <f t="shared" si="160"/>
        <v>0</v>
      </c>
      <c r="AM304" s="186">
        <f t="shared" si="160"/>
        <v>0</v>
      </c>
      <c r="AN304" s="186">
        <f t="shared" si="160"/>
        <v>0</v>
      </c>
      <c r="AO304" s="186">
        <f t="shared" si="160"/>
        <v>0</v>
      </c>
      <c r="AP304" s="186">
        <f t="shared" si="160"/>
        <v>0</v>
      </c>
    </row>
    <row r="305" spans="1:42">
      <c r="A305" s="118">
        <f t="shared" si="156"/>
        <v>7</v>
      </c>
      <c r="B305" s="196">
        <f t="shared" si="153"/>
        <v>0</v>
      </c>
      <c r="C305" s="225">
        <f t="shared" ref="C305:AP305" si="161">LOOKUP(C293,$B$257:$AP$257,$B$258:$AP$258)*$B613</f>
        <v>0</v>
      </c>
      <c r="D305" s="186">
        <f t="shared" si="161"/>
        <v>0</v>
      </c>
      <c r="E305" s="186">
        <f t="shared" si="161"/>
        <v>0</v>
      </c>
      <c r="F305" s="186">
        <f t="shared" si="161"/>
        <v>0</v>
      </c>
      <c r="G305" s="186">
        <f t="shared" si="161"/>
        <v>0</v>
      </c>
      <c r="H305" s="186">
        <f t="shared" si="161"/>
        <v>0</v>
      </c>
      <c r="I305" s="186">
        <f t="shared" si="161"/>
        <v>0</v>
      </c>
      <c r="J305" s="186">
        <f t="shared" si="161"/>
        <v>0</v>
      </c>
      <c r="K305" s="186">
        <f t="shared" si="161"/>
        <v>0</v>
      </c>
      <c r="L305" s="186">
        <f t="shared" si="161"/>
        <v>0</v>
      </c>
      <c r="M305" s="186">
        <f t="shared" si="161"/>
        <v>0</v>
      </c>
      <c r="N305" s="186">
        <f t="shared" si="161"/>
        <v>0</v>
      </c>
      <c r="O305" s="186">
        <f t="shared" si="161"/>
        <v>0</v>
      </c>
      <c r="P305" s="186">
        <f t="shared" si="161"/>
        <v>0</v>
      </c>
      <c r="Q305" s="186">
        <f t="shared" si="161"/>
        <v>0</v>
      </c>
      <c r="R305" s="186">
        <f t="shared" si="161"/>
        <v>0</v>
      </c>
      <c r="S305" s="186">
        <f t="shared" si="161"/>
        <v>0</v>
      </c>
      <c r="T305" s="186">
        <f t="shared" si="161"/>
        <v>0</v>
      </c>
      <c r="U305" s="186">
        <f t="shared" si="161"/>
        <v>0</v>
      </c>
      <c r="V305" s="186">
        <f t="shared" si="161"/>
        <v>0</v>
      </c>
      <c r="W305" s="186">
        <f t="shared" si="161"/>
        <v>0</v>
      </c>
      <c r="X305" s="186">
        <f t="shared" si="161"/>
        <v>0</v>
      </c>
      <c r="Y305" s="186">
        <f t="shared" si="161"/>
        <v>0</v>
      </c>
      <c r="Z305" s="186">
        <f t="shared" si="161"/>
        <v>0</v>
      </c>
      <c r="AA305" s="186">
        <f t="shared" si="161"/>
        <v>0</v>
      </c>
      <c r="AB305" s="186">
        <f t="shared" si="161"/>
        <v>0</v>
      </c>
      <c r="AC305" s="186">
        <f t="shared" si="161"/>
        <v>0</v>
      </c>
      <c r="AD305" s="186">
        <f t="shared" si="161"/>
        <v>0</v>
      </c>
      <c r="AE305" s="186">
        <f t="shared" si="161"/>
        <v>0</v>
      </c>
      <c r="AF305" s="186">
        <f t="shared" si="161"/>
        <v>0</v>
      </c>
      <c r="AG305" s="186">
        <f t="shared" si="161"/>
        <v>0</v>
      </c>
      <c r="AH305" s="186">
        <f t="shared" si="161"/>
        <v>0</v>
      </c>
      <c r="AI305" s="186">
        <f t="shared" si="161"/>
        <v>0</v>
      </c>
      <c r="AJ305" s="186">
        <f t="shared" si="161"/>
        <v>0</v>
      </c>
      <c r="AK305" s="186">
        <f t="shared" si="161"/>
        <v>0</v>
      </c>
      <c r="AL305" s="186">
        <f t="shared" si="161"/>
        <v>0</v>
      </c>
      <c r="AM305" s="186">
        <f t="shared" si="161"/>
        <v>0</v>
      </c>
      <c r="AN305" s="186">
        <f t="shared" si="161"/>
        <v>0</v>
      </c>
      <c r="AO305" s="186">
        <f t="shared" si="161"/>
        <v>0</v>
      </c>
      <c r="AP305" s="186">
        <f t="shared" si="161"/>
        <v>0</v>
      </c>
    </row>
    <row r="306" spans="1:42">
      <c r="A306" s="118">
        <f t="shared" si="156"/>
        <v>8</v>
      </c>
      <c r="B306" s="196">
        <f t="shared" si="153"/>
        <v>0</v>
      </c>
      <c r="C306" s="225">
        <f t="shared" ref="C306:AP306" si="162">LOOKUP(C294,$B$257:$AP$257,$B$258:$AP$258)*$B614</f>
        <v>0</v>
      </c>
      <c r="D306" s="186">
        <f t="shared" si="162"/>
        <v>0</v>
      </c>
      <c r="E306" s="186">
        <f t="shared" si="162"/>
        <v>0</v>
      </c>
      <c r="F306" s="186">
        <f t="shared" si="162"/>
        <v>0</v>
      </c>
      <c r="G306" s="186">
        <f t="shared" si="162"/>
        <v>0</v>
      </c>
      <c r="H306" s="186">
        <f t="shared" si="162"/>
        <v>0</v>
      </c>
      <c r="I306" s="186">
        <f t="shared" si="162"/>
        <v>0</v>
      </c>
      <c r="J306" s="186">
        <f t="shared" si="162"/>
        <v>0</v>
      </c>
      <c r="K306" s="186">
        <f t="shared" si="162"/>
        <v>0</v>
      </c>
      <c r="L306" s="186">
        <f t="shared" si="162"/>
        <v>0</v>
      </c>
      <c r="M306" s="186">
        <f t="shared" si="162"/>
        <v>0</v>
      </c>
      <c r="N306" s="186">
        <f t="shared" si="162"/>
        <v>0</v>
      </c>
      <c r="O306" s="186">
        <f t="shared" si="162"/>
        <v>0</v>
      </c>
      <c r="P306" s="186">
        <f t="shared" si="162"/>
        <v>0</v>
      </c>
      <c r="Q306" s="186">
        <f t="shared" si="162"/>
        <v>0</v>
      </c>
      <c r="R306" s="186">
        <f t="shared" si="162"/>
        <v>0</v>
      </c>
      <c r="S306" s="186">
        <f t="shared" si="162"/>
        <v>0</v>
      </c>
      <c r="T306" s="186">
        <f t="shared" si="162"/>
        <v>0</v>
      </c>
      <c r="U306" s="186">
        <f t="shared" si="162"/>
        <v>0</v>
      </c>
      <c r="V306" s="186">
        <f t="shared" si="162"/>
        <v>0</v>
      </c>
      <c r="W306" s="186">
        <f t="shared" si="162"/>
        <v>0</v>
      </c>
      <c r="X306" s="186">
        <f t="shared" si="162"/>
        <v>0</v>
      </c>
      <c r="Y306" s="186">
        <f t="shared" si="162"/>
        <v>0</v>
      </c>
      <c r="Z306" s="186">
        <f t="shared" si="162"/>
        <v>0</v>
      </c>
      <c r="AA306" s="186">
        <f t="shared" si="162"/>
        <v>0</v>
      </c>
      <c r="AB306" s="186">
        <f t="shared" si="162"/>
        <v>0</v>
      </c>
      <c r="AC306" s="186">
        <f t="shared" si="162"/>
        <v>0</v>
      </c>
      <c r="AD306" s="186">
        <f t="shared" si="162"/>
        <v>0</v>
      </c>
      <c r="AE306" s="186">
        <f t="shared" si="162"/>
        <v>0</v>
      </c>
      <c r="AF306" s="186">
        <f t="shared" si="162"/>
        <v>0</v>
      </c>
      <c r="AG306" s="186">
        <f t="shared" si="162"/>
        <v>0</v>
      </c>
      <c r="AH306" s="186">
        <f t="shared" si="162"/>
        <v>0</v>
      </c>
      <c r="AI306" s="186">
        <f t="shared" si="162"/>
        <v>0</v>
      </c>
      <c r="AJ306" s="186">
        <f t="shared" si="162"/>
        <v>0</v>
      </c>
      <c r="AK306" s="186">
        <f t="shared" si="162"/>
        <v>0</v>
      </c>
      <c r="AL306" s="186">
        <f t="shared" si="162"/>
        <v>0</v>
      </c>
      <c r="AM306" s="186">
        <f t="shared" si="162"/>
        <v>0</v>
      </c>
      <c r="AN306" s="186">
        <f t="shared" si="162"/>
        <v>0</v>
      </c>
      <c r="AO306" s="186">
        <f t="shared" si="162"/>
        <v>0</v>
      </c>
      <c r="AP306" s="186">
        <f t="shared" si="162"/>
        <v>0</v>
      </c>
    </row>
    <row r="307" spans="1:42">
      <c r="A307" s="118">
        <f>A306+1</f>
        <v>9</v>
      </c>
      <c r="B307" s="196">
        <f t="shared" si="153"/>
        <v>0</v>
      </c>
      <c r="C307" s="225">
        <f t="shared" ref="C307:AP307" si="163">LOOKUP(C295,$B$257:$AP$257,$B$258:$AP$258)*$B615</f>
        <v>0</v>
      </c>
      <c r="D307" s="186">
        <f t="shared" si="163"/>
        <v>0</v>
      </c>
      <c r="E307" s="186">
        <f t="shared" si="163"/>
        <v>0</v>
      </c>
      <c r="F307" s="186">
        <f t="shared" si="163"/>
        <v>0</v>
      </c>
      <c r="G307" s="186">
        <f t="shared" si="163"/>
        <v>0</v>
      </c>
      <c r="H307" s="186">
        <f t="shared" si="163"/>
        <v>0</v>
      </c>
      <c r="I307" s="186">
        <f t="shared" si="163"/>
        <v>0</v>
      </c>
      <c r="J307" s="186">
        <f t="shared" si="163"/>
        <v>0</v>
      </c>
      <c r="K307" s="186">
        <f t="shared" si="163"/>
        <v>0</v>
      </c>
      <c r="L307" s="186">
        <f t="shared" si="163"/>
        <v>0</v>
      </c>
      <c r="M307" s="186">
        <f t="shared" si="163"/>
        <v>0</v>
      </c>
      <c r="N307" s="186">
        <f t="shared" si="163"/>
        <v>0</v>
      </c>
      <c r="O307" s="186">
        <f t="shared" si="163"/>
        <v>0</v>
      </c>
      <c r="P307" s="186">
        <f t="shared" si="163"/>
        <v>0</v>
      </c>
      <c r="Q307" s="186">
        <f t="shared" si="163"/>
        <v>0</v>
      </c>
      <c r="R307" s="186">
        <f t="shared" si="163"/>
        <v>0</v>
      </c>
      <c r="S307" s="186">
        <f t="shared" si="163"/>
        <v>0</v>
      </c>
      <c r="T307" s="186">
        <f t="shared" si="163"/>
        <v>0</v>
      </c>
      <c r="U307" s="186">
        <f t="shared" si="163"/>
        <v>0</v>
      </c>
      <c r="V307" s="186">
        <f t="shared" si="163"/>
        <v>0</v>
      </c>
      <c r="W307" s="186">
        <f t="shared" si="163"/>
        <v>0</v>
      </c>
      <c r="X307" s="186">
        <f t="shared" si="163"/>
        <v>0</v>
      </c>
      <c r="Y307" s="186">
        <f t="shared" si="163"/>
        <v>0</v>
      </c>
      <c r="Z307" s="186">
        <f t="shared" si="163"/>
        <v>0</v>
      </c>
      <c r="AA307" s="186">
        <f t="shared" si="163"/>
        <v>0</v>
      </c>
      <c r="AB307" s="186">
        <f t="shared" si="163"/>
        <v>0</v>
      </c>
      <c r="AC307" s="186">
        <f t="shared" si="163"/>
        <v>0</v>
      </c>
      <c r="AD307" s="186">
        <f t="shared" si="163"/>
        <v>0</v>
      </c>
      <c r="AE307" s="186">
        <f t="shared" si="163"/>
        <v>0</v>
      </c>
      <c r="AF307" s="186">
        <f t="shared" si="163"/>
        <v>0</v>
      </c>
      <c r="AG307" s="186">
        <f t="shared" si="163"/>
        <v>0</v>
      </c>
      <c r="AH307" s="186">
        <f t="shared" si="163"/>
        <v>0</v>
      </c>
      <c r="AI307" s="186">
        <f t="shared" si="163"/>
        <v>0</v>
      </c>
      <c r="AJ307" s="186">
        <f t="shared" si="163"/>
        <v>0</v>
      </c>
      <c r="AK307" s="186">
        <f t="shared" si="163"/>
        <v>0</v>
      </c>
      <c r="AL307" s="186">
        <f t="shared" si="163"/>
        <v>0</v>
      </c>
      <c r="AM307" s="186">
        <f t="shared" si="163"/>
        <v>0</v>
      </c>
      <c r="AN307" s="186">
        <f t="shared" si="163"/>
        <v>0</v>
      </c>
      <c r="AO307" s="186">
        <f t="shared" si="163"/>
        <v>0</v>
      </c>
      <c r="AP307" s="186">
        <f t="shared" si="163"/>
        <v>0</v>
      </c>
    </row>
    <row r="308" spans="1:42">
      <c r="A308" s="118">
        <f t="shared" si="156"/>
        <v>10</v>
      </c>
      <c r="B308" s="196">
        <f t="shared" si="153"/>
        <v>0</v>
      </c>
      <c r="C308" s="221">
        <f t="shared" ref="C308:AP308" si="164">LOOKUP(C296,$B$257:$AP$257,$B$258:$AP$258)*$B616</f>
        <v>0</v>
      </c>
      <c r="D308" s="187">
        <f t="shared" si="164"/>
        <v>0</v>
      </c>
      <c r="E308" s="187">
        <f t="shared" si="164"/>
        <v>0</v>
      </c>
      <c r="F308" s="187">
        <f t="shared" si="164"/>
        <v>0</v>
      </c>
      <c r="G308" s="187">
        <f t="shared" si="164"/>
        <v>0</v>
      </c>
      <c r="H308" s="187">
        <f t="shared" si="164"/>
        <v>0</v>
      </c>
      <c r="I308" s="187">
        <f t="shared" si="164"/>
        <v>0</v>
      </c>
      <c r="J308" s="187">
        <f t="shared" si="164"/>
        <v>0</v>
      </c>
      <c r="K308" s="187">
        <f t="shared" si="164"/>
        <v>0</v>
      </c>
      <c r="L308" s="187">
        <f t="shared" si="164"/>
        <v>0</v>
      </c>
      <c r="M308" s="187">
        <f t="shared" si="164"/>
        <v>0</v>
      </c>
      <c r="N308" s="187">
        <f t="shared" si="164"/>
        <v>0</v>
      </c>
      <c r="O308" s="187">
        <f t="shared" si="164"/>
        <v>0</v>
      </c>
      <c r="P308" s="187">
        <f t="shared" si="164"/>
        <v>0</v>
      </c>
      <c r="Q308" s="187">
        <f t="shared" si="164"/>
        <v>0</v>
      </c>
      <c r="R308" s="187">
        <f t="shared" si="164"/>
        <v>0</v>
      </c>
      <c r="S308" s="187">
        <f t="shared" si="164"/>
        <v>0</v>
      </c>
      <c r="T308" s="187">
        <f t="shared" si="164"/>
        <v>0</v>
      </c>
      <c r="U308" s="187">
        <f t="shared" si="164"/>
        <v>0</v>
      </c>
      <c r="V308" s="187">
        <f t="shared" si="164"/>
        <v>0</v>
      </c>
      <c r="W308" s="187">
        <f t="shared" si="164"/>
        <v>0</v>
      </c>
      <c r="X308" s="187">
        <f t="shared" si="164"/>
        <v>0</v>
      </c>
      <c r="Y308" s="187">
        <f t="shared" si="164"/>
        <v>0</v>
      </c>
      <c r="Z308" s="187">
        <f t="shared" si="164"/>
        <v>0</v>
      </c>
      <c r="AA308" s="187">
        <f t="shared" si="164"/>
        <v>0</v>
      </c>
      <c r="AB308" s="187">
        <f t="shared" si="164"/>
        <v>0</v>
      </c>
      <c r="AC308" s="187">
        <f t="shared" si="164"/>
        <v>0</v>
      </c>
      <c r="AD308" s="187">
        <f t="shared" si="164"/>
        <v>0</v>
      </c>
      <c r="AE308" s="187">
        <f t="shared" si="164"/>
        <v>0</v>
      </c>
      <c r="AF308" s="187">
        <f t="shared" si="164"/>
        <v>0</v>
      </c>
      <c r="AG308" s="187">
        <f t="shared" si="164"/>
        <v>0</v>
      </c>
      <c r="AH308" s="187">
        <f t="shared" si="164"/>
        <v>0</v>
      </c>
      <c r="AI308" s="187">
        <f t="shared" si="164"/>
        <v>0</v>
      </c>
      <c r="AJ308" s="187">
        <f t="shared" si="164"/>
        <v>0</v>
      </c>
      <c r="AK308" s="187">
        <f t="shared" si="164"/>
        <v>0</v>
      </c>
      <c r="AL308" s="187">
        <f t="shared" si="164"/>
        <v>0</v>
      </c>
      <c r="AM308" s="187">
        <f t="shared" si="164"/>
        <v>0</v>
      </c>
      <c r="AN308" s="187">
        <f t="shared" si="164"/>
        <v>0</v>
      </c>
      <c r="AO308" s="187">
        <f t="shared" si="164"/>
        <v>0</v>
      </c>
      <c r="AP308" s="187">
        <f t="shared" si="164"/>
        <v>0</v>
      </c>
    </row>
    <row r="309" spans="1:42" s="118" customFormat="1" ht="12" customHeight="1">
      <c r="A309" s="222" t="s">
        <v>53</v>
      </c>
      <c r="B309" s="141"/>
      <c r="C309" s="141">
        <f>SUM(C299:C308)</f>
        <v>0</v>
      </c>
      <c r="D309" s="141">
        <f t="shared" ref="D309:AP309" si="165">SUM(D299:D308)</f>
        <v>0</v>
      </c>
      <c r="E309" s="141">
        <f t="shared" si="165"/>
        <v>0</v>
      </c>
      <c r="F309" s="141">
        <f t="shared" si="165"/>
        <v>0</v>
      </c>
      <c r="G309" s="141">
        <f t="shared" si="165"/>
        <v>0</v>
      </c>
      <c r="H309" s="141">
        <f t="shared" si="165"/>
        <v>0</v>
      </c>
      <c r="I309" s="141">
        <f t="shared" si="165"/>
        <v>0</v>
      </c>
      <c r="J309" s="141">
        <f t="shared" si="165"/>
        <v>0</v>
      </c>
      <c r="K309" s="141">
        <f t="shared" si="165"/>
        <v>0</v>
      </c>
      <c r="L309" s="141">
        <f t="shared" si="165"/>
        <v>0</v>
      </c>
      <c r="M309" s="141">
        <f t="shared" si="165"/>
        <v>0</v>
      </c>
      <c r="N309" s="141">
        <f t="shared" si="165"/>
        <v>0</v>
      </c>
      <c r="O309" s="141">
        <f t="shared" si="165"/>
        <v>0</v>
      </c>
      <c r="P309" s="141">
        <f t="shared" si="165"/>
        <v>0</v>
      </c>
      <c r="Q309" s="141">
        <f t="shared" si="165"/>
        <v>1231755.7306939578</v>
      </c>
      <c r="R309" s="141">
        <f t="shared" si="165"/>
        <v>1970809.1691103324</v>
      </c>
      <c r="S309" s="141">
        <f t="shared" si="165"/>
        <v>1182485.5014661995</v>
      </c>
      <c r="T309" s="141">
        <f t="shared" si="165"/>
        <v>709491.30087971967</v>
      </c>
      <c r="U309" s="141">
        <f t="shared" si="165"/>
        <v>709491.30087971967</v>
      </c>
      <c r="V309" s="141">
        <f t="shared" si="165"/>
        <v>354745.65043985983</v>
      </c>
      <c r="W309" s="141">
        <f t="shared" si="165"/>
        <v>0</v>
      </c>
      <c r="X309" s="141">
        <f t="shared" si="165"/>
        <v>0</v>
      </c>
      <c r="Y309" s="141">
        <f t="shared" si="165"/>
        <v>0</v>
      </c>
      <c r="Z309" s="141">
        <f t="shared" si="165"/>
        <v>0</v>
      </c>
      <c r="AA309" s="141">
        <f t="shared" si="165"/>
        <v>0</v>
      </c>
      <c r="AB309" s="141">
        <f t="shared" si="165"/>
        <v>0</v>
      </c>
      <c r="AC309" s="141">
        <f t="shared" si="165"/>
        <v>0</v>
      </c>
      <c r="AD309" s="141">
        <f t="shared" si="165"/>
        <v>0</v>
      </c>
      <c r="AE309" s="141">
        <f t="shared" si="165"/>
        <v>0</v>
      </c>
      <c r="AF309" s="141">
        <f t="shared" si="165"/>
        <v>1539980.512798867</v>
      </c>
      <c r="AG309" s="141">
        <f t="shared" si="165"/>
        <v>0</v>
      </c>
      <c r="AH309" s="141">
        <f t="shared" si="165"/>
        <v>0</v>
      </c>
      <c r="AI309" s="141">
        <f t="shared" si="165"/>
        <v>0</v>
      </c>
      <c r="AJ309" s="141">
        <f t="shared" si="165"/>
        <v>0</v>
      </c>
      <c r="AK309" s="141">
        <f t="shared" si="165"/>
        <v>0</v>
      </c>
      <c r="AL309" s="141">
        <f t="shared" si="165"/>
        <v>0</v>
      </c>
      <c r="AM309" s="141">
        <f t="shared" si="165"/>
        <v>0</v>
      </c>
      <c r="AN309" s="141">
        <f t="shared" si="165"/>
        <v>0</v>
      </c>
      <c r="AO309" s="141">
        <f t="shared" si="165"/>
        <v>0</v>
      </c>
      <c r="AP309" s="141">
        <f t="shared" si="165"/>
        <v>0</v>
      </c>
    </row>
    <row r="310" spans="1:42">
      <c r="A310" s="204"/>
      <c r="C310" s="186"/>
      <c r="D310" s="186"/>
      <c r="E310" s="186"/>
      <c r="F310" s="186"/>
      <c r="G310" s="186"/>
      <c r="H310" s="186"/>
      <c r="I310" s="186"/>
      <c r="J310" s="186"/>
      <c r="K310" s="186"/>
      <c r="L310" s="186"/>
      <c r="M310" s="186"/>
      <c r="N310" s="186"/>
      <c r="O310" s="186"/>
      <c r="P310" s="186"/>
      <c r="Q310" s="186"/>
      <c r="R310" s="186"/>
      <c r="S310" s="186"/>
      <c r="T310" s="186"/>
      <c r="U310" s="186"/>
      <c r="V310" s="186"/>
      <c r="W310" s="186"/>
      <c r="X310" s="186"/>
      <c r="Y310" s="186"/>
      <c r="Z310" s="186"/>
      <c r="AA310" s="186"/>
      <c r="AB310" s="186"/>
      <c r="AC310" s="186"/>
      <c r="AD310" s="186"/>
      <c r="AE310" s="186"/>
      <c r="AF310" s="186"/>
      <c r="AG310" s="186"/>
      <c r="AH310" s="186"/>
      <c r="AI310" s="186"/>
      <c r="AJ310" s="186"/>
      <c r="AK310" s="186"/>
      <c r="AL310" s="186"/>
      <c r="AM310" s="186"/>
      <c r="AN310" s="186"/>
      <c r="AO310" s="186"/>
      <c r="AP310" s="186"/>
    </row>
    <row r="311" spans="1:42">
      <c r="A311" s="197" t="s">
        <v>370</v>
      </c>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c r="AM311" s="186"/>
      <c r="AN311" s="186"/>
      <c r="AO311" s="186"/>
      <c r="AP311" s="186"/>
    </row>
    <row r="312" spans="1:42">
      <c r="A312" s="204" t="s">
        <v>207</v>
      </c>
      <c r="C312" s="186"/>
      <c r="D312" s="186"/>
      <c r="E312" s="186"/>
      <c r="F312" s="186"/>
      <c r="G312" s="186"/>
      <c r="H312" s="186"/>
      <c r="I312" s="186"/>
      <c r="J312" s="186"/>
      <c r="K312" s="186"/>
      <c r="L312" s="186"/>
      <c r="M312" s="186"/>
      <c r="N312" s="186"/>
      <c r="O312" s="186"/>
      <c r="P312" s="186"/>
      <c r="Q312" s="186"/>
      <c r="R312" s="186"/>
      <c r="S312" s="186"/>
      <c r="T312" s="186"/>
      <c r="U312" s="186"/>
      <c r="V312" s="186"/>
      <c r="W312" s="186"/>
      <c r="X312" s="186"/>
      <c r="Y312" s="186"/>
      <c r="Z312" s="186"/>
      <c r="AA312" s="186"/>
      <c r="AB312" s="186"/>
      <c r="AC312" s="186"/>
      <c r="AD312" s="186"/>
      <c r="AE312" s="186"/>
      <c r="AF312" s="186"/>
      <c r="AG312" s="186"/>
      <c r="AH312" s="186"/>
      <c r="AI312" s="186"/>
      <c r="AJ312" s="186"/>
      <c r="AK312" s="186"/>
      <c r="AL312" s="186"/>
      <c r="AM312" s="186"/>
      <c r="AN312" s="186"/>
      <c r="AO312" s="186"/>
      <c r="AP312" s="186"/>
    </row>
    <row r="313" spans="1:42">
      <c r="A313" s="118">
        <v>1</v>
      </c>
      <c r="C313" s="186">
        <f>IF(C$2&lt;=AnalysisPeriod,IF(SUM($C639:C639)&gt;0,B313+1,0),0)</f>
        <v>0</v>
      </c>
      <c r="D313" s="186">
        <f>IF(D$2&lt;=AnalysisPeriod,IF(SUM($C639:D639)&gt;0,C313+1,0),0)</f>
        <v>0</v>
      </c>
      <c r="E313" s="186">
        <f>IF(E$2&lt;=AnalysisPeriod,IF(SUM($C639:E639)&gt;0,D313+1,0),0)</f>
        <v>1</v>
      </c>
      <c r="F313" s="186">
        <f>IF(F$2&lt;=AnalysisPeriod,IF(SUM($C639:F639)&gt;0,E313+1,0),0)</f>
        <v>2</v>
      </c>
      <c r="G313" s="186">
        <f>IF(G$2&lt;=AnalysisPeriod,IF(SUM($C639:G639)&gt;0,F313+1,0),0)</f>
        <v>3</v>
      </c>
      <c r="H313" s="186">
        <f>IF(H$2&lt;=AnalysisPeriod,IF(SUM($C639:H639)&gt;0,G313+1,0),0)</f>
        <v>4</v>
      </c>
      <c r="I313" s="186">
        <f>IF(I$2&lt;=AnalysisPeriod,IF(SUM($C639:I639)&gt;0,H313+1,0),0)</f>
        <v>5</v>
      </c>
      <c r="J313" s="186">
        <f>IF(J$2&lt;=AnalysisPeriod,IF(SUM($C639:J639)&gt;0,I313+1,0),0)</f>
        <v>6</v>
      </c>
      <c r="K313" s="186">
        <f>IF(K$2&lt;=AnalysisPeriod,IF(SUM($C639:K639)&gt;0,J313+1,0),0)</f>
        <v>7</v>
      </c>
      <c r="L313" s="186">
        <f>IF(L$2&lt;=AnalysisPeriod,IF(SUM($C639:L639)&gt;0,K313+1,0),0)</f>
        <v>8</v>
      </c>
      <c r="M313" s="186">
        <f>IF(M$2&lt;=AnalysisPeriod,IF(SUM($C639:M639)&gt;0,L313+1,0),0)</f>
        <v>9</v>
      </c>
      <c r="N313" s="186">
        <f>IF(N$2&lt;=AnalysisPeriod,IF(SUM($C639:N639)&gt;0,M313+1,0),0)</f>
        <v>10</v>
      </c>
      <c r="O313" s="186">
        <f>IF(O$2&lt;=AnalysisPeriod,IF(SUM($C639:O639)&gt;0,N313+1,0),0)</f>
        <v>11</v>
      </c>
      <c r="P313" s="186">
        <f>IF(P$2&lt;=AnalysisPeriod,IF(SUM($C639:P639)&gt;0,O313+1,0),0)</f>
        <v>12</v>
      </c>
      <c r="Q313" s="186">
        <f>IF(Q$2&lt;=AnalysisPeriod,IF(SUM($C639:Q639)&gt;0,P313+1,0),0)</f>
        <v>13</v>
      </c>
      <c r="R313" s="186">
        <f>IF(R$2&lt;=AnalysisPeriod,IF(SUM($C639:R639)&gt;0,Q313+1,0),0)</f>
        <v>14</v>
      </c>
      <c r="S313" s="186">
        <f>IF(S$2&lt;=AnalysisPeriod,IF(SUM($C639:S639)&gt;0,R313+1,0),0)</f>
        <v>15</v>
      </c>
      <c r="T313" s="186">
        <f>IF(T$2&lt;=AnalysisPeriod,IF(SUM($C639:T639)&gt;0,S313+1,0),0)</f>
        <v>16</v>
      </c>
      <c r="U313" s="186">
        <f>IF(U$2&lt;=AnalysisPeriod,IF(SUM($C639:U639)&gt;0,T313+1,0),0)</f>
        <v>17</v>
      </c>
      <c r="V313" s="186">
        <f>IF(V$2&lt;=AnalysisPeriod,IF(SUM($C639:V639)&gt;0,U313+1,0),0)</f>
        <v>18</v>
      </c>
      <c r="W313" s="186">
        <f>IF(W$2&lt;=AnalysisPeriod,IF(SUM($C639:W639)&gt;0,V313+1,0),0)</f>
        <v>19</v>
      </c>
      <c r="X313" s="186">
        <f>IF(X$2&lt;=AnalysisPeriod,IF(SUM($C639:X639)&gt;0,W313+1,0),0)</f>
        <v>20</v>
      </c>
      <c r="Y313" s="186">
        <f>IF(Y$2&lt;=AnalysisPeriod,IF(SUM($C639:Y639)&gt;0,X313+1,0),0)</f>
        <v>21</v>
      </c>
      <c r="Z313" s="186">
        <f>IF(Z$2&lt;=AnalysisPeriod,IF(SUM($C639:Z639)&gt;0,Y313+1,0),0)</f>
        <v>22</v>
      </c>
      <c r="AA313" s="186">
        <f>IF(AA$2&lt;=AnalysisPeriod,IF(SUM($C639:AA639)&gt;0,Z313+1,0),0)</f>
        <v>23</v>
      </c>
      <c r="AB313" s="186">
        <f>IF(AB$2&lt;=AnalysisPeriod,IF(SUM($C639:AB639)&gt;0,AA313+1,0),0)</f>
        <v>24</v>
      </c>
      <c r="AC313" s="186">
        <f>IF(AC$2&lt;=AnalysisPeriod,IF(SUM($C639:AC639)&gt;0,AB313+1,0),0)</f>
        <v>25</v>
      </c>
      <c r="AD313" s="186">
        <f>IF(AD$2&lt;=AnalysisPeriod,IF(SUM($C639:AD639)&gt;0,AC313+1,0),0)</f>
        <v>26</v>
      </c>
      <c r="AE313" s="186">
        <f>IF(AE$2&lt;=AnalysisPeriod,IF(SUM($C639:AE639)&gt;0,AD313+1,0),0)</f>
        <v>27</v>
      </c>
      <c r="AF313" s="186">
        <f>IF(AF$2&lt;=AnalysisPeriod,IF(SUM($C639:AF639)&gt;0,AE313+1,0),0)</f>
        <v>28</v>
      </c>
      <c r="AG313" s="186">
        <f>IF(AG$2&lt;=AnalysisPeriod,IF(SUM($C639:AG639)&gt;0,AF313+1,0),0)</f>
        <v>0</v>
      </c>
      <c r="AH313" s="186">
        <f>IF(AH$2&lt;=AnalysisPeriod,IF(SUM($C639:AH639)&gt;0,AG313+1,0),0)</f>
        <v>0</v>
      </c>
      <c r="AI313" s="186">
        <f>IF(AI$2&lt;=AnalysisPeriod,IF(SUM($C639:AI639)&gt;0,AH313+1,0),0)</f>
        <v>0</v>
      </c>
      <c r="AJ313" s="186">
        <f>IF(AJ$2&lt;=AnalysisPeriod,IF(SUM($C639:AJ639)&gt;0,AI313+1,0),0)</f>
        <v>0</v>
      </c>
      <c r="AK313" s="186">
        <f>IF(AK$2&lt;=AnalysisPeriod,IF(SUM($C639:AK639)&gt;0,AJ313+1,0),0)</f>
        <v>0</v>
      </c>
      <c r="AL313" s="186">
        <f>IF(AL$2&lt;=AnalysisPeriod,IF(SUM($C639:AL639)&gt;0,AK313+1,0),0)</f>
        <v>0</v>
      </c>
      <c r="AM313" s="186">
        <f>IF(AM$2&lt;=AnalysisPeriod,IF(SUM($C639:AM639)&gt;0,AL313+1,0),0)</f>
        <v>0</v>
      </c>
      <c r="AN313" s="186">
        <f>IF(AN$2&lt;=AnalysisPeriod,IF(SUM($C639:AN639)&gt;0,AM313+1,0),0)</f>
        <v>0</v>
      </c>
      <c r="AO313" s="186">
        <f>IF(AO$2&lt;=AnalysisPeriod,IF(SUM($C639:AO639)&gt;0,AN313+1,0),0)</f>
        <v>0</v>
      </c>
      <c r="AP313" s="186">
        <f>IF(AP$2&lt;=AnalysisPeriod,IF(SUM($C639:AP639)&gt;0,AO313+1,0),0)</f>
        <v>0</v>
      </c>
    </row>
    <row r="314" spans="1:42">
      <c r="A314" s="118">
        <f>A313+1</f>
        <v>2</v>
      </c>
      <c r="C314" s="186">
        <f>IF(C$2&lt;=AnalysisPeriod,IF(SUM($C640:C640)&gt;0,B314+1,0),0)</f>
        <v>0</v>
      </c>
      <c r="D314" s="186">
        <f>IF(D$2&lt;=AnalysisPeriod,IF(SUM($C640:D640)&gt;0,C314+1,0),0)</f>
        <v>0</v>
      </c>
      <c r="E314" s="186">
        <f>IF(E$2&lt;=AnalysisPeriod,IF(SUM($C640:E640)&gt;0,D314+1,0),0)</f>
        <v>0</v>
      </c>
      <c r="F314" s="186">
        <f>IF(F$2&lt;=AnalysisPeriod,IF(SUM($C640:F640)&gt;0,E314+1,0),0)</f>
        <v>0</v>
      </c>
      <c r="G314" s="186">
        <f>IF(G$2&lt;=AnalysisPeriod,IF(SUM($C640:G640)&gt;0,F314+1,0),0)</f>
        <v>0</v>
      </c>
      <c r="H314" s="186">
        <f>IF(H$2&lt;=AnalysisPeriod,IF(SUM($C640:H640)&gt;0,G314+1,0),0)</f>
        <v>1</v>
      </c>
      <c r="I314" s="186">
        <f>IF(I$2&lt;=AnalysisPeriod,IF(SUM($C640:I640)&gt;0,H314+1,0),0)</f>
        <v>2</v>
      </c>
      <c r="J314" s="186">
        <f>IF(J$2&lt;=AnalysisPeriod,IF(SUM($C640:J640)&gt;0,I314+1,0),0)</f>
        <v>3</v>
      </c>
      <c r="K314" s="186">
        <f>IF(K$2&lt;=AnalysisPeriod,IF(SUM($C640:K640)&gt;0,J314+1,0),0)</f>
        <v>4</v>
      </c>
      <c r="L314" s="186">
        <f>IF(L$2&lt;=AnalysisPeriod,IF(SUM($C640:L640)&gt;0,K314+1,0),0)</f>
        <v>5</v>
      </c>
      <c r="M314" s="186">
        <f>IF(M$2&lt;=AnalysisPeriod,IF(SUM($C640:M640)&gt;0,L314+1,0),0)</f>
        <v>6</v>
      </c>
      <c r="N314" s="186">
        <f>IF(N$2&lt;=AnalysisPeriod,IF(SUM($C640:N640)&gt;0,M314+1,0),0)</f>
        <v>7</v>
      </c>
      <c r="O314" s="186">
        <f>IF(O$2&lt;=AnalysisPeriod,IF(SUM($C640:O640)&gt;0,N314+1,0),0)</f>
        <v>8</v>
      </c>
      <c r="P314" s="186">
        <f>IF(P$2&lt;=AnalysisPeriod,IF(SUM($C640:P640)&gt;0,O314+1,0),0)</f>
        <v>9</v>
      </c>
      <c r="Q314" s="186">
        <f>IF(Q$2&lt;=AnalysisPeriod,IF(SUM($C640:Q640)&gt;0,P314+1,0),0)</f>
        <v>10</v>
      </c>
      <c r="R314" s="186">
        <f>IF(R$2&lt;=AnalysisPeriod,IF(SUM($C640:R640)&gt;0,Q314+1,0),0)</f>
        <v>11</v>
      </c>
      <c r="S314" s="186">
        <f>IF(S$2&lt;=AnalysisPeriod,IF(SUM($C640:S640)&gt;0,R314+1,0),0)</f>
        <v>12</v>
      </c>
      <c r="T314" s="186">
        <f>IF(T$2&lt;=AnalysisPeriod,IF(SUM($C640:T640)&gt;0,S314+1,0),0)</f>
        <v>13</v>
      </c>
      <c r="U314" s="186">
        <f>IF(U$2&lt;=AnalysisPeriod,IF(SUM($C640:U640)&gt;0,T314+1,0),0)</f>
        <v>14</v>
      </c>
      <c r="V314" s="186">
        <f>IF(V$2&lt;=AnalysisPeriod,IF(SUM($C640:V640)&gt;0,U314+1,0),0)</f>
        <v>15</v>
      </c>
      <c r="W314" s="186">
        <f>IF(W$2&lt;=AnalysisPeriod,IF(SUM($C640:W640)&gt;0,V314+1,0),0)</f>
        <v>16</v>
      </c>
      <c r="X314" s="186">
        <f>IF(X$2&lt;=AnalysisPeriod,IF(SUM($C640:X640)&gt;0,W314+1,0),0)</f>
        <v>17</v>
      </c>
      <c r="Y314" s="186">
        <f>IF(Y$2&lt;=AnalysisPeriod,IF(SUM($C640:Y640)&gt;0,X314+1,0),0)</f>
        <v>18</v>
      </c>
      <c r="Z314" s="186">
        <f>IF(Z$2&lt;=AnalysisPeriod,IF(SUM($C640:Z640)&gt;0,Y314+1,0),0)</f>
        <v>19</v>
      </c>
      <c r="AA314" s="186">
        <f>IF(AA$2&lt;=AnalysisPeriod,IF(SUM($C640:AA640)&gt;0,Z314+1,0),0)</f>
        <v>20</v>
      </c>
      <c r="AB314" s="186">
        <f>IF(AB$2&lt;=AnalysisPeriod,IF(SUM($C640:AB640)&gt;0,AA314+1,0),0)</f>
        <v>21</v>
      </c>
      <c r="AC314" s="186">
        <f>IF(AC$2&lt;=AnalysisPeriod,IF(SUM($C640:AC640)&gt;0,AB314+1,0),0)</f>
        <v>22</v>
      </c>
      <c r="AD314" s="186">
        <f>IF(AD$2&lt;=AnalysisPeriod,IF(SUM($C640:AD640)&gt;0,AC314+1,0),0)</f>
        <v>23</v>
      </c>
      <c r="AE314" s="186">
        <f>IF(AE$2&lt;=AnalysisPeriod,IF(SUM($C640:AE640)&gt;0,AD314+1,0),0)</f>
        <v>24</v>
      </c>
      <c r="AF314" s="186">
        <f>IF(AF$2&lt;=AnalysisPeriod,IF(SUM($C640:AF640)&gt;0,AE314+1,0),0)</f>
        <v>25</v>
      </c>
      <c r="AG314" s="186">
        <f>IF(AG$2&lt;=AnalysisPeriod,IF(SUM($C640:AG640)&gt;0,AF314+1,0),0)</f>
        <v>0</v>
      </c>
      <c r="AH314" s="186">
        <f>IF(AH$2&lt;=AnalysisPeriod,IF(SUM($C640:AH640)&gt;0,AG314+1,0),0)</f>
        <v>0</v>
      </c>
      <c r="AI314" s="186">
        <f>IF(AI$2&lt;=AnalysisPeriod,IF(SUM($C640:AI640)&gt;0,AH314+1,0),0)</f>
        <v>0</v>
      </c>
      <c r="AJ314" s="186">
        <f>IF(AJ$2&lt;=AnalysisPeriod,IF(SUM($C640:AJ640)&gt;0,AI314+1,0),0)</f>
        <v>0</v>
      </c>
      <c r="AK314" s="186">
        <f>IF(AK$2&lt;=AnalysisPeriod,IF(SUM($C640:AK640)&gt;0,AJ314+1,0),0)</f>
        <v>0</v>
      </c>
      <c r="AL314" s="186">
        <f>IF(AL$2&lt;=AnalysisPeriod,IF(SUM($C640:AL640)&gt;0,AK314+1,0),0)</f>
        <v>0</v>
      </c>
      <c r="AM314" s="186">
        <f>IF(AM$2&lt;=AnalysisPeriod,IF(SUM($C640:AM640)&gt;0,AL314+1,0),0)</f>
        <v>0</v>
      </c>
      <c r="AN314" s="186">
        <f>IF(AN$2&lt;=AnalysisPeriod,IF(SUM($C640:AN640)&gt;0,AM314+1,0),0)</f>
        <v>0</v>
      </c>
      <c r="AO314" s="186">
        <f>IF(AO$2&lt;=AnalysisPeriod,IF(SUM($C640:AO640)&gt;0,AN314+1,0),0)</f>
        <v>0</v>
      </c>
      <c r="AP314" s="186">
        <f>IF(AP$2&lt;=AnalysisPeriod,IF(SUM($C640:AP640)&gt;0,AO314+1,0),0)</f>
        <v>0</v>
      </c>
    </row>
    <row r="315" spans="1:42">
      <c r="A315" s="118">
        <f t="shared" ref="A315:A322" si="166">A314+1</f>
        <v>3</v>
      </c>
      <c r="C315" s="186">
        <f>IF(C$2&lt;=AnalysisPeriod,IF(SUM($C641:C641)&gt;0,B315+1,0),0)</f>
        <v>0</v>
      </c>
      <c r="D315" s="186">
        <f>IF(D$2&lt;=AnalysisPeriod,IF(SUM($C641:D641)&gt;0,C315+1,0),0)</f>
        <v>0</v>
      </c>
      <c r="E315" s="186">
        <f>IF(E$2&lt;=AnalysisPeriod,IF(SUM($C641:E641)&gt;0,D315+1,0),0)</f>
        <v>0</v>
      </c>
      <c r="F315" s="186">
        <f>IF(F$2&lt;=AnalysisPeriod,IF(SUM($C641:F641)&gt;0,E315+1,0),0)</f>
        <v>0</v>
      </c>
      <c r="G315" s="186">
        <f>IF(G$2&lt;=AnalysisPeriod,IF(SUM($C641:G641)&gt;0,F315+1,0),0)</f>
        <v>0</v>
      </c>
      <c r="H315" s="186">
        <f>IF(H$2&lt;=AnalysisPeriod,IF(SUM($C641:H641)&gt;0,G315+1,0),0)</f>
        <v>0</v>
      </c>
      <c r="I315" s="186">
        <f>IF(I$2&lt;=AnalysisPeriod,IF(SUM($C641:I641)&gt;0,H315+1,0),0)</f>
        <v>0</v>
      </c>
      <c r="J315" s="186">
        <f>IF(J$2&lt;=AnalysisPeriod,IF(SUM($C641:J641)&gt;0,I315+1,0),0)</f>
        <v>0</v>
      </c>
      <c r="K315" s="186">
        <f>IF(K$2&lt;=AnalysisPeriod,IF(SUM($C641:K641)&gt;0,J315+1,0),0)</f>
        <v>1</v>
      </c>
      <c r="L315" s="186">
        <f>IF(L$2&lt;=AnalysisPeriod,IF(SUM($C641:L641)&gt;0,K315+1,0),0)</f>
        <v>2</v>
      </c>
      <c r="M315" s="186">
        <f>IF(M$2&lt;=AnalysisPeriod,IF(SUM($C641:M641)&gt;0,L315+1,0),0)</f>
        <v>3</v>
      </c>
      <c r="N315" s="186">
        <f>IF(N$2&lt;=AnalysisPeriod,IF(SUM($C641:N641)&gt;0,M315+1,0),0)</f>
        <v>4</v>
      </c>
      <c r="O315" s="186">
        <f>IF(O$2&lt;=AnalysisPeriod,IF(SUM($C641:O641)&gt;0,N315+1,0),0)</f>
        <v>5</v>
      </c>
      <c r="P315" s="186">
        <f>IF(P$2&lt;=AnalysisPeriod,IF(SUM($C641:P641)&gt;0,O315+1,0),0)</f>
        <v>6</v>
      </c>
      <c r="Q315" s="186">
        <f>IF(Q$2&lt;=AnalysisPeriod,IF(SUM($C641:Q641)&gt;0,P315+1,0),0)</f>
        <v>7</v>
      </c>
      <c r="R315" s="186">
        <f>IF(R$2&lt;=AnalysisPeriod,IF(SUM($C641:R641)&gt;0,Q315+1,0),0)</f>
        <v>8</v>
      </c>
      <c r="S315" s="186">
        <f>IF(S$2&lt;=AnalysisPeriod,IF(SUM($C641:S641)&gt;0,R315+1,0),0)</f>
        <v>9</v>
      </c>
      <c r="T315" s="186">
        <f>IF(T$2&lt;=AnalysisPeriod,IF(SUM($C641:T641)&gt;0,S315+1,0),0)</f>
        <v>10</v>
      </c>
      <c r="U315" s="186">
        <f>IF(U$2&lt;=AnalysisPeriod,IF(SUM($C641:U641)&gt;0,T315+1,0),0)</f>
        <v>11</v>
      </c>
      <c r="V315" s="186">
        <f>IF(V$2&lt;=AnalysisPeriod,IF(SUM($C641:V641)&gt;0,U315+1,0),0)</f>
        <v>12</v>
      </c>
      <c r="W315" s="186">
        <f>IF(W$2&lt;=AnalysisPeriod,IF(SUM($C641:W641)&gt;0,V315+1,0),0)</f>
        <v>13</v>
      </c>
      <c r="X315" s="186">
        <f>IF(X$2&lt;=AnalysisPeriod,IF(SUM($C641:X641)&gt;0,W315+1,0),0)</f>
        <v>14</v>
      </c>
      <c r="Y315" s="186">
        <f>IF(Y$2&lt;=AnalysisPeriod,IF(SUM($C641:Y641)&gt;0,X315+1,0),0)</f>
        <v>15</v>
      </c>
      <c r="Z315" s="186">
        <f>IF(Z$2&lt;=AnalysisPeriod,IF(SUM($C641:Z641)&gt;0,Y315+1,0),0)</f>
        <v>16</v>
      </c>
      <c r="AA315" s="186">
        <f>IF(AA$2&lt;=AnalysisPeriod,IF(SUM($C641:AA641)&gt;0,Z315+1,0),0)</f>
        <v>17</v>
      </c>
      <c r="AB315" s="186">
        <f>IF(AB$2&lt;=AnalysisPeriod,IF(SUM($C641:AB641)&gt;0,AA315+1,0),0)</f>
        <v>18</v>
      </c>
      <c r="AC315" s="186">
        <f>IF(AC$2&lt;=AnalysisPeriod,IF(SUM($C641:AC641)&gt;0,AB315+1,0),0)</f>
        <v>19</v>
      </c>
      <c r="AD315" s="186">
        <f>IF(AD$2&lt;=AnalysisPeriod,IF(SUM($C641:AD641)&gt;0,AC315+1,0),0)</f>
        <v>20</v>
      </c>
      <c r="AE315" s="186">
        <f>IF(AE$2&lt;=AnalysisPeriod,IF(SUM($C641:AE641)&gt;0,AD315+1,0),0)</f>
        <v>21</v>
      </c>
      <c r="AF315" s="186">
        <f>IF(AF$2&lt;=AnalysisPeriod,IF(SUM($C641:AF641)&gt;0,AE315+1,0),0)</f>
        <v>22</v>
      </c>
      <c r="AG315" s="186">
        <f>IF(AG$2&lt;=AnalysisPeriod,IF(SUM($C641:AG641)&gt;0,AF315+1,0),0)</f>
        <v>0</v>
      </c>
      <c r="AH315" s="186">
        <f>IF(AH$2&lt;=AnalysisPeriod,IF(SUM($C641:AH641)&gt;0,AG315+1,0),0)</f>
        <v>0</v>
      </c>
      <c r="AI315" s="186">
        <f>IF(AI$2&lt;=AnalysisPeriod,IF(SUM($C641:AI641)&gt;0,AH315+1,0),0)</f>
        <v>0</v>
      </c>
      <c r="AJ315" s="186">
        <f>IF(AJ$2&lt;=AnalysisPeriod,IF(SUM($C641:AJ641)&gt;0,AI315+1,0),0)</f>
        <v>0</v>
      </c>
      <c r="AK315" s="186">
        <f>IF(AK$2&lt;=AnalysisPeriod,IF(SUM($C641:AK641)&gt;0,AJ315+1,0),0)</f>
        <v>0</v>
      </c>
      <c r="AL315" s="186">
        <f>IF(AL$2&lt;=AnalysisPeriod,IF(SUM($C641:AL641)&gt;0,AK315+1,0),0)</f>
        <v>0</v>
      </c>
      <c r="AM315" s="186">
        <f>IF(AM$2&lt;=AnalysisPeriod,IF(SUM($C641:AM641)&gt;0,AL315+1,0),0)</f>
        <v>0</v>
      </c>
      <c r="AN315" s="186">
        <f>IF(AN$2&lt;=AnalysisPeriod,IF(SUM($C641:AN641)&gt;0,AM315+1,0),0)</f>
        <v>0</v>
      </c>
      <c r="AO315" s="186">
        <f>IF(AO$2&lt;=AnalysisPeriod,IF(SUM($C641:AO641)&gt;0,AN315+1,0),0)</f>
        <v>0</v>
      </c>
      <c r="AP315" s="186">
        <f>IF(AP$2&lt;=AnalysisPeriod,IF(SUM($C641:AP641)&gt;0,AO315+1,0),0)</f>
        <v>0</v>
      </c>
    </row>
    <row r="316" spans="1:42">
      <c r="A316" s="118">
        <f t="shared" si="166"/>
        <v>4</v>
      </c>
      <c r="C316" s="186">
        <f>IF(C$2&lt;=AnalysisPeriod,IF(SUM($C642:C642)&gt;0,B316+1,0),0)</f>
        <v>0</v>
      </c>
      <c r="D316" s="186">
        <f>IF(D$2&lt;=AnalysisPeriod,IF(SUM($C642:D642)&gt;0,C316+1,0),0)</f>
        <v>0</v>
      </c>
      <c r="E316" s="186">
        <f>IF(E$2&lt;=AnalysisPeriod,IF(SUM($C642:E642)&gt;0,D316+1,0),0)</f>
        <v>0</v>
      </c>
      <c r="F316" s="186">
        <f>IF(F$2&lt;=AnalysisPeriod,IF(SUM($C642:F642)&gt;0,E316+1,0),0)</f>
        <v>0</v>
      </c>
      <c r="G316" s="186">
        <f>IF(G$2&lt;=AnalysisPeriod,IF(SUM($C642:G642)&gt;0,F316+1,0),0)</f>
        <v>0</v>
      </c>
      <c r="H316" s="186">
        <f>IF(H$2&lt;=AnalysisPeriod,IF(SUM($C642:H642)&gt;0,G316+1,0),0)</f>
        <v>0</v>
      </c>
      <c r="I316" s="186">
        <f>IF(I$2&lt;=AnalysisPeriod,IF(SUM($C642:I642)&gt;0,H316+1,0),0)</f>
        <v>0</v>
      </c>
      <c r="J316" s="186">
        <f>IF(J$2&lt;=AnalysisPeriod,IF(SUM($C642:J642)&gt;0,I316+1,0),0)</f>
        <v>0</v>
      </c>
      <c r="K316" s="186">
        <f>IF(K$2&lt;=AnalysisPeriod,IF(SUM($C642:K642)&gt;0,J316+1,0),0)</f>
        <v>0</v>
      </c>
      <c r="L316" s="186">
        <f>IF(L$2&lt;=AnalysisPeriod,IF(SUM($C642:L642)&gt;0,K316+1,0),0)</f>
        <v>0</v>
      </c>
      <c r="M316" s="186">
        <f>IF(M$2&lt;=AnalysisPeriod,IF(SUM($C642:M642)&gt;0,L316+1,0),0)</f>
        <v>0</v>
      </c>
      <c r="N316" s="186">
        <f>IF(N$2&lt;=AnalysisPeriod,IF(SUM($C642:N642)&gt;0,M316+1,0),0)</f>
        <v>1</v>
      </c>
      <c r="O316" s="186">
        <f>IF(O$2&lt;=AnalysisPeriod,IF(SUM($C642:O642)&gt;0,N316+1,0),0)</f>
        <v>2</v>
      </c>
      <c r="P316" s="186">
        <f>IF(P$2&lt;=AnalysisPeriod,IF(SUM($C642:P642)&gt;0,O316+1,0),0)</f>
        <v>3</v>
      </c>
      <c r="Q316" s="186">
        <f>IF(Q$2&lt;=AnalysisPeriod,IF(SUM($C642:Q642)&gt;0,P316+1,0),0)</f>
        <v>4</v>
      </c>
      <c r="R316" s="186">
        <f>IF(R$2&lt;=AnalysisPeriod,IF(SUM($C642:R642)&gt;0,Q316+1,0),0)</f>
        <v>5</v>
      </c>
      <c r="S316" s="186">
        <f>IF(S$2&lt;=AnalysisPeriod,IF(SUM($C642:S642)&gt;0,R316+1,0),0)</f>
        <v>6</v>
      </c>
      <c r="T316" s="186">
        <f>IF(T$2&lt;=AnalysisPeriod,IF(SUM($C642:T642)&gt;0,S316+1,0),0)</f>
        <v>7</v>
      </c>
      <c r="U316" s="186">
        <f>IF(U$2&lt;=AnalysisPeriod,IF(SUM($C642:U642)&gt;0,T316+1,0),0)</f>
        <v>8</v>
      </c>
      <c r="V316" s="186">
        <f>IF(V$2&lt;=AnalysisPeriod,IF(SUM($C642:V642)&gt;0,U316+1,0),0)</f>
        <v>9</v>
      </c>
      <c r="W316" s="186">
        <f>IF(W$2&lt;=AnalysisPeriod,IF(SUM($C642:W642)&gt;0,V316+1,0),0)</f>
        <v>10</v>
      </c>
      <c r="X316" s="186">
        <f>IF(X$2&lt;=AnalysisPeriod,IF(SUM($C642:X642)&gt;0,W316+1,0),0)</f>
        <v>11</v>
      </c>
      <c r="Y316" s="186">
        <f>IF(Y$2&lt;=AnalysisPeriod,IF(SUM($C642:Y642)&gt;0,X316+1,0),0)</f>
        <v>12</v>
      </c>
      <c r="Z316" s="186">
        <f>IF(Z$2&lt;=AnalysisPeriod,IF(SUM($C642:Z642)&gt;0,Y316+1,0),0)</f>
        <v>13</v>
      </c>
      <c r="AA316" s="186">
        <f>IF(AA$2&lt;=AnalysisPeriod,IF(SUM($C642:AA642)&gt;0,Z316+1,0),0)</f>
        <v>14</v>
      </c>
      <c r="AB316" s="186">
        <f>IF(AB$2&lt;=AnalysisPeriod,IF(SUM($C642:AB642)&gt;0,AA316+1,0),0)</f>
        <v>15</v>
      </c>
      <c r="AC316" s="186">
        <f>IF(AC$2&lt;=AnalysisPeriod,IF(SUM($C642:AC642)&gt;0,AB316+1,0),0)</f>
        <v>16</v>
      </c>
      <c r="AD316" s="186">
        <f>IF(AD$2&lt;=AnalysisPeriod,IF(SUM($C642:AD642)&gt;0,AC316+1,0),0)</f>
        <v>17</v>
      </c>
      <c r="AE316" s="186">
        <f>IF(AE$2&lt;=AnalysisPeriod,IF(SUM($C642:AE642)&gt;0,AD316+1,0),0)</f>
        <v>18</v>
      </c>
      <c r="AF316" s="186">
        <f>IF(AF$2&lt;=AnalysisPeriod,IF(SUM($C642:AF642)&gt;0,AE316+1,0),0)</f>
        <v>19</v>
      </c>
      <c r="AG316" s="186">
        <f>IF(AG$2&lt;=AnalysisPeriod,IF(SUM($C642:AG642)&gt;0,AF316+1,0),0)</f>
        <v>0</v>
      </c>
      <c r="AH316" s="186">
        <f>IF(AH$2&lt;=AnalysisPeriod,IF(SUM($C642:AH642)&gt;0,AG316+1,0),0)</f>
        <v>0</v>
      </c>
      <c r="AI316" s="186">
        <f>IF(AI$2&lt;=AnalysisPeriod,IF(SUM($C642:AI642)&gt;0,AH316+1,0),0)</f>
        <v>0</v>
      </c>
      <c r="AJ316" s="186">
        <f>IF(AJ$2&lt;=AnalysisPeriod,IF(SUM($C642:AJ642)&gt;0,AI316+1,0),0)</f>
        <v>0</v>
      </c>
      <c r="AK316" s="186">
        <f>IF(AK$2&lt;=AnalysisPeriod,IF(SUM($C642:AK642)&gt;0,AJ316+1,0),0)</f>
        <v>0</v>
      </c>
      <c r="AL316" s="186">
        <f>IF(AL$2&lt;=AnalysisPeriod,IF(SUM($C642:AL642)&gt;0,AK316+1,0),0)</f>
        <v>0</v>
      </c>
      <c r="AM316" s="186">
        <f>IF(AM$2&lt;=AnalysisPeriod,IF(SUM($C642:AM642)&gt;0,AL316+1,0),0)</f>
        <v>0</v>
      </c>
      <c r="AN316" s="186">
        <f>IF(AN$2&lt;=AnalysisPeriod,IF(SUM($C642:AN642)&gt;0,AM316+1,0),0)</f>
        <v>0</v>
      </c>
      <c r="AO316" s="186">
        <f>IF(AO$2&lt;=AnalysisPeriod,IF(SUM($C642:AO642)&gt;0,AN316+1,0),0)</f>
        <v>0</v>
      </c>
      <c r="AP316" s="186">
        <f>IF(AP$2&lt;=AnalysisPeriod,IF(SUM($C642:AP642)&gt;0,AO316+1,0),0)</f>
        <v>0</v>
      </c>
    </row>
    <row r="317" spans="1:42">
      <c r="A317" s="118">
        <f t="shared" si="166"/>
        <v>5</v>
      </c>
      <c r="C317" s="186">
        <f>IF(C$2&lt;=AnalysisPeriod,IF(SUM($C643:C643)&gt;0,B317+1,0),0)</f>
        <v>0</v>
      </c>
      <c r="D317" s="186">
        <f>IF(D$2&lt;=AnalysisPeriod,IF(SUM($C643:D643)&gt;0,C317+1,0),0)</f>
        <v>0</v>
      </c>
      <c r="E317" s="186">
        <f>IF(E$2&lt;=AnalysisPeriod,IF(SUM($C643:E643)&gt;0,D317+1,0),0)</f>
        <v>0</v>
      </c>
      <c r="F317" s="186">
        <f>IF(F$2&lt;=AnalysisPeriod,IF(SUM($C643:F643)&gt;0,E317+1,0),0)</f>
        <v>0</v>
      </c>
      <c r="G317" s="186">
        <f>IF(G$2&lt;=AnalysisPeriod,IF(SUM($C643:G643)&gt;0,F317+1,0),0)</f>
        <v>0</v>
      </c>
      <c r="H317" s="186">
        <f>IF(H$2&lt;=AnalysisPeriod,IF(SUM($C643:H643)&gt;0,G317+1,0),0)</f>
        <v>0</v>
      </c>
      <c r="I317" s="186">
        <f>IF(I$2&lt;=AnalysisPeriod,IF(SUM($C643:I643)&gt;0,H317+1,0),0)</f>
        <v>0</v>
      </c>
      <c r="J317" s="186">
        <f>IF(J$2&lt;=AnalysisPeriod,IF(SUM($C643:J643)&gt;0,I317+1,0),0)</f>
        <v>0</v>
      </c>
      <c r="K317" s="186">
        <f>IF(K$2&lt;=AnalysisPeriod,IF(SUM($C643:K643)&gt;0,J317+1,0),0)</f>
        <v>0</v>
      </c>
      <c r="L317" s="186">
        <f>IF(L$2&lt;=AnalysisPeriod,IF(SUM($C643:L643)&gt;0,K317+1,0),0)</f>
        <v>0</v>
      </c>
      <c r="M317" s="186">
        <f>IF(M$2&lt;=AnalysisPeriod,IF(SUM($C643:M643)&gt;0,L317+1,0),0)</f>
        <v>0</v>
      </c>
      <c r="N317" s="186">
        <f>IF(N$2&lt;=AnalysisPeriod,IF(SUM($C643:N643)&gt;0,M317+1,0),0)</f>
        <v>0</v>
      </c>
      <c r="O317" s="186">
        <f>IF(O$2&lt;=AnalysisPeriod,IF(SUM($C643:O643)&gt;0,N317+1,0),0)</f>
        <v>0</v>
      </c>
      <c r="P317" s="186">
        <f>IF(P$2&lt;=AnalysisPeriod,IF(SUM($C643:P643)&gt;0,O317+1,0),0)</f>
        <v>0</v>
      </c>
      <c r="Q317" s="186">
        <f>IF(Q$2&lt;=AnalysisPeriod,IF(SUM($C643:Q643)&gt;0,P317+1,0),0)</f>
        <v>1</v>
      </c>
      <c r="R317" s="186">
        <f>IF(R$2&lt;=AnalysisPeriod,IF(SUM($C643:R643)&gt;0,Q317+1,0),0)</f>
        <v>2</v>
      </c>
      <c r="S317" s="186">
        <f>IF(S$2&lt;=AnalysisPeriod,IF(SUM($C643:S643)&gt;0,R317+1,0),0)</f>
        <v>3</v>
      </c>
      <c r="T317" s="186">
        <f>IF(T$2&lt;=AnalysisPeriod,IF(SUM($C643:T643)&gt;0,S317+1,0),0)</f>
        <v>4</v>
      </c>
      <c r="U317" s="186">
        <f>IF(U$2&lt;=AnalysisPeriod,IF(SUM($C643:U643)&gt;0,T317+1,0),0)</f>
        <v>5</v>
      </c>
      <c r="V317" s="186">
        <f>IF(V$2&lt;=AnalysisPeriod,IF(SUM($C643:V643)&gt;0,U317+1,0),0)</f>
        <v>6</v>
      </c>
      <c r="W317" s="186">
        <f>IF(W$2&lt;=AnalysisPeriod,IF(SUM($C643:W643)&gt;0,V317+1,0),0)</f>
        <v>7</v>
      </c>
      <c r="X317" s="186">
        <f>IF(X$2&lt;=AnalysisPeriod,IF(SUM($C643:X643)&gt;0,W317+1,0),0)</f>
        <v>8</v>
      </c>
      <c r="Y317" s="186">
        <f>IF(Y$2&lt;=AnalysisPeriod,IF(SUM($C643:Y643)&gt;0,X317+1,0),0)</f>
        <v>9</v>
      </c>
      <c r="Z317" s="186">
        <f>IF(Z$2&lt;=AnalysisPeriod,IF(SUM($C643:Z643)&gt;0,Y317+1,0),0)</f>
        <v>10</v>
      </c>
      <c r="AA317" s="186">
        <f>IF(AA$2&lt;=AnalysisPeriod,IF(SUM($C643:AA643)&gt;0,Z317+1,0),0)</f>
        <v>11</v>
      </c>
      <c r="AB317" s="186">
        <f>IF(AB$2&lt;=AnalysisPeriod,IF(SUM($C643:AB643)&gt;0,AA317+1,0),0)</f>
        <v>12</v>
      </c>
      <c r="AC317" s="186">
        <f>IF(AC$2&lt;=AnalysisPeriod,IF(SUM($C643:AC643)&gt;0,AB317+1,0),0)</f>
        <v>13</v>
      </c>
      <c r="AD317" s="186">
        <f>IF(AD$2&lt;=AnalysisPeriod,IF(SUM($C643:AD643)&gt;0,AC317+1,0),0)</f>
        <v>14</v>
      </c>
      <c r="AE317" s="186">
        <f>IF(AE$2&lt;=AnalysisPeriod,IF(SUM($C643:AE643)&gt;0,AD317+1,0),0)</f>
        <v>15</v>
      </c>
      <c r="AF317" s="186">
        <f>IF(AF$2&lt;=AnalysisPeriod,IF(SUM($C643:AF643)&gt;0,AE317+1,0),0)</f>
        <v>16</v>
      </c>
      <c r="AG317" s="186">
        <f>IF(AG$2&lt;=AnalysisPeriod,IF(SUM($C643:AG643)&gt;0,AF317+1,0),0)</f>
        <v>0</v>
      </c>
      <c r="AH317" s="186">
        <f>IF(AH$2&lt;=AnalysisPeriod,IF(SUM($C643:AH643)&gt;0,AG317+1,0),0)</f>
        <v>0</v>
      </c>
      <c r="AI317" s="186">
        <f>IF(AI$2&lt;=AnalysisPeriod,IF(SUM($C643:AI643)&gt;0,AH317+1,0),0)</f>
        <v>0</v>
      </c>
      <c r="AJ317" s="186">
        <f>IF(AJ$2&lt;=AnalysisPeriod,IF(SUM($C643:AJ643)&gt;0,AI317+1,0),0)</f>
        <v>0</v>
      </c>
      <c r="AK317" s="186">
        <f>IF(AK$2&lt;=AnalysisPeriod,IF(SUM($C643:AK643)&gt;0,AJ317+1,0),0)</f>
        <v>0</v>
      </c>
      <c r="AL317" s="186">
        <f>IF(AL$2&lt;=AnalysisPeriod,IF(SUM($C643:AL643)&gt;0,AK317+1,0),0)</f>
        <v>0</v>
      </c>
      <c r="AM317" s="186">
        <f>IF(AM$2&lt;=AnalysisPeriod,IF(SUM($C643:AM643)&gt;0,AL317+1,0),0)</f>
        <v>0</v>
      </c>
      <c r="AN317" s="186">
        <f>IF(AN$2&lt;=AnalysisPeriod,IF(SUM($C643:AN643)&gt;0,AM317+1,0),0)</f>
        <v>0</v>
      </c>
      <c r="AO317" s="186">
        <f>IF(AO$2&lt;=AnalysisPeriod,IF(SUM($C643:AO643)&gt;0,AN317+1,0),0)</f>
        <v>0</v>
      </c>
      <c r="AP317" s="186">
        <f>IF(AP$2&lt;=AnalysisPeriod,IF(SUM($C643:AP643)&gt;0,AO317+1,0),0)</f>
        <v>0</v>
      </c>
    </row>
    <row r="318" spans="1:42">
      <c r="A318" s="118">
        <f t="shared" si="166"/>
        <v>6</v>
      </c>
      <c r="C318" s="186">
        <f>IF(C$2&lt;=AnalysisPeriod,IF(SUM($C644:C644)&gt;0,B318+1,0),0)</f>
        <v>0</v>
      </c>
      <c r="D318" s="186">
        <f>IF(D$2&lt;=AnalysisPeriod,IF(SUM($C644:D644)&gt;0,C318+1,0),0)</f>
        <v>0</v>
      </c>
      <c r="E318" s="186">
        <f>IF(E$2&lt;=AnalysisPeriod,IF(SUM($C644:E644)&gt;0,D318+1,0),0)</f>
        <v>0</v>
      </c>
      <c r="F318" s="186">
        <f>IF(F$2&lt;=AnalysisPeriod,IF(SUM($C644:F644)&gt;0,E318+1,0),0)</f>
        <v>0</v>
      </c>
      <c r="G318" s="186">
        <f>IF(G$2&lt;=AnalysisPeriod,IF(SUM($C644:G644)&gt;0,F318+1,0),0)</f>
        <v>0</v>
      </c>
      <c r="H318" s="186">
        <f>IF(H$2&lt;=AnalysisPeriod,IF(SUM($C644:H644)&gt;0,G318+1,0),0)</f>
        <v>0</v>
      </c>
      <c r="I318" s="186">
        <f>IF(I$2&lt;=AnalysisPeriod,IF(SUM($C644:I644)&gt;0,H318+1,0),0)</f>
        <v>0</v>
      </c>
      <c r="J318" s="186">
        <f>IF(J$2&lt;=AnalysisPeriod,IF(SUM($C644:J644)&gt;0,I318+1,0),0)</f>
        <v>0</v>
      </c>
      <c r="K318" s="186">
        <f>IF(K$2&lt;=AnalysisPeriod,IF(SUM($C644:K644)&gt;0,J318+1,0),0)</f>
        <v>0</v>
      </c>
      <c r="L318" s="186">
        <f>IF(L$2&lt;=AnalysisPeriod,IF(SUM($C644:L644)&gt;0,K318+1,0),0)</f>
        <v>0</v>
      </c>
      <c r="M318" s="186">
        <f>IF(M$2&lt;=AnalysisPeriod,IF(SUM($C644:M644)&gt;0,L318+1,0),0)</f>
        <v>0</v>
      </c>
      <c r="N318" s="186">
        <f>IF(N$2&lt;=AnalysisPeriod,IF(SUM($C644:N644)&gt;0,M318+1,0),0)</f>
        <v>0</v>
      </c>
      <c r="O318" s="186">
        <f>IF(O$2&lt;=AnalysisPeriod,IF(SUM($C644:O644)&gt;0,N318+1,0),0)</f>
        <v>0</v>
      </c>
      <c r="P318" s="186">
        <f>IF(P$2&lt;=AnalysisPeriod,IF(SUM($C644:P644)&gt;0,O318+1,0),0)</f>
        <v>0</v>
      </c>
      <c r="Q318" s="186">
        <f>IF(Q$2&lt;=AnalysisPeriod,IF(SUM($C644:Q644)&gt;0,P318+1,0),0)</f>
        <v>0</v>
      </c>
      <c r="R318" s="186">
        <f>IF(R$2&lt;=AnalysisPeriod,IF(SUM($C644:R644)&gt;0,Q318+1,0),0)</f>
        <v>0</v>
      </c>
      <c r="S318" s="186">
        <f>IF(S$2&lt;=AnalysisPeriod,IF(SUM($C644:S644)&gt;0,R318+1,0),0)</f>
        <v>0</v>
      </c>
      <c r="T318" s="186">
        <f>IF(T$2&lt;=AnalysisPeriod,IF(SUM($C644:T644)&gt;0,S318+1,0),0)</f>
        <v>1</v>
      </c>
      <c r="U318" s="186">
        <f>IF(U$2&lt;=AnalysisPeriod,IF(SUM($C644:U644)&gt;0,T318+1,0),0)</f>
        <v>2</v>
      </c>
      <c r="V318" s="186">
        <f>IF(V$2&lt;=AnalysisPeriod,IF(SUM($C644:V644)&gt;0,U318+1,0),0)</f>
        <v>3</v>
      </c>
      <c r="W318" s="186">
        <f>IF(W$2&lt;=AnalysisPeriod,IF(SUM($C644:W644)&gt;0,V318+1,0),0)</f>
        <v>4</v>
      </c>
      <c r="X318" s="186">
        <f>IF(X$2&lt;=AnalysisPeriod,IF(SUM($C644:X644)&gt;0,W318+1,0),0)</f>
        <v>5</v>
      </c>
      <c r="Y318" s="186">
        <f>IF(Y$2&lt;=AnalysisPeriod,IF(SUM($C644:Y644)&gt;0,X318+1,0),0)</f>
        <v>6</v>
      </c>
      <c r="Z318" s="186">
        <f>IF(Z$2&lt;=AnalysisPeriod,IF(SUM($C644:Z644)&gt;0,Y318+1,0),0)</f>
        <v>7</v>
      </c>
      <c r="AA318" s="186">
        <f>IF(AA$2&lt;=AnalysisPeriod,IF(SUM($C644:AA644)&gt;0,Z318+1,0),0)</f>
        <v>8</v>
      </c>
      <c r="AB318" s="186">
        <f>IF(AB$2&lt;=AnalysisPeriod,IF(SUM($C644:AB644)&gt;0,AA318+1,0),0)</f>
        <v>9</v>
      </c>
      <c r="AC318" s="186">
        <f>IF(AC$2&lt;=AnalysisPeriod,IF(SUM($C644:AC644)&gt;0,AB318+1,0),0)</f>
        <v>10</v>
      </c>
      <c r="AD318" s="186">
        <f>IF(AD$2&lt;=AnalysisPeriod,IF(SUM($C644:AD644)&gt;0,AC318+1,0),0)</f>
        <v>11</v>
      </c>
      <c r="AE318" s="186">
        <f>IF(AE$2&lt;=AnalysisPeriod,IF(SUM($C644:AE644)&gt;0,AD318+1,0),0)</f>
        <v>12</v>
      </c>
      <c r="AF318" s="186">
        <f>IF(AF$2&lt;=AnalysisPeriod,IF(SUM($C644:AF644)&gt;0,AE318+1,0),0)</f>
        <v>13</v>
      </c>
      <c r="AG318" s="186">
        <f>IF(AG$2&lt;=AnalysisPeriod,IF(SUM($C644:AG644)&gt;0,AF318+1,0),0)</f>
        <v>0</v>
      </c>
      <c r="AH318" s="186">
        <f>IF(AH$2&lt;=AnalysisPeriod,IF(SUM($C644:AH644)&gt;0,AG318+1,0),0)</f>
        <v>0</v>
      </c>
      <c r="AI318" s="186">
        <f>IF(AI$2&lt;=AnalysisPeriod,IF(SUM($C644:AI644)&gt;0,AH318+1,0),0)</f>
        <v>0</v>
      </c>
      <c r="AJ318" s="186">
        <f>IF(AJ$2&lt;=AnalysisPeriod,IF(SUM($C644:AJ644)&gt;0,AI318+1,0),0)</f>
        <v>0</v>
      </c>
      <c r="AK318" s="186">
        <f>IF(AK$2&lt;=AnalysisPeriod,IF(SUM($C644:AK644)&gt;0,AJ318+1,0),0)</f>
        <v>0</v>
      </c>
      <c r="AL318" s="186">
        <f>IF(AL$2&lt;=AnalysisPeriod,IF(SUM($C644:AL644)&gt;0,AK318+1,0),0)</f>
        <v>0</v>
      </c>
      <c r="AM318" s="186">
        <f>IF(AM$2&lt;=AnalysisPeriod,IF(SUM($C644:AM644)&gt;0,AL318+1,0),0)</f>
        <v>0</v>
      </c>
      <c r="AN318" s="186">
        <f>IF(AN$2&lt;=AnalysisPeriod,IF(SUM($C644:AN644)&gt;0,AM318+1,0),0)</f>
        <v>0</v>
      </c>
      <c r="AO318" s="186">
        <f>IF(AO$2&lt;=AnalysisPeriod,IF(SUM($C644:AO644)&gt;0,AN318+1,0),0)</f>
        <v>0</v>
      </c>
      <c r="AP318" s="186">
        <f>IF(AP$2&lt;=AnalysisPeriod,IF(SUM($C644:AP644)&gt;0,AO318+1,0),0)</f>
        <v>0</v>
      </c>
    </row>
    <row r="319" spans="1:42">
      <c r="A319" s="118">
        <f t="shared" si="166"/>
        <v>7</v>
      </c>
      <c r="C319" s="186">
        <f>IF(C$2&lt;=AnalysisPeriod,IF(SUM($C645:C645)&gt;0,B319+1,0),0)</f>
        <v>0</v>
      </c>
      <c r="D319" s="186">
        <f>IF(D$2&lt;=AnalysisPeriod,IF(SUM($C645:D645)&gt;0,C319+1,0),0)</f>
        <v>0</v>
      </c>
      <c r="E319" s="186">
        <f>IF(E$2&lt;=AnalysisPeriod,IF(SUM($C645:E645)&gt;0,D319+1,0),0)</f>
        <v>0</v>
      </c>
      <c r="F319" s="186">
        <f>IF(F$2&lt;=AnalysisPeriod,IF(SUM($C645:F645)&gt;0,E319+1,0),0)</f>
        <v>0</v>
      </c>
      <c r="G319" s="186">
        <f>IF(G$2&lt;=AnalysisPeriod,IF(SUM($C645:G645)&gt;0,F319+1,0),0)</f>
        <v>0</v>
      </c>
      <c r="H319" s="186">
        <f>IF(H$2&lt;=AnalysisPeriod,IF(SUM($C645:H645)&gt;0,G319+1,0),0)</f>
        <v>0</v>
      </c>
      <c r="I319" s="186">
        <f>IF(I$2&lt;=AnalysisPeriod,IF(SUM($C645:I645)&gt;0,H319+1,0),0)</f>
        <v>0</v>
      </c>
      <c r="J319" s="186">
        <f>IF(J$2&lt;=AnalysisPeriod,IF(SUM($C645:J645)&gt;0,I319+1,0),0)</f>
        <v>0</v>
      </c>
      <c r="K319" s="186">
        <f>IF(K$2&lt;=AnalysisPeriod,IF(SUM($C645:K645)&gt;0,J319+1,0),0)</f>
        <v>0</v>
      </c>
      <c r="L319" s="186">
        <f>IF(L$2&lt;=AnalysisPeriod,IF(SUM($C645:L645)&gt;0,K319+1,0),0)</f>
        <v>0</v>
      </c>
      <c r="M319" s="186">
        <f>IF(M$2&lt;=AnalysisPeriod,IF(SUM($C645:M645)&gt;0,L319+1,0),0)</f>
        <v>0</v>
      </c>
      <c r="N319" s="186">
        <f>IF(N$2&lt;=AnalysisPeriod,IF(SUM($C645:N645)&gt;0,M319+1,0),0)</f>
        <v>0</v>
      </c>
      <c r="O319" s="186">
        <f>IF(O$2&lt;=AnalysisPeriod,IF(SUM($C645:O645)&gt;0,N319+1,0),0)</f>
        <v>0</v>
      </c>
      <c r="P319" s="186">
        <f>IF(P$2&lt;=AnalysisPeriod,IF(SUM($C645:P645)&gt;0,O319+1,0),0)</f>
        <v>0</v>
      </c>
      <c r="Q319" s="186">
        <f>IF(Q$2&lt;=AnalysisPeriod,IF(SUM($C645:Q645)&gt;0,P319+1,0),0)</f>
        <v>0</v>
      </c>
      <c r="R319" s="186">
        <f>IF(R$2&lt;=AnalysisPeriod,IF(SUM($C645:R645)&gt;0,Q319+1,0),0)</f>
        <v>0</v>
      </c>
      <c r="S319" s="186">
        <f>IF(S$2&lt;=AnalysisPeriod,IF(SUM($C645:S645)&gt;0,R319+1,0),0)</f>
        <v>0</v>
      </c>
      <c r="T319" s="186">
        <f>IF(T$2&lt;=AnalysisPeriod,IF(SUM($C645:T645)&gt;0,S319+1,0),0)</f>
        <v>0</v>
      </c>
      <c r="U319" s="186">
        <f>IF(U$2&lt;=AnalysisPeriod,IF(SUM($C645:U645)&gt;0,T319+1,0),0)</f>
        <v>0</v>
      </c>
      <c r="V319" s="186">
        <f>IF(V$2&lt;=AnalysisPeriod,IF(SUM($C645:V645)&gt;0,U319+1,0),0)</f>
        <v>0</v>
      </c>
      <c r="W319" s="186">
        <f>IF(W$2&lt;=AnalysisPeriod,IF(SUM($C645:W645)&gt;0,V319+1,0),0)</f>
        <v>1</v>
      </c>
      <c r="X319" s="186">
        <f>IF(X$2&lt;=AnalysisPeriod,IF(SUM($C645:X645)&gt;0,W319+1,0),0)</f>
        <v>2</v>
      </c>
      <c r="Y319" s="186">
        <f>IF(Y$2&lt;=AnalysisPeriod,IF(SUM($C645:Y645)&gt;0,X319+1,0),0)</f>
        <v>3</v>
      </c>
      <c r="Z319" s="186">
        <f>IF(Z$2&lt;=AnalysisPeriod,IF(SUM($C645:Z645)&gt;0,Y319+1,0),0)</f>
        <v>4</v>
      </c>
      <c r="AA319" s="186">
        <f>IF(AA$2&lt;=AnalysisPeriod,IF(SUM($C645:AA645)&gt;0,Z319+1,0),0)</f>
        <v>5</v>
      </c>
      <c r="AB319" s="186">
        <f>IF(AB$2&lt;=AnalysisPeriod,IF(SUM($C645:AB645)&gt;0,AA319+1,0),0)</f>
        <v>6</v>
      </c>
      <c r="AC319" s="186">
        <f>IF(AC$2&lt;=AnalysisPeriod,IF(SUM($C645:AC645)&gt;0,AB319+1,0),0)</f>
        <v>7</v>
      </c>
      <c r="AD319" s="186">
        <f>IF(AD$2&lt;=AnalysisPeriod,IF(SUM($C645:AD645)&gt;0,AC319+1,0),0)</f>
        <v>8</v>
      </c>
      <c r="AE319" s="186">
        <f>IF(AE$2&lt;=AnalysisPeriod,IF(SUM($C645:AE645)&gt;0,AD319+1,0),0)</f>
        <v>9</v>
      </c>
      <c r="AF319" s="186">
        <f>IF(AF$2&lt;=AnalysisPeriod,IF(SUM($C645:AF645)&gt;0,AE319+1,0),0)</f>
        <v>10</v>
      </c>
      <c r="AG319" s="186">
        <f>IF(AG$2&lt;=AnalysisPeriod,IF(SUM($C645:AG645)&gt;0,AF319+1,0),0)</f>
        <v>0</v>
      </c>
      <c r="AH319" s="186">
        <f>IF(AH$2&lt;=AnalysisPeriod,IF(SUM($C645:AH645)&gt;0,AG319+1,0),0)</f>
        <v>0</v>
      </c>
      <c r="AI319" s="186">
        <f>IF(AI$2&lt;=AnalysisPeriod,IF(SUM($C645:AI645)&gt;0,AH319+1,0),0)</f>
        <v>0</v>
      </c>
      <c r="AJ319" s="186">
        <f>IF(AJ$2&lt;=AnalysisPeriod,IF(SUM($C645:AJ645)&gt;0,AI319+1,0),0)</f>
        <v>0</v>
      </c>
      <c r="AK319" s="186">
        <f>IF(AK$2&lt;=AnalysisPeriod,IF(SUM($C645:AK645)&gt;0,AJ319+1,0),0)</f>
        <v>0</v>
      </c>
      <c r="AL319" s="186">
        <f>IF(AL$2&lt;=AnalysisPeriod,IF(SUM($C645:AL645)&gt;0,AK319+1,0),0)</f>
        <v>0</v>
      </c>
      <c r="AM319" s="186">
        <f>IF(AM$2&lt;=AnalysisPeriod,IF(SUM($C645:AM645)&gt;0,AL319+1,0),0)</f>
        <v>0</v>
      </c>
      <c r="AN319" s="186">
        <f>IF(AN$2&lt;=AnalysisPeriod,IF(SUM($C645:AN645)&gt;0,AM319+1,0),0)</f>
        <v>0</v>
      </c>
      <c r="AO319" s="186">
        <f>IF(AO$2&lt;=AnalysisPeriod,IF(SUM($C645:AO645)&gt;0,AN319+1,0),0)</f>
        <v>0</v>
      </c>
      <c r="AP319" s="186">
        <f>IF(AP$2&lt;=AnalysisPeriod,IF(SUM($C645:AP645)&gt;0,AO319+1,0),0)</f>
        <v>0</v>
      </c>
    </row>
    <row r="320" spans="1:42">
      <c r="A320" s="118">
        <f t="shared" si="166"/>
        <v>8</v>
      </c>
      <c r="C320" s="186">
        <f>IF(C$2&lt;=AnalysisPeriod,IF(SUM($C646:C646)&gt;0,B320+1,0),0)</f>
        <v>0</v>
      </c>
      <c r="D320" s="186">
        <f>IF(D$2&lt;=AnalysisPeriod,IF(SUM($C646:D646)&gt;0,C320+1,0),0)</f>
        <v>0</v>
      </c>
      <c r="E320" s="186">
        <f>IF(E$2&lt;=AnalysisPeriod,IF(SUM($C646:E646)&gt;0,D320+1,0),0)</f>
        <v>0</v>
      </c>
      <c r="F320" s="186">
        <f>IF(F$2&lt;=AnalysisPeriod,IF(SUM($C646:F646)&gt;0,E320+1,0),0)</f>
        <v>0</v>
      </c>
      <c r="G320" s="186">
        <f>IF(G$2&lt;=AnalysisPeriod,IF(SUM($C646:G646)&gt;0,F320+1,0),0)</f>
        <v>0</v>
      </c>
      <c r="H320" s="186">
        <f>IF(H$2&lt;=AnalysisPeriod,IF(SUM($C646:H646)&gt;0,G320+1,0),0)</f>
        <v>0</v>
      </c>
      <c r="I320" s="186">
        <f>IF(I$2&lt;=AnalysisPeriod,IF(SUM($C646:I646)&gt;0,H320+1,0),0)</f>
        <v>0</v>
      </c>
      <c r="J320" s="186">
        <f>IF(J$2&lt;=AnalysisPeriod,IF(SUM($C646:J646)&gt;0,I320+1,0),0)</f>
        <v>0</v>
      </c>
      <c r="K320" s="186">
        <f>IF(K$2&lt;=AnalysisPeriod,IF(SUM($C646:K646)&gt;0,J320+1,0),0)</f>
        <v>0</v>
      </c>
      <c r="L320" s="186">
        <f>IF(L$2&lt;=AnalysisPeriod,IF(SUM($C646:L646)&gt;0,K320+1,0),0)</f>
        <v>0</v>
      </c>
      <c r="M320" s="186">
        <f>IF(M$2&lt;=AnalysisPeriod,IF(SUM($C646:M646)&gt;0,L320+1,0),0)</f>
        <v>0</v>
      </c>
      <c r="N320" s="186">
        <f>IF(N$2&lt;=AnalysisPeriod,IF(SUM($C646:N646)&gt;0,M320+1,0),0)</f>
        <v>0</v>
      </c>
      <c r="O320" s="186">
        <f>IF(O$2&lt;=AnalysisPeriod,IF(SUM($C646:O646)&gt;0,N320+1,0),0)</f>
        <v>0</v>
      </c>
      <c r="P320" s="186">
        <f>IF(P$2&lt;=AnalysisPeriod,IF(SUM($C646:P646)&gt;0,O320+1,0),0)</f>
        <v>0</v>
      </c>
      <c r="Q320" s="186">
        <f>IF(Q$2&lt;=AnalysisPeriod,IF(SUM($C646:Q646)&gt;0,P320+1,0),0)</f>
        <v>0</v>
      </c>
      <c r="R320" s="186">
        <f>IF(R$2&lt;=AnalysisPeriod,IF(SUM($C646:R646)&gt;0,Q320+1,0),0)</f>
        <v>0</v>
      </c>
      <c r="S320" s="186">
        <f>IF(S$2&lt;=AnalysisPeriod,IF(SUM($C646:S646)&gt;0,R320+1,0),0)</f>
        <v>0</v>
      </c>
      <c r="T320" s="186">
        <f>IF(T$2&lt;=AnalysisPeriod,IF(SUM($C646:T646)&gt;0,S320+1,0),0)</f>
        <v>0</v>
      </c>
      <c r="U320" s="186">
        <f>IF(U$2&lt;=AnalysisPeriod,IF(SUM($C646:U646)&gt;0,T320+1,0),0)</f>
        <v>0</v>
      </c>
      <c r="V320" s="186">
        <f>IF(V$2&lt;=AnalysisPeriod,IF(SUM($C646:V646)&gt;0,U320+1,0),0)</f>
        <v>0</v>
      </c>
      <c r="W320" s="186">
        <f>IF(W$2&lt;=AnalysisPeriod,IF(SUM($C646:W646)&gt;0,V320+1,0),0)</f>
        <v>0</v>
      </c>
      <c r="X320" s="186">
        <f>IF(X$2&lt;=AnalysisPeriod,IF(SUM($C646:X646)&gt;0,W320+1,0),0)</f>
        <v>0</v>
      </c>
      <c r="Y320" s="186">
        <f>IF(Y$2&lt;=AnalysisPeriod,IF(SUM($C646:Y646)&gt;0,X320+1,0),0)</f>
        <v>0</v>
      </c>
      <c r="Z320" s="186">
        <f>IF(Z$2&lt;=AnalysisPeriod,IF(SUM($C646:Z646)&gt;0,Y320+1,0),0)</f>
        <v>1</v>
      </c>
      <c r="AA320" s="186">
        <f>IF(AA$2&lt;=AnalysisPeriod,IF(SUM($C646:AA646)&gt;0,Z320+1,0),0)</f>
        <v>2</v>
      </c>
      <c r="AB320" s="186">
        <f>IF(AB$2&lt;=AnalysisPeriod,IF(SUM($C646:AB646)&gt;0,AA320+1,0),0)</f>
        <v>3</v>
      </c>
      <c r="AC320" s="186">
        <f>IF(AC$2&lt;=AnalysisPeriod,IF(SUM($C646:AC646)&gt;0,AB320+1,0),0)</f>
        <v>4</v>
      </c>
      <c r="AD320" s="186">
        <f>IF(AD$2&lt;=AnalysisPeriod,IF(SUM($C646:AD646)&gt;0,AC320+1,0),0)</f>
        <v>5</v>
      </c>
      <c r="AE320" s="186">
        <f>IF(AE$2&lt;=AnalysisPeriod,IF(SUM($C646:AE646)&gt;0,AD320+1,0),0)</f>
        <v>6</v>
      </c>
      <c r="AF320" s="186">
        <f>IF(AF$2&lt;=AnalysisPeriod,IF(SUM($C646:AF646)&gt;0,AE320+1,0),0)</f>
        <v>7</v>
      </c>
      <c r="AG320" s="186">
        <f>IF(AG$2&lt;=AnalysisPeriod,IF(SUM($C646:AG646)&gt;0,AF320+1,0),0)</f>
        <v>0</v>
      </c>
      <c r="AH320" s="186">
        <f>IF(AH$2&lt;=AnalysisPeriod,IF(SUM($C646:AH646)&gt;0,AG320+1,0),0)</f>
        <v>0</v>
      </c>
      <c r="AI320" s="186">
        <f>IF(AI$2&lt;=AnalysisPeriod,IF(SUM($C646:AI646)&gt;0,AH320+1,0),0)</f>
        <v>0</v>
      </c>
      <c r="AJ320" s="186">
        <f>IF(AJ$2&lt;=AnalysisPeriod,IF(SUM($C646:AJ646)&gt;0,AI320+1,0),0)</f>
        <v>0</v>
      </c>
      <c r="AK320" s="186">
        <f>IF(AK$2&lt;=AnalysisPeriod,IF(SUM($C646:AK646)&gt;0,AJ320+1,0),0)</f>
        <v>0</v>
      </c>
      <c r="AL320" s="186">
        <f>IF(AL$2&lt;=AnalysisPeriod,IF(SUM($C646:AL646)&gt;0,AK320+1,0),0)</f>
        <v>0</v>
      </c>
      <c r="AM320" s="186">
        <f>IF(AM$2&lt;=AnalysisPeriod,IF(SUM($C646:AM646)&gt;0,AL320+1,0),0)</f>
        <v>0</v>
      </c>
      <c r="AN320" s="186">
        <f>IF(AN$2&lt;=AnalysisPeriod,IF(SUM($C646:AN646)&gt;0,AM320+1,0),0)</f>
        <v>0</v>
      </c>
      <c r="AO320" s="186">
        <f>IF(AO$2&lt;=AnalysisPeriod,IF(SUM($C646:AO646)&gt;0,AN320+1,0),0)</f>
        <v>0</v>
      </c>
      <c r="AP320" s="186">
        <f>IF(AP$2&lt;=AnalysisPeriod,IF(SUM($C646:AP646)&gt;0,AO320+1,0),0)</f>
        <v>0</v>
      </c>
    </row>
    <row r="321" spans="1:42">
      <c r="A321" s="118">
        <f>A320+1</f>
        <v>9</v>
      </c>
      <c r="C321" s="186">
        <f>IF(C$2&lt;=AnalysisPeriod,IF(SUM($C647:C647)&gt;0,B321+1,0),0)</f>
        <v>0</v>
      </c>
      <c r="D321" s="186">
        <f>IF(D$2&lt;=AnalysisPeriod,IF(SUM($C647:D647)&gt;0,C321+1,0),0)</f>
        <v>0</v>
      </c>
      <c r="E321" s="186">
        <f>IF(E$2&lt;=AnalysisPeriod,IF(SUM($C647:E647)&gt;0,D321+1,0),0)</f>
        <v>0</v>
      </c>
      <c r="F321" s="186">
        <f>IF(F$2&lt;=AnalysisPeriod,IF(SUM($C647:F647)&gt;0,E321+1,0),0)</f>
        <v>0</v>
      </c>
      <c r="G321" s="186">
        <f>IF(G$2&lt;=AnalysisPeriod,IF(SUM($C647:G647)&gt;0,F321+1,0),0)</f>
        <v>0</v>
      </c>
      <c r="H321" s="186">
        <f>IF(H$2&lt;=AnalysisPeriod,IF(SUM($C647:H647)&gt;0,G321+1,0),0)</f>
        <v>0</v>
      </c>
      <c r="I321" s="186">
        <f>IF(I$2&lt;=AnalysisPeriod,IF(SUM($C647:I647)&gt;0,H321+1,0),0)</f>
        <v>0</v>
      </c>
      <c r="J321" s="186">
        <f>IF(J$2&lt;=AnalysisPeriod,IF(SUM($C647:J647)&gt;0,I321+1,0),0)</f>
        <v>0</v>
      </c>
      <c r="K321" s="186">
        <f>IF(K$2&lt;=AnalysisPeriod,IF(SUM($C647:K647)&gt;0,J321+1,0),0)</f>
        <v>0</v>
      </c>
      <c r="L321" s="186">
        <f>IF(L$2&lt;=AnalysisPeriod,IF(SUM($C647:L647)&gt;0,K321+1,0),0)</f>
        <v>0</v>
      </c>
      <c r="M321" s="186">
        <f>IF(M$2&lt;=AnalysisPeriod,IF(SUM($C647:M647)&gt;0,L321+1,0),0)</f>
        <v>0</v>
      </c>
      <c r="N321" s="186">
        <f>IF(N$2&lt;=AnalysisPeriod,IF(SUM($C647:N647)&gt;0,M321+1,0),0)</f>
        <v>0</v>
      </c>
      <c r="O321" s="186">
        <f>IF(O$2&lt;=AnalysisPeriod,IF(SUM($C647:O647)&gt;0,N321+1,0),0)</f>
        <v>0</v>
      </c>
      <c r="P321" s="186">
        <f>IF(P$2&lt;=AnalysisPeriod,IF(SUM($C647:P647)&gt;0,O321+1,0),0)</f>
        <v>0</v>
      </c>
      <c r="Q321" s="186">
        <f>IF(Q$2&lt;=AnalysisPeriod,IF(SUM($C647:Q647)&gt;0,P321+1,0),0)</f>
        <v>0</v>
      </c>
      <c r="R321" s="186">
        <f>IF(R$2&lt;=AnalysisPeriod,IF(SUM($C647:R647)&gt;0,Q321+1,0),0)</f>
        <v>0</v>
      </c>
      <c r="S321" s="186">
        <f>IF(S$2&lt;=AnalysisPeriod,IF(SUM($C647:S647)&gt;0,R321+1,0),0)</f>
        <v>0</v>
      </c>
      <c r="T321" s="186">
        <f>IF(T$2&lt;=AnalysisPeriod,IF(SUM($C647:T647)&gt;0,S321+1,0),0)</f>
        <v>0</v>
      </c>
      <c r="U321" s="186">
        <f>IF(U$2&lt;=AnalysisPeriod,IF(SUM($C647:U647)&gt;0,T321+1,0),0)</f>
        <v>0</v>
      </c>
      <c r="V321" s="186">
        <f>IF(V$2&lt;=AnalysisPeriod,IF(SUM($C647:V647)&gt;0,U321+1,0),0)</f>
        <v>0</v>
      </c>
      <c r="W321" s="186">
        <f>IF(W$2&lt;=AnalysisPeriod,IF(SUM($C647:W647)&gt;0,V321+1,0),0)</f>
        <v>0</v>
      </c>
      <c r="X321" s="186">
        <f>IF(X$2&lt;=AnalysisPeriod,IF(SUM($C647:X647)&gt;0,W321+1,0),0)</f>
        <v>0</v>
      </c>
      <c r="Y321" s="186">
        <f>IF(Y$2&lt;=AnalysisPeriod,IF(SUM($C647:Y647)&gt;0,X321+1,0),0)</f>
        <v>0</v>
      </c>
      <c r="Z321" s="186">
        <f>IF(Z$2&lt;=AnalysisPeriod,IF(SUM($C647:Z647)&gt;0,Y321+1,0),0)</f>
        <v>0</v>
      </c>
      <c r="AA321" s="186">
        <f>IF(AA$2&lt;=AnalysisPeriod,IF(SUM($C647:AA647)&gt;0,Z321+1,0),0)</f>
        <v>0</v>
      </c>
      <c r="AB321" s="186">
        <f>IF(AB$2&lt;=AnalysisPeriod,IF(SUM($C647:AB647)&gt;0,AA321+1,0),0)</f>
        <v>0</v>
      </c>
      <c r="AC321" s="186">
        <f>IF(AC$2&lt;=AnalysisPeriod,IF(SUM($C647:AC647)&gt;0,AB321+1,0),0)</f>
        <v>1</v>
      </c>
      <c r="AD321" s="186">
        <f>IF(AD$2&lt;=AnalysisPeriod,IF(SUM($C647:AD647)&gt;0,AC321+1,0),0)</f>
        <v>2</v>
      </c>
      <c r="AE321" s="186">
        <f>IF(AE$2&lt;=AnalysisPeriod,IF(SUM($C647:AE647)&gt;0,AD321+1,0),0)</f>
        <v>3</v>
      </c>
      <c r="AF321" s="186">
        <f>IF(AF$2&lt;=AnalysisPeriod,IF(SUM($C647:AF647)&gt;0,AE321+1,0),0)</f>
        <v>4</v>
      </c>
      <c r="AG321" s="186">
        <f>IF(AG$2&lt;=AnalysisPeriod,IF(SUM($C647:AG647)&gt;0,AF321+1,0),0)</f>
        <v>0</v>
      </c>
      <c r="AH321" s="186">
        <f>IF(AH$2&lt;=AnalysisPeriod,IF(SUM($C647:AH647)&gt;0,AG321+1,0),0)</f>
        <v>0</v>
      </c>
      <c r="AI321" s="186">
        <f>IF(AI$2&lt;=AnalysisPeriod,IF(SUM($C647:AI647)&gt;0,AH321+1,0),0)</f>
        <v>0</v>
      </c>
      <c r="AJ321" s="186">
        <f>IF(AJ$2&lt;=AnalysisPeriod,IF(SUM($C647:AJ647)&gt;0,AI321+1,0),0)</f>
        <v>0</v>
      </c>
      <c r="AK321" s="186">
        <f>IF(AK$2&lt;=AnalysisPeriod,IF(SUM($C647:AK647)&gt;0,AJ321+1,0),0)</f>
        <v>0</v>
      </c>
      <c r="AL321" s="186">
        <f>IF(AL$2&lt;=AnalysisPeriod,IF(SUM($C647:AL647)&gt;0,AK321+1,0),0)</f>
        <v>0</v>
      </c>
      <c r="AM321" s="186">
        <f>IF(AM$2&lt;=AnalysisPeriod,IF(SUM($C647:AM647)&gt;0,AL321+1,0),0)</f>
        <v>0</v>
      </c>
      <c r="AN321" s="186">
        <f>IF(AN$2&lt;=AnalysisPeriod,IF(SUM($C647:AN647)&gt;0,AM321+1,0),0)</f>
        <v>0</v>
      </c>
      <c r="AO321" s="186">
        <f>IF(AO$2&lt;=AnalysisPeriod,IF(SUM($C647:AO647)&gt;0,AN321+1,0),0)</f>
        <v>0</v>
      </c>
      <c r="AP321" s="186">
        <f>IF(AP$2&lt;=AnalysisPeriod,IF(SUM($C647:AP647)&gt;0,AO321+1,0),0)</f>
        <v>0</v>
      </c>
    </row>
    <row r="322" spans="1:42">
      <c r="A322" s="118">
        <f t="shared" si="166"/>
        <v>10</v>
      </c>
      <c r="C322" s="186">
        <f>IF(C$2&lt;=AnalysisPeriod,IF(SUM($C648:C648)&gt;0,B322+1,0),0)</f>
        <v>0</v>
      </c>
      <c r="D322" s="186">
        <f>IF(D$2&lt;=AnalysisPeriod,IF(SUM($C648:D648)&gt;0,C322+1,0),0)</f>
        <v>0</v>
      </c>
      <c r="E322" s="186">
        <f>IF(E$2&lt;=AnalysisPeriod,IF(SUM($C648:E648)&gt;0,D322+1,0),0)</f>
        <v>0</v>
      </c>
      <c r="F322" s="186">
        <f>IF(F$2&lt;=AnalysisPeriod,IF(SUM($C648:F648)&gt;0,E322+1,0),0)</f>
        <v>0</v>
      </c>
      <c r="G322" s="186">
        <f>IF(G$2&lt;=AnalysisPeriod,IF(SUM($C648:G648)&gt;0,F322+1,0),0)</f>
        <v>0</v>
      </c>
      <c r="H322" s="186">
        <f>IF(H$2&lt;=AnalysisPeriod,IF(SUM($C648:H648)&gt;0,G322+1,0),0)</f>
        <v>0</v>
      </c>
      <c r="I322" s="186">
        <f>IF(I$2&lt;=AnalysisPeriod,IF(SUM($C648:I648)&gt;0,H322+1,0),0)</f>
        <v>0</v>
      </c>
      <c r="J322" s="186">
        <f>IF(J$2&lt;=AnalysisPeriod,IF(SUM($C648:J648)&gt;0,I322+1,0),0)</f>
        <v>0</v>
      </c>
      <c r="K322" s="186">
        <f>IF(K$2&lt;=AnalysisPeriod,IF(SUM($C648:K648)&gt;0,J322+1,0),0)</f>
        <v>0</v>
      </c>
      <c r="L322" s="186">
        <f>IF(L$2&lt;=AnalysisPeriod,IF(SUM($C648:L648)&gt;0,K322+1,0),0)</f>
        <v>0</v>
      </c>
      <c r="M322" s="186">
        <f>IF(M$2&lt;=AnalysisPeriod,IF(SUM($C648:M648)&gt;0,L322+1,0),0)</f>
        <v>0</v>
      </c>
      <c r="N322" s="186">
        <f>IF(N$2&lt;=AnalysisPeriod,IF(SUM($C648:N648)&gt;0,M322+1,0),0)</f>
        <v>0</v>
      </c>
      <c r="O322" s="186">
        <f>IF(O$2&lt;=AnalysisPeriod,IF(SUM($C648:O648)&gt;0,N322+1,0),0)</f>
        <v>0</v>
      </c>
      <c r="P322" s="186">
        <f>IF(P$2&lt;=AnalysisPeriod,IF(SUM($C648:P648)&gt;0,O322+1,0),0)</f>
        <v>0</v>
      </c>
      <c r="Q322" s="186">
        <f>IF(Q$2&lt;=AnalysisPeriod,IF(SUM($C648:Q648)&gt;0,P322+1,0),0)</f>
        <v>0</v>
      </c>
      <c r="R322" s="186">
        <f>IF(R$2&lt;=AnalysisPeriod,IF(SUM($C648:R648)&gt;0,Q322+1,0),0)</f>
        <v>0</v>
      </c>
      <c r="S322" s="186">
        <f>IF(S$2&lt;=AnalysisPeriod,IF(SUM($C648:S648)&gt;0,R322+1,0),0)</f>
        <v>0</v>
      </c>
      <c r="T322" s="186">
        <f>IF(T$2&lt;=AnalysisPeriod,IF(SUM($C648:T648)&gt;0,S322+1,0),0)</f>
        <v>0</v>
      </c>
      <c r="U322" s="186">
        <f>IF(U$2&lt;=AnalysisPeriod,IF(SUM($C648:U648)&gt;0,T322+1,0),0)</f>
        <v>0</v>
      </c>
      <c r="V322" s="186">
        <f>IF(V$2&lt;=AnalysisPeriod,IF(SUM($C648:V648)&gt;0,U322+1,0),0)</f>
        <v>0</v>
      </c>
      <c r="W322" s="186">
        <f>IF(W$2&lt;=AnalysisPeriod,IF(SUM($C648:W648)&gt;0,V322+1,0),0)</f>
        <v>0</v>
      </c>
      <c r="X322" s="186">
        <f>IF(X$2&lt;=AnalysisPeriod,IF(SUM($C648:X648)&gt;0,W322+1,0),0)</f>
        <v>0</v>
      </c>
      <c r="Y322" s="186">
        <f>IF(Y$2&lt;=AnalysisPeriod,IF(SUM($C648:Y648)&gt;0,X322+1,0),0)</f>
        <v>0</v>
      </c>
      <c r="Z322" s="186">
        <f>IF(Z$2&lt;=AnalysisPeriod,IF(SUM($C648:Z648)&gt;0,Y322+1,0),0)</f>
        <v>0</v>
      </c>
      <c r="AA322" s="186">
        <f>IF(AA$2&lt;=AnalysisPeriod,IF(SUM($C648:AA648)&gt;0,Z322+1,0),0)</f>
        <v>0</v>
      </c>
      <c r="AB322" s="186">
        <f>IF(AB$2&lt;=AnalysisPeriod,IF(SUM($C648:AB648)&gt;0,AA322+1,0),0)</f>
        <v>0</v>
      </c>
      <c r="AC322" s="186">
        <f>IF(AC$2&lt;=AnalysisPeriod,IF(SUM($C648:AC648)&gt;0,AB322+1,0),0)</f>
        <v>0</v>
      </c>
      <c r="AD322" s="186">
        <f>IF(AD$2&lt;=AnalysisPeriod,IF(SUM($C648:AD648)&gt;0,AC322+1,0),0)</f>
        <v>0</v>
      </c>
      <c r="AE322" s="186">
        <f>IF(AE$2&lt;=AnalysisPeriod,IF(SUM($C648:AE648)&gt;0,AD322+1,0),0)</f>
        <v>0</v>
      </c>
      <c r="AF322" s="186">
        <f>IF(AF$2&lt;=AnalysisPeriod,IF(SUM($C648:AF648)&gt;0,AE322+1,0),0)</f>
        <v>1</v>
      </c>
      <c r="AG322" s="186">
        <f>IF(AG$2&lt;=AnalysisPeriod,IF(SUM($C648:AG648)&gt;0,AF322+1,0),0)</f>
        <v>0</v>
      </c>
      <c r="AH322" s="186">
        <f>IF(AH$2&lt;=AnalysisPeriod,IF(SUM($C648:AH648)&gt;0,AG322+1,0),0)</f>
        <v>0</v>
      </c>
      <c r="AI322" s="186">
        <f>IF(AI$2&lt;=AnalysisPeriod,IF(SUM($C648:AI648)&gt;0,AH322+1,0),0)</f>
        <v>0</v>
      </c>
      <c r="AJ322" s="186">
        <f>IF(AJ$2&lt;=AnalysisPeriod,IF(SUM($C648:AJ648)&gt;0,AI322+1,0),0)</f>
        <v>0</v>
      </c>
      <c r="AK322" s="186">
        <f>IF(AK$2&lt;=AnalysisPeriod,IF(SUM($C648:AK648)&gt;0,AJ322+1,0),0)</f>
        <v>0</v>
      </c>
      <c r="AL322" s="186">
        <f>IF(AL$2&lt;=AnalysisPeriod,IF(SUM($C648:AL648)&gt;0,AK322+1,0),0)</f>
        <v>0</v>
      </c>
      <c r="AM322" s="186">
        <f>IF(AM$2&lt;=AnalysisPeriod,IF(SUM($C648:AM648)&gt;0,AL322+1,0),0)</f>
        <v>0</v>
      </c>
      <c r="AN322" s="186">
        <f>IF(AN$2&lt;=AnalysisPeriod,IF(SUM($C648:AN648)&gt;0,AM322+1,0),0)</f>
        <v>0</v>
      </c>
      <c r="AO322" s="186">
        <f>IF(AO$2&lt;=AnalysisPeriod,IF(SUM($C648:AO648)&gt;0,AN322+1,0),0)</f>
        <v>0</v>
      </c>
      <c r="AP322" s="186">
        <f>IF(AP$2&lt;=AnalysisPeriod,IF(SUM($C648:AP648)&gt;0,AO322+1,0),0)</f>
        <v>0</v>
      </c>
    </row>
    <row r="323" spans="1:42">
      <c r="A323" s="204"/>
      <c r="C323" s="186"/>
      <c r="D323" s="186"/>
      <c r="E323" s="186"/>
      <c r="F323" s="186"/>
      <c r="G323" s="186"/>
      <c r="H323" s="186"/>
      <c r="I323" s="186"/>
      <c r="J323" s="186"/>
      <c r="K323" s="186"/>
      <c r="L323" s="186"/>
      <c r="M323" s="186"/>
      <c r="N323" s="186"/>
      <c r="O323" s="186"/>
      <c r="P323" s="186"/>
      <c r="Q323" s="186"/>
      <c r="R323" s="186"/>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row>
    <row r="324" spans="1:42">
      <c r="A324" s="204" t="s">
        <v>211</v>
      </c>
      <c r="C324" s="186"/>
      <c r="D324" s="186"/>
      <c r="E324" s="186"/>
      <c r="F324" s="186"/>
      <c r="G324" s="186"/>
      <c r="H324" s="186"/>
      <c r="I324" s="186"/>
      <c r="J324" s="186"/>
      <c r="K324" s="186"/>
      <c r="L324" s="186"/>
      <c r="M324" s="186"/>
      <c r="N324" s="186"/>
      <c r="O324" s="186"/>
      <c r="P324" s="186"/>
      <c r="Q324" s="186"/>
      <c r="R324" s="186"/>
      <c r="S324" s="186"/>
      <c r="T324" s="186"/>
      <c r="U324" s="186"/>
      <c r="V324" s="186"/>
      <c r="W324" s="186"/>
      <c r="X324" s="186"/>
      <c r="Y324" s="186"/>
      <c r="Z324" s="186"/>
      <c r="AA324" s="186"/>
      <c r="AB324" s="186"/>
      <c r="AC324" s="186"/>
      <c r="AD324" s="186"/>
      <c r="AE324" s="186"/>
      <c r="AF324" s="186"/>
      <c r="AG324" s="186"/>
      <c r="AH324" s="186"/>
      <c r="AI324" s="186"/>
      <c r="AJ324" s="186"/>
      <c r="AK324" s="186"/>
      <c r="AL324" s="186"/>
      <c r="AM324" s="186"/>
      <c r="AN324" s="186"/>
      <c r="AO324" s="186"/>
      <c r="AP324" s="186"/>
    </row>
    <row r="325" spans="1:42">
      <c r="A325" s="118">
        <v>1</v>
      </c>
      <c r="B325" s="196">
        <f t="shared" ref="B325:B334" si="167">SUM(C325:AP325)</f>
        <v>103022.49999999997</v>
      </c>
      <c r="C325" s="225">
        <f t="shared" ref="C325:AP325" si="168">LOOKUP(C313,$B$257:$AP$257,$B$258:$AP$258)*$B639</f>
        <v>0</v>
      </c>
      <c r="D325" s="186">
        <f t="shared" si="168"/>
        <v>0</v>
      </c>
      <c r="E325" s="186">
        <f t="shared" si="168"/>
        <v>20604.499999999996</v>
      </c>
      <c r="F325" s="186">
        <f t="shared" si="168"/>
        <v>32967.19999999999</v>
      </c>
      <c r="G325" s="186">
        <f t="shared" si="168"/>
        <v>19780.319999999996</v>
      </c>
      <c r="H325" s="186">
        <f t="shared" si="168"/>
        <v>11868.191999999995</v>
      </c>
      <c r="I325" s="186">
        <f t="shared" si="168"/>
        <v>11868.191999999995</v>
      </c>
      <c r="J325" s="186">
        <f t="shared" si="168"/>
        <v>5934.0959999999977</v>
      </c>
      <c r="K325" s="186">
        <f t="shared" si="168"/>
        <v>0</v>
      </c>
      <c r="L325" s="186">
        <f t="shared" si="168"/>
        <v>0</v>
      </c>
      <c r="M325" s="186">
        <f t="shared" si="168"/>
        <v>0</v>
      </c>
      <c r="N325" s="186">
        <f t="shared" si="168"/>
        <v>0</v>
      </c>
      <c r="O325" s="186">
        <f t="shared" si="168"/>
        <v>0</v>
      </c>
      <c r="P325" s="186">
        <f t="shared" si="168"/>
        <v>0</v>
      </c>
      <c r="Q325" s="186">
        <f t="shared" si="168"/>
        <v>0</v>
      </c>
      <c r="R325" s="186">
        <f t="shared" si="168"/>
        <v>0</v>
      </c>
      <c r="S325" s="186">
        <f t="shared" si="168"/>
        <v>0</v>
      </c>
      <c r="T325" s="186">
        <f t="shared" si="168"/>
        <v>0</v>
      </c>
      <c r="U325" s="186">
        <f t="shared" si="168"/>
        <v>0</v>
      </c>
      <c r="V325" s="186">
        <f t="shared" si="168"/>
        <v>0</v>
      </c>
      <c r="W325" s="186">
        <f t="shared" si="168"/>
        <v>0</v>
      </c>
      <c r="X325" s="186">
        <f t="shared" si="168"/>
        <v>0</v>
      </c>
      <c r="Y325" s="186">
        <f t="shared" si="168"/>
        <v>0</v>
      </c>
      <c r="Z325" s="186">
        <f t="shared" si="168"/>
        <v>0</v>
      </c>
      <c r="AA325" s="186">
        <f t="shared" si="168"/>
        <v>0</v>
      </c>
      <c r="AB325" s="186">
        <f t="shared" si="168"/>
        <v>0</v>
      </c>
      <c r="AC325" s="186">
        <f t="shared" si="168"/>
        <v>0</v>
      </c>
      <c r="AD325" s="186">
        <f t="shared" si="168"/>
        <v>0</v>
      </c>
      <c r="AE325" s="186">
        <f t="shared" si="168"/>
        <v>0</v>
      </c>
      <c r="AF325" s="186">
        <f t="shared" si="168"/>
        <v>0</v>
      </c>
      <c r="AG325" s="186">
        <f t="shared" si="168"/>
        <v>0</v>
      </c>
      <c r="AH325" s="186">
        <f t="shared" si="168"/>
        <v>0</v>
      </c>
      <c r="AI325" s="186">
        <f t="shared" si="168"/>
        <v>0</v>
      </c>
      <c r="AJ325" s="186">
        <f t="shared" si="168"/>
        <v>0</v>
      </c>
      <c r="AK325" s="186">
        <f t="shared" si="168"/>
        <v>0</v>
      </c>
      <c r="AL325" s="186">
        <f t="shared" si="168"/>
        <v>0</v>
      </c>
      <c r="AM325" s="186">
        <f t="shared" si="168"/>
        <v>0</v>
      </c>
      <c r="AN325" s="186">
        <f t="shared" si="168"/>
        <v>0</v>
      </c>
      <c r="AO325" s="186">
        <f t="shared" si="168"/>
        <v>0</v>
      </c>
      <c r="AP325" s="186">
        <f t="shared" si="168"/>
        <v>0</v>
      </c>
    </row>
    <row r="326" spans="1:42">
      <c r="A326" s="118">
        <f>A325+1</f>
        <v>2</v>
      </c>
      <c r="B326" s="196">
        <f t="shared" si="167"/>
        <v>107728.40038843744</v>
      </c>
      <c r="C326" s="225">
        <f t="shared" ref="C326:AP326" si="169">LOOKUP(C314,$B$257:$AP$257,$B$258:$AP$258)*$B640</f>
        <v>0</v>
      </c>
      <c r="D326" s="186">
        <f t="shared" si="169"/>
        <v>0</v>
      </c>
      <c r="E326" s="186">
        <f t="shared" si="169"/>
        <v>0</v>
      </c>
      <c r="F326" s="186">
        <f t="shared" si="169"/>
        <v>0</v>
      </c>
      <c r="G326" s="186">
        <f t="shared" si="169"/>
        <v>0</v>
      </c>
      <c r="H326" s="186">
        <f t="shared" si="169"/>
        <v>21545.680077687488</v>
      </c>
      <c r="I326" s="186">
        <f t="shared" si="169"/>
        <v>34473.088124299975</v>
      </c>
      <c r="J326" s="186">
        <f t="shared" si="169"/>
        <v>20683.852874579985</v>
      </c>
      <c r="K326" s="186">
        <f t="shared" si="169"/>
        <v>12410.311724747991</v>
      </c>
      <c r="L326" s="186">
        <f t="shared" si="169"/>
        <v>12410.311724747991</v>
      </c>
      <c r="M326" s="186">
        <f t="shared" si="169"/>
        <v>6205.1558623739957</v>
      </c>
      <c r="N326" s="186">
        <f t="shared" si="169"/>
        <v>0</v>
      </c>
      <c r="O326" s="186">
        <f t="shared" si="169"/>
        <v>0</v>
      </c>
      <c r="P326" s="186">
        <f t="shared" si="169"/>
        <v>0</v>
      </c>
      <c r="Q326" s="186">
        <f t="shared" si="169"/>
        <v>0</v>
      </c>
      <c r="R326" s="186">
        <f t="shared" si="169"/>
        <v>0</v>
      </c>
      <c r="S326" s="186">
        <f t="shared" si="169"/>
        <v>0</v>
      </c>
      <c r="T326" s="186">
        <f t="shared" si="169"/>
        <v>0</v>
      </c>
      <c r="U326" s="186">
        <f t="shared" si="169"/>
        <v>0</v>
      </c>
      <c r="V326" s="186">
        <f t="shared" si="169"/>
        <v>0</v>
      </c>
      <c r="W326" s="186">
        <f t="shared" si="169"/>
        <v>0</v>
      </c>
      <c r="X326" s="186">
        <f t="shared" si="169"/>
        <v>0</v>
      </c>
      <c r="Y326" s="186">
        <f t="shared" si="169"/>
        <v>0</v>
      </c>
      <c r="Z326" s="186">
        <f t="shared" si="169"/>
        <v>0</v>
      </c>
      <c r="AA326" s="186">
        <f t="shared" si="169"/>
        <v>0</v>
      </c>
      <c r="AB326" s="186">
        <f t="shared" si="169"/>
        <v>0</v>
      </c>
      <c r="AC326" s="186">
        <f t="shared" si="169"/>
        <v>0</v>
      </c>
      <c r="AD326" s="186">
        <f t="shared" si="169"/>
        <v>0</v>
      </c>
      <c r="AE326" s="186">
        <f t="shared" si="169"/>
        <v>0</v>
      </c>
      <c r="AF326" s="186">
        <f t="shared" si="169"/>
        <v>0</v>
      </c>
      <c r="AG326" s="186">
        <f t="shared" si="169"/>
        <v>0</v>
      </c>
      <c r="AH326" s="186">
        <f t="shared" si="169"/>
        <v>0</v>
      </c>
      <c r="AI326" s="186">
        <f t="shared" si="169"/>
        <v>0</v>
      </c>
      <c r="AJ326" s="186">
        <f t="shared" si="169"/>
        <v>0</v>
      </c>
      <c r="AK326" s="186">
        <f t="shared" si="169"/>
        <v>0</v>
      </c>
      <c r="AL326" s="186">
        <f t="shared" si="169"/>
        <v>0</v>
      </c>
      <c r="AM326" s="186">
        <f t="shared" si="169"/>
        <v>0</v>
      </c>
      <c r="AN326" s="186">
        <f t="shared" si="169"/>
        <v>0</v>
      </c>
      <c r="AO326" s="186">
        <f t="shared" si="169"/>
        <v>0</v>
      </c>
      <c r="AP326" s="186">
        <f t="shared" si="169"/>
        <v>0</v>
      </c>
    </row>
    <row r="327" spans="1:42">
      <c r="A327" s="118">
        <f t="shared" ref="A327:A334" si="170">A326+1</f>
        <v>3</v>
      </c>
      <c r="B327" s="196">
        <f t="shared" si="167"/>
        <v>112649.25865953058</v>
      </c>
      <c r="C327" s="225">
        <f t="shared" ref="C327:AP327" si="171">LOOKUP(C315,$B$257:$AP$257,$B$258:$AP$258)*$B641</f>
        <v>0</v>
      </c>
      <c r="D327" s="186">
        <f t="shared" si="171"/>
        <v>0</v>
      </c>
      <c r="E327" s="186">
        <f t="shared" si="171"/>
        <v>0</v>
      </c>
      <c r="F327" s="186">
        <f t="shared" si="171"/>
        <v>0</v>
      </c>
      <c r="G327" s="186">
        <f t="shared" si="171"/>
        <v>0</v>
      </c>
      <c r="H327" s="186">
        <f t="shared" si="171"/>
        <v>0</v>
      </c>
      <c r="I327" s="186">
        <f t="shared" si="171"/>
        <v>0</v>
      </c>
      <c r="J327" s="186">
        <f t="shared" si="171"/>
        <v>0</v>
      </c>
      <c r="K327" s="186">
        <f t="shared" si="171"/>
        <v>22529.851731906117</v>
      </c>
      <c r="L327" s="186">
        <f t="shared" si="171"/>
        <v>36047.762771049784</v>
      </c>
      <c r="M327" s="186">
        <f t="shared" si="171"/>
        <v>21628.65766262987</v>
      </c>
      <c r="N327" s="186">
        <f t="shared" si="171"/>
        <v>12977.194597577922</v>
      </c>
      <c r="O327" s="186">
        <f t="shared" si="171"/>
        <v>12977.194597577922</v>
      </c>
      <c r="P327" s="186">
        <f t="shared" si="171"/>
        <v>6488.5972987889609</v>
      </c>
      <c r="Q327" s="186">
        <f t="shared" si="171"/>
        <v>0</v>
      </c>
      <c r="R327" s="186">
        <f t="shared" si="171"/>
        <v>0</v>
      </c>
      <c r="S327" s="186">
        <f t="shared" si="171"/>
        <v>0</v>
      </c>
      <c r="T327" s="186">
        <f t="shared" si="171"/>
        <v>0</v>
      </c>
      <c r="U327" s="186">
        <f t="shared" si="171"/>
        <v>0</v>
      </c>
      <c r="V327" s="186">
        <f t="shared" si="171"/>
        <v>0</v>
      </c>
      <c r="W327" s="186">
        <f t="shared" si="171"/>
        <v>0</v>
      </c>
      <c r="X327" s="186">
        <f t="shared" si="171"/>
        <v>0</v>
      </c>
      <c r="Y327" s="186">
        <f t="shared" si="171"/>
        <v>0</v>
      </c>
      <c r="Z327" s="186">
        <f t="shared" si="171"/>
        <v>0</v>
      </c>
      <c r="AA327" s="186">
        <f t="shared" si="171"/>
        <v>0</v>
      </c>
      <c r="AB327" s="186">
        <f t="shared" si="171"/>
        <v>0</v>
      </c>
      <c r="AC327" s="186">
        <f t="shared" si="171"/>
        <v>0</v>
      </c>
      <c r="AD327" s="186">
        <f t="shared" si="171"/>
        <v>0</v>
      </c>
      <c r="AE327" s="186">
        <f t="shared" si="171"/>
        <v>0</v>
      </c>
      <c r="AF327" s="186">
        <f t="shared" si="171"/>
        <v>0</v>
      </c>
      <c r="AG327" s="186">
        <f t="shared" si="171"/>
        <v>0</v>
      </c>
      <c r="AH327" s="186">
        <f t="shared" si="171"/>
        <v>0</v>
      </c>
      <c r="AI327" s="186">
        <f t="shared" si="171"/>
        <v>0</v>
      </c>
      <c r="AJ327" s="186">
        <f t="shared" si="171"/>
        <v>0</v>
      </c>
      <c r="AK327" s="186">
        <f t="shared" si="171"/>
        <v>0</v>
      </c>
      <c r="AL327" s="186">
        <f t="shared" si="171"/>
        <v>0</v>
      </c>
      <c r="AM327" s="186">
        <f t="shared" si="171"/>
        <v>0</v>
      </c>
      <c r="AN327" s="186">
        <f t="shared" si="171"/>
        <v>0</v>
      </c>
      <c r="AO327" s="186">
        <f t="shared" si="171"/>
        <v>0</v>
      </c>
      <c r="AP327" s="186">
        <f t="shared" si="171"/>
        <v>0</v>
      </c>
    </row>
    <row r="328" spans="1:42">
      <c r="A328" s="118">
        <f t="shared" si="170"/>
        <v>4</v>
      </c>
      <c r="B328" s="196">
        <f t="shared" si="167"/>
        <v>117794.89374005256</v>
      </c>
      <c r="C328" s="225">
        <f t="shared" ref="C328:AP328" si="172">LOOKUP(C316,$B$257:$AP$257,$B$258:$AP$258)*$B642</f>
        <v>0</v>
      </c>
      <c r="D328" s="186">
        <f t="shared" si="172"/>
        <v>0</v>
      </c>
      <c r="E328" s="186">
        <f t="shared" si="172"/>
        <v>0</v>
      </c>
      <c r="F328" s="186">
        <f t="shared" si="172"/>
        <v>0</v>
      </c>
      <c r="G328" s="186">
        <f t="shared" si="172"/>
        <v>0</v>
      </c>
      <c r="H328" s="186">
        <f t="shared" si="172"/>
        <v>0</v>
      </c>
      <c r="I328" s="186">
        <f t="shared" si="172"/>
        <v>0</v>
      </c>
      <c r="J328" s="186">
        <f t="shared" si="172"/>
        <v>0</v>
      </c>
      <c r="K328" s="186">
        <f t="shared" si="172"/>
        <v>0</v>
      </c>
      <c r="L328" s="186">
        <f t="shared" si="172"/>
        <v>0</v>
      </c>
      <c r="M328" s="186">
        <f t="shared" si="172"/>
        <v>0</v>
      </c>
      <c r="N328" s="186">
        <f t="shared" si="172"/>
        <v>23558.978748010515</v>
      </c>
      <c r="O328" s="186">
        <f t="shared" si="172"/>
        <v>37694.365996816821</v>
      </c>
      <c r="P328" s="186">
        <f t="shared" si="172"/>
        <v>22616.619598090092</v>
      </c>
      <c r="Q328" s="186">
        <f t="shared" si="172"/>
        <v>13569.971758854055</v>
      </c>
      <c r="R328" s="186">
        <f t="shared" si="172"/>
        <v>13569.971758854055</v>
      </c>
      <c r="S328" s="186">
        <f t="shared" si="172"/>
        <v>6784.9858794270276</v>
      </c>
      <c r="T328" s="186">
        <f t="shared" si="172"/>
        <v>0</v>
      </c>
      <c r="U328" s="186">
        <f t="shared" si="172"/>
        <v>0</v>
      </c>
      <c r="V328" s="186">
        <f t="shared" si="172"/>
        <v>0</v>
      </c>
      <c r="W328" s="186">
        <f t="shared" si="172"/>
        <v>0</v>
      </c>
      <c r="X328" s="186">
        <f t="shared" si="172"/>
        <v>0</v>
      </c>
      <c r="Y328" s="186">
        <f t="shared" si="172"/>
        <v>0</v>
      </c>
      <c r="Z328" s="186">
        <f t="shared" si="172"/>
        <v>0</v>
      </c>
      <c r="AA328" s="186">
        <f t="shared" si="172"/>
        <v>0</v>
      </c>
      <c r="AB328" s="186">
        <f t="shared" si="172"/>
        <v>0</v>
      </c>
      <c r="AC328" s="186">
        <f t="shared" si="172"/>
        <v>0</v>
      </c>
      <c r="AD328" s="186">
        <f t="shared" si="172"/>
        <v>0</v>
      </c>
      <c r="AE328" s="186">
        <f t="shared" si="172"/>
        <v>0</v>
      </c>
      <c r="AF328" s="186">
        <f t="shared" si="172"/>
        <v>0</v>
      </c>
      <c r="AG328" s="186">
        <f t="shared" si="172"/>
        <v>0</v>
      </c>
      <c r="AH328" s="186">
        <f t="shared" si="172"/>
        <v>0</v>
      </c>
      <c r="AI328" s="186">
        <f t="shared" si="172"/>
        <v>0</v>
      </c>
      <c r="AJ328" s="186">
        <f t="shared" si="172"/>
        <v>0</v>
      </c>
      <c r="AK328" s="186">
        <f t="shared" si="172"/>
        <v>0</v>
      </c>
      <c r="AL328" s="186">
        <f t="shared" si="172"/>
        <v>0</v>
      </c>
      <c r="AM328" s="186">
        <f t="shared" si="172"/>
        <v>0</v>
      </c>
      <c r="AN328" s="186">
        <f t="shared" si="172"/>
        <v>0</v>
      </c>
      <c r="AO328" s="186">
        <f t="shared" si="172"/>
        <v>0</v>
      </c>
      <c r="AP328" s="186">
        <f t="shared" si="172"/>
        <v>0</v>
      </c>
    </row>
    <row r="329" spans="1:42">
      <c r="A329" s="118">
        <f t="shared" si="170"/>
        <v>5</v>
      </c>
      <c r="B329" s="196">
        <f t="shared" si="167"/>
        <v>123175.57306939577</v>
      </c>
      <c r="C329" s="225">
        <f t="shared" ref="C329:AP329" si="173">LOOKUP(C317,$B$257:$AP$257,$B$258:$AP$258)*$B643</f>
        <v>0</v>
      </c>
      <c r="D329" s="186">
        <f t="shared" si="173"/>
        <v>0</v>
      </c>
      <c r="E329" s="186">
        <f t="shared" si="173"/>
        <v>0</v>
      </c>
      <c r="F329" s="186">
        <f t="shared" si="173"/>
        <v>0</v>
      </c>
      <c r="G329" s="186">
        <f t="shared" si="173"/>
        <v>0</v>
      </c>
      <c r="H329" s="186">
        <f t="shared" si="173"/>
        <v>0</v>
      </c>
      <c r="I329" s="186">
        <f t="shared" si="173"/>
        <v>0</v>
      </c>
      <c r="J329" s="186">
        <f t="shared" si="173"/>
        <v>0</v>
      </c>
      <c r="K329" s="186">
        <f t="shared" si="173"/>
        <v>0</v>
      </c>
      <c r="L329" s="186">
        <f t="shared" si="173"/>
        <v>0</v>
      </c>
      <c r="M329" s="186">
        <f t="shared" si="173"/>
        <v>0</v>
      </c>
      <c r="N329" s="186">
        <f t="shared" si="173"/>
        <v>0</v>
      </c>
      <c r="O329" s="186">
        <f t="shared" si="173"/>
        <v>0</v>
      </c>
      <c r="P329" s="186">
        <f t="shared" si="173"/>
        <v>0</v>
      </c>
      <c r="Q329" s="186">
        <f t="shared" si="173"/>
        <v>24635.114613879156</v>
      </c>
      <c r="R329" s="186">
        <f t="shared" si="173"/>
        <v>39416.183382206647</v>
      </c>
      <c r="S329" s="186">
        <f t="shared" si="173"/>
        <v>23649.710029323989</v>
      </c>
      <c r="T329" s="186">
        <f t="shared" si="173"/>
        <v>14189.826017594392</v>
      </c>
      <c r="U329" s="186">
        <f t="shared" si="173"/>
        <v>14189.826017594392</v>
      </c>
      <c r="V329" s="186">
        <f t="shared" si="173"/>
        <v>7094.9130087971962</v>
      </c>
      <c r="W329" s="186">
        <f t="shared" si="173"/>
        <v>0</v>
      </c>
      <c r="X329" s="186">
        <f t="shared" si="173"/>
        <v>0</v>
      </c>
      <c r="Y329" s="186">
        <f t="shared" si="173"/>
        <v>0</v>
      </c>
      <c r="Z329" s="186">
        <f t="shared" si="173"/>
        <v>0</v>
      </c>
      <c r="AA329" s="186">
        <f t="shared" si="173"/>
        <v>0</v>
      </c>
      <c r="AB329" s="186">
        <f t="shared" si="173"/>
        <v>0</v>
      </c>
      <c r="AC329" s="186">
        <f t="shared" si="173"/>
        <v>0</v>
      </c>
      <c r="AD329" s="186">
        <f t="shared" si="173"/>
        <v>0</v>
      </c>
      <c r="AE329" s="186">
        <f t="shared" si="173"/>
        <v>0</v>
      </c>
      <c r="AF329" s="186">
        <f t="shared" si="173"/>
        <v>0</v>
      </c>
      <c r="AG329" s="186">
        <f t="shared" si="173"/>
        <v>0</v>
      </c>
      <c r="AH329" s="186">
        <f t="shared" si="173"/>
        <v>0</v>
      </c>
      <c r="AI329" s="186">
        <f t="shared" si="173"/>
        <v>0</v>
      </c>
      <c r="AJ329" s="186">
        <f t="shared" si="173"/>
        <v>0</v>
      </c>
      <c r="AK329" s="186">
        <f t="shared" si="173"/>
        <v>0</v>
      </c>
      <c r="AL329" s="186">
        <f t="shared" si="173"/>
        <v>0</v>
      </c>
      <c r="AM329" s="186">
        <f t="shared" si="173"/>
        <v>0</v>
      </c>
      <c r="AN329" s="186">
        <f t="shared" si="173"/>
        <v>0</v>
      </c>
      <c r="AO329" s="186">
        <f t="shared" si="173"/>
        <v>0</v>
      </c>
      <c r="AP329" s="186">
        <f t="shared" si="173"/>
        <v>0</v>
      </c>
    </row>
    <row r="330" spans="1:42">
      <c r="A330" s="118">
        <f t="shared" si="170"/>
        <v>6</v>
      </c>
      <c r="B330" s="196">
        <f t="shared" si="167"/>
        <v>128802.03308689946</v>
      </c>
      <c r="C330" s="225">
        <f t="shared" ref="C330:AP330" si="174">LOOKUP(C318,$B$257:$AP$257,$B$258:$AP$258)*$B644</f>
        <v>0</v>
      </c>
      <c r="D330" s="186">
        <f t="shared" si="174"/>
        <v>0</v>
      </c>
      <c r="E330" s="186">
        <f t="shared" si="174"/>
        <v>0</v>
      </c>
      <c r="F330" s="186">
        <f t="shared" si="174"/>
        <v>0</v>
      </c>
      <c r="G330" s="186">
        <f t="shared" si="174"/>
        <v>0</v>
      </c>
      <c r="H330" s="186">
        <f t="shared" si="174"/>
        <v>0</v>
      </c>
      <c r="I330" s="186">
        <f t="shared" si="174"/>
        <v>0</v>
      </c>
      <c r="J330" s="186">
        <f t="shared" si="174"/>
        <v>0</v>
      </c>
      <c r="K330" s="186">
        <f t="shared" si="174"/>
        <v>0</v>
      </c>
      <c r="L330" s="186">
        <f t="shared" si="174"/>
        <v>0</v>
      </c>
      <c r="M330" s="186">
        <f t="shared" si="174"/>
        <v>0</v>
      </c>
      <c r="N330" s="186">
        <f t="shared" si="174"/>
        <v>0</v>
      </c>
      <c r="O330" s="186">
        <f t="shared" si="174"/>
        <v>0</v>
      </c>
      <c r="P330" s="186">
        <f t="shared" si="174"/>
        <v>0</v>
      </c>
      <c r="Q330" s="186">
        <f t="shared" si="174"/>
        <v>0</v>
      </c>
      <c r="R330" s="186">
        <f t="shared" si="174"/>
        <v>0</v>
      </c>
      <c r="S330" s="186">
        <f t="shared" si="174"/>
        <v>0</v>
      </c>
      <c r="T330" s="186">
        <f t="shared" si="174"/>
        <v>25760.406617379896</v>
      </c>
      <c r="U330" s="186">
        <f t="shared" si="174"/>
        <v>41216.650587807831</v>
      </c>
      <c r="V330" s="186">
        <f t="shared" si="174"/>
        <v>24729.990352684701</v>
      </c>
      <c r="W330" s="186">
        <f t="shared" si="174"/>
        <v>14837.99421161082</v>
      </c>
      <c r="X330" s="186">
        <f t="shared" si="174"/>
        <v>14837.99421161082</v>
      </c>
      <c r="Y330" s="186">
        <f t="shared" si="174"/>
        <v>7418.9971058054098</v>
      </c>
      <c r="Z330" s="186">
        <f t="shared" si="174"/>
        <v>0</v>
      </c>
      <c r="AA330" s="186">
        <f t="shared" si="174"/>
        <v>0</v>
      </c>
      <c r="AB330" s="186">
        <f t="shared" si="174"/>
        <v>0</v>
      </c>
      <c r="AC330" s="186">
        <f t="shared" si="174"/>
        <v>0</v>
      </c>
      <c r="AD330" s="186">
        <f t="shared" si="174"/>
        <v>0</v>
      </c>
      <c r="AE330" s="186">
        <f t="shared" si="174"/>
        <v>0</v>
      </c>
      <c r="AF330" s="186">
        <f t="shared" si="174"/>
        <v>0</v>
      </c>
      <c r="AG330" s="186">
        <f t="shared" si="174"/>
        <v>0</v>
      </c>
      <c r="AH330" s="186">
        <f t="shared" si="174"/>
        <v>0</v>
      </c>
      <c r="AI330" s="186">
        <f t="shared" si="174"/>
        <v>0</v>
      </c>
      <c r="AJ330" s="186">
        <f t="shared" si="174"/>
        <v>0</v>
      </c>
      <c r="AK330" s="186">
        <f t="shared" si="174"/>
        <v>0</v>
      </c>
      <c r="AL330" s="186">
        <f t="shared" si="174"/>
        <v>0</v>
      </c>
      <c r="AM330" s="186">
        <f t="shared" si="174"/>
        <v>0</v>
      </c>
      <c r="AN330" s="186">
        <f t="shared" si="174"/>
        <v>0</v>
      </c>
      <c r="AO330" s="186">
        <f t="shared" si="174"/>
        <v>0</v>
      </c>
      <c r="AP330" s="186">
        <f t="shared" si="174"/>
        <v>0</v>
      </c>
    </row>
    <row r="331" spans="1:42">
      <c r="A331" s="118">
        <f t="shared" si="170"/>
        <v>7</v>
      </c>
      <c r="B331" s="196">
        <f t="shared" si="167"/>
        <v>134685.50065500522</v>
      </c>
      <c r="C331" s="225">
        <f t="shared" ref="C331:AP331" si="175">LOOKUP(C319,$B$257:$AP$257,$B$258:$AP$258)*$B645</f>
        <v>0</v>
      </c>
      <c r="D331" s="186">
        <f t="shared" si="175"/>
        <v>0</v>
      </c>
      <c r="E331" s="186">
        <f t="shared" si="175"/>
        <v>0</v>
      </c>
      <c r="F331" s="186">
        <f t="shared" si="175"/>
        <v>0</v>
      </c>
      <c r="G331" s="186">
        <f t="shared" si="175"/>
        <v>0</v>
      </c>
      <c r="H331" s="186">
        <f t="shared" si="175"/>
        <v>0</v>
      </c>
      <c r="I331" s="186">
        <f t="shared" si="175"/>
        <v>0</v>
      </c>
      <c r="J331" s="186">
        <f t="shared" si="175"/>
        <v>0</v>
      </c>
      <c r="K331" s="186">
        <f t="shared" si="175"/>
        <v>0</v>
      </c>
      <c r="L331" s="186">
        <f t="shared" si="175"/>
        <v>0</v>
      </c>
      <c r="M331" s="186">
        <f t="shared" si="175"/>
        <v>0</v>
      </c>
      <c r="N331" s="186">
        <f t="shared" si="175"/>
        <v>0</v>
      </c>
      <c r="O331" s="186">
        <f t="shared" si="175"/>
        <v>0</v>
      </c>
      <c r="P331" s="186">
        <f t="shared" si="175"/>
        <v>0</v>
      </c>
      <c r="Q331" s="186">
        <f t="shared" si="175"/>
        <v>0</v>
      </c>
      <c r="R331" s="186">
        <f t="shared" si="175"/>
        <v>0</v>
      </c>
      <c r="S331" s="186">
        <f t="shared" si="175"/>
        <v>0</v>
      </c>
      <c r="T331" s="186">
        <f t="shared" si="175"/>
        <v>0</v>
      </c>
      <c r="U331" s="186">
        <f t="shared" si="175"/>
        <v>0</v>
      </c>
      <c r="V331" s="186">
        <f t="shared" si="175"/>
        <v>0</v>
      </c>
      <c r="W331" s="186">
        <f t="shared" si="175"/>
        <v>26937.100131001047</v>
      </c>
      <c r="X331" s="186">
        <f t="shared" si="175"/>
        <v>43099.360209601669</v>
      </c>
      <c r="Y331" s="186">
        <f t="shared" si="175"/>
        <v>25859.616125761004</v>
      </c>
      <c r="Z331" s="186">
        <f t="shared" si="175"/>
        <v>15515.7696754566</v>
      </c>
      <c r="AA331" s="186">
        <f t="shared" si="175"/>
        <v>15515.7696754566</v>
      </c>
      <c r="AB331" s="186">
        <f t="shared" si="175"/>
        <v>7757.8848377283002</v>
      </c>
      <c r="AC331" s="186">
        <f t="shared" si="175"/>
        <v>0</v>
      </c>
      <c r="AD331" s="186">
        <f t="shared" si="175"/>
        <v>0</v>
      </c>
      <c r="AE331" s="186">
        <f t="shared" si="175"/>
        <v>0</v>
      </c>
      <c r="AF331" s="186">
        <f t="shared" si="175"/>
        <v>0</v>
      </c>
      <c r="AG331" s="186">
        <f t="shared" si="175"/>
        <v>0</v>
      </c>
      <c r="AH331" s="186">
        <f t="shared" si="175"/>
        <v>0</v>
      </c>
      <c r="AI331" s="186">
        <f t="shared" si="175"/>
        <v>0</v>
      </c>
      <c r="AJ331" s="186">
        <f t="shared" si="175"/>
        <v>0</v>
      </c>
      <c r="AK331" s="186">
        <f t="shared" si="175"/>
        <v>0</v>
      </c>
      <c r="AL331" s="186">
        <f t="shared" si="175"/>
        <v>0</v>
      </c>
      <c r="AM331" s="186">
        <f t="shared" si="175"/>
        <v>0</v>
      </c>
      <c r="AN331" s="186">
        <f t="shared" si="175"/>
        <v>0</v>
      </c>
      <c r="AO331" s="186">
        <f t="shared" si="175"/>
        <v>0</v>
      </c>
      <c r="AP331" s="186">
        <f t="shared" si="175"/>
        <v>0</v>
      </c>
    </row>
    <row r="332" spans="1:42">
      <c r="A332" s="118">
        <f t="shared" si="170"/>
        <v>8</v>
      </c>
      <c r="B332" s="196">
        <f t="shared" si="167"/>
        <v>140837.71546098724</v>
      </c>
      <c r="C332" s="225">
        <f t="shared" ref="C332:AP332" si="176">LOOKUP(C320,$B$257:$AP$257,$B$258:$AP$258)*$B646</f>
        <v>0</v>
      </c>
      <c r="D332" s="186">
        <f t="shared" si="176"/>
        <v>0</v>
      </c>
      <c r="E332" s="186">
        <f t="shared" si="176"/>
        <v>0</v>
      </c>
      <c r="F332" s="186">
        <f t="shared" si="176"/>
        <v>0</v>
      </c>
      <c r="G332" s="186">
        <f t="shared" si="176"/>
        <v>0</v>
      </c>
      <c r="H332" s="186">
        <f t="shared" si="176"/>
        <v>0</v>
      </c>
      <c r="I332" s="186">
        <f t="shared" si="176"/>
        <v>0</v>
      </c>
      <c r="J332" s="186">
        <f t="shared" si="176"/>
        <v>0</v>
      </c>
      <c r="K332" s="186">
        <f t="shared" si="176"/>
        <v>0</v>
      </c>
      <c r="L332" s="186">
        <f t="shared" si="176"/>
        <v>0</v>
      </c>
      <c r="M332" s="186">
        <f t="shared" si="176"/>
        <v>0</v>
      </c>
      <c r="N332" s="186">
        <f t="shared" si="176"/>
        <v>0</v>
      </c>
      <c r="O332" s="186">
        <f t="shared" si="176"/>
        <v>0</v>
      </c>
      <c r="P332" s="186">
        <f t="shared" si="176"/>
        <v>0</v>
      </c>
      <c r="Q332" s="186">
        <f t="shared" si="176"/>
        <v>0</v>
      </c>
      <c r="R332" s="186">
        <f t="shared" si="176"/>
        <v>0</v>
      </c>
      <c r="S332" s="186">
        <f t="shared" si="176"/>
        <v>0</v>
      </c>
      <c r="T332" s="186">
        <f t="shared" si="176"/>
        <v>0</v>
      </c>
      <c r="U332" s="186">
        <f t="shared" si="176"/>
        <v>0</v>
      </c>
      <c r="V332" s="186">
        <f t="shared" si="176"/>
        <v>0</v>
      </c>
      <c r="W332" s="186">
        <f t="shared" si="176"/>
        <v>0</v>
      </c>
      <c r="X332" s="186">
        <f t="shared" si="176"/>
        <v>0</v>
      </c>
      <c r="Y332" s="186">
        <f t="shared" si="176"/>
        <v>0</v>
      </c>
      <c r="Z332" s="186">
        <f t="shared" si="176"/>
        <v>28167.543092197448</v>
      </c>
      <c r="AA332" s="186">
        <f t="shared" si="176"/>
        <v>45068.068947515916</v>
      </c>
      <c r="AB332" s="186">
        <f t="shared" si="176"/>
        <v>27040.841368509551</v>
      </c>
      <c r="AC332" s="186">
        <f t="shared" si="176"/>
        <v>16224.504821105729</v>
      </c>
      <c r="AD332" s="186">
        <f t="shared" si="176"/>
        <v>16224.504821105729</v>
      </c>
      <c r="AE332" s="186">
        <f t="shared" si="176"/>
        <v>8112.2524105528646</v>
      </c>
      <c r="AF332" s="186">
        <f t="shared" si="176"/>
        <v>0</v>
      </c>
      <c r="AG332" s="186">
        <f t="shared" si="176"/>
        <v>0</v>
      </c>
      <c r="AH332" s="186">
        <f t="shared" si="176"/>
        <v>0</v>
      </c>
      <c r="AI332" s="186">
        <f t="shared" si="176"/>
        <v>0</v>
      </c>
      <c r="AJ332" s="186">
        <f t="shared" si="176"/>
        <v>0</v>
      </c>
      <c r="AK332" s="186">
        <f t="shared" si="176"/>
        <v>0</v>
      </c>
      <c r="AL332" s="186">
        <f t="shared" si="176"/>
        <v>0</v>
      </c>
      <c r="AM332" s="186">
        <f t="shared" si="176"/>
        <v>0</v>
      </c>
      <c r="AN332" s="186">
        <f t="shared" si="176"/>
        <v>0</v>
      </c>
      <c r="AO332" s="186">
        <f t="shared" si="176"/>
        <v>0</v>
      </c>
      <c r="AP332" s="186">
        <f t="shared" si="176"/>
        <v>0</v>
      </c>
    </row>
    <row r="333" spans="1:42">
      <c r="A333" s="118">
        <f>A332+1</f>
        <v>9</v>
      </c>
      <c r="B333" s="196">
        <f t="shared" si="167"/>
        <v>121822.53268718722</v>
      </c>
      <c r="C333" s="225">
        <f t="shared" ref="C333:AP333" si="177">LOOKUP(C321,$B$257:$AP$257,$B$258:$AP$258)*$B647</f>
        <v>0</v>
      </c>
      <c r="D333" s="186">
        <f t="shared" si="177"/>
        <v>0</v>
      </c>
      <c r="E333" s="186">
        <f t="shared" si="177"/>
        <v>0</v>
      </c>
      <c r="F333" s="186">
        <f t="shared" si="177"/>
        <v>0</v>
      </c>
      <c r="G333" s="186">
        <f t="shared" si="177"/>
        <v>0</v>
      </c>
      <c r="H333" s="186">
        <f t="shared" si="177"/>
        <v>0</v>
      </c>
      <c r="I333" s="186">
        <f t="shared" si="177"/>
        <v>0</v>
      </c>
      <c r="J333" s="186">
        <f t="shared" si="177"/>
        <v>0</v>
      </c>
      <c r="K333" s="186">
        <f t="shared" si="177"/>
        <v>0</v>
      </c>
      <c r="L333" s="186">
        <f t="shared" si="177"/>
        <v>0</v>
      </c>
      <c r="M333" s="186">
        <f t="shared" si="177"/>
        <v>0</v>
      </c>
      <c r="N333" s="186">
        <f t="shared" si="177"/>
        <v>0</v>
      </c>
      <c r="O333" s="186">
        <f t="shared" si="177"/>
        <v>0</v>
      </c>
      <c r="P333" s="186">
        <f t="shared" si="177"/>
        <v>0</v>
      </c>
      <c r="Q333" s="186">
        <f t="shared" si="177"/>
        <v>0</v>
      </c>
      <c r="R333" s="186">
        <f t="shared" si="177"/>
        <v>0</v>
      </c>
      <c r="S333" s="186">
        <f t="shared" si="177"/>
        <v>0</v>
      </c>
      <c r="T333" s="186">
        <f t="shared" si="177"/>
        <v>0</v>
      </c>
      <c r="U333" s="186">
        <f t="shared" si="177"/>
        <v>0</v>
      </c>
      <c r="V333" s="186">
        <f t="shared" si="177"/>
        <v>0</v>
      </c>
      <c r="W333" s="186">
        <f t="shared" si="177"/>
        <v>0</v>
      </c>
      <c r="X333" s="186">
        <f t="shared" si="177"/>
        <v>0</v>
      </c>
      <c r="Y333" s="186">
        <f t="shared" si="177"/>
        <v>0</v>
      </c>
      <c r="Z333" s="186">
        <f t="shared" si="177"/>
        <v>0</v>
      </c>
      <c r="AA333" s="186">
        <f t="shared" si="177"/>
        <v>0</v>
      </c>
      <c r="AB333" s="186">
        <f t="shared" si="177"/>
        <v>0</v>
      </c>
      <c r="AC333" s="186">
        <f t="shared" si="177"/>
        <v>29454.190688391496</v>
      </c>
      <c r="AD333" s="186">
        <f t="shared" si="177"/>
        <v>47126.705101426393</v>
      </c>
      <c r="AE333" s="186">
        <f t="shared" si="177"/>
        <v>28276.023060855838</v>
      </c>
      <c r="AF333" s="186">
        <f t="shared" si="177"/>
        <v>16965.613836513501</v>
      </c>
      <c r="AG333" s="186">
        <f t="shared" si="177"/>
        <v>0</v>
      </c>
      <c r="AH333" s="186">
        <f t="shared" si="177"/>
        <v>0</v>
      </c>
      <c r="AI333" s="186">
        <f t="shared" si="177"/>
        <v>0</v>
      </c>
      <c r="AJ333" s="186">
        <f t="shared" si="177"/>
        <v>0</v>
      </c>
      <c r="AK333" s="186">
        <f t="shared" si="177"/>
        <v>0</v>
      </c>
      <c r="AL333" s="186">
        <f t="shared" si="177"/>
        <v>0</v>
      </c>
      <c r="AM333" s="186">
        <f t="shared" si="177"/>
        <v>0</v>
      </c>
      <c r="AN333" s="186">
        <f t="shared" si="177"/>
        <v>0</v>
      </c>
      <c r="AO333" s="186">
        <f t="shared" si="177"/>
        <v>0</v>
      </c>
      <c r="AP333" s="186">
        <f t="shared" si="177"/>
        <v>0</v>
      </c>
    </row>
    <row r="334" spans="1:42">
      <c r="A334" s="118">
        <f t="shared" si="170"/>
        <v>10</v>
      </c>
      <c r="B334" s="196">
        <f t="shared" si="167"/>
        <v>30799.610255977339</v>
      </c>
      <c r="C334" s="221">
        <f t="shared" ref="C334:AP334" si="178">LOOKUP(C322,$B$257:$AP$257,$B$258:$AP$258)*$B648</f>
        <v>0</v>
      </c>
      <c r="D334" s="187">
        <f t="shared" si="178"/>
        <v>0</v>
      </c>
      <c r="E334" s="187">
        <f t="shared" si="178"/>
        <v>0</v>
      </c>
      <c r="F334" s="187">
        <f t="shared" si="178"/>
        <v>0</v>
      </c>
      <c r="G334" s="187">
        <f t="shared" si="178"/>
        <v>0</v>
      </c>
      <c r="H334" s="187">
        <f t="shared" si="178"/>
        <v>0</v>
      </c>
      <c r="I334" s="187">
        <f t="shared" si="178"/>
        <v>0</v>
      </c>
      <c r="J334" s="187">
        <f t="shared" si="178"/>
        <v>0</v>
      </c>
      <c r="K334" s="187">
        <f t="shared" si="178"/>
        <v>0</v>
      </c>
      <c r="L334" s="187">
        <f t="shared" si="178"/>
        <v>0</v>
      </c>
      <c r="M334" s="187">
        <f t="shared" si="178"/>
        <v>0</v>
      </c>
      <c r="N334" s="187">
        <f t="shared" si="178"/>
        <v>0</v>
      </c>
      <c r="O334" s="187">
        <f t="shared" si="178"/>
        <v>0</v>
      </c>
      <c r="P334" s="187">
        <f t="shared" si="178"/>
        <v>0</v>
      </c>
      <c r="Q334" s="187">
        <f t="shared" si="178"/>
        <v>0</v>
      </c>
      <c r="R334" s="187">
        <f t="shared" si="178"/>
        <v>0</v>
      </c>
      <c r="S334" s="187">
        <f t="shared" si="178"/>
        <v>0</v>
      </c>
      <c r="T334" s="187">
        <f t="shared" si="178"/>
        <v>0</v>
      </c>
      <c r="U334" s="187">
        <f t="shared" si="178"/>
        <v>0</v>
      </c>
      <c r="V334" s="187">
        <f t="shared" si="178"/>
        <v>0</v>
      </c>
      <c r="W334" s="187">
        <f t="shared" si="178"/>
        <v>0</v>
      </c>
      <c r="X334" s="187">
        <f t="shared" si="178"/>
        <v>0</v>
      </c>
      <c r="Y334" s="187">
        <f t="shared" si="178"/>
        <v>0</v>
      </c>
      <c r="Z334" s="187">
        <f t="shared" si="178"/>
        <v>0</v>
      </c>
      <c r="AA334" s="187">
        <f t="shared" si="178"/>
        <v>0</v>
      </c>
      <c r="AB334" s="187">
        <f t="shared" si="178"/>
        <v>0</v>
      </c>
      <c r="AC334" s="187">
        <f t="shared" si="178"/>
        <v>0</v>
      </c>
      <c r="AD334" s="187">
        <f t="shared" si="178"/>
        <v>0</v>
      </c>
      <c r="AE334" s="187">
        <f t="shared" si="178"/>
        <v>0</v>
      </c>
      <c r="AF334" s="187">
        <f t="shared" si="178"/>
        <v>30799.610255977339</v>
      </c>
      <c r="AG334" s="187">
        <f t="shared" si="178"/>
        <v>0</v>
      </c>
      <c r="AH334" s="187">
        <f t="shared" si="178"/>
        <v>0</v>
      </c>
      <c r="AI334" s="187">
        <f t="shared" si="178"/>
        <v>0</v>
      </c>
      <c r="AJ334" s="187">
        <f t="shared" si="178"/>
        <v>0</v>
      </c>
      <c r="AK334" s="187">
        <f t="shared" si="178"/>
        <v>0</v>
      </c>
      <c r="AL334" s="187">
        <f t="shared" si="178"/>
        <v>0</v>
      </c>
      <c r="AM334" s="187">
        <f t="shared" si="178"/>
        <v>0</v>
      </c>
      <c r="AN334" s="187">
        <f t="shared" si="178"/>
        <v>0</v>
      </c>
      <c r="AO334" s="187">
        <f t="shared" si="178"/>
        <v>0</v>
      </c>
      <c r="AP334" s="187">
        <f t="shared" si="178"/>
        <v>0</v>
      </c>
    </row>
    <row r="335" spans="1:42" s="118" customFormat="1" ht="12" customHeight="1">
      <c r="A335" s="222" t="s">
        <v>53</v>
      </c>
      <c r="B335" s="141"/>
      <c r="C335" s="141">
        <f>SUM(C325:C334)</f>
        <v>0</v>
      </c>
      <c r="D335" s="141">
        <f t="shared" ref="D335:AP335" si="179">SUM(D325:D334)</f>
        <v>0</v>
      </c>
      <c r="E335" s="141">
        <f t="shared" si="179"/>
        <v>20604.499999999996</v>
      </c>
      <c r="F335" s="141">
        <f t="shared" si="179"/>
        <v>32967.19999999999</v>
      </c>
      <c r="G335" s="141">
        <f t="shared" si="179"/>
        <v>19780.319999999996</v>
      </c>
      <c r="H335" s="141">
        <f t="shared" si="179"/>
        <v>33413.872077687483</v>
      </c>
      <c r="I335" s="141">
        <f t="shared" si="179"/>
        <v>46341.28012429997</v>
      </c>
      <c r="J335" s="141">
        <f t="shared" si="179"/>
        <v>26617.948874579983</v>
      </c>
      <c r="K335" s="141">
        <f t="shared" si="179"/>
        <v>34940.163456654111</v>
      </c>
      <c r="L335" s="141">
        <f t="shared" si="179"/>
        <v>48458.074495797773</v>
      </c>
      <c r="M335" s="141">
        <f t="shared" si="179"/>
        <v>27833.813525003865</v>
      </c>
      <c r="N335" s="141">
        <f t="shared" si="179"/>
        <v>36536.173345588439</v>
      </c>
      <c r="O335" s="141">
        <f t="shared" si="179"/>
        <v>50671.560594394745</v>
      </c>
      <c r="P335" s="141">
        <f t="shared" si="179"/>
        <v>29105.216896879054</v>
      </c>
      <c r="Q335" s="141">
        <f t="shared" si="179"/>
        <v>38205.086372733211</v>
      </c>
      <c r="R335" s="141">
        <f t="shared" si="179"/>
        <v>52986.155141060706</v>
      </c>
      <c r="S335" s="141">
        <f t="shared" si="179"/>
        <v>30434.695908751019</v>
      </c>
      <c r="T335" s="141">
        <f t="shared" si="179"/>
        <v>39950.232634974287</v>
      </c>
      <c r="U335" s="141">
        <f t="shared" si="179"/>
        <v>55406.476605402226</v>
      </c>
      <c r="V335" s="141">
        <f t="shared" si="179"/>
        <v>31824.903361481898</v>
      </c>
      <c r="W335" s="141">
        <f t="shared" si="179"/>
        <v>41775.094342611868</v>
      </c>
      <c r="X335" s="141">
        <f t="shared" si="179"/>
        <v>57937.354421212491</v>
      </c>
      <c r="Y335" s="141">
        <f t="shared" si="179"/>
        <v>33278.613231566414</v>
      </c>
      <c r="Z335" s="141">
        <f t="shared" si="179"/>
        <v>43683.312767654046</v>
      </c>
      <c r="AA335" s="141">
        <f t="shared" si="179"/>
        <v>60583.838622972515</v>
      </c>
      <c r="AB335" s="141">
        <f t="shared" si="179"/>
        <v>34798.72620623785</v>
      </c>
      <c r="AC335" s="141">
        <f t="shared" si="179"/>
        <v>45678.695509497222</v>
      </c>
      <c r="AD335" s="141">
        <f t="shared" si="179"/>
        <v>63351.209922532122</v>
      </c>
      <c r="AE335" s="141">
        <f t="shared" si="179"/>
        <v>36388.275471408706</v>
      </c>
      <c r="AF335" s="141">
        <f t="shared" si="179"/>
        <v>47765.22409249084</v>
      </c>
      <c r="AG335" s="141">
        <f t="shared" si="179"/>
        <v>0</v>
      </c>
      <c r="AH335" s="141">
        <f t="shared" si="179"/>
        <v>0</v>
      </c>
      <c r="AI335" s="141">
        <f t="shared" si="179"/>
        <v>0</v>
      </c>
      <c r="AJ335" s="141">
        <f t="shared" si="179"/>
        <v>0</v>
      </c>
      <c r="AK335" s="141">
        <f t="shared" si="179"/>
        <v>0</v>
      </c>
      <c r="AL335" s="141">
        <f t="shared" si="179"/>
        <v>0</v>
      </c>
      <c r="AM335" s="141">
        <f t="shared" si="179"/>
        <v>0</v>
      </c>
      <c r="AN335" s="141">
        <f t="shared" si="179"/>
        <v>0</v>
      </c>
      <c r="AO335" s="141">
        <f t="shared" si="179"/>
        <v>0</v>
      </c>
      <c r="AP335" s="141">
        <f t="shared" si="179"/>
        <v>0</v>
      </c>
    </row>
    <row r="336" spans="1:42">
      <c r="A336" s="204"/>
      <c r="C336" s="186"/>
      <c r="D336" s="186"/>
      <c r="E336" s="186"/>
      <c r="F336" s="186"/>
      <c r="G336" s="186"/>
      <c r="H336" s="186"/>
      <c r="I336" s="186"/>
      <c r="J336" s="186"/>
      <c r="K336" s="186"/>
      <c r="L336" s="186"/>
      <c r="M336" s="186"/>
      <c r="N336" s="186"/>
      <c r="O336" s="186"/>
      <c r="P336" s="186"/>
      <c r="Q336" s="186"/>
      <c r="R336" s="186"/>
      <c r="S336" s="186"/>
      <c r="T336" s="186"/>
      <c r="U336" s="186"/>
      <c r="V336" s="186"/>
      <c r="W336" s="186"/>
      <c r="X336" s="186"/>
      <c r="Y336" s="186"/>
      <c r="Z336" s="186"/>
      <c r="AA336" s="186"/>
      <c r="AB336" s="186"/>
      <c r="AC336" s="186"/>
      <c r="AD336" s="186"/>
      <c r="AE336" s="186"/>
      <c r="AF336" s="186"/>
      <c r="AG336" s="186"/>
      <c r="AH336" s="186"/>
      <c r="AI336" s="186"/>
      <c r="AJ336" s="186"/>
      <c r="AK336" s="186"/>
      <c r="AL336" s="186"/>
      <c r="AM336" s="186"/>
      <c r="AN336" s="186"/>
      <c r="AO336" s="186"/>
      <c r="AP336" s="186"/>
    </row>
    <row r="337" spans="1:17">
      <c r="A337" s="195" t="s">
        <v>501</v>
      </c>
    </row>
    <row r="338" spans="1:17">
      <c r="A338" s="118" t="s">
        <v>82</v>
      </c>
      <c r="G338" s="293" t="s">
        <v>166</v>
      </c>
      <c r="H338" s="294"/>
      <c r="I338" s="294"/>
      <c r="J338" s="295"/>
      <c r="K338" s="226" t="s">
        <v>167</v>
      </c>
      <c r="L338" s="227"/>
    </row>
    <row r="339" spans="1:17" ht="51">
      <c r="A339" s="118"/>
      <c r="B339" s="129" t="s">
        <v>154</v>
      </c>
      <c r="C339" s="129" t="s">
        <v>150</v>
      </c>
      <c r="D339" s="129" t="s">
        <v>152</v>
      </c>
      <c r="E339" s="206" t="s">
        <v>153</v>
      </c>
      <c r="F339" s="129" t="s">
        <v>155</v>
      </c>
      <c r="G339" s="129" t="s">
        <v>160</v>
      </c>
      <c r="H339" s="129" t="s">
        <v>162</v>
      </c>
      <c r="I339" s="129" t="s">
        <v>161</v>
      </c>
      <c r="J339" s="129" t="s">
        <v>163</v>
      </c>
      <c r="K339" s="228" t="s">
        <v>34</v>
      </c>
      <c r="L339" s="129" t="s">
        <v>163</v>
      </c>
      <c r="M339" s="207" t="s">
        <v>168</v>
      </c>
      <c r="N339" s="207" t="s">
        <v>169</v>
      </c>
      <c r="O339" s="129" t="s">
        <v>156</v>
      </c>
      <c r="P339" s="208" t="s">
        <v>319</v>
      </c>
      <c r="Q339" s="129" t="s">
        <v>324</v>
      </c>
    </row>
    <row r="340" spans="1:17" s="118" customFormat="1">
      <c r="A340" s="257" t="str">
        <f>A206</f>
        <v>5-yr MACRS</v>
      </c>
      <c r="B340" s="351">
        <f>C340/$C$347</f>
        <v>0.92783505154639179</v>
      </c>
      <c r="C340" s="141">
        <f>'Inputs &amp; Results'!E226</f>
        <v>38506038.164290354</v>
      </c>
      <c r="D340" s="141">
        <f>IF(FedBasisReduction="5-Yr MACRS",D347,$B340*D$347)</f>
        <v>3000</v>
      </c>
      <c r="E340" s="141">
        <f>IF(FedBasisReduction="5-Yr MACRS",E347,$B340*E$347)</f>
        <v>0</v>
      </c>
      <c r="F340" s="223">
        <f>C340-D340-E340</f>
        <v>38503038.164290354</v>
      </c>
      <c r="G340" s="352">
        <f>IF('Inputs &amp; Results'!B264="Yes",F340,0)</f>
        <v>38503038.164290354</v>
      </c>
      <c r="H340" s="353">
        <f>IF($G$347=0,0,G340/$G$347)</f>
        <v>1</v>
      </c>
      <c r="I340" s="353">
        <f t="shared" ref="I340:I345" si="180">$I$347*H340</f>
        <v>0</v>
      </c>
      <c r="J340" s="354">
        <f>I340*0.5</f>
        <v>0</v>
      </c>
      <c r="K340" s="223">
        <f t="shared" ref="K340:K345" si="181">H340*$K$347</f>
        <v>10000</v>
      </c>
      <c r="L340" s="223">
        <f>K340*0.5</f>
        <v>5000</v>
      </c>
      <c r="M340" s="141">
        <f t="shared" ref="M340:M345" si="182">IF(ITCStateFixedFedDeprec="Yes",L206,0)+IF(ITCStatePercentFedDeprec="Yes",J206,0)</f>
        <v>0</v>
      </c>
      <c r="N340" s="141">
        <f t="shared" ref="N340:N345" si="183">IF(ITCFedFixedFedDeprec="Yes",L340,0)+IF(ITCFedPercentFedDeprec="Yes",J340,0)</f>
        <v>5000</v>
      </c>
      <c r="O340" s="356">
        <f t="shared" ref="O340:O345" si="184">F340-M340-N340</f>
        <v>38498038.164290354</v>
      </c>
      <c r="P340" s="141">
        <f>IF('Inputs &amp; Results'!B247="Yes",O340*FedBonusDeprec,0)</f>
        <v>3849803.8164290357</v>
      </c>
      <c r="Q340" s="223">
        <f>O340-P340</f>
        <v>34648234.34786132</v>
      </c>
    </row>
    <row r="341" spans="1:17" s="118" customFormat="1">
      <c r="A341" s="257" t="str">
        <f t="shared" ref="A341:A345" si="185">A207</f>
        <v>15-yr MACRS</v>
      </c>
      <c r="B341" s="351">
        <f t="shared" ref="B341:B345" si="186">C341/$C$347</f>
        <v>1.5463917525773196E-2</v>
      </c>
      <c r="C341" s="141">
        <f>'Inputs &amp; Results'!E227</f>
        <v>641767.30273817258</v>
      </c>
      <c r="D341" s="141">
        <f t="shared" ref="D341:E345" si="187">IF(FedBasisReduction="5-Yr MACRS",0,$B341*D$347)</f>
        <v>0</v>
      </c>
      <c r="E341" s="141">
        <f t="shared" si="187"/>
        <v>0</v>
      </c>
      <c r="F341" s="223">
        <f t="shared" ref="F341:F345" si="188">C341-D341-E341</f>
        <v>641767.30273817258</v>
      </c>
      <c r="G341" s="355">
        <f>IF('Inputs &amp; Results'!B265="Yes",F341,0)</f>
        <v>0</v>
      </c>
      <c r="H341" s="141">
        <f t="shared" ref="H341:H345" si="189">IF($G$347=0,0,G341/$G$347)</f>
        <v>0</v>
      </c>
      <c r="I341" s="141">
        <f t="shared" si="180"/>
        <v>0</v>
      </c>
      <c r="J341" s="326">
        <f t="shared" ref="J341:J345" si="190">I341*0.5</f>
        <v>0</v>
      </c>
      <c r="K341" s="223">
        <f t="shared" si="181"/>
        <v>0</v>
      </c>
      <c r="L341" s="223">
        <f t="shared" ref="L341:L345" si="191">K341*0.5</f>
        <v>0</v>
      </c>
      <c r="M341" s="141">
        <f t="shared" si="182"/>
        <v>0</v>
      </c>
      <c r="N341" s="141">
        <f t="shared" si="183"/>
        <v>0</v>
      </c>
      <c r="O341" s="223">
        <f t="shared" si="184"/>
        <v>641767.30273817258</v>
      </c>
      <c r="P341" s="141">
        <f>IF('Inputs &amp; Results'!B248="Yes",O341*FedBonusDeprec,0)</f>
        <v>0</v>
      </c>
      <c r="Q341" s="223">
        <f t="shared" ref="Q341:Q345" si="192">O341-P341</f>
        <v>641767.30273817258</v>
      </c>
    </row>
    <row r="342" spans="1:17" s="118" customFormat="1">
      <c r="A342" s="257" t="str">
        <f t="shared" si="185"/>
        <v>5-yr SL</v>
      </c>
      <c r="B342" s="351">
        <f t="shared" si="186"/>
        <v>0</v>
      </c>
      <c r="C342" s="141">
        <f>'Inputs &amp; Results'!E228</f>
        <v>0</v>
      </c>
      <c r="D342" s="141">
        <f t="shared" si="187"/>
        <v>0</v>
      </c>
      <c r="E342" s="141">
        <f t="shared" si="187"/>
        <v>0</v>
      </c>
      <c r="F342" s="223">
        <f t="shared" si="188"/>
        <v>0</v>
      </c>
      <c r="G342" s="355">
        <f>IF('Inputs &amp; Results'!B266="Yes",F342,0)</f>
        <v>0</v>
      </c>
      <c r="H342" s="141">
        <f t="shared" si="189"/>
        <v>0</v>
      </c>
      <c r="I342" s="141">
        <f t="shared" si="180"/>
        <v>0</v>
      </c>
      <c r="J342" s="326">
        <f t="shared" si="190"/>
        <v>0</v>
      </c>
      <c r="K342" s="223">
        <f t="shared" si="181"/>
        <v>0</v>
      </c>
      <c r="L342" s="223">
        <f t="shared" si="191"/>
        <v>0</v>
      </c>
      <c r="M342" s="141">
        <f t="shared" si="182"/>
        <v>0</v>
      </c>
      <c r="N342" s="141">
        <f t="shared" si="183"/>
        <v>0</v>
      </c>
      <c r="O342" s="223">
        <f t="shared" si="184"/>
        <v>0</v>
      </c>
      <c r="P342" s="141">
        <f>IF('Inputs &amp; Results'!B249="Yes",O342*FedBonusDeprec,0)</f>
        <v>0</v>
      </c>
      <c r="Q342" s="223">
        <f t="shared" si="192"/>
        <v>0</v>
      </c>
    </row>
    <row r="343" spans="1:17" s="118" customFormat="1">
      <c r="A343" s="257" t="str">
        <f t="shared" si="185"/>
        <v>15-yr SL</v>
      </c>
      <c r="B343" s="351">
        <f t="shared" si="186"/>
        <v>2.5773195876288665E-2</v>
      </c>
      <c r="C343" s="141">
        <f>'Inputs &amp; Results'!E229</f>
        <v>1069612.1712302878</v>
      </c>
      <c r="D343" s="141">
        <f t="shared" si="187"/>
        <v>0</v>
      </c>
      <c r="E343" s="141">
        <f t="shared" si="187"/>
        <v>0</v>
      </c>
      <c r="F343" s="223">
        <f t="shared" si="188"/>
        <v>1069612.1712302878</v>
      </c>
      <c r="G343" s="355">
        <f>IF('Inputs &amp; Results'!B267="Yes",F343,0)</f>
        <v>0</v>
      </c>
      <c r="H343" s="141">
        <f t="shared" si="189"/>
        <v>0</v>
      </c>
      <c r="I343" s="141">
        <f t="shared" si="180"/>
        <v>0</v>
      </c>
      <c r="J343" s="326">
        <f t="shared" si="190"/>
        <v>0</v>
      </c>
      <c r="K343" s="223">
        <f t="shared" si="181"/>
        <v>0</v>
      </c>
      <c r="L343" s="223">
        <f t="shared" si="191"/>
        <v>0</v>
      </c>
      <c r="M343" s="141">
        <f t="shared" si="182"/>
        <v>0</v>
      </c>
      <c r="N343" s="141">
        <f t="shared" si="183"/>
        <v>0</v>
      </c>
      <c r="O343" s="223">
        <f t="shared" si="184"/>
        <v>1069612.1712302878</v>
      </c>
      <c r="P343" s="141">
        <f>IF('Inputs &amp; Results'!B250="Yes",O343*FedBonusDeprec,0)</f>
        <v>0</v>
      </c>
      <c r="Q343" s="223">
        <f t="shared" si="192"/>
        <v>1069612.1712302878</v>
      </c>
    </row>
    <row r="344" spans="1:17" s="118" customFormat="1">
      <c r="A344" s="257" t="str">
        <f t="shared" si="185"/>
        <v>20-yr SL</v>
      </c>
      <c r="B344" s="351">
        <f t="shared" si="186"/>
        <v>2.5773195876288665E-2</v>
      </c>
      <c r="C344" s="141">
        <f>'Inputs &amp; Results'!E230</f>
        <v>1069612.1712302878</v>
      </c>
      <c r="D344" s="141">
        <f t="shared" si="187"/>
        <v>0</v>
      </c>
      <c r="E344" s="141">
        <f t="shared" si="187"/>
        <v>0</v>
      </c>
      <c r="F344" s="223">
        <f t="shared" si="188"/>
        <v>1069612.1712302878</v>
      </c>
      <c r="G344" s="355">
        <f>IF('Inputs &amp; Results'!B268="Yes",F344,0)</f>
        <v>0</v>
      </c>
      <c r="H344" s="141">
        <f t="shared" si="189"/>
        <v>0</v>
      </c>
      <c r="I344" s="141">
        <f t="shared" si="180"/>
        <v>0</v>
      </c>
      <c r="J344" s="326">
        <f t="shared" si="190"/>
        <v>0</v>
      </c>
      <c r="K344" s="223">
        <f t="shared" si="181"/>
        <v>0</v>
      </c>
      <c r="L344" s="223">
        <f t="shared" si="191"/>
        <v>0</v>
      </c>
      <c r="M344" s="141">
        <f t="shared" si="182"/>
        <v>0</v>
      </c>
      <c r="N344" s="141">
        <f t="shared" si="183"/>
        <v>0</v>
      </c>
      <c r="O344" s="223">
        <f t="shared" si="184"/>
        <v>1069612.1712302878</v>
      </c>
      <c r="P344" s="141">
        <f>IF('Inputs &amp; Results'!B251="Yes",O344*FedBonusDeprec,0)</f>
        <v>0</v>
      </c>
      <c r="Q344" s="223">
        <f t="shared" si="192"/>
        <v>1069612.1712302878</v>
      </c>
    </row>
    <row r="345" spans="1:17" s="118" customFormat="1">
      <c r="A345" s="257" t="str">
        <f t="shared" si="185"/>
        <v>39-yr SL</v>
      </c>
      <c r="B345" s="351">
        <f t="shared" si="186"/>
        <v>5.1546391752577327E-3</v>
      </c>
      <c r="C345" s="141">
        <f>'Inputs &amp; Results'!E231</f>
        <v>213922.43424605753</v>
      </c>
      <c r="D345" s="141">
        <f t="shared" si="187"/>
        <v>0</v>
      </c>
      <c r="E345" s="141">
        <f t="shared" si="187"/>
        <v>0</v>
      </c>
      <c r="F345" s="223">
        <f t="shared" si="188"/>
        <v>213922.43424605753</v>
      </c>
      <c r="G345" s="355">
        <f>IF('Inputs &amp; Results'!B269="Yes",F345,0)</f>
        <v>0</v>
      </c>
      <c r="H345" s="141">
        <f t="shared" si="189"/>
        <v>0</v>
      </c>
      <c r="I345" s="141">
        <f t="shared" si="180"/>
        <v>0</v>
      </c>
      <c r="J345" s="326">
        <f t="shared" si="190"/>
        <v>0</v>
      </c>
      <c r="K345" s="223">
        <f t="shared" si="181"/>
        <v>0</v>
      </c>
      <c r="L345" s="223">
        <f t="shared" si="191"/>
        <v>0</v>
      </c>
      <c r="M345" s="141">
        <f t="shared" si="182"/>
        <v>0</v>
      </c>
      <c r="N345" s="141">
        <f t="shared" si="183"/>
        <v>0</v>
      </c>
      <c r="O345" s="223">
        <f t="shared" si="184"/>
        <v>213922.43424605753</v>
      </c>
      <c r="P345" s="141">
        <f>IF('Inputs &amp; Results'!B252="Yes",O345*FedBonusDeprec,0)</f>
        <v>0</v>
      </c>
      <c r="Q345" s="223">
        <f t="shared" si="192"/>
        <v>213922.43424605753</v>
      </c>
    </row>
    <row r="346" spans="1:17">
      <c r="A346" s="261" t="s">
        <v>376</v>
      </c>
      <c r="B346" s="209"/>
      <c r="C346" s="210"/>
      <c r="D346" s="210"/>
      <c r="E346" s="210"/>
      <c r="F346" s="210"/>
      <c r="G346" s="209"/>
      <c r="H346" s="230"/>
      <c r="I346" s="231"/>
      <c r="J346" s="231"/>
      <c r="K346" s="231"/>
      <c r="L346" s="231"/>
      <c r="M346" s="211"/>
      <c r="N346" s="211"/>
      <c r="O346" s="103"/>
      <c r="P346" s="211"/>
      <c r="Q346" s="103"/>
    </row>
    <row r="347" spans="1:17" s="118" customFormat="1">
      <c r="B347" s="357">
        <f>SUM(B340:B346)</f>
        <v>1</v>
      </c>
      <c r="C347" s="203">
        <f>SUM(C340:C346)</f>
        <v>41500952.243735157</v>
      </c>
      <c r="D347" s="203">
        <f>B356+B362</f>
        <v>3000</v>
      </c>
      <c r="E347" s="203">
        <f>B368</f>
        <v>0</v>
      </c>
      <c r="F347" s="224">
        <f t="shared" ref="F347:Q347" si="193">SUM(F340:F346)</f>
        <v>41497952.243735157</v>
      </c>
      <c r="G347" s="224">
        <f>SUM(G340:G346)</f>
        <v>38503038.164290354</v>
      </c>
      <c r="H347" s="358">
        <f>SUM(H340:H346)</f>
        <v>1</v>
      </c>
      <c r="I347" s="224">
        <f>MIN(ITCFedMax,ITCFedPercent*G347)</f>
        <v>0</v>
      </c>
      <c r="J347" s="224">
        <f>SUM(J340:J346)</f>
        <v>0</v>
      </c>
      <c r="K347" s="224">
        <f>ITCFedFixed</f>
        <v>10000</v>
      </c>
      <c r="L347" s="224">
        <f>SUM(L340:L346)</f>
        <v>5000</v>
      </c>
      <c r="M347" s="203">
        <f t="shared" si="193"/>
        <v>0</v>
      </c>
      <c r="N347" s="203">
        <f t="shared" si="193"/>
        <v>5000</v>
      </c>
      <c r="O347" s="224">
        <f t="shared" si="193"/>
        <v>41492952.243735157</v>
      </c>
      <c r="P347" s="224">
        <f t="shared" si="193"/>
        <v>3849803.8164290357</v>
      </c>
      <c r="Q347" s="224">
        <f t="shared" si="193"/>
        <v>37643148.427306123</v>
      </c>
    </row>
    <row r="348" spans="1:17">
      <c r="A348" s="118"/>
    </row>
    <row r="349" spans="1:17">
      <c r="A349" s="118" t="s">
        <v>165</v>
      </c>
    </row>
    <row r="350" spans="1:17">
      <c r="A350" s="257" t="str">
        <f>A216</f>
        <v>Investment Based Incentive (IBI)</v>
      </c>
    </row>
    <row r="351" spans="1:17">
      <c r="A351" s="258" t="str">
        <f t="shared" ref="A351:A369" si="194">A217</f>
        <v>Fixed Amount ($)</v>
      </c>
    </row>
    <row r="352" spans="1:17">
      <c r="A352" s="259" t="str">
        <f t="shared" si="194"/>
        <v>Federal</v>
      </c>
      <c r="B352" s="152">
        <f>IF(IBIFedFixedFedDeprec="Yes",IBIFedFixed,0)</f>
        <v>1000</v>
      </c>
    </row>
    <row r="353" spans="1:2">
      <c r="A353" s="259" t="str">
        <f t="shared" si="194"/>
        <v>State</v>
      </c>
      <c r="B353" s="152">
        <f>IF(IBIStateFixedFedDeprec="Yes",IBIStateFixed,0)</f>
        <v>2000</v>
      </c>
    </row>
    <row r="354" spans="1:2">
      <c r="A354" s="259" t="str">
        <f t="shared" si="194"/>
        <v>Utility</v>
      </c>
      <c r="B354" s="152">
        <f>IF(IBIUtilityFixedFedDeprec="Yes",IBIUtilityFixed,0)</f>
        <v>0</v>
      </c>
    </row>
    <row r="355" spans="1:2">
      <c r="A355" s="259" t="str">
        <f t="shared" si="194"/>
        <v>Other</v>
      </c>
      <c r="B355" s="187">
        <f>IF(IBIOtherFixedFedDeprec="Yes",IBIOtherFixed,0)</f>
        <v>0</v>
      </c>
    </row>
    <row r="356" spans="1:2">
      <c r="A356" s="259" t="str">
        <f t="shared" si="194"/>
        <v>Total</v>
      </c>
      <c r="B356" s="152">
        <f>SUM(B352:B355)</f>
        <v>3000</v>
      </c>
    </row>
    <row r="357" spans="1:2">
      <c r="A357" s="258" t="str">
        <f t="shared" si="194"/>
        <v>Percentage of Pre-Financing Costs</v>
      </c>
    </row>
    <row r="358" spans="1:2">
      <c r="A358" s="259" t="str">
        <f t="shared" si="194"/>
        <v>Federal</v>
      </c>
      <c r="B358" s="152">
        <f>IF(IBIFedPercentFedDeprec="Yes",IBIFedPercent,0)</f>
        <v>0</v>
      </c>
    </row>
    <row r="359" spans="1:2">
      <c r="A359" s="259" t="str">
        <f t="shared" si="194"/>
        <v>State</v>
      </c>
      <c r="B359" s="152">
        <f>IF(IBIStatePercentFedDeprec="Yes",IBIStatePercent,0)</f>
        <v>0</v>
      </c>
    </row>
    <row r="360" spans="1:2">
      <c r="A360" s="259" t="str">
        <f t="shared" si="194"/>
        <v>Utility</v>
      </c>
      <c r="B360" s="152">
        <f>IF(IBIUtilityPercentFedDeprec="Yes",IBIUtilityPercent,0)</f>
        <v>0</v>
      </c>
    </row>
    <row r="361" spans="1:2">
      <c r="A361" s="259" t="str">
        <f t="shared" si="194"/>
        <v>Other</v>
      </c>
      <c r="B361" s="187">
        <f>IF(IBIOtherPercentFedDeprec="Yes",IBIOtherPercent,0)</f>
        <v>0</v>
      </c>
    </row>
    <row r="362" spans="1:2">
      <c r="A362" s="259" t="str">
        <f t="shared" si="194"/>
        <v>Total</v>
      </c>
      <c r="B362" s="152">
        <f>SUM(B358:B361)</f>
        <v>0</v>
      </c>
    </row>
    <row r="363" spans="1:2">
      <c r="A363" s="257" t="str">
        <f t="shared" si="194"/>
        <v>Capacity Based Incentive (CBI)</v>
      </c>
    </row>
    <row r="364" spans="1:2">
      <c r="A364" s="258" t="str">
        <f t="shared" si="194"/>
        <v>Federal</v>
      </c>
      <c r="B364" s="152">
        <f>IF(CBIFedFedDeprec="Yes",CBIFed,0)</f>
        <v>0</v>
      </c>
    </row>
    <row r="365" spans="1:2">
      <c r="A365" s="258" t="str">
        <f t="shared" si="194"/>
        <v>State</v>
      </c>
      <c r="B365" s="152">
        <f>IF(CBIStateFedDeprec="Yes",CBIState,0)</f>
        <v>0</v>
      </c>
    </row>
    <row r="366" spans="1:2">
      <c r="A366" s="258" t="str">
        <f t="shared" si="194"/>
        <v>Utility</v>
      </c>
      <c r="B366" s="152">
        <f>IF(CBIUtilityFedDeprec="Yes",CBIUtility,0)</f>
        <v>0</v>
      </c>
    </row>
    <row r="367" spans="1:2">
      <c r="A367" s="258" t="str">
        <f t="shared" si="194"/>
        <v>Other</v>
      </c>
      <c r="B367" s="187">
        <f>IF(CBIOtherFedDeprec="Yes",CBIOther,0)</f>
        <v>0</v>
      </c>
    </row>
    <row r="368" spans="1:2">
      <c r="A368" s="258" t="str">
        <f t="shared" si="194"/>
        <v>Total</v>
      </c>
      <c r="B368" s="194">
        <f>SUM(B364:B367)</f>
        <v>0</v>
      </c>
    </row>
    <row r="369" spans="1:42">
      <c r="A369" s="257" t="str">
        <f t="shared" si="194"/>
        <v>Total Basis Reduction</v>
      </c>
      <c r="B369" s="152">
        <f>B356+B362+B368</f>
        <v>3000</v>
      </c>
    </row>
    <row r="370" spans="1:42">
      <c r="A370" s="118"/>
    </row>
    <row r="371" spans="1:42">
      <c r="A371" s="118" t="s">
        <v>253</v>
      </c>
    </row>
    <row r="372" spans="1:42">
      <c r="A372" s="257" t="s">
        <v>157</v>
      </c>
    </row>
    <row r="373" spans="1:42">
      <c r="A373" s="205" t="str">
        <f>A340</f>
        <v>5-yr MACRS</v>
      </c>
      <c r="B373" s="214">
        <f>SUM(C373:AP373)</f>
        <v>0.99999999999999989</v>
      </c>
      <c r="C373" s="215">
        <f>LOOKUP(C$2,'Depreciation Schedules'!$A$3:$A$42,'Depreciation Schedules'!$B$3:$B$42)</f>
        <v>0.2</v>
      </c>
      <c r="D373" s="215">
        <f>LOOKUP(D$2,'Depreciation Schedules'!$A$3:$A$42,'Depreciation Schedules'!$B$3:$B$42)</f>
        <v>0.32</v>
      </c>
      <c r="E373" s="215">
        <f>LOOKUP(E$2,'Depreciation Schedules'!$A$3:$A$42,'Depreciation Schedules'!$B$3:$B$42)</f>
        <v>0.192</v>
      </c>
      <c r="F373" s="215">
        <f>LOOKUP(F$2,'Depreciation Schedules'!$A$3:$A$42,'Depreciation Schedules'!$B$3:$B$42)</f>
        <v>0.1152</v>
      </c>
      <c r="G373" s="215">
        <f>LOOKUP(G$2,'Depreciation Schedules'!$A$3:$A$42,'Depreciation Schedules'!$B$3:$B$42)</f>
        <v>0.1152</v>
      </c>
      <c r="H373" s="215">
        <f>LOOKUP(H$2,'Depreciation Schedules'!$A$3:$A$42,'Depreciation Schedules'!$B$3:$B$42)</f>
        <v>5.7599999999999998E-2</v>
      </c>
      <c r="I373" s="215">
        <f>LOOKUP(I$2,'Depreciation Schedules'!$A$3:$A$42,'Depreciation Schedules'!$B$3:$B$42)</f>
        <v>0</v>
      </c>
      <c r="J373" s="215">
        <f>LOOKUP(J$2,'Depreciation Schedules'!$A$3:$A$42,'Depreciation Schedules'!$B$3:$B$42)</f>
        <v>0</v>
      </c>
      <c r="K373" s="215">
        <f>LOOKUP(K$2,'Depreciation Schedules'!$A$3:$A$42,'Depreciation Schedules'!$B$3:$B$42)</f>
        <v>0</v>
      </c>
      <c r="L373" s="215">
        <f>LOOKUP(L$2,'Depreciation Schedules'!$A$3:$A$42,'Depreciation Schedules'!$B$3:$B$42)</f>
        <v>0</v>
      </c>
      <c r="M373" s="215">
        <f>LOOKUP(M$2,'Depreciation Schedules'!$A$3:$A$42,'Depreciation Schedules'!$B$3:$B$42)</f>
        <v>0</v>
      </c>
      <c r="N373" s="215">
        <f>LOOKUP(N$2,'Depreciation Schedules'!$A$3:$A$42,'Depreciation Schedules'!$B$3:$B$42)</f>
        <v>0</v>
      </c>
      <c r="O373" s="215">
        <f>LOOKUP(O$2,'Depreciation Schedules'!$A$3:$A$42,'Depreciation Schedules'!$B$3:$B$42)</f>
        <v>0</v>
      </c>
      <c r="P373" s="215">
        <f>LOOKUP(P$2,'Depreciation Schedules'!$A$3:$A$42,'Depreciation Schedules'!$B$3:$B$42)</f>
        <v>0</v>
      </c>
      <c r="Q373" s="215">
        <f>LOOKUP(Q$2,'Depreciation Schedules'!$A$3:$A$42,'Depreciation Schedules'!$B$3:$B$42)</f>
        <v>0</v>
      </c>
      <c r="R373" s="215">
        <f>LOOKUP(R$2,'Depreciation Schedules'!$A$3:$A$42,'Depreciation Schedules'!$B$3:$B$42)</f>
        <v>0</v>
      </c>
      <c r="S373" s="215">
        <f>LOOKUP(S$2,'Depreciation Schedules'!$A$3:$A$42,'Depreciation Schedules'!$B$3:$B$42)</f>
        <v>0</v>
      </c>
      <c r="T373" s="215">
        <f>LOOKUP(T$2,'Depreciation Schedules'!$A$3:$A$42,'Depreciation Schedules'!$B$3:$B$42)</f>
        <v>0</v>
      </c>
      <c r="U373" s="215">
        <f>LOOKUP(U$2,'Depreciation Schedules'!$A$3:$A$42,'Depreciation Schedules'!$B$3:$B$42)</f>
        <v>0</v>
      </c>
      <c r="V373" s="215">
        <f>LOOKUP(V$2,'Depreciation Schedules'!$A$3:$A$42,'Depreciation Schedules'!$B$3:$B$42)</f>
        <v>0</v>
      </c>
      <c r="W373" s="215">
        <f>LOOKUP(W$2,'Depreciation Schedules'!$A$3:$A$42,'Depreciation Schedules'!$B$3:$B$42)</f>
        <v>0</v>
      </c>
      <c r="X373" s="215">
        <f>LOOKUP(X$2,'Depreciation Schedules'!$A$3:$A$42,'Depreciation Schedules'!$B$3:$B$42)</f>
        <v>0</v>
      </c>
      <c r="Y373" s="215">
        <f>LOOKUP(Y$2,'Depreciation Schedules'!$A$3:$A$42,'Depreciation Schedules'!$B$3:$B$42)</f>
        <v>0</v>
      </c>
      <c r="Z373" s="215">
        <f>LOOKUP(Z$2,'Depreciation Schedules'!$A$3:$A$42,'Depreciation Schedules'!$B$3:$B$42)</f>
        <v>0</v>
      </c>
      <c r="AA373" s="215">
        <f>LOOKUP(AA$2,'Depreciation Schedules'!$A$3:$A$42,'Depreciation Schedules'!$B$3:$B$42)</f>
        <v>0</v>
      </c>
      <c r="AB373" s="215">
        <f>LOOKUP(AB$2,'Depreciation Schedules'!$A$3:$A$42,'Depreciation Schedules'!$B$3:$B$42)</f>
        <v>0</v>
      </c>
      <c r="AC373" s="215">
        <f>LOOKUP(AC$2,'Depreciation Schedules'!$A$3:$A$42,'Depreciation Schedules'!$B$3:$B$42)</f>
        <v>0</v>
      </c>
      <c r="AD373" s="215">
        <f>LOOKUP(AD$2,'Depreciation Schedules'!$A$3:$A$42,'Depreciation Schedules'!$B$3:$B$42)</f>
        <v>0</v>
      </c>
      <c r="AE373" s="215">
        <f>LOOKUP(AE$2,'Depreciation Schedules'!$A$3:$A$42,'Depreciation Schedules'!$B$3:$B$42)</f>
        <v>0</v>
      </c>
      <c r="AF373" s="215">
        <f>LOOKUP(AF$2,'Depreciation Schedules'!$A$3:$A$42,'Depreciation Schedules'!$B$3:$B$42)</f>
        <v>0</v>
      </c>
      <c r="AG373" s="215">
        <f>LOOKUP(AG$2,'Depreciation Schedules'!$A$3:$A$42,'Depreciation Schedules'!$B$3:$B$42)</f>
        <v>0</v>
      </c>
      <c r="AH373" s="215">
        <f>LOOKUP(AH$2,'Depreciation Schedules'!$A$3:$A$42,'Depreciation Schedules'!$B$3:$B$42)</f>
        <v>0</v>
      </c>
      <c r="AI373" s="215">
        <f>LOOKUP(AI$2,'Depreciation Schedules'!$A$3:$A$42,'Depreciation Schedules'!$B$3:$B$42)</f>
        <v>0</v>
      </c>
      <c r="AJ373" s="215">
        <f>LOOKUP(AJ$2,'Depreciation Schedules'!$A$3:$A$42,'Depreciation Schedules'!$B$3:$B$42)</f>
        <v>0</v>
      </c>
      <c r="AK373" s="215">
        <f>LOOKUP(AK$2,'Depreciation Schedules'!$A$3:$A$42,'Depreciation Schedules'!$B$3:$B$42)</f>
        <v>0</v>
      </c>
      <c r="AL373" s="215">
        <f>LOOKUP(AL$2,'Depreciation Schedules'!$A$3:$A$42,'Depreciation Schedules'!$B$3:$B$42)</f>
        <v>0</v>
      </c>
      <c r="AM373" s="215">
        <f>LOOKUP(AM$2,'Depreciation Schedules'!$A$3:$A$42,'Depreciation Schedules'!$B$3:$B$42)</f>
        <v>0</v>
      </c>
      <c r="AN373" s="215">
        <f>LOOKUP(AN$2,'Depreciation Schedules'!$A$3:$A$42,'Depreciation Schedules'!$B$3:$B$42)</f>
        <v>0</v>
      </c>
      <c r="AO373" s="215">
        <f>LOOKUP(AO$2,'Depreciation Schedules'!$A$3:$A$42,'Depreciation Schedules'!$B$3:$B$42)</f>
        <v>0</v>
      </c>
      <c r="AP373" s="215">
        <f>LOOKUP(AP$2,'Depreciation Schedules'!$A$3:$A$42,'Depreciation Schedules'!$B$3:$B$42)</f>
        <v>0</v>
      </c>
    </row>
    <row r="374" spans="1:42">
      <c r="A374" s="205" t="str">
        <f t="shared" ref="A374:A378" si="195">A341</f>
        <v>15-yr MACRS</v>
      </c>
      <c r="B374" s="216">
        <f t="shared" ref="B374:B378" si="196">SUM(C374:AP374)</f>
        <v>1.0000000000000002</v>
      </c>
      <c r="C374" s="215">
        <f>LOOKUP(C$2,'Depreciation Schedules'!$A$3:$A$42,'Depreciation Schedules'!$C$3:$C$42)</f>
        <v>0.05</v>
      </c>
      <c r="D374" s="215">
        <f>LOOKUP(D$2,'Depreciation Schedules'!$A$3:$A$42,'Depreciation Schedules'!$C$3:$C$42)</f>
        <v>9.5000000000000001E-2</v>
      </c>
      <c r="E374" s="215">
        <f>LOOKUP(E$2,'Depreciation Schedules'!$A$3:$A$42,'Depreciation Schedules'!$C$3:$C$42)</f>
        <v>8.5500000000000007E-2</v>
      </c>
      <c r="F374" s="215">
        <f>LOOKUP(F$2,'Depreciation Schedules'!$A$3:$A$42,'Depreciation Schedules'!$C$3:$C$42)</f>
        <v>7.6999999999999999E-2</v>
      </c>
      <c r="G374" s="215">
        <f>LOOKUP(G$2,'Depreciation Schedules'!$A$3:$A$42,'Depreciation Schedules'!$C$3:$C$42)</f>
        <v>6.93E-2</v>
      </c>
      <c r="H374" s="215">
        <f>LOOKUP(H$2,'Depreciation Schedules'!$A$3:$A$42,'Depreciation Schedules'!$C$3:$C$42)</f>
        <v>6.2300000000000001E-2</v>
      </c>
      <c r="I374" s="215">
        <f>LOOKUP(I$2,'Depreciation Schedules'!$A$3:$A$42,'Depreciation Schedules'!$C$3:$C$42)</f>
        <v>5.8999999999999997E-2</v>
      </c>
      <c r="J374" s="215">
        <f>LOOKUP(J$2,'Depreciation Schedules'!$A$3:$A$42,'Depreciation Schedules'!$C$3:$C$42)</f>
        <v>5.8999999999999997E-2</v>
      </c>
      <c r="K374" s="215">
        <f>LOOKUP(K$2,'Depreciation Schedules'!$A$3:$A$42,'Depreciation Schedules'!$C$3:$C$42)</f>
        <v>5.91E-2</v>
      </c>
      <c r="L374" s="215">
        <f>LOOKUP(L$2,'Depreciation Schedules'!$A$3:$A$42,'Depreciation Schedules'!$C$3:$C$42)</f>
        <v>5.8999999999999997E-2</v>
      </c>
      <c r="M374" s="215">
        <f>LOOKUP(M$2,'Depreciation Schedules'!$A$3:$A$42,'Depreciation Schedules'!$C$3:$C$42)</f>
        <v>5.91E-2</v>
      </c>
      <c r="N374" s="215">
        <f>LOOKUP(N$2,'Depreciation Schedules'!$A$3:$A$42,'Depreciation Schedules'!$C$3:$C$42)</f>
        <v>5.8999999999999997E-2</v>
      </c>
      <c r="O374" s="215">
        <f>LOOKUP(O$2,'Depreciation Schedules'!$A$3:$A$42,'Depreciation Schedules'!$C$3:$C$42)</f>
        <v>5.91E-2</v>
      </c>
      <c r="P374" s="215">
        <f>LOOKUP(P$2,'Depreciation Schedules'!$A$3:$A$42,'Depreciation Schedules'!$C$3:$C$42)</f>
        <v>5.8999999999999997E-2</v>
      </c>
      <c r="Q374" s="215">
        <f>LOOKUP(Q$2,'Depreciation Schedules'!$A$3:$A$42,'Depreciation Schedules'!$C$3:$C$42)</f>
        <v>5.91E-2</v>
      </c>
      <c r="R374" s="215">
        <f>LOOKUP(R$2,'Depreciation Schedules'!$A$3:$A$42,'Depreciation Schedules'!$C$3:$C$42)</f>
        <v>2.9499999999999998E-2</v>
      </c>
      <c r="S374" s="215">
        <f>LOOKUP(S$2,'Depreciation Schedules'!$A$3:$A$42,'Depreciation Schedules'!$C$3:$C$42)</f>
        <v>0</v>
      </c>
      <c r="T374" s="215">
        <f>LOOKUP(T$2,'Depreciation Schedules'!$A$3:$A$42,'Depreciation Schedules'!$C$3:$C$42)</f>
        <v>0</v>
      </c>
      <c r="U374" s="215">
        <f>LOOKUP(U$2,'Depreciation Schedules'!$A$3:$A$42,'Depreciation Schedules'!$C$3:$C$42)</f>
        <v>0</v>
      </c>
      <c r="V374" s="215">
        <f>LOOKUP(V$2,'Depreciation Schedules'!$A$3:$A$42,'Depreciation Schedules'!$C$3:$C$42)</f>
        <v>0</v>
      </c>
      <c r="W374" s="215">
        <f>LOOKUP(W$2,'Depreciation Schedules'!$A$3:$A$42,'Depreciation Schedules'!$C$3:$C$42)</f>
        <v>0</v>
      </c>
      <c r="X374" s="215">
        <f>LOOKUP(X$2,'Depreciation Schedules'!$A$3:$A$42,'Depreciation Schedules'!$C$3:$C$42)</f>
        <v>0</v>
      </c>
      <c r="Y374" s="215">
        <f>LOOKUP(Y$2,'Depreciation Schedules'!$A$3:$A$42,'Depreciation Schedules'!$C$3:$C$42)</f>
        <v>0</v>
      </c>
      <c r="Z374" s="215">
        <f>LOOKUP(Z$2,'Depreciation Schedules'!$A$3:$A$42,'Depreciation Schedules'!$C$3:$C$42)</f>
        <v>0</v>
      </c>
      <c r="AA374" s="215">
        <f>LOOKUP(AA$2,'Depreciation Schedules'!$A$3:$A$42,'Depreciation Schedules'!$C$3:$C$42)</f>
        <v>0</v>
      </c>
      <c r="AB374" s="215">
        <f>LOOKUP(AB$2,'Depreciation Schedules'!$A$3:$A$42,'Depreciation Schedules'!$C$3:$C$42)</f>
        <v>0</v>
      </c>
      <c r="AC374" s="215">
        <f>LOOKUP(AC$2,'Depreciation Schedules'!$A$3:$A$42,'Depreciation Schedules'!$C$3:$C$42)</f>
        <v>0</v>
      </c>
      <c r="AD374" s="215">
        <f>LOOKUP(AD$2,'Depreciation Schedules'!$A$3:$A$42,'Depreciation Schedules'!$C$3:$C$42)</f>
        <v>0</v>
      </c>
      <c r="AE374" s="215">
        <f>LOOKUP(AE$2,'Depreciation Schedules'!$A$3:$A$42,'Depreciation Schedules'!$C$3:$C$42)</f>
        <v>0</v>
      </c>
      <c r="AF374" s="215">
        <f>LOOKUP(AF$2,'Depreciation Schedules'!$A$3:$A$42,'Depreciation Schedules'!$C$3:$C$42)</f>
        <v>0</v>
      </c>
      <c r="AG374" s="215">
        <f>LOOKUP(AG$2,'Depreciation Schedules'!$A$3:$A$42,'Depreciation Schedules'!$C$3:$C$42)</f>
        <v>0</v>
      </c>
      <c r="AH374" s="215">
        <f>LOOKUP(AH$2,'Depreciation Schedules'!$A$3:$A$42,'Depreciation Schedules'!$C$3:$C$42)</f>
        <v>0</v>
      </c>
      <c r="AI374" s="215">
        <f>LOOKUP(AI$2,'Depreciation Schedules'!$A$3:$A$42,'Depreciation Schedules'!$C$3:$C$42)</f>
        <v>0</v>
      </c>
      <c r="AJ374" s="215">
        <f>LOOKUP(AJ$2,'Depreciation Schedules'!$A$3:$A$42,'Depreciation Schedules'!$C$3:$C$42)</f>
        <v>0</v>
      </c>
      <c r="AK374" s="215">
        <f>LOOKUP(AK$2,'Depreciation Schedules'!$A$3:$A$42,'Depreciation Schedules'!$C$3:$C$42)</f>
        <v>0</v>
      </c>
      <c r="AL374" s="215">
        <f>LOOKUP(AL$2,'Depreciation Schedules'!$A$3:$A$42,'Depreciation Schedules'!$C$3:$C$42)</f>
        <v>0</v>
      </c>
      <c r="AM374" s="215">
        <f>LOOKUP(AM$2,'Depreciation Schedules'!$A$3:$A$42,'Depreciation Schedules'!$C$3:$C$42)</f>
        <v>0</v>
      </c>
      <c r="AN374" s="215">
        <f>LOOKUP(AN$2,'Depreciation Schedules'!$A$3:$A$42,'Depreciation Schedules'!$C$3:$C$42)</f>
        <v>0</v>
      </c>
      <c r="AO374" s="215">
        <f>LOOKUP(AO$2,'Depreciation Schedules'!$A$3:$A$42,'Depreciation Schedules'!$C$3:$C$42)</f>
        <v>0</v>
      </c>
      <c r="AP374" s="215">
        <f>LOOKUP(AP$2,'Depreciation Schedules'!$A$3:$A$42,'Depreciation Schedules'!$C$3:$C$42)</f>
        <v>0</v>
      </c>
    </row>
    <row r="375" spans="1:42">
      <c r="A375" s="205" t="str">
        <f t="shared" si="195"/>
        <v>5-yr SL</v>
      </c>
      <c r="B375" s="216">
        <f t="shared" si="196"/>
        <v>0.99999999999999989</v>
      </c>
      <c r="C375" s="215">
        <f>LOOKUP(C$2,'Depreciation Schedules'!$A$3:$A$42,'Depreciation Schedules'!$D$3:$D$42)</f>
        <v>0.1</v>
      </c>
      <c r="D375" s="215">
        <f>LOOKUP(D$2,'Depreciation Schedules'!$A$3:$A$42,'Depreciation Schedules'!$D$3:$D$42)</f>
        <v>0.2</v>
      </c>
      <c r="E375" s="215">
        <f>LOOKUP(E$2,'Depreciation Schedules'!$A$3:$A$42,'Depreciation Schedules'!$D$3:$D$42)</f>
        <v>0.2</v>
      </c>
      <c r="F375" s="215">
        <f>LOOKUP(F$2,'Depreciation Schedules'!$A$3:$A$42,'Depreciation Schedules'!$D$3:$D$42)</f>
        <v>0.2</v>
      </c>
      <c r="G375" s="215">
        <f>LOOKUP(G$2,'Depreciation Schedules'!$A$3:$A$42,'Depreciation Schedules'!$D$3:$D$42)</f>
        <v>0.2</v>
      </c>
      <c r="H375" s="215">
        <f>LOOKUP(H$2,'Depreciation Schedules'!$A$3:$A$42,'Depreciation Schedules'!$D$3:$D$42)</f>
        <v>0.1</v>
      </c>
      <c r="I375" s="215">
        <f>LOOKUP(I$2,'Depreciation Schedules'!$A$3:$A$42,'Depreciation Schedules'!$D$3:$D$42)</f>
        <v>0</v>
      </c>
      <c r="J375" s="215">
        <f>LOOKUP(J$2,'Depreciation Schedules'!$A$3:$A$42,'Depreciation Schedules'!$D$3:$D$42)</f>
        <v>0</v>
      </c>
      <c r="K375" s="215">
        <f>LOOKUP(K$2,'Depreciation Schedules'!$A$3:$A$42,'Depreciation Schedules'!$D$3:$D$42)</f>
        <v>0</v>
      </c>
      <c r="L375" s="215">
        <f>LOOKUP(L$2,'Depreciation Schedules'!$A$3:$A$42,'Depreciation Schedules'!$D$3:$D$42)</f>
        <v>0</v>
      </c>
      <c r="M375" s="215">
        <f>LOOKUP(M$2,'Depreciation Schedules'!$A$3:$A$42,'Depreciation Schedules'!$D$3:$D$42)</f>
        <v>0</v>
      </c>
      <c r="N375" s="215">
        <f>LOOKUP(N$2,'Depreciation Schedules'!$A$3:$A$42,'Depreciation Schedules'!$D$3:$D$42)</f>
        <v>0</v>
      </c>
      <c r="O375" s="215">
        <f>LOOKUP(O$2,'Depreciation Schedules'!$A$3:$A$42,'Depreciation Schedules'!$D$3:$D$42)</f>
        <v>0</v>
      </c>
      <c r="P375" s="215">
        <f>LOOKUP(P$2,'Depreciation Schedules'!$A$3:$A$42,'Depreciation Schedules'!$D$3:$D$42)</f>
        <v>0</v>
      </c>
      <c r="Q375" s="215">
        <f>LOOKUP(Q$2,'Depreciation Schedules'!$A$3:$A$42,'Depreciation Schedules'!$D$3:$D$42)</f>
        <v>0</v>
      </c>
      <c r="R375" s="215">
        <f>LOOKUP(R$2,'Depreciation Schedules'!$A$3:$A$42,'Depreciation Schedules'!$D$3:$D$42)</f>
        <v>0</v>
      </c>
      <c r="S375" s="215">
        <f>LOOKUP(S$2,'Depreciation Schedules'!$A$3:$A$42,'Depreciation Schedules'!$D$3:$D$42)</f>
        <v>0</v>
      </c>
      <c r="T375" s="215">
        <f>LOOKUP(T$2,'Depreciation Schedules'!$A$3:$A$42,'Depreciation Schedules'!$D$3:$D$42)</f>
        <v>0</v>
      </c>
      <c r="U375" s="215">
        <f>LOOKUP(U$2,'Depreciation Schedules'!$A$3:$A$42,'Depreciation Schedules'!$D$3:$D$42)</f>
        <v>0</v>
      </c>
      <c r="V375" s="215">
        <f>LOOKUP(V$2,'Depreciation Schedules'!$A$3:$A$42,'Depreciation Schedules'!$D$3:$D$42)</f>
        <v>0</v>
      </c>
      <c r="W375" s="215">
        <f>LOOKUP(W$2,'Depreciation Schedules'!$A$3:$A$42,'Depreciation Schedules'!$D$3:$D$42)</f>
        <v>0</v>
      </c>
      <c r="X375" s="215">
        <f>LOOKUP(X$2,'Depreciation Schedules'!$A$3:$A$42,'Depreciation Schedules'!$D$3:$D$42)</f>
        <v>0</v>
      </c>
      <c r="Y375" s="215">
        <f>LOOKUP(Y$2,'Depreciation Schedules'!$A$3:$A$42,'Depreciation Schedules'!$D$3:$D$42)</f>
        <v>0</v>
      </c>
      <c r="Z375" s="215">
        <f>LOOKUP(Z$2,'Depreciation Schedules'!$A$3:$A$42,'Depreciation Schedules'!$D$3:$D$42)</f>
        <v>0</v>
      </c>
      <c r="AA375" s="215">
        <f>LOOKUP(AA$2,'Depreciation Schedules'!$A$3:$A$42,'Depreciation Schedules'!$D$3:$D$42)</f>
        <v>0</v>
      </c>
      <c r="AB375" s="215">
        <f>LOOKUP(AB$2,'Depreciation Schedules'!$A$3:$A$42,'Depreciation Schedules'!$D$3:$D$42)</f>
        <v>0</v>
      </c>
      <c r="AC375" s="215">
        <f>LOOKUP(AC$2,'Depreciation Schedules'!$A$3:$A$42,'Depreciation Schedules'!$D$3:$D$42)</f>
        <v>0</v>
      </c>
      <c r="AD375" s="215">
        <f>LOOKUP(AD$2,'Depreciation Schedules'!$A$3:$A$42,'Depreciation Schedules'!$D$3:$D$42)</f>
        <v>0</v>
      </c>
      <c r="AE375" s="215">
        <f>LOOKUP(AE$2,'Depreciation Schedules'!$A$3:$A$42,'Depreciation Schedules'!$D$3:$D$42)</f>
        <v>0</v>
      </c>
      <c r="AF375" s="215">
        <f>LOOKUP(AF$2,'Depreciation Schedules'!$A$3:$A$42,'Depreciation Schedules'!$D$3:$D$42)</f>
        <v>0</v>
      </c>
      <c r="AG375" s="215">
        <f>LOOKUP(AG$2,'Depreciation Schedules'!$A$3:$A$42,'Depreciation Schedules'!$D$3:$D$42)</f>
        <v>0</v>
      </c>
      <c r="AH375" s="215">
        <f>LOOKUP(AH$2,'Depreciation Schedules'!$A$3:$A$42,'Depreciation Schedules'!$D$3:$D$42)</f>
        <v>0</v>
      </c>
      <c r="AI375" s="215">
        <f>LOOKUP(AI$2,'Depreciation Schedules'!$A$3:$A$42,'Depreciation Schedules'!$D$3:$D$42)</f>
        <v>0</v>
      </c>
      <c r="AJ375" s="215">
        <f>LOOKUP(AJ$2,'Depreciation Schedules'!$A$3:$A$42,'Depreciation Schedules'!$D$3:$D$42)</f>
        <v>0</v>
      </c>
      <c r="AK375" s="215">
        <f>LOOKUP(AK$2,'Depreciation Schedules'!$A$3:$A$42,'Depreciation Schedules'!$D$3:$D$42)</f>
        <v>0</v>
      </c>
      <c r="AL375" s="215">
        <f>LOOKUP(AL$2,'Depreciation Schedules'!$A$3:$A$42,'Depreciation Schedules'!$D$3:$D$42)</f>
        <v>0</v>
      </c>
      <c r="AM375" s="215">
        <f>LOOKUP(AM$2,'Depreciation Schedules'!$A$3:$A$42,'Depreciation Schedules'!$D$3:$D$42)</f>
        <v>0</v>
      </c>
      <c r="AN375" s="215">
        <f>LOOKUP(AN$2,'Depreciation Schedules'!$A$3:$A$42,'Depreciation Schedules'!$D$3:$D$42)</f>
        <v>0</v>
      </c>
      <c r="AO375" s="215">
        <f>LOOKUP(AO$2,'Depreciation Schedules'!$A$3:$A$42,'Depreciation Schedules'!$D$3:$D$42)</f>
        <v>0</v>
      </c>
      <c r="AP375" s="215">
        <f>LOOKUP(AP$2,'Depreciation Schedules'!$A$3:$A$42,'Depreciation Schedules'!$D$3:$D$42)</f>
        <v>0</v>
      </c>
    </row>
    <row r="376" spans="1:42">
      <c r="A376" s="205" t="str">
        <f t="shared" si="195"/>
        <v>15-yr SL</v>
      </c>
      <c r="B376" s="216">
        <f t="shared" si="196"/>
        <v>0.99999999999999989</v>
      </c>
      <c r="C376" s="215">
        <f>LOOKUP(C$2,'Depreciation Schedules'!$A$3:$A$42,'Depreciation Schedules'!$E$3:$E$42)</f>
        <v>3.3300000000000003E-2</v>
      </c>
      <c r="D376" s="215">
        <f>LOOKUP(D$2,'Depreciation Schedules'!$A$3:$A$42,'Depreciation Schedules'!$E$3:$E$42)</f>
        <v>6.6699999999999995E-2</v>
      </c>
      <c r="E376" s="215">
        <f>LOOKUP(E$2,'Depreciation Schedules'!$A$3:$A$42,'Depreciation Schedules'!$E$3:$E$42)</f>
        <v>6.6699999999999995E-2</v>
      </c>
      <c r="F376" s="215">
        <f>LOOKUP(F$2,'Depreciation Schedules'!$A$3:$A$42,'Depreciation Schedules'!$E$3:$E$42)</f>
        <v>6.6699999999999995E-2</v>
      </c>
      <c r="G376" s="215">
        <f>LOOKUP(G$2,'Depreciation Schedules'!$A$3:$A$42,'Depreciation Schedules'!$E$3:$E$42)</f>
        <v>6.6699999999999995E-2</v>
      </c>
      <c r="H376" s="215">
        <f>LOOKUP(H$2,'Depreciation Schedules'!$A$3:$A$42,'Depreciation Schedules'!$E$3:$E$42)</f>
        <v>6.6699999999999995E-2</v>
      </c>
      <c r="I376" s="215">
        <f>LOOKUP(I$2,'Depreciation Schedules'!$A$3:$A$42,'Depreciation Schedules'!$E$3:$E$42)</f>
        <v>6.6699999999999995E-2</v>
      </c>
      <c r="J376" s="215">
        <f>LOOKUP(J$2,'Depreciation Schedules'!$A$3:$A$42,'Depreciation Schedules'!$E$3:$E$42)</f>
        <v>6.6600000000000006E-2</v>
      </c>
      <c r="K376" s="215">
        <f>LOOKUP(K$2,'Depreciation Schedules'!$A$3:$A$42,'Depreciation Schedules'!$E$3:$E$42)</f>
        <v>6.6699999999999995E-2</v>
      </c>
      <c r="L376" s="215">
        <f>LOOKUP(L$2,'Depreciation Schedules'!$A$3:$A$42,'Depreciation Schedules'!$E$3:$E$42)</f>
        <v>6.6600000000000006E-2</v>
      </c>
      <c r="M376" s="215">
        <f>LOOKUP(M$2,'Depreciation Schedules'!$A$3:$A$42,'Depreciation Schedules'!$E$3:$E$42)</f>
        <v>6.6699999999999995E-2</v>
      </c>
      <c r="N376" s="215">
        <f>LOOKUP(N$2,'Depreciation Schedules'!$A$3:$A$42,'Depreciation Schedules'!$E$3:$E$42)</f>
        <v>6.6600000000000006E-2</v>
      </c>
      <c r="O376" s="215">
        <f>LOOKUP(O$2,'Depreciation Schedules'!$A$3:$A$42,'Depreciation Schedules'!$E$3:$E$42)</f>
        <v>6.6699999999999995E-2</v>
      </c>
      <c r="P376" s="215">
        <f>LOOKUP(P$2,'Depreciation Schedules'!$A$3:$A$42,'Depreciation Schedules'!$E$3:$E$42)</f>
        <v>6.6600000000000006E-2</v>
      </c>
      <c r="Q376" s="215">
        <f>LOOKUP(Q$2,'Depreciation Schedules'!$A$3:$A$42,'Depreciation Schedules'!$E$3:$E$42)</f>
        <v>6.6699999999999995E-2</v>
      </c>
      <c r="R376" s="215">
        <f>LOOKUP(R$2,'Depreciation Schedules'!$A$3:$A$42,'Depreciation Schedules'!$E$3:$E$42)</f>
        <v>3.3300000000000003E-2</v>
      </c>
      <c r="S376" s="215">
        <f>LOOKUP(S$2,'Depreciation Schedules'!$A$3:$A$42,'Depreciation Schedules'!$E$3:$E$42)</f>
        <v>0</v>
      </c>
      <c r="T376" s="215">
        <f>LOOKUP(T$2,'Depreciation Schedules'!$A$3:$A$42,'Depreciation Schedules'!$E$3:$E$42)</f>
        <v>0</v>
      </c>
      <c r="U376" s="215">
        <f>LOOKUP(U$2,'Depreciation Schedules'!$A$3:$A$42,'Depreciation Schedules'!$E$3:$E$42)</f>
        <v>0</v>
      </c>
      <c r="V376" s="215">
        <f>LOOKUP(V$2,'Depreciation Schedules'!$A$3:$A$42,'Depreciation Schedules'!$E$3:$E$42)</f>
        <v>0</v>
      </c>
      <c r="W376" s="215">
        <f>LOOKUP(W$2,'Depreciation Schedules'!$A$3:$A$42,'Depreciation Schedules'!$E$3:$E$42)</f>
        <v>0</v>
      </c>
      <c r="X376" s="215">
        <f>LOOKUP(X$2,'Depreciation Schedules'!$A$3:$A$42,'Depreciation Schedules'!$E$3:$E$42)</f>
        <v>0</v>
      </c>
      <c r="Y376" s="215">
        <f>LOOKUP(Y$2,'Depreciation Schedules'!$A$3:$A$42,'Depreciation Schedules'!$E$3:$E$42)</f>
        <v>0</v>
      </c>
      <c r="Z376" s="215">
        <f>LOOKUP(Z$2,'Depreciation Schedules'!$A$3:$A$42,'Depreciation Schedules'!$E$3:$E$42)</f>
        <v>0</v>
      </c>
      <c r="AA376" s="215">
        <f>LOOKUP(AA$2,'Depreciation Schedules'!$A$3:$A$42,'Depreciation Schedules'!$E$3:$E$42)</f>
        <v>0</v>
      </c>
      <c r="AB376" s="215">
        <f>LOOKUP(AB$2,'Depreciation Schedules'!$A$3:$A$42,'Depreciation Schedules'!$E$3:$E$42)</f>
        <v>0</v>
      </c>
      <c r="AC376" s="215">
        <f>LOOKUP(AC$2,'Depreciation Schedules'!$A$3:$A$42,'Depreciation Schedules'!$E$3:$E$42)</f>
        <v>0</v>
      </c>
      <c r="AD376" s="215">
        <f>LOOKUP(AD$2,'Depreciation Schedules'!$A$3:$A$42,'Depreciation Schedules'!$E$3:$E$42)</f>
        <v>0</v>
      </c>
      <c r="AE376" s="215">
        <f>LOOKUP(AE$2,'Depreciation Schedules'!$A$3:$A$42,'Depreciation Schedules'!$E$3:$E$42)</f>
        <v>0</v>
      </c>
      <c r="AF376" s="215">
        <f>LOOKUP(AF$2,'Depreciation Schedules'!$A$3:$A$42,'Depreciation Schedules'!$E$3:$E$42)</f>
        <v>0</v>
      </c>
      <c r="AG376" s="215">
        <f>LOOKUP(AG$2,'Depreciation Schedules'!$A$3:$A$42,'Depreciation Schedules'!$E$3:$E$42)</f>
        <v>0</v>
      </c>
      <c r="AH376" s="215">
        <f>LOOKUP(AH$2,'Depreciation Schedules'!$A$3:$A$42,'Depreciation Schedules'!$E$3:$E$42)</f>
        <v>0</v>
      </c>
      <c r="AI376" s="215">
        <f>LOOKUP(AI$2,'Depreciation Schedules'!$A$3:$A$42,'Depreciation Schedules'!$E$3:$E$42)</f>
        <v>0</v>
      </c>
      <c r="AJ376" s="215">
        <f>LOOKUP(AJ$2,'Depreciation Schedules'!$A$3:$A$42,'Depreciation Schedules'!$E$3:$E$42)</f>
        <v>0</v>
      </c>
      <c r="AK376" s="215">
        <f>LOOKUP(AK$2,'Depreciation Schedules'!$A$3:$A$42,'Depreciation Schedules'!$E$3:$E$42)</f>
        <v>0</v>
      </c>
      <c r="AL376" s="215">
        <f>LOOKUP(AL$2,'Depreciation Schedules'!$A$3:$A$42,'Depreciation Schedules'!$E$3:$E$42)</f>
        <v>0</v>
      </c>
      <c r="AM376" s="215">
        <f>LOOKUP(AM$2,'Depreciation Schedules'!$A$3:$A$42,'Depreciation Schedules'!$E$3:$E$42)</f>
        <v>0</v>
      </c>
      <c r="AN376" s="215">
        <f>LOOKUP(AN$2,'Depreciation Schedules'!$A$3:$A$42,'Depreciation Schedules'!$E$3:$E$42)</f>
        <v>0</v>
      </c>
      <c r="AO376" s="215">
        <f>LOOKUP(AO$2,'Depreciation Schedules'!$A$3:$A$42,'Depreciation Schedules'!$E$3:$E$42)</f>
        <v>0</v>
      </c>
      <c r="AP376" s="215">
        <f>LOOKUP(AP$2,'Depreciation Schedules'!$A$3:$A$42,'Depreciation Schedules'!$E$3:$E$42)</f>
        <v>0</v>
      </c>
    </row>
    <row r="377" spans="1:42">
      <c r="A377" s="205" t="str">
        <f t="shared" si="195"/>
        <v>20-yr SL</v>
      </c>
      <c r="B377" s="216">
        <f t="shared" si="196"/>
        <v>1.0000000000000002</v>
      </c>
      <c r="C377" s="215">
        <f>LOOKUP(C$2,'Depreciation Schedules'!$A$3:$A$42,'Depreciation Schedules'!$F$3:$F$42)</f>
        <v>2.5000000000000001E-2</v>
      </c>
      <c r="D377" s="215">
        <f>LOOKUP(D$2,'Depreciation Schedules'!$A$3:$A$42,'Depreciation Schedules'!$F$3:$F$42)</f>
        <v>0.05</v>
      </c>
      <c r="E377" s="215">
        <f>LOOKUP(E$2,'Depreciation Schedules'!$A$3:$A$42,'Depreciation Schedules'!$F$3:$F$42)</f>
        <v>0.05</v>
      </c>
      <c r="F377" s="215">
        <f>LOOKUP(F$2,'Depreciation Schedules'!$A$3:$A$42,'Depreciation Schedules'!$F$3:$F$42)</f>
        <v>0.05</v>
      </c>
      <c r="G377" s="215">
        <f>LOOKUP(G$2,'Depreciation Schedules'!$A$3:$A$42,'Depreciation Schedules'!$F$3:$F$42)</f>
        <v>0.05</v>
      </c>
      <c r="H377" s="215">
        <f>LOOKUP(H$2,'Depreciation Schedules'!$A$3:$A$42,'Depreciation Schedules'!$F$3:$F$42)</f>
        <v>0.05</v>
      </c>
      <c r="I377" s="215">
        <f>LOOKUP(I$2,'Depreciation Schedules'!$A$3:$A$42,'Depreciation Schedules'!$F$3:$F$42)</f>
        <v>0.05</v>
      </c>
      <c r="J377" s="215">
        <f>LOOKUP(J$2,'Depreciation Schedules'!$A$3:$A$42,'Depreciation Schedules'!$F$3:$F$42)</f>
        <v>0.05</v>
      </c>
      <c r="K377" s="215">
        <f>LOOKUP(K$2,'Depreciation Schedules'!$A$3:$A$42,'Depreciation Schedules'!$F$3:$F$42)</f>
        <v>0.05</v>
      </c>
      <c r="L377" s="215">
        <f>LOOKUP(L$2,'Depreciation Schedules'!$A$3:$A$42,'Depreciation Schedules'!$F$3:$F$42)</f>
        <v>0.05</v>
      </c>
      <c r="M377" s="215">
        <f>LOOKUP(M$2,'Depreciation Schedules'!$A$3:$A$42,'Depreciation Schedules'!$F$3:$F$42)</f>
        <v>0.05</v>
      </c>
      <c r="N377" s="215">
        <f>LOOKUP(N$2,'Depreciation Schedules'!$A$3:$A$42,'Depreciation Schedules'!$F$3:$F$42)</f>
        <v>0.05</v>
      </c>
      <c r="O377" s="215">
        <f>LOOKUP(O$2,'Depreciation Schedules'!$A$3:$A$42,'Depreciation Schedules'!$F$3:$F$42)</f>
        <v>0.05</v>
      </c>
      <c r="P377" s="215">
        <f>LOOKUP(P$2,'Depreciation Schedules'!$A$3:$A$42,'Depreciation Schedules'!$F$3:$F$42)</f>
        <v>0.05</v>
      </c>
      <c r="Q377" s="215">
        <f>LOOKUP(Q$2,'Depreciation Schedules'!$A$3:$A$42,'Depreciation Schedules'!$F$3:$F$42)</f>
        <v>0.05</v>
      </c>
      <c r="R377" s="215">
        <f>LOOKUP(R$2,'Depreciation Schedules'!$A$3:$A$42,'Depreciation Schedules'!$F$3:$F$42)</f>
        <v>0.05</v>
      </c>
      <c r="S377" s="215">
        <f>LOOKUP(S$2,'Depreciation Schedules'!$A$3:$A$42,'Depreciation Schedules'!$F$3:$F$42)</f>
        <v>0.05</v>
      </c>
      <c r="T377" s="215">
        <f>LOOKUP(T$2,'Depreciation Schedules'!$A$3:$A$42,'Depreciation Schedules'!$F$3:$F$42)</f>
        <v>0.05</v>
      </c>
      <c r="U377" s="215">
        <f>LOOKUP(U$2,'Depreciation Schedules'!$A$3:$A$42,'Depreciation Schedules'!$F$3:$F$42)</f>
        <v>0.05</v>
      </c>
      <c r="V377" s="215">
        <f>LOOKUP(V$2,'Depreciation Schedules'!$A$3:$A$42,'Depreciation Schedules'!$F$3:$F$42)</f>
        <v>0.05</v>
      </c>
      <c r="W377" s="215">
        <f>LOOKUP(W$2,'Depreciation Schedules'!$A$3:$A$42,'Depreciation Schedules'!$F$3:$F$42)</f>
        <v>2.5000000000000001E-2</v>
      </c>
      <c r="X377" s="215">
        <f>LOOKUP(X$2,'Depreciation Schedules'!$A$3:$A$42,'Depreciation Schedules'!$F$3:$F$42)</f>
        <v>0</v>
      </c>
      <c r="Y377" s="215">
        <f>LOOKUP(Y$2,'Depreciation Schedules'!$A$3:$A$42,'Depreciation Schedules'!$F$3:$F$42)</f>
        <v>0</v>
      </c>
      <c r="Z377" s="215">
        <f>LOOKUP(Z$2,'Depreciation Schedules'!$A$3:$A$42,'Depreciation Schedules'!$F$3:$F$42)</f>
        <v>0</v>
      </c>
      <c r="AA377" s="215">
        <f>LOOKUP(AA$2,'Depreciation Schedules'!$A$3:$A$42,'Depreciation Schedules'!$F$3:$F$42)</f>
        <v>0</v>
      </c>
      <c r="AB377" s="215">
        <f>LOOKUP(AB$2,'Depreciation Schedules'!$A$3:$A$42,'Depreciation Schedules'!$F$3:$F$42)</f>
        <v>0</v>
      </c>
      <c r="AC377" s="215">
        <f>LOOKUP(AC$2,'Depreciation Schedules'!$A$3:$A$42,'Depreciation Schedules'!$F$3:$F$42)</f>
        <v>0</v>
      </c>
      <c r="AD377" s="215">
        <f>LOOKUP(AD$2,'Depreciation Schedules'!$A$3:$A$42,'Depreciation Schedules'!$F$3:$F$42)</f>
        <v>0</v>
      </c>
      <c r="AE377" s="215">
        <f>LOOKUP(AE$2,'Depreciation Schedules'!$A$3:$A$42,'Depreciation Schedules'!$F$3:$F$42)</f>
        <v>0</v>
      </c>
      <c r="AF377" s="215">
        <f>LOOKUP(AF$2,'Depreciation Schedules'!$A$3:$A$42,'Depreciation Schedules'!$F$3:$F$42)</f>
        <v>0</v>
      </c>
      <c r="AG377" s="215">
        <f>LOOKUP(AG$2,'Depreciation Schedules'!$A$3:$A$42,'Depreciation Schedules'!$F$3:$F$42)</f>
        <v>0</v>
      </c>
      <c r="AH377" s="215">
        <f>LOOKUP(AH$2,'Depreciation Schedules'!$A$3:$A$42,'Depreciation Schedules'!$F$3:$F$42)</f>
        <v>0</v>
      </c>
      <c r="AI377" s="215">
        <f>LOOKUP(AI$2,'Depreciation Schedules'!$A$3:$A$42,'Depreciation Schedules'!$F$3:$F$42)</f>
        <v>0</v>
      </c>
      <c r="AJ377" s="215">
        <f>LOOKUP(AJ$2,'Depreciation Schedules'!$A$3:$A$42,'Depreciation Schedules'!$F$3:$F$42)</f>
        <v>0</v>
      </c>
      <c r="AK377" s="215">
        <f>LOOKUP(AK$2,'Depreciation Schedules'!$A$3:$A$42,'Depreciation Schedules'!$F$3:$F$42)</f>
        <v>0</v>
      </c>
      <c r="AL377" s="215">
        <f>LOOKUP(AL$2,'Depreciation Schedules'!$A$3:$A$42,'Depreciation Schedules'!$F$3:$F$42)</f>
        <v>0</v>
      </c>
      <c r="AM377" s="215">
        <f>LOOKUP(AM$2,'Depreciation Schedules'!$A$3:$A$42,'Depreciation Schedules'!$F$3:$F$42)</f>
        <v>0</v>
      </c>
      <c r="AN377" s="215">
        <f>LOOKUP(AN$2,'Depreciation Schedules'!$A$3:$A$42,'Depreciation Schedules'!$F$3:$F$42)</f>
        <v>0</v>
      </c>
      <c r="AO377" s="215">
        <f>LOOKUP(AO$2,'Depreciation Schedules'!$A$3:$A$42,'Depreciation Schedules'!$F$3:$F$42)</f>
        <v>0</v>
      </c>
      <c r="AP377" s="215">
        <f>LOOKUP(AP$2,'Depreciation Schedules'!$A$3:$A$42,'Depreciation Schedules'!$F$3:$F$42)</f>
        <v>0</v>
      </c>
    </row>
    <row r="378" spans="1:42">
      <c r="A378" s="205" t="str">
        <f t="shared" si="195"/>
        <v>39-yr SL</v>
      </c>
      <c r="B378" s="217">
        <f t="shared" si="196"/>
        <v>1.0000000000000004</v>
      </c>
      <c r="C378" s="215">
        <f>LOOKUP(C$2,'Depreciation Schedules'!$A$3:$A$42,'Depreciation Schedules'!$G$3:$G$42)</f>
        <v>1.2820512820512799E-2</v>
      </c>
      <c r="D378" s="215">
        <f>LOOKUP(D$2,'Depreciation Schedules'!$A$3:$A$42,'Depreciation Schedules'!$G$3:$G$42)</f>
        <v>2.564102564102564E-2</v>
      </c>
      <c r="E378" s="215">
        <f>LOOKUP(E$2,'Depreciation Schedules'!$A$3:$A$42,'Depreciation Schedules'!$G$3:$G$42)</f>
        <v>2.564102564102564E-2</v>
      </c>
      <c r="F378" s="215">
        <f>LOOKUP(F$2,'Depreciation Schedules'!$A$3:$A$42,'Depreciation Schedules'!$G$3:$G$42)</f>
        <v>2.564102564102564E-2</v>
      </c>
      <c r="G378" s="215">
        <f>LOOKUP(G$2,'Depreciation Schedules'!$A$3:$A$42,'Depreciation Schedules'!$G$3:$G$42)</f>
        <v>2.564102564102564E-2</v>
      </c>
      <c r="H378" s="215">
        <f>LOOKUP(H$2,'Depreciation Schedules'!$A$3:$A$42,'Depreciation Schedules'!$G$3:$G$42)</f>
        <v>2.564102564102564E-2</v>
      </c>
      <c r="I378" s="215">
        <f>LOOKUP(I$2,'Depreciation Schedules'!$A$3:$A$42,'Depreciation Schedules'!$G$3:$G$42)</f>
        <v>2.564102564102564E-2</v>
      </c>
      <c r="J378" s="215">
        <f>LOOKUP(J$2,'Depreciation Schedules'!$A$3:$A$42,'Depreciation Schedules'!$G$3:$G$42)</f>
        <v>2.564102564102564E-2</v>
      </c>
      <c r="K378" s="215">
        <f>LOOKUP(K$2,'Depreciation Schedules'!$A$3:$A$42,'Depreciation Schedules'!$G$3:$G$42)</f>
        <v>2.564102564102564E-2</v>
      </c>
      <c r="L378" s="215">
        <f>LOOKUP(L$2,'Depreciation Schedules'!$A$3:$A$42,'Depreciation Schedules'!$G$3:$G$42)</f>
        <v>2.564102564102564E-2</v>
      </c>
      <c r="M378" s="215">
        <f>LOOKUP(M$2,'Depreciation Schedules'!$A$3:$A$42,'Depreciation Schedules'!$G$3:$G$42)</f>
        <v>2.564102564102564E-2</v>
      </c>
      <c r="N378" s="215">
        <f>LOOKUP(N$2,'Depreciation Schedules'!$A$3:$A$42,'Depreciation Schedules'!$G$3:$G$42)</f>
        <v>2.564102564102564E-2</v>
      </c>
      <c r="O378" s="215">
        <f>LOOKUP(O$2,'Depreciation Schedules'!$A$3:$A$42,'Depreciation Schedules'!$G$3:$G$42)</f>
        <v>2.564102564102564E-2</v>
      </c>
      <c r="P378" s="215">
        <f>LOOKUP(P$2,'Depreciation Schedules'!$A$3:$A$42,'Depreciation Schedules'!$G$3:$G$42)</f>
        <v>2.564102564102564E-2</v>
      </c>
      <c r="Q378" s="215">
        <f>LOOKUP(Q$2,'Depreciation Schedules'!$A$3:$A$42,'Depreciation Schedules'!$G$3:$G$42)</f>
        <v>2.564102564102564E-2</v>
      </c>
      <c r="R378" s="215">
        <f>LOOKUP(R$2,'Depreciation Schedules'!$A$3:$A$42,'Depreciation Schedules'!$G$3:$G$42)</f>
        <v>2.564102564102564E-2</v>
      </c>
      <c r="S378" s="215">
        <f>LOOKUP(S$2,'Depreciation Schedules'!$A$3:$A$42,'Depreciation Schedules'!$G$3:$G$42)</f>
        <v>2.564102564102564E-2</v>
      </c>
      <c r="T378" s="215">
        <f>LOOKUP(T$2,'Depreciation Schedules'!$A$3:$A$42,'Depreciation Schedules'!$G$3:$G$42)</f>
        <v>2.564102564102564E-2</v>
      </c>
      <c r="U378" s="215">
        <f>LOOKUP(U$2,'Depreciation Schedules'!$A$3:$A$42,'Depreciation Schedules'!$G$3:$G$42)</f>
        <v>2.564102564102564E-2</v>
      </c>
      <c r="V378" s="215">
        <f>LOOKUP(V$2,'Depreciation Schedules'!$A$3:$A$42,'Depreciation Schedules'!$G$3:$G$42)</f>
        <v>2.564102564102564E-2</v>
      </c>
      <c r="W378" s="215">
        <f>LOOKUP(W$2,'Depreciation Schedules'!$A$3:$A$42,'Depreciation Schedules'!$G$3:$G$42)</f>
        <v>2.564102564102564E-2</v>
      </c>
      <c r="X378" s="215">
        <f>LOOKUP(X$2,'Depreciation Schedules'!$A$3:$A$42,'Depreciation Schedules'!$G$3:$G$42)</f>
        <v>2.564102564102564E-2</v>
      </c>
      <c r="Y378" s="215">
        <f>LOOKUP(Y$2,'Depreciation Schedules'!$A$3:$A$42,'Depreciation Schedules'!$G$3:$G$42)</f>
        <v>2.564102564102564E-2</v>
      </c>
      <c r="Z378" s="215">
        <f>LOOKUP(Z$2,'Depreciation Schedules'!$A$3:$A$42,'Depreciation Schedules'!$G$3:$G$42)</f>
        <v>2.564102564102564E-2</v>
      </c>
      <c r="AA378" s="215">
        <f>LOOKUP(AA$2,'Depreciation Schedules'!$A$3:$A$42,'Depreciation Schedules'!$G$3:$G$42)</f>
        <v>2.564102564102564E-2</v>
      </c>
      <c r="AB378" s="215">
        <f>LOOKUP(AB$2,'Depreciation Schedules'!$A$3:$A$42,'Depreciation Schedules'!$G$3:$G$42)</f>
        <v>2.564102564102564E-2</v>
      </c>
      <c r="AC378" s="215">
        <f>LOOKUP(AC$2,'Depreciation Schedules'!$A$3:$A$42,'Depreciation Schedules'!$G$3:$G$42)</f>
        <v>2.564102564102564E-2</v>
      </c>
      <c r="AD378" s="215">
        <f>LOOKUP(AD$2,'Depreciation Schedules'!$A$3:$A$42,'Depreciation Schedules'!$G$3:$G$42)</f>
        <v>2.564102564102564E-2</v>
      </c>
      <c r="AE378" s="215">
        <f>LOOKUP(AE$2,'Depreciation Schedules'!$A$3:$A$42,'Depreciation Schedules'!$G$3:$G$42)</f>
        <v>2.564102564102564E-2</v>
      </c>
      <c r="AF378" s="215">
        <f>LOOKUP(AF$2,'Depreciation Schedules'!$A$3:$A$42,'Depreciation Schedules'!$G$3:$G$42)</f>
        <v>2.564102564102564E-2</v>
      </c>
      <c r="AG378" s="215">
        <f>LOOKUP(AG$2,'Depreciation Schedules'!$A$3:$A$42,'Depreciation Schedules'!$G$3:$G$42)</f>
        <v>2.564102564102564E-2</v>
      </c>
      <c r="AH378" s="215">
        <f>LOOKUP(AH$2,'Depreciation Schedules'!$A$3:$A$42,'Depreciation Schedules'!$G$3:$G$42)</f>
        <v>2.564102564102564E-2</v>
      </c>
      <c r="AI378" s="215">
        <f>LOOKUP(AI$2,'Depreciation Schedules'!$A$3:$A$42,'Depreciation Schedules'!$G$3:$G$42)</f>
        <v>2.564102564102564E-2</v>
      </c>
      <c r="AJ378" s="215">
        <f>LOOKUP(AJ$2,'Depreciation Schedules'!$A$3:$A$42,'Depreciation Schedules'!$G$3:$G$42)</f>
        <v>2.564102564102564E-2</v>
      </c>
      <c r="AK378" s="215">
        <f>LOOKUP(AK$2,'Depreciation Schedules'!$A$3:$A$42,'Depreciation Schedules'!$G$3:$G$42)</f>
        <v>2.564102564102564E-2</v>
      </c>
      <c r="AL378" s="215">
        <f>LOOKUP(AL$2,'Depreciation Schedules'!$A$3:$A$42,'Depreciation Schedules'!$G$3:$G$42)</f>
        <v>2.564102564102564E-2</v>
      </c>
      <c r="AM378" s="215">
        <f>LOOKUP(AM$2,'Depreciation Schedules'!$A$3:$A$42,'Depreciation Schedules'!$G$3:$G$42)</f>
        <v>2.564102564102564E-2</v>
      </c>
      <c r="AN378" s="215">
        <f>LOOKUP(AN$2,'Depreciation Schedules'!$A$3:$A$42,'Depreciation Schedules'!$G$3:$G$42)</f>
        <v>2.564102564102564E-2</v>
      </c>
      <c r="AO378" s="215">
        <f>LOOKUP(AO$2,'Depreciation Schedules'!$A$3:$A$42,'Depreciation Schedules'!$G$3:$G$42)</f>
        <v>2.564102564102564E-2</v>
      </c>
      <c r="AP378" s="215">
        <f>LOOKUP(AP$2,'Depreciation Schedules'!$A$3:$A$42,'Depreciation Schedules'!$G$3:$G$42)</f>
        <v>1.2820512820512799E-2</v>
      </c>
    </row>
    <row r="379" spans="1:42">
      <c r="A379" s="257" t="s">
        <v>34</v>
      </c>
      <c r="C379" s="186"/>
      <c r="D379" s="186"/>
      <c r="E379" s="186"/>
      <c r="F379" s="186"/>
      <c r="G379" s="186"/>
      <c r="H379" s="186"/>
      <c r="I379" s="186"/>
      <c r="J379" s="186"/>
      <c r="K379" s="186"/>
      <c r="L379" s="186"/>
      <c r="M379" s="186"/>
      <c r="N379" s="186"/>
      <c r="O379" s="186"/>
      <c r="P379" s="186"/>
      <c r="Q379" s="186"/>
      <c r="R379" s="186"/>
      <c r="S379" s="186"/>
      <c r="T379" s="186"/>
      <c r="U379" s="186"/>
      <c r="V379" s="186"/>
      <c r="W379" s="186"/>
      <c r="X379" s="186"/>
      <c r="Y379" s="186"/>
      <c r="Z379" s="186"/>
      <c r="AA379" s="186"/>
      <c r="AB379" s="186"/>
      <c r="AC379" s="186"/>
      <c r="AD379" s="186"/>
      <c r="AE379" s="186"/>
      <c r="AF379" s="186"/>
      <c r="AG379" s="186"/>
      <c r="AH379" s="186"/>
      <c r="AI379" s="186"/>
      <c r="AJ379" s="186"/>
      <c r="AK379" s="186"/>
      <c r="AL379" s="186"/>
      <c r="AM379" s="186"/>
      <c r="AN379" s="186"/>
      <c r="AO379" s="186"/>
      <c r="AP379" s="186"/>
    </row>
    <row r="380" spans="1:42">
      <c r="A380" s="205" t="str">
        <f>A373</f>
        <v>5-yr MACRS</v>
      </c>
      <c r="B380" s="218">
        <f>SUM(C380:AP380)</f>
        <v>34648234.347861312</v>
      </c>
      <c r="C380" s="186">
        <f t="shared" ref="C380:AP380" si="197">C373*$Q340</f>
        <v>6929646.8695722641</v>
      </c>
      <c r="D380" s="186">
        <f t="shared" si="197"/>
        <v>11087434.991315622</v>
      </c>
      <c r="E380" s="186">
        <f t="shared" si="197"/>
        <v>6652460.9947893731</v>
      </c>
      <c r="F380" s="186">
        <f t="shared" si="197"/>
        <v>3991476.5968736238</v>
      </c>
      <c r="G380" s="186">
        <f t="shared" si="197"/>
        <v>3991476.5968736238</v>
      </c>
      <c r="H380" s="186">
        <f t="shared" si="197"/>
        <v>1995738.2984368119</v>
      </c>
      <c r="I380" s="186">
        <f t="shared" si="197"/>
        <v>0</v>
      </c>
      <c r="J380" s="186">
        <f t="shared" si="197"/>
        <v>0</v>
      </c>
      <c r="K380" s="186">
        <f t="shared" si="197"/>
        <v>0</v>
      </c>
      <c r="L380" s="186">
        <f t="shared" si="197"/>
        <v>0</v>
      </c>
      <c r="M380" s="186">
        <f t="shared" si="197"/>
        <v>0</v>
      </c>
      <c r="N380" s="186">
        <f t="shared" si="197"/>
        <v>0</v>
      </c>
      <c r="O380" s="186">
        <f t="shared" si="197"/>
        <v>0</v>
      </c>
      <c r="P380" s="186">
        <f t="shared" si="197"/>
        <v>0</v>
      </c>
      <c r="Q380" s="186">
        <f t="shared" si="197"/>
        <v>0</v>
      </c>
      <c r="R380" s="186">
        <f t="shared" si="197"/>
        <v>0</v>
      </c>
      <c r="S380" s="186">
        <f t="shared" si="197"/>
        <v>0</v>
      </c>
      <c r="T380" s="186">
        <f t="shared" si="197"/>
        <v>0</v>
      </c>
      <c r="U380" s="186">
        <f t="shared" si="197"/>
        <v>0</v>
      </c>
      <c r="V380" s="186">
        <f t="shared" si="197"/>
        <v>0</v>
      </c>
      <c r="W380" s="186">
        <f t="shared" si="197"/>
        <v>0</v>
      </c>
      <c r="X380" s="186">
        <f t="shared" si="197"/>
        <v>0</v>
      </c>
      <c r="Y380" s="186">
        <f t="shared" si="197"/>
        <v>0</v>
      </c>
      <c r="Z380" s="186">
        <f t="shared" si="197"/>
        <v>0</v>
      </c>
      <c r="AA380" s="186">
        <f t="shared" si="197"/>
        <v>0</v>
      </c>
      <c r="AB380" s="186">
        <f t="shared" si="197"/>
        <v>0</v>
      </c>
      <c r="AC380" s="186">
        <f t="shared" si="197"/>
        <v>0</v>
      </c>
      <c r="AD380" s="186">
        <f t="shared" si="197"/>
        <v>0</v>
      </c>
      <c r="AE380" s="186">
        <f t="shared" si="197"/>
        <v>0</v>
      </c>
      <c r="AF380" s="186">
        <f t="shared" si="197"/>
        <v>0</v>
      </c>
      <c r="AG380" s="186">
        <f t="shared" si="197"/>
        <v>0</v>
      </c>
      <c r="AH380" s="186">
        <f t="shared" si="197"/>
        <v>0</v>
      </c>
      <c r="AI380" s="186">
        <f t="shared" si="197"/>
        <v>0</v>
      </c>
      <c r="AJ380" s="186">
        <f t="shared" si="197"/>
        <v>0</v>
      </c>
      <c r="AK380" s="186">
        <f t="shared" si="197"/>
        <v>0</v>
      </c>
      <c r="AL380" s="186">
        <f t="shared" si="197"/>
        <v>0</v>
      </c>
      <c r="AM380" s="186">
        <f t="shared" si="197"/>
        <v>0</v>
      </c>
      <c r="AN380" s="186">
        <f t="shared" si="197"/>
        <v>0</v>
      </c>
      <c r="AO380" s="186">
        <f t="shared" si="197"/>
        <v>0</v>
      </c>
      <c r="AP380" s="186">
        <f t="shared" si="197"/>
        <v>0</v>
      </c>
    </row>
    <row r="381" spans="1:42">
      <c r="A381" s="205" t="str">
        <f t="shared" ref="A381:A385" si="198">A374</f>
        <v>15-yr MACRS</v>
      </c>
      <c r="B381" s="153">
        <f t="shared" ref="B381:B387" si="199">SUM(C381:AP381)</f>
        <v>641767.30273817247</v>
      </c>
      <c r="C381" s="186">
        <f t="shared" ref="C381:AP381" si="200">C374*$Q341</f>
        <v>32088.365136908629</v>
      </c>
      <c r="D381" s="186">
        <f t="shared" si="200"/>
        <v>60967.893760126397</v>
      </c>
      <c r="E381" s="186">
        <f t="shared" si="200"/>
        <v>54871.104384113758</v>
      </c>
      <c r="F381" s="186">
        <f t="shared" si="200"/>
        <v>49416.082310839287</v>
      </c>
      <c r="G381" s="186">
        <f t="shared" si="200"/>
        <v>44474.47407975536</v>
      </c>
      <c r="H381" s="186">
        <f t="shared" si="200"/>
        <v>39982.102960588156</v>
      </c>
      <c r="I381" s="186">
        <f t="shared" si="200"/>
        <v>37864.270861552177</v>
      </c>
      <c r="J381" s="186">
        <f t="shared" si="200"/>
        <v>37864.270861552177</v>
      </c>
      <c r="K381" s="186">
        <f t="shared" si="200"/>
        <v>37928.447591826</v>
      </c>
      <c r="L381" s="186">
        <f t="shared" si="200"/>
        <v>37864.270861552177</v>
      </c>
      <c r="M381" s="186">
        <f t="shared" si="200"/>
        <v>37928.447591826</v>
      </c>
      <c r="N381" s="186">
        <f t="shared" si="200"/>
        <v>37864.270861552177</v>
      </c>
      <c r="O381" s="186">
        <f t="shared" si="200"/>
        <v>37928.447591826</v>
      </c>
      <c r="P381" s="186">
        <f t="shared" si="200"/>
        <v>37864.270861552177</v>
      </c>
      <c r="Q381" s="186">
        <f t="shared" si="200"/>
        <v>37928.447591826</v>
      </c>
      <c r="R381" s="186">
        <f t="shared" si="200"/>
        <v>18932.135430776088</v>
      </c>
      <c r="S381" s="186">
        <f t="shared" si="200"/>
        <v>0</v>
      </c>
      <c r="T381" s="186">
        <f t="shared" si="200"/>
        <v>0</v>
      </c>
      <c r="U381" s="186">
        <f t="shared" si="200"/>
        <v>0</v>
      </c>
      <c r="V381" s="186">
        <f t="shared" si="200"/>
        <v>0</v>
      </c>
      <c r="W381" s="186">
        <f t="shared" si="200"/>
        <v>0</v>
      </c>
      <c r="X381" s="186">
        <f t="shared" si="200"/>
        <v>0</v>
      </c>
      <c r="Y381" s="186">
        <f t="shared" si="200"/>
        <v>0</v>
      </c>
      <c r="Z381" s="186">
        <f t="shared" si="200"/>
        <v>0</v>
      </c>
      <c r="AA381" s="186">
        <f t="shared" si="200"/>
        <v>0</v>
      </c>
      <c r="AB381" s="186">
        <f t="shared" si="200"/>
        <v>0</v>
      </c>
      <c r="AC381" s="186">
        <f t="shared" si="200"/>
        <v>0</v>
      </c>
      <c r="AD381" s="186">
        <f t="shared" si="200"/>
        <v>0</v>
      </c>
      <c r="AE381" s="186">
        <f t="shared" si="200"/>
        <v>0</v>
      </c>
      <c r="AF381" s="186">
        <f t="shared" si="200"/>
        <v>0</v>
      </c>
      <c r="AG381" s="186">
        <f t="shared" si="200"/>
        <v>0</v>
      </c>
      <c r="AH381" s="186">
        <f t="shared" si="200"/>
        <v>0</v>
      </c>
      <c r="AI381" s="186">
        <f t="shared" si="200"/>
        <v>0</v>
      </c>
      <c r="AJ381" s="186">
        <f t="shared" si="200"/>
        <v>0</v>
      </c>
      <c r="AK381" s="186">
        <f t="shared" si="200"/>
        <v>0</v>
      </c>
      <c r="AL381" s="186">
        <f t="shared" si="200"/>
        <v>0</v>
      </c>
      <c r="AM381" s="186">
        <f t="shared" si="200"/>
        <v>0</v>
      </c>
      <c r="AN381" s="186">
        <f t="shared" si="200"/>
        <v>0</v>
      </c>
      <c r="AO381" s="186">
        <f t="shared" si="200"/>
        <v>0</v>
      </c>
      <c r="AP381" s="186">
        <f t="shared" si="200"/>
        <v>0</v>
      </c>
    </row>
    <row r="382" spans="1:42">
      <c r="A382" s="205" t="str">
        <f t="shared" si="198"/>
        <v>5-yr SL</v>
      </c>
      <c r="B382" s="153">
        <f t="shared" si="199"/>
        <v>0</v>
      </c>
      <c r="C382" s="186">
        <f t="shared" ref="C382:AP382" si="201">C375*$Q342</f>
        <v>0</v>
      </c>
      <c r="D382" s="186">
        <f t="shared" si="201"/>
        <v>0</v>
      </c>
      <c r="E382" s="186">
        <f t="shared" si="201"/>
        <v>0</v>
      </c>
      <c r="F382" s="186">
        <f t="shared" si="201"/>
        <v>0</v>
      </c>
      <c r="G382" s="186">
        <f t="shared" si="201"/>
        <v>0</v>
      </c>
      <c r="H382" s="186">
        <f t="shared" si="201"/>
        <v>0</v>
      </c>
      <c r="I382" s="186">
        <f t="shared" si="201"/>
        <v>0</v>
      </c>
      <c r="J382" s="186">
        <f t="shared" si="201"/>
        <v>0</v>
      </c>
      <c r="K382" s="186">
        <f t="shared" si="201"/>
        <v>0</v>
      </c>
      <c r="L382" s="186">
        <f t="shared" si="201"/>
        <v>0</v>
      </c>
      <c r="M382" s="186">
        <f t="shared" si="201"/>
        <v>0</v>
      </c>
      <c r="N382" s="186">
        <f t="shared" si="201"/>
        <v>0</v>
      </c>
      <c r="O382" s="186">
        <f t="shared" si="201"/>
        <v>0</v>
      </c>
      <c r="P382" s="186">
        <f t="shared" si="201"/>
        <v>0</v>
      </c>
      <c r="Q382" s="186">
        <f t="shared" si="201"/>
        <v>0</v>
      </c>
      <c r="R382" s="186">
        <f t="shared" si="201"/>
        <v>0</v>
      </c>
      <c r="S382" s="186">
        <f t="shared" si="201"/>
        <v>0</v>
      </c>
      <c r="T382" s="186">
        <f t="shared" si="201"/>
        <v>0</v>
      </c>
      <c r="U382" s="186">
        <f t="shared" si="201"/>
        <v>0</v>
      </c>
      <c r="V382" s="186">
        <f t="shared" si="201"/>
        <v>0</v>
      </c>
      <c r="W382" s="186">
        <f t="shared" si="201"/>
        <v>0</v>
      </c>
      <c r="X382" s="186">
        <f t="shared" si="201"/>
        <v>0</v>
      </c>
      <c r="Y382" s="186">
        <f t="shared" si="201"/>
        <v>0</v>
      </c>
      <c r="Z382" s="186">
        <f t="shared" si="201"/>
        <v>0</v>
      </c>
      <c r="AA382" s="186">
        <f t="shared" si="201"/>
        <v>0</v>
      </c>
      <c r="AB382" s="186">
        <f t="shared" si="201"/>
        <v>0</v>
      </c>
      <c r="AC382" s="186">
        <f t="shared" si="201"/>
        <v>0</v>
      </c>
      <c r="AD382" s="186">
        <f t="shared" si="201"/>
        <v>0</v>
      </c>
      <c r="AE382" s="186">
        <f t="shared" si="201"/>
        <v>0</v>
      </c>
      <c r="AF382" s="186">
        <f t="shared" si="201"/>
        <v>0</v>
      </c>
      <c r="AG382" s="186">
        <f t="shared" si="201"/>
        <v>0</v>
      </c>
      <c r="AH382" s="186">
        <f t="shared" si="201"/>
        <v>0</v>
      </c>
      <c r="AI382" s="186">
        <f t="shared" si="201"/>
        <v>0</v>
      </c>
      <c r="AJ382" s="186">
        <f t="shared" si="201"/>
        <v>0</v>
      </c>
      <c r="AK382" s="186">
        <f t="shared" si="201"/>
        <v>0</v>
      </c>
      <c r="AL382" s="186">
        <f t="shared" si="201"/>
        <v>0</v>
      </c>
      <c r="AM382" s="186">
        <f t="shared" si="201"/>
        <v>0</v>
      </c>
      <c r="AN382" s="186">
        <f t="shared" si="201"/>
        <v>0</v>
      </c>
      <c r="AO382" s="186">
        <f t="shared" si="201"/>
        <v>0</v>
      </c>
      <c r="AP382" s="186">
        <f t="shared" si="201"/>
        <v>0</v>
      </c>
    </row>
    <row r="383" spans="1:42">
      <c r="A383" s="205" t="str">
        <f t="shared" si="198"/>
        <v>15-yr SL</v>
      </c>
      <c r="B383" s="153">
        <f t="shared" si="199"/>
        <v>1069612.1712302878</v>
      </c>
      <c r="C383" s="186">
        <f t="shared" ref="C383:AP383" si="202">C376*$Q343</f>
        <v>35618.085301968589</v>
      </c>
      <c r="D383" s="186">
        <f t="shared" si="202"/>
        <v>71343.131821060189</v>
      </c>
      <c r="E383" s="186">
        <f t="shared" si="202"/>
        <v>71343.131821060189</v>
      </c>
      <c r="F383" s="186">
        <f t="shared" si="202"/>
        <v>71343.131821060189</v>
      </c>
      <c r="G383" s="186">
        <f t="shared" si="202"/>
        <v>71343.131821060189</v>
      </c>
      <c r="H383" s="186">
        <f t="shared" si="202"/>
        <v>71343.131821060189</v>
      </c>
      <c r="I383" s="186">
        <f t="shared" si="202"/>
        <v>71343.131821060189</v>
      </c>
      <c r="J383" s="186">
        <f t="shared" si="202"/>
        <v>71236.170603937178</v>
      </c>
      <c r="K383" s="186">
        <f t="shared" si="202"/>
        <v>71343.131821060189</v>
      </c>
      <c r="L383" s="186">
        <f t="shared" si="202"/>
        <v>71236.170603937178</v>
      </c>
      <c r="M383" s="186">
        <f t="shared" si="202"/>
        <v>71343.131821060189</v>
      </c>
      <c r="N383" s="186">
        <f t="shared" si="202"/>
        <v>71236.170603937178</v>
      </c>
      <c r="O383" s="186">
        <f t="shared" si="202"/>
        <v>71343.131821060189</v>
      </c>
      <c r="P383" s="186">
        <f t="shared" si="202"/>
        <v>71236.170603937178</v>
      </c>
      <c r="Q383" s="186">
        <f t="shared" si="202"/>
        <v>71343.131821060189</v>
      </c>
      <c r="R383" s="186">
        <f t="shared" si="202"/>
        <v>35618.085301968589</v>
      </c>
      <c r="S383" s="186">
        <f t="shared" si="202"/>
        <v>0</v>
      </c>
      <c r="T383" s="186">
        <f t="shared" si="202"/>
        <v>0</v>
      </c>
      <c r="U383" s="186">
        <f t="shared" si="202"/>
        <v>0</v>
      </c>
      <c r="V383" s="186">
        <f t="shared" si="202"/>
        <v>0</v>
      </c>
      <c r="W383" s="186">
        <f t="shared" si="202"/>
        <v>0</v>
      </c>
      <c r="X383" s="186">
        <f t="shared" si="202"/>
        <v>0</v>
      </c>
      <c r="Y383" s="186">
        <f t="shared" si="202"/>
        <v>0</v>
      </c>
      <c r="Z383" s="186">
        <f t="shared" si="202"/>
        <v>0</v>
      </c>
      <c r="AA383" s="186">
        <f t="shared" si="202"/>
        <v>0</v>
      </c>
      <c r="AB383" s="186">
        <f t="shared" si="202"/>
        <v>0</v>
      </c>
      <c r="AC383" s="186">
        <f t="shared" si="202"/>
        <v>0</v>
      </c>
      <c r="AD383" s="186">
        <f t="shared" si="202"/>
        <v>0</v>
      </c>
      <c r="AE383" s="186">
        <f t="shared" si="202"/>
        <v>0</v>
      </c>
      <c r="AF383" s="186">
        <f t="shared" si="202"/>
        <v>0</v>
      </c>
      <c r="AG383" s="186">
        <f t="shared" si="202"/>
        <v>0</v>
      </c>
      <c r="AH383" s="186">
        <f t="shared" si="202"/>
        <v>0</v>
      </c>
      <c r="AI383" s="186">
        <f t="shared" si="202"/>
        <v>0</v>
      </c>
      <c r="AJ383" s="186">
        <f t="shared" si="202"/>
        <v>0</v>
      </c>
      <c r="AK383" s="186">
        <f t="shared" si="202"/>
        <v>0</v>
      </c>
      <c r="AL383" s="186">
        <f t="shared" si="202"/>
        <v>0</v>
      </c>
      <c r="AM383" s="186">
        <f t="shared" si="202"/>
        <v>0</v>
      </c>
      <c r="AN383" s="186">
        <f t="shared" si="202"/>
        <v>0</v>
      </c>
      <c r="AO383" s="186">
        <f t="shared" si="202"/>
        <v>0</v>
      </c>
      <c r="AP383" s="186">
        <f t="shared" si="202"/>
        <v>0</v>
      </c>
    </row>
    <row r="384" spans="1:42">
      <c r="A384" s="205" t="str">
        <f t="shared" si="198"/>
        <v>20-yr SL</v>
      </c>
      <c r="B384" s="153">
        <f t="shared" si="199"/>
        <v>1069612.171230288</v>
      </c>
      <c r="C384" s="186">
        <f t="shared" ref="C384:AP384" si="203">C377*$Q344</f>
        <v>26740.304280757195</v>
      </c>
      <c r="D384" s="186">
        <f t="shared" si="203"/>
        <v>53480.608561514389</v>
      </c>
      <c r="E384" s="186">
        <f t="shared" si="203"/>
        <v>53480.608561514389</v>
      </c>
      <c r="F384" s="186">
        <f t="shared" si="203"/>
        <v>53480.608561514389</v>
      </c>
      <c r="G384" s="186">
        <f t="shared" si="203"/>
        <v>53480.608561514389</v>
      </c>
      <c r="H384" s="186">
        <f t="shared" si="203"/>
        <v>53480.608561514389</v>
      </c>
      <c r="I384" s="186">
        <f t="shared" si="203"/>
        <v>53480.608561514389</v>
      </c>
      <c r="J384" s="186">
        <f t="shared" si="203"/>
        <v>53480.608561514389</v>
      </c>
      <c r="K384" s="186">
        <f t="shared" si="203"/>
        <v>53480.608561514389</v>
      </c>
      <c r="L384" s="186">
        <f t="shared" si="203"/>
        <v>53480.608561514389</v>
      </c>
      <c r="M384" s="186">
        <f t="shared" si="203"/>
        <v>53480.608561514389</v>
      </c>
      <c r="N384" s="186">
        <f t="shared" si="203"/>
        <v>53480.608561514389</v>
      </c>
      <c r="O384" s="186">
        <f t="shared" si="203"/>
        <v>53480.608561514389</v>
      </c>
      <c r="P384" s="186">
        <f t="shared" si="203"/>
        <v>53480.608561514389</v>
      </c>
      <c r="Q384" s="186">
        <f t="shared" si="203"/>
        <v>53480.608561514389</v>
      </c>
      <c r="R384" s="186">
        <f t="shared" si="203"/>
        <v>53480.608561514389</v>
      </c>
      <c r="S384" s="186">
        <f t="shared" si="203"/>
        <v>53480.608561514389</v>
      </c>
      <c r="T384" s="186">
        <f t="shared" si="203"/>
        <v>53480.608561514389</v>
      </c>
      <c r="U384" s="186">
        <f t="shared" si="203"/>
        <v>53480.608561514389</v>
      </c>
      <c r="V384" s="186">
        <f t="shared" si="203"/>
        <v>53480.608561514389</v>
      </c>
      <c r="W384" s="186">
        <f t="shared" si="203"/>
        <v>26740.304280757195</v>
      </c>
      <c r="X384" s="186">
        <f t="shared" si="203"/>
        <v>0</v>
      </c>
      <c r="Y384" s="186">
        <f t="shared" si="203"/>
        <v>0</v>
      </c>
      <c r="Z384" s="186">
        <f t="shared" si="203"/>
        <v>0</v>
      </c>
      <c r="AA384" s="186">
        <f t="shared" si="203"/>
        <v>0</v>
      </c>
      <c r="AB384" s="186">
        <f t="shared" si="203"/>
        <v>0</v>
      </c>
      <c r="AC384" s="186">
        <f t="shared" si="203"/>
        <v>0</v>
      </c>
      <c r="AD384" s="186">
        <f t="shared" si="203"/>
        <v>0</v>
      </c>
      <c r="AE384" s="186">
        <f t="shared" si="203"/>
        <v>0</v>
      </c>
      <c r="AF384" s="186">
        <f t="shared" si="203"/>
        <v>0</v>
      </c>
      <c r="AG384" s="186">
        <f t="shared" si="203"/>
        <v>0</v>
      </c>
      <c r="AH384" s="186">
        <f t="shared" si="203"/>
        <v>0</v>
      </c>
      <c r="AI384" s="186">
        <f t="shared" si="203"/>
        <v>0</v>
      </c>
      <c r="AJ384" s="186">
        <f t="shared" si="203"/>
        <v>0</v>
      </c>
      <c r="AK384" s="186">
        <f t="shared" si="203"/>
        <v>0</v>
      </c>
      <c r="AL384" s="186">
        <f t="shared" si="203"/>
        <v>0</v>
      </c>
      <c r="AM384" s="186">
        <f t="shared" si="203"/>
        <v>0</v>
      </c>
      <c r="AN384" s="186">
        <f t="shared" si="203"/>
        <v>0</v>
      </c>
      <c r="AO384" s="186">
        <f t="shared" si="203"/>
        <v>0</v>
      </c>
      <c r="AP384" s="186">
        <f t="shared" si="203"/>
        <v>0</v>
      </c>
    </row>
    <row r="385" spans="1:42">
      <c r="A385" s="205" t="str">
        <f t="shared" si="198"/>
        <v>39-yr SL</v>
      </c>
      <c r="B385" s="153">
        <f t="shared" si="199"/>
        <v>213922.43424605762</v>
      </c>
      <c r="C385" s="186">
        <f t="shared" ref="C385:AP385" si="204">C378*$Q345</f>
        <v>2742.5953108468871</v>
      </c>
      <c r="D385" s="186">
        <f t="shared" si="204"/>
        <v>5485.1906216937823</v>
      </c>
      <c r="E385" s="186">
        <f t="shared" si="204"/>
        <v>5485.1906216937823</v>
      </c>
      <c r="F385" s="186">
        <f t="shared" si="204"/>
        <v>5485.1906216937823</v>
      </c>
      <c r="G385" s="186">
        <f t="shared" si="204"/>
        <v>5485.1906216937823</v>
      </c>
      <c r="H385" s="186">
        <f t="shared" si="204"/>
        <v>5485.1906216937823</v>
      </c>
      <c r="I385" s="186">
        <f t="shared" si="204"/>
        <v>5485.1906216937823</v>
      </c>
      <c r="J385" s="186">
        <f t="shared" si="204"/>
        <v>5485.1906216937823</v>
      </c>
      <c r="K385" s="186">
        <f t="shared" si="204"/>
        <v>5485.1906216937823</v>
      </c>
      <c r="L385" s="186">
        <f t="shared" si="204"/>
        <v>5485.1906216937823</v>
      </c>
      <c r="M385" s="186">
        <f t="shared" si="204"/>
        <v>5485.1906216937823</v>
      </c>
      <c r="N385" s="186">
        <f t="shared" si="204"/>
        <v>5485.1906216937823</v>
      </c>
      <c r="O385" s="186">
        <f t="shared" si="204"/>
        <v>5485.1906216937823</v>
      </c>
      <c r="P385" s="186">
        <f t="shared" si="204"/>
        <v>5485.1906216937823</v>
      </c>
      <c r="Q385" s="186">
        <f t="shared" si="204"/>
        <v>5485.1906216937823</v>
      </c>
      <c r="R385" s="186">
        <f t="shared" si="204"/>
        <v>5485.1906216937823</v>
      </c>
      <c r="S385" s="186">
        <f t="shared" si="204"/>
        <v>5485.1906216937823</v>
      </c>
      <c r="T385" s="186">
        <f t="shared" si="204"/>
        <v>5485.1906216937823</v>
      </c>
      <c r="U385" s="186">
        <f t="shared" si="204"/>
        <v>5485.1906216937823</v>
      </c>
      <c r="V385" s="186">
        <f t="shared" si="204"/>
        <v>5485.1906216937823</v>
      </c>
      <c r="W385" s="186">
        <f t="shared" si="204"/>
        <v>5485.1906216937823</v>
      </c>
      <c r="X385" s="186">
        <f t="shared" si="204"/>
        <v>5485.1906216937823</v>
      </c>
      <c r="Y385" s="186">
        <f t="shared" si="204"/>
        <v>5485.1906216937823</v>
      </c>
      <c r="Z385" s="186">
        <f t="shared" si="204"/>
        <v>5485.1906216937823</v>
      </c>
      <c r="AA385" s="186">
        <f t="shared" si="204"/>
        <v>5485.1906216937823</v>
      </c>
      <c r="AB385" s="186">
        <f t="shared" si="204"/>
        <v>5485.1906216937823</v>
      </c>
      <c r="AC385" s="186">
        <f t="shared" si="204"/>
        <v>5485.1906216937823</v>
      </c>
      <c r="AD385" s="186">
        <f t="shared" si="204"/>
        <v>5485.1906216937823</v>
      </c>
      <c r="AE385" s="186">
        <f t="shared" si="204"/>
        <v>5485.1906216937823</v>
      </c>
      <c r="AF385" s="186">
        <f t="shared" si="204"/>
        <v>5485.1906216937823</v>
      </c>
      <c r="AG385" s="186">
        <f t="shared" si="204"/>
        <v>5485.1906216937823</v>
      </c>
      <c r="AH385" s="186">
        <f t="shared" si="204"/>
        <v>5485.1906216937823</v>
      </c>
      <c r="AI385" s="186">
        <f t="shared" si="204"/>
        <v>5485.1906216937823</v>
      </c>
      <c r="AJ385" s="186">
        <f t="shared" si="204"/>
        <v>5485.1906216937823</v>
      </c>
      <c r="AK385" s="186">
        <f t="shared" si="204"/>
        <v>5485.1906216937823</v>
      </c>
      <c r="AL385" s="186">
        <f t="shared" si="204"/>
        <v>5485.1906216937823</v>
      </c>
      <c r="AM385" s="186">
        <f t="shared" si="204"/>
        <v>5485.1906216937823</v>
      </c>
      <c r="AN385" s="186">
        <f t="shared" si="204"/>
        <v>5485.1906216937823</v>
      </c>
      <c r="AO385" s="186">
        <f t="shared" si="204"/>
        <v>5485.1906216937823</v>
      </c>
      <c r="AP385" s="186">
        <f t="shared" si="204"/>
        <v>2742.5953108468871</v>
      </c>
    </row>
    <row r="386" spans="1:42">
      <c r="A386" s="205" t="s">
        <v>319</v>
      </c>
      <c r="B386" s="212">
        <f t="shared" si="199"/>
        <v>3849803.8164290357</v>
      </c>
      <c r="C386" s="187">
        <f>P347</f>
        <v>3849803.8164290357</v>
      </c>
      <c r="D386" s="187">
        <v>0</v>
      </c>
      <c r="E386" s="187">
        <v>0</v>
      </c>
      <c r="F386" s="187">
        <v>0</v>
      </c>
      <c r="G386" s="187">
        <v>0</v>
      </c>
      <c r="H386" s="187">
        <v>0</v>
      </c>
      <c r="I386" s="187">
        <v>0</v>
      </c>
      <c r="J386" s="187">
        <v>0</v>
      </c>
      <c r="K386" s="187">
        <v>0</v>
      </c>
      <c r="L386" s="187">
        <v>0</v>
      </c>
      <c r="M386" s="187">
        <v>0</v>
      </c>
      <c r="N386" s="187">
        <v>0</v>
      </c>
      <c r="O386" s="187">
        <v>0</v>
      </c>
      <c r="P386" s="187">
        <v>0</v>
      </c>
      <c r="Q386" s="187">
        <v>0</v>
      </c>
      <c r="R386" s="187">
        <v>0</v>
      </c>
      <c r="S386" s="187">
        <v>0</v>
      </c>
      <c r="T386" s="187">
        <v>0</v>
      </c>
      <c r="U386" s="187">
        <v>0</v>
      </c>
      <c r="V386" s="187">
        <v>0</v>
      </c>
      <c r="W386" s="187">
        <v>0</v>
      </c>
      <c r="X386" s="187">
        <v>0</v>
      </c>
      <c r="Y386" s="187">
        <v>0</v>
      </c>
      <c r="Z386" s="187">
        <v>0</v>
      </c>
      <c r="AA386" s="187">
        <v>0</v>
      </c>
      <c r="AB386" s="187">
        <v>0</v>
      </c>
      <c r="AC386" s="187">
        <v>0</v>
      </c>
      <c r="AD386" s="187">
        <v>0</v>
      </c>
      <c r="AE386" s="187">
        <v>0</v>
      </c>
      <c r="AF386" s="187">
        <v>0</v>
      </c>
      <c r="AG386" s="187">
        <v>0</v>
      </c>
      <c r="AH386" s="187">
        <v>0</v>
      </c>
      <c r="AI386" s="187">
        <v>0</v>
      </c>
      <c r="AJ386" s="187">
        <v>0</v>
      </c>
      <c r="AK386" s="187">
        <v>0</v>
      </c>
      <c r="AL386" s="187">
        <v>0</v>
      </c>
      <c r="AM386" s="187">
        <v>0</v>
      </c>
      <c r="AN386" s="187">
        <v>0</v>
      </c>
      <c r="AO386" s="187">
        <v>0</v>
      </c>
      <c r="AP386" s="187">
        <v>0</v>
      </c>
    </row>
    <row r="387" spans="1:42">
      <c r="A387" s="204"/>
      <c r="B387" s="212">
        <f t="shared" si="199"/>
        <v>41492952.243735194</v>
      </c>
      <c r="C387" s="186">
        <f>SUM(C380:C386)</f>
        <v>10876640.036031781</v>
      </c>
      <c r="D387" s="186">
        <f t="shared" ref="D387:AP387" si="205">SUM(D380:D386)</f>
        <v>11278711.816080017</v>
      </c>
      <c r="E387" s="186">
        <f t="shared" si="205"/>
        <v>6837641.0301777553</v>
      </c>
      <c r="F387" s="186">
        <f t="shared" si="205"/>
        <v>4171201.610188731</v>
      </c>
      <c r="G387" s="186">
        <f t="shared" si="205"/>
        <v>4166260.001957647</v>
      </c>
      <c r="H387" s="186">
        <f t="shared" si="205"/>
        <v>2166029.3324016682</v>
      </c>
      <c r="I387" s="186">
        <f t="shared" si="205"/>
        <v>168173.20186582053</v>
      </c>
      <c r="J387" s="186">
        <f t="shared" si="205"/>
        <v>168066.24064869754</v>
      </c>
      <c r="K387" s="186">
        <f t="shared" si="205"/>
        <v>168237.37859609438</v>
      </c>
      <c r="L387" s="186">
        <f t="shared" si="205"/>
        <v>168066.24064869754</v>
      </c>
      <c r="M387" s="186">
        <f t="shared" si="205"/>
        <v>168237.37859609438</v>
      </c>
      <c r="N387" s="186">
        <f t="shared" si="205"/>
        <v>168066.24064869754</v>
      </c>
      <c r="O387" s="186">
        <f t="shared" si="205"/>
        <v>168237.37859609438</v>
      </c>
      <c r="P387" s="186">
        <f t="shared" si="205"/>
        <v>168066.24064869754</v>
      </c>
      <c r="Q387" s="186">
        <f t="shared" si="205"/>
        <v>168237.37859609438</v>
      </c>
      <c r="R387" s="186">
        <f t="shared" si="205"/>
        <v>113516.01991595286</v>
      </c>
      <c r="S387" s="186">
        <f t="shared" si="205"/>
        <v>58965.799183208175</v>
      </c>
      <c r="T387" s="186">
        <f t="shared" si="205"/>
        <v>58965.799183208175</v>
      </c>
      <c r="U387" s="186">
        <f t="shared" si="205"/>
        <v>58965.799183208175</v>
      </c>
      <c r="V387" s="186">
        <f t="shared" si="205"/>
        <v>58965.799183208175</v>
      </c>
      <c r="W387" s="186">
        <f t="shared" si="205"/>
        <v>32225.494902450977</v>
      </c>
      <c r="X387" s="186">
        <f t="shared" si="205"/>
        <v>5485.1906216937823</v>
      </c>
      <c r="Y387" s="186">
        <f t="shared" si="205"/>
        <v>5485.1906216937823</v>
      </c>
      <c r="Z387" s="186">
        <f t="shared" si="205"/>
        <v>5485.1906216937823</v>
      </c>
      <c r="AA387" s="186">
        <f t="shared" si="205"/>
        <v>5485.1906216937823</v>
      </c>
      <c r="AB387" s="186">
        <f t="shared" si="205"/>
        <v>5485.1906216937823</v>
      </c>
      <c r="AC387" s="186">
        <f t="shared" si="205"/>
        <v>5485.1906216937823</v>
      </c>
      <c r="AD387" s="186">
        <f t="shared" si="205"/>
        <v>5485.1906216937823</v>
      </c>
      <c r="AE387" s="186">
        <f t="shared" si="205"/>
        <v>5485.1906216937823</v>
      </c>
      <c r="AF387" s="186">
        <f t="shared" si="205"/>
        <v>5485.1906216937823</v>
      </c>
      <c r="AG387" s="186">
        <f t="shared" si="205"/>
        <v>5485.1906216937823</v>
      </c>
      <c r="AH387" s="186">
        <f t="shared" si="205"/>
        <v>5485.1906216937823</v>
      </c>
      <c r="AI387" s="186">
        <f t="shared" si="205"/>
        <v>5485.1906216937823</v>
      </c>
      <c r="AJ387" s="186">
        <f t="shared" si="205"/>
        <v>5485.1906216937823</v>
      </c>
      <c r="AK387" s="186">
        <f t="shared" si="205"/>
        <v>5485.1906216937823</v>
      </c>
      <c r="AL387" s="186">
        <f t="shared" si="205"/>
        <v>5485.1906216937823</v>
      </c>
      <c r="AM387" s="186">
        <f t="shared" si="205"/>
        <v>5485.1906216937823</v>
      </c>
      <c r="AN387" s="186">
        <f t="shared" si="205"/>
        <v>5485.1906216937823</v>
      </c>
      <c r="AO387" s="186">
        <f t="shared" si="205"/>
        <v>5485.1906216937823</v>
      </c>
      <c r="AP387" s="186">
        <f t="shared" si="205"/>
        <v>2742.5953108468871</v>
      </c>
    </row>
    <row r="388" spans="1:42">
      <c r="A388" s="204"/>
      <c r="B388" s="186"/>
      <c r="C388" s="186"/>
      <c r="D388" s="186"/>
      <c r="E388" s="186"/>
      <c r="F388" s="186"/>
      <c r="G388" s="186"/>
      <c r="H388" s="186"/>
      <c r="I388" s="186"/>
      <c r="J388" s="186"/>
      <c r="K388" s="186"/>
      <c r="L388" s="186"/>
      <c r="M388" s="186"/>
      <c r="N388" s="186"/>
      <c r="O388" s="186"/>
      <c r="P388" s="186"/>
      <c r="Q388" s="186"/>
      <c r="R388" s="186"/>
      <c r="S388" s="186"/>
      <c r="T388" s="186"/>
      <c r="U388" s="186"/>
      <c r="V388" s="186"/>
      <c r="W388" s="186"/>
      <c r="X388" s="186"/>
      <c r="Y388" s="186"/>
      <c r="Z388" s="186"/>
      <c r="AA388" s="186"/>
      <c r="AB388" s="186"/>
      <c r="AC388" s="186"/>
      <c r="AD388" s="186"/>
      <c r="AE388" s="186"/>
      <c r="AF388" s="186"/>
      <c r="AG388" s="186"/>
      <c r="AH388" s="186"/>
      <c r="AI388" s="186"/>
      <c r="AJ388" s="186"/>
      <c r="AK388" s="186"/>
      <c r="AL388" s="186"/>
      <c r="AM388" s="186"/>
      <c r="AN388" s="186"/>
      <c r="AO388" s="186"/>
      <c r="AP388" s="186"/>
    </row>
    <row r="389" spans="1:42">
      <c r="A389" s="197" t="s">
        <v>206</v>
      </c>
      <c r="C389" s="186"/>
      <c r="D389" s="186"/>
      <c r="E389" s="186"/>
      <c r="F389" s="186"/>
      <c r="G389" s="186"/>
      <c r="H389" s="186"/>
      <c r="I389" s="186"/>
      <c r="J389" s="186"/>
      <c r="K389" s="186"/>
      <c r="L389" s="186"/>
      <c r="M389" s="186"/>
      <c r="N389" s="186"/>
      <c r="O389" s="186"/>
      <c r="P389" s="186"/>
      <c r="Q389" s="186"/>
      <c r="R389" s="186"/>
      <c r="S389" s="186"/>
      <c r="T389" s="186"/>
      <c r="U389" s="186"/>
      <c r="V389" s="186"/>
      <c r="W389" s="186"/>
      <c r="X389" s="186"/>
      <c r="Y389" s="186"/>
      <c r="Z389" s="186"/>
      <c r="AA389" s="186"/>
      <c r="AB389" s="186"/>
      <c r="AC389" s="186"/>
      <c r="AD389" s="186"/>
      <c r="AE389" s="186"/>
      <c r="AF389" s="186"/>
      <c r="AG389" s="186"/>
      <c r="AH389" s="186"/>
      <c r="AI389" s="186"/>
      <c r="AJ389" s="186"/>
      <c r="AK389" s="186"/>
      <c r="AL389" s="186"/>
      <c r="AM389" s="186"/>
      <c r="AN389" s="186"/>
      <c r="AO389" s="186"/>
      <c r="AP389" s="186"/>
    </row>
    <row r="390" spans="1:42">
      <c r="A390" s="204" t="s">
        <v>208</v>
      </c>
      <c r="B390" s="219" t="str">
        <f>MMFedTaxTreatment</f>
        <v>5-yr MACRS</v>
      </c>
      <c r="C390" s="186"/>
      <c r="D390" s="186"/>
      <c r="E390" s="186"/>
      <c r="F390" s="186"/>
      <c r="G390" s="186"/>
      <c r="H390" s="186"/>
      <c r="I390" s="186"/>
      <c r="J390" s="186"/>
      <c r="K390" s="186"/>
      <c r="L390" s="186"/>
      <c r="M390" s="186"/>
      <c r="N390" s="186"/>
      <c r="O390" s="186"/>
      <c r="P390" s="186"/>
      <c r="Q390" s="186"/>
      <c r="R390" s="186"/>
      <c r="S390" s="186"/>
      <c r="T390" s="186"/>
      <c r="U390" s="186"/>
      <c r="V390" s="186"/>
      <c r="W390" s="186"/>
      <c r="X390" s="186"/>
      <c r="Y390" s="186"/>
      <c r="Z390" s="186"/>
      <c r="AA390" s="186"/>
      <c r="AB390" s="186"/>
      <c r="AC390" s="186"/>
      <c r="AD390" s="186"/>
      <c r="AE390" s="186"/>
      <c r="AF390" s="186"/>
      <c r="AG390" s="186"/>
      <c r="AH390" s="186"/>
      <c r="AI390" s="186"/>
      <c r="AJ390" s="186"/>
      <c r="AK390" s="186"/>
      <c r="AL390" s="186"/>
      <c r="AM390" s="186"/>
      <c r="AN390" s="186"/>
      <c r="AO390" s="186"/>
      <c r="AP390" s="186"/>
    </row>
    <row r="391" spans="1:42">
      <c r="A391" s="204" t="s">
        <v>209</v>
      </c>
      <c r="B391" s="186">
        <f t="shared" ref="B391:AP391" si="206">B2</f>
        <v>0</v>
      </c>
      <c r="C391" s="186">
        <f t="shared" si="206"/>
        <v>1</v>
      </c>
      <c r="D391" s="186">
        <f t="shared" si="206"/>
        <v>2</v>
      </c>
      <c r="E391" s="186">
        <f t="shared" si="206"/>
        <v>3</v>
      </c>
      <c r="F391" s="186">
        <f t="shared" si="206"/>
        <v>4</v>
      </c>
      <c r="G391" s="186">
        <f t="shared" si="206"/>
        <v>5</v>
      </c>
      <c r="H391" s="186">
        <f t="shared" si="206"/>
        <v>6</v>
      </c>
      <c r="I391" s="186">
        <f t="shared" si="206"/>
        <v>7</v>
      </c>
      <c r="J391" s="186">
        <f t="shared" si="206"/>
        <v>8</v>
      </c>
      <c r="K391" s="186">
        <f t="shared" si="206"/>
        <v>9</v>
      </c>
      <c r="L391" s="186">
        <f t="shared" si="206"/>
        <v>10</v>
      </c>
      <c r="M391" s="186">
        <f t="shared" si="206"/>
        <v>11</v>
      </c>
      <c r="N391" s="186">
        <f t="shared" si="206"/>
        <v>12</v>
      </c>
      <c r="O391" s="186">
        <f t="shared" si="206"/>
        <v>13</v>
      </c>
      <c r="P391" s="186">
        <f t="shared" si="206"/>
        <v>14</v>
      </c>
      <c r="Q391" s="186">
        <f t="shared" si="206"/>
        <v>15</v>
      </c>
      <c r="R391" s="186">
        <f t="shared" si="206"/>
        <v>16</v>
      </c>
      <c r="S391" s="186">
        <f t="shared" si="206"/>
        <v>17</v>
      </c>
      <c r="T391" s="186">
        <f t="shared" si="206"/>
        <v>18</v>
      </c>
      <c r="U391" s="186">
        <f t="shared" si="206"/>
        <v>19</v>
      </c>
      <c r="V391" s="186">
        <f t="shared" si="206"/>
        <v>20</v>
      </c>
      <c r="W391" s="186">
        <f t="shared" si="206"/>
        <v>21</v>
      </c>
      <c r="X391" s="186">
        <f t="shared" si="206"/>
        <v>22</v>
      </c>
      <c r="Y391" s="186">
        <f t="shared" si="206"/>
        <v>23</v>
      </c>
      <c r="Z391" s="186">
        <f t="shared" si="206"/>
        <v>24</v>
      </c>
      <c r="AA391" s="186">
        <f t="shared" si="206"/>
        <v>25</v>
      </c>
      <c r="AB391" s="186">
        <f t="shared" si="206"/>
        <v>26</v>
      </c>
      <c r="AC391" s="186">
        <f t="shared" si="206"/>
        <v>27</v>
      </c>
      <c r="AD391" s="186">
        <f t="shared" si="206"/>
        <v>28</v>
      </c>
      <c r="AE391" s="186">
        <f t="shared" si="206"/>
        <v>29</v>
      </c>
      <c r="AF391" s="186">
        <f t="shared" si="206"/>
        <v>30</v>
      </c>
      <c r="AG391" s="186">
        <f t="shared" si="206"/>
        <v>31</v>
      </c>
      <c r="AH391" s="186">
        <f t="shared" si="206"/>
        <v>32</v>
      </c>
      <c r="AI391" s="186">
        <f t="shared" si="206"/>
        <v>33</v>
      </c>
      <c r="AJ391" s="186">
        <f t="shared" si="206"/>
        <v>34</v>
      </c>
      <c r="AK391" s="186">
        <f t="shared" si="206"/>
        <v>35</v>
      </c>
      <c r="AL391" s="186">
        <f t="shared" si="206"/>
        <v>36</v>
      </c>
      <c r="AM391" s="186">
        <f t="shared" si="206"/>
        <v>37</v>
      </c>
      <c r="AN391" s="186">
        <f t="shared" si="206"/>
        <v>38</v>
      </c>
      <c r="AO391" s="186">
        <f t="shared" si="206"/>
        <v>39</v>
      </c>
      <c r="AP391" s="186">
        <f t="shared" si="206"/>
        <v>40</v>
      </c>
    </row>
    <row r="392" spans="1:42">
      <c r="A392" s="204" t="s">
        <v>210</v>
      </c>
      <c r="B392" s="220">
        <v>0</v>
      </c>
      <c r="C392" s="215">
        <f t="shared" ref="C392:AP392" si="207">IF($B$390=$A373,C373,0)+IF($B$390=$A374,C374,0)+IF($B$390=$A375,C375,0)+IF($B$390=$A376,C376,0)+IF($B$390=$A377,C377,0)+IF($B$390=$A378,C378,0)</f>
        <v>0.2</v>
      </c>
      <c r="D392" s="215">
        <f t="shared" si="207"/>
        <v>0.32</v>
      </c>
      <c r="E392" s="215">
        <f t="shared" si="207"/>
        <v>0.192</v>
      </c>
      <c r="F392" s="215">
        <f t="shared" si="207"/>
        <v>0.1152</v>
      </c>
      <c r="G392" s="215">
        <f t="shared" si="207"/>
        <v>0.1152</v>
      </c>
      <c r="H392" s="215">
        <f t="shared" si="207"/>
        <v>5.7599999999999998E-2</v>
      </c>
      <c r="I392" s="215">
        <f t="shared" si="207"/>
        <v>0</v>
      </c>
      <c r="J392" s="215">
        <f t="shared" si="207"/>
        <v>0</v>
      </c>
      <c r="K392" s="215">
        <f t="shared" si="207"/>
        <v>0</v>
      </c>
      <c r="L392" s="215">
        <f t="shared" si="207"/>
        <v>0</v>
      </c>
      <c r="M392" s="215">
        <f t="shared" si="207"/>
        <v>0</v>
      </c>
      <c r="N392" s="215">
        <f t="shared" si="207"/>
        <v>0</v>
      </c>
      <c r="O392" s="215">
        <f t="shared" si="207"/>
        <v>0</v>
      </c>
      <c r="P392" s="215">
        <f t="shared" si="207"/>
        <v>0</v>
      </c>
      <c r="Q392" s="215">
        <f t="shared" si="207"/>
        <v>0</v>
      </c>
      <c r="R392" s="215">
        <f t="shared" si="207"/>
        <v>0</v>
      </c>
      <c r="S392" s="215">
        <f t="shared" si="207"/>
        <v>0</v>
      </c>
      <c r="T392" s="215">
        <f t="shared" si="207"/>
        <v>0</v>
      </c>
      <c r="U392" s="215">
        <f t="shared" si="207"/>
        <v>0</v>
      </c>
      <c r="V392" s="215">
        <f t="shared" si="207"/>
        <v>0</v>
      </c>
      <c r="W392" s="215">
        <f t="shared" si="207"/>
        <v>0</v>
      </c>
      <c r="X392" s="215">
        <f t="shared" si="207"/>
        <v>0</v>
      </c>
      <c r="Y392" s="215">
        <f t="shared" si="207"/>
        <v>0</v>
      </c>
      <c r="Z392" s="215">
        <f t="shared" si="207"/>
        <v>0</v>
      </c>
      <c r="AA392" s="215">
        <f t="shared" si="207"/>
        <v>0</v>
      </c>
      <c r="AB392" s="215">
        <f t="shared" si="207"/>
        <v>0</v>
      </c>
      <c r="AC392" s="215">
        <f t="shared" si="207"/>
        <v>0</v>
      </c>
      <c r="AD392" s="215">
        <f t="shared" si="207"/>
        <v>0</v>
      </c>
      <c r="AE392" s="215">
        <f t="shared" si="207"/>
        <v>0</v>
      </c>
      <c r="AF392" s="215">
        <f t="shared" si="207"/>
        <v>0</v>
      </c>
      <c r="AG392" s="215">
        <f t="shared" si="207"/>
        <v>0</v>
      </c>
      <c r="AH392" s="215">
        <f t="shared" si="207"/>
        <v>0</v>
      </c>
      <c r="AI392" s="215">
        <f t="shared" si="207"/>
        <v>0</v>
      </c>
      <c r="AJ392" s="215">
        <f t="shared" si="207"/>
        <v>0</v>
      </c>
      <c r="AK392" s="215">
        <f t="shared" si="207"/>
        <v>0</v>
      </c>
      <c r="AL392" s="215">
        <f t="shared" si="207"/>
        <v>0</v>
      </c>
      <c r="AM392" s="215">
        <f t="shared" si="207"/>
        <v>0</v>
      </c>
      <c r="AN392" s="215">
        <f t="shared" si="207"/>
        <v>0</v>
      </c>
      <c r="AO392" s="215">
        <f t="shared" si="207"/>
        <v>0</v>
      </c>
      <c r="AP392" s="215">
        <f t="shared" si="207"/>
        <v>0</v>
      </c>
    </row>
    <row r="393" spans="1:42">
      <c r="A393" s="197"/>
      <c r="C393" s="186"/>
      <c r="D393" s="186"/>
      <c r="E393" s="186"/>
      <c r="F393" s="186"/>
      <c r="G393" s="186"/>
      <c r="H393" s="186"/>
      <c r="I393" s="186"/>
      <c r="J393" s="186"/>
      <c r="K393" s="186"/>
      <c r="L393" s="186"/>
      <c r="M393" s="186"/>
      <c r="N393" s="186"/>
      <c r="O393" s="186"/>
      <c r="P393" s="186"/>
      <c r="Q393" s="186"/>
      <c r="R393" s="186"/>
      <c r="S393" s="186"/>
      <c r="T393" s="186"/>
      <c r="U393" s="186"/>
      <c r="V393" s="186"/>
      <c r="W393" s="186"/>
      <c r="X393" s="186"/>
      <c r="Y393" s="186"/>
      <c r="Z393" s="186"/>
      <c r="AA393" s="186"/>
      <c r="AB393" s="186"/>
      <c r="AC393" s="186"/>
      <c r="AD393" s="186"/>
      <c r="AE393" s="186"/>
      <c r="AF393" s="186"/>
      <c r="AG393" s="186"/>
      <c r="AH393" s="186"/>
      <c r="AI393" s="186"/>
      <c r="AJ393" s="186"/>
      <c r="AK393" s="186"/>
      <c r="AL393" s="186"/>
      <c r="AM393" s="186"/>
      <c r="AN393" s="186"/>
      <c r="AO393" s="186"/>
      <c r="AP393" s="186"/>
    </row>
    <row r="394" spans="1:42">
      <c r="A394" s="197" t="s">
        <v>368</v>
      </c>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204" t="s">
        <v>207</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118">
        <v>1</v>
      </c>
      <c r="C396" s="186">
        <f>C262</f>
        <v>0</v>
      </c>
      <c r="D396" s="186">
        <f t="shared" ref="D396:AP402" si="208">D262</f>
        <v>0</v>
      </c>
      <c r="E396" s="186">
        <f t="shared" si="208"/>
        <v>0</v>
      </c>
      <c r="F396" s="186">
        <f t="shared" si="208"/>
        <v>0</v>
      </c>
      <c r="G396" s="186">
        <f t="shared" si="208"/>
        <v>0</v>
      </c>
      <c r="H396" s="186">
        <f t="shared" si="208"/>
        <v>0</v>
      </c>
      <c r="I396" s="186">
        <f t="shared" si="208"/>
        <v>0</v>
      </c>
      <c r="J396" s="186">
        <f t="shared" si="208"/>
        <v>0</v>
      </c>
      <c r="K396" s="186">
        <f t="shared" si="208"/>
        <v>0</v>
      </c>
      <c r="L396" s="186">
        <f t="shared" si="208"/>
        <v>0</v>
      </c>
      <c r="M396" s="186">
        <f t="shared" si="208"/>
        <v>0</v>
      </c>
      <c r="N396" s="186">
        <f t="shared" si="208"/>
        <v>1</v>
      </c>
      <c r="O396" s="186">
        <f t="shared" si="208"/>
        <v>2</v>
      </c>
      <c r="P396" s="186">
        <f t="shared" si="208"/>
        <v>3</v>
      </c>
      <c r="Q396" s="186">
        <f t="shared" si="208"/>
        <v>4</v>
      </c>
      <c r="R396" s="186">
        <f t="shared" si="208"/>
        <v>5</v>
      </c>
      <c r="S396" s="186">
        <f t="shared" si="208"/>
        <v>6</v>
      </c>
      <c r="T396" s="186">
        <f t="shared" si="208"/>
        <v>7</v>
      </c>
      <c r="U396" s="186">
        <f t="shared" si="208"/>
        <v>8</v>
      </c>
      <c r="V396" s="186">
        <f t="shared" si="208"/>
        <v>9</v>
      </c>
      <c r="W396" s="186">
        <f t="shared" si="208"/>
        <v>10</v>
      </c>
      <c r="X396" s="186">
        <f t="shared" si="208"/>
        <v>11</v>
      </c>
      <c r="Y396" s="186">
        <f t="shared" si="208"/>
        <v>12</v>
      </c>
      <c r="Z396" s="186">
        <f t="shared" si="208"/>
        <v>13</v>
      </c>
      <c r="AA396" s="186">
        <f t="shared" si="208"/>
        <v>14</v>
      </c>
      <c r="AB396" s="186">
        <f t="shared" si="208"/>
        <v>15</v>
      </c>
      <c r="AC396" s="186">
        <f t="shared" si="208"/>
        <v>16</v>
      </c>
      <c r="AD396" s="186">
        <f t="shared" si="208"/>
        <v>17</v>
      </c>
      <c r="AE396" s="186">
        <f t="shared" si="208"/>
        <v>18</v>
      </c>
      <c r="AF396" s="186">
        <f t="shared" si="208"/>
        <v>19</v>
      </c>
      <c r="AG396" s="186">
        <f t="shared" si="208"/>
        <v>0</v>
      </c>
      <c r="AH396" s="186">
        <f t="shared" si="208"/>
        <v>0</v>
      </c>
      <c r="AI396" s="186">
        <f t="shared" si="208"/>
        <v>0</v>
      </c>
      <c r="AJ396" s="186">
        <f t="shared" si="208"/>
        <v>0</v>
      </c>
      <c r="AK396" s="186">
        <f t="shared" si="208"/>
        <v>0</v>
      </c>
      <c r="AL396" s="186">
        <f t="shared" si="208"/>
        <v>0</v>
      </c>
      <c r="AM396" s="186">
        <f t="shared" si="208"/>
        <v>0</v>
      </c>
      <c r="AN396" s="186">
        <f t="shared" si="208"/>
        <v>0</v>
      </c>
      <c r="AO396" s="186">
        <f t="shared" si="208"/>
        <v>0</v>
      </c>
      <c r="AP396" s="186">
        <f t="shared" si="208"/>
        <v>0</v>
      </c>
    </row>
    <row r="397" spans="1:42">
      <c r="A397" s="118">
        <f>A396+1</f>
        <v>2</v>
      </c>
      <c r="C397" s="186">
        <f t="shared" ref="C397:R405" si="209">C263</f>
        <v>0</v>
      </c>
      <c r="D397" s="186">
        <f t="shared" si="208"/>
        <v>0</v>
      </c>
      <c r="E397" s="186">
        <f t="shared" si="208"/>
        <v>0</v>
      </c>
      <c r="F397" s="186">
        <f t="shared" si="208"/>
        <v>0</v>
      </c>
      <c r="G397" s="186">
        <f t="shared" si="208"/>
        <v>0</v>
      </c>
      <c r="H397" s="186">
        <f t="shared" si="208"/>
        <v>0</v>
      </c>
      <c r="I397" s="186">
        <f t="shared" si="208"/>
        <v>0</v>
      </c>
      <c r="J397" s="186">
        <f t="shared" si="208"/>
        <v>0</v>
      </c>
      <c r="K397" s="186">
        <f t="shared" si="208"/>
        <v>0</v>
      </c>
      <c r="L397" s="186">
        <f t="shared" si="208"/>
        <v>0</v>
      </c>
      <c r="M397" s="186">
        <f t="shared" si="208"/>
        <v>0</v>
      </c>
      <c r="N397" s="186">
        <f t="shared" si="208"/>
        <v>0</v>
      </c>
      <c r="O397" s="186">
        <f t="shared" si="208"/>
        <v>0</v>
      </c>
      <c r="P397" s="186">
        <f t="shared" si="208"/>
        <v>0</v>
      </c>
      <c r="Q397" s="186">
        <f t="shared" si="208"/>
        <v>0</v>
      </c>
      <c r="R397" s="186">
        <f t="shared" si="208"/>
        <v>0</v>
      </c>
      <c r="S397" s="186">
        <f t="shared" si="208"/>
        <v>0</v>
      </c>
      <c r="T397" s="186">
        <f t="shared" si="208"/>
        <v>0</v>
      </c>
      <c r="U397" s="186">
        <f t="shared" si="208"/>
        <v>0</v>
      </c>
      <c r="V397" s="186">
        <f t="shared" si="208"/>
        <v>0</v>
      </c>
      <c r="W397" s="186">
        <f t="shared" si="208"/>
        <v>0</v>
      </c>
      <c r="X397" s="186">
        <f t="shared" si="208"/>
        <v>0</v>
      </c>
      <c r="Y397" s="186">
        <f t="shared" si="208"/>
        <v>0</v>
      </c>
      <c r="Z397" s="186">
        <f t="shared" si="208"/>
        <v>1</v>
      </c>
      <c r="AA397" s="186">
        <f t="shared" si="208"/>
        <v>2</v>
      </c>
      <c r="AB397" s="186">
        <f t="shared" si="208"/>
        <v>3</v>
      </c>
      <c r="AC397" s="186">
        <f t="shared" si="208"/>
        <v>4</v>
      </c>
      <c r="AD397" s="186">
        <f t="shared" si="208"/>
        <v>5</v>
      </c>
      <c r="AE397" s="186">
        <f t="shared" si="208"/>
        <v>6</v>
      </c>
      <c r="AF397" s="186">
        <f t="shared" si="208"/>
        <v>7</v>
      </c>
      <c r="AG397" s="186">
        <f t="shared" si="208"/>
        <v>0</v>
      </c>
      <c r="AH397" s="186">
        <f t="shared" si="208"/>
        <v>0</v>
      </c>
      <c r="AI397" s="186">
        <f t="shared" si="208"/>
        <v>0</v>
      </c>
      <c r="AJ397" s="186">
        <f t="shared" si="208"/>
        <v>0</v>
      </c>
      <c r="AK397" s="186">
        <f t="shared" si="208"/>
        <v>0</v>
      </c>
      <c r="AL397" s="186">
        <f t="shared" si="208"/>
        <v>0</v>
      </c>
      <c r="AM397" s="186">
        <f t="shared" si="208"/>
        <v>0</v>
      </c>
      <c r="AN397" s="186">
        <f t="shared" si="208"/>
        <v>0</v>
      </c>
      <c r="AO397" s="186">
        <f t="shared" si="208"/>
        <v>0</v>
      </c>
      <c r="AP397" s="186">
        <f t="shared" si="208"/>
        <v>0</v>
      </c>
    </row>
    <row r="398" spans="1:42">
      <c r="A398" s="118">
        <f t="shared" ref="A398:A403" si="210">A397+1</f>
        <v>3</v>
      </c>
      <c r="C398" s="186">
        <f t="shared" si="209"/>
        <v>0</v>
      </c>
      <c r="D398" s="186">
        <f t="shared" si="208"/>
        <v>0</v>
      </c>
      <c r="E398" s="186">
        <f t="shared" si="208"/>
        <v>0</v>
      </c>
      <c r="F398" s="186">
        <f t="shared" si="208"/>
        <v>0</v>
      </c>
      <c r="G398" s="186">
        <f t="shared" si="208"/>
        <v>0</v>
      </c>
      <c r="H398" s="186">
        <f t="shared" si="208"/>
        <v>0</v>
      </c>
      <c r="I398" s="186">
        <f t="shared" si="208"/>
        <v>0</v>
      </c>
      <c r="J398" s="186">
        <f t="shared" si="208"/>
        <v>0</v>
      </c>
      <c r="K398" s="186">
        <f t="shared" si="208"/>
        <v>0</v>
      </c>
      <c r="L398" s="186">
        <f t="shared" si="208"/>
        <v>0</v>
      </c>
      <c r="M398" s="186">
        <f t="shared" si="208"/>
        <v>0</v>
      </c>
      <c r="N398" s="186">
        <f t="shared" si="208"/>
        <v>0</v>
      </c>
      <c r="O398" s="186">
        <f t="shared" si="208"/>
        <v>0</v>
      </c>
      <c r="P398" s="186">
        <f t="shared" si="208"/>
        <v>0</v>
      </c>
      <c r="Q398" s="186">
        <f t="shared" si="208"/>
        <v>0</v>
      </c>
      <c r="R398" s="186">
        <f t="shared" si="208"/>
        <v>0</v>
      </c>
      <c r="S398" s="186">
        <f t="shared" si="208"/>
        <v>0</v>
      </c>
      <c r="T398" s="186">
        <f t="shared" si="208"/>
        <v>0</v>
      </c>
      <c r="U398" s="186">
        <f t="shared" si="208"/>
        <v>0</v>
      </c>
      <c r="V398" s="186">
        <f t="shared" si="208"/>
        <v>0</v>
      </c>
      <c r="W398" s="186">
        <f t="shared" si="208"/>
        <v>0</v>
      </c>
      <c r="X398" s="186">
        <f t="shared" si="208"/>
        <v>0</v>
      </c>
      <c r="Y398" s="186">
        <f t="shared" si="208"/>
        <v>0</v>
      </c>
      <c r="Z398" s="186">
        <f t="shared" si="208"/>
        <v>0</v>
      </c>
      <c r="AA398" s="186">
        <f t="shared" si="208"/>
        <v>0</v>
      </c>
      <c r="AB398" s="186">
        <f t="shared" si="208"/>
        <v>0</v>
      </c>
      <c r="AC398" s="186">
        <f t="shared" si="208"/>
        <v>0</v>
      </c>
      <c r="AD398" s="186">
        <f t="shared" si="208"/>
        <v>0</v>
      </c>
      <c r="AE398" s="186">
        <f t="shared" si="208"/>
        <v>0</v>
      </c>
      <c r="AF398" s="186">
        <f t="shared" si="208"/>
        <v>0</v>
      </c>
      <c r="AG398" s="186">
        <f t="shared" si="208"/>
        <v>0</v>
      </c>
      <c r="AH398" s="186">
        <f t="shared" si="208"/>
        <v>0</v>
      </c>
      <c r="AI398" s="186">
        <f t="shared" si="208"/>
        <v>0</v>
      </c>
      <c r="AJ398" s="186">
        <f t="shared" si="208"/>
        <v>0</v>
      </c>
      <c r="AK398" s="186">
        <f t="shared" si="208"/>
        <v>0</v>
      </c>
      <c r="AL398" s="186">
        <f t="shared" si="208"/>
        <v>0</v>
      </c>
      <c r="AM398" s="186">
        <f t="shared" si="208"/>
        <v>0</v>
      </c>
      <c r="AN398" s="186">
        <f t="shared" si="208"/>
        <v>0</v>
      </c>
      <c r="AO398" s="186">
        <f t="shared" si="208"/>
        <v>0</v>
      </c>
      <c r="AP398" s="186">
        <f t="shared" si="208"/>
        <v>0</v>
      </c>
    </row>
    <row r="399" spans="1:42">
      <c r="A399" s="118">
        <f t="shared" si="210"/>
        <v>4</v>
      </c>
      <c r="C399" s="186">
        <f t="shared" si="209"/>
        <v>0</v>
      </c>
      <c r="D399" s="186">
        <f t="shared" si="208"/>
        <v>0</v>
      </c>
      <c r="E399" s="186">
        <f t="shared" si="208"/>
        <v>0</v>
      </c>
      <c r="F399" s="186">
        <f t="shared" si="208"/>
        <v>0</v>
      </c>
      <c r="G399" s="186">
        <f t="shared" si="208"/>
        <v>0</v>
      </c>
      <c r="H399" s="186">
        <f t="shared" si="208"/>
        <v>0</v>
      </c>
      <c r="I399" s="186">
        <f t="shared" si="208"/>
        <v>0</v>
      </c>
      <c r="J399" s="186">
        <f t="shared" si="208"/>
        <v>0</v>
      </c>
      <c r="K399" s="186">
        <f t="shared" si="208"/>
        <v>0</v>
      </c>
      <c r="L399" s="186">
        <f t="shared" si="208"/>
        <v>0</v>
      </c>
      <c r="M399" s="186">
        <f t="shared" si="208"/>
        <v>0</v>
      </c>
      <c r="N399" s="186">
        <f t="shared" si="208"/>
        <v>0</v>
      </c>
      <c r="O399" s="186">
        <f t="shared" si="208"/>
        <v>0</v>
      </c>
      <c r="P399" s="186">
        <f t="shared" si="208"/>
        <v>0</v>
      </c>
      <c r="Q399" s="186">
        <f t="shared" si="208"/>
        <v>0</v>
      </c>
      <c r="R399" s="186">
        <f t="shared" si="208"/>
        <v>0</v>
      </c>
      <c r="S399" s="186">
        <f t="shared" si="208"/>
        <v>0</v>
      </c>
      <c r="T399" s="186">
        <f t="shared" si="208"/>
        <v>0</v>
      </c>
      <c r="U399" s="186">
        <f t="shared" si="208"/>
        <v>0</v>
      </c>
      <c r="V399" s="186">
        <f t="shared" si="208"/>
        <v>0</v>
      </c>
      <c r="W399" s="186">
        <f t="shared" si="208"/>
        <v>0</v>
      </c>
      <c r="X399" s="186">
        <f t="shared" si="208"/>
        <v>0</v>
      </c>
      <c r="Y399" s="186">
        <f t="shared" si="208"/>
        <v>0</v>
      </c>
      <c r="Z399" s="186">
        <f t="shared" si="208"/>
        <v>0</v>
      </c>
      <c r="AA399" s="186">
        <f t="shared" si="208"/>
        <v>0</v>
      </c>
      <c r="AB399" s="186">
        <f t="shared" si="208"/>
        <v>0</v>
      </c>
      <c r="AC399" s="186">
        <f t="shared" si="208"/>
        <v>0</v>
      </c>
      <c r="AD399" s="186">
        <f t="shared" si="208"/>
        <v>0</v>
      </c>
      <c r="AE399" s="186">
        <f t="shared" si="208"/>
        <v>0</v>
      </c>
      <c r="AF399" s="186">
        <f t="shared" si="208"/>
        <v>0</v>
      </c>
      <c r="AG399" s="186">
        <f t="shared" si="208"/>
        <v>0</v>
      </c>
      <c r="AH399" s="186">
        <f t="shared" si="208"/>
        <v>0</v>
      </c>
      <c r="AI399" s="186">
        <f t="shared" si="208"/>
        <v>0</v>
      </c>
      <c r="AJ399" s="186">
        <f t="shared" si="208"/>
        <v>0</v>
      </c>
      <c r="AK399" s="186">
        <f t="shared" si="208"/>
        <v>0</v>
      </c>
      <c r="AL399" s="186">
        <f t="shared" si="208"/>
        <v>0</v>
      </c>
      <c r="AM399" s="186">
        <f t="shared" si="208"/>
        <v>0</v>
      </c>
      <c r="AN399" s="186">
        <f t="shared" si="208"/>
        <v>0</v>
      </c>
      <c r="AO399" s="186">
        <f t="shared" si="208"/>
        <v>0</v>
      </c>
      <c r="AP399" s="186">
        <f t="shared" si="208"/>
        <v>0</v>
      </c>
    </row>
    <row r="400" spans="1:42">
      <c r="A400" s="118">
        <f t="shared" si="210"/>
        <v>5</v>
      </c>
      <c r="C400" s="186">
        <f t="shared" si="209"/>
        <v>0</v>
      </c>
      <c r="D400" s="186">
        <f t="shared" si="208"/>
        <v>0</v>
      </c>
      <c r="E400" s="186">
        <f t="shared" si="208"/>
        <v>0</v>
      </c>
      <c r="F400" s="186">
        <f t="shared" si="208"/>
        <v>0</v>
      </c>
      <c r="G400" s="186">
        <f t="shared" si="208"/>
        <v>0</v>
      </c>
      <c r="H400" s="186">
        <f t="shared" si="208"/>
        <v>0</v>
      </c>
      <c r="I400" s="186">
        <f t="shared" si="208"/>
        <v>0</v>
      </c>
      <c r="J400" s="186">
        <f t="shared" si="208"/>
        <v>0</v>
      </c>
      <c r="K400" s="186">
        <f t="shared" si="208"/>
        <v>0</v>
      </c>
      <c r="L400" s="186">
        <f t="shared" si="208"/>
        <v>0</v>
      </c>
      <c r="M400" s="186">
        <f t="shared" si="208"/>
        <v>0</v>
      </c>
      <c r="N400" s="186">
        <f t="shared" si="208"/>
        <v>0</v>
      </c>
      <c r="O400" s="186">
        <f t="shared" si="208"/>
        <v>0</v>
      </c>
      <c r="P400" s="186">
        <f t="shared" si="208"/>
        <v>0</v>
      </c>
      <c r="Q400" s="186">
        <f t="shared" si="208"/>
        <v>0</v>
      </c>
      <c r="R400" s="186">
        <f t="shared" si="208"/>
        <v>0</v>
      </c>
      <c r="S400" s="186">
        <f t="shared" si="208"/>
        <v>0</v>
      </c>
      <c r="T400" s="186">
        <f t="shared" si="208"/>
        <v>0</v>
      </c>
      <c r="U400" s="186">
        <f t="shared" si="208"/>
        <v>0</v>
      </c>
      <c r="V400" s="186">
        <f t="shared" si="208"/>
        <v>0</v>
      </c>
      <c r="W400" s="186">
        <f t="shared" si="208"/>
        <v>0</v>
      </c>
      <c r="X400" s="186">
        <f t="shared" si="208"/>
        <v>0</v>
      </c>
      <c r="Y400" s="186">
        <f t="shared" si="208"/>
        <v>0</v>
      </c>
      <c r="Z400" s="186">
        <f t="shared" si="208"/>
        <v>0</v>
      </c>
      <c r="AA400" s="186">
        <f t="shared" si="208"/>
        <v>0</v>
      </c>
      <c r="AB400" s="186">
        <f t="shared" si="208"/>
        <v>0</v>
      </c>
      <c r="AC400" s="186">
        <f t="shared" si="208"/>
        <v>0</v>
      </c>
      <c r="AD400" s="186">
        <f t="shared" si="208"/>
        <v>0</v>
      </c>
      <c r="AE400" s="186">
        <f t="shared" si="208"/>
        <v>0</v>
      </c>
      <c r="AF400" s="186">
        <f t="shared" si="208"/>
        <v>0</v>
      </c>
      <c r="AG400" s="186">
        <f t="shared" si="208"/>
        <v>0</v>
      </c>
      <c r="AH400" s="186">
        <f t="shared" si="208"/>
        <v>0</v>
      </c>
      <c r="AI400" s="186">
        <f t="shared" si="208"/>
        <v>0</v>
      </c>
      <c r="AJ400" s="186">
        <f t="shared" si="208"/>
        <v>0</v>
      </c>
      <c r="AK400" s="186">
        <f t="shared" si="208"/>
        <v>0</v>
      </c>
      <c r="AL400" s="186">
        <f t="shared" si="208"/>
        <v>0</v>
      </c>
      <c r="AM400" s="186">
        <f t="shared" si="208"/>
        <v>0</v>
      </c>
      <c r="AN400" s="186">
        <f t="shared" si="208"/>
        <v>0</v>
      </c>
      <c r="AO400" s="186">
        <f t="shared" si="208"/>
        <v>0</v>
      </c>
      <c r="AP400" s="186">
        <f t="shared" si="208"/>
        <v>0</v>
      </c>
    </row>
    <row r="401" spans="1:42">
      <c r="A401" s="118">
        <f t="shared" si="210"/>
        <v>6</v>
      </c>
      <c r="C401" s="186">
        <f t="shared" si="209"/>
        <v>0</v>
      </c>
      <c r="D401" s="186">
        <f t="shared" si="208"/>
        <v>0</v>
      </c>
      <c r="E401" s="186">
        <f t="shared" si="208"/>
        <v>0</v>
      </c>
      <c r="F401" s="186">
        <f t="shared" si="208"/>
        <v>0</v>
      </c>
      <c r="G401" s="186">
        <f t="shared" si="208"/>
        <v>0</v>
      </c>
      <c r="H401" s="186">
        <f t="shared" si="208"/>
        <v>0</v>
      </c>
      <c r="I401" s="186">
        <f t="shared" si="208"/>
        <v>0</v>
      </c>
      <c r="J401" s="186">
        <f t="shared" si="208"/>
        <v>0</v>
      </c>
      <c r="K401" s="186">
        <f t="shared" si="208"/>
        <v>0</v>
      </c>
      <c r="L401" s="186">
        <f t="shared" si="208"/>
        <v>0</v>
      </c>
      <c r="M401" s="186">
        <f t="shared" si="208"/>
        <v>0</v>
      </c>
      <c r="N401" s="186">
        <f t="shared" si="208"/>
        <v>0</v>
      </c>
      <c r="O401" s="186">
        <f t="shared" si="208"/>
        <v>0</v>
      </c>
      <c r="P401" s="186">
        <f t="shared" si="208"/>
        <v>0</v>
      </c>
      <c r="Q401" s="186">
        <f t="shared" si="208"/>
        <v>0</v>
      </c>
      <c r="R401" s="186">
        <f t="shared" si="208"/>
        <v>0</v>
      </c>
      <c r="S401" s="186">
        <f t="shared" si="208"/>
        <v>0</v>
      </c>
      <c r="T401" s="186">
        <f t="shared" si="208"/>
        <v>0</v>
      </c>
      <c r="U401" s="186">
        <f t="shared" si="208"/>
        <v>0</v>
      </c>
      <c r="V401" s="186">
        <f t="shared" si="208"/>
        <v>0</v>
      </c>
      <c r="W401" s="186">
        <f t="shared" si="208"/>
        <v>0</v>
      </c>
      <c r="X401" s="186">
        <f t="shared" si="208"/>
        <v>0</v>
      </c>
      <c r="Y401" s="186">
        <f t="shared" si="208"/>
        <v>0</v>
      </c>
      <c r="Z401" s="186">
        <f t="shared" si="208"/>
        <v>0</v>
      </c>
      <c r="AA401" s="186">
        <f t="shared" si="208"/>
        <v>0</v>
      </c>
      <c r="AB401" s="186">
        <f t="shared" si="208"/>
        <v>0</v>
      </c>
      <c r="AC401" s="186">
        <f t="shared" si="208"/>
        <v>0</v>
      </c>
      <c r="AD401" s="186">
        <f t="shared" si="208"/>
        <v>0</v>
      </c>
      <c r="AE401" s="186">
        <f t="shared" si="208"/>
        <v>0</v>
      </c>
      <c r="AF401" s="186">
        <f t="shared" si="208"/>
        <v>0</v>
      </c>
      <c r="AG401" s="186">
        <f t="shared" si="208"/>
        <v>0</v>
      </c>
      <c r="AH401" s="186">
        <f t="shared" si="208"/>
        <v>0</v>
      </c>
      <c r="AI401" s="186">
        <f t="shared" si="208"/>
        <v>0</v>
      </c>
      <c r="AJ401" s="186">
        <f t="shared" si="208"/>
        <v>0</v>
      </c>
      <c r="AK401" s="186">
        <f t="shared" si="208"/>
        <v>0</v>
      </c>
      <c r="AL401" s="186">
        <f t="shared" si="208"/>
        <v>0</v>
      </c>
      <c r="AM401" s="186">
        <f t="shared" si="208"/>
        <v>0</v>
      </c>
      <c r="AN401" s="186">
        <f t="shared" si="208"/>
        <v>0</v>
      </c>
      <c r="AO401" s="186">
        <f t="shared" si="208"/>
        <v>0</v>
      </c>
      <c r="AP401" s="186">
        <f t="shared" si="208"/>
        <v>0</v>
      </c>
    </row>
    <row r="402" spans="1:42">
      <c r="A402" s="118">
        <f t="shared" si="210"/>
        <v>7</v>
      </c>
      <c r="C402" s="186">
        <f t="shared" si="209"/>
        <v>0</v>
      </c>
      <c r="D402" s="186">
        <f t="shared" si="208"/>
        <v>0</v>
      </c>
      <c r="E402" s="186">
        <f t="shared" si="208"/>
        <v>0</v>
      </c>
      <c r="F402" s="186">
        <f t="shared" si="208"/>
        <v>0</v>
      </c>
      <c r="G402" s="186">
        <f t="shared" si="208"/>
        <v>0</v>
      </c>
      <c r="H402" s="186">
        <f t="shared" si="208"/>
        <v>0</v>
      </c>
      <c r="I402" s="186">
        <f t="shared" si="208"/>
        <v>0</v>
      </c>
      <c r="J402" s="186">
        <f t="shared" si="208"/>
        <v>0</v>
      </c>
      <c r="K402" s="186">
        <f t="shared" si="208"/>
        <v>0</v>
      </c>
      <c r="L402" s="186">
        <f t="shared" si="208"/>
        <v>0</v>
      </c>
      <c r="M402" s="186">
        <f t="shared" si="208"/>
        <v>0</v>
      </c>
      <c r="N402" s="186">
        <f t="shared" si="208"/>
        <v>0</v>
      </c>
      <c r="O402" s="186">
        <f t="shared" si="208"/>
        <v>0</v>
      </c>
      <c r="P402" s="186">
        <f t="shared" si="208"/>
        <v>0</v>
      </c>
      <c r="Q402" s="186">
        <f t="shared" si="208"/>
        <v>0</v>
      </c>
      <c r="R402" s="186">
        <f t="shared" si="208"/>
        <v>0</v>
      </c>
      <c r="S402" s="186">
        <f t="shared" si="208"/>
        <v>0</v>
      </c>
      <c r="T402" s="186">
        <f t="shared" si="208"/>
        <v>0</v>
      </c>
      <c r="U402" s="186">
        <f t="shared" si="208"/>
        <v>0</v>
      </c>
      <c r="V402" s="186">
        <f t="shared" si="208"/>
        <v>0</v>
      </c>
      <c r="W402" s="186">
        <f t="shared" si="208"/>
        <v>0</v>
      </c>
      <c r="X402" s="186">
        <f t="shared" si="208"/>
        <v>0</v>
      </c>
      <c r="Y402" s="186">
        <f t="shared" ref="Y402:AP402" si="211">Y268</f>
        <v>0</v>
      </c>
      <c r="Z402" s="186">
        <f t="shared" si="211"/>
        <v>0</v>
      </c>
      <c r="AA402" s="186">
        <f t="shared" si="211"/>
        <v>0</v>
      </c>
      <c r="AB402" s="186">
        <f t="shared" si="211"/>
        <v>0</v>
      </c>
      <c r="AC402" s="186">
        <f t="shared" si="211"/>
        <v>0</v>
      </c>
      <c r="AD402" s="186">
        <f t="shared" si="211"/>
        <v>0</v>
      </c>
      <c r="AE402" s="186">
        <f t="shared" si="211"/>
        <v>0</v>
      </c>
      <c r="AF402" s="186">
        <f t="shared" si="211"/>
        <v>0</v>
      </c>
      <c r="AG402" s="186">
        <f t="shared" si="211"/>
        <v>0</v>
      </c>
      <c r="AH402" s="186">
        <f t="shared" si="211"/>
        <v>0</v>
      </c>
      <c r="AI402" s="186">
        <f t="shared" si="211"/>
        <v>0</v>
      </c>
      <c r="AJ402" s="186">
        <f t="shared" si="211"/>
        <v>0</v>
      </c>
      <c r="AK402" s="186">
        <f t="shared" si="211"/>
        <v>0</v>
      </c>
      <c r="AL402" s="186">
        <f t="shared" si="211"/>
        <v>0</v>
      </c>
      <c r="AM402" s="186">
        <f t="shared" si="211"/>
        <v>0</v>
      </c>
      <c r="AN402" s="186">
        <f t="shared" si="211"/>
        <v>0</v>
      </c>
      <c r="AO402" s="186">
        <f t="shared" si="211"/>
        <v>0</v>
      </c>
      <c r="AP402" s="186">
        <f t="shared" si="211"/>
        <v>0</v>
      </c>
    </row>
    <row r="403" spans="1:42">
      <c r="A403" s="118">
        <f t="shared" si="210"/>
        <v>8</v>
      </c>
      <c r="C403" s="186">
        <f t="shared" si="209"/>
        <v>0</v>
      </c>
      <c r="D403" s="186">
        <f t="shared" si="209"/>
        <v>0</v>
      </c>
      <c r="E403" s="186">
        <f t="shared" si="209"/>
        <v>0</v>
      </c>
      <c r="F403" s="186">
        <f t="shared" si="209"/>
        <v>0</v>
      </c>
      <c r="G403" s="186">
        <f t="shared" si="209"/>
        <v>0</v>
      </c>
      <c r="H403" s="186">
        <f t="shared" si="209"/>
        <v>0</v>
      </c>
      <c r="I403" s="186">
        <f t="shared" si="209"/>
        <v>0</v>
      </c>
      <c r="J403" s="186">
        <f t="shared" si="209"/>
        <v>0</v>
      </c>
      <c r="K403" s="186">
        <f t="shared" si="209"/>
        <v>0</v>
      </c>
      <c r="L403" s="186">
        <f t="shared" si="209"/>
        <v>0</v>
      </c>
      <c r="M403" s="186">
        <f t="shared" si="209"/>
        <v>0</v>
      </c>
      <c r="N403" s="186">
        <f t="shared" si="209"/>
        <v>0</v>
      </c>
      <c r="O403" s="186">
        <f t="shared" si="209"/>
        <v>0</v>
      </c>
      <c r="P403" s="186">
        <f t="shared" si="209"/>
        <v>0</v>
      </c>
      <c r="Q403" s="186">
        <f t="shared" si="209"/>
        <v>0</v>
      </c>
      <c r="R403" s="186">
        <f t="shared" si="209"/>
        <v>0</v>
      </c>
      <c r="S403" s="186">
        <f t="shared" ref="S403:AP405" si="212">S269</f>
        <v>0</v>
      </c>
      <c r="T403" s="186">
        <f t="shared" si="212"/>
        <v>0</v>
      </c>
      <c r="U403" s="186">
        <f t="shared" si="212"/>
        <v>0</v>
      </c>
      <c r="V403" s="186">
        <f t="shared" si="212"/>
        <v>0</v>
      </c>
      <c r="W403" s="186">
        <f t="shared" si="212"/>
        <v>0</v>
      </c>
      <c r="X403" s="186">
        <f t="shared" si="212"/>
        <v>0</v>
      </c>
      <c r="Y403" s="186">
        <f t="shared" si="212"/>
        <v>0</v>
      </c>
      <c r="Z403" s="186">
        <f t="shared" si="212"/>
        <v>0</v>
      </c>
      <c r="AA403" s="186">
        <f t="shared" si="212"/>
        <v>0</v>
      </c>
      <c r="AB403" s="186">
        <f t="shared" si="212"/>
        <v>0</v>
      </c>
      <c r="AC403" s="186">
        <f t="shared" si="212"/>
        <v>0</v>
      </c>
      <c r="AD403" s="186">
        <f t="shared" si="212"/>
        <v>0</v>
      </c>
      <c r="AE403" s="186">
        <f t="shared" si="212"/>
        <v>0</v>
      </c>
      <c r="AF403" s="186">
        <f t="shared" si="212"/>
        <v>0</v>
      </c>
      <c r="AG403" s="186">
        <f t="shared" si="212"/>
        <v>0</v>
      </c>
      <c r="AH403" s="186">
        <f t="shared" si="212"/>
        <v>0</v>
      </c>
      <c r="AI403" s="186">
        <f t="shared" si="212"/>
        <v>0</v>
      </c>
      <c r="AJ403" s="186">
        <f t="shared" si="212"/>
        <v>0</v>
      </c>
      <c r="AK403" s="186">
        <f t="shared" si="212"/>
        <v>0</v>
      </c>
      <c r="AL403" s="186">
        <f t="shared" si="212"/>
        <v>0</v>
      </c>
      <c r="AM403" s="186">
        <f t="shared" si="212"/>
        <v>0</v>
      </c>
      <c r="AN403" s="186">
        <f t="shared" si="212"/>
        <v>0</v>
      </c>
      <c r="AO403" s="186">
        <f t="shared" si="212"/>
        <v>0</v>
      </c>
      <c r="AP403" s="186">
        <f t="shared" si="212"/>
        <v>0</v>
      </c>
    </row>
    <row r="404" spans="1:42">
      <c r="A404" s="118">
        <f>A403+1</f>
        <v>9</v>
      </c>
      <c r="C404" s="186">
        <f t="shared" si="209"/>
        <v>0</v>
      </c>
      <c r="D404" s="186">
        <f t="shared" si="209"/>
        <v>0</v>
      </c>
      <c r="E404" s="186">
        <f t="shared" si="209"/>
        <v>0</v>
      </c>
      <c r="F404" s="186">
        <f t="shared" si="209"/>
        <v>0</v>
      </c>
      <c r="G404" s="186">
        <f t="shared" si="209"/>
        <v>0</v>
      </c>
      <c r="H404" s="186">
        <f t="shared" si="209"/>
        <v>0</v>
      </c>
      <c r="I404" s="186">
        <f t="shared" si="209"/>
        <v>0</v>
      </c>
      <c r="J404" s="186">
        <f t="shared" si="209"/>
        <v>0</v>
      </c>
      <c r="K404" s="186">
        <f t="shared" si="209"/>
        <v>0</v>
      </c>
      <c r="L404" s="186">
        <f t="shared" si="209"/>
        <v>0</v>
      </c>
      <c r="M404" s="186">
        <f t="shared" si="209"/>
        <v>0</v>
      </c>
      <c r="N404" s="186">
        <f t="shared" si="209"/>
        <v>0</v>
      </c>
      <c r="O404" s="186">
        <f t="shared" si="209"/>
        <v>0</v>
      </c>
      <c r="P404" s="186">
        <f t="shared" si="209"/>
        <v>0</v>
      </c>
      <c r="Q404" s="186">
        <f t="shared" si="209"/>
        <v>0</v>
      </c>
      <c r="R404" s="186">
        <f t="shared" si="209"/>
        <v>0</v>
      </c>
      <c r="S404" s="186">
        <f t="shared" si="212"/>
        <v>0</v>
      </c>
      <c r="T404" s="186">
        <f t="shared" si="212"/>
        <v>0</v>
      </c>
      <c r="U404" s="186">
        <f t="shared" si="212"/>
        <v>0</v>
      </c>
      <c r="V404" s="186">
        <f t="shared" si="212"/>
        <v>0</v>
      </c>
      <c r="W404" s="186">
        <f t="shared" si="212"/>
        <v>0</v>
      </c>
      <c r="X404" s="186">
        <f t="shared" si="212"/>
        <v>0</v>
      </c>
      <c r="Y404" s="186">
        <f t="shared" si="212"/>
        <v>0</v>
      </c>
      <c r="Z404" s="186">
        <f t="shared" si="212"/>
        <v>0</v>
      </c>
      <c r="AA404" s="186">
        <f t="shared" si="212"/>
        <v>0</v>
      </c>
      <c r="AB404" s="186">
        <f t="shared" si="212"/>
        <v>0</v>
      </c>
      <c r="AC404" s="186">
        <f t="shared" si="212"/>
        <v>0</v>
      </c>
      <c r="AD404" s="186">
        <f t="shared" si="212"/>
        <v>0</v>
      </c>
      <c r="AE404" s="186">
        <f t="shared" si="212"/>
        <v>0</v>
      </c>
      <c r="AF404" s="186">
        <f t="shared" si="212"/>
        <v>0</v>
      </c>
      <c r="AG404" s="186">
        <f t="shared" si="212"/>
        <v>0</v>
      </c>
      <c r="AH404" s="186">
        <f t="shared" si="212"/>
        <v>0</v>
      </c>
      <c r="AI404" s="186">
        <f t="shared" si="212"/>
        <v>0</v>
      </c>
      <c r="AJ404" s="186">
        <f t="shared" si="212"/>
        <v>0</v>
      </c>
      <c r="AK404" s="186">
        <f t="shared" si="212"/>
        <v>0</v>
      </c>
      <c r="AL404" s="186">
        <f t="shared" si="212"/>
        <v>0</v>
      </c>
      <c r="AM404" s="186">
        <f t="shared" si="212"/>
        <v>0</v>
      </c>
      <c r="AN404" s="186">
        <f t="shared" si="212"/>
        <v>0</v>
      </c>
      <c r="AO404" s="186">
        <f t="shared" si="212"/>
        <v>0</v>
      </c>
      <c r="AP404" s="186">
        <f t="shared" si="212"/>
        <v>0</v>
      </c>
    </row>
    <row r="405" spans="1:42">
      <c r="A405" s="118">
        <f t="shared" ref="A405" si="213">A404+1</f>
        <v>10</v>
      </c>
      <c r="C405" s="186">
        <f t="shared" si="209"/>
        <v>0</v>
      </c>
      <c r="D405" s="186">
        <f t="shared" si="209"/>
        <v>0</v>
      </c>
      <c r="E405" s="186">
        <f t="shared" si="209"/>
        <v>0</v>
      </c>
      <c r="F405" s="186">
        <f t="shared" si="209"/>
        <v>0</v>
      </c>
      <c r="G405" s="186">
        <f t="shared" si="209"/>
        <v>0</v>
      </c>
      <c r="H405" s="186">
        <f t="shared" si="209"/>
        <v>0</v>
      </c>
      <c r="I405" s="186">
        <f t="shared" si="209"/>
        <v>0</v>
      </c>
      <c r="J405" s="186">
        <f t="shared" si="209"/>
        <v>0</v>
      </c>
      <c r="K405" s="186">
        <f t="shared" si="209"/>
        <v>0</v>
      </c>
      <c r="L405" s="186">
        <f t="shared" si="209"/>
        <v>0</v>
      </c>
      <c r="M405" s="186">
        <f t="shared" si="209"/>
        <v>0</v>
      </c>
      <c r="N405" s="186">
        <f t="shared" si="209"/>
        <v>0</v>
      </c>
      <c r="O405" s="186">
        <f t="shared" si="209"/>
        <v>0</v>
      </c>
      <c r="P405" s="186">
        <f t="shared" si="209"/>
        <v>0</v>
      </c>
      <c r="Q405" s="186">
        <f t="shared" si="209"/>
        <v>0</v>
      </c>
      <c r="R405" s="186">
        <f t="shared" si="209"/>
        <v>0</v>
      </c>
      <c r="S405" s="186">
        <f t="shared" si="212"/>
        <v>0</v>
      </c>
      <c r="T405" s="186">
        <f t="shared" si="212"/>
        <v>0</v>
      </c>
      <c r="U405" s="186">
        <f t="shared" si="212"/>
        <v>0</v>
      </c>
      <c r="V405" s="186">
        <f t="shared" si="212"/>
        <v>0</v>
      </c>
      <c r="W405" s="186">
        <f t="shared" si="212"/>
        <v>0</v>
      </c>
      <c r="X405" s="186">
        <f t="shared" si="212"/>
        <v>0</v>
      </c>
      <c r="Y405" s="186">
        <f t="shared" si="212"/>
        <v>0</v>
      </c>
      <c r="Z405" s="186">
        <f t="shared" si="212"/>
        <v>0</v>
      </c>
      <c r="AA405" s="186">
        <f t="shared" si="212"/>
        <v>0</v>
      </c>
      <c r="AB405" s="186">
        <f t="shared" si="212"/>
        <v>0</v>
      </c>
      <c r="AC405" s="186">
        <f t="shared" si="212"/>
        <v>0</v>
      </c>
      <c r="AD405" s="186">
        <f t="shared" si="212"/>
        <v>0</v>
      </c>
      <c r="AE405" s="186">
        <f t="shared" si="212"/>
        <v>0</v>
      </c>
      <c r="AF405" s="186">
        <f t="shared" si="212"/>
        <v>0</v>
      </c>
      <c r="AG405" s="186">
        <f t="shared" si="212"/>
        <v>0</v>
      </c>
      <c r="AH405" s="186">
        <f t="shared" si="212"/>
        <v>0</v>
      </c>
      <c r="AI405" s="186">
        <f t="shared" si="212"/>
        <v>0</v>
      </c>
      <c r="AJ405" s="186">
        <f t="shared" si="212"/>
        <v>0</v>
      </c>
      <c r="AK405" s="186">
        <f t="shared" si="212"/>
        <v>0</v>
      </c>
      <c r="AL405" s="186">
        <f t="shared" si="212"/>
        <v>0</v>
      </c>
      <c r="AM405" s="186">
        <f t="shared" si="212"/>
        <v>0</v>
      </c>
      <c r="AN405" s="186">
        <f t="shared" si="212"/>
        <v>0</v>
      </c>
      <c r="AO405" s="186">
        <f t="shared" si="212"/>
        <v>0</v>
      </c>
      <c r="AP405" s="186">
        <f t="shared" si="212"/>
        <v>0</v>
      </c>
    </row>
    <row r="406" spans="1:42">
      <c r="A406" s="204"/>
      <c r="C406" s="186"/>
      <c r="D406" s="186"/>
      <c r="E406" s="186"/>
      <c r="F406" s="186"/>
      <c r="G406" s="186"/>
      <c r="H406" s="186"/>
      <c r="I406" s="186"/>
      <c r="J406" s="186"/>
      <c r="K406" s="186"/>
      <c r="L406" s="186"/>
      <c r="M406" s="186"/>
      <c r="N406" s="186"/>
      <c r="O406" s="186"/>
      <c r="P406" s="186"/>
      <c r="Q406" s="186"/>
      <c r="R406" s="186"/>
      <c r="S406" s="186"/>
      <c r="T406" s="186"/>
      <c r="U406" s="186"/>
      <c r="V406" s="186"/>
      <c r="W406" s="186"/>
      <c r="X406" s="186"/>
      <c r="Y406" s="186"/>
      <c r="Z406" s="186"/>
      <c r="AA406" s="186"/>
      <c r="AB406" s="186"/>
      <c r="AC406" s="186"/>
      <c r="AD406" s="186"/>
      <c r="AE406" s="186"/>
      <c r="AF406" s="186"/>
      <c r="AG406" s="186"/>
      <c r="AH406" s="186"/>
      <c r="AI406" s="186"/>
      <c r="AJ406" s="186"/>
      <c r="AK406" s="186"/>
      <c r="AL406" s="186"/>
      <c r="AM406" s="186"/>
      <c r="AN406" s="186"/>
      <c r="AO406" s="186"/>
      <c r="AP406" s="186"/>
    </row>
    <row r="407" spans="1:42">
      <c r="A407" s="204" t="s">
        <v>211</v>
      </c>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118">
        <v>1</v>
      </c>
      <c r="B408" s="196">
        <f t="shared" ref="B408:B417" si="214">SUM(C408:AP408)</f>
        <v>2944872.3435013141</v>
      </c>
      <c r="C408" s="225">
        <f t="shared" ref="C408:AP408" si="215">LOOKUP(C396,$B$391:$AP$391,$B$392:$AP$392)*$B575</f>
        <v>0</v>
      </c>
      <c r="D408" s="186">
        <f t="shared" si="215"/>
        <v>0</v>
      </c>
      <c r="E408" s="186">
        <f t="shared" si="215"/>
        <v>0</v>
      </c>
      <c r="F408" s="186">
        <f t="shared" si="215"/>
        <v>0</v>
      </c>
      <c r="G408" s="186">
        <f t="shared" si="215"/>
        <v>0</v>
      </c>
      <c r="H408" s="186">
        <f t="shared" si="215"/>
        <v>0</v>
      </c>
      <c r="I408" s="186">
        <f t="shared" si="215"/>
        <v>0</v>
      </c>
      <c r="J408" s="186">
        <f t="shared" si="215"/>
        <v>0</v>
      </c>
      <c r="K408" s="186">
        <f t="shared" si="215"/>
        <v>0</v>
      </c>
      <c r="L408" s="186">
        <f t="shared" si="215"/>
        <v>0</v>
      </c>
      <c r="M408" s="186">
        <f t="shared" si="215"/>
        <v>0</v>
      </c>
      <c r="N408" s="186">
        <f t="shared" si="215"/>
        <v>588974.46870026283</v>
      </c>
      <c r="O408" s="186">
        <f t="shared" si="215"/>
        <v>942359.14992042049</v>
      </c>
      <c r="P408" s="186">
        <f t="shared" si="215"/>
        <v>565415.48995225236</v>
      </c>
      <c r="Q408" s="186">
        <f t="shared" si="215"/>
        <v>339249.29397135135</v>
      </c>
      <c r="R408" s="186">
        <f t="shared" si="215"/>
        <v>339249.29397135135</v>
      </c>
      <c r="S408" s="186">
        <f t="shared" si="215"/>
        <v>169624.64698567567</v>
      </c>
      <c r="T408" s="186">
        <f t="shared" si="215"/>
        <v>0</v>
      </c>
      <c r="U408" s="186">
        <f t="shared" si="215"/>
        <v>0</v>
      </c>
      <c r="V408" s="186">
        <f t="shared" si="215"/>
        <v>0</v>
      </c>
      <c r="W408" s="186">
        <f t="shared" si="215"/>
        <v>0</v>
      </c>
      <c r="X408" s="186">
        <f t="shared" si="215"/>
        <v>0</v>
      </c>
      <c r="Y408" s="186">
        <f t="shared" si="215"/>
        <v>0</v>
      </c>
      <c r="Z408" s="186">
        <f t="shared" si="215"/>
        <v>0</v>
      </c>
      <c r="AA408" s="186">
        <f t="shared" si="215"/>
        <v>0</v>
      </c>
      <c r="AB408" s="186">
        <f t="shared" si="215"/>
        <v>0</v>
      </c>
      <c r="AC408" s="186">
        <f t="shared" si="215"/>
        <v>0</v>
      </c>
      <c r="AD408" s="186">
        <f t="shared" si="215"/>
        <v>0</v>
      </c>
      <c r="AE408" s="186">
        <f t="shared" si="215"/>
        <v>0</v>
      </c>
      <c r="AF408" s="186">
        <f t="shared" si="215"/>
        <v>0</v>
      </c>
      <c r="AG408" s="186">
        <f t="shared" si="215"/>
        <v>0</v>
      </c>
      <c r="AH408" s="186">
        <f t="shared" si="215"/>
        <v>0</v>
      </c>
      <c r="AI408" s="186">
        <f t="shared" si="215"/>
        <v>0</v>
      </c>
      <c r="AJ408" s="186">
        <f t="shared" si="215"/>
        <v>0</v>
      </c>
      <c r="AK408" s="186">
        <f t="shared" si="215"/>
        <v>0</v>
      </c>
      <c r="AL408" s="186">
        <f t="shared" si="215"/>
        <v>0</v>
      </c>
      <c r="AM408" s="186">
        <f t="shared" si="215"/>
        <v>0</v>
      </c>
      <c r="AN408" s="186">
        <f t="shared" si="215"/>
        <v>0</v>
      </c>
      <c r="AO408" s="186">
        <f t="shared" si="215"/>
        <v>0</v>
      </c>
      <c r="AP408" s="186">
        <f t="shared" si="215"/>
        <v>0</v>
      </c>
    </row>
    <row r="409" spans="1:42">
      <c r="A409" s="118">
        <f>A408+1</f>
        <v>2</v>
      </c>
      <c r="B409" s="196">
        <f t="shared" si="214"/>
        <v>3520942.886524681</v>
      </c>
      <c r="C409" s="225">
        <f t="shared" ref="C409:AP409" si="216">LOOKUP(C397,$B$391:$AP$391,$B$392:$AP$392)*$B576</f>
        <v>0</v>
      </c>
      <c r="D409" s="186">
        <f t="shared" si="216"/>
        <v>0</v>
      </c>
      <c r="E409" s="186">
        <f t="shared" si="216"/>
        <v>0</v>
      </c>
      <c r="F409" s="186">
        <f t="shared" si="216"/>
        <v>0</v>
      </c>
      <c r="G409" s="186">
        <f t="shared" si="216"/>
        <v>0</v>
      </c>
      <c r="H409" s="186">
        <f t="shared" si="216"/>
        <v>0</v>
      </c>
      <c r="I409" s="186">
        <f t="shared" si="216"/>
        <v>0</v>
      </c>
      <c r="J409" s="186">
        <f t="shared" si="216"/>
        <v>0</v>
      </c>
      <c r="K409" s="186">
        <f t="shared" si="216"/>
        <v>0</v>
      </c>
      <c r="L409" s="186">
        <f t="shared" si="216"/>
        <v>0</v>
      </c>
      <c r="M409" s="186">
        <f t="shared" si="216"/>
        <v>0</v>
      </c>
      <c r="N409" s="186">
        <f t="shared" si="216"/>
        <v>0</v>
      </c>
      <c r="O409" s="186">
        <f t="shared" si="216"/>
        <v>0</v>
      </c>
      <c r="P409" s="186">
        <f t="shared" si="216"/>
        <v>0</v>
      </c>
      <c r="Q409" s="186">
        <f t="shared" si="216"/>
        <v>0</v>
      </c>
      <c r="R409" s="186">
        <f t="shared" si="216"/>
        <v>0</v>
      </c>
      <c r="S409" s="186">
        <f t="shared" si="216"/>
        <v>0</v>
      </c>
      <c r="T409" s="186">
        <f t="shared" si="216"/>
        <v>0</v>
      </c>
      <c r="U409" s="186">
        <f t="shared" si="216"/>
        <v>0</v>
      </c>
      <c r="V409" s="186">
        <f t="shared" si="216"/>
        <v>0</v>
      </c>
      <c r="W409" s="186">
        <f t="shared" si="216"/>
        <v>0</v>
      </c>
      <c r="X409" s="186">
        <f t="shared" si="216"/>
        <v>0</v>
      </c>
      <c r="Y409" s="186">
        <f t="shared" si="216"/>
        <v>0</v>
      </c>
      <c r="Z409" s="186">
        <f t="shared" si="216"/>
        <v>704188.57730493625</v>
      </c>
      <c r="AA409" s="186">
        <f t="shared" si="216"/>
        <v>1126701.7236878979</v>
      </c>
      <c r="AB409" s="186">
        <f t="shared" si="216"/>
        <v>676021.03421273874</v>
      </c>
      <c r="AC409" s="186">
        <f t="shared" si="216"/>
        <v>405612.62052764324</v>
      </c>
      <c r="AD409" s="186">
        <f t="shared" si="216"/>
        <v>405612.62052764324</v>
      </c>
      <c r="AE409" s="186">
        <f t="shared" si="216"/>
        <v>202806.31026382162</v>
      </c>
      <c r="AF409" s="186">
        <f t="shared" si="216"/>
        <v>0</v>
      </c>
      <c r="AG409" s="186">
        <f t="shared" si="216"/>
        <v>0</v>
      </c>
      <c r="AH409" s="186">
        <f t="shared" si="216"/>
        <v>0</v>
      </c>
      <c r="AI409" s="186">
        <f t="shared" si="216"/>
        <v>0</v>
      </c>
      <c r="AJ409" s="186">
        <f t="shared" si="216"/>
        <v>0</v>
      </c>
      <c r="AK409" s="186">
        <f t="shared" si="216"/>
        <v>0</v>
      </c>
      <c r="AL409" s="186">
        <f t="shared" si="216"/>
        <v>0</v>
      </c>
      <c r="AM409" s="186">
        <f t="shared" si="216"/>
        <v>0</v>
      </c>
      <c r="AN409" s="186">
        <f t="shared" si="216"/>
        <v>0</v>
      </c>
      <c r="AO409" s="186">
        <f t="shared" si="216"/>
        <v>0</v>
      </c>
      <c r="AP409" s="186">
        <f t="shared" si="216"/>
        <v>0</v>
      </c>
    </row>
    <row r="410" spans="1:42">
      <c r="A410" s="118">
        <f t="shared" ref="A410:A415" si="217">A409+1</f>
        <v>3</v>
      </c>
      <c r="B410" s="196">
        <f t="shared" si="214"/>
        <v>0</v>
      </c>
      <c r="C410" s="225">
        <f t="shared" ref="C410:AP410" si="218">LOOKUP(C398,$B$391:$AP$391,$B$392:$AP$392)*$B577</f>
        <v>0</v>
      </c>
      <c r="D410" s="186">
        <f t="shared" si="218"/>
        <v>0</v>
      </c>
      <c r="E410" s="186">
        <f t="shared" si="218"/>
        <v>0</v>
      </c>
      <c r="F410" s="186">
        <f t="shared" si="218"/>
        <v>0</v>
      </c>
      <c r="G410" s="186">
        <f t="shared" si="218"/>
        <v>0</v>
      </c>
      <c r="H410" s="186">
        <f t="shared" si="218"/>
        <v>0</v>
      </c>
      <c r="I410" s="186">
        <f t="shared" si="218"/>
        <v>0</v>
      </c>
      <c r="J410" s="186">
        <f t="shared" si="218"/>
        <v>0</v>
      </c>
      <c r="K410" s="186">
        <f t="shared" si="218"/>
        <v>0</v>
      </c>
      <c r="L410" s="186">
        <f t="shared" si="218"/>
        <v>0</v>
      </c>
      <c r="M410" s="186">
        <f t="shared" si="218"/>
        <v>0</v>
      </c>
      <c r="N410" s="186">
        <f t="shared" si="218"/>
        <v>0</v>
      </c>
      <c r="O410" s="186">
        <f t="shared" si="218"/>
        <v>0</v>
      </c>
      <c r="P410" s="186">
        <f t="shared" si="218"/>
        <v>0</v>
      </c>
      <c r="Q410" s="186">
        <f t="shared" si="218"/>
        <v>0</v>
      </c>
      <c r="R410" s="186">
        <f t="shared" si="218"/>
        <v>0</v>
      </c>
      <c r="S410" s="186">
        <f t="shared" si="218"/>
        <v>0</v>
      </c>
      <c r="T410" s="186">
        <f t="shared" si="218"/>
        <v>0</v>
      </c>
      <c r="U410" s="186">
        <f t="shared" si="218"/>
        <v>0</v>
      </c>
      <c r="V410" s="186">
        <f t="shared" si="218"/>
        <v>0</v>
      </c>
      <c r="W410" s="186">
        <f t="shared" si="218"/>
        <v>0</v>
      </c>
      <c r="X410" s="186">
        <f t="shared" si="218"/>
        <v>0</v>
      </c>
      <c r="Y410" s="186">
        <f t="shared" si="218"/>
        <v>0</v>
      </c>
      <c r="Z410" s="186">
        <f t="shared" si="218"/>
        <v>0</v>
      </c>
      <c r="AA410" s="186">
        <f t="shared" si="218"/>
        <v>0</v>
      </c>
      <c r="AB410" s="186">
        <f t="shared" si="218"/>
        <v>0</v>
      </c>
      <c r="AC410" s="186">
        <f t="shared" si="218"/>
        <v>0</v>
      </c>
      <c r="AD410" s="186">
        <f t="shared" si="218"/>
        <v>0</v>
      </c>
      <c r="AE410" s="186">
        <f t="shared" si="218"/>
        <v>0</v>
      </c>
      <c r="AF410" s="186">
        <f t="shared" si="218"/>
        <v>0</v>
      </c>
      <c r="AG410" s="186">
        <f t="shared" si="218"/>
        <v>0</v>
      </c>
      <c r="AH410" s="186">
        <f t="shared" si="218"/>
        <v>0</v>
      </c>
      <c r="AI410" s="186">
        <f t="shared" si="218"/>
        <v>0</v>
      </c>
      <c r="AJ410" s="186">
        <f t="shared" si="218"/>
        <v>0</v>
      </c>
      <c r="AK410" s="186">
        <f t="shared" si="218"/>
        <v>0</v>
      </c>
      <c r="AL410" s="186">
        <f t="shared" si="218"/>
        <v>0</v>
      </c>
      <c r="AM410" s="186">
        <f t="shared" si="218"/>
        <v>0</v>
      </c>
      <c r="AN410" s="186">
        <f t="shared" si="218"/>
        <v>0</v>
      </c>
      <c r="AO410" s="186">
        <f t="shared" si="218"/>
        <v>0</v>
      </c>
      <c r="AP410" s="186">
        <f t="shared" si="218"/>
        <v>0</v>
      </c>
    </row>
    <row r="411" spans="1:42">
      <c r="A411" s="118">
        <f t="shared" si="217"/>
        <v>4</v>
      </c>
      <c r="B411" s="196">
        <f t="shared" si="214"/>
        <v>0</v>
      </c>
      <c r="C411" s="225">
        <f t="shared" ref="C411:AP411" si="219">LOOKUP(C399,$B$391:$AP$391,$B$392:$AP$392)*$B578</f>
        <v>0</v>
      </c>
      <c r="D411" s="186">
        <f t="shared" si="219"/>
        <v>0</v>
      </c>
      <c r="E411" s="186">
        <f t="shared" si="219"/>
        <v>0</v>
      </c>
      <c r="F411" s="186">
        <f t="shared" si="219"/>
        <v>0</v>
      </c>
      <c r="G411" s="186">
        <f t="shared" si="219"/>
        <v>0</v>
      </c>
      <c r="H411" s="186">
        <f t="shared" si="219"/>
        <v>0</v>
      </c>
      <c r="I411" s="186">
        <f t="shared" si="219"/>
        <v>0</v>
      </c>
      <c r="J411" s="186">
        <f t="shared" si="219"/>
        <v>0</v>
      </c>
      <c r="K411" s="186">
        <f t="shared" si="219"/>
        <v>0</v>
      </c>
      <c r="L411" s="186">
        <f t="shared" si="219"/>
        <v>0</v>
      </c>
      <c r="M411" s="186">
        <f t="shared" si="219"/>
        <v>0</v>
      </c>
      <c r="N411" s="186">
        <f t="shared" si="219"/>
        <v>0</v>
      </c>
      <c r="O411" s="186">
        <f t="shared" si="219"/>
        <v>0</v>
      </c>
      <c r="P411" s="186">
        <f t="shared" si="219"/>
        <v>0</v>
      </c>
      <c r="Q411" s="186">
        <f t="shared" si="219"/>
        <v>0</v>
      </c>
      <c r="R411" s="186">
        <f t="shared" si="219"/>
        <v>0</v>
      </c>
      <c r="S411" s="186">
        <f t="shared" si="219"/>
        <v>0</v>
      </c>
      <c r="T411" s="186">
        <f t="shared" si="219"/>
        <v>0</v>
      </c>
      <c r="U411" s="186">
        <f t="shared" si="219"/>
        <v>0</v>
      </c>
      <c r="V411" s="186">
        <f t="shared" si="219"/>
        <v>0</v>
      </c>
      <c r="W411" s="186">
        <f t="shared" si="219"/>
        <v>0</v>
      </c>
      <c r="X411" s="186">
        <f t="shared" si="219"/>
        <v>0</v>
      </c>
      <c r="Y411" s="186">
        <f t="shared" si="219"/>
        <v>0</v>
      </c>
      <c r="Z411" s="186">
        <f t="shared" si="219"/>
        <v>0</v>
      </c>
      <c r="AA411" s="186">
        <f t="shared" si="219"/>
        <v>0</v>
      </c>
      <c r="AB411" s="186">
        <f t="shared" si="219"/>
        <v>0</v>
      </c>
      <c r="AC411" s="186">
        <f t="shared" si="219"/>
        <v>0</v>
      </c>
      <c r="AD411" s="186">
        <f t="shared" si="219"/>
        <v>0</v>
      </c>
      <c r="AE411" s="186">
        <f t="shared" si="219"/>
        <v>0</v>
      </c>
      <c r="AF411" s="186">
        <f t="shared" si="219"/>
        <v>0</v>
      </c>
      <c r="AG411" s="186">
        <f t="shared" si="219"/>
        <v>0</v>
      </c>
      <c r="AH411" s="186">
        <f t="shared" si="219"/>
        <v>0</v>
      </c>
      <c r="AI411" s="186">
        <f t="shared" si="219"/>
        <v>0</v>
      </c>
      <c r="AJ411" s="186">
        <f t="shared" si="219"/>
        <v>0</v>
      </c>
      <c r="AK411" s="186">
        <f t="shared" si="219"/>
        <v>0</v>
      </c>
      <c r="AL411" s="186">
        <f t="shared" si="219"/>
        <v>0</v>
      </c>
      <c r="AM411" s="186">
        <f t="shared" si="219"/>
        <v>0</v>
      </c>
      <c r="AN411" s="186">
        <f t="shared" si="219"/>
        <v>0</v>
      </c>
      <c r="AO411" s="186">
        <f t="shared" si="219"/>
        <v>0</v>
      </c>
      <c r="AP411" s="186">
        <f t="shared" si="219"/>
        <v>0</v>
      </c>
    </row>
    <row r="412" spans="1:42">
      <c r="A412" s="118">
        <f t="shared" si="217"/>
        <v>5</v>
      </c>
      <c r="B412" s="196">
        <f t="shared" si="214"/>
        <v>0</v>
      </c>
      <c r="C412" s="225">
        <f t="shared" ref="C412:AP412" si="220">LOOKUP(C400,$B$391:$AP$391,$B$392:$AP$392)*$B579</f>
        <v>0</v>
      </c>
      <c r="D412" s="186">
        <f t="shared" si="220"/>
        <v>0</v>
      </c>
      <c r="E412" s="186">
        <f t="shared" si="220"/>
        <v>0</v>
      </c>
      <c r="F412" s="186">
        <f t="shared" si="220"/>
        <v>0</v>
      </c>
      <c r="G412" s="186">
        <f t="shared" si="220"/>
        <v>0</v>
      </c>
      <c r="H412" s="186">
        <f t="shared" si="220"/>
        <v>0</v>
      </c>
      <c r="I412" s="186">
        <f t="shared" si="220"/>
        <v>0</v>
      </c>
      <c r="J412" s="186">
        <f t="shared" si="220"/>
        <v>0</v>
      </c>
      <c r="K412" s="186">
        <f t="shared" si="220"/>
        <v>0</v>
      </c>
      <c r="L412" s="186">
        <f t="shared" si="220"/>
        <v>0</v>
      </c>
      <c r="M412" s="186">
        <f t="shared" si="220"/>
        <v>0</v>
      </c>
      <c r="N412" s="186">
        <f t="shared" si="220"/>
        <v>0</v>
      </c>
      <c r="O412" s="186">
        <f t="shared" si="220"/>
        <v>0</v>
      </c>
      <c r="P412" s="186">
        <f t="shared" si="220"/>
        <v>0</v>
      </c>
      <c r="Q412" s="186">
        <f t="shared" si="220"/>
        <v>0</v>
      </c>
      <c r="R412" s="186">
        <f t="shared" si="220"/>
        <v>0</v>
      </c>
      <c r="S412" s="186">
        <f t="shared" si="220"/>
        <v>0</v>
      </c>
      <c r="T412" s="186">
        <f t="shared" si="220"/>
        <v>0</v>
      </c>
      <c r="U412" s="186">
        <f t="shared" si="220"/>
        <v>0</v>
      </c>
      <c r="V412" s="186">
        <f t="shared" si="220"/>
        <v>0</v>
      </c>
      <c r="W412" s="186">
        <f t="shared" si="220"/>
        <v>0</v>
      </c>
      <c r="X412" s="186">
        <f t="shared" si="220"/>
        <v>0</v>
      </c>
      <c r="Y412" s="186">
        <f t="shared" si="220"/>
        <v>0</v>
      </c>
      <c r="Z412" s="186">
        <f t="shared" si="220"/>
        <v>0</v>
      </c>
      <c r="AA412" s="186">
        <f t="shared" si="220"/>
        <v>0</v>
      </c>
      <c r="AB412" s="186">
        <f t="shared" si="220"/>
        <v>0</v>
      </c>
      <c r="AC412" s="186">
        <f t="shared" si="220"/>
        <v>0</v>
      </c>
      <c r="AD412" s="186">
        <f t="shared" si="220"/>
        <v>0</v>
      </c>
      <c r="AE412" s="186">
        <f t="shared" si="220"/>
        <v>0</v>
      </c>
      <c r="AF412" s="186">
        <f t="shared" si="220"/>
        <v>0</v>
      </c>
      <c r="AG412" s="186">
        <f t="shared" si="220"/>
        <v>0</v>
      </c>
      <c r="AH412" s="186">
        <f t="shared" si="220"/>
        <v>0</v>
      </c>
      <c r="AI412" s="186">
        <f t="shared" si="220"/>
        <v>0</v>
      </c>
      <c r="AJ412" s="186">
        <f t="shared" si="220"/>
        <v>0</v>
      </c>
      <c r="AK412" s="186">
        <f t="shared" si="220"/>
        <v>0</v>
      </c>
      <c r="AL412" s="186">
        <f t="shared" si="220"/>
        <v>0</v>
      </c>
      <c r="AM412" s="186">
        <f t="shared" si="220"/>
        <v>0</v>
      </c>
      <c r="AN412" s="186">
        <f t="shared" si="220"/>
        <v>0</v>
      </c>
      <c r="AO412" s="186">
        <f t="shared" si="220"/>
        <v>0</v>
      </c>
      <c r="AP412" s="186">
        <f t="shared" si="220"/>
        <v>0</v>
      </c>
    </row>
    <row r="413" spans="1:42">
      <c r="A413" s="118">
        <f t="shared" si="217"/>
        <v>6</v>
      </c>
      <c r="B413" s="196">
        <f t="shared" si="214"/>
        <v>0</v>
      </c>
      <c r="C413" s="225">
        <f t="shared" ref="C413:AP413" si="221">LOOKUP(C401,$B$391:$AP$391,$B$392:$AP$392)*$B580</f>
        <v>0</v>
      </c>
      <c r="D413" s="186">
        <f t="shared" si="221"/>
        <v>0</v>
      </c>
      <c r="E413" s="186">
        <f t="shared" si="221"/>
        <v>0</v>
      </c>
      <c r="F413" s="186">
        <f t="shared" si="221"/>
        <v>0</v>
      </c>
      <c r="G413" s="186">
        <f t="shared" si="221"/>
        <v>0</v>
      </c>
      <c r="H413" s="186">
        <f t="shared" si="221"/>
        <v>0</v>
      </c>
      <c r="I413" s="186">
        <f t="shared" si="221"/>
        <v>0</v>
      </c>
      <c r="J413" s="186">
        <f t="shared" si="221"/>
        <v>0</v>
      </c>
      <c r="K413" s="186">
        <f t="shared" si="221"/>
        <v>0</v>
      </c>
      <c r="L413" s="186">
        <f t="shared" si="221"/>
        <v>0</v>
      </c>
      <c r="M413" s="186">
        <f t="shared" si="221"/>
        <v>0</v>
      </c>
      <c r="N413" s="186">
        <f t="shared" si="221"/>
        <v>0</v>
      </c>
      <c r="O413" s="186">
        <f t="shared" si="221"/>
        <v>0</v>
      </c>
      <c r="P413" s="186">
        <f t="shared" si="221"/>
        <v>0</v>
      </c>
      <c r="Q413" s="186">
        <f t="shared" si="221"/>
        <v>0</v>
      </c>
      <c r="R413" s="186">
        <f t="shared" si="221"/>
        <v>0</v>
      </c>
      <c r="S413" s="186">
        <f t="shared" si="221"/>
        <v>0</v>
      </c>
      <c r="T413" s="186">
        <f t="shared" si="221"/>
        <v>0</v>
      </c>
      <c r="U413" s="186">
        <f t="shared" si="221"/>
        <v>0</v>
      </c>
      <c r="V413" s="186">
        <f t="shared" si="221"/>
        <v>0</v>
      </c>
      <c r="W413" s="186">
        <f t="shared" si="221"/>
        <v>0</v>
      </c>
      <c r="X413" s="186">
        <f t="shared" si="221"/>
        <v>0</v>
      </c>
      <c r="Y413" s="186">
        <f t="shared" si="221"/>
        <v>0</v>
      </c>
      <c r="Z413" s="186">
        <f t="shared" si="221"/>
        <v>0</v>
      </c>
      <c r="AA413" s="186">
        <f t="shared" si="221"/>
        <v>0</v>
      </c>
      <c r="AB413" s="186">
        <f t="shared" si="221"/>
        <v>0</v>
      </c>
      <c r="AC413" s="186">
        <f t="shared" si="221"/>
        <v>0</v>
      </c>
      <c r="AD413" s="186">
        <f t="shared" si="221"/>
        <v>0</v>
      </c>
      <c r="AE413" s="186">
        <f t="shared" si="221"/>
        <v>0</v>
      </c>
      <c r="AF413" s="186">
        <f t="shared" si="221"/>
        <v>0</v>
      </c>
      <c r="AG413" s="186">
        <f t="shared" si="221"/>
        <v>0</v>
      </c>
      <c r="AH413" s="186">
        <f t="shared" si="221"/>
        <v>0</v>
      </c>
      <c r="AI413" s="186">
        <f t="shared" si="221"/>
        <v>0</v>
      </c>
      <c r="AJ413" s="186">
        <f t="shared" si="221"/>
        <v>0</v>
      </c>
      <c r="AK413" s="186">
        <f t="shared" si="221"/>
        <v>0</v>
      </c>
      <c r="AL413" s="186">
        <f t="shared" si="221"/>
        <v>0</v>
      </c>
      <c r="AM413" s="186">
        <f t="shared" si="221"/>
        <v>0</v>
      </c>
      <c r="AN413" s="186">
        <f t="shared" si="221"/>
        <v>0</v>
      </c>
      <c r="AO413" s="186">
        <f t="shared" si="221"/>
        <v>0</v>
      </c>
      <c r="AP413" s="186">
        <f t="shared" si="221"/>
        <v>0</v>
      </c>
    </row>
    <row r="414" spans="1:42">
      <c r="A414" s="118">
        <f t="shared" si="217"/>
        <v>7</v>
      </c>
      <c r="B414" s="196">
        <f t="shared" si="214"/>
        <v>0</v>
      </c>
      <c r="C414" s="225">
        <f t="shared" ref="C414:AP414" si="222">LOOKUP(C402,$B$391:$AP$391,$B$392:$AP$392)*$B581</f>
        <v>0</v>
      </c>
      <c r="D414" s="186">
        <f t="shared" si="222"/>
        <v>0</v>
      </c>
      <c r="E414" s="186">
        <f t="shared" si="222"/>
        <v>0</v>
      </c>
      <c r="F414" s="186">
        <f t="shared" si="222"/>
        <v>0</v>
      </c>
      <c r="G414" s="186">
        <f t="shared" si="222"/>
        <v>0</v>
      </c>
      <c r="H414" s="186">
        <f t="shared" si="222"/>
        <v>0</v>
      </c>
      <c r="I414" s="186">
        <f t="shared" si="222"/>
        <v>0</v>
      </c>
      <c r="J414" s="186">
        <f t="shared" si="222"/>
        <v>0</v>
      </c>
      <c r="K414" s="186">
        <f t="shared" si="222"/>
        <v>0</v>
      </c>
      <c r="L414" s="186">
        <f t="shared" si="222"/>
        <v>0</v>
      </c>
      <c r="M414" s="186">
        <f t="shared" si="222"/>
        <v>0</v>
      </c>
      <c r="N414" s="186">
        <f t="shared" si="222"/>
        <v>0</v>
      </c>
      <c r="O414" s="186">
        <f t="shared" si="222"/>
        <v>0</v>
      </c>
      <c r="P414" s="186">
        <f t="shared" si="222"/>
        <v>0</v>
      </c>
      <c r="Q414" s="186">
        <f t="shared" si="222"/>
        <v>0</v>
      </c>
      <c r="R414" s="186">
        <f t="shared" si="222"/>
        <v>0</v>
      </c>
      <c r="S414" s="186">
        <f t="shared" si="222"/>
        <v>0</v>
      </c>
      <c r="T414" s="186">
        <f t="shared" si="222"/>
        <v>0</v>
      </c>
      <c r="U414" s="186">
        <f t="shared" si="222"/>
        <v>0</v>
      </c>
      <c r="V414" s="186">
        <f t="shared" si="222"/>
        <v>0</v>
      </c>
      <c r="W414" s="186">
        <f t="shared" si="222"/>
        <v>0</v>
      </c>
      <c r="X414" s="186">
        <f t="shared" si="222"/>
        <v>0</v>
      </c>
      <c r="Y414" s="186">
        <f t="shared" si="222"/>
        <v>0</v>
      </c>
      <c r="Z414" s="186">
        <f t="shared" si="222"/>
        <v>0</v>
      </c>
      <c r="AA414" s="186">
        <f t="shared" si="222"/>
        <v>0</v>
      </c>
      <c r="AB414" s="186">
        <f t="shared" si="222"/>
        <v>0</v>
      </c>
      <c r="AC414" s="186">
        <f t="shared" si="222"/>
        <v>0</v>
      </c>
      <c r="AD414" s="186">
        <f t="shared" si="222"/>
        <v>0</v>
      </c>
      <c r="AE414" s="186">
        <f t="shared" si="222"/>
        <v>0</v>
      </c>
      <c r="AF414" s="186">
        <f t="shared" si="222"/>
        <v>0</v>
      </c>
      <c r="AG414" s="186">
        <f t="shared" si="222"/>
        <v>0</v>
      </c>
      <c r="AH414" s="186">
        <f t="shared" si="222"/>
        <v>0</v>
      </c>
      <c r="AI414" s="186">
        <f t="shared" si="222"/>
        <v>0</v>
      </c>
      <c r="AJ414" s="186">
        <f t="shared" si="222"/>
        <v>0</v>
      </c>
      <c r="AK414" s="186">
        <f t="shared" si="222"/>
        <v>0</v>
      </c>
      <c r="AL414" s="186">
        <f t="shared" si="222"/>
        <v>0</v>
      </c>
      <c r="AM414" s="186">
        <f t="shared" si="222"/>
        <v>0</v>
      </c>
      <c r="AN414" s="186">
        <f t="shared" si="222"/>
        <v>0</v>
      </c>
      <c r="AO414" s="186">
        <f t="shared" si="222"/>
        <v>0</v>
      </c>
      <c r="AP414" s="186">
        <f t="shared" si="222"/>
        <v>0</v>
      </c>
    </row>
    <row r="415" spans="1:42">
      <c r="A415" s="118">
        <f t="shared" si="217"/>
        <v>8</v>
      </c>
      <c r="B415" s="196">
        <f t="shared" si="214"/>
        <v>0</v>
      </c>
      <c r="C415" s="225">
        <f t="shared" ref="C415:AP415" si="223">LOOKUP(C403,$B$391:$AP$391,$B$392:$AP$392)*$B582</f>
        <v>0</v>
      </c>
      <c r="D415" s="186">
        <f t="shared" si="223"/>
        <v>0</v>
      </c>
      <c r="E415" s="186">
        <f t="shared" si="223"/>
        <v>0</v>
      </c>
      <c r="F415" s="186">
        <f t="shared" si="223"/>
        <v>0</v>
      </c>
      <c r="G415" s="186">
        <f t="shared" si="223"/>
        <v>0</v>
      </c>
      <c r="H415" s="186">
        <f t="shared" si="223"/>
        <v>0</v>
      </c>
      <c r="I415" s="186">
        <f t="shared" si="223"/>
        <v>0</v>
      </c>
      <c r="J415" s="186">
        <f t="shared" si="223"/>
        <v>0</v>
      </c>
      <c r="K415" s="186">
        <f t="shared" si="223"/>
        <v>0</v>
      </c>
      <c r="L415" s="186">
        <f t="shared" si="223"/>
        <v>0</v>
      </c>
      <c r="M415" s="186">
        <f t="shared" si="223"/>
        <v>0</v>
      </c>
      <c r="N415" s="186">
        <f t="shared" si="223"/>
        <v>0</v>
      </c>
      <c r="O415" s="186">
        <f t="shared" si="223"/>
        <v>0</v>
      </c>
      <c r="P415" s="186">
        <f t="shared" si="223"/>
        <v>0</v>
      </c>
      <c r="Q415" s="186">
        <f t="shared" si="223"/>
        <v>0</v>
      </c>
      <c r="R415" s="186">
        <f t="shared" si="223"/>
        <v>0</v>
      </c>
      <c r="S415" s="186">
        <f t="shared" si="223"/>
        <v>0</v>
      </c>
      <c r="T415" s="186">
        <f t="shared" si="223"/>
        <v>0</v>
      </c>
      <c r="U415" s="186">
        <f t="shared" si="223"/>
        <v>0</v>
      </c>
      <c r="V415" s="186">
        <f t="shared" si="223"/>
        <v>0</v>
      </c>
      <c r="W415" s="186">
        <f t="shared" si="223"/>
        <v>0</v>
      </c>
      <c r="X415" s="186">
        <f t="shared" si="223"/>
        <v>0</v>
      </c>
      <c r="Y415" s="186">
        <f t="shared" si="223"/>
        <v>0</v>
      </c>
      <c r="Z415" s="186">
        <f t="shared" si="223"/>
        <v>0</v>
      </c>
      <c r="AA415" s="186">
        <f t="shared" si="223"/>
        <v>0</v>
      </c>
      <c r="AB415" s="186">
        <f t="shared" si="223"/>
        <v>0</v>
      </c>
      <c r="AC415" s="186">
        <f t="shared" si="223"/>
        <v>0</v>
      </c>
      <c r="AD415" s="186">
        <f t="shared" si="223"/>
        <v>0</v>
      </c>
      <c r="AE415" s="186">
        <f t="shared" si="223"/>
        <v>0</v>
      </c>
      <c r="AF415" s="186">
        <f t="shared" si="223"/>
        <v>0</v>
      </c>
      <c r="AG415" s="186">
        <f t="shared" si="223"/>
        <v>0</v>
      </c>
      <c r="AH415" s="186">
        <f t="shared" si="223"/>
        <v>0</v>
      </c>
      <c r="AI415" s="186">
        <f t="shared" si="223"/>
        <v>0</v>
      </c>
      <c r="AJ415" s="186">
        <f t="shared" si="223"/>
        <v>0</v>
      </c>
      <c r="AK415" s="186">
        <f t="shared" si="223"/>
        <v>0</v>
      </c>
      <c r="AL415" s="186">
        <f t="shared" si="223"/>
        <v>0</v>
      </c>
      <c r="AM415" s="186">
        <f t="shared" si="223"/>
        <v>0</v>
      </c>
      <c r="AN415" s="186">
        <f t="shared" si="223"/>
        <v>0</v>
      </c>
      <c r="AO415" s="186">
        <f t="shared" si="223"/>
        <v>0</v>
      </c>
      <c r="AP415" s="186">
        <f t="shared" si="223"/>
        <v>0</v>
      </c>
    </row>
    <row r="416" spans="1:42">
      <c r="A416" s="118">
        <f>A415+1</f>
        <v>9</v>
      </c>
      <c r="B416" s="196">
        <f t="shared" si="214"/>
        <v>0</v>
      </c>
      <c r="C416" s="225">
        <f t="shared" ref="C416:AP416" si="224">LOOKUP(C404,$B$391:$AP$391,$B$392:$AP$392)*$B583</f>
        <v>0</v>
      </c>
      <c r="D416" s="186">
        <f t="shared" si="224"/>
        <v>0</v>
      </c>
      <c r="E416" s="186">
        <f t="shared" si="224"/>
        <v>0</v>
      </c>
      <c r="F416" s="186">
        <f t="shared" si="224"/>
        <v>0</v>
      </c>
      <c r="G416" s="186">
        <f t="shared" si="224"/>
        <v>0</v>
      </c>
      <c r="H416" s="186">
        <f t="shared" si="224"/>
        <v>0</v>
      </c>
      <c r="I416" s="186">
        <f t="shared" si="224"/>
        <v>0</v>
      </c>
      <c r="J416" s="186">
        <f t="shared" si="224"/>
        <v>0</v>
      </c>
      <c r="K416" s="186">
        <f t="shared" si="224"/>
        <v>0</v>
      </c>
      <c r="L416" s="186">
        <f t="shared" si="224"/>
        <v>0</v>
      </c>
      <c r="M416" s="186">
        <f t="shared" si="224"/>
        <v>0</v>
      </c>
      <c r="N416" s="186">
        <f t="shared" si="224"/>
        <v>0</v>
      </c>
      <c r="O416" s="186">
        <f t="shared" si="224"/>
        <v>0</v>
      </c>
      <c r="P416" s="186">
        <f t="shared" si="224"/>
        <v>0</v>
      </c>
      <c r="Q416" s="186">
        <f t="shared" si="224"/>
        <v>0</v>
      </c>
      <c r="R416" s="186">
        <f t="shared" si="224"/>
        <v>0</v>
      </c>
      <c r="S416" s="186">
        <f t="shared" si="224"/>
        <v>0</v>
      </c>
      <c r="T416" s="186">
        <f t="shared" si="224"/>
        <v>0</v>
      </c>
      <c r="U416" s="186">
        <f t="shared" si="224"/>
        <v>0</v>
      </c>
      <c r="V416" s="186">
        <f t="shared" si="224"/>
        <v>0</v>
      </c>
      <c r="W416" s="186">
        <f t="shared" si="224"/>
        <v>0</v>
      </c>
      <c r="X416" s="186">
        <f t="shared" si="224"/>
        <v>0</v>
      </c>
      <c r="Y416" s="186">
        <f t="shared" si="224"/>
        <v>0</v>
      </c>
      <c r="Z416" s="186">
        <f t="shared" si="224"/>
        <v>0</v>
      </c>
      <c r="AA416" s="186">
        <f t="shared" si="224"/>
        <v>0</v>
      </c>
      <c r="AB416" s="186">
        <f t="shared" si="224"/>
        <v>0</v>
      </c>
      <c r="AC416" s="186">
        <f t="shared" si="224"/>
        <v>0</v>
      </c>
      <c r="AD416" s="186">
        <f t="shared" si="224"/>
        <v>0</v>
      </c>
      <c r="AE416" s="186">
        <f t="shared" si="224"/>
        <v>0</v>
      </c>
      <c r="AF416" s="186">
        <f t="shared" si="224"/>
        <v>0</v>
      </c>
      <c r="AG416" s="186">
        <f t="shared" si="224"/>
        <v>0</v>
      </c>
      <c r="AH416" s="186">
        <f t="shared" si="224"/>
        <v>0</v>
      </c>
      <c r="AI416" s="186">
        <f t="shared" si="224"/>
        <v>0</v>
      </c>
      <c r="AJ416" s="186">
        <f t="shared" si="224"/>
        <v>0</v>
      </c>
      <c r="AK416" s="186">
        <f t="shared" si="224"/>
        <v>0</v>
      </c>
      <c r="AL416" s="186">
        <f t="shared" si="224"/>
        <v>0</v>
      </c>
      <c r="AM416" s="186">
        <f t="shared" si="224"/>
        <v>0</v>
      </c>
      <c r="AN416" s="186">
        <f t="shared" si="224"/>
        <v>0</v>
      </c>
      <c r="AO416" s="186">
        <f t="shared" si="224"/>
        <v>0</v>
      </c>
      <c r="AP416" s="186">
        <f t="shared" si="224"/>
        <v>0</v>
      </c>
    </row>
    <row r="417" spans="1:42">
      <c r="A417" s="118">
        <f t="shared" ref="A417" si="225">A416+1</f>
        <v>10</v>
      </c>
      <c r="B417" s="196">
        <f t="shared" si="214"/>
        <v>0</v>
      </c>
      <c r="C417" s="221">
        <f t="shared" ref="C417:AP417" si="226">LOOKUP(C405,$B$391:$AP$391,$B$392:$AP$392)*$B584</f>
        <v>0</v>
      </c>
      <c r="D417" s="187">
        <f t="shared" si="226"/>
        <v>0</v>
      </c>
      <c r="E417" s="187">
        <f t="shared" si="226"/>
        <v>0</v>
      </c>
      <c r="F417" s="187">
        <f t="shared" si="226"/>
        <v>0</v>
      </c>
      <c r="G417" s="187">
        <f t="shared" si="226"/>
        <v>0</v>
      </c>
      <c r="H417" s="187">
        <f t="shared" si="226"/>
        <v>0</v>
      </c>
      <c r="I417" s="187">
        <f t="shared" si="226"/>
        <v>0</v>
      </c>
      <c r="J417" s="187">
        <f t="shared" si="226"/>
        <v>0</v>
      </c>
      <c r="K417" s="187">
        <f t="shared" si="226"/>
        <v>0</v>
      </c>
      <c r="L417" s="187">
        <f t="shared" si="226"/>
        <v>0</v>
      </c>
      <c r="M417" s="187">
        <f t="shared" si="226"/>
        <v>0</v>
      </c>
      <c r="N417" s="187">
        <f t="shared" si="226"/>
        <v>0</v>
      </c>
      <c r="O417" s="187">
        <f t="shared" si="226"/>
        <v>0</v>
      </c>
      <c r="P417" s="187">
        <f t="shared" si="226"/>
        <v>0</v>
      </c>
      <c r="Q417" s="187">
        <f t="shared" si="226"/>
        <v>0</v>
      </c>
      <c r="R417" s="187">
        <f t="shared" si="226"/>
        <v>0</v>
      </c>
      <c r="S417" s="187">
        <f t="shared" si="226"/>
        <v>0</v>
      </c>
      <c r="T417" s="187">
        <f t="shared" si="226"/>
        <v>0</v>
      </c>
      <c r="U417" s="187">
        <f t="shared" si="226"/>
        <v>0</v>
      </c>
      <c r="V417" s="187">
        <f t="shared" si="226"/>
        <v>0</v>
      </c>
      <c r="W417" s="187">
        <f t="shared" si="226"/>
        <v>0</v>
      </c>
      <c r="X417" s="187">
        <f t="shared" si="226"/>
        <v>0</v>
      </c>
      <c r="Y417" s="187">
        <f t="shared" si="226"/>
        <v>0</v>
      </c>
      <c r="Z417" s="187">
        <f t="shared" si="226"/>
        <v>0</v>
      </c>
      <c r="AA417" s="187">
        <f t="shared" si="226"/>
        <v>0</v>
      </c>
      <c r="AB417" s="187">
        <f t="shared" si="226"/>
        <v>0</v>
      </c>
      <c r="AC417" s="187">
        <f t="shared" si="226"/>
        <v>0</v>
      </c>
      <c r="AD417" s="187">
        <f t="shared" si="226"/>
        <v>0</v>
      </c>
      <c r="AE417" s="187">
        <f t="shared" si="226"/>
        <v>0</v>
      </c>
      <c r="AF417" s="187">
        <f t="shared" si="226"/>
        <v>0</v>
      </c>
      <c r="AG417" s="187">
        <f t="shared" si="226"/>
        <v>0</v>
      </c>
      <c r="AH417" s="187">
        <f t="shared" si="226"/>
        <v>0</v>
      </c>
      <c r="AI417" s="187">
        <f t="shared" si="226"/>
        <v>0</v>
      </c>
      <c r="AJ417" s="187">
        <f t="shared" si="226"/>
        <v>0</v>
      </c>
      <c r="AK417" s="187">
        <f t="shared" si="226"/>
        <v>0</v>
      </c>
      <c r="AL417" s="187">
        <f t="shared" si="226"/>
        <v>0</v>
      </c>
      <c r="AM417" s="187">
        <f t="shared" si="226"/>
        <v>0</v>
      </c>
      <c r="AN417" s="187">
        <f t="shared" si="226"/>
        <v>0</v>
      </c>
      <c r="AO417" s="187">
        <f t="shared" si="226"/>
        <v>0</v>
      </c>
      <c r="AP417" s="187">
        <f t="shared" si="226"/>
        <v>0</v>
      </c>
    </row>
    <row r="418" spans="1:42" s="118" customFormat="1">
      <c r="A418" s="222" t="s">
        <v>53</v>
      </c>
      <c r="B418" s="141"/>
      <c r="C418" s="141">
        <f>SUM(C408:C417)</f>
        <v>0</v>
      </c>
      <c r="D418" s="141">
        <f t="shared" ref="D418:AP418" si="227">SUM(D408:D417)</f>
        <v>0</v>
      </c>
      <c r="E418" s="141">
        <f t="shared" si="227"/>
        <v>0</v>
      </c>
      <c r="F418" s="141">
        <f t="shared" si="227"/>
        <v>0</v>
      </c>
      <c r="G418" s="141">
        <f t="shared" si="227"/>
        <v>0</v>
      </c>
      <c r="H418" s="141">
        <f t="shared" si="227"/>
        <v>0</v>
      </c>
      <c r="I418" s="141">
        <f t="shared" si="227"/>
        <v>0</v>
      </c>
      <c r="J418" s="141">
        <f t="shared" si="227"/>
        <v>0</v>
      </c>
      <c r="K418" s="141">
        <f t="shared" si="227"/>
        <v>0</v>
      </c>
      <c r="L418" s="141">
        <f t="shared" si="227"/>
        <v>0</v>
      </c>
      <c r="M418" s="141">
        <f t="shared" si="227"/>
        <v>0</v>
      </c>
      <c r="N418" s="141">
        <f t="shared" si="227"/>
        <v>588974.46870026283</v>
      </c>
      <c r="O418" s="141">
        <f t="shared" si="227"/>
        <v>942359.14992042049</v>
      </c>
      <c r="P418" s="141">
        <f t="shared" si="227"/>
        <v>565415.48995225236</v>
      </c>
      <c r="Q418" s="141">
        <f t="shared" si="227"/>
        <v>339249.29397135135</v>
      </c>
      <c r="R418" s="141">
        <f t="shared" si="227"/>
        <v>339249.29397135135</v>
      </c>
      <c r="S418" s="141">
        <f t="shared" si="227"/>
        <v>169624.64698567567</v>
      </c>
      <c r="T418" s="141">
        <f t="shared" si="227"/>
        <v>0</v>
      </c>
      <c r="U418" s="141">
        <f t="shared" si="227"/>
        <v>0</v>
      </c>
      <c r="V418" s="141">
        <f t="shared" si="227"/>
        <v>0</v>
      </c>
      <c r="W418" s="141">
        <f t="shared" si="227"/>
        <v>0</v>
      </c>
      <c r="X418" s="141">
        <f t="shared" si="227"/>
        <v>0</v>
      </c>
      <c r="Y418" s="141">
        <f t="shared" si="227"/>
        <v>0</v>
      </c>
      <c r="Z418" s="141">
        <f t="shared" si="227"/>
        <v>704188.57730493625</v>
      </c>
      <c r="AA418" s="141">
        <f t="shared" si="227"/>
        <v>1126701.7236878979</v>
      </c>
      <c r="AB418" s="141">
        <f t="shared" si="227"/>
        <v>676021.03421273874</v>
      </c>
      <c r="AC418" s="141">
        <f t="shared" si="227"/>
        <v>405612.62052764324</v>
      </c>
      <c r="AD418" s="141">
        <f t="shared" si="227"/>
        <v>405612.62052764324</v>
      </c>
      <c r="AE418" s="141">
        <f t="shared" si="227"/>
        <v>202806.31026382162</v>
      </c>
      <c r="AF418" s="141">
        <f t="shared" si="227"/>
        <v>0</v>
      </c>
      <c r="AG418" s="141">
        <f t="shared" si="227"/>
        <v>0</v>
      </c>
      <c r="AH418" s="141">
        <f t="shared" si="227"/>
        <v>0</v>
      </c>
      <c r="AI418" s="141">
        <f t="shared" si="227"/>
        <v>0</v>
      </c>
      <c r="AJ418" s="141">
        <f t="shared" si="227"/>
        <v>0</v>
      </c>
      <c r="AK418" s="141">
        <f t="shared" si="227"/>
        <v>0</v>
      </c>
      <c r="AL418" s="141">
        <f t="shared" si="227"/>
        <v>0</v>
      </c>
      <c r="AM418" s="141">
        <f t="shared" si="227"/>
        <v>0</v>
      </c>
      <c r="AN418" s="141">
        <f t="shared" si="227"/>
        <v>0</v>
      </c>
      <c r="AO418" s="141">
        <f t="shared" si="227"/>
        <v>0</v>
      </c>
      <c r="AP418" s="141">
        <f t="shared" si="227"/>
        <v>0</v>
      </c>
    </row>
    <row r="419" spans="1:42" s="118" customFormat="1">
      <c r="A419" s="222"/>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41"/>
      <c r="AN419" s="141"/>
      <c r="AO419" s="141"/>
      <c r="AP419" s="141"/>
    </row>
    <row r="420" spans="1:42">
      <c r="A420" s="197" t="s">
        <v>371</v>
      </c>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row>
    <row r="421" spans="1:42">
      <c r="A421" s="204" t="s">
        <v>207</v>
      </c>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c r="AM421" s="186"/>
      <c r="AN421" s="186"/>
      <c r="AO421" s="186"/>
      <c r="AP421" s="186"/>
    </row>
    <row r="422" spans="1:42">
      <c r="A422" s="118">
        <v>1</v>
      </c>
      <c r="C422" s="186">
        <f>C287</f>
        <v>0</v>
      </c>
      <c r="D422" s="186">
        <f t="shared" ref="D422:AP428" si="228">D287</f>
        <v>0</v>
      </c>
      <c r="E422" s="186">
        <f t="shared" si="228"/>
        <v>0</v>
      </c>
      <c r="F422" s="186">
        <f t="shared" si="228"/>
        <v>0</v>
      </c>
      <c r="G422" s="186">
        <f t="shared" si="228"/>
        <v>0</v>
      </c>
      <c r="H422" s="186">
        <f t="shared" si="228"/>
        <v>0</v>
      </c>
      <c r="I422" s="186">
        <f t="shared" si="228"/>
        <v>0</v>
      </c>
      <c r="J422" s="186">
        <f t="shared" si="228"/>
        <v>0</v>
      </c>
      <c r="K422" s="186">
        <f t="shared" si="228"/>
        <v>0</v>
      </c>
      <c r="L422" s="186">
        <f t="shared" si="228"/>
        <v>0</v>
      </c>
      <c r="M422" s="186">
        <f t="shared" si="228"/>
        <v>0</v>
      </c>
      <c r="N422" s="186">
        <f t="shared" si="228"/>
        <v>0</v>
      </c>
      <c r="O422" s="186">
        <f t="shared" si="228"/>
        <v>0</v>
      </c>
      <c r="P422" s="186">
        <f t="shared" si="228"/>
        <v>0</v>
      </c>
      <c r="Q422" s="186">
        <f t="shared" si="228"/>
        <v>1</v>
      </c>
      <c r="R422" s="186">
        <f t="shared" si="228"/>
        <v>2</v>
      </c>
      <c r="S422" s="186">
        <f t="shared" si="228"/>
        <v>3</v>
      </c>
      <c r="T422" s="186">
        <f t="shared" si="228"/>
        <v>4</v>
      </c>
      <c r="U422" s="186">
        <f t="shared" si="228"/>
        <v>5</v>
      </c>
      <c r="V422" s="186">
        <f t="shared" si="228"/>
        <v>6</v>
      </c>
      <c r="W422" s="186">
        <f t="shared" si="228"/>
        <v>7</v>
      </c>
      <c r="X422" s="186">
        <f t="shared" si="228"/>
        <v>8</v>
      </c>
      <c r="Y422" s="186">
        <f t="shared" si="228"/>
        <v>9</v>
      </c>
      <c r="Z422" s="186">
        <f t="shared" si="228"/>
        <v>10</v>
      </c>
      <c r="AA422" s="186">
        <f t="shared" si="228"/>
        <v>11</v>
      </c>
      <c r="AB422" s="186">
        <f t="shared" si="228"/>
        <v>12</v>
      </c>
      <c r="AC422" s="186">
        <f t="shared" si="228"/>
        <v>13</v>
      </c>
      <c r="AD422" s="186">
        <f t="shared" si="228"/>
        <v>14</v>
      </c>
      <c r="AE422" s="186">
        <f t="shared" si="228"/>
        <v>15</v>
      </c>
      <c r="AF422" s="186">
        <f t="shared" si="228"/>
        <v>16</v>
      </c>
      <c r="AG422" s="186">
        <f t="shared" si="228"/>
        <v>0</v>
      </c>
      <c r="AH422" s="186">
        <f t="shared" si="228"/>
        <v>0</v>
      </c>
      <c r="AI422" s="186">
        <f t="shared" si="228"/>
        <v>0</v>
      </c>
      <c r="AJ422" s="186">
        <f t="shared" si="228"/>
        <v>0</v>
      </c>
      <c r="AK422" s="186">
        <f t="shared" si="228"/>
        <v>0</v>
      </c>
      <c r="AL422" s="186">
        <f t="shared" si="228"/>
        <v>0</v>
      </c>
      <c r="AM422" s="186">
        <f t="shared" si="228"/>
        <v>0</v>
      </c>
      <c r="AN422" s="186">
        <f t="shared" si="228"/>
        <v>0</v>
      </c>
      <c r="AO422" s="186">
        <f t="shared" si="228"/>
        <v>0</v>
      </c>
      <c r="AP422" s="186">
        <f t="shared" si="228"/>
        <v>0</v>
      </c>
    </row>
    <row r="423" spans="1:42">
      <c r="A423" s="118">
        <f>A422+1</f>
        <v>2</v>
      </c>
      <c r="C423" s="186">
        <f t="shared" ref="C423:R431" si="229">C288</f>
        <v>0</v>
      </c>
      <c r="D423" s="186">
        <f t="shared" si="229"/>
        <v>0</v>
      </c>
      <c r="E423" s="186">
        <f t="shared" si="229"/>
        <v>0</v>
      </c>
      <c r="F423" s="186">
        <f t="shared" si="229"/>
        <v>0</v>
      </c>
      <c r="G423" s="186">
        <f t="shared" si="229"/>
        <v>0</v>
      </c>
      <c r="H423" s="186">
        <f t="shared" si="229"/>
        <v>0</v>
      </c>
      <c r="I423" s="186">
        <f t="shared" si="229"/>
        <v>0</v>
      </c>
      <c r="J423" s="186">
        <f t="shared" si="229"/>
        <v>0</v>
      </c>
      <c r="K423" s="186">
        <f t="shared" si="229"/>
        <v>0</v>
      </c>
      <c r="L423" s="186">
        <f t="shared" si="229"/>
        <v>0</v>
      </c>
      <c r="M423" s="186">
        <f t="shared" si="229"/>
        <v>0</v>
      </c>
      <c r="N423" s="186">
        <f t="shared" si="229"/>
        <v>0</v>
      </c>
      <c r="O423" s="186">
        <f t="shared" si="229"/>
        <v>0</v>
      </c>
      <c r="P423" s="186">
        <f t="shared" si="229"/>
        <v>0</v>
      </c>
      <c r="Q423" s="186">
        <f t="shared" si="229"/>
        <v>0</v>
      </c>
      <c r="R423" s="186">
        <f t="shared" si="229"/>
        <v>0</v>
      </c>
      <c r="S423" s="186">
        <f t="shared" si="228"/>
        <v>0</v>
      </c>
      <c r="T423" s="186">
        <f t="shared" si="228"/>
        <v>0</v>
      </c>
      <c r="U423" s="186">
        <f t="shared" si="228"/>
        <v>0</v>
      </c>
      <c r="V423" s="186">
        <f t="shared" si="228"/>
        <v>0</v>
      </c>
      <c r="W423" s="186">
        <f t="shared" si="228"/>
        <v>0</v>
      </c>
      <c r="X423" s="186">
        <f t="shared" si="228"/>
        <v>0</v>
      </c>
      <c r="Y423" s="186">
        <f t="shared" si="228"/>
        <v>0</v>
      </c>
      <c r="Z423" s="186">
        <f t="shared" si="228"/>
        <v>0</v>
      </c>
      <c r="AA423" s="186">
        <f t="shared" si="228"/>
        <v>0</v>
      </c>
      <c r="AB423" s="186">
        <f t="shared" si="228"/>
        <v>0</v>
      </c>
      <c r="AC423" s="186">
        <f t="shared" si="228"/>
        <v>0</v>
      </c>
      <c r="AD423" s="186">
        <f t="shared" si="228"/>
        <v>0</v>
      </c>
      <c r="AE423" s="186">
        <f t="shared" si="228"/>
        <v>0</v>
      </c>
      <c r="AF423" s="186">
        <f t="shared" si="228"/>
        <v>1</v>
      </c>
      <c r="AG423" s="186">
        <f t="shared" si="228"/>
        <v>0</v>
      </c>
      <c r="AH423" s="186">
        <f t="shared" si="228"/>
        <v>0</v>
      </c>
      <c r="AI423" s="186">
        <f t="shared" si="228"/>
        <v>0</v>
      </c>
      <c r="AJ423" s="186">
        <f t="shared" si="228"/>
        <v>0</v>
      </c>
      <c r="AK423" s="186">
        <f t="shared" si="228"/>
        <v>0</v>
      </c>
      <c r="AL423" s="186">
        <f t="shared" si="228"/>
        <v>0</v>
      </c>
      <c r="AM423" s="186">
        <f t="shared" si="228"/>
        <v>0</v>
      </c>
      <c r="AN423" s="186">
        <f t="shared" si="228"/>
        <v>0</v>
      </c>
      <c r="AO423" s="186">
        <f t="shared" si="228"/>
        <v>0</v>
      </c>
      <c r="AP423" s="186">
        <f t="shared" si="228"/>
        <v>0</v>
      </c>
    </row>
    <row r="424" spans="1:42">
      <c r="A424" s="118">
        <f t="shared" ref="A424:A429" si="230">A423+1</f>
        <v>3</v>
      </c>
      <c r="C424" s="186">
        <f t="shared" si="229"/>
        <v>0</v>
      </c>
      <c r="D424" s="186">
        <f t="shared" si="228"/>
        <v>0</v>
      </c>
      <c r="E424" s="186">
        <f t="shared" si="228"/>
        <v>0</v>
      </c>
      <c r="F424" s="186">
        <f t="shared" si="228"/>
        <v>0</v>
      </c>
      <c r="G424" s="186">
        <f t="shared" si="228"/>
        <v>0</v>
      </c>
      <c r="H424" s="186">
        <f t="shared" si="228"/>
        <v>0</v>
      </c>
      <c r="I424" s="186">
        <f t="shared" si="228"/>
        <v>0</v>
      </c>
      <c r="J424" s="186">
        <f t="shared" si="228"/>
        <v>0</v>
      </c>
      <c r="K424" s="186">
        <f t="shared" si="228"/>
        <v>0</v>
      </c>
      <c r="L424" s="186">
        <f t="shared" si="228"/>
        <v>0</v>
      </c>
      <c r="M424" s="186">
        <f t="shared" si="228"/>
        <v>0</v>
      </c>
      <c r="N424" s="186">
        <f t="shared" si="228"/>
        <v>0</v>
      </c>
      <c r="O424" s="186">
        <f t="shared" si="228"/>
        <v>0</v>
      </c>
      <c r="P424" s="186">
        <f t="shared" si="228"/>
        <v>0</v>
      </c>
      <c r="Q424" s="186">
        <f t="shared" si="228"/>
        <v>0</v>
      </c>
      <c r="R424" s="186">
        <f t="shared" si="228"/>
        <v>0</v>
      </c>
      <c r="S424" s="186">
        <f t="shared" si="228"/>
        <v>0</v>
      </c>
      <c r="T424" s="186">
        <f t="shared" si="228"/>
        <v>0</v>
      </c>
      <c r="U424" s="186">
        <f t="shared" si="228"/>
        <v>0</v>
      </c>
      <c r="V424" s="186">
        <f t="shared" si="228"/>
        <v>0</v>
      </c>
      <c r="W424" s="186">
        <f t="shared" si="228"/>
        <v>0</v>
      </c>
      <c r="X424" s="186">
        <f t="shared" si="228"/>
        <v>0</v>
      </c>
      <c r="Y424" s="186">
        <f t="shared" si="228"/>
        <v>0</v>
      </c>
      <c r="Z424" s="186">
        <f t="shared" si="228"/>
        <v>0</v>
      </c>
      <c r="AA424" s="186">
        <f t="shared" si="228"/>
        <v>0</v>
      </c>
      <c r="AB424" s="186">
        <f t="shared" si="228"/>
        <v>0</v>
      </c>
      <c r="AC424" s="186">
        <f t="shared" si="228"/>
        <v>0</v>
      </c>
      <c r="AD424" s="186">
        <f t="shared" si="228"/>
        <v>0</v>
      </c>
      <c r="AE424" s="186">
        <f t="shared" si="228"/>
        <v>0</v>
      </c>
      <c r="AF424" s="186">
        <f t="shared" si="228"/>
        <v>0</v>
      </c>
      <c r="AG424" s="186">
        <f t="shared" si="228"/>
        <v>0</v>
      </c>
      <c r="AH424" s="186">
        <f t="shared" si="228"/>
        <v>0</v>
      </c>
      <c r="AI424" s="186">
        <f t="shared" si="228"/>
        <v>0</v>
      </c>
      <c r="AJ424" s="186">
        <f t="shared" si="228"/>
        <v>0</v>
      </c>
      <c r="AK424" s="186">
        <f t="shared" si="228"/>
        <v>0</v>
      </c>
      <c r="AL424" s="186">
        <f t="shared" si="228"/>
        <v>0</v>
      </c>
      <c r="AM424" s="186">
        <f t="shared" si="228"/>
        <v>0</v>
      </c>
      <c r="AN424" s="186">
        <f t="shared" si="228"/>
        <v>0</v>
      </c>
      <c r="AO424" s="186">
        <f t="shared" si="228"/>
        <v>0</v>
      </c>
      <c r="AP424" s="186">
        <f t="shared" si="228"/>
        <v>0</v>
      </c>
    </row>
    <row r="425" spans="1:42">
      <c r="A425" s="118">
        <f t="shared" si="230"/>
        <v>4</v>
      </c>
      <c r="C425" s="186">
        <f t="shared" si="229"/>
        <v>0</v>
      </c>
      <c r="D425" s="186">
        <f t="shared" si="228"/>
        <v>0</v>
      </c>
      <c r="E425" s="186">
        <f t="shared" si="228"/>
        <v>0</v>
      </c>
      <c r="F425" s="186">
        <f t="shared" si="228"/>
        <v>0</v>
      </c>
      <c r="G425" s="186">
        <f t="shared" si="228"/>
        <v>0</v>
      </c>
      <c r="H425" s="186">
        <f t="shared" si="228"/>
        <v>0</v>
      </c>
      <c r="I425" s="186">
        <f t="shared" si="228"/>
        <v>0</v>
      </c>
      <c r="J425" s="186">
        <f t="shared" si="228"/>
        <v>0</v>
      </c>
      <c r="K425" s="186">
        <f t="shared" si="228"/>
        <v>0</v>
      </c>
      <c r="L425" s="186">
        <f t="shared" si="228"/>
        <v>0</v>
      </c>
      <c r="M425" s="186">
        <f t="shared" si="228"/>
        <v>0</v>
      </c>
      <c r="N425" s="186">
        <f t="shared" si="228"/>
        <v>0</v>
      </c>
      <c r="O425" s="186">
        <f t="shared" si="228"/>
        <v>0</v>
      </c>
      <c r="P425" s="186">
        <f t="shared" si="228"/>
        <v>0</v>
      </c>
      <c r="Q425" s="186">
        <f t="shared" si="228"/>
        <v>0</v>
      </c>
      <c r="R425" s="186">
        <f t="shared" si="228"/>
        <v>0</v>
      </c>
      <c r="S425" s="186">
        <f t="shared" si="228"/>
        <v>0</v>
      </c>
      <c r="T425" s="186">
        <f t="shared" si="228"/>
        <v>0</v>
      </c>
      <c r="U425" s="186">
        <f t="shared" si="228"/>
        <v>0</v>
      </c>
      <c r="V425" s="186">
        <f t="shared" si="228"/>
        <v>0</v>
      </c>
      <c r="W425" s="186">
        <f t="shared" si="228"/>
        <v>0</v>
      </c>
      <c r="X425" s="186">
        <f t="shared" si="228"/>
        <v>0</v>
      </c>
      <c r="Y425" s="186">
        <f t="shared" si="228"/>
        <v>0</v>
      </c>
      <c r="Z425" s="186">
        <f t="shared" si="228"/>
        <v>0</v>
      </c>
      <c r="AA425" s="186">
        <f t="shared" si="228"/>
        <v>0</v>
      </c>
      <c r="AB425" s="186">
        <f t="shared" si="228"/>
        <v>0</v>
      </c>
      <c r="AC425" s="186">
        <f t="shared" si="228"/>
        <v>0</v>
      </c>
      <c r="AD425" s="186">
        <f t="shared" si="228"/>
        <v>0</v>
      </c>
      <c r="AE425" s="186">
        <f t="shared" si="228"/>
        <v>0</v>
      </c>
      <c r="AF425" s="186">
        <f t="shared" si="228"/>
        <v>0</v>
      </c>
      <c r="AG425" s="186">
        <f t="shared" si="228"/>
        <v>0</v>
      </c>
      <c r="AH425" s="186">
        <f t="shared" si="228"/>
        <v>0</v>
      </c>
      <c r="AI425" s="186">
        <f t="shared" si="228"/>
        <v>0</v>
      </c>
      <c r="AJ425" s="186">
        <f t="shared" si="228"/>
        <v>0</v>
      </c>
      <c r="AK425" s="186">
        <f t="shared" si="228"/>
        <v>0</v>
      </c>
      <c r="AL425" s="186">
        <f t="shared" si="228"/>
        <v>0</v>
      </c>
      <c r="AM425" s="186">
        <f t="shared" si="228"/>
        <v>0</v>
      </c>
      <c r="AN425" s="186">
        <f t="shared" si="228"/>
        <v>0</v>
      </c>
      <c r="AO425" s="186">
        <f t="shared" si="228"/>
        <v>0</v>
      </c>
      <c r="AP425" s="186">
        <f t="shared" si="228"/>
        <v>0</v>
      </c>
    </row>
    <row r="426" spans="1:42">
      <c r="A426" s="118">
        <f t="shared" si="230"/>
        <v>5</v>
      </c>
      <c r="C426" s="186">
        <f t="shared" si="229"/>
        <v>0</v>
      </c>
      <c r="D426" s="186">
        <f t="shared" si="228"/>
        <v>0</v>
      </c>
      <c r="E426" s="186">
        <f t="shared" si="228"/>
        <v>0</v>
      </c>
      <c r="F426" s="186">
        <f t="shared" si="228"/>
        <v>0</v>
      </c>
      <c r="G426" s="186">
        <f t="shared" si="228"/>
        <v>0</v>
      </c>
      <c r="H426" s="186">
        <f t="shared" si="228"/>
        <v>0</v>
      </c>
      <c r="I426" s="186">
        <f t="shared" si="228"/>
        <v>0</v>
      </c>
      <c r="J426" s="186">
        <f t="shared" si="228"/>
        <v>0</v>
      </c>
      <c r="K426" s="186">
        <f t="shared" si="228"/>
        <v>0</v>
      </c>
      <c r="L426" s="186">
        <f t="shared" si="228"/>
        <v>0</v>
      </c>
      <c r="M426" s="186">
        <f t="shared" si="228"/>
        <v>0</v>
      </c>
      <c r="N426" s="186">
        <f t="shared" si="228"/>
        <v>0</v>
      </c>
      <c r="O426" s="186">
        <f t="shared" si="228"/>
        <v>0</v>
      </c>
      <c r="P426" s="186">
        <f t="shared" si="228"/>
        <v>0</v>
      </c>
      <c r="Q426" s="186">
        <f t="shared" si="228"/>
        <v>0</v>
      </c>
      <c r="R426" s="186">
        <f t="shared" si="228"/>
        <v>0</v>
      </c>
      <c r="S426" s="186">
        <f t="shared" si="228"/>
        <v>0</v>
      </c>
      <c r="T426" s="186">
        <f t="shared" si="228"/>
        <v>0</v>
      </c>
      <c r="U426" s="186">
        <f t="shared" si="228"/>
        <v>0</v>
      </c>
      <c r="V426" s="186">
        <f t="shared" si="228"/>
        <v>0</v>
      </c>
      <c r="W426" s="186">
        <f t="shared" si="228"/>
        <v>0</v>
      </c>
      <c r="X426" s="186">
        <f t="shared" si="228"/>
        <v>0</v>
      </c>
      <c r="Y426" s="186">
        <f t="shared" si="228"/>
        <v>0</v>
      </c>
      <c r="Z426" s="186">
        <f t="shared" si="228"/>
        <v>0</v>
      </c>
      <c r="AA426" s="186">
        <f t="shared" si="228"/>
        <v>0</v>
      </c>
      <c r="AB426" s="186">
        <f t="shared" si="228"/>
        <v>0</v>
      </c>
      <c r="AC426" s="186">
        <f t="shared" si="228"/>
        <v>0</v>
      </c>
      <c r="AD426" s="186">
        <f t="shared" si="228"/>
        <v>0</v>
      </c>
      <c r="AE426" s="186">
        <f t="shared" si="228"/>
        <v>0</v>
      </c>
      <c r="AF426" s="186">
        <f t="shared" si="228"/>
        <v>0</v>
      </c>
      <c r="AG426" s="186">
        <f t="shared" si="228"/>
        <v>0</v>
      </c>
      <c r="AH426" s="186">
        <f t="shared" si="228"/>
        <v>0</v>
      </c>
      <c r="AI426" s="186">
        <f t="shared" si="228"/>
        <v>0</v>
      </c>
      <c r="AJ426" s="186">
        <f t="shared" si="228"/>
        <v>0</v>
      </c>
      <c r="AK426" s="186">
        <f t="shared" si="228"/>
        <v>0</v>
      </c>
      <c r="AL426" s="186">
        <f t="shared" si="228"/>
        <v>0</v>
      </c>
      <c r="AM426" s="186">
        <f t="shared" si="228"/>
        <v>0</v>
      </c>
      <c r="AN426" s="186">
        <f t="shared" si="228"/>
        <v>0</v>
      </c>
      <c r="AO426" s="186">
        <f t="shared" si="228"/>
        <v>0</v>
      </c>
      <c r="AP426" s="186">
        <f t="shared" si="228"/>
        <v>0</v>
      </c>
    </row>
    <row r="427" spans="1:42">
      <c r="A427" s="118">
        <f t="shared" si="230"/>
        <v>6</v>
      </c>
      <c r="C427" s="186">
        <f t="shared" si="229"/>
        <v>0</v>
      </c>
      <c r="D427" s="186">
        <f t="shared" si="228"/>
        <v>0</v>
      </c>
      <c r="E427" s="186">
        <f t="shared" si="228"/>
        <v>0</v>
      </c>
      <c r="F427" s="186">
        <f t="shared" si="228"/>
        <v>0</v>
      </c>
      <c r="G427" s="186">
        <f t="shared" si="228"/>
        <v>0</v>
      </c>
      <c r="H427" s="186">
        <f t="shared" si="228"/>
        <v>0</v>
      </c>
      <c r="I427" s="186">
        <f t="shared" si="228"/>
        <v>0</v>
      </c>
      <c r="J427" s="186">
        <f t="shared" si="228"/>
        <v>0</v>
      </c>
      <c r="K427" s="186">
        <f t="shared" si="228"/>
        <v>0</v>
      </c>
      <c r="L427" s="186">
        <f t="shared" si="228"/>
        <v>0</v>
      </c>
      <c r="M427" s="186">
        <f t="shared" si="228"/>
        <v>0</v>
      </c>
      <c r="N427" s="186">
        <f t="shared" si="228"/>
        <v>0</v>
      </c>
      <c r="O427" s="186">
        <f t="shared" si="228"/>
        <v>0</v>
      </c>
      <c r="P427" s="186">
        <f t="shared" si="228"/>
        <v>0</v>
      </c>
      <c r="Q427" s="186">
        <f t="shared" si="228"/>
        <v>0</v>
      </c>
      <c r="R427" s="186">
        <f t="shared" si="228"/>
        <v>0</v>
      </c>
      <c r="S427" s="186">
        <f t="shared" si="228"/>
        <v>0</v>
      </c>
      <c r="T427" s="186">
        <f t="shared" si="228"/>
        <v>0</v>
      </c>
      <c r="U427" s="186">
        <f t="shared" si="228"/>
        <v>0</v>
      </c>
      <c r="V427" s="186">
        <f t="shared" si="228"/>
        <v>0</v>
      </c>
      <c r="W427" s="186">
        <f t="shared" si="228"/>
        <v>0</v>
      </c>
      <c r="X427" s="186">
        <f t="shared" si="228"/>
        <v>0</v>
      </c>
      <c r="Y427" s="186">
        <f t="shared" si="228"/>
        <v>0</v>
      </c>
      <c r="Z427" s="186">
        <f t="shared" si="228"/>
        <v>0</v>
      </c>
      <c r="AA427" s="186">
        <f t="shared" si="228"/>
        <v>0</v>
      </c>
      <c r="AB427" s="186">
        <f t="shared" si="228"/>
        <v>0</v>
      </c>
      <c r="AC427" s="186">
        <f t="shared" si="228"/>
        <v>0</v>
      </c>
      <c r="AD427" s="186">
        <f t="shared" si="228"/>
        <v>0</v>
      </c>
      <c r="AE427" s="186">
        <f t="shared" si="228"/>
        <v>0</v>
      </c>
      <c r="AF427" s="186">
        <f t="shared" si="228"/>
        <v>0</v>
      </c>
      <c r="AG427" s="186">
        <f t="shared" si="228"/>
        <v>0</v>
      </c>
      <c r="AH427" s="186">
        <f t="shared" si="228"/>
        <v>0</v>
      </c>
      <c r="AI427" s="186">
        <f t="shared" si="228"/>
        <v>0</v>
      </c>
      <c r="AJ427" s="186">
        <f t="shared" si="228"/>
        <v>0</v>
      </c>
      <c r="AK427" s="186">
        <f t="shared" si="228"/>
        <v>0</v>
      </c>
      <c r="AL427" s="186">
        <f t="shared" si="228"/>
        <v>0</v>
      </c>
      <c r="AM427" s="186">
        <f t="shared" si="228"/>
        <v>0</v>
      </c>
      <c r="AN427" s="186">
        <f t="shared" si="228"/>
        <v>0</v>
      </c>
      <c r="AO427" s="186">
        <f t="shared" si="228"/>
        <v>0</v>
      </c>
      <c r="AP427" s="186">
        <f t="shared" si="228"/>
        <v>0</v>
      </c>
    </row>
    <row r="428" spans="1:42">
      <c r="A428" s="118">
        <f t="shared" si="230"/>
        <v>7</v>
      </c>
      <c r="C428" s="186">
        <f t="shared" si="229"/>
        <v>0</v>
      </c>
      <c r="D428" s="186">
        <f t="shared" si="228"/>
        <v>0</v>
      </c>
      <c r="E428" s="186">
        <f t="shared" si="228"/>
        <v>0</v>
      </c>
      <c r="F428" s="186">
        <f t="shared" si="228"/>
        <v>0</v>
      </c>
      <c r="G428" s="186">
        <f t="shared" si="228"/>
        <v>0</v>
      </c>
      <c r="H428" s="186">
        <f t="shared" si="228"/>
        <v>0</v>
      </c>
      <c r="I428" s="186">
        <f t="shared" si="228"/>
        <v>0</v>
      </c>
      <c r="J428" s="186">
        <f t="shared" si="228"/>
        <v>0</v>
      </c>
      <c r="K428" s="186">
        <f t="shared" si="228"/>
        <v>0</v>
      </c>
      <c r="L428" s="186">
        <f t="shared" si="228"/>
        <v>0</v>
      </c>
      <c r="M428" s="186">
        <f t="shared" si="228"/>
        <v>0</v>
      </c>
      <c r="N428" s="186">
        <f t="shared" si="228"/>
        <v>0</v>
      </c>
      <c r="O428" s="186">
        <f t="shared" si="228"/>
        <v>0</v>
      </c>
      <c r="P428" s="186">
        <f t="shared" si="228"/>
        <v>0</v>
      </c>
      <c r="Q428" s="186">
        <f t="shared" si="228"/>
        <v>0</v>
      </c>
      <c r="R428" s="186">
        <f t="shared" si="228"/>
        <v>0</v>
      </c>
      <c r="S428" s="186">
        <f t="shared" si="228"/>
        <v>0</v>
      </c>
      <c r="T428" s="186">
        <f t="shared" si="228"/>
        <v>0</v>
      </c>
      <c r="U428" s="186">
        <f t="shared" si="228"/>
        <v>0</v>
      </c>
      <c r="V428" s="186">
        <f t="shared" si="228"/>
        <v>0</v>
      </c>
      <c r="W428" s="186">
        <f t="shared" si="228"/>
        <v>0</v>
      </c>
      <c r="X428" s="186">
        <f t="shared" si="228"/>
        <v>0</v>
      </c>
      <c r="Y428" s="186">
        <f t="shared" si="228"/>
        <v>0</v>
      </c>
      <c r="Z428" s="186">
        <f t="shared" si="228"/>
        <v>0</v>
      </c>
      <c r="AA428" s="186">
        <f t="shared" si="228"/>
        <v>0</v>
      </c>
      <c r="AB428" s="186">
        <f t="shared" si="228"/>
        <v>0</v>
      </c>
      <c r="AC428" s="186">
        <f t="shared" si="228"/>
        <v>0</v>
      </c>
      <c r="AD428" s="186">
        <f t="shared" si="228"/>
        <v>0</v>
      </c>
      <c r="AE428" s="186">
        <f t="shared" si="228"/>
        <v>0</v>
      </c>
      <c r="AF428" s="186">
        <f t="shared" si="228"/>
        <v>0</v>
      </c>
      <c r="AG428" s="186">
        <f t="shared" si="228"/>
        <v>0</v>
      </c>
      <c r="AH428" s="186">
        <f t="shared" si="228"/>
        <v>0</v>
      </c>
      <c r="AI428" s="186">
        <f t="shared" si="228"/>
        <v>0</v>
      </c>
      <c r="AJ428" s="186">
        <f t="shared" si="228"/>
        <v>0</v>
      </c>
      <c r="AK428" s="186">
        <f t="shared" si="228"/>
        <v>0</v>
      </c>
      <c r="AL428" s="186">
        <f t="shared" si="228"/>
        <v>0</v>
      </c>
      <c r="AM428" s="186">
        <f t="shared" si="228"/>
        <v>0</v>
      </c>
      <c r="AN428" s="186">
        <f t="shared" ref="AN428:AP428" si="231">AN293</f>
        <v>0</v>
      </c>
      <c r="AO428" s="186">
        <f t="shared" si="231"/>
        <v>0</v>
      </c>
      <c r="AP428" s="186">
        <f t="shared" si="231"/>
        <v>0</v>
      </c>
    </row>
    <row r="429" spans="1:42">
      <c r="A429" s="118">
        <f t="shared" si="230"/>
        <v>8</v>
      </c>
      <c r="C429" s="186">
        <f t="shared" si="229"/>
        <v>0</v>
      </c>
      <c r="D429" s="186">
        <f t="shared" si="229"/>
        <v>0</v>
      </c>
      <c r="E429" s="186">
        <f t="shared" si="229"/>
        <v>0</v>
      </c>
      <c r="F429" s="186">
        <f t="shared" si="229"/>
        <v>0</v>
      </c>
      <c r="G429" s="186">
        <f t="shared" si="229"/>
        <v>0</v>
      </c>
      <c r="H429" s="186">
        <f t="shared" si="229"/>
        <v>0</v>
      </c>
      <c r="I429" s="186">
        <f t="shared" si="229"/>
        <v>0</v>
      </c>
      <c r="J429" s="186">
        <f t="shared" si="229"/>
        <v>0</v>
      </c>
      <c r="K429" s="186">
        <f t="shared" si="229"/>
        <v>0</v>
      </c>
      <c r="L429" s="186">
        <f t="shared" si="229"/>
        <v>0</v>
      </c>
      <c r="M429" s="186">
        <f t="shared" si="229"/>
        <v>0</v>
      </c>
      <c r="N429" s="186">
        <f t="shared" si="229"/>
        <v>0</v>
      </c>
      <c r="O429" s="186">
        <f t="shared" si="229"/>
        <v>0</v>
      </c>
      <c r="P429" s="186">
        <f t="shared" si="229"/>
        <v>0</v>
      </c>
      <c r="Q429" s="186">
        <f t="shared" si="229"/>
        <v>0</v>
      </c>
      <c r="R429" s="186">
        <f t="shared" si="229"/>
        <v>0</v>
      </c>
      <c r="S429" s="186">
        <f t="shared" ref="D429:AP431" si="232">S294</f>
        <v>0</v>
      </c>
      <c r="T429" s="186">
        <f t="shared" si="232"/>
        <v>0</v>
      </c>
      <c r="U429" s="186">
        <f t="shared" si="232"/>
        <v>0</v>
      </c>
      <c r="V429" s="186">
        <f t="shared" si="232"/>
        <v>0</v>
      </c>
      <c r="W429" s="186">
        <f t="shared" si="232"/>
        <v>0</v>
      </c>
      <c r="X429" s="186">
        <f t="shared" si="232"/>
        <v>0</v>
      </c>
      <c r="Y429" s="186">
        <f t="shared" si="232"/>
        <v>0</v>
      </c>
      <c r="Z429" s="186">
        <f t="shared" si="232"/>
        <v>0</v>
      </c>
      <c r="AA429" s="186">
        <f t="shared" si="232"/>
        <v>0</v>
      </c>
      <c r="AB429" s="186">
        <f t="shared" si="232"/>
        <v>0</v>
      </c>
      <c r="AC429" s="186">
        <f t="shared" si="232"/>
        <v>0</v>
      </c>
      <c r="AD429" s="186">
        <f t="shared" si="232"/>
        <v>0</v>
      </c>
      <c r="AE429" s="186">
        <f t="shared" si="232"/>
        <v>0</v>
      </c>
      <c r="AF429" s="186">
        <f t="shared" si="232"/>
        <v>0</v>
      </c>
      <c r="AG429" s="186">
        <f t="shared" si="232"/>
        <v>0</v>
      </c>
      <c r="AH429" s="186">
        <f t="shared" si="232"/>
        <v>0</v>
      </c>
      <c r="AI429" s="186">
        <f t="shared" si="232"/>
        <v>0</v>
      </c>
      <c r="AJ429" s="186">
        <f t="shared" si="232"/>
        <v>0</v>
      </c>
      <c r="AK429" s="186">
        <f t="shared" si="232"/>
        <v>0</v>
      </c>
      <c r="AL429" s="186">
        <f t="shared" si="232"/>
        <v>0</v>
      </c>
      <c r="AM429" s="186">
        <f t="shared" si="232"/>
        <v>0</v>
      </c>
      <c r="AN429" s="186">
        <f t="shared" si="232"/>
        <v>0</v>
      </c>
      <c r="AO429" s="186">
        <f t="shared" si="232"/>
        <v>0</v>
      </c>
      <c r="AP429" s="186">
        <f t="shared" si="232"/>
        <v>0</v>
      </c>
    </row>
    <row r="430" spans="1:42">
      <c r="A430" s="118">
        <f>A429+1</f>
        <v>9</v>
      </c>
      <c r="C430" s="186">
        <f t="shared" si="229"/>
        <v>0</v>
      </c>
      <c r="D430" s="186">
        <f t="shared" si="232"/>
        <v>0</v>
      </c>
      <c r="E430" s="186">
        <f t="shared" si="232"/>
        <v>0</v>
      </c>
      <c r="F430" s="186">
        <f t="shared" si="232"/>
        <v>0</v>
      </c>
      <c r="G430" s="186">
        <f t="shared" si="232"/>
        <v>0</v>
      </c>
      <c r="H430" s="186">
        <f t="shared" si="232"/>
        <v>0</v>
      </c>
      <c r="I430" s="186">
        <f t="shared" si="232"/>
        <v>0</v>
      </c>
      <c r="J430" s="186">
        <f t="shared" si="232"/>
        <v>0</v>
      </c>
      <c r="K430" s="186">
        <f t="shared" si="232"/>
        <v>0</v>
      </c>
      <c r="L430" s="186">
        <f t="shared" si="232"/>
        <v>0</v>
      </c>
      <c r="M430" s="186">
        <f t="shared" si="232"/>
        <v>0</v>
      </c>
      <c r="N430" s="186">
        <f t="shared" si="232"/>
        <v>0</v>
      </c>
      <c r="O430" s="186">
        <f t="shared" si="232"/>
        <v>0</v>
      </c>
      <c r="P430" s="186">
        <f t="shared" si="232"/>
        <v>0</v>
      </c>
      <c r="Q430" s="186">
        <f t="shared" si="232"/>
        <v>0</v>
      </c>
      <c r="R430" s="186">
        <f t="shared" si="232"/>
        <v>0</v>
      </c>
      <c r="S430" s="186">
        <f t="shared" si="232"/>
        <v>0</v>
      </c>
      <c r="T430" s="186">
        <f t="shared" si="232"/>
        <v>0</v>
      </c>
      <c r="U430" s="186">
        <f t="shared" si="232"/>
        <v>0</v>
      </c>
      <c r="V430" s="186">
        <f t="shared" si="232"/>
        <v>0</v>
      </c>
      <c r="W430" s="186">
        <f t="shared" si="232"/>
        <v>0</v>
      </c>
      <c r="X430" s="186">
        <f t="shared" si="232"/>
        <v>0</v>
      </c>
      <c r="Y430" s="186">
        <f t="shared" si="232"/>
        <v>0</v>
      </c>
      <c r="Z430" s="186">
        <f t="shared" si="232"/>
        <v>0</v>
      </c>
      <c r="AA430" s="186">
        <f t="shared" si="232"/>
        <v>0</v>
      </c>
      <c r="AB430" s="186">
        <f t="shared" si="232"/>
        <v>0</v>
      </c>
      <c r="AC430" s="186">
        <f t="shared" si="232"/>
        <v>0</v>
      </c>
      <c r="AD430" s="186">
        <f t="shared" si="232"/>
        <v>0</v>
      </c>
      <c r="AE430" s="186">
        <f t="shared" si="232"/>
        <v>0</v>
      </c>
      <c r="AF430" s="186">
        <f t="shared" si="232"/>
        <v>0</v>
      </c>
      <c r="AG430" s="186">
        <f t="shared" si="232"/>
        <v>0</v>
      </c>
      <c r="AH430" s="186">
        <f t="shared" si="232"/>
        <v>0</v>
      </c>
      <c r="AI430" s="186">
        <f t="shared" si="232"/>
        <v>0</v>
      </c>
      <c r="AJ430" s="186">
        <f t="shared" si="232"/>
        <v>0</v>
      </c>
      <c r="AK430" s="186">
        <f t="shared" si="232"/>
        <v>0</v>
      </c>
      <c r="AL430" s="186">
        <f t="shared" si="232"/>
        <v>0</v>
      </c>
      <c r="AM430" s="186">
        <f t="shared" si="232"/>
        <v>0</v>
      </c>
      <c r="AN430" s="186">
        <f t="shared" si="232"/>
        <v>0</v>
      </c>
      <c r="AO430" s="186">
        <f t="shared" si="232"/>
        <v>0</v>
      </c>
      <c r="AP430" s="186">
        <f t="shared" si="232"/>
        <v>0</v>
      </c>
    </row>
    <row r="431" spans="1:42">
      <c r="A431" s="118">
        <f t="shared" ref="A431" si="233">A430+1</f>
        <v>10</v>
      </c>
      <c r="C431" s="186">
        <f t="shared" si="229"/>
        <v>0</v>
      </c>
      <c r="D431" s="186">
        <f t="shared" si="232"/>
        <v>0</v>
      </c>
      <c r="E431" s="186">
        <f t="shared" si="232"/>
        <v>0</v>
      </c>
      <c r="F431" s="186">
        <f t="shared" si="232"/>
        <v>0</v>
      </c>
      <c r="G431" s="186">
        <f t="shared" si="232"/>
        <v>0</v>
      </c>
      <c r="H431" s="186">
        <f t="shared" si="232"/>
        <v>0</v>
      </c>
      <c r="I431" s="186">
        <f t="shared" si="232"/>
        <v>0</v>
      </c>
      <c r="J431" s="186">
        <f t="shared" si="232"/>
        <v>0</v>
      </c>
      <c r="K431" s="186">
        <f t="shared" si="232"/>
        <v>0</v>
      </c>
      <c r="L431" s="186">
        <f t="shared" si="232"/>
        <v>0</v>
      </c>
      <c r="M431" s="186">
        <f t="shared" si="232"/>
        <v>0</v>
      </c>
      <c r="N431" s="186">
        <f t="shared" si="232"/>
        <v>0</v>
      </c>
      <c r="O431" s="186">
        <f t="shared" si="232"/>
        <v>0</v>
      </c>
      <c r="P431" s="186">
        <f t="shared" si="232"/>
        <v>0</v>
      </c>
      <c r="Q431" s="186">
        <f t="shared" si="232"/>
        <v>0</v>
      </c>
      <c r="R431" s="186">
        <f t="shared" si="232"/>
        <v>0</v>
      </c>
      <c r="S431" s="186">
        <f t="shared" si="232"/>
        <v>0</v>
      </c>
      <c r="T431" s="186">
        <f t="shared" si="232"/>
        <v>0</v>
      </c>
      <c r="U431" s="186">
        <f t="shared" si="232"/>
        <v>0</v>
      </c>
      <c r="V431" s="186">
        <f t="shared" si="232"/>
        <v>0</v>
      </c>
      <c r="W431" s="186">
        <f t="shared" si="232"/>
        <v>0</v>
      </c>
      <c r="X431" s="186">
        <f t="shared" si="232"/>
        <v>0</v>
      </c>
      <c r="Y431" s="186">
        <f t="shared" si="232"/>
        <v>0</v>
      </c>
      <c r="Z431" s="186">
        <f t="shared" si="232"/>
        <v>0</v>
      </c>
      <c r="AA431" s="186">
        <f t="shared" si="232"/>
        <v>0</v>
      </c>
      <c r="AB431" s="186">
        <f t="shared" si="232"/>
        <v>0</v>
      </c>
      <c r="AC431" s="186">
        <f t="shared" si="232"/>
        <v>0</v>
      </c>
      <c r="AD431" s="186">
        <f t="shared" si="232"/>
        <v>0</v>
      </c>
      <c r="AE431" s="186">
        <f t="shared" si="232"/>
        <v>0</v>
      </c>
      <c r="AF431" s="186">
        <f t="shared" si="232"/>
        <v>0</v>
      </c>
      <c r="AG431" s="186">
        <f t="shared" si="232"/>
        <v>0</v>
      </c>
      <c r="AH431" s="186">
        <f t="shared" si="232"/>
        <v>0</v>
      </c>
      <c r="AI431" s="186">
        <f t="shared" si="232"/>
        <v>0</v>
      </c>
      <c r="AJ431" s="186">
        <f t="shared" si="232"/>
        <v>0</v>
      </c>
      <c r="AK431" s="186">
        <f t="shared" si="232"/>
        <v>0</v>
      </c>
      <c r="AL431" s="186">
        <f t="shared" si="232"/>
        <v>0</v>
      </c>
      <c r="AM431" s="186">
        <f t="shared" si="232"/>
        <v>0</v>
      </c>
      <c r="AN431" s="186">
        <f t="shared" si="232"/>
        <v>0</v>
      </c>
      <c r="AO431" s="186">
        <f t="shared" si="232"/>
        <v>0</v>
      </c>
      <c r="AP431" s="186">
        <f t="shared" si="232"/>
        <v>0</v>
      </c>
    </row>
    <row r="432" spans="1:42">
      <c r="A432" s="204"/>
      <c r="C432" s="186"/>
      <c r="D432" s="186"/>
      <c r="E432" s="186"/>
      <c r="F432" s="186"/>
      <c r="G432" s="186"/>
      <c r="H432" s="186"/>
      <c r="I432" s="186"/>
      <c r="J432" s="186"/>
      <c r="K432" s="186"/>
      <c r="L432" s="186"/>
      <c r="M432" s="186"/>
      <c r="N432" s="186"/>
      <c r="O432" s="186"/>
      <c r="P432" s="186"/>
      <c r="Q432" s="186"/>
      <c r="R432" s="186"/>
      <c r="S432" s="186"/>
      <c r="T432" s="186"/>
      <c r="U432" s="186"/>
      <c r="V432" s="186"/>
      <c r="W432" s="186"/>
      <c r="X432" s="186"/>
      <c r="Y432" s="186"/>
      <c r="Z432" s="186"/>
      <c r="AA432" s="186"/>
      <c r="AB432" s="186"/>
      <c r="AC432" s="186"/>
      <c r="AD432" s="186"/>
      <c r="AE432" s="186"/>
      <c r="AF432" s="186"/>
      <c r="AG432" s="186"/>
      <c r="AH432" s="186"/>
      <c r="AI432" s="186"/>
      <c r="AJ432" s="186"/>
      <c r="AK432" s="186"/>
      <c r="AL432" s="186"/>
      <c r="AM432" s="186"/>
      <c r="AN432" s="186"/>
      <c r="AO432" s="186"/>
      <c r="AP432" s="186"/>
    </row>
    <row r="433" spans="1:42">
      <c r="A433" s="204" t="s">
        <v>211</v>
      </c>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c r="AM433" s="186"/>
      <c r="AN433" s="186"/>
      <c r="AO433" s="186"/>
      <c r="AP433" s="186"/>
    </row>
    <row r="434" spans="1:42">
      <c r="A434" s="118">
        <v>1</v>
      </c>
      <c r="B434" s="196">
        <f t="shared" ref="B434:B443" si="234">SUM(C434:AP434)</f>
        <v>6158778.6534697898</v>
      </c>
      <c r="C434" s="225">
        <f t="shared" ref="C434:AP434" si="235">LOOKUP(C422,$B$391:$AP$391,$B$392:$AP$392)*$B607</f>
        <v>0</v>
      </c>
      <c r="D434" s="186">
        <f t="shared" si="235"/>
        <v>0</v>
      </c>
      <c r="E434" s="186">
        <f t="shared" si="235"/>
        <v>0</v>
      </c>
      <c r="F434" s="186">
        <f t="shared" si="235"/>
        <v>0</v>
      </c>
      <c r="G434" s="186">
        <f t="shared" si="235"/>
        <v>0</v>
      </c>
      <c r="H434" s="186">
        <f t="shared" si="235"/>
        <v>0</v>
      </c>
      <c r="I434" s="186">
        <f t="shared" si="235"/>
        <v>0</v>
      </c>
      <c r="J434" s="186">
        <f t="shared" si="235"/>
        <v>0</v>
      </c>
      <c r="K434" s="186">
        <f t="shared" si="235"/>
        <v>0</v>
      </c>
      <c r="L434" s="186">
        <f t="shared" si="235"/>
        <v>0</v>
      </c>
      <c r="M434" s="186">
        <f t="shared" si="235"/>
        <v>0</v>
      </c>
      <c r="N434" s="186">
        <f t="shared" si="235"/>
        <v>0</v>
      </c>
      <c r="O434" s="186">
        <f t="shared" si="235"/>
        <v>0</v>
      </c>
      <c r="P434" s="186">
        <f t="shared" si="235"/>
        <v>0</v>
      </c>
      <c r="Q434" s="186">
        <f t="shared" si="235"/>
        <v>1231755.7306939578</v>
      </c>
      <c r="R434" s="186">
        <f t="shared" si="235"/>
        <v>1970809.1691103324</v>
      </c>
      <c r="S434" s="186">
        <f t="shared" si="235"/>
        <v>1182485.5014661995</v>
      </c>
      <c r="T434" s="186">
        <f t="shared" si="235"/>
        <v>709491.30087971967</v>
      </c>
      <c r="U434" s="186">
        <f t="shared" si="235"/>
        <v>709491.30087971967</v>
      </c>
      <c r="V434" s="186">
        <f t="shared" si="235"/>
        <v>354745.65043985983</v>
      </c>
      <c r="W434" s="186">
        <f t="shared" si="235"/>
        <v>0</v>
      </c>
      <c r="X434" s="186">
        <f t="shared" si="235"/>
        <v>0</v>
      </c>
      <c r="Y434" s="186">
        <f t="shared" si="235"/>
        <v>0</v>
      </c>
      <c r="Z434" s="186">
        <f t="shared" si="235"/>
        <v>0</v>
      </c>
      <c r="AA434" s="186">
        <f t="shared" si="235"/>
        <v>0</v>
      </c>
      <c r="AB434" s="186">
        <f t="shared" si="235"/>
        <v>0</v>
      </c>
      <c r="AC434" s="186">
        <f t="shared" si="235"/>
        <v>0</v>
      </c>
      <c r="AD434" s="186">
        <f t="shared" si="235"/>
        <v>0</v>
      </c>
      <c r="AE434" s="186">
        <f t="shared" si="235"/>
        <v>0</v>
      </c>
      <c r="AF434" s="186">
        <f t="shared" si="235"/>
        <v>0</v>
      </c>
      <c r="AG434" s="186">
        <f t="shared" si="235"/>
        <v>0</v>
      </c>
      <c r="AH434" s="186">
        <f t="shared" si="235"/>
        <v>0</v>
      </c>
      <c r="AI434" s="186">
        <f t="shared" si="235"/>
        <v>0</v>
      </c>
      <c r="AJ434" s="186">
        <f t="shared" si="235"/>
        <v>0</v>
      </c>
      <c r="AK434" s="186">
        <f t="shared" si="235"/>
        <v>0</v>
      </c>
      <c r="AL434" s="186">
        <f t="shared" si="235"/>
        <v>0</v>
      </c>
      <c r="AM434" s="186">
        <f t="shared" si="235"/>
        <v>0</v>
      </c>
      <c r="AN434" s="186">
        <f t="shared" si="235"/>
        <v>0</v>
      </c>
      <c r="AO434" s="186">
        <f t="shared" si="235"/>
        <v>0</v>
      </c>
      <c r="AP434" s="186">
        <f t="shared" si="235"/>
        <v>0</v>
      </c>
    </row>
    <row r="435" spans="1:42">
      <c r="A435" s="118">
        <f>A434+1</f>
        <v>2</v>
      </c>
      <c r="B435" s="196">
        <f t="shared" si="234"/>
        <v>1539980.512798867</v>
      </c>
      <c r="C435" s="225">
        <f t="shared" ref="C435:AP435" si="236">LOOKUP(C423,$B$391:$AP$391,$B$392:$AP$392)*$B608</f>
        <v>0</v>
      </c>
      <c r="D435" s="186">
        <f t="shared" si="236"/>
        <v>0</v>
      </c>
      <c r="E435" s="186">
        <f t="shared" si="236"/>
        <v>0</v>
      </c>
      <c r="F435" s="186">
        <f t="shared" si="236"/>
        <v>0</v>
      </c>
      <c r="G435" s="186">
        <f t="shared" si="236"/>
        <v>0</v>
      </c>
      <c r="H435" s="186">
        <f t="shared" si="236"/>
        <v>0</v>
      </c>
      <c r="I435" s="186">
        <f t="shared" si="236"/>
        <v>0</v>
      </c>
      <c r="J435" s="186">
        <f t="shared" si="236"/>
        <v>0</v>
      </c>
      <c r="K435" s="186">
        <f t="shared" si="236"/>
        <v>0</v>
      </c>
      <c r="L435" s="186">
        <f t="shared" si="236"/>
        <v>0</v>
      </c>
      <c r="M435" s="186">
        <f t="shared" si="236"/>
        <v>0</v>
      </c>
      <c r="N435" s="186">
        <f t="shared" si="236"/>
        <v>0</v>
      </c>
      <c r="O435" s="186">
        <f t="shared" si="236"/>
        <v>0</v>
      </c>
      <c r="P435" s="186">
        <f t="shared" si="236"/>
        <v>0</v>
      </c>
      <c r="Q435" s="186">
        <f t="shared" si="236"/>
        <v>0</v>
      </c>
      <c r="R435" s="186">
        <f t="shared" si="236"/>
        <v>0</v>
      </c>
      <c r="S435" s="186">
        <f t="shared" si="236"/>
        <v>0</v>
      </c>
      <c r="T435" s="186">
        <f t="shared" si="236"/>
        <v>0</v>
      </c>
      <c r="U435" s="186">
        <f t="shared" si="236"/>
        <v>0</v>
      </c>
      <c r="V435" s="186">
        <f t="shared" si="236"/>
        <v>0</v>
      </c>
      <c r="W435" s="186">
        <f t="shared" si="236"/>
        <v>0</v>
      </c>
      <c r="X435" s="186">
        <f t="shared" si="236"/>
        <v>0</v>
      </c>
      <c r="Y435" s="186">
        <f t="shared" si="236"/>
        <v>0</v>
      </c>
      <c r="Z435" s="186">
        <f t="shared" si="236"/>
        <v>0</v>
      </c>
      <c r="AA435" s="186">
        <f t="shared" si="236"/>
        <v>0</v>
      </c>
      <c r="AB435" s="186">
        <f t="shared" si="236"/>
        <v>0</v>
      </c>
      <c r="AC435" s="186">
        <f t="shared" si="236"/>
        <v>0</v>
      </c>
      <c r="AD435" s="186">
        <f t="shared" si="236"/>
        <v>0</v>
      </c>
      <c r="AE435" s="186">
        <f t="shared" si="236"/>
        <v>0</v>
      </c>
      <c r="AF435" s="186">
        <f t="shared" si="236"/>
        <v>1539980.512798867</v>
      </c>
      <c r="AG435" s="186">
        <f t="shared" si="236"/>
        <v>0</v>
      </c>
      <c r="AH435" s="186">
        <f t="shared" si="236"/>
        <v>0</v>
      </c>
      <c r="AI435" s="186">
        <f t="shared" si="236"/>
        <v>0</v>
      </c>
      <c r="AJ435" s="186">
        <f t="shared" si="236"/>
        <v>0</v>
      </c>
      <c r="AK435" s="186">
        <f t="shared" si="236"/>
        <v>0</v>
      </c>
      <c r="AL435" s="186">
        <f t="shared" si="236"/>
        <v>0</v>
      </c>
      <c r="AM435" s="186">
        <f t="shared" si="236"/>
        <v>0</v>
      </c>
      <c r="AN435" s="186">
        <f t="shared" si="236"/>
        <v>0</v>
      </c>
      <c r="AO435" s="186">
        <f t="shared" si="236"/>
        <v>0</v>
      </c>
      <c r="AP435" s="186">
        <f t="shared" si="236"/>
        <v>0</v>
      </c>
    </row>
    <row r="436" spans="1:42">
      <c r="A436" s="118">
        <f t="shared" ref="A436:A441" si="237">A435+1</f>
        <v>3</v>
      </c>
      <c r="B436" s="196">
        <f t="shared" si="234"/>
        <v>0</v>
      </c>
      <c r="C436" s="225">
        <f t="shared" ref="C436:AP436" si="238">LOOKUP(C424,$B$391:$AP$391,$B$392:$AP$392)*$B609</f>
        <v>0</v>
      </c>
      <c r="D436" s="186">
        <f t="shared" si="238"/>
        <v>0</v>
      </c>
      <c r="E436" s="186">
        <f t="shared" si="238"/>
        <v>0</v>
      </c>
      <c r="F436" s="186">
        <f t="shared" si="238"/>
        <v>0</v>
      </c>
      <c r="G436" s="186">
        <f t="shared" si="238"/>
        <v>0</v>
      </c>
      <c r="H436" s="186">
        <f t="shared" si="238"/>
        <v>0</v>
      </c>
      <c r="I436" s="186">
        <f t="shared" si="238"/>
        <v>0</v>
      </c>
      <c r="J436" s="186">
        <f t="shared" si="238"/>
        <v>0</v>
      </c>
      <c r="K436" s="186">
        <f t="shared" si="238"/>
        <v>0</v>
      </c>
      <c r="L436" s="186">
        <f t="shared" si="238"/>
        <v>0</v>
      </c>
      <c r="M436" s="186">
        <f t="shared" si="238"/>
        <v>0</v>
      </c>
      <c r="N436" s="186">
        <f t="shared" si="238"/>
        <v>0</v>
      </c>
      <c r="O436" s="186">
        <f t="shared" si="238"/>
        <v>0</v>
      </c>
      <c r="P436" s="186">
        <f t="shared" si="238"/>
        <v>0</v>
      </c>
      <c r="Q436" s="186">
        <f t="shared" si="238"/>
        <v>0</v>
      </c>
      <c r="R436" s="186">
        <f t="shared" si="238"/>
        <v>0</v>
      </c>
      <c r="S436" s="186">
        <f t="shared" si="238"/>
        <v>0</v>
      </c>
      <c r="T436" s="186">
        <f t="shared" si="238"/>
        <v>0</v>
      </c>
      <c r="U436" s="186">
        <f t="shared" si="238"/>
        <v>0</v>
      </c>
      <c r="V436" s="186">
        <f t="shared" si="238"/>
        <v>0</v>
      </c>
      <c r="W436" s="186">
        <f t="shared" si="238"/>
        <v>0</v>
      </c>
      <c r="X436" s="186">
        <f t="shared" si="238"/>
        <v>0</v>
      </c>
      <c r="Y436" s="186">
        <f t="shared" si="238"/>
        <v>0</v>
      </c>
      <c r="Z436" s="186">
        <f t="shared" si="238"/>
        <v>0</v>
      </c>
      <c r="AA436" s="186">
        <f t="shared" si="238"/>
        <v>0</v>
      </c>
      <c r="AB436" s="186">
        <f t="shared" si="238"/>
        <v>0</v>
      </c>
      <c r="AC436" s="186">
        <f t="shared" si="238"/>
        <v>0</v>
      </c>
      <c r="AD436" s="186">
        <f t="shared" si="238"/>
        <v>0</v>
      </c>
      <c r="AE436" s="186">
        <f t="shared" si="238"/>
        <v>0</v>
      </c>
      <c r="AF436" s="186">
        <f t="shared" si="238"/>
        <v>0</v>
      </c>
      <c r="AG436" s="186">
        <f t="shared" si="238"/>
        <v>0</v>
      </c>
      <c r="AH436" s="186">
        <f t="shared" si="238"/>
        <v>0</v>
      </c>
      <c r="AI436" s="186">
        <f t="shared" si="238"/>
        <v>0</v>
      </c>
      <c r="AJ436" s="186">
        <f t="shared" si="238"/>
        <v>0</v>
      </c>
      <c r="AK436" s="186">
        <f t="shared" si="238"/>
        <v>0</v>
      </c>
      <c r="AL436" s="186">
        <f t="shared" si="238"/>
        <v>0</v>
      </c>
      <c r="AM436" s="186">
        <f t="shared" si="238"/>
        <v>0</v>
      </c>
      <c r="AN436" s="186">
        <f t="shared" si="238"/>
        <v>0</v>
      </c>
      <c r="AO436" s="186">
        <f t="shared" si="238"/>
        <v>0</v>
      </c>
      <c r="AP436" s="186">
        <f t="shared" si="238"/>
        <v>0</v>
      </c>
    </row>
    <row r="437" spans="1:42">
      <c r="A437" s="118">
        <f t="shared" si="237"/>
        <v>4</v>
      </c>
      <c r="B437" s="196">
        <f t="shared" si="234"/>
        <v>0</v>
      </c>
      <c r="C437" s="225">
        <f t="shared" ref="C437:AP437" si="239">LOOKUP(C425,$B$391:$AP$391,$B$392:$AP$392)*$B610</f>
        <v>0</v>
      </c>
      <c r="D437" s="186">
        <f t="shared" si="239"/>
        <v>0</v>
      </c>
      <c r="E437" s="186">
        <f t="shared" si="239"/>
        <v>0</v>
      </c>
      <c r="F437" s="186">
        <f t="shared" si="239"/>
        <v>0</v>
      </c>
      <c r="G437" s="186">
        <f t="shared" si="239"/>
        <v>0</v>
      </c>
      <c r="H437" s="186">
        <f t="shared" si="239"/>
        <v>0</v>
      </c>
      <c r="I437" s="186">
        <f t="shared" si="239"/>
        <v>0</v>
      </c>
      <c r="J437" s="186">
        <f t="shared" si="239"/>
        <v>0</v>
      </c>
      <c r="K437" s="186">
        <f t="shared" si="239"/>
        <v>0</v>
      </c>
      <c r="L437" s="186">
        <f t="shared" si="239"/>
        <v>0</v>
      </c>
      <c r="M437" s="186">
        <f t="shared" si="239"/>
        <v>0</v>
      </c>
      <c r="N437" s="186">
        <f t="shared" si="239"/>
        <v>0</v>
      </c>
      <c r="O437" s="186">
        <f t="shared" si="239"/>
        <v>0</v>
      </c>
      <c r="P437" s="186">
        <f t="shared" si="239"/>
        <v>0</v>
      </c>
      <c r="Q437" s="186">
        <f t="shared" si="239"/>
        <v>0</v>
      </c>
      <c r="R437" s="186">
        <f t="shared" si="239"/>
        <v>0</v>
      </c>
      <c r="S437" s="186">
        <f t="shared" si="239"/>
        <v>0</v>
      </c>
      <c r="T437" s="186">
        <f t="shared" si="239"/>
        <v>0</v>
      </c>
      <c r="U437" s="186">
        <f t="shared" si="239"/>
        <v>0</v>
      </c>
      <c r="V437" s="186">
        <f t="shared" si="239"/>
        <v>0</v>
      </c>
      <c r="W437" s="186">
        <f t="shared" si="239"/>
        <v>0</v>
      </c>
      <c r="X437" s="186">
        <f t="shared" si="239"/>
        <v>0</v>
      </c>
      <c r="Y437" s="186">
        <f t="shared" si="239"/>
        <v>0</v>
      </c>
      <c r="Z437" s="186">
        <f t="shared" si="239"/>
        <v>0</v>
      </c>
      <c r="AA437" s="186">
        <f t="shared" si="239"/>
        <v>0</v>
      </c>
      <c r="AB437" s="186">
        <f t="shared" si="239"/>
        <v>0</v>
      </c>
      <c r="AC437" s="186">
        <f t="shared" si="239"/>
        <v>0</v>
      </c>
      <c r="AD437" s="186">
        <f t="shared" si="239"/>
        <v>0</v>
      </c>
      <c r="AE437" s="186">
        <f t="shared" si="239"/>
        <v>0</v>
      </c>
      <c r="AF437" s="186">
        <f t="shared" si="239"/>
        <v>0</v>
      </c>
      <c r="AG437" s="186">
        <f t="shared" si="239"/>
        <v>0</v>
      </c>
      <c r="AH437" s="186">
        <f t="shared" si="239"/>
        <v>0</v>
      </c>
      <c r="AI437" s="186">
        <f t="shared" si="239"/>
        <v>0</v>
      </c>
      <c r="AJ437" s="186">
        <f t="shared" si="239"/>
        <v>0</v>
      </c>
      <c r="AK437" s="186">
        <f t="shared" si="239"/>
        <v>0</v>
      </c>
      <c r="AL437" s="186">
        <f t="shared" si="239"/>
        <v>0</v>
      </c>
      <c r="AM437" s="186">
        <f t="shared" si="239"/>
        <v>0</v>
      </c>
      <c r="AN437" s="186">
        <f t="shared" si="239"/>
        <v>0</v>
      </c>
      <c r="AO437" s="186">
        <f t="shared" si="239"/>
        <v>0</v>
      </c>
      <c r="AP437" s="186">
        <f t="shared" si="239"/>
        <v>0</v>
      </c>
    </row>
    <row r="438" spans="1:42">
      <c r="A438" s="118">
        <f t="shared" si="237"/>
        <v>5</v>
      </c>
      <c r="B438" s="196">
        <f t="shared" si="234"/>
        <v>0</v>
      </c>
      <c r="C438" s="225">
        <f t="shared" ref="C438:AP438" si="240">LOOKUP(C426,$B$391:$AP$391,$B$392:$AP$392)*$B611</f>
        <v>0</v>
      </c>
      <c r="D438" s="186">
        <f t="shared" si="240"/>
        <v>0</v>
      </c>
      <c r="E438" s="186">
        <f t="shared" si="240"/>
        <v>0</v>
      </c>
      <c r="F438" s="186">
        <f t="shared" si="240"/>
        <v>0</v>
      </c>
      <c r="G438" s="186">
        <f t="shared" si="240"/>
        <v>0</v>
      </c>
      <c r="H438" s="186">
        <f t="shared" si="240"/>
        <v>0</v>
      </c>
      <c r="I438" s="186">
        <f t="shared" si="240"/>
        <v>0</v>
      </c>
      <c r="J438" s="186">
        <f t="shared" si="240"/>
        <v>0</v>
      </c>
      <c r="K438" s="186">
        <f t="shared" si="240"/>
        <v>0</v>
      </c>
      <c r="L438" s="186">
        <f t="shared" si="240"/>
        <v>0</v>
      </c>
      <c r="M438" s="186">
        <f t="shared" si="240"/>
        <v>0</v>
      </c>
      <c r="N438" s="186">
        <f t="shared" si="240"/>
        <v>0</v>
      </c>
      <c r="O438" s="186">
        <f t="shared" si="240"/>
        <v>0</v>
      </c>
      <c r="P438" s="186">
        <f t="shared" si="240"/>
        <v>0</v>
      </c>
      <c r="Q438" s="186">
        <f t="shared" si="240"/>
        <v>0</v>
      </c>
      <c r="R438" s="186">
        <f t="shared" si="240"/>
        <v>0</v>
      </c>
      <c r="S438" s="186">
        <f t="shared" si="240"/>
        <v>0</v>
      </c>
      <c r="T438" s="186">
        <f t="shared" si="240"/>
        <v>0</v>
      </c>
      <c r="U438" s="186">
        <f t="shared" si="240"/>
        <v>0</v>
      </c>
      <c r="V438" s="186">
        <f t="shared" si="240"/>
        <v>0</v>
      </c>
      <c r="W438" s="186">
        <f t="shared" si="240"/>
        <v>0</v>
      </c>
      <c r="X438" s="186">
        <f t="shared" si="240"/>
        <v>0</v>
      </c>
      <c r="Y438" s="186">
        <f t="shared" si="240"/>
        <v>0</v>
      </c>
      <c r="Z438" s="186">
        <f t="shared" si="240"/>
        <v>0</v>
      </c>
      <c r="AA438" s="186">
        <f t="shared" si="240"/>
        <v>0</v>
      </c>
      <c r="AB438" s="186">
        <f t="shared" si="240"/>
        <v>0</v>
      </c>
      <c r="AC438" s="186">
        <f t="shared" si="240"/>
        <v>0</v>
      </c>
      <c r="AD438" s="186">
        <f t="shared" si="240"/>
        <v>0</v>
      </c>
      <c r="AE438" s="186">
        <f t="shared" si="240"/>
        <v>0</v>
      </c>
      <c r="AF438" s="186">
        <f t="shared" si="240"/>
        <v>0</v>
      </c>
      <c r="AG438" s="186">
        <f t="shared" si="240"/>
        <v>0</v>
      </c>
      <c r="AH438" s="186">
        <f t="shared" si="240"/>
        <v>0</v>
      </c>
      <c r="AI438" s="186">
        <f t="shared" si="240"/>
        <v>0</v>
      </c>
      <c r="AJ438" s="186">
        <f t="shared" si="240"/>
        <v>0</v>
      </c>
      <c r="AK438" s="186">
        <f t="shared" si="240"/>
        <v>0</v>
      </c>
      <c r="AL438" s="186">
        <f t="shared" si="240"/>
        <v>0</v>
      </c>
      <c r="AM438" s="186">
        <f t="shared" si="240"/>
        <v>0</v>
      </c>
      <c r="AN438" s="186">
        <f t="shared" si="240"/>
        <v>0</v>
      </c>
      <c r="AO438" s="186">
        <f t="shared" si="240"/>
        <v>0</v>
      </c>
      <c r="AP438" s="186">
        <f t="shared" si="240"/>
        <v>0</v>
      </c>
    </row>
    <row r="439" spans="1:42">
      <c r="A439" s="118">
        <f t="shared" si="237"/>
        <v>6</v>
      </c>
      <c r="B439" s="196">
        <f t="shared" si="234"/>
        <v>0</v>
      </c>
      <c r="C439" s="225">
        <f t="shared" ref="C439:AP439" si="241">LOOKUP(C427,$B$391:$AP$391,$B$392:$AP$392)*$B612</f>
        <v>0</v>
      </c>
      <c r="D439" s="186">
        <f t="shared" si="241"/>
        <v>0</v>
      </c>
      <c r="E439" s="186">
        <f t="shared" si="241"/>
        <v>0</v>
      </c>
      <c r="F439" s="186">
        <f t="shared" si="241"/>
        <v>0</v>
      </c>
      <c r="G439" s="186">
        <f t="shared" si="241"/>
        <v>0</v>
      </c>
      <c r="H439" s="186">
        <f t="shared" si="241"/>
        <v>0</v>
      </c>
      <c r="I439" s="186">
        <f t="shared" si="241"/>
        <v>0</v>
      </c>
      <c r="J439" s="186">
        <f t="shared" si="241"/>
        <v>0</v>
      </c>
      <c r="K439" s="186">
        <f t="shared" si="241"/>
        <v>0</v>
      </c>
      <c r="L439" s="186">
        <f t="shared" si="241"/>
        <v>0</v>
      </c>
      <c r="M439" s="186">
        <f t="shared" si="241"/>
        <v>0</v>
      </c>
      <c r="N439" s="186">
        <f t="shared" si="241"/>
        <v>0</v>
      </c>
      <c r="O439" s="186">
        <f t="shared" si="241"/>
        <v>0</v>
      </c>
      <c r="P439" s="186">
        <f t="shared" si="241"/>
        <v>0</v>
      </c>
      <c r="Q439" s="186">
        <f t="shared" si="241"/>
        <v>0</v>
      </c>
      <c r="R439" s="186">
        <f t="shared" si="241"/>
        <v>0</v>
      </c>
      <c r="S439" s="186">
        <f t="shared" si="241"/>
        <v>0</v>
      </c>
      <c r="T439" s="186">
        <f t="shared" si="241"/>
        <v>0</v>
      </c>
      <c r="U439" s="186">
        <f t="shared" si="241"/>
        <v>0</v>
      </c>
      <c r="V439" s="186">
        <f t="shared" si="241"/>
        <v>0</v>
      </c>
      <c r="W439" s="186">
        <f t="shared" si="241"/>
        <v>0</v>
      </c>
      <c r="X439" s="186">
        <f t="shared" si="241"/>
        <v>0</v>
      </c>
      <c r="Y439" s="186">
        <f t="shared" si="241"/>
        <v>0</v>
      </c>
      <c r="Z439" s="186">
        <f t="shared" si="241"/>
        <v>0</v>
      </c>
      <c r="AA439" s="186">
        <f t="shared" si="241"/>
        <v>0</v>
      </c>
      <c r="AB439" s="186">
        <f t="shared" si="241"/>
        <v>0</v>
      </c>
      <c r="AC439" s="186">
        <f t="shared" si="241"/>
        <v>0</v>
      </c>
      <c r="AD439" s="186">
        <f t="shared" si="241"/>
        <v>0</v>
      </c>
      <c r="AE439" s="186">
        <f t="shared" si="241"/>
        <v>0</v>
      </c>
      <c r="AF439" s="186">
        <f t="shared" si="241"/>
        <v>0</v>
      </c>
      <c r="AG439" s="186">
        <f t="shared" si="241"/>
        <v>0</v>
      </c>
      <c r="AH439" s="186">
        <f t="shared" si="241"/>
        <v>0</v>
      </c>
      <c r="AI439" s="186">
        <f t="shared" si="241"/>
        <v>0</v>
      </c>
      <c r="AJ439" s="186">
        <f t="shared" si="241"/>
        <v>0</v>
      </c>
      <c r="AK439" s="186">
        <f t="shared" si="241"/>
        <v>0</v>
      </c>
      <c r="AL439" s="186">
        <f t="shared" si="241"/>
        <v>0</v>
      </c>
      <c r="AM439" s="186">
        <f t="shared" si="241"/>
        <v>0</v>
      </c>
      <c r="AN439" s="186">
        <f t="shared" si="241"/>
        <v>0</v>
      </c>
      <c r="AO439" s="186">
        <f t="shared" si="241"/>
        <v>0</v>
      </c>
      <c r="AP439" s="186">
        <f t="shared" si="241"/>
        <v>0</v>
      </c>
    </row>
    <row r="440" spans="1:42">
      <c r="A440" s="118">
        <f t="shared" si="237"/>
        <v>7</v>
      </c>
      <c r="B440" s="196">
        <f t="shared" si="234"/>
        <v>0</v>
      </c>
      <c r="C440" s="225">
        <f t="shared" ref="C440:AP440" si="242">LOOKUP(C428,$B$391:$AP$391,$B$392:$AP$392)*$B613</f>
        <v>0</v>
      </c>
      <c r="D440" s="186">
        <f t="shared" si="242"/>
        <v>0</v>
      </c>
      <c r="E440" s="186">
        <f t="shared" si="242"/>
        <v>0</v>
      </c>
      <c r="F440" s="186">
        <f t="shared" si="242"/>
        <v>0</v>
      </c>
      <c r="G440" s="186">
        <f t="shared" si="242"/>
        <v>0</v>
      </c>
      <c r="H440" s="186">
        <f t="shared" si="242"/>
        <v>0</v>
      </c>
      <c r="I440" s="186">
        <f t="shared" si="242"/>
        <v>0</v>
      </c>
      <c r="J440" s="186">
        <f t="shared" si="242"/>
        <v>0</v>
      </c>
      <c r="K440" s="186">
        <f t="shared" si="242"/>
        <v>0</v>
      </c>
      <c r="L440" s="186">
        <f t="shared" si="242"/>
        <v>0</v>
      </c>
      <c r="M440" s="186">
        <f t="shared" si="242"/>
        <v>0</v>
      </c>
      <c r="N440" s="186">
        <f t="shared" si="242"/>
        <v>0</v>
      </c>
      <c r="O440" s="186">
        <f t="shared" si="242"/>
        <v>0</v>
      </c>
      <c r="P440" s="186">
        <f t="shared" si="242"/>
        <v>0</v>
      </c>
      <c r="Q440" s="186">
        <f t="shared" si="242"/>
        <v>0</v>
      </c>
      <c r="R440" s="186">
        <f t="shared" si="242"/>
        <v>0</v>
      </c>
      <c r="S440" s="186">
        <f t="shared" si="242"/>
        <v>0</v>
      </c>
      <c r="T440" s="186">
        <f t="shared" si="242"/>
        <v>0</v>
      </c>
      <c r="U440" s="186">
        <f t="shared" si="242"/>
        <v>0</v>
      </c>
      <c r="V440" s="186">
        <f t="shared" si="242"/>
        <v>0</v>
      </c>
      <c r="W440" s="186">
        <f t="shared" si="242"/>
        <v>0</v>
      </c>
      <c r="X440" s="186">
        <f t="shared" si="242"/>
        <v>0</v>
      </c>
      <c r="Y440" s="186">
        <f t="shared" si="242"/>
        <v>0</v>
      </c>
      <c r="Z440" s="186">
        <f t="shared" si="242"/>
        <v>0</v>
      </c>
      <c r="AA440" s="186">
        <f t="shared" si="242"/>
        <v>0</v>
      </c>
      <c r="AB440" s="186">
        <f t="shared" si="242"/>
        <v>0</v>
      </c>
      <c r="AC440" s="186">
        <f t="shared" si="242"/>
        <v>0</v>
      </c>
      <c r="AD440" s="186">
        <f t="shared" si="242"/>
        <v>0</v>
      </c>
      <c r="AE440" s="186">
        <f t="shared" si="242"/>
        <v>0</v>
      </c>
      <c r="AF440" s="186">
        <f t="shared" si="242"/>
        <v>0</v>
      </c>
      <c r="AG440" s="186">
        <f t="shared" si="242"/>
        <v>0</v>
      </c>
      <c r="AH440" s="186">
        <f t="shared" si="242"/>
        <v>0</v>
      </c>
      <c r="AI440" s="186">
        <f t="shared" si="242"/>
        <v>0</v>
      </c>
      <c r="AJ440" s="186">
        <f t="shared" si="242"/>
        <v>0</v>
      </c>
      <c r="AK440" s="186">
        <f t="shared" si="242"/>
        <v>0</v>
      </c>
      <c r="AL440" s="186">
        <f t="shared" si="242"/>
        <v>0</v>
      </c>
      <c r="AM440" s="186">
        <f t="shared" si="242"/>
        <v>0</v>
      </c>
      <c r="AN440" s="186">
        <f t="shared" si="242"/>
        <v>0</v>
      </c>
      <c r="AO440" s="186">
        <f t="shared" si="242"/>
        <v>0</v>
      </c>
      <c r="AP440" s="186">
        <f t="shared" si="242"/>
        <v>0</v>
      </c>
    </row>
    <row r="441" spans="1:42">
      <c r="A441" s="118">
        <f t="shared" si="237"/>
        <v>8</v>
      </c>
      <c r="B441" s="196">
        <f t="shared" si="234"/>
        <v>0</v>
      </c>
      <c r="C441" s="225">
        <f t="shared" ref="C441:AP441" si="243">LOOKUP(C429,$B$391:$AP$391,$B$392:$AP$392)*$B614</f>
        <v>0</v>
      </c>
      <c r="D441" s="186">
        <f t="shared" si="243"/>
        <v>0</v>
      </c>
      <c r="E441" s="186">
        <f t="shared" si="243"/>
        <v>0</v>
      </c>
      <c r="F441" s="186">
        <f t="shared" si="243"/>
        <v>0</v>
      </c>
      <c r="G441" s="186">
        <f t="shared" si="243"/>
        <v>0</v>
      </c>
      <c r="H441" s="186">
        <f t="shared" si="243"/>
        <v>0</v>
      </c>
      <c r="I441" s="186">
        <f t="shared" si="243"/>
        <v>0</v>
      </c>
      <c r="J441" s="186">
        <f t="shared" si="243"/>
        <v>0</v>
      </c>
      <c r="K441" s="186">
        <f t="shared" si="243"/>
        <v>0</v>
      </c>
      <c r="L441" s="186">
        <f t="shared" si="243"/>
        <v>0</v>
      </c>
      <c r="M441" s="186">
        <f t="shared" si="243"/>
        <v>0</v>
      </c>
      <c r="N441" s="186">
        <f t="shared" si="243"/>
        <v>0</v>
      </c>
      <c r="O441" s="186">
        <f t="shared" si="243"/>
        <v>0</v>
      </c>
      <c r="P441" s="186">
        <f t="shared" si="243"/>
        <v>0</v>
      </c>
      <c r="Q441" s="186">
        <f t="shared" si="243"/>
        <v>0</v>
      </c>
      <c r="R441" s="186">
        <f t="shared" si="243"/>
        <v>0</v>
      </c>
      <c r="S441" s="186">
        <f t="shared" si="243"/>
        <v>0</v>
      </c>
      <c r="T441" s="186">
        <f t="shared" si="243"/>
        <v>0</v>
      </c>
      <c r="U441" s="186">
        <f t="shared" si="243"/>
        <v>0</v>
      </c>
      <c r="V441" s="186">
        <f t="shared" si="243"/>
        <v>0</v>
      </c>
      <c r="W441" s="186">
        <f t="shared" si="243"/>
        <v>0</v>
      </c>
      <c r="X441" s="186">
        <f t="shared" si="243"/>
        <v>0</v>
      </c>
      <c r="Y441" s="186">
        <f t="shared" si="243"/>
        <v>0</v>
      </c>
      <c r="Z441" s="186">
        <f t="shared" si="243"/>
        <v>0</v>
      </c>
      <c r="AA441" s="186">
        <f t="shared" si="243"/>
        <v>0</v>
      </c>
      <c r="AB441" s="186">
        <f t="shared" si="243"/>
        <v>0</v>
      </c>
      <c r="AC441" s="186">
        <f t="shared" si="243"/>
        <v>0</v>
      </c>
      <c r="AD441" s="186">
        <f t="shared" si="243"/>
        <v>0</v>
      </c>
      <c r="AE441" s="186">
        <f t="shared" si="243"/>
        <v>0</v>
      </c>
      <c r="AF441" s="186">
        <f t="shared" si="243"/>
        <v>0</v>
      </c>
      <c r="AG441" s="186">
        <f t="shared" si="243"/>
        <v>0</v>
      </c>
      <c r="AH441" s="186">
        <f t="shared" si="243"/>
        <v>0</v>
      </c>
      <c r="AI441" s="186">
        <f t="shared" si="243"/>
        <v>0</v>
      </c>
      <c r="AJ441" s="186">
        <f t="shared" si="243"/>
        <v>0</v>
      </c>
      <c r="AK441" s="186">
        <f t="shared" si="243"/>
        <v>0</v>
      </c>
      <c r="AL441" s="186">
        <f t="shared" si="243"/>
        <v>0</v>
      </c>
      <c r="AM441" s="186">
        <f t="shared" si="243"/>
        <v>0</v>
      </c>
      <c r="AN441" s="186">
        <f t="shared" si="243"/>
        <v>0</v>
      </c>
      <c r="AO441" s="186">
        <f t="shared" si="243"/>
        <v>0</v>
      </c>
      <c r="AP441" s="186">
        <f t="shared" si="243"/>
        <v>0</v>
      </c>
    </row>
    <row r="442" spans="1:42">
      <c r="A442" s="118">
        <f>A441+1</f>
        <v>9</v>
      </c>
      <c r="B442" s="196">
        <f t="shared" si="234"/>
        <v>0</v>
      </c>
      <c r="C442" s="225">
        <f t="shared" ref="C442:AP442" si="244">LOOKUP(C430,$B$391:$AP$391,$B$392:$AP$392)*$B615</f>
        <v>0</v>
      </c>
      <c r="D442" s="186">
        <f t="shared" si="244"/>
        <v>0</v>
      </c>
      <c r="E442" s="186">
        <f t="shared" si="244"/>
        <v>0</v>
      </c>
      <c r="F442" s="186">
        <f t="shared" si="244"/>
        <v>0</v>
      </c>
      <c r="G442" s="186">
        <f t="shared" si="244"/>
        <v>0</v>
      </c>
      <c r="H442" s="186">
        <f t="shared" si="244"/>
        <v>0</v>
      </c>
      <c r="I442" s="186">
        <f t="shared" si="244"/>
        <v>0</v>
      </c>
      <c r="J442" s="186">
        <f t="shared" si="244"/>
        <v>0</v>
      </c>
      <c r="K442" s="186">
        <f t="shared" si="244"/>
        <v>0</v>
      </c>
      <c r="L442" s="186">
        <f t="shared" si="244"/>
        <v>0</v>
      </c>
      <c r="M442" s="186">
        <f t="shared" si="244"/>
        <v>0</v>
      </c>
      <c r="N442" s="186">
        <f t="shared" si="244"/>
        <v>0</v>
      </c>
      <c r="O442" s="186">
        <f t="shared" si="244"/>
        <v>0</v>
      </c>
      <c r="P442" s="186">
        <f t="shared" si="244"/>
        <v>0</v>
      </c>
      <c r="Q442" s="186">
        <f t="shared" si="244"/>
        <v>0</v>
      </c>
      <c r="R442" s="186">
        <f t="shared" si="244"/>
        <v>0</v>
      </c>
      <c r="S442" s="186">
        <f t="shared" si="244"/>
        <v>0</v>
      </c>
      <c r="T442" s="186">
        <f t="shared" si="244"/>
        <v>0</v>
      </c>
      <c r="U442" s="186">
        <f t="shared" si="244"/>
        <v>0</v>
      </c>
      <c r="V442" s="186">
        <f t="shared" si="244"/>
        <v>0</v>
      </c>
      <c r="W442" s="186">
        <f t="shared" si="244"/>
        <v>0</v>
      </c>
      <c r="X442" s="186">
        <f t="shared" si="244"/>
        <v>0</v>
      </c>
      <c r="Y442" s="186">
        <f t="shared" si="244"/>
        <v>0</v>
      </c>
      <c r="Z442" s="186">
        <f t="shared" si="244"/>
        <v>0</v>
      </c>
      <c r="AA442" s="186">
        <f t="shared" si="244"/>
        <v>0</v>
      </c>
      <c r="AB442" s="186">
        <f t="shared" si="244"/>
        <v>0</v>
      </c>
      <c r="AC442" s="186">
        <f t="shared" si="244"/>
        <v>0</v>
      </c>
      <c r="AD442" s="186">
        <f t="shared" si="244"/>
        <v>0</v>
      </c>
      <c r="AE442" s="186">
        <f t="shared" si="244"/>
        <v>0</v>
      </c>
      <c r="AF442" s="186">
        <f t="shared" si="244"/>
        <v>0</v>
      </c>
      <c r="AG442" s="186">
        <f t="shared" si="244"/>
        <v>0</v>
      </c>
      <c r="AH442" s="186">
        <f t="shared" si="244"/>
        <v>0</v>
      </c>
      <c r="AI442" s="186">
        <f t="shared" si="244"/>
        <v>0</v>
      </c>
      <c r="AJ442" s="186">
        <f t="shared" si="244"/>
        <v>0</v>
      </c>
      <c r="AK442" s="186">
        <f t="shared" si="244"/>
        <v>0</v>
      </c>
      <c r="AL442" s="186">
        <f t="shared" si="244"/>
        <v>0</v>
      </c>
      <c r="AM442" s="186">
        <f t="shared" si="244"/>
        <v>0</v>
      </c>
      <c r="AN442" s="186">
        <f t="shared" si="244"/>
        <v>0</v>
      </c>
      <c r="AO442" s="186">
        <f t="shared" si="244"/>
        <v>0</v>
      </c>
      <c r="AP442" s="186">
        <f t="shared" si="244"/>
        <v>0</v>
      </c>
    </row>
    <row r="443" spans="1:42">
      <c r="A443" s="118">
        <f t="shared" ref="A443" si="245">A442+1</f>
        <v>10</v>
      </c>
      <c r="B443" s="196">
        <f t="shared" si="234"/>
        <v>0</v>
      </c>
      <c r="C443" s="221">
        <f t="shared" ref="C443:AP443" si="246">LOOKUP(C431,$B$391:$AP$391,$B$392:$AP$392)*$B616</f>
        <v>0</v>
      </c>
      <c r="D443" s="187">
        <f t="shared" si="246"/>
        <v>0</v>
      </c>
      <c r="E443" s="187">
        <f t="shared" si="246"/>
        <v>0</v>
      </c>
      <c r="F443" s="187">
        <f t="shared" si="246"/>
        <v>0</v>
      </c>
      <c r="G443" s="187">
        <f t="shared" si="246"/>
        <v>0</v>
      </c>
      <c r="H443" s="187">
        <f t="shared" si="246"/>
        <v>0</v>
      </c>
      <c r="I443" s="187">
        <f t="shared" si="246"/>
        <v>0</v>
      </c>
      <c r="J443" s="187">
        <f t="shared" si="246"/>
        <v>0</v>
      </c>
      <c r="K443" s="187">
        <f t="shared" si="246"/>
        <v>0</v>
      </c>
      <c r="L443" s="187">
        <f t="shared" si="246"/>
        <v>0</v>
      </c>
      <c r="M443" s="187">
        <f t="shared" si="246"/>
        <v>0</v>
      </c>
      <c r="N443" s="187">
        <f t="shared" si="246"/>
        <v>0</v>
      </c>
      <c r="O443" s="187">
        <f t="shared" si="246"/>
        <v>0</v>
      </c>
      <c r="P443" s="187">
        <f t="shared" si="246"/>
        <v>0</v>
      </c>
      <c r="Q443" s="187">
        <f t="shared" si="246"/>
        <v>0</v>
      </c>
      <c r="R443" s="187">
        <f t="shared" si="246"/>
        <v>0</v>
      </c>
      <c r="S443" s="187">
        <f t="shared" si="246"/>
        <v>0</v>
      </c>
      <c r="T443" s="187">
        <f t="shared" si="246"/>
        <v>0</v>
      </c>
      <c r="U443" s="187">
        <f t="shared" si="246"/>
        <v>0</v>
      </c>
      <c r="V443" s="187">
        <f t="shared" si="246"/>
        <v>0</v>
      </c>
      <c r="W443" s="187">
        <f t="shared" si="246"/>
        <v>0</v>
      </c>
      <c r="X443" s="187">
        <f t="shared" si="246"/>
        <v>0</v>
      </c>
      <c r="Y443" s="187">
        <f t="shared" si="246"/>
        <v>0</v>
      </c>
      <c r="Z443" s="187">
        <f t="shared" si="246"/>
        <v>0</v>
      </c>
      <c r="AA443" s="187">
        <f t="shared" si="246"/>
        <v>0</v>
      </c>
      <c r="AB443" s="187">
        <f t="shared" si="246"/>
        <v>0</v>
      </c>
      <c r="AC443" s="187">
        <f t="shared" si="246"/>
        <v>0</v>
      </c>
      <c r="AD443" s="187">
        <f t="shared" si="246"/>
        <v>0</v>
      </c>
      <c r="AE443" s="187">
        <f t="shared" si="246"/>
        <v>0</v>
      </c>
      <c r="AF443" s="187">
        <f t="shared" si="246"/>
        <v>0</v>
      </c>
      <c r="AG443" s="187">
        <f t="shared" si="246"/>
        <v>0</v>
      </c>
      <c r="AH443" s="187">
        <f t="shared" si="246"/>
        <v>0</v>
      </c>
      <c r="AI443" s="187">
        <f t="shared" si="246"/>
        <v>0</v>
      </c>
      <c r="AJ443" s="187">
        <f t="shared" si="246"/>
        <v>0</v>
      </c>
      <c r="AK443" s="187">
        <f t="shared" si="246"/>
        <v>0</v>
      </c>
      <c r="AL443" s="187">
        <f t="shared" si="246"/>
        <v>0</v>
      </c>
      <c r="AM443" s="187">
        <f t="shared" si="246"/>
        <v>0</v>
      </c>
      <c r="AN443" s="187">
        <f t="shared" si="246"/>
        <v>0</v>
      </c>
      <c r="AO443" s="187">
        <f t="shared" si="246"/>
        <v>0</v>
      </c>
      <c r="AP443" s="187">
        <f t="shared" si="246"/>
        <v>0</v>
      </c>
    </row>
    <row r="444" spans="1:42" s="118" customFormat="1">
      <c r="A444" s="222" t="s">
        <v>53</v>
      </c>
      <c r="B444" s="141"/>
      <c r="C444" s="141">
        <f>SUM(C434:C443)</f>
        <v>0</v>
      </c>
      <c r="D444" s="141">
        <f t="shared" ref="D444:AP444" si="247">SUM(D434:D443)</f>
        <v>0</v>
      </c>
      <c r="E444" s="141">
        <f t="shared" si="247"/>
        <v>0</v>
      </c>
      <c r="F444" s="141">
        <f t="shared" si="247"/>
        <v>0</v>
      </c>
      <c r="G444" s="141">
        <f t="shared" si="247"/>
        <v>0</v>
      </c>
      <c r="H444" s="141">
        <f t="shared" si="247"/>
        <v>0</v>
      </c>
      <c r="I444" s="141">
        <f t="shared" si="247"/>
        <v>0</v>
      </c>
      <c r="J444" s="141">
        <f t="shared" si="247"/>
        <v>0</v>
      </c>
      <c r="K444" s="141">
        <f t="shared" si="247"/>
        <v>0</v>
      </c>
      <c r="L444" s="141">
        <f t="shared" si="247"/>
        <v>0</v>
      </c>
      <c r="M444" s="141">
        <f t="shared" si="247"/>
        <v>0</v>
      </c>
      <c r="N444" s="141">
        <f t="shared" si="247"/>
        <v>0</v>
      </c>
      <c r="O444" s="141">
        <f t="shared" si="247"/>
        <v>0</v>
      </c>
      <c r="P444" s="141">
        <f t="shared" si="247"/>
        <v>0</v>
      </c>
      <c r="Q444" s="141">
        <f t="shared" si="247"/>
        <v>1231755.7306939578</v>
      </c>
      <c r="R444" s="141">
        <f t="shared" si="247"/>
        <v>1970809.1691103324</v>
      </c>
      <c r="S444" s="141">
        <f t="shared" si="247"/>
        <v>1182485.5014661995</v>
      </c>
      <c r="T444" s="141">
        <f t="shared" si="247"/>
        <v>709491.30087971967</v>
      </c>
      <c r="U444" s="141">
        <f t="shared" si="247"/>
        <v>709491.30087971967</v>
      </c>
      <c r="V444" s="141">
        <f t="shared" si="247"/>
        <v>354745.65043985983</v>
      </c>
      <c r="W444" s="141">
        <f t="shared" si="247"/>
        <v>0</v>
      </c>
      <c r="X444" s="141">
        <f t="shared" si="247"/>
        <v>0</v>
      </c>
      <c r="Y444" s="141">
        <f t="shared" si="247"/>
        <v>0</v>
      </c>
      <c r="Z444" s="141">
        <f t="shared" si="247"/>
        <v>0</v>
      </c>
      <c r="AA444" s="141">
        <f t="shared" si="247"/>
        <v>0</v>
      </c>
      <c r="AB444" s="141">
        <f t="shared" si="247"/>
        <v>0</v>
      </c>
      <c r="AC444" s="141">
        <f t="shared" si="247"/>
        <v>0</v>
      </c>
      <c r="AD444" s="141">
        <f t="shared" si="247"/>
        <v>0</v>
      </c>
      <c r="AE444" s="141">
        <f t="shared" si="247"/>
        <v>0</v>
      </c>
      <c r="AF444" s="141">
        <f t="shared" si="247"/>
        <v>1539980.512798867</v>
      </c>
      <c r="AG444" s="141">
        <f t="shared" si="247"/>
        <v>0</v>
      </c>
      <c r="AH444" s="141">
        <f t="shared" si="247"/>
        <v>0</v>
      </c>
      <c r="AI444" s="141">
        <f t="shared" si="247"/>
        <v>0</v>
      </c>
      <c r="AJ444" s="141">
        <f t="shared" si="247"/>
        <v>0</v>
      </c>
      <c r="AK444" s="141">
        <f t="shared" si="247"/>
        <v>0</v>
      </c>
      <c r="AL444" s="141">
        <f t="shared" si="247"/>
        <v>0</v>
      </c>
      <c r="AM444" s="141">
        <f t="shared" si="247"/>
        <v>0</v>
      </c>
      <c r="AN444" s="141">
        <f t="shared" si="247"/>
        <v>0</v>
      </c>
      <c r="AO444" s="141">
        <f t="shared" si="247"/>
        <v>0</v>
      </c>
      <c r="AP444" s="141">
        <f t="shared" si="247"/>
        <v>0</v>
      </c>
    </row>
    <row r="445" spans="1:42" s="118" customFormat="1">
      <c r="A445" s="222"/>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141"/>
      <c r="AK445" s="141"/>
      <c r="AL445" s="141"/>
      <c r="AM445" s="141"/>
      <c r="AN445" s="141"/>
      <c r="AO445" s="141"/>
      <c r="AP445" s="141"/>
    </row>
    <row r="446" spans="1:42">
      <c r="A446" s="197" t="s">
        <v>372</v>
      </c>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c r="AM446" s="186"/>
      <c r="AN446" s="186"/>
      <c r="AO446" s="186"/>
      <c r="AP446" s="186"/>
    </row>
    <row r="447" spans="1:42">
      <c r="A447" s="204" t="s">
        <v>207</v>
      </c>
      <c r="C447" s="186"/>
      <c r="D447" s="186"/>
      <c r="E447" s="186"/>
      <c r="F447" s="186"/>
      <c r="G447" s="186"/>
      <c r="H447" s="186"/>
      <c r="I447" s="186"/>
      <c r="J447" s="186"/>
      <c r="K447" s="186"/>
      <c r="L447" s="186"/>
      <c r="M447" s="186"/>
      <c r="N447" s="186"/>
      <c r="O447" s="186"/>
      <c r="P447" s="186"/>
      <c r="Q447" s="186"/>
      <c r="R447" s="186"/>
      <c r="S447" s="186"/>
      <c r="T447" s="186"/>
      <c r="U447" s="186"/>
      <c r="V447" s="186"/>
      <c r="W447" s="186"/>
      <c r="X447" s="186"/>
      <c r="Y447" s="186"/>
      <c r="Z447" s="186"/>
      <c r="AA447" s="186"/>
      <c r="AB447" s="186"/>
      <c r="AC447" s="186"/>
      <c r="AD447" s="186"/>
      <c r="AE447" s="186"/>
      <c r="AF447" s="186"/>
      <c r="AG447" s="186"/>
      <c r="AH447" s="186"/>
      <c r="AI447" s="186"/>
      <c r="AJ447" s="186"/>
      <c r="AK447" s="186"/>
      <c r="AL447" s="186"/>
      <c r="AM447" s="186"/>
      <c r="AN447" s="186"/>
      <c r="AO447" s="186"/>
      <c r="AP447" s="186"/>
    </row>
    <row r="448" spans="1:42">
      <c r="A448" s="37">
        <v>1</v>
      </c>
      <c r="C448" s="186">
        <f>C313</f>
        <v>0</v>
      </c>
      <c r="D448" s="186">
        <f t="shared" ref="D448:AP454" si="248">D313</f>
        <v>0</v>
      </c>
      <c r="E448" s="186">
        <f t="shared" si="248"/>
        <v>1</v>
      </c>
      <c r="F448" s="186">
        <f t="shared" si="248"/>
        <v>2</v>
      </c>
      <c r="G448" s="186">
        <f t="shared" si="248"/>
        <v>3</v>
      </c>
      <c r="H448" s="186">
        <f t="shared" si="248"/>
        <v>4</v>
      </c>
      <c r="I448" s="186">
        <f t="shared" si="248"/>
        <v>5</v>
      </c>
      <c r="J448" s="186">
        <f t="shared" si="248"/>
        <v>6</v>
      </c>
      <c r="K448" s="186">
        <f t="shared" si="248"/>
        <v>7</v>
      </c>
      <c r="L448" s="186">
        <f t="shared" si="248"/>
        <v>8</v>
      </c>
      <c r="M448" s="186">
        <f t="shared" si="248"/>
        <v>9</v>
      </c>
      <c r="N448" s="186">
        <f t="shared" si="248"/>
        <v>10</v>
      </c>
      <c r="O448" s="186">
        <f t="shared" si="248"/>
        <v>11</v>
      </c>
      <c r="P448" s="186">
        <f t="shared" si="248"/>
        <v>12</v>
      </c>
      <c r="Q448" s="186">
        <f t="shared" si="248"/>
        <v>13</v>
      </c>
      <c r="R448" s="186">
        <f t="shared" si="248"/>
        <v>14</v>
      </c>
      <c r="S448" s="186">
        <f t="shared" si="248"/>
        <v>15</v>
      </c>
      <c r="T448" s="186">
        <f t="shared" si="248"/>
        <v>16</v>
      </c>
      <c r="U448" s="186">
        <f t="shared" si="248"/>
        <v>17</v>
      </c>
      <c r="V448" s="186">
        <f t="shared" si="248"/>
        <v>18</v>
      </c>
      <c r="W448" s="186">
        <f t="shared" si="248"/>
        <v>19</v>
      </c>
      <c r="X448" s="186">
        <f t="shared" si="248"/>
        <v>20</v>
      </c>
      <c r="Y448" s="186">
        <f t="shared" si="248"/>
        <v>21</v>
      </c>
      <c r="Z448" s="186">
        <f t="shared" si="248"/>
        <v>22</v>
      </c>
      <c r="AA448" s="186">
        <f t="shared" si="248"/>
        <v>23</v>
      </c>
      <c r="AB448" s="186">
        <f t="shared" si="248"/>
        <v>24</v>
      </c>
      <c r="AC448" s="186">
        <f t="shared" si="248"/>
        <v>25</v>
      </c>
      <c r="AD448" s="186">
        <f t="shared" si="248"/>
        <v>26</v>
      </c>
      <c r="AE448" s="186">
        <f t="shared" si="248"/>
        <v>27</v>
      </c>
      <c r="AF448" s="186">
        <f t="shared" si="248"/>
        <v>28</v>
      </c>
      <c r="AG448" s="186">
        <f t="shared" si="248"/>
        <v>0</v>
      </c>
      <c r="AH448" s="186">
        <f t="shared" si="248"/>
        <v>0</v>
      </c>
      <c r="AI448" s="186">
        <f t="shared" si="248"/>
        <v>0</v>
      </c>
      <c r="AJ448" s="186">
        <f t="shared" si="248"/>
        <v>0</v>
      </c>
      <c r="AK448" s="186">
        <f t="shared" si="248"/>
        <v>0</v>
      </c>
      <c r="AL448" s="186">
        <f t="shared" si="248"/>
        <v>0</v>
      </c>
      <c r="AM448" s="186">
        <f t="shared" si="248"/>
        <v>0</v>
      </c>
      <c r="AN448" s="186">
        <f t="shared" si="248"/>
        <v>0</v>
      </c>
      <c r="AO448" s="186">
        <f t="shared" si="248"/>
        <v>0</v>
      </c>
      <c r="AP448" s="186">
        <f t="shared" si="248"/>
        <v>0</v>
      </c>
    </row>
    <row r="449" spans="1:42">
      <c r="A449" s="37">
        <f>A448+1</f>
        <v>2</v>
      </c>
      <c r="C449" s="186">
        <f t="shared" ref="C449:R457" si="249">C314</f>
        <v>0</v>
      </c>
      <c r="D449" s="186">
        <f t="shared" si="249"/>
        <v>0</v>
      </c>
      <c r="E449" s="186">
        <f t="shared" si="249"/>
        <v>0</v>
      </c>
      <c r="F449" s="186">
        <f t="shared" si="249"/>
        <v>0</v>
      </c>
      <c r="G449" s="186">
        <f t="shared" si="249"/>
        <v>0</v>
      </c>
      <c r="H449" s="186">
        <f t="shared" si="249"/>
        <v>1</v>
      </c>
      <c r="I449" s="186">
        <f t="shared" si="249"/>
        <v>2</v>
      </c>
      <c r="J449" s="186">
        <f t="shared" si="249"/>
        <v>3</v>
      </c>
      <c r="K449" s="186">
        <f t="shared" si="249"/>
        <v>4</v>
      </c>
      <c r="L449" s="186">
        <f t="shared" si="249"/>
        <v>5</v>
      </c>
      <c r="M449" s="186">
        <f t="shared" si="249"/>
        <v>6</v>
      </c>
      <c r="N449" s="186">
        <f t="shared" si="249"/>
        <v>7</v>
      </c>
      <c r="O449" s="186">
        <f t="shared" si="249"/>
        <v>8</v>
      </c>
      <c r="P449" s="186">
        <f t="shared" si="249"/>
        <v>9</v>
      </c>
      <c r="Q449" s="186">
        <f t="shared" si="249"/>
        <v>10</v>
      </c>
      <c r="R449" s="186">
        <f t="shared" si="249"/>
        <v>11</v>
      </c>
      <c r="S449" s="186">
        <f t="shared" si="248"/>
        <v>12</v>
      </c>
      <c r="T449" s="186">
        <f t="shared" si="248"/>
        <v>13</v>
      </c>
      <c r="U449" s="186">
        <f t="shared" si="248"/>
        <v>14</v>
      </c>
      <c r="V449" s="186">
        <f t="shared" si="248"/>
        <v>15</v>
      </c>
      <c r="W449" s="186">
        <f t="shared" si="248"/>
        <v>16</v>
      </c>
      <c r="X449" s="186">
        <f t="shared" si="248"/>
        <v>17</v>
      </c>
      <c r="Y449" s="186">
        <f t="shared" si="248"/>
        <v>18</v>
      </c>
      <c r="Z449" s="186">
        <f t="shared" si="248"/>
        <v>19</v>
      </c>
      <c r="AA449" s="186">
        <f t="shared" si="248"/>
        <v>20</v>
      </c>
      <c r="AB449" s="186">
        <f t="shared" si="248"/>
        <v>21</v>
      </c>
      <c r="AC449" s="186">
        <f t="shared" si="248"/>
        <v>22</v>
      </c>
      <c r="AD449" s="186">
        <f t="shared" si="248"/>
        <v>23</v>
      </c>
      <c r="AE449" s="186">
        <f t="shared" si="248"/>
        <v>24</v>
      </c>
      <c r="AF449" s="186">
        <f t="shared" si="248"/>
        <v>25</v>
      </c>
      <c r="AG449" s="186">
        <f t="shared" si="248"/>
        <v>0</v>
      </c>
      <c r="AH449" s="186">
        <f t="shared" si="248"/>
        <v>0</v>
      </c>
      <c r="AI449" s="186">
        <f t="shared" si="248"/>
        <v>0</v>
      </c>
      <c r="AJ449" s="186">
        <f t="shared" si="248"/>
        <v>0</v>
      </c>
      <c r="AK449" s="186">
        <f t="shared" si="248"/>
        <v>0</v>
      </c>
      <c r="AL449" s="186">
        <f t="shared" si="248"/>
        <v>0</v>
      </c>
      <c r="AM449" s="186">
        <f t="shared" si="248"/>
        <v>0</v>
      </c>
      <c r="AN449" s="186">
        <f t="shared" si="248"/>
        <v>0</v>
      </c>
      <c r="AO449" s="186">
        <f t="shared" si="248"/>
        <v>0</v>
      </c>
      <c r="AP449" s="186">
        <f t="shared" si="248"/>
        <v>0</v>
      </c>
    </row>
    <row r="450" spans="1:42">
      <c r="A450" s="37">
        <f t="shared" ref="A450:A455" si="250">A449+1</f>
        <v>3</v>
      </c>
      <c r="C450" s="186">
        <f t="shared" si="249"/>
        <v>0</v>
      </c>
      <c r="D450" s="186">
        <f t="shared" si="248"/>
        <v>0</v>
      </c>
      <c r="E450" s="186">
        <f t="shared" si="248"/>
        <v>0</v>
      </c>
      <c r="F450" s="186">
        <f t="shared" si="248"/>
        <v>0</v>
      </c>
      <c r="G450" s="186">
        <f t="shared" si="248"/>
        <v>0</v>
      </c>
      <c r="H450" s="186">
        <f t="shared" si="248"/>
        <v>0</v>
      </c>
      <c r="I450" s="186">
        <f t="shared" si="248"/>
        <v>0</v>
      </c>
      <c r="J450" s="186">
        <f t="shared" si="248"/>
        <v>0</v>
      </c>
      <c r="K450" s="186">
        <f t="shared" si="248"/>
        <v>1</v>
      </c>
      <c r="L450" s="186">
        <f t="shared" si="248"/>
        <v>2</v>
      </c>
      <c r="M450" s="186">
        <f t="shared" si="248"/>
        <v>3</v>
      </c>
      <c r="N450" s="186">
        <f t="shared" si="248"/>
        <v>4</v>
      </c>
      <c r="O450" s="186">
        <f t="shared" si="248"/>
        <v>5</v>
      </c>
      <c r="P450" s="186">
        <f t="shared" si="248"/>
        <v>6</v>
      </c>
      <c r="Q450" s="186">
        <f t="shared" si="248"/>
        <v>7</v>
      </c>
      <c r="R450" s="186">
        <f t="shared" si="248"/>
        <v>8</v>
      </c>
      <c r="S450" s="186">
        <f t="shared" si="248"/>
        <v>9</v>
      </c>
      <c r="T450" s="186">
        <f t="shared" si="248"/>
        <v>10</v>
      </c>
      <c r="U450" s="186">
        <f t="shared" si="248"/>
        <v>11</v>
      </c>
      <c r="V450" s="186">
        <f t="shared" si="248"/>
        <v>12</v>
      </c>
      <c r="W450" s="186">
        <f t="shared" si="248"/>
        <v>13</v>
      </c>
      <c r="X450" s="186">
        <f t="shared" si="248"/>
        <v>14</v>
      </c>
      <c r="Y450" s="186">
        <f t="shared" si="248"/>
        <v>15</v>
      </c>
      <c r="Z450" s="186">
        <f t="shared" si="248"/>
        <v>16</v>
      </c>
      <c r="AA450" s="186">
        <f t="shared" si="248"/>
        <v>17</v>
      </c>
      <c r="AB450" s="186">
        <f t="shared" si="248"/>
        <v>18</v>
      </c>
      <c r="AC450" s="186">
        <f t="shared" si="248"/>
        <v>19</v>
      </c>
      <c r="AD450" s="186">
        <f t="shared" si="248"/>
        <v>20</v>
      </c>
      <c r="AE450" s="186">
        <f t="shared" si="248"/>
        <v>21</v>
      </c>
      <c r="AF450" s="186">
        <f t="shared" si="248"/>
        <v>22</v>
      </c>
      <c r="AG450" s="186">
        <f t="shared" si="248"/>
        <v>0</v>
      </c>
      <c r="AH450" s="186">
        <f t="shared" si="248"/>
        <v>0</v>
      </c>
      <c r="AI450" s="186">
        <f t="shared" si="248"/>
        <v>0</v>
      </c>
      <c r="AJ450" s="186">
        <f t="shared" si="248"/>
        <v>0</v>
      </c>
      <c r="AK450" s="186">
        <f t="shared" si="248"/>
        <v>0</v>
      </c>
      <c r="AL450" s="186">
        <f t="shared" si="248"/>
        <v>0</v>
      </c>
      <c r="AM450" s="186">
        <f t="shared" si="248"/>
        <v>0</v>
      </c>
      <c r="AN450" s="186">
        <f t="shared" si="248"/>
        <v>0</v>
      </c>
      <c r="AO450" s="186">
        <f t="shared" si="248"/>
        <v>0</v>
      </c>
      <c r="AP450" s="186">
        <f t="shared" si="248"/>
        <v>0</v>
      </c>
    </row>
    <row r="451" spans="1:42">
      <c r="A451" s="37">
        <f t="shared" si="250"/>
        <v>4</v>
      </c>
      <c r="C451" s="186">
        <f t="shared" si="249"/>
        <v>0</v>
      </c>
      <c r="D451" s="186">
        <f t="shared" si="248"/>
        <v>0</v>
      </c>
      <c r="E451" s="186">
        <f t="shared" si="248"/>
        <v>0</v>
      </c>
      <c r="F451" s="186">
        <f t="shared" si="248"/>
        <v>0</v>
      </c>
      <c r="G451" s="186">
        <f t="shared" si="248"/>
        <v>0</v>
      </c>
      <c r="H451" s="186">
        <f t="shared" si="248"/>
        <v>0</v>
      </c>
      <c r="I451" s="186">
        <f t="shared" si="248"/>
        <v>0</v>
      </c>
      <c r="J451" s="186">
        <f t="shared" si="248"/>
        <v>0</v>
      </c>
      <c r="K451" s="186">
        <f t="shared" si="248"/>
        <v>0</v>
      </c>
      <c r="L451" s="186">
        <f t="shared" si="248"/>
        <v>0</v>
      </c>
      <c r="M451" s="186">
        <f t="shared" si="248"/>
        <v>0</v>
      </c>
      <c r="N451" s="186">
        <f t="shared" si="248"/>
        <v>1</v>
      </c>
      <c r="O451" s="186">
        <f t="shared" si="248"/>
        <v>2</v>
      </c>
      <c r="P451" s="186">
        <f t="shared" si="248"/>
        <v>3</v>
      </c>
      <c r="Q451" s="186">
        <f t="shared" si="248"/>
        <v>4</v>
      </c>
      <c r="R451" s="186">
        <f t="shared" si="248"/>
        <v>5</v>
      </c>
      <c r="S451" s="186">
        <f t="shared" si="248"/>
        <v>6</v>
      </c>
      <c r="T451" s="186">
        <f t="shared" si="248"/>
        <v>7</v>
      </c>
      <c r="U451" s="186">
        <f t="shared" si="248"/>
        <v>8</v>
      </c>
      <c r="V451" s="186">
        <f t="shared" si="248"/>
        <v>9</v>
      </c>
      <c r="W451" s="186">
        <f t="shared" si="248"/>
        <v>10</v>
      </c>
      <c r="X451" s="186">
        <f t="shared" si="248"/>
        <v>11</v>
      </c>
      <c r="Y451" s="186">
        <f t="shared" si="248"/>
        <v>12</v>
      </c>
      <c r="Z451" s="186">
        <f t="shared" si="248"/>
        <v>13</v>
      </c>
      <c r="AA451" s="186">
        <f t="shared" si="248"/>
        <v>14</v>
      </c>
      <c r="AB451" s="186">
        <f t="shared" si="248"/>
        <v>15</v>
      </c>
      <c r="AC451" s="186">
        <f t="shared" si="248"/>
        <v>16</v>
      </c>
      <c r="AD451" s="186">
        <f t="shared" si="248"/>
        <v>17</v>
      </c>
      <c r="AE451" s="186">
        <f t="shared" si="248"/>
        <v>18</v>
      </c>
      <c r="AF451" s="186">
        <f t="shared" si="248"/>
        <v>19</v>
      </c>
      <c r="AG451" s="186">
        <f t="shared" si="248"/>
        <v>0</v>
      </c>
      <c r="AH451" s="186">
        <f t="shared" si="248"/>
        <v>0</v>
      </c>
      <c r="AI451" s="186">
        <f t="shared" si="248"/>
        <v>0</v>
      </c>
      <c r="AJ451" s="186">
        <f t="shared" si="248"/>
        <v>0</v>
      </c>
      <c r="AK451" s="186">
        <f t="shared" si="248"/>
        <v>0</v>
      </c>
      <c r="AL451" s="186">
        <f t="shared" si="248"/>
        <v>0</v>
      </c>
      <c r="AM451" s="186">
        <f t="shared" si="248"/>
        <v>0</v>
      </c>
      <c r="AN451" s="186">
        <f t="shared" si="248"/>
        <v>0</v>
      </c>
      <c r="AO451" s="186">
        <f t="shared" si="248"/>
        <v>0</v>
      </c>
      <c r="AP451" s="186">
        <f t="shared" si="248"/>
        <v>0</v>
      </c>
    </row>
    <row r="452" spans="1:42">
      <c r="A452" s="37">
        <f t="shared" si="250"/>
        <v>5</v>
      </c>
      <c r="C452" s="186">
        <f t="shared" si="249"/>
        <v>0</v>
      </c>
      <c r="D452" s="186">
        <f t="shared" si="248"/>
        <v>0</v>
      </c>
      <c r="E452" s="186">
        <f t="shared" si="248"/>
        <v>0</v>
      </c>
      <c r="F452" s="186">
        <f t="shared" si="248"/>
        <v>0</v>
      </c>
      <c r="G452" s="186">
        <f t="shared" si="248"/>
        <v>0</v>
      </c>
      <c r="H452" s="186">
        <f t="shared" si="248"/>
        <v>0</v>
      </c>
      <c r="I452" s="186">
        <f t="shared" si="248"/>
        <v>0</v>
      </c>
      <c r="J452" s="186">
        <f t="shared" si="248"/>
        <v>0</v>
      </c>
      <c r="K452" s="186">
        <f t="shared" si="248"/>
        <v>0</v>
      </c>
      <c r="L452" s="186">
        <f t="shared" si="248"/>
        <v>0</v>
      </c>
      <c r="M452" s="186">
        <f t="shared" si="248"/>
        <v>0</v>
      </c>
      <c r="N452" s="186">
        <f t="shared" si="248"/>
        <v>0</v>
      </c>
      <c r="O452" s="186">
        <f t="shared" si="248"/>
        <v>0</v>
      </c>
      <c r="P452" s="186">
        <f t="shared" si="248"/>
        <v>0</v>
      </c>
      <c r="Q452" s="186">
        <f t="shared" si="248"/>
        <v>1</v>
      </c>
      <c r="R452" s="186">
        <f t="shared" si="248"/>
        <v>2</v>
      </c>
      <c r="S452" s="186">
        <f t="shared" si="248"/>
        <v>3</v>
      </c>
      <c r="T452" s="186">
        <f t="shared" si="248"/>
        <v>4</v>
      </c>
      <c r="U452" s="186">
        <f t="shared" si="248"/>
        <v>5</v>
      </c>
      <c r="V452" s="186">
        <f t="shared" si="248"/>
        <v>6</v>
      </c>
      <c r="W452" s="186">
        <f t="shared" si="248"/>
        <v>7</v>
      </c>
      <c r="X452" s="186">
        <f t="shared" si="248"/>
        <v>8</v>
      </c>
      <c r="Y452" s="186">
        <f t="shared" si="248"/>
        <v>9</v>
      </c>
      <c r="Z452" s="186">
        <f t="shared" si="248"/>
        <v>10</v>
      </c>
      <c r="AA452" s="186">
        <f t="shared" si="248"/>
        <v>11</v>
      </c>
      <c r="AB452" s="186">
        <f t="shared" si="248"/>
        <v>12</v>
      </c>
      <c r="AC452" s="186">
        <f t="shared" si="248"/>
        <v>13</v>
      </c>
      <c r="AD452" s="186">
        <f t="shared" si="248"/>
        <v>14</v>
      </c>
      <c r="AE452" s="186">
        <f t="shared" si="248"/>
        <v>15</v>
      </c>
      <c r="AF452" s="186">
        <f t="shared" si="248"/>
        <v>16</v>
      </c>
      <c r="AG452" s="186">
        <f t="shared" si="248"/>
        <v>0</v>
      </c>
      <c r="AH452" s="186">
        <f t="shared" si="248"/>
        <v>0</v>
      </c>
      <c r="AI452" s="186">
        <f t="shared" si="248"/>
        <v>0</v>
      </c>
      <c r="AJ452" s="186">
        <f t="shared" si="248"/>
        <v>0</v>
      </c>
      <c r="AK452" s="186">
        <f t="shared" si="248"/>
        <v>0</v>
      </c>
      <c r="AL452" s="186">
        <f t="shared" si="248"/>
        <v>0</v>
      </c>
      <c r="AM452" s="186">
        <f t="shared" si="248"/>
        <v>0</v>
      </c>
      <c r="AN452" s="186">
        <f t="shared" si="248"/>
        <v>0</v>
      </c>
      <c r="AO452" s="186">
        <f t="shared" si="248"/>
        <v>0</v>
      </c>
      <c r="AP452" s="186">
        <f t="shared" si="248"/>
        <v>0</v>
      </c>
    </row>
    <row r="453" spans="1:42">
      <c r="A453" s="37">
        <f t="shared" si="250"/>
        <v>6</v>
      </c>
      <c r="C453" s="186">
        <f t="shared" si="249"/>
        <v>0</v>
      </c>
      <c r="D453" s="186">
        <f t="shared" si="248"/>
        <v>0</v>
      </c>
      <c r="E453" s="186">
        <f t="shared" si="248"/>
        <v>0</v>
      </c>
      <c r="F453" s="186">
        <f t="shared" si="248"/>
        <v>0</v>
      </c>
      <c r="G453" s="186">
        <f t="shared" si="248"/>
        <v>0</v>
      </c>
      <c r="H453" s="186">
        <f t="shared" si="248"/>
        <v>0</v>
      </c>
      <c r="I453" s="186">
        <f t="shared" si="248"/>
        <v>0</v>
      </c>
      <c r="J453" s="186">
        <f t="shared" si="248"/>
        <v>0</v>
      </c>
      <c r="K453" s="186">
        <f t="shared" si="248"/>
        <v>0</v>
      </c>
      <c r="L453" s="186">
        <f t="shared" si="248"/>
        <v>0</v>
      </c>
      <c r="M453" s="186">
        <f t="shared" si="248"/>
        <v>0</v>
      </c>
      <c r="N453" s="186">
        <f t="shared" si="248"/>
        <v>0</v>
      </c>
      <c r="O453" s="186">
        <f t="shared" si="248"/>
        <v>0</v>
      </c>
      <c r="P453" s="186">
        <f t="shared" si="248"/>
        <v>0</v>
      </c>
      <c r="Q453" s="186">
        <f t="shared" si="248"/>
        <v>0</v>
      </c>
      <c r="R453" s="186">
        <f t="shared" si="248"/>
        <v>0</v>
      </c>
      <c r="S453" s="186">
        <f t="shared" si="248"/>
        <v>0</v>
      </c>
      <c r="T453" s="186">
        <f t="shared" si="248"/>
        <v>1</v>
      </c>
      <c r="U453" s="186">
        <f t="shared" si="248"/>
        <v>2</v>
      </c>
      <c r="V453" s="186">
        <f t="shared" si="248"/>
        <v>3</v>
      </c>
      <c r="W453" s="186">
        <f t="shared" si="248"/>
        <v>4</v>
      </c>
      <c r="X453" s="186">
        <f t="shared" si="248"/>
        <v>5</v>
      </c>
      <c r="Y453" s="186">
        <f t="shared" si="248"/>
        <v>6</v>
      </c>
      <c r="Z453" s="186">
        <f t="shared" si="248"/>
        <v>7</v>
      </c>
      <c r="AA453" s="186">
        <f t="shared" si="248"/>
        <v>8</v>
      </c>
      <c r="AB453" s="186">
        <f t="shared" si="248"/>
        <v>9</v>
      </c>
      <c r="AC453" s="186">
        <f t="shared" si="248"/>
        <v>10</v>
      </c>
      <c r="AD453" s="186">
        <f t="shared" si="248"/>
        <v>11</v>
      </c>
      <c r="AE453" s="186">
        <f t="shared" si="248"/>
        <v>12</v>
      </c>
      <c r="AF453" s="186">
        <f t="shared" si="248"/>
        <v>13</v>
      </c>
      <c r="AG453" s="186">
        <f t="shared" si="248"/>
        <v>0</v>
      </c>
      <c r="AH453" s="186">
        <f t="shared" si="248"/>
        <v>0</v>
      </c>
      <c r="AI453" s="186">
        <f t="shared" si="248"/>
        <v>0</v>
      </c>
      <c r="AJ453" s="186">
        <f t="shared" si="248"/>
        <v>0</v>
      </c>
      <c r="AK453" s="186">
        <f t="shared" si="248"/>
        <v>0</v>
      </c>
      <c r="AL453" s="186">
        <f t="shared" si="248"/>
        <v>0</v>
      </c>
      <c r="AM453" s="186">
        <f t="shared" si="248"/>
        <v>0</v>
      </c>
      <c r="AN453" s="186">
        <f t="shared" si="248"/>
        <v>0</v>
      </c>
      <c r="AO453" s="186">
        <f t="shared" si="248"/>
        <v>0</v>
      </c>
      <c r="AP453" s="186">
        <f t="shared" si="248"/>
        <v>0</v>
      </c>
    </row>
    <row r="454" spans="1:42">
      <c r="A454" s="37">
        <f t="shared" si="250"/>
        <v>7</v>
      </c>
      <c r="C454" s="186">
        <f t="shared" si="249"/>
        <v>0</v>
      </c>
      <c r="D454" s="186">
        <f t="shared" si="248"/>
        <v>0</v>
      </c>
      <c r="E454" s="186">
        <f t="shared" si="248"/>
        <v>0</v>
      </c>
      <c r="F454" s="186">
        <f t="shared" si="248"/>
        <v>0</v>
      </c>
      <c r="G454" s="186">
        <f t="shared" si="248"/>
        <v>0</v>
      </c>
      <c r="H454" s="186">
        <f t="shared" si="248"/>
        <v>0</v>
      </c>
      <c r="I454" s="186">
        <f t="shared" si="248"/>
        <v>0</v>
      </c>
      <c r="J454" s="186">
        <f t="shared" si="248"/>
        <v>0</v>
      </c>
      <c r="K454" s="186">
        <f t="shared" si="248"/>
        <v>0</v>
      </c>
      <c r="L454" s="186">
        <f t="shared" si="248"/>
        <v>0</v>
      </c>
      <c r="M454" s="186">
        <f t="shared" si="248"/>
        <v>0</v>
      </c>
      <c r="N454" s="186">
        <f t="shared" si="248"/>
        <v>0</v>
      </c>
      <c r="O454" s="186">
        <f t="shared" si="248"/>
        <v>0</v>
      </c>
      <c r="P454" s="186">
        <f t="shared" si="248"/>
        <v>0</v>
      </c>
      <c r="Q454" s="186">
        <f t="shared" si="248"/>
        <v>0</v>
      </c>
      <c r="R454" s="186">
        <f t="shared" si="248"/>
        <v>0</v>
      </c>
      <c r="S454" s="186">
        <f t="shared" si="248"/>
        <v>0</v>
      </c>
      <c r="T454" s="186">
        <f t="shared" si="248"/>
        <v>0</v>
      </c>
      <c r="U454" s="186">
        <f t="shared" si="248"/>
        <v>0</v>
      </c>
      <c r="V454" s="186">
        <f t="shared" si="248"/>
        <v>0</v>
      </c>
      <c r="W454" s="186">
        <f t="shared" si="248"/>
        <v>1</v>
      </c>
      <c r="X454" s="186">
        <f t="shared" si="248"/>
        <v>2</v>
      </c>
      <c r="Y454" s="186">
        <f t="shared" si="248"/>
        <v>3</v>
      </c>
      <c r="Z454" s="186">
        <f t="shared" si="248"/>
        <v>4</v>
      </c>
      <c r="AA454" s="186">
        <f t="shared" si="248"/>
        <v>5</v>
      </c>
      <c r="AB454" s="186">
        <f t="shared" si="248"/>
        <v>6</v>
      </c>
      <c r="AC454" s="186">
        <f t="shared" si="248"/>
        <v>7</v>
      </c>
      <c r="AD454" s="186">
        <f t="shared" si="248"/>
        <v>8</v>
      </c>
      <c r="AE454" s="186">
        <f t="shared" si="248"/>
        <v>9</v>
      </c>
      <c r="AF454" s="186">
        <f t="shared" si="248"/>
        <v>10</v>
      </c>
      <c r="AG454" s="186">
        <f t="shared" si="248"/>
        <v>0</v>
      </c>
      <c r="AH454" s="186">
        <f t="shared" si="248"/>
        <v>0</v>
      </c>
      <c r="AI454" s="186">
        <f t="shared" si="248"/>
        <v>0</v>
      </c>
      <c r="AJ454" s="186">
        <f t="shared" si="248"/>
        <v>0</v>
      </c>
      <c r="AK454" s="186">
        <f t="shared" si="248"/>
        <v>0</v>
      </c>
      <c r="AL454" s="186">
        <f t="shared" si="248"/>
        <v>0</v>
      </c>
      <c r="AM454" s="186">
        <f t="shared" si="248"/>
        <v>0</v>
      </c>
      <c r="AN454" s="186">
        <f t="shared" ref="AN454:AP454" si="251">AN319</f>
        <v>0</v>
      </c>
      <c r="AO454" s="186">
        <f t="shared" si="251"/>
        <v>0</v>
      </c>
      <c r="AP454" s="186">
        <f t="shared" si="251"/>
        <v>0</v>
      </c>
    </row>
    <row r="455" spans="1:42">
      <c r="A455" s="37">
        <f t="shared" si="250"/>
        <v>8</v>
      </c>
      <c r="C455" s="186">
        <f t="shared" si="249"/>
        <v>0</v>
      </c>
      <c r="D455" s="186">
        <f t="shared" si="249"/>
        <v>0</v>
      </c>
      <c r="E455" s="186">
        <f t="shared" si="249"/>
        <v>0</v>
      </c>
      <c r="F455" s="186">
        <f t="shared" si="249"/>
        <v>0</v>
      </c>
      <c r="G455" s="186">
        <f t="shared" si="249"/>
        <v>0</v>
      </c>
      <c r="H455" s="186">
        <f t="shared" si="249"/>
        <v>0</v>
      </c>
      <c r="I455" s="186">
        <f t="shared" si="249"/>
        <v>0</v>
      </c>
      <c r="J455" s="186">
        <f t="shared" si="249"/>
        <v>0</v>
      </c>
      <c r="K455" s="186">
        <f t="shared" si="249"/>
        <v>0</v>
      </c>
      <c r="L455" s="186">
        <f t="shared" si="249"/>
        <v>0</v>
      </c>
      <c r="M455" s="186">
        <f t="shared" si="249"/>
        <v>0</v>
      </c>
      <c r="N455" s="186">
        <f t="shared" si="249"/>
        <v>0</v>
      </c>
      <c r="O455" s="186">
        <f t="shared" si="249"/>
        <v>0</v>
      </c>
      <c r="P455" s="186">
        <f t="shared" si="249"/>
        <v>0</v>
      </c>
      <c r="Q455" s="186">
        <f t="shared" si="249"/>
        <v>0</v>
      </c>
      <c r="R455" s="186">
        <f t="shared" si="249"/>
        <v>0</v>
      </c>
      <c r="S455" s="186">
        <f t="shared" ref="S455:AP457" si="252">S320</f>
        <v>0</v>
      </c>
      <c r="T455" s="186">
        <f t="shared" si="252"/>
        <v>0</v>
      </c>
      <c r="U455" s="186">
        <f t="shared" si="252"/>
        <v>0</v>
      </c>
      <c r="V455" s="186">
        <f t="shared" si="252"/>
        <v>0</v>
      </c>
      <c r="W455" s="186">
        <f t="shared" si="252"/>
        <v>0</v>
      </c>
      <c r="X455" s="186">
        <f t="shared" si="252"/>
        <v>0</v>
      </c>
      <c r="Y455" s="186">
        <f t="shared" si="252"/>
        <v>0</v>
      </c>
      <c r="Z455" s="186">
        <f t="shared" si="252"/>
        <v>1</v>
      </c>
      <c r="AA455" s="186">
        <f t="shared" si="252"/>
        <v>2</v>
      </c>
      <c r="AB455" s="186">
        <f t="shared" si="252"/>
        <v>3</v>
      </c>
      <c r="AC455" s="186">
        <f t="shared" si="252"/>
        <v>4</v>
      </c>
      <c r="AD455" s="186">
        <f t="shared" si="252"/>
        <v>5</v>
      </c>
      <c r="AE455" s="186">
        <f t="shared" si="252"/>
        <v>6</v>
      </c>
      <c r="AF455" s="186">
        <f t="shared" si="252"/>
        <v>7</v>
      </c>
      <c r="AG455" s="186">
        <f t="shared" si="252"/>
        <v>0</v>
      </c>
      <c r="AH455" s="186">
        <f t="shared" si="252"/>
        <v>0</v>
      </c>
      <c r="AI455" s="186">
        <f t="shared" si="252"/>
        <v>0</v>
      </c>
      <c r="AJ455" s="186">
        <f t="shared" si="252"/>
        <v>0</v>
      </c>
      <c r="AK455" s="186">
        <f t="shared" si="252"/>
        <v>0</v>
      </c>
      <c r="AL455" s="186">
        <f t="shared" si="252"/>
        <v>0</v>
      </c>
      <c r="AM455" s="186">
        <f t="shared" si="252"/>
        <v>0</v>
      </c>
      <c r="AN455" s="186">
        <f t="shared" si="252"/>
        <v>0</v>
      </c>
      <c r="AO455" s="186">
        <f t="shared" si="252"/>
        <v>0</v>
      </c>
      <c r="AP455" s="186">
        <f t="shared" si="252"/>
        <v>0</v>
      </c>
    </row>
    <row r="456" spans="1:42">
      <c r="A456" s="37">
        <f>A455+1</f>
        <v>9</v>
      </c>
      <c r="C456" s="186">
        <f t="shared" si="249"/>
        <v>0</v>
      </c>
      <c r="D456" s="186">
        <f t="shared" si="249"/>
        <v>0</v>
      </c>
      <c r="E456" s="186">
        <f t="shared" si="249"/>
        <v>0</v>
      </c>
      <c r="F456" s="186">
        <f t="shared" si="249"/>
        <v>0</v>
      </c>
      <c r="G456" s="186">
        <f t="shared" si="249"/>
        <v>0</v>
      </c>
      <c r="H456" s="186">
        <f t="shared" si="249"/>
        <v>0</v>
      </c>
      <c r="I456" s="186">
        <f t="shared" si="249"/>
        <v>0</v>
      </c>
      <c r="J456" s="186">
        <f t="shared" si="249"/>
        <v>0</v>
      </c>
      <c r="K456" s="186">
        <f t="shared" si="249"/>
        <v>0</v>
      </c>
      <c r="L456" s="186">
        <f t="shared" si="249"/>
        <v>0</v>
      </c>
      <c r="M456" s="186">
        <f t="shared" si="249"/>
        <v>0</v>
      </c>
      <c r="N456" s="186">
        <f t="shared" si="249"/>
        <v>0</v>
      </c>
      <c r="O456" s="186">
        <f t="shared" si="249"/>
        <v>0</v>
      </c>
      <c r="P456" s="186">
        <f t="shared" si="249"/>
        <v>0</v>
      </c>
      <c r="Q456" s="186">
        <f t="shared" si="249"/>
        <v>0</v>
      </c>
      <c r="R456" s="186">
        <f t="shared" si="249"/>
        <v>0</v>
      </c>
      <c r="S456" s="186">
        <f t="shared" si="252"/>
        <v>0</v>
      </c>
      <c r="T456" s="186">
        <f t="shared" si="252"/>
        <v>0</v>
      </c>
      <c r="U456" s="186">
        <f t="shared" si="252"/>
        <v>0</v>
      </c>
      <c r="V456" s="186">
        <f t="shared" si="252"/>
        <v>0</v>
      </c>
      <c r="W456" s="186">
        <f t="shared" si="252"/>
        <v>0</v>
      </c>
      <c r="X456" s="186">
        <f t="shared" si="252"/>
        <v>0</v>
      </c>
      <c r="Y456" s="186">
        <f t="shared" si="252"/>
        <v>0</v>
      </c>
      <c r="Z456" s="186">
        <f t="shared" si="252"/>
        <v>0</v>
      </c>
      <c r="AA456" s="186">
        <f t="shared" si="252"/>
        <v>0</v>
      </c>
      <c r="AB456" s="186">
        <f t="shared" si="252"/>
        <v>0</v>
      </c>
      <c r="AC456" s="186">
        <f t="shared" si="252"/>
        <v>1</v>
      </c>
      <c r="AD456" s="186">
        <f t="shared" si="252"/>
        <v>2</v>
      </c>
      <c r="AE456" s="186">
        <f t="shared" si="252"/>
        <v>3</v>
      </c>
      <c r="AF456" s="186">
        <f t="shared" si="252"/>
        <v>4</v>
      </c>
      <c r="AG456" s="186">
        <f t="shared" si="252"/>
        <v>0</v>
      </c>
      <c r="AH456" s="186">
        <f t="shared" si="252"/>
        <v>0</v>
      </c>
      <c r="AI456" s="186">
        <f t="shared" si="252"/>
        <v>0</v>
      </c>
      <c r="AJ456" s="186">
        <f t="shared" si="252"/>
        <v>0</v>
      </c>
      <c r="AK456" s="186">
        <f t="shared" si="252"/>
        <v>0</v>
      </c>
      <c r="AL456" s="186">
        <f t="shared" si="252"/>
        <v>0</v>
      </c>
      <c r="AM456" s="186">
        <f t="shared" si="252"/>
        <v>0</v>
      </c>
      <c r="AN456" s="186">
        <f t="shared" si="252"/>
        <v>0</v>
      </c>
      <c r="AO456" s="186">
        <f t="shared" si="252"/>
        <v>0</v>
      </c>
      <c r="AP456" s="186">
        <f t="shared" si="252"/>
        <v>0</v>
      </c>
    </row>
    <row r="457" spans="1:42">
      <c r="A457" s="37">
        <f t="shared" ref="A457" si="253">A456+1</f>
        <v>10</v>
      </c>
      <c r="C457" s="186">
        <f t="shared" si="249"/>
        <v>0</v>
      </c>
      <c r="D457" s="186">
        <f t="shared" si="249"/>
        <v>0</v>
      </c>
      <c r="E457" s="186">
        <f t="shared" si="249"/>
        <v>0</v>
      </c>
      <c r="F457" s="186">
        <f t="shared" si="249"/>
        <v>0</v>
      </c>
      <c r="G457" s="186">
        <f t="shared" si="249"/>
        <v>0</v>
      </c>
      <c r="H457" s="186">
        <f t="shared" si="249"/>
        <v>0</v>
      </c>
      <c r="I457" s="186">
        <f t="shared" si="249"/>
        <v>0</v>
      </c>
      <c r="J457" s="186">
        <f t="shared" si="249"/>
        <v>0</v>
      </c>
      <c r="K457" s="186">
        <f t="shared" si="249"/>
        <v>0</v>
      </c>
      <c r="L457" s="186">
        <f t="shared" si="249"/>
        <v>0</v>
      </c>
      <c r="M457" s="186">
        <f t="shared" si="249"/>
        <v>0</v>
      </c>
      <c r="N457" s="186">
        <f t="shared" si="249"/>
        <v>0</v>
      </c>
      <c r="O457" s="186">
        <f t="shared" si="249"/>
        <v>0</v>
      </c>
      <c r="P457" s="186">
        <f t="shared" si="249"/>
        <v>0</v>
      </c>
      <c r="Q457" s="186">
        <f t="shared" si="249"/>
        <v>0</v>
      </c>
      <c r="R457" s="186">
        <f t="shared" si="249"/>
        <v>0</v>
      </c>
      <c r="S457" s="186">
        <f t="shared" si="252"/>
        <v>0</v>
      </c>
      <c r="T457" s="186">
        <f t="shared" si="252"/>
        <v>0</v>
      </c>
      <c r="U457" s="186">
        <f t="shared" si="252"/>
        <v>0</v>
      </c>
      <c r="V457" s="186">
        <f t="shared" si="252"/>
        <v>0</v>
      </c>
      <c r="W457" s="186">
        <f t="shared" si="252"/>
        <v>0</v>
      </c>
      <c r="X457" s="186">
        <f t="shared" si="252"/>
        <v>0</v>
      </c>
      <c r="Y457" s="186">
        <f t="shared" si="252"/>
        <v>0</v>
      </c>
      <c r="Z457" s="186">
        <f t="shared" si="252"/>
        <v>0</v>
      </c>
      <c r="AA457" s="186">
        <f t="shared" si="252"/>
        <v>0</v>
      </c>
      <c r="AB457" s="186">
        <f t="shared" si="252"/>
        <v>0</v>
      </c>
      <c r="AC457" s="186">
        <f t="shared" si="252"/>
        <v>0</v>
      </c>
      <c r="AD457" s="186">
        <f t="shared" si="252"/>
        <v>0</v>
      </c>
      <c r="AE457" s="186">
        <f t="shared" si="252"/>
        <v>0</v>
      </c>
      <c r="AF457" s="186">
        <f t="shared" si="252"/>
        <v>1</v>
      </c>
      <c r="AG457" s="186">
        <f t="shared" si="252"/>
        <v>0</v>
      </c>
      <c r="AH457" s="186">
        <f t="shared" si="252"/>
        <v>0</v>
      </c>
      <c r="AI457" s="186">
        <f t="shared" si="252"/>
        <v>0</v>
      </c>
      <c r="AJ457" s="186">
        <f t="shared" si="252"/>
        <v>0</v>
      </c>
      <c r="AK457" s="186">
        <f t="shared" si="252"/>
        <v>0</v>
      </c>
      <c r="AL457" s="186">
        <f t="shared" si="252"/>
        <v>0</v>
      </c>
      <c r="AM457" s="186">
        <f t="shared" si="252"/>
        <v>0</v>
      </c>
      <c r="AN457" s="186">
        <f t="shared" si="252"/>
        <v>0</v>
      </c>
      <c r="AO457" s="186">
        <f t="shared" si="252"/>
        <v>0</v>
      </c>
      <c r="AP457" s="186">
        <f t="shared" si="252"/>
        <v>0</v>
      </c>
    </row>
    <row r="458" spans="1:42">
      <c r="A458" s="204"/>
      <c r="C458" s="186"/>
      <c r="D458" s="186"/>
      <c r="E458" s="186"/>
      <c r="F458" s="186"/>
      <c r="G458" s="186"/>
      <c r="H458" s="186"/>
      <c r="I458" s="186"/>
      <c r="J458" s="186"/>
      <c r="K458" s="186"/>
      <c r="L458" s="186"/>
      <c r="M458" s="186"/>
      <c r="N458" s="186"/>
      <c r="O458" s="186"/>
      <c r="P458" s="186"/>
      <c r="Q458" s="186"/>
      <c r="R458" s="186"/>
      <c r="S458" s="186"/>
      <c r="T458" s="186"/>
      <c r="U458" s="186"/>
      <c r="V458" s="186"/>
      <c r="W458" s="186"/>
      <c r="X458" s="186"/>
      <c r="Y458" s="186"/>
      <c r="Z458" s="186"/>
      <c r="AA458" s="186"/>
      <c r="AB458" s="186"/>
      <c r="AC458" s="186"/>
      <c r="AD458" s="186"/>
      <c r="AE458" s="186"/>
      <c r="AF458" s="186"/>
      <c r="AG458" s="186"/>
      <c r="AH458" s="186"/>
      <c r="AI458" s="186"/>
      <c r="AJ458" s="186"/>
      <c r="AK458" s="186"/>
      <c r="AL458" s="186"/>
      <c r="AM458" s="186"/>
      <c r="AN458" s="186"/>
      <c r="AO458" s="186"/>
      <c r="AP458" s="186"/>
    </row>
    <row r="459" spans="1:42">
      <c r="A459" s="204" t="s">
        <v>211</v>
      </c>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c r="AM459" s="186"/>
      <c r="AN459" s="186"/>
      <c r="AO459" s="186"/>
      <c r="AP459" s="186"/>
    </row>
    <row r="460" spans="1:42">
      <c r="A460" s="37">
        <v>1</v>
      </c>
      <c r="B460" s="196">
        <f t="shared" ref="B460:B469" si="254">SUM(C460:AP460)</f>
        <v>103022.49999999997</v>
      </c>
      <c r="C460" s="225">
        <f t="shared" ref="C460:AP460" si="255">LOOKUP(C448,$B$391:$AP$391,$B$392:$AP$392)*$B639</f>
        <v>0</v>
      </c>
      <c r="D460" s="186">
        <f t="shared" si="255"/>
        <v>0</v>
      </c>
      <c r="E460" s="186">
        <f t="shared" si="255"/>
        <v>20604.499999999996</v>
      </c>
      <c r="F460" s="186">
        <f t="shared" si="255"/>
        <v>32967.19999999999</v>
      </c>
      <c r="G460" s="186">
        <f t="shared" si="255"/>
        <v>19780.319999999996</v>
      </c>
      <c r="H460" s="186">
        <f t="shared" si="255"/>
        <v>11868.191999999995</v>
      </c>
      <c r="I460" s="186">
        <f t="shared" si="255"/>
        <v>11868.191999999995</v>
      </c>
      <c r="J460" s="186">
        <f t="shared" si="255"/>
        <v>5934.0959999999977</v>
      </c>
      <c r="K460" s="186">
        <f t="shared" si="255"/>
        <v>0</v>
      </c>
      <c r="L460" s="186">
        <f t="shared" si="255"/>
        <v>0</v>
      </c>
      <c r="M460" s="186">
        <f t="shared" si="255"/>
        <v>0</v>
      </c>
      <c r="N460" s="186">
        <f t="shared" si="255"/>
        <v>0</v>
      </c>
      <c r="O460" s="186">
        <f t="shared" si="255"/>
        <v>0</v>
      </c>
      <c r="P460" s="186">
        <f t="shared" si="255"/>
        <v>0</v>
      </c>
      <c r="Q460" s="186">
        <f t="shared" si="255"/>
        <v>0</v>
      </c>
      <c r="R460" s="186">
        <f t="shared" si="255"/>
        <v>0</v>
      </c>
      <c r="S460" s="186">
        <f t="shared" si="255"/>
        <v>0</v>
      </c>
      <c r="T460" s="186">
        <f t="shared" si="255"/>
        <v>0</v>
      </c>
      <c r="U460" s="186">
        <f t="shared" si="255"/>
        <v>0</v>
      </c>
      <c r="V460" s="186">
        <f t="shared" si="255"/>
        <v>0</v>
      </c>
      <c r="W460" s="186">
        <f t="shared" si="255"/>
        <v>0</v>
      </c>
      <c r="X460" s="186">
        <f t="shared" si="255"/>
        <v>0</v>
      </c>
      <c r="Y460" s="186">
        <f t="shared" si="255"/>
        <v>0</v>
      </c>
      <c r="Z460" s="186">
        <f t="shared" si="255"/>
        <v>0</v>
      </c>
      <c r="AA460" s="186">
        <f t="shared" si="255"/>
        <v>0</v>
      </c>
      <c r="AB460" s="186">
        <f t="shared" si="255"/>
        <v>0</v>
      </c>
      <c r="AC460" s="186">
        <f t="shared" si="255"/>
        <v>0</v>
      </c>
      <c r="AD460" s="186">
        <f t="shared" si="255"/>
        <v>0</v>
      </c>
      <c r="AE460" s="186">
        <f t="shared" si="255"/>
        <v>0</v>
      </c>
      <c r="AF460" s="186">
        <f t="shared" si="255"/>
        <v>0</v>
      </c>
      <c r="AG460" s="186">
        <f t="shared" si="255"/>
        <v>0</v>
      </c>
      <c r="AH460" s="186">
        <f t="shared" si="255"/>
        <v>0</v>
      </c>
      <c r="AI460" s="186">
        <f t="shared" si="255"/>
        <v>0</v>
      </c>
      <c r="AJ460" s="186">
        <f t="shared" si="255"/>
        <v>0</v>
      </c>
      <c r="AK460" s="186">
        <f t="shared" si="255"/>
        <v>0</v>
      </c>
      <c r="AL460" s="186">
        <f t="shared" si="255"/>
        <v>0</v>
      </c>
      <c r="AM460" s="186">
        <f t="shared" si="255"/>
        <v>0</v>
      </c>
      <c r="AN460" s="186">
        <f t="shared" si="255"/>
        <v>0</v>
      </c>
      <c r="AO460" s="186">
        <f t="shared" si="255"/>
        <v>0</v>
      </c>
      <c r="AP460" s="186">
        <f t="shared" si="255"/>
        <v>0</v>
      </c>
    </row>
    <row r="461" spans="1:42">
      <c r="A461" s="37">
        <f>A460+1</f>
        <v>2</v>
      </c>
      <c r="B461" s="196">
        <f t="shared" si="254"/>
        <v>107728.40038843744</v>
      </c>
      <c r="C461" s="225">
        <f t="shared" ref="C461:AP461" si="256">LOOKUP(C449,$B$391:$AP$391,$B$392:$AP$392)*$B640</f>
        <v>0</v>
      </c>
      <c r="D461" s="186">
        <f t="shared" si="256"/>
        <v>0</v>
      </c>
      <c r="E461" s="186">
        <f t="shared" si="256"/>
        <v>0</v>
      </c>
      <c r="F461" s="186">
        <f t="shared" si="256"/>
        <v>0</v>
      </c>
      <c r="G461" s="186">
        <f t="shared" si="256"/>
        <v>0</v>
      </c>
      <c r="H461" s="186">
        <f t="shared" si="256"/>
        <v>21545.680077687488</v>
      </c>
      <c r="I461" s="186">
        <f t="shared" si="256"/>
        <v>34473.088124299975</v>
      </c>
      <c r="J461" s="186">
        <f t="shared" si="256"/>
        <v>20683.852874579985</v>
      </c>
      <c r="K461" s="186">
        <f t="shared" si="256"/>
        <v>12410.311724747991</v>
      </c>
      <c r="L461" s="186">
        <f t="shared" si="256"/>
        <v>12410.311724747991</v>
      </c>
      <c r="M461" s="186">
        <f t="shared" si="256"/>
        <v>6205.1558623739957</v>
      </c>
      <c r="N461" s="186">
        <f t="shared" si="256"/>
        <v>0</v>
      </c>
      <c r="O461" s="186">
        <f t="shared" si="256"/>
        <v>0</v>
      </c>
      <c r="P461" s="186">
        <f t="shared" si="256"/>
        <v>0</v>
      </c>
      <c r="Q461" s="186">
        <f t="shared" si="256"/>
        <v>0</v>
      </c>
      <c r="R461" s="186">
        <f t="shared" si="256"/>
        <v>0</v>
      </c>
      <c r="S461" s="186">
        <f t="shared" si="256"/>
        <v>0</v>
      </c>
      <c r="T461" s="186">
        <f t="shared" si="256"/>
        <v>0</v>
      </c>
      <c r="U461" s="186">
        <f t="shared" si="256"/>
        <v>0</v>
      </c>
      <c r="V461" s="186">
        <f t="shared" si="256"/>
        <v>0</v>
      </c>
      <c r="W461" s="186">
        <f t="shared" si="256"/>
        <v>0</v>
      </c>
      <c r="X461" s="186">
        <f t="shared" si="256"/>
        <v>0</v>
      </c>
      <c r="Y461" s="186">
        <f t="shared" si="256"/>
        <v>0</v>
      </c>
      <c r="Z461" s="186">
        <f t="shared" si="256"/>
        <v>0</v>
      </c>
      <c r="AA461" s="186">
        <f t="shared" si="256"/>
        <v>0</v>
      </c>
      <c r="AB461" s="186">
        <f t="shared" si="256"/>
        <v>0</v>
      </c>
      <c r="AC461" s="186">
        <f t="shared" si="256"/>
        <v>0</v>
      </c>
      <c r="AD461" s="186">
        <f t="shared" si="256"/>
        <v>0</v>
      </c>
      <c r="AE461" s="186">
        <f t="shared" si="256"/>
        <v>0</v>
      </c>
      <c r="AF461" s="186">
        <f t="shared" si="256"/>
        <v>0</v>
      </c>
      <c r="AG461" s="186">
        <f t="shared" si="256"/>
        <v>0</v>
      </c>
      <c r="AH461" s="186">
        <f t="shared" si="256"/>
        <v>0</v>
      </c>
      <c r="AI461" s="186">
        <f t="shared" si="256"/>
        <v>0</v>
      </c>
      <c r="AJ461" s="186">
        <f t="shared" si="256"/>
        <v>0</v>
      </c>
      <c r="AK461" s="186">
        <f t="shared" si="256"/>
        <v>0</v>
      </c>
      <c r="AL461" s="186">
        <f t="shared" si="256"/>
        <v>0</v>
      </c>
      <c r="AM461" s="186">
        <f t="shared" si="256"/>
        <v>0</v>
      </c>
      <c r="AN461" s="186">
        <f t="shared" si="256"/>
        <v>0</v>
      </c>
      <c r="AO461" s="186">
        <f t="shared" si="256"/>
        <v>0</v>
      </c>
      <c r="AP461" s="186">
        <f t="shared" si="256"/>
        <v>0</v>
      </c>
    </row>
    <row r="462" spans="1:42">
      <c r="A462" s="37">
        <f t="shared" ref="A462:A467" si="257">A461+1</f>
        <v>3</v>
      </c>
      <c r="B462" s="196">
        <f t="shared" si="254"/>
        <v>112649.25865953058</v>
      </c>
      <c r="C462" s="225">
        <f t="shared" ref="C462:AP462" si="258">LOOKUP(C450,$B$391:$AP$391,$B$392:$AP$392)*$B641</f>
        <v>0</v>
      </c>
      <c r="D462" s="186">
        <f t="shared" si="258"/>
        <v>0</v>
      </c>
      <c r="E462" s="186">
        <f t="shared" si="258"/>
        <v>0</v>
      </c>
      <c r="F462" s="186">
        <f t="shared" si="258"/>
        <v>0</v>
      </c>
      <c r="G462" s="186">
        <f t="shared" si="258"/>
        <v>0</v>
      </c>
      <c r="H462" s="186">
        <f t="shared" si="258"/>
        <v>0</v>
      </c>
      <c r="I462" s="186">
        <f t="shared" si="258"/>
        <v>0</v>
      </c>
      <c r="J462" s="186">
        <f t="shared" si="258"/>
        <v>0</v>
      </c>
      <c r="K462" s="186">
        <f t="shared" si="258"/>
        <v>22529.851731906117</v>
      </c>
      <c r="L462" s="186">
        <f t="shared" si="258"/>
        <v>36047.762771049784</v>
      </c>
      <c r="M462" s="186">
        <f t="shared" si="258"/>
        <v>21628.65766262987</v>
      </c>
      <c r="N462" s="186">
        <f t="shared" si="258"/>
        <v>12977.194597577922</v>
      </c>
      <c r="O462" s="186">
        <f t="shared" si="258"/>
        <v>12977.194597577922</v>
      </c>
      <c r="P462" s="186">
        <f t="shared" si="258"/>
        <v>6488.5972987889609</v>
      </c>
      <c r="Q462" s="186">
        <f t="shared" si="258"/>
        <v>0</v>
      </c>
      <c r="R462" s="186">
        <f t="shared" si="258"/>
        <v>0</v>
      </c>
      <c r="S462" s="186">
        <f t="shared" si="258"/>
        <v>0</v>
      </c>
      <c r="T462" s="186">
        <f t="shared" si="258"/>
        <v>0</v>
      </c>
      <c r="U462" s="186">
        <f t="shared" si="258"/>
        <v>0</v>
      </c>
      <c r="V462" s="186">
        <f t="shared" si="258"/>
        <v>0</v>
      </c>
      <c r="W462" s="186">
        <f t="shared" si="258"/>
        <v>0</v>
      </c>
      <c r="X462" s="186">
        <f t="shared" si="258"/>
        <v>0</v>
      </c>
      <c r="Y462" s="186">
        <f t="shared" si="258"/>
        <v>0</v>
      </c>
      <c r="Z462" s="186">
        <f t="shared" si="258"/>
        <v>0</v>
      </c>
      <c r="AA462" s="186">
        <f t="shared" si="258"/>
        <v>0</v>
      </c>
      <c r="AB462" s="186">
        <f t="shared" si="258"/>
        <v>0</v>
      </c>
      <c r="AC462" s="186">
        <f t="shared" si="258"/>
        <v>0</v>
      </c>
      <c r="AD462" s="186">
        <f t="shared" si="258"/>
        <v>0</v>
      </c>
      <c r="AE462" s="186">
        <f t="shared" si="258"/>
        <v>0</v>
      </c>
      <c r="AF462" s="186">
        <f t="shared" si="258"/>
        <v>0</v>
      </c>
      <c r="AG462" s="186">
        <f t="shared" si="258"/>
        <v>0</v>
      </c>
      <c r="AH462" s="186">
        <f t="shared" si="258"/>
        <v>0</v>
      </c>
      <c r="AI462" s="186">
        <f t="shared" si="258"/>
        <v>0</v>
      </c>
      <c r="AJ462" s="186">
        <f t="shared" si="258"/>
        <v>0</v>
      </c>
      <c r="AK462" s="186">
        <f t="shared" si="258"/>
        <v>0</v>
      </c>
      <c r="AL462" s="186">
        <f t="shared" si="258"/>
        <v>0</v>
      </c>
      <c r="AM462" s="186">
        <f t="shared" si="258"/>
        <v>0</v>
      </c>
      <c r="AN462" s="186">
        <f t="shared" si="258"/>
        <v>0</v>
      </c>
      <c r="AO462" s="186">
        <f t="shared" si="258"/>
        <v>0</v>
      </c>
      <c r="AP462" s="186">
        <f t="shared" si="258"/>
        <v>0</v>
      </c>
    </row>
    <row r="463" spans="1:42">
      <c r="A463" s="37">
        <f t="shared" si="257"/>
        <v>4</v>
      </c>
      <c r="B463" s="196">
        <f t="shared" si="254"/>
        <v>117794.89374005256</v>
      </c>
      <c r="C463" s="225">
        <f t="shared" ref="C463:AP463" si="259">LOOKUP(C451,$B$391:$AP$391,$B$392:$AP$392)*$B642</f>
        <v>0</v>
      </c>
      <c r="D463" s="186">
        <f t="shared" si="259"/>
        <v>0</v>
      </c>
      <c r="E463" s="186">
        <f t="shared" si="259"/>
        <v>0</v>
      </c>
      <c r="F463" s="186">
        <f t="shared" si="259"/>
        <v>0</v>
      </c>
      <c r="G463" s="186">
        <f t="shared" si="259"/>
        <v>0</v>
      </c>
      <c r="H463" s="186">
        <f t="shared" si="259"/>
        <v>0</v>
      </c>
      <c r="I463" s="186">
        <f t="shared" si="259"/>
        <v>0</v>
      </c>
      <c r="J463" s="186">
        <f t="shared" si="259"/>
        <v>0</v>
      </c>
      <c r="K463" s="186">
        <f t="shared" si="259"/>
        <v>0</v>
      </c>
      <c r="L463" s="186">
        <f t="shared" si="259"/>
        <v>0</v>
      </c>
      <c r="M463" s="186">
        <f t="shared" si="259"/>
        <v>0</v>
      </c>
      <c r="N463" s="186">
        <f t="shared" si="259"/>
        <v>23558.978748010515</v>
      </c>
      <c r="O463" s="186">
        <f t="shared" si="259"/>
        <v>37694.365996816821</v>
      </c>
      <c r="P463" s="186">
        <f t="shared" si="259"/>
        <v>22616.619598090092</v>
      </c>
      <c r="Q463" s="186">
        <f t="shared" si="259"/>
        <v>13569.971758854055</v>
      </c>
      <c r="R463" s="186">
        <f t="shared" si="259"/>
        <v>13569.971758854055</v>
      </c>
      <c r="S463" s="186">
        <f t="shared" si="259"/>
        <v>6784.9858794270276</v>
      </c>
      <c r="T463" s="186">
        <f t="shared" si="259"/>
        <v>0</v>
      </c>
      <c r="U463" s="186">
        <f t="shared" si="259"/>
        <v>0</v>
      </c>
      <c r="V463" s="186">
        <f t="shared" si="259"/>
        <v>0</v>
      </c>
      <c r="W463" s="186">
        <f t="shared" si="259"/>
        <v>0</v>
      </c>
      <c r="X463" s="186">
        <f t="shared" si="259"/>
        <v>0</v>
      </c>
      <c r="Y463" s="186">
        <f t="shared" si="259"/>
        <v>0</v>
      </c>
      <c r="Z463" s="186">
        <f t="shared" si="259"/>
        <v>0</v>
      </c>
      <c r="AA463" s="186">
        <f t="shared" si="259"/>
        <v>0</v>
      </c>
      <c r="AB463" s="186">
        <f t="shared" si="259"/>
        <v>0</v>
      </c>
      <c r="AC463" s="186">
        <f t="shared" si="259"/>
        <v>0</v>
      </c>
      <c r="AD463" s="186">
        <f t="shared" si="259"/>
        <v>0</v>
      </c>
      <c r="AE463" s="186">
        <f t="shared" si="259"/>
        <v>0</v>
      </c>
      <c r="AF463" s="186">
        <f t="shared" si="259"/>
        <v>0</v>
      </c>
      <c r="AG463" s="186">
        <f t="shared" si="259"/>
        <v>0</v>
      </c>
      <c r="AH463" s="186">
        <f t="shared" si="259"/>
        <v>0</v>
      </c>
      <c r="AI463" s="186">
        <f t="shared" si="259"/>
        <v>0</v>
      </c>
      <c r="AJ463" s="186">
        <f t="shared" si="259"/>
        <v>0</v>
      </c>
      <c r="AK463" s="186">
        <f t="shared" si="259"/>
        <v>0</v>
      </c>
      <c r="AL463" s="186">
        <f t="shared" si="259"/>
        <v>0</v>
      </c>
      <c r="AM463" s="186">
        <f t="shared" si="259"/>
        <v>0</v>
      </c>
      <c r="AN463" s="186">
        <f t="shared" si="259"/>
        <v>0</v>
      </c>
      <c r="AO463" s="186">
        <f t="shared" si="259"/>
        <v>0</v>
      </c>
      <c r="AP463" s="186">
        <f t="shared" si="259"/>
        <v>0</v>
      </c>
    </row>
    <row r="464" spans="1:42">
      <c r="A464" s="37">
        <f t="shared" si="257"/>
        <v>5</v>
      </c>
      <c r="B464" s="196">
        <f t="shared" si="254"/>
        <v>123175.57306939577</v>
      </c>
      <c r="C464" s="225">
        <f t="shared" ref="C464:AP464" si="260">LOOKUP(C452,$B$391:$AP$391,$B$392:$AP$392)*$B643</f>
        <v>0</v>
      </c>
      <c r="D464" s="186">
        <f t="shared" si="260"/>
        <v>0</v>
      </c>
      <c r="E464" s="186">
        <f t="shared" si="260"/>
        <v>0</v>
      </c>
      <c r="F464" s="186">
        <f t="shared" si="260"/>
        <v>0</v>
      </c>
      <c r="G464" s="186">
        <f t="shared" si="260"/>
        <v>0</v>
      </c>
      <c r="H464" s="186">
        <f t="shared" si="260"/>
        <v>0</v>
      </c>
      <c r="I464" s="186">
        <f t="shared" si="260"/>
        <v>0</v>
      </c>
      <c r="J464" s="186">
        <f t="shared" si="260"/>
        <v>0</v>
      </c>
      <c r="K464" s="186">
        <f t="shared" si="260"/>
        <v>0</v>
      </c>
      <c r="L464" s="186">
        <f t="shared" si="260"/>
        <v>0</v>
      </c>
      <c r="M464" s="186">
        <f t="shared" si="260"/>
        <v>0</v>
      </c>
      <c r="N464" s="186">
        <f t="shared" si="260"/>
        <v>0</v>
      </c>
      <c r="O464" s="186">
        <f t="shared" si="260"/>
        <v>0</v>
      </c>
      <c r="P464" s="186">
        <f t="shared" si="260"/>
        <v>0</v>
      </c>
      <c r="Q464" s="186">
        <f t="shared" si="260"/>
        <v>24635.114613879156</v>
      </c>
      <c r="R464" s="186">
        <f t="shared" si="260"/>
        <v>39416.183382206647</v>
      </c>
      <c r="S464" s="186">
        <f t="shared" si="260"/>
        <v>23649.710029323989</v>
      </c>
      <c r="T464" s="186">
        <f t="shared" si="260"/>
        <v>14189.826017594392</v>
      </c>
      <c r="U464" s="186">
        <f t="shared" si="260"/>
        <v>14189.826017594392</v>
      </c>
      <c r="V464" s="186">
        <f t="shared" si="260"/>
        <v>7094.9130087971962</v>
      </c>
      <c r="W464" s="186">
        <f t="shared" si="260"/>
        <v>0</v>
      </c>
      <c r="X464" s="186">
        <f t="shared" si="260"/>
        <v>0</v>
      </c>
      <c r="Y464" s="186">
        <f t="shared" si="260"/>
        <v>0</v>
      </c>
      <c r="Z464" s="186">
        <f t="shared" si="260"/>
        <v>0</v>
      </c>
      <c r="AA464" s="186">
        <f t="shared" si="260"/>
        <v>0</v>
      </c>
      <c r="AB464" s="186">
        <f t="shared" si="260"/>
        <v>0</v>
      </c>
      <c r="AC464" s="186">
        <f t="shared" si="260"/>
        <v>0</v>
      </c>
      <c r="AD464" s="186">
        <f t="shared" si="260"/>
        <v>0</v>
      </c>
      <c r="AE464" s="186">
        <f t="shared" si="260"/>
        <v>0</v>
      </c>
      <c r="AF464" s="186">
        <f t="shared" si="260"/>
        <v>0</v>
      </c>
      <c r="AG464" s="186">
        <f t="shared" si="260"/>
        <v>0</v>
      </c>
      <c r="AH464" s="186">
        <f t="shared" si="260"/>
        <v>0</v>
      </c>
      <c r="AI464" s="186">
        <f t="shared" si="260"/>
        <v>0</v>
      </c>
      <c r="AJ464" s="186">
        <f t="shared" si="260"/>
        <v>0</v>
      </c>
      <c r="AK464" s="186">
        <f t="shared" si="260"/>
        <v>0</v>
      </c>
      <c r="AL464" s="186">
        <f t="shared" si="260"/>
        <v>0</v>
      </c>
      <c r="AM464" s="186">
        <f t="shared" si="260"/>
        <v>0</v>
      </c>
      <c r="AN464" s="186">
        <f t="shared" si="260"/>
        <v>0</v>
      </c>
      <c r="AO464" s="186">
        <f t="shared" si="260"/>
        <v>0</v>
      </c>
      <c r="AP464" s="186">
        <f t="shared" si="260"/>
        <v>0</v>
      </c>
    </row>
    <row r="465" spans="1:42">
      <c r="A465" s="37">
        <f t="shared" si="257"/>
        <v>6</v>
      </c>
      <c r="B465" s="196">
        <f t="shared" si="254"/>
        <v>128802.03308689946</v>
      </c>
      <c r="C465" s="225">
        <f t="shared" ref="C465:AP465" si="261">LOOKUP(C453,$B$391:$AP$391,$B$392:$AP$392)*$B644</f>
        <v>0</v>
      </c>
      <c r="D465" s="186">
        <f t="shared" si="261"/>
        <v>0</v>
      </c>
      <c r="E465" s="186">
        <f t="shared" si="261"/>
        <v>0</v>
      </c>
      <c r="F465" s="186">
        <f t="shared" si="261"/>
        <v>0</v>
      </c>
      <c r="G465" s="186">
        <f t="shared" si="261"/>
        <v>0</v>
      </c>
      <c r="H465" s="186">
        <f t="shared" si="261"/>
        <v>0</v>
      </c>
      <c r="I465" s="186">
        <f t="shared" si="261"/>
        <v>0</v>
      </c>
      <c r="J465" s="186">
        <f t="shared" si="261"/>
        <v>0</v>
      </c>
      <c r="K465" s="186">
        <f t="shared" si="261"/>
        <v>0</v>
      </c>
      <c r="L465" s="186">
        <f t="shared" si="261"/>
        <v>0</v>
      </c>
      <c r="M465" s="186">
        <f t="shared" si="261"/>
        <v>0</v>
      </c>
      <c r="N465" s="186">
        <f t="shared" si="261"/>
        <v>0</v>
      </c>
      <c r="O465" s="186">
        <f t="shared" si="261"/>
        <v>0</v>
      </c>
      <c r="P465" s="186">
        <f t="shared" si="261"/>
        <v>0</v>
      </c>
      <c r="Q465" s="186">
        <f t="shared" si="261"/>
        <v>0</v>
      </c>
      <c r="R465" s="186">
        <f t="shared" si="261"/>
        <v>0</v>
      </c>
      <c r="S465" s="186">
        <f t="shared" si="261"/>
        <v>0</v>
      </c>
      <c r="T465" s="186">
        <f t="shared" si="261"/>
        <v>25760.406617379896</v>
      </c>
      <c r="U465" s="186">
        <f t="shared" si="261"/>
        <v>41216.650587807831</v>
      </c>
      <c r="V465" s="186">
        <f t="shared" si="261"/>
        <v>24729.990352684701</v>
      </c>
      <c r="W465" s="186">
        <f t="shared" si="261"/>
        <v>14837.99421161082</v>
      </c>
      <c r="X465" s="186">
        <f t="shared" si="261"/>
        <v>14837.99421161082</v>
      </c>
      <c r="Y465" s="186">
        <f t="shared" si="261"/>
        <v>7418.9971058054098</v>
      </c>
      <c r="Z465" s="186">
        <f t="shared" si="261"/>
        <v>0</v>
      </c>
      <c r="AA465" s="186">
        <f t="shared" si="261"/>
        <v>0</v>
      </c>
      <c r="AB465" s="186">
        <f t="shared" si="261"/>
        <v>0</v>
      </c>
      <c r="AC465" s="186">
        <f t="shared" si="261"/>
        <v>0</v>
      </c>
      <c r="AD465" s="186">
        <f t="shared" si="261"/>
        <v>0</v>
      </c>
      <c r="AE465" s="186">
        <f t="shared" si="261"/>
        <v>0</v>
      </c>
      <c r="AF465" s="186">
        <f t="shared" si="261"/>
        <v>0</v>
      </c>
      <c r="AG465" s="186">
        <f t="shared" si="261"/>
        <v>0</v>
      </c>
      <c r="AH465" s="186">
        <f t="shared" si="261"/>
        <v>0</v>
      </c>
      <c r="AI465" s="186">
        <f t="shared" si="261"/>
        <v>0</v>
      </c>
      <c r="AJ465" s="186">
        <f t="shared" si="261"/>
        <v>0</v>
      </c>
      <c r="AK465" s="186">
        <f t="shared" si="261"/>
        <v>0</v>
      </c>
      <c r="AL465" s="186">
        <f t="shared" si="261"/>
        <v>0</v>
      </c>
      <c r="AM465" s="186">
        <f t="shared" si="261"/>
        <v>0</v>
      </c>
      <c r="AN465" s="186">
        <f t="shared" si="261"/>
        <v>0</v>
      </c>
      <c r="AO465" s="186">
        <f t="shared" si="261"/>
        <v>0</v>
      </c>
      <c r="AP465" s="186">
        <f t="shared" si="261"/>
        <v>0</v>
      </c>
    </row>
    <row r="466" spans="1:42">
      <c r="A466" s="37">
        <f t="shared" si="257"/>
        <v>7</v>
      </c>
      <c r="B466" s="196">
        <f t="shared" si="254"/>
        <v>134685.50065500522</v>
      </c>
      <c r="C466" s="225">
        <f t="shared" ref="C466:AP466" si="262">LOOKUP(C454,$B$391:$AP$391,$B$392:$AP$392)*$B645</f>
        <v>0</v>
      </c>
      <c r="D466" s="186">
        <f t="shared" si="262"/>
        <v>0</v>
      </c>
      <c r="E466" s="186">
        <f t="shared" si="262"/>
        <v>0</v>
      </c>
      <c r="F466" s="186">
        <f t="shared" si="262"/>
        <v>0</v>
      </c>
      <c r="G466" s="186">
        <f t="shared" si="262"/>
        <v>0</v>
      </c>
      <c r="H466" s="186">
        <f t="shared" si="262"/>
        <v>0</v>
      </c>
      <c r="I466" s="186">
        <f t="shared" si="262"/>
        <v>0</v>
      </c>
      <c r="J466" s="186">
        <f t="shared" si="262"/>
        <v>0</v>
      </c>
      <c r="K466" s="186">
        <f t="shared" si="262"/>
        <v>0</v>
      </c>
      <c r="L466" s="186">
        <f t="shared" si="262"/>
        <v>0</v>
      </c>
      <c r="M466" s="186">
        <f t="shared" si="262"/>
        <v>0</v>
      </c>
      <c r="N466" s="186">
        <f t="shared" si="262"/>
        <v>0</v>
      </c>
      <c r="O466" s="186">
        <f t="shared" si="262"/>
        <v>0</v>
      </c>
      <c r="P466" s="186">
        <f t="shared" si="262"/>
        <v>0</v>
      </c>
      <c r="Q466" s="186">
        <f t="shared" si="262"/>
        <v>0</v>
      </c>
      <c r="R466" s="186">
        <f t="shared" si="262"/>
        <v>0</v>
      </c>
      <c r="S466" s="186">
        <f t="shared" si="262"/>
        <v>0</v>
      </c>
      <c r="T466" s="186">
        <f t="shared" si="262"/>
        <v>0</v>
      </c>
      <c r="U466" s="186">
        <f t="shared" si="262"/>
        <v>0</v>
      </c>
      <c r="V466" s="186">
        <f t="shared" si="262"/>
        <v>0</v>
      </c>
      <c r="W466" s="186">
        <f t="shared" si="262"/>
        <v>26937.100131001047</v>
      </c>
      <c r="X466" s="186">
        <f t="shared" si="262"/>
        <v>43099.360209601669</v>
      </c>
      <c r="Y466" s="186">
        <f t="shared" si="262"/>
        <v>25859.616125761004</v>
      </c>
      <c r="Z466" s="186">
        <f t="shared" si="262"/>
        <v>15515.7696754566</v>
      </c>
      <c r="AA466" s="186">
        <f t="shared" si="262"/>
        <v>15515.7696754566</v>
      </c>
      <c r="AB466" s="186">
        <f t="shared" si="262"/>
        <v>7757.8848377283002</v>
      </c>
      <c r="AC466" s="186">
        <f t="shared" si="262"/>
        <v>0</v>
      </c>
      <c r="AD466" s="186">
        <f t="shared" si="262"/>
        <v>0</v>
      </c>
      <c r="AE466" s="186">
        <f t="shared" si="262"/>
        <v>0</v>
      </c>
      <c r="AF466" s="186">
        <f t="shared" si="262"/>
        <v>0</v>
      </c>
      <c r="AG466" s="186">
        <f t="shared" si="262"/>
        <v>0</v>
      </c>
      <c r="AH466" s="186">
        <f t="shared" si="262"/>
        <v>0</v>
      </c>
      <c r="AI466" s="186">
        <f t="shared" si="262"/>
        <v>0</v>
      </c>
      <c r="AJ466" s="186">
        <f t="shared" si="262"/>
        <v>0</v>
      </c>
      <c r="AK466" s="186">
        <f t="shared" si="262"/>
        <v>0</v>
      </c>
      <c r="AL466" s="186">
        <f t="shared" si="262"/>
        <v>0</v>
      </c>
      <c r="AM466" s="186">
        <f t="shared" si="262"/>
        <v>0</v>
      </c>
      <c r="AN466" s="186">
        <f t="shared" si="262"/>
        <v>0</v>
      </c>
      <c r="AO466" s="186">
        <f t="shared" si="262"/>
        <v>0</v>
      </c>
      <c r="AP466" s="186">
        <f t="shared" si="262"/>
        <v>0</v>
      </c>
    </row>
    <row r="467" spans="1:42">
      <c r="A467" s="37">
        <f t="shared" si="257"/>
        <v>8</v>
      </c>
      <c r="B467" s="196">
        <f t="shared" si="254"/>
        <v>140837.71546098724</v>
      </c>
      <c r="C467" s="225">
        <f t="shared" ref="C467:AP467" si="263">LOOKUP(C455,$B$391:$AP$391,$B$392:$AP$392)*$B646</f>
        <v>0</v>
      </c>
      <c r="D467" s="186">
        <f t="shared" si="263"/>
        <v>0</v>
      </c>
      <c r="E467" s="186">
        <f t="shared" si="263"/>
        <v>0</v>
      </c>
      <c r="F467" s="186">
        <f t="shared" si="263"/>
        <v>0</v>
      </c>
      <c r="G467" s="186">
        <f t="shared" si="263"/>
        <v>0</v>
      </c>
      <c r="H467" s="186">
        <f t="shared" si="263"/>
        <v>0</v>
      </c>
      <c r="I467" s="186">
        <f t="shared" si="263"/>
        <v>0</v>
      </c>
      <c r="J467" s="186">
        <f t="shared" si="263"/>
        <v>0</v>
      </c>
      <c r="K467" s="186">
        <f t="shared" si="263"/>
        <v>0</v>
      </c>
      <c r="L467" s="186">
        <f t="shared" si="263"/>
        <v>0</v>
      </c>
      <c r="M467" s="186">
        <f t="shared" si="263"/>
        <v>0</v>
      </c>
      <c r="N467" s="186">
        <f t="shared" si="263"/>
        <v>0</v>
      </c>
      <c r="O467" s="186">
        <f t="shared" si="263"/>
        <v>0</v>
      </c>
      <c r="P467" s="186">
        <f t="shared" si="263"/>
        <v>0</v>
      </c>
      <c r="Q467" s="186">
        <f t="shared" si="263"/>
        <v>0</v>
      </c>
      <c r="R467" s="186">
        <f t="shared" si="263"/>
        <v>0</v>
      </c>
      <c r="S467" s="186">
        <f t="shared" si="263"/>
        <v>0</v>
      </c>
      <c r="T467" s="186">
        <f t="shared" si="263"/>
        <v>0</v>
      </c>
      <c r="U467" s="186">
        <f t="shared" si="263"/>
        <v>0</v>
      </c>
      <c r="V467" s="186">
        <f t="shared" si="263"/>
        <v>0</v>
      </c>
      <c r="W467" s="186">
        <f t="shared" si="263"/>
        <v>0</v>
      </c>
      <c r="X467" s="186">
        <f t="shared" si="263"/>
        <v>0</v>
      </c>
      <c r="Y467" s="186">
        <f t="shared" si="263"/>
        <v>0</v>
      </c>
      <c r="Z467" s="186">
        <f t="shared" si="263"/>
        <v>28167.543092197448</v>
      </c>
      <c r="AA467" s="186">
        <f t="shared" si="263"/>
        <v>45068.068947515916</v>
      </c>
      <c r="AB467" s="186">
        <f t="shared" si="263"/>
        <v>27040.841368509551</v>
      </c>
      <c r="AC467" s="186">
        <f t="shared" si="263"/>
        <v>16224.504821105729</v>
      </c>
      <c r="AD467" s="186">
        <f t="shared" si="263"/>
        <v>16224.504821105729</v>
      </c>
      <c r="AE467" s="186">
        <f t="shared" si="263"/>
        <v>8112.2524105528646</v>
      </c>
      <c r="AF467" s="186">
        <f t="shared" si="263"/>
        <v>0</v>
      </c>
      <c r="AG467" s="186">
        <f t="shared" si="263"/>
        <v>0</v>
      </c>
      <c r="AH467" s="186">
        <f t="shared" si="263"/>
        <v>0</v>
      </c>
      <c r="AI467" s="186">
        <f t="shared" si="263"/>
        <v>0</v>
      </c>
      <c r="AJ467" s="186">
        <f t="shared" si="263"/>
        <v>0</v>
      </c>
      <c r="AK467" s="186">
        <f t="shared" si="263"/>
        <v>0</v>
      </c>
      <c r="AL467" s="186">
        <f t="shared" si="263"/>
        <v>0</v>
      </c>
      <c r="AM467" s="186">
        <f t="shared" si="263"/>
        <v>0</v>
      </c>
      <c r="AN467" s="186">
        <f t="shared" si="263"/>
        <v>0</v>
      </c>
      <c r="AO467" s="186">
        <f t="shared" si="263"/>
        <v>0</v>
      </c>
      <c r="AP467" s="186">
        <f t="shared" si="263"/>
        <v>0</v>
      </c>
    </row>
    <row r="468" spans="1:42">
      <c r="A468" s="37">
        <f>A467+1</f>
        <v>9</v>
      </c>
      <c r="B468" s="196">
        <f t="shared" si="254"/>
        <v>121822.53268718722</v>
      </c>
      <c r="C468" s="225">
        <f t="shared" ref="C468:AP468" si="264">LOOKUP(C456,$B$391:$AP$391,$B$392:$AP$392)*$B647</f>
        <v>0</v>
      </c>
      <c r="D468" s="186">
        <f t="shared" si="264"/>
        <v>0</v>
      </c>
      <c r="E468" s="186">
        <f t="shared" si="264"/>
        <v>0</v>
      </c>
      <c r="F468" s="186">
        <f t="shared" si="264"/>
        <v>0</v>
      </c>
      <c r="G468" s="186">
        <f t="shared" si="264"/>
        <v>0</v>
      </c>
      <c r="H468" s="186">
        <f t="shared" si="264"/>
        <v>0</v>
      </c>
      <c r="I468" s="186">
        <f t="shared" si="264"/>
        <v>0</v>
      </c>
      <c r="J468" s="186">
        <f t="shared" si="264"/>
        <v>0</v>
      </c>
      <c r="K468" s="186">
        <f t="shared" si="264"/>
        <v>0</v>
      </c>
      <c r="L468" s="186">
        <f t="shared" si="264"/>
        <v>0</v>
      </c>
      <c r="M468" s="186">
        <f t="shared" si="264"/>
        <v>0</v>
      </c>
      <c r="N468" s="186">
        <f t="shared" si="264"/>
        <v>0</v>
      </c>
      <c r="O468" s="186">
        <f t="shared" si="264"/>
        <v>0</v>
      </c>
      <c r="P468" s="186">
        <f t="shared" si="264"/>
        <v>0</v>
      </c>
      <c r="Q468" s="186">
        <f t="shared" si="264"/>
        <v>0</v>
      </c>
      <c r="R468" s="186">
        <f t="shared" si="264"/>
        <v>0</v>
      </c>
      <c r="S468" s="186">
        <f t="shared" si="264"/>
        <v>0</v>
      </c>
      <c r="T468" s="186">
        <f t="shared" si="264"/>
        <v>0</v>
      </c>
      <c r="U468" s="186">
        <f t="shared" si="264"/>
        <v>0</v>
      </c>
      <c r="V468" s="186">
        <f t="shared" si="264"/>
        <v>0</v>
      </c>
      <c r="W468" s="186">
        <f t="shared" si="264"/>
        <v>0</v>
      </c>
      <c r="X468" s="186">
        <f t="shared" si="264"/>
        <v>0</v>
      </c>
      <c r="Y468" s="186">
        <f t="shared" si="264"/>
        <v>0</v>
      </c>
      <c r="Z468" s="186">
        <f t="shared" si="264"/>
        <v>0</v>
      </c>
      <c r="AA468" s="186">
        <f t="shared" si="264"/>
        <v>0</v>
      </c>
      <c r="AB468" s="186">
        <f t="shared" si="264"/>
        <v>0</v>
      </c>
      <c r="AC468" s="186">
        <f t="shared" si="264"/>
        <v>29454.190688391496</v>
      </c>
      <c r="AD468" s="186">
        <f t="shared" si="264"/>
        <v>47126.705101426393</v>
      </c>
      <c r="AE468" s="186">
        <f t="shared" si="264"/>
        <v>28276.023060855838</v>
      </c>
      <c r="AF468" s="186">
        <f t="shared" si="264"/>
        <v>16965.613836513501</v>
      </c>
      <c r="AG468" s="186">
        <f t="shared" si="264"/>
        <v>0</v>
      </c>
      <c r="AH468" s="186">
        <f t="shared" si="264"/>
        <v>0</v>
      </c>
      <c r="AI468" s="186">
        <f t="shared" si="264"/>
        <v>0</v>
      </c>
      <c r="AJ468" s="186">
        <f t="shared" si="264"/>
        <v>0</v>
      </c>
      <c r="AK468" s="186">
        <f t="shared" si="264"/>
        <v>0</v>
      </c>
      <c r="AL468" s="186">
        <f t="shared" si="264"/>
        <v>0</v>
      </c>
      <c r="AM468" s="186">
        <f t="shared" si="264"/>
        <v>0</v>
      </c>
      <c r="AN468" s="186">
        <f t="shared" si="264"/>
        <v>0</v>
      </c>
      <c r="AO468" s="186">
        <f t="shared" si="264"/>
        <v>0</v>
      </c>
      <c r="AP468" s="186">
        <f t="shared" si="264"/>
        <v>0</v>
      </c>
    </row>
    <row r="469" spans="1:42">
      <c r="A469" s="37">
        <f t="shared" ref="A469" si="265">A468+1</f>
        <v>10</v>
      </c>
      <c r="B469" s="196">
        <f t="shared" si="254"/>
        <v>30799.610255977339</v>
      </c>
      <c r="C469" s="221">
        <f t="shared" ref="C469:AP469" si="266">LOOKUP(C457,$B$391:$AP$391,$B$392:$AP$392)*$B648</f>
        <v>0</v>
      </c>
      <c r="D469" s="187">
        <f t="shared" si="266"/>
        <v>0</v>
      </c>
      <c r="E469" s="187">
        <f t="shared" si="266"/>
        <v>0</v>
      </c>
      <c r="F469" s="187">
        <f t="shared" si="266"/>
        <v>0</v>
      </c>
      <c r="G469" s="187">
        <f t="shared" si="266"/>
        <v>0</v>
      </c>
      <c r="H469" s="187">
        <f t="shared" si="266"/>
        <v>0</v>
      </c>
      <c r="I469" s="187">
        <f t="shared" si="266"/>
        <v>0</v>
      </c>
      <c r="J469" s="187">
        <f t="shared" si="266"/>
        <v>0</v>
      </c>
      <c r="K469" s="187">
        <f t="shared" si="266"/>
        <v>0</v>
      </c>
      <c r="L469" s="187">
        <f t="shared" si="266"/>
        <v>0</v>
      </c>
      <c r="M469" s="187">
        <f t="shared" si="266"/>
        <v>0</v>
      </c>
      <c r="N469" s="187">
        <f t="shared" si="266"/>
        <v>0</v>
      </c>
      <c r="O469" s="187">
        <f t="shared" si="266"/>
        <v>0</v>
      </c>
      <c r="P469" s="187">
        <f t="shared" si="266"/>
        <v>0</v>
      </c>
      <c r="Q469" s="187">
        <f t="shared" si="266"/>
        <v>0</v>
      </c>
      <c r="R469" s="187">
        <f t="shared" si="266"/>
        <v>0</v>
      </c>
      <c r="S469" s="187">
        <f t="shared" si="266"/>
        <v>0</v>
      </c>
      <c r="T469" s="187">
        <f t="shared" si="266"/>
        <v>0</v>
      </c>
      <c r="U469" s="187">
        <f t="shared" si="266"/>
        <v>0</v>
      </c>
      <c r="V469" s="187">
        <f t="shared" si="266"/>
        <v>0</v>
      </c>
      <c r="W469" s="187">
        <f t="shared" si="266"/>
        <v>0</v>
      </c>
      <c r="X469" s="187">
        <f t="shared" si="266"/>
        <v>0</v>
      </c>
      <c r="Y469" s="187">
        <f t="shared" si="266"/>
        <v>0</v>
      </c>
      <c r="Z469" s="187">
        <f t="shared" si="266"/>
        <v>0</v>
      </c>
      <c r="AA469" s="187">
        <f t="shared" si="266"/>
        <v>0</v>
      </c>
      <c r="AB469" s="187">
        <f t="shared" si="266"/>
        <v>0</v>
      </c>
      <c r="AC469" s="187">
        <f t="shared" si="266"/>
        <v>0</v>
      </c>
      <c r="AD469" s="187">
        <f t="shared" si="266"/>
        <v>0</v>
      </c>
      <c r="AE469" s="187">
        <f t="shared" si="266"/>
        <v>0</v>
      </c>
      <c r="AF469" s="187">
        <f t="shared" si="266"/>
        <v>30799.610255977339</v>
      </c>
      <c r="AG469" s="187">
        <f t="shared" si="266"/>
        <v>0</v>
      </c>
      <c r="AH469" s="187">
        <f t="shared" si="266"/>
        <v>0</v>
      </c>
      <c r="AI469" s="187">
        <f t="shared" si="266"/>
        <v>0</v>
      </c>
      <c r="AJ469" s="187">
        <f t="shared" si="266"/>
        <v>0</v>
      </c>
      <c r="AK469" s="187">
        <f t="shared" si="266"/>
        <v>0</v>
      </c>
      <c r="AL469" s="187">
        <f t="shared" si="266"/>
        <v>0</v>
      </c>
      <c r="AM469" s="187">
        <f t="shared" si="266"/>
        <v>0</v>
      </c>
      <c r="AN469" s="187">
        <f t="shared" si="266"/>
        <v>0</v>
      </c>
      <c r="AO469" s="187">
        <f t="shared" si="266"/>
        <v>0</v>
      </c>
      <c r="AP469" s="187">
        <f t="shared" si="266"/>
        <v>0</v>
      </c>
    </row>
    <row r="470" spans="1:42" s="118" customFormat="1">
      <c r="A470" s="222" t="s">
        <v>53</v>
      </c>
      <c r="B470" s="141"/>
      <c r="C470" s="141">
        <f>SUM(C460:C469)</f>
        <v>0</v>
      </c>
      <c r="D470" s="141">
        <f t="shared" ref="D470:AP470" si="267">SUM(D460:D469)</f>
        <v>0</v>
      </c>
      <c r="E470" s="141">
        <f t="shared" si="267"/>
        <v>20604.499999999996</v>
      </c>
      <c r="F470" s="141">
        <f t="shared" si="267"/>
        <v>32967.19999999999</v>
      </c>
      <c r="G470" s="141">
        <f t="shared" si="267"/>
        <v>19780.319999999996</v>
      </c>
      <c r="H470" s="141">
        <f t="shared" si="267"/>
        <v>33413.872077687483</v>
      </c>
      <c r="I470" s="141">
        <f t="shared" si="267"/>
        <v>46341.28012429997</v>
      </c>
      <c r="J470" s="141">
        <f t="shared" si="267"/>
        <v>26617.948874579983</v>
      </c>
      <c r="K470" s="141">
        <f t="shared" si="267"/>
        <v>34940.163456654111</v>
      </c>
      <c r="L470" s="141">
        <f t="shared" si="267"/>
        <v>48458.074495797773</v>
      </c>
      <c r="M470" s="141">
        <f t="shared" si="267"/>
        <v>27833.813525003865</v>
      </c>
      <c r="N470" s="141">
        <f t="shared" si="267"/>
        <v>36536.173345588439</v>
      </c>
      <c r="O470" s="141">
        <f t="shared" si="267"/>
        <v>50671.560594394745</v>
      </c>
      <c r="P470" s="141">
        <f t="shared" si="267"/>
        <v>29105.216896879054</v>
      </c>
      <c r="Q470" s="141">
        <f t="shared" si="267"/>
        <v>38205.086372733211</v>
      </c>
      <c r="R470" s="141">
        <f t="shared" si="267"/>
        <v>52986.155141060706</v>
      </c>
      <c r="S470" s="141">
        <f t="shared" si="267"/>
        <v>30434.695908751019</v>
      </c>
      <c r="T470" s="141">
        <f t="shared" si="267"/>
        <v>39950.232634974287</v>
      </c>
      <c r="U470" s="141">
        <f t="shared" si="267"/>
        <v>55406.476605402226</v>
      </c>
      <c r="V470" s="141">
        <f t="shared" si="267"/>
        <v>31824.903361481898</v>
      </c>
      <c r="W470" s="141">
        <f t="shared" si="267"/>
        <v>41775.094342611868</v>
      </c>
      <c r="X470" s="141">
        <f t="shared" si="267"/>
        <v>57937.354421212491</v>
      </c>
      <c r="Y470" s="141">
        <f t="shared" si="267"/>
        <v>33278.613231566414</v>
      </c>
      <c r="Z470" s="141">
        <f t="shared" si="267"/>
        <v>43683.312767654046</v>
      </c>
      <c r="AA470" s="141">
        <f t="shared" si="267"/>
        <v>60583.838622972515</v>
      </c>
      <c r="AB470" s="141">
        <f t="shared" si="267"/>
        <v>34798.72620623785</v>
      </c>
      <c r="AC470" s="141">
        <f t="shared" si="267"/>
        <v>45678.695509497222</v>
      </c>
      <c r="AD470" s="141">
        <f t="shared" si="267"/>
        <v>63351.209922532122</v>
      </c>
      <c r="AE470" s="141">
        <f t="shared" si="267"/>
        <v>36388.275471408706</v>
      </c>
      <c r="AF470" s="141">
        <f t="shared" si="267"/>
        <v>47765.22409249084</v>
      </c>
      <c r="AG470" s="141">
        <f t="shared" si="267"/>
        <v>0</v>
      </c>
      <c r="AH470" s="141">
        <f t="shared" si="267"/>
        <v>0</v>
      </c>
      <c r="AI470" s="141">
        <f t="shared" si="267"/>
        <v>0</v>
      </c>
      <c r="AJ470" s="141">
        <f t="shared" si="267"/>
        <v>0</v>
      </c>
      <c r="AK470" s="141">
        <f t="shared" si="267"/>
        <v>0</v>
      </c>
      <c r="AL470" s="141">
        <f t="shared" si="267"/>
        <v>0</v>
      </c>
      <c r="AM470" s="141">
        <f t="shared" si="267"/>
        <v>0</v>
      </c>
      <c r="AN470" s="141">
        <f t="shared" si="267"/>
        <v>0</v>
      </c>
      <c r="AO470" s="141">
        <f t="shared" si="267"/>
        <v>0</v>
      </c>
      <c r="AP470" s="141">
        <f t="shared" si="267"/>
        <v>0</v>
      </c>
    </row>
    <row r="471" spans="1:42" s="118" customFormat="1">
      <c r="A471" s="222"/>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c r="AA471" s="141"/>
      <c r="AB471" s="141"/>
      <c r="AC471" s="141"/>
      <c r="AD471" s="141"/>
      <c r="AE471" s="141"/>
      <c r="AF471" s="141"/>
      <c r="AG471" s="141"/>
      <c r="AH471" s="141"/>
      <c r="AI471" s="141"/>
      <c r="AJ471" s="141"/>
      <c r="AK471" s="141"/>
      <c r="AL471" s="141"/>
      <c r="AM471" s="141"/>
      <c r="AN471" s="141"/>
      <c r="AO471" s="141"/>
      <c r="AP471" s="141"/>
    </row>
    <row r="472" spans="1:42" s="118" customFormat="1">
      <c r="A472" s="179" t="s">
        <v>171</v>
      </c>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c r="AA472" s="141"/>
      <c r="AB472" s="141"/>
      <c r="AC472" s="141"/>
      <c r="AD472" s="141"/>
      <c r="AE472" s="141"/>
      <c r="AF472" s="141"/>
      <c r="AG472" s="141"/>
      <c r="AH472" s="141"/>
      <c r="AI472" s="141"/>
      <c r="AJ472" s="141"/>
      <c r="AK472" s="141"/>
      <c r="AL472" s="141"/>
      <c r="AM472" s="141"/>
      <c r="AN472" s="141"/>
      <c r="AO472" s="141"/>
      <c r="AP472" s="141"/>
    </row>
    <row r="473" spans="1:42" s="118" customFormat="1">
      <c r="A473" s="197" t="s">
        <v>37</v>
      </c>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c r="AA473" s="141"/>
      <c r="AB473" s="141"/>
      <c r="AC473" s="141"/>
      <c r="AD473" s="141"/>
      <c r="AE473" s="141"/>
      <c r="AF473" s="141"/>
      <c r="AG473" s="141"/>
      <c r="AH473" s="141"/>
      <c r="AI473" s="141"/>
      <c r="AJ473" s="141"/>
      <c r="AK473" s="141"/>
      <c r="AL473" s="141"/>
      <c r="AM473" s="141"/>
      <c r="AN473" s="141"/>
      <c r="AO473" s="141"/>
      <c r="AP473" s="141"/>
    </row>
    <row r="474" spans="1:42" s="118" customFormat="1">
      <c r="A474" s="204" t="s">
        <v>173</v>
      </c>
      <c r="C474" s="232">
        <f t="shared" ref="C474:AP474" si="268">IF(C$2&lt;=StatePTCTerm,StatePTCAmount*(1+Inflation)^B$2,0)</f>
        <v>0</v>
      </c>
      <c r="D474" s="232">
        <f t="shared" si="268"/>
        <v>0</v>
      </c>
      <c r="E474" s="232">
        <f t="shared" si="268"/>
        <v>0</v>
      </c>
      <c r="F474" s="232">
        <f t="shared" si="268"/>
        <v>0</v>
      </c>
      <c r="G474" s="232">
        <f t="shared" si="268"/>
        <v>0</v>
      </c>
      <c r="H474" s="232">
        <f t="shared" si="268"/>
        <v>0</v>
      </c>
      <c r="I474" s="232">
        <f t="shared" si="268"/>
        <v>0</v>
      </c>
      <c r="J474" s="232">
        <f t="shared" si="268"/>
        <v>0</v>
      </c>
      <c r="K474" s="232">
        <f t="shared" si="268"/>
        <v>0</v>
      </c>
      <c r="L474" s="232">
        <f t="shared" si="268"/>
        <v>0</v>
      </c>
      <c r="M474" s="232">
        <f t="shared" si="268"/>
        <v>0</v>
      </c>
      <c r="N474" s="232">
        <f t="shared" si="268"/>
        <v>0</v>
      </c>
      <c r="O474" s="232">
        <f t="shared" si="268"/>
        <v>0</v>
      </c>
      <c r="P474" s="232">
        <f t="shared" si="268"/>
        <v>0</v>
      </c>
      <c r="Q474" s="232">
        <f t="shared" si="268"/>
        <v>0</v>
      </c>
      <c r="R474" s="232">
        <f t="shared" si="268"/>
        <v>0</v>
      </c>
      <c r="S474" s="232">
        <f t="shared" si="268"/>
        <v>0</v>
      </c>
      <c r="T474" s="232">
        <f t="shared" si="268"/>
        <v>0</v>
      </c>
      <c r="U474" s="232">
        <f t="shared" si="268"/>
        <v>0</v>
      </c>
      <c r="V474" s="232">
        <f t="shared" si="268"/>
        <v>0</v>
      </c>
      <c r="W474" s="232">
        <f t="shared" si="268"/>
        <v>0</v>
      </c>
      <c r="X474" s="232">
        <f t="shared" si="268"/>
        <v>0</v>
      </c>
      <c r="Y474" s="232">
        <f t="shared" si="268"/>
        <v>0</v>
      </c>
      <c r="Z474" s="232">
        <f t="shared" si="268"/>
        <v>0</v>
      </c>
      <c r="AA474" s="232">
        <f t="shared" si="268"/>
        <v>0</v>
      </c>
      <c r="AB474" s="232">
        <f t="shared" si="268"/>
        <v>0</v>
      </c>
      <c r="AC474" s="232">
        <f t="shared" si="268"/>
        <v>0</v>
      </c>
      <c r="AD474" s="232">
        <f t="shared" si="268"/>
        <v>0</v>
      </c>
      <c r="AE474" s="232">
        <f t="shared" si="268"/>
        <v>0</v>
      </c>
      <c r="AF474" s="232">
        <f t="shared" si="268"/>
        <v>0</v>
      </c>
      <c r="AG474" s="232">
        <f t="shared" si="268"/>
        <v>0</v>
      </c>
      <c r="AH474" s="232">
        <f t="shared" si="268"/>
        <v>0</v>
      </c>
      <c r="AI474" s="232">
        <f t="shared" si="268"/>
        <v>0</v>
      </c>
      <c r="AJ474" s="232">
        <f t="shared" si="268"/>
        <v>0</v>
      </c>
      <c r="AK474" s="232">
        <f t="shared" si="268"/>
        <v>0</v>
      </c>
      <c r="AL474" s="232">
        <f t="shared" si="268"/>
        <v>0</v>
      </c>
      <c r="AM474" s="232">
        <f t="shared" si="268"/>
        <v>0</v>
      </c>
      <c r="AN474" s="232">
        <f t="shared" si="268"/>
        <v>0</v>
      </c>
      <c r="AO474" s="232">
        <f t="shared" si="268"/>
        <v>0</v>
      </c>
      <c r="AP474" s="232">
        <f t="shared" si="268"/>
        <v>0</v>
      </c>
    </row>
    <row r="475" spans="1:42" s="118" customFormat="1">
      <c r="A475" s="204" t="s">
        <v>174</v>
      </c>
      <c r="C475" s="233">
        <f>ROUND(C474*1000,0)</f>
        <v>0</v>
      </c>
      <c r="D475" s="233">
        <f>ROUND(D474*1000,0)</f>
        <v>0</v>
      </c>
      <c r="E475" s="233">
        <f t="shared" ref="E475:AP475" si="269">ROUND(E474*1000,0)</f>
        <v>0</v>
      </c>
      <c r="F475" s="233">
        <f t="shared" si="269"/>
        <v>0</v>
      </c>
      <c r="G475" s="233">
        <f t="shared" si="269"/>
        <v>0</v>
      </c>
      <c r="H475" s="233">
        <f t="shared" si="269"/>
        <v>0</v>
      </c>
      <c r="I475" s="233">
        <f t="shared" si="269"/>
        <v>0</v>
      </c>
      <c r="J475" s="233">
        <f t="shared" si="269"/>
        <v>0</v>
      </c>
      <c r="K475" s="233">
        <f t="shared" si="269"/>
        <v>0</v>
      </c>
      <c r="L475" s="233">
        <f t="shared" si="269"/>
        <v>0</v>
      </c>
      <c r="M475" s="233">
        <f t="shared" si="269"/>
        <v>0</v>
      </c>
      <c r="N475" s="233">
        <f t="shared" si="269"/>
        <v>0</v>
      </c>
      <c r="O475" s="233">
        <f t="shared" si="269"/>
        <v>0</v>
      </c>
      <c r="P475" s="233">
        <f t="shared" si="269"/>
        <v>0</v>
      </c>
      <c r="Q475" s="233">
        <f t="shared" si="269"/>
        <v>0</v>
      </c>
      <c r="R475" s="233">
        <f t="shared" si="269"/>
        <v>0</v>
      </c>
      <c r="S475" s="233">
        <f t="shared" si="269"/>
        <v>0</v>
      </c>
      <c r="T475" s="233">
        <f t="shared" si="269"/>
        <v>0</v>
      </c>
      <c r="U475" s="233">
        <f t="shared" si="269"/>
        <v>0</v>
      </c>
      <c r="V475" s="233">
        <f t="shared" si="269"/>
        <v>0</v>
      </c>
      <c r="W475" s="233">
        <f t="shared" si="269"/>
        <v>0</v>
      </c>
      <c r="X475" s="233">
        <f t="shared" si="269"/>
        <v>0</v>
      </c>
      <c r="Y475" s="233">
        <f t="shared" si="269"/>
        <v>0</v>
      </c>
      <c r="Z475" s="233">
        <f t="shared" si="269"/>
        <v>0</v>
      </c>
      <c r="AA475" s="233">
        <f t="shared" si="269"/>
        <v>0</v>
      </c>
      <c r="AB475" s="233">
        <f t="shared" si="269"/>
        <v>0</v>
      </c>
      <c r="AC475" s="233">
        <f t="shared" si="269"/>
        <v>0</v>
      </c>
      <c r="AD475" s="233">
        <f t="shared" si="269"/>
        <v>0</v>
      </c>
      <c r="AE475" s="233">
        <f t="shared" si="269"/>
        <v>0</v>
      </c>
      <c r="AF475" s="233">
        <f t="shared" si="269"/>
        <v>0</v>
      </c>
      <c r="AG475" s="233">
        <f t="shared" si="269"/>
        <v>0</v>
      </c>
      <c r="AH475" s="233">
        <f t="shared" si="269"/>
        <v>0</v>
      </c>
      <c r="AI475" s="233">
        <f t="shared" si="269"/>
        <v>0</v>
      </c>
      <c r="AJ475" s="233">
        <f t="shared" si="269"/>
        <v>0</v>
      </c>
      <c r="AK475" s="233">
        <f t="shared" si="269"/>
        <v>0</v>
      </c>
      <c r="AL475" s="233">
        <f t="shared" si="269"/>
        <v>0</v>
      </c>
      <c r="AM475" s="233">
        <f t="shared" si="269"/>
        <v>0</v>
      </c>
      <c r="AN475" s="233">
        <f t="shared" si="269"/>
        <v>0</v>
      </c>
      <c r="AO475" s="233">
        <f t="shared" si="269"/>
        <v>0</v>
      </c>
      <c r="AP475" s="233">
        <f t="shared" si="269"/>
        <v>0</v>
      </c>
    </row>
    <row r="476" spans="1:42" s="118" customFormat="1">
      <c r="A476" s="204" t="s">
        <v>175</v>
      </c>
      <c r="C476" s="203">
        <f>C$5/1000</f>
        <v>17000</v>
      </c>
      <c r="D476" s="203">
        <f>D$5/1000</f>
        <v>16915</v>
      </c>
      <c r="E476" s="203">
        <f t="shared" ref="E476:AP476" si="270">E$5/1000</f>
        <v>16830.424999999999</v>
      </c>
      <c r="F476" s="203">
        <f t="shared" si="270"/>
        <v>16746.272874999999</v>
      </c>
      <c r="G476" s="203">
        <f t="shared" si="270"/>
        <v>16662.541510625</v>
      </c>
      <c r="H476" s="203">
        <f t="shared" si="270"/>
        <v>16579.228803071874</v>
      </c>
      <c r="I476" s="203">
        <f t="shared" si="270"/>
        <v>16496.332659056516</v>
      </c>
      <c r="J476" s="203">
        <f t="shared" si="270"/>
        <v>16413.850995761233</v>
      </c>
      <c r="K476" s="203">
        <f t="shared" si="270"/>
        <v>16331.781740782426</v>
      </c>
      <c r="L476" s="203">
        <f t="shared" si="270"/>
        <v>16250.122832078514</v>
      </c>
      <c r="M476" s="203">
        <f t="shared" si="270"/>
        <v>16168.872217918122</v>
      </c>
      <c r="N476" s="203">
        <f t="shared" si="270"/>
        <v>16088.027856828532</v>
      </c>
      <c r="O476" s="203">
        <f t="shared" si="270"/>
        <v>16007.587717544387</v>
      </c>
      <c r="P476" s="203">
        <f t="shared" si="270"/>
        <v>15927.549778956667</v>
      </c>
      <c r="Q476" s="203">
        <f t="shared" si="270"/>
        <v>15847.912030061883</v>
      </c>
      <c r="R476" s="203">
        <f t="shared" si="270"/>
        <v>15768.672469911573</v>
      </c>
      <c r="S476" s="203">
        <f t="shared" si="270"/>
        <v>15689.829107562015</v>
      </c>
      <c r="T476" s="203">
        <f t="shared" si="270"/>
        <v>15611.379962024204</v>
      </c>
      <c r="U476" s="203">
        <f t="shared" si="270"/>
        <v>15533.323062214084</v>
      </c>
      <c r="V476" s="203">
        <f t="shared" si="270"/>
        <v>15455.656446903013</v>
      </c>
      <c r="W476" s="203">
        <f t="shared" si="270"/>
        <v>15378.378164668497</v>
      </c>
      <c r="X476" s="203">
        <f t="shared" si="270"/>
        <v>15301.486273845156</v>
      </c>
      <c r="Y476" s="203">
        <f t="shared" si="270"/>
        <v>15224.978842475928</v>
      </c>
      <c r="Z476" s="203">
        <f t="shared" si="270"/>
        <v>15148.853948263548</v>
      </c>
      <c r="AA476" s="203">
        <f t="shared" si="270"/>
        <v>15073.109678522231</v>
      </c>
      <c r="AB476" s="203">
        <f t="shared" si="270"/>
        <v>14997.74413012962</v>
      </c>
      <c r="AC476" s="203">
        <f t="shared" si="270"/>
        <v>14922.755409478972</v>
      </c>
      <c r="AD476" s="203">
        <f t="shared" si="270"/>
        <v>14848.141632431576</v>
      </c>
      <c r="AE476" s="203">
        <f t="shared" si="270"/>
        <v>14773.900924269417</v>
      </c>
      <c r="AF476" s="203">
        <f t="shared" si="270"/>
        <v>14700.03141964807</v>
      </c>
      <c r="AG476" s="203">
        <f t="shared" si="270"/>
        <v>0</v>
      </c>
      <c r="AH476" s="203">
        <f t="shared" si="270"/>
        <v>0</v>
      </c>
      <c r="AI476" s="203">
        <f t="shared" si="270"/>
        <v>0</v>
      </c>
      <c r="AJ476" s="203">
        <f t="shared" si="270"/>
        <v>0</v>
      </c>
      <c r="AK476" s="203">
        <f t="shared" si="270"/>
        <v>0</v>
      </c>
      <c r="AL476" s="203">
        <f t="shared" si="270"/>
        <v>0</v>
      </c>
      <c r="AM476" s="203">
        <f t="shared" si="270"/>
        <v>0</v>
      </c>
      <c r="AN476" s="203">
        <f t="shared" si="270"/>
        <v>0</v>
      </c>
      <c r="AO476" s="203">
        <f t="shared" si="270"/>
        <v>0</v>
      </c>
      <c r="AP476" s="203">
        <f t="shared" si="270"/>
        <v>0</v>
      </c>
    </row>
    <row r="477" spans="1:42" s="118" customFormat="1">
      <c r="A477" s="204" t="s">
        <v>53</v>
      </c>
      <c r="C477" s="141">
        <f>C475*C476</f>
        <v>0</v>
      </c>
      <c r="D477" s="141">
        <f>D475*D476</f>
        <v>0</v>
      </c>
      <c r="E477" s="141">
        <f t="shared" ref="E477:AP477" si="271">E475*E476</f>
        <v>0</v>
      </c>
      <c r="F477" s="141">
        <f t="shared" si="271"/>
        <v>0</v>
      </c>
      <c r="G477" s="141">
        <f t="shared" si="271"/>
        <v>0</v>
      </c>
      <c r="H477" s="141">
        <f t="shared" si="271"/>
        <v>0</v>
      </c>
      <c r="I477" s="141">
        <f t="shared" si="271"/>
        <v>0</v>
      </c>
      <c r="J477" s="141">
        <f t="shared" si="271"/>
        <v>0</v>
      </c>
      <c r="K477" s="141">
        <f t="shared" si="271"/>
        <v>0</v>
      </c>
      <c r="L477" s="141">
        <f t="shared" si="271"/>
        <v>0</v>
      </c>
      <c r="M477" s="141">
        <f t="shared" si="271"/>
        <v>0</v>
      </c>
      <c r="N477" s="141">
        <f t="shared" si="271"/>
        <v>0</v>
      </c>
      <c r="O477" s="141">
        <f t="shared" si="271"/>
        <v>0</v>
      </c>
      <c r="P477" s="141">
        <f t="shared" si="271"/>
        <v>0</v>
      </c>
      <c r="Q477" s="141">
        <f t="shared" si="271"/>
        <v>0</v>
      </c>
      <c r="R477" s="141">
        <f t="shared" si="271"/>
        <v>0</v>
      </c>
      <c r="S477" s="141">
        <f t="shared" si="271"/>
        <v>0</v>
      </c>
      <c r="T477" s="141">
        <f t="shared" si="271"/>
        <v>0</v>
      </c>
      <c r="U477" s="141">
        <f t="shared" si="271"/>
        <v>0</v>
      </c>
      <c r="V477" s="141">
        <f t="shared" si="271"/>
        <v>0</v>
      </c>
      <c r="W477" s="141">
        <f t="shared" si="271"/>
        <v>0</v>
      </c>
      <c r="X477" s="141">
        <f t="shared" si="271"/>
        <v>0</v>
      </c>
      <c r="Y477" s="141">
        <f t="shared" si="271"/>
        <v>0</v>
      </c>
      <c r="Z477" s="141">
        <f t="shared" si="271"/>
        <v>0</v>
      </c>
      <c r="AA477" s="141">
        <f t="shared" si="271"/>
        <v>0</v>
      </c>
      <c r="AB477" s="141">
        <f t="shared" si="271"/>
        <v>0</v>
      </c>
      <c r="AC477" s="141">
        <f t="shared" si="271"/>
        <v>0</v>
      </c>
      <c r="AD477" s="141">
        <f t="shared" si="271"/>
        <v>0</v>
      </c>
      <c r="AE477" s="141">
        <f t="shared" si="271"/>
        <v>0</v>
      </c>
      <c r="AF477" s="141">
        <f t="shared" si="271"/>
        <v>0</v>
      </c>
      <c r="AG477" s="141">
        <f t="shared" si="271"/>
        <v>0</v>
      </c>
      <c r="AH477" s="141">
        <f t="shared" si="271"/>
        <v>0</v>
      </c>
      <c r="AI477" s="141">
        <f t="shared" si="271"/>
        <v>0</v>
      </c>
      <c r="AJ477" s="141">
        <f t="shared" si="271"/>
        <v>0</v>
      </c>
      <c r="AK477" s="141">
        <f t="shared" si="271"/>
        <v>0</v>
      </c>
      <c r="AL477" s="141">
        <f t="shared" si="271"/>
        <v>0</v>
      </c>
      <c r="AM477" s="141">
        <f t="shared" si="271"/>
        <v>0</v>
      </c>
      <c r="AN477" s="141">
        <f t="shared" si="271"/>
        <v>0</v>
      </c>
      <c r="AO477" s="141">
        <f t="shared" si="271"/>
        <v>0</v>
      </c>
      <c r="AP477" s="141">
        <f t="shared" si="271"/>
        <v>0</v>
      </c>
    </row>
    <row r="478" spans="1:42" s="118" customFormat="1">
      <c r="A478" s="197"/>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c r="AA478" s="141"/>
      <c r="AB478" s="141"/>
      <c r="AC478" s="141"/>
      <c r="AD478" s="141"/>
      <c r="AE478" s="141"/>
      <c r="AF478" s="141"/>
      <c r="AG478" s="141"/>
      <c r="AH478" s="141"/>
      <c r="AI478" s="141"/>
      <c r="AJ478" s="141"/>
      <c r="AK478" s="141"/>
      <c r="AL478" s="141"/>
      <c r="AM478" s="141"/>
      <c r="AN478" s="141"/>
      <c r="AO478" s="141"/>
      <c r="AP478" s="141"/>
    </row>
    <row r="479" spans="1:42" s="118" customFormat="1">
      <c r="A479" s="197" t="s">
        <v>36</v>
      </c>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141"/>
      <c r="AK479" s="141"/>
      <c r="AL479" s="141"/>
      <c r="AM479" s="141"/>
      <c r="AN479" s="141"/>
      <c r="AO479" s="141"/>
      <c r="AP479" s="141"/>
    </row>
    <row r="480" spans="1:42" s="118" customFormat="1">
      <c r="A480" s="204" t="s">
        <v>173</v>
      </c>
      <c r="C480" s="232">
        <f t="shared" ref="C480:AP480" si="272">IF(C$2&lt;=FedPTCTerm,FedPTCAmount*(1+Inflation)^B$2,0)</f>
        <v>0</v>
      </c>
      <c r="D480" s="232">
        <f t="shared" si="272"/>
        <v>0</v>
      </c>
      <c r="E480" s="232">
        <f t="shared" si="272"/>
        <v>0</v>
      </c>
      <c r="F480" s="232">
        <f t="shared" si="272"/>
        <v>0</v>
      </c>
      <c r="G480" s="232">
        <f t="shared" si="272"/>
        <v>0</v>
      </c>
      <c r="H480" s="232">
        <f t="shared" si="272"/>
        <v>0</v>
      </c>
      <c r="I480" s="232">
        <f t="shared" si="272"/>
        <v>0</v>
      </c>
      <c r="J480" s="232">
        <f t="shared" si="272"/>
        <v>0</v>
      </c>
      <c r="K480" s="232">
        <f t="shared" si="272"/>
        <v>0</v>
      </c>
      <c r="L480" s="232">
        <f t="shared" si="272"/>
        <v>0</v>
      </c>
      <c r="M480" s="232">
        <f t="shared" si="272"/>
        <v>0</v>
      </c>
      <c r="N480" s="232">
        <f t="shared" si="272"/>
        <v>0</v>
      </c>
      <c r="O480" s="232">
        <f t="shared" si="272"/>
        <v>0</v>
      </c>
      <c r="P480" s="232">
        <f t="shared" si="272"/>
        <v>0</v>
      </c>
      <c r="Q480" s="232">
        <f t="shared" si="272"/>
        <v>0</v>
      </c>
      <c r="R480" s="232">
        <f t="shared" si="272"/>
        <v>0</v>
      </c>
      <c r="S480" s="232">
        <f t="shared" si="272"/>
        <v>0</v>
      </c>
      <c r="T480" s="232">
        <f t="shared" si="272"/>
        <v>0</v>
      </c>
      <c r="U480" s="232">
        <f t="shared" si="272"/>
        <v>0</v>
      </c>
      <c r="V480" s="232">
        <f t="shared" si="272"/>
        <v>0</v>
      </c>
      <c r="W480" s="232">
        <f t="shared" si="272"/>
        <v>0</v>
      </c>
      <c r="X480" s="232">
        <f t="shared" si="272"/>
        <v>0</v>
      </c>
      <c r="Y480" s="232">
        <f t="shared" si="272"/>
        <v>0</v>
      </c>
      <c r="Z480" s="232">
        <f t="shared" si="272"/>
        <v>0</v>
      </c>
      <c r="AA480" s="232">
        <f t="shared" si="272"/>
        <v>0</v>
      </c>
      <c r="AB480" s="232">
        <f t="shared" si="272"/>
        <v>0</v>
      </c>
      <c r="AC480" s="232">
        <f t="shared" si="272"/>
        <v>0</v>
      </c>
      <c r="AD480" s="232">
        <f t="shared" si="272"/>
        <v>0</v>
      </c>
      <c r="AE480" s="232">
        <f t="shared" si="272"/>
        <v>0</v>
      </c>
      <c r="AF480" s="232">
        <f t="shared" si="272"/>
        <v>0</v>
      </c>
      <c r="AG480" s="232">
        <f t="shared" si="272"/>
        <v>0</v>
      </c>
      <c r="AH480" s="232">
        <f t="shared" si="272"/>
        <v>0</v>
      </c>
      <c r="AI480" s="232">
        <f t="shared" si="272"/>
        <v>0</v>
      </c>
      <c r="AJ480" s="232">
        <f t="shared" si="272"/>
        <v>0</v>
      </c>
      <c r="AK480" s="232">
        <f t="shared" si="272"/>
        <v>0</v>
      </c>
      <c r="AL480" s="232">
        <f t="shared" si="272"/>
        <v>0</v>
      </c>
      <c r="AM480" s="232">
        <f t="shared" si="272"/>
        <v>0</v>
      </c>
      <c r="AN480" s="232">
        <f t="shared" si="272"/>
        <v>0</v>
      </c>
      <c r="AO480" s="232">
        <f t="shared" si="272"/>
        <v>0</v>
      </c>
      <c r="AP480" s="232">
        <f t="shared" si="272"/>
        <v>0</v>
      </c>
    </row>
    <row r="481" spans="1:42" s="118" customFormat="1">
      <c r="A481" s="204" t="s">
        <v>174</v>
      </c>
      <c r="C481" s="233">
        <f>ROUND(C480*1000,0)</f>
        <v>0</v>
      </c>
      <c r="D481" s="233">
        <f>ROUND(D480*1000,0)</f>
        <v>0</v>
      </c>
      <c r="E481" s="233">
        <f t="shared" ref="E481:AP481" si="273">ROUND(E480*1000,0)</f>
        <v>0</v>
      </c>
      <c r="F481" s="233">
        <f t="shared" si="273"/>
        <v>0</v>
      </c>
      <c r="G481" s="233">
        <f t="shared" si="273"/>
        <v>0</v>
      </c>
      <c r="H481" s="233">
        <f t="shared" si="273"/>
        <v>0</v>
      </c>
      <c r="I481" s="233">
        <f t="shared" si="273"/>
        <v>0</v>
      </c>
      <c r="J481" s="233">
        <f t="shared" si="273"/>
        <v>0</v>
      </c>
      <c r="K481" s="233">
        <f t="shared" si="273"/>
        <v>0</v>
      </c>
      <c r="L481" s="233">
        <f t="shared" si="273"/>
        <v>0</v>
      </c>
      <c r="M481" s="233">
        <f t="shared" si="273"/>
        <v>0</v>
      </c>
      <c r="N481" s="233">
        <f t="shared" si="273"/>
        <v>0</v>
      </c>
      <c r="O481" s="233">
        <f t="shared" si="273"/>
        <v>0</v>
      </c>
      <c r="P481" s="233">
        <f t="shared" si="273"/>
        <v>0</v>
      </c>
      <c r="Q481" s="233">
        <f t="shared" si="273"/>
        <v>0</v>
      </c>
      <c r="R481" s="233">
        <f t="shared" si="273"/>
        <v>0</v>
      </c>
      <c r="S481" s="233">
        <f t="shared" si="273"/>
        <v>0</v>
      </c>
      <c r="T481" s="233">
        <f t="shared" si="273"/>
        <v>0</v>
      </c>
      <c r="U481" s="233">
        <f t="shared" si="273"/>
        <v>0</v>
      </c>
      <c r="V481" s="233">
        <f t="shared" si="273"/>
        <v>0</v>
      </c>
      <c r="W481" s="233">
        <f t="shared" si="273"/>
        <v>0</v>
      </c>
      <c r="X481" s="233">
        <f t="shared" si="273"/>
        <v>0</v>
      </c>
      <c r="Y481" s="233">
        <f t="shared" si="273"/>
        <v>0</v>
      </c>
      <c r="Z481" s="233">
        <f t="shared" si="273"/>
        <v>0</v>
      </c>
      <c r="AA481" s="233">
        <f t="shared" si="273"/>
        <v>0</v>
      </c>
      <c r="AB481" s="233">
        <f t="shared" si="273"/>
        <v>0</v>
      </c>
      <c r="AC481" s="233">
        <f t="shared" si="273"/>
        <v>0</v>
      </c>
      <c r="AD481" s="233">
        <f t="shared" si="273"/>
        <v>0</v>
      </c>
      <c r="AE481" s="233">
        <f t="shared" si="273"/>
        <v>0</v>
      </c>
      <c r="AF481" s="233">
        <f t="shared" si="273"/>
        <v>0</v>
      </c>
      <c r="AG481" s="233">
        <f t="shared" si="273"/>
        <v>0</v>
      </c>
      <c r="AH481" s="233">
        <f t="shared" si="273"/>
        <v>0</v>
      </c>
      <c r="AI481" s="233">
        <f t="shared" si="273"/>
        <v>0</v>
      </c>
      <c r="AJ481" s="233">
        <f t="shared" si="273"/>
        <v>0</v>
      </c>
      <c r="AK481" s="233">
        <f t="shared" si="273"/>
        <v>0</v>
      </c>
      <c r="AL481" s="233">
        <f t="shared" si="273"/>
        <v>0</v>
      </c>
      <c r="AM481" s="233">
        <f t="shared" si="273"/>
        <v>0</v>
      </c>
      <c r="AN481" s="233">
        <f t="shared" si="273"/>
        <v>0</v>
      </c>
      <c r="AO481" s="233">
        <f t="shared" si="273"/>
        <v>0</v>
      </c>
      <c r="AP481" s="233">
        <f t="shared" si="273"/>
        <v>0</v>
      </c>
    </row>
    <row r="482" spans="1:42" s="118" customFormat="1">
      <c r="A482" s="204" t="s">
        <v>175</v>
      </c>
      <c r="C482" s="203">
        <f>C$5/1000</f>
        <v>17000</v>
      </c>
      <c r="D482" s="203">
        <f>D$5/1000</f>
        <v>16915</v>
      </c>
      <c r="E482" s="203">
        <f t="shared" ref="E482:AP482" si="274">E$5/1000</f>
        <v>16830.424999999999</v>
      </c>
      <c r="F482" s="203">
        <f t="shared" si="274"/>
        <v>16746.272874999999</v>
      </c>
      <c r="G482" s="203">
        <f t="shared" si="274"/>
        <v>16662.541510625</v>
      </c>
      <c r="H482" s="203">
        <f t="shared" si="274"/>
        <v>16579.228803071874</v>
      </c>
      <c r="I482" s="203">
        <f t="shared" si="274"/>
        <v>16496.332659056516</v>
      </c>
      <c r="J482" s="203">
        <f t="shared" si="274"/>
        <v>16413.850995761233</v>
      </c>
      <c r="K482" s="203">
        <f t="shared" si="274"/>
        <v>16331.781740782426</v>
      </c>
      <c r="L482" s="203">
        <f t="shared" si="274"/>
        <v>16250.122832078514</v>
      </c>
      <c r="M482" s="203">
        <f t="shared" si="274"/>
        <v>16168.872217918122</v>
      </c>
      <c r="N482" s="203">
        <f t="shared" si="274"/>
        <v>16088.027856828532</v>
      </c>
      <c r="O482" s="203">
        <f t="shared" si="274"/>
        <v>16007.587717544387</v>
      </c>
      <c r="P482" s="203">
        <f t="shared" si="274"/>
        <v>15927.549778956667</v>
      </c>
      <c r="Q482" s="203">
        <f t="shared" si="274"/>
        <v>15847.912030061883</v>
      </c>
      <c r="R482" s="203">
        <f t="shared" si="274"/>
        <v>15768.672469911573</v>
      </c>
      <c r="S482" s="203">
        <f t="shared" si="274"/>
        <v>15689.829107562015</v>
      </c>
      <c r="T482" s="203">
        <f t="shared" si="274"/>
        <v>15611.379962024204</v>
      </c>
      <c r="U482" s="203">
        <f t="shared" si="274"/>
        <v>15533.323062214084</v>
      </c>
      <c r="V482" s="203">
        <f t="shared" si="274"/>
        <v>15455.656446903013</v>
      </c>
      <c r="W482" s="203">
        <f t="shared" si="274"/>
        <v>15378.378164668497</v>
      </c>
      <c r="X482" s="203">
        <f t="shared" si="274"/>
        <v>15301.486273845156</v>
      </c>
      <c r="Y482" s="203">
        <f t="shared" si="274"/>
        <v>15224.978842475928</v>
      </c>
      <c r="Z482" s="203">
        <f t="shared" si="274"/>
        <v>15148.853948263548</v>
      </c>
      <c r="AA482" s="203">
        <f t="shared" si="274"/>
        <v>15073.109678522231</v>
      </c>
      <c r="AB482" s="203">
        <f t="shared" si="274"/>
        <v>14997.74413012962</v>
      </c>
      <c r="AC482" s="203">
        <f t="shared" si="274"/>
        <v>14922.755409478972</v>
      </c>
      <c r="AD482" s="203">
        <f t="shared" si="274"/>
        <v>14848.141632431576</v>
      </c>
      <c r="AE482" s="203">
        <f t="shared" si="274"/>
        <v>14773.900924269417</v>
      </c>
      <c r="AF482" s="203">
        <f t="shared" si="274"/>
        <v>14700.03141964807</v>
      </c>
      <c r="AG482" s="203">
        <f t="shared" si="274"/>
        <v>0</v>
      </c>
      <c r="AH482" s="203">
        <f t="shared" si="274"/>
        <v>0</v>
      </c>
      <c r="AI482" s="203">
        <f t="shared" si="274"/>
        <v>0</v>
      </c>
      <c r="AJ482" s="203">
        <f t="shared" si="274"/>
        <v>0</v>
      </c>
      <c r="AK482" s="203">
        <f t="shared" si="274"/>
        <v>0</v>
      </c>
      <c r="AL482" s="203">
        <f t="shared" si="274"/>
        <v>0</v>
      </c>
      <c r="AM482" s="203">
        <f t="shared" si="274"/>
        <v>0</v>
      </c>
      <c r="AN482" s="203">
        <f t="shared" si="274"/>
        <v>0</v>
      </c>
      <c r="AO482" s="203">
        <f t="shared" si="274"/>
        <v>0</v>
      </c>
      <c r="AP482" s="203">
        <f t="shared" si="274"/>
        <v>0</v>
      </c>
    </row>
    <row r="483" spans="1:42" s="118" customFormat="1">
      <c r="A483" s="204" t="s">
        <v>53</v>
      </c>
      <c r="C483" s="141">
        <f>C481*C482</f>
        <v>0</v>
      </c>
      <c r="D483" s="141">
        <f>D481*D482</f>
        <v>0</v>
      </c>
      <c r="E483" s="141">
        <f t="shared" ref="E483:AP483" si="275">E481*E482</f>
        <v>0</v>
      </c>
      <c r="F483" s="141">
        <f t="shared" si="275"/>
        <v>0</v>
      </c>
      <c r="G483" s="141">
        <f t="shared" si="275"/>
        <v>0</v>
      </c>
      <c r="H483" s="141">
        <f t="shared" si="275"/>
        <v>0</v>
      </c>
      <c r="I483" s="141">
        <f t="shared" si="275"/>
        <v>0</v>
      </c>
      <c r="J483" s="141">
        <f t="shared" si="275"/>
        <v>0</v>
      </c>
      <c r="K483" s="141">
        <f t="shared" si="275"/>
        <v>0</v>
      </c>
      <c r="L483" s="141">
        <f t="shared" si="275"/>
        <v>0</v>
      </c>
      <c r="M483" s="141">
        <f t="shared" si="275"/>
        <v>0</v>
      </c>
      <c r="N483" s="141">
        <f t="shared" si="275"/>
        <v>0</v>
      </c>
      <c r="O483" s="141">
        <f t="shared" si="275"/>
        <v>0</v>
      </c>
      <c r="P483" s="141">
        <f t="shared" si="275"/>
        <v>0</v>
      </c>
      <c r="Q483" s="141">
        <f t="shared" si="275"/>
        <v>0</v>
      </c>
      <c r="R483" s="141">
        <f t="shared" si="275"/>
        <v>0</v>
      </c>
      <c r="S483" s="141">
        <f t="shared" si="275"/>
        <v>0</v>
      </c>
      <c r="T483" s="141">
        <f t="shared" si="275"/>
        <v>0</v>
      </c>
      <c r="U483" s="141">
        <f t="shared" si="275"/>
        <v>0</v>
      </c>
      <c r="V483" s="141">
        <f t="shared" si="275"/>
        <v>0</v>
      </c>
      <c r="W483" s="141">
        <f t="shared" si="275"/>
        <v>0</v>
      </c>
      <c r="X483" s="141">
        <f t="shared" si="275"/>
        <v>0</v>
      </c>
      <c r="Y483" s="141">
        <f t="shared" si="275"/>
        <v>0</v>
      </c>
      <c r="Z483" s="141">
        <f t="shared" si="275"/>
        <v>0</v>
      </c>
      <c r="AA483" s="141">
        <f t="shared" si="275"/>
        <v>0</v>
      </c>
      <c r="AB483" s="141">
        <f t="shared" si="275"/>
        <v>0</v>
      </c>
      <c r="AC483" s="141">
        <f t="shared" si="275"/>
        <v>0</v>
      </c>
      <c r="AD483" s="141">
        <f t="shared" si="275"/>
        <v>0</v>
      </c>
      <c r="AE483" s="141">
        <f t="shared" si="275"/>
        <v>0</v>
      </c>
      <c r="AF483" s="141">
        <f t="shared" si="275"/>
        <v>0</v>
      </c>
      <c r="AG483" s="141">
        <f t="shared" si="275"/>
        <v>0</v>
      </c>
      <c r="AH483" s="141">
        <f t="shared" si="275"/>
        <v>0</v>
      </c>
      <c r="AI483" s="141">
        <f t="shared" si="275"/>
        <v>0</v>
      </c>
      <c r="AJ483" s="141">
        <f t="shared" si="275"/>
        <v>0</v>
      </c>
      <c r="AK483" s="141">
        <f t="shared" si="275"/>
        <v>0</v>
      </c>
      <c r="AL483" s="141">
        <f t="shared" si="275"/>
        <v>0</v>
      </c>
      <c r="AM483" s="141">
        <f t="shared" si="275"/>
        <v>0</v>
      </c>
      <c r="AN483" s="141">
        <f t="shared" si="275"/>
        <v>0</v>
      </c>
      <c r="AO483" s="141">
        <f t="shared" si="275"/>
        <v>0</v>
      </c>
      <c r="AP483" s="141">
        <f t="shared" si="275"/>
        <v>0</v>
      </c>
    </row>
    <row r="484" spans="1:42" s="118" customFormat="1">
      <c r="A484" s="204"/>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c r="AA484" s="141"/>
      <c r="AB484" s="141"/>
      <c r="AC484" s="141"/>
      <c r="AD484" s="141"/>
      <c r="AE484" s="141"/>
      <c r="AF484" s="141"/>
      <c r="AG484" s="141"/>
      <c r="AH484" s="141"/>
      <c r="AI484" s="141"/>
      <c r="AJ484" s="141"/>
      <c r="AK484" s="141"/>
      <c r="AL484" s="141"/>
      <c r="AM484" s="141"/>
      <c r="AN484" s="141"/>
      <c r="AO484" s="141"/>
      <c r="AP484" s="141"/>
    </row>
    <row r="485" spans="1:42">
      <c r="A485" s="179" t="s">
        <v>58</v>
      </c>
      <c r="C485" s="186"/>
      <c r="D485" s="186"/>
      <c r="E485" s="186"/>
      <c r="F485" s="186"/>
      <c r="G485" s="186"/>
      <c r="H485" s="186"/>
      <c r="I485" s="186"/>
      <c r="J485" s="186"/>
      <c r="K485" s="186"/>
      <c r="L485" s="186"/>
      <c r="M485" s="186"/>
      <c r="N485" s="186"/>
      <c r="O485" s="186"/>
      <c r="P485" s="186"/>
      <c r="Q485" s="186"/>
      <c r="R485" s="186"/>
      <c r="S485" s="186"/>
      <c r="T485" s="186"/>
      <c r="U485" s="186"/>
      <c r="V485" s="186"/>
      <c r="W485" s="186"/>
      <c r="X485" s="186"/>
      <c r="Y485" s="186"/>
      <c r="Z485" s="186"/>
      <c r="AA485" s="186"/>
      <c r="AB485" s="186"/>
      <c r="AC485" s="186"/>
      <c r="AD485" s="186"/>
      <c r="AE485" s="186"/>
      <c r="AF485" s="186"/>
      <c r="AG485" s="186"/>
      <c r="AH485" s="186"/>
      <c r="AI485" s="186"/>
      <c r="AJ485" s="186"/>
      <c r="AK485" s="186"/>
      <c r="AL485" s="186"/>
      <c r="AM485" s="186"/>
      <c r="AN485" s="186"/>
      <c r="AO485" s="186"/>
      <c r="AP485" s="186"/>
    </row>
    <row r="486" spans="1:42">
      <c r="A486" s="197" t="str">
        <f>'Inputs &amp; Results'!A49</f>
        <v>Fixed Amount ($)</v>
      </c>
      <c r="B486" s="118"/>
      <c r="C486" s="118"/>
      <c r="D486" s="186"/>
      <c r="E486" s="186"/>
      <c r="F486" s="186"/>
      <c r="G486" s="186"/>
      <c r="H486" s="186"/>
      <c r="I486" s="186"/>
      <c r="J486" s="186"/>
      <c r="K486" s="186"/>
      <c r="L486" s="186"/>
      <c r="M486" s="186"/>
      <c r="N486" s="186"/>
      <c r="O486" s="186"/>
      <c r="P486" s="186"/>
      <c r="Q486" s="186"/>
      <c r="R486" s="186"/>
      <c r="S486" s="186"/>
      <c r="T486" s="186"/>
      <c r="U486" s="186"/>
      <c r="V486" s="186"/>
      <c r="W486" s="186"/>
      <c r="X486" s="186"/>
      <c r="Y486" s="186"/>
      <c r="Z486" s="186"/>
      <c r="AA486" s="186"/>
      <c r="AB486" s="186"/>
      <c r="AC486" s="186"/>
      <c r="AD486" s="186"/>
      <c r="AE486" s="186"/>
      <c r="AF486" s="186"/>
      <c r="AG486" s="186"/>
      <c r="AH486" s="186"/>
      <c r="AI486" s="186"/>
      <c r="AJ486" s="186"/>
      <c r="AK486" s="186"/>
      <c r="AL486" s="186"/>
      <c r="AM486" s="186"/>
      <c r="AN486" s="186"/>
      <c r="AO486" s="186"/>
      <c r="AP486" s="186"/>
    </row>
    <row r="487" spans="1:42">
      <c r="A487" s="204" t="str">
        <f>'Inputs &amp; Results'!A50</f>
        <v>Federal</v>
      </c>
      <c r="B487" s="118"/>
      <c r="C487" s="198">
        <f>IBIFedFixed</f>
        <v>1000</v>
      </c>
      <c r="D487" s="186"/>
      <c r="E487" s="186"/>
      <c r="F487" s="186"/>
      <c r="G487" s="186"/>
      <c r="H487" s="186"/>
      <c r="I487" s="186"/>
      <c r="J487" s="186"/>
      <c r="K487" s="186"/>
      <c r="L487" s="186"/>
      <c r="M487" s="186"/>
      <c r="N487" s="186"/>
      <c r="O487" s="186"/>
      <c r="P487" s="186"/>
      <c r="Q487" s="186"/>
      <c r="R487" s="186"/>
      <c r="S487" s="186"/>
      <c r="T487" s="186"/>
      <c r="U487" s="186"/>
      <c r="V487" s="186"/>
      <c r="W487" s="186"/>
      <c r="X487" s="186"/>
      <c r="Y487" s="186"/>
      <c r="Z487" s="186"/>
      <c r="AA487" s="186"/>
      <c r="AB487" s="186"/>
      <c r="AC487" s="186"/>
      <c r="AD487" s="186"/>
      <c r="AE487" s="186"/>
      <c r="AF487" s="186"/>
      <c r="AG487" s="186"/>
      <c r="AH487" s="186"/>
      <c r="AI487" s="186"/>
      <c r="AJ487" s="186"/>
      <c r="AK487" s="186"/>
      <c r="AL487" s="186"/>
      <c r="AM487" s="186"/>
      <c r="AN487" s="186"/>
      <c r="AO487" s="186"/>
      <c r="AP487" s="186"/>
    </row>
    <row r="488" spans="1:42">
      <c r="A488" s="204" t="str">
        <f>'Inputs &amp; Results'!A51</f>
        <v>State</v>
      </c>
      <c r="B488" s="118"/>
      <c r="C488" s="198">
        <f>IBIStateFixed</f>
        <v>2000</v>
      </c>
      <c r="D488" s="186"/>
      <c r="E488" s="186"/>
      <c r="F488" s="186"/>
      <c r="G488" s="186"/>
      <c r="H488" s="186"/>
      <c r="I488" s="186"/>
      <c r="J488" s="186"/>
      <c r="K488" s="186"/>
      <c r="L488" s="186"/>
      <c r="M488" s="186"/>
      <c r="N488" s="186"/>
      <c r="O488" s="186"/>
      <c r="P488" s="186"/>
      <c r="Q488" s="186"/>
      <c r="R488" s="186"/>
      <c r="S488" s="186"/>
      <c r="T488" s="186"/>
      <c r="U488" s="186"/>
      <c r="V488" s="186"/>
      <c r="W488" s="186"/>
      <c r="X488" s="186"/>
      <c r="Y488" s="186"/>
      <c r="Z488" s="186"/>
      <c r="AA488" s="186"/>
      <c r="AB488" s="186"/>
      <c r="AC488" s="186"/>
      <c r="AD488" s="186"/>
      <c r="AE488" s="186"/>
      <c r="AF488" s="186"/>
      <c r="AG488" s="186"/>
      <c r="AH488" s="186"/>
      <c r="AI488" s="186"/>
      <c r="AJ488" s="186"/>
      <c r="AK488" s="186"/>
      <c r="AL488" s="186"/>
      <c r="AM488" s="186"/>
      <c r="AN488" s="186"/>
      <c r="AO488" s="186"/>
      <c r="AP488" s="186"/>
    </row>
    <row r="489" spans="1:42">
      <c r="A489" s="204" t="str">
        <f>'Inputs &amp; Results'!A52</f>
        <v>Utility</v>
      </c>
      <c r="B489" s="118"/>
      <c r="C489" s="198">
        <f>IBIUtilityFixed</f>
        <v>500</v>
      </c>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c r="AM489" s="186"/>
      <c r="AN489" s="186"/>
      <c r="AO489" s="186"/>
      <c r="AP489" s="186"/>
    </row>
    <row r="490" spans="1:42">
      <c r="A490" s="204" t="str">
        <f>'Inputs &amp; Results'!A53</f>
        <v>Other</v>
      </c>
      <c r="C490" s="203">
        <f>IBIOtherFixed</f>
        <v>250</v>
      </c>
      <c r="D490" s="186"/>
      <c r="E490" s="186"/>
      <c r="F490" s="186"/>
      <c r="G490" s="186"/>
      <c r="H490" s="186"/>
      <c r="I490" s="186"/>
      <c r="J490" s="186"/>
      <c r="K490" s="186"/>
      <c r="L490" s="186"/>
      <c r="M490" s="186"/>
      <c r="N490" s="186"/>
      <c r="O490" s="186"/>
      <c r="P490" s="186"/>
      <c r="Q490" s="186"/>
      <c r="R490" s="186"/>
      <c r="S490" s="186"/>
      <c r="T490" s="186"/>
      <c r="U490" s="186"/>
      <c r="V490" s="186"/>
      <c r="W490" s="186"/>
      <c r="X490" s="186"/>
      <c r="Y490" s="186"/>
      <c r="Z490" s="186"/>
      <c r="AA490" s="186"/>
      <c r="AB490" s="186"/>
      <c r="AC490" s="186"/>
      <c r="AD490" s="186"/>
      <c r="AE490" s="186"/>
      <c r="AF490" s="186"/>
      <c r="AG490" s="186"/>
      <c r="AH490" s="186"/>
      <c r="AI490" s="186"/>
      <c r="AJ490" s="186"/>
      <c r="AK490" s="186"/>
      <c r="AL490" s="186"/>
      <c r="AM490" s="186"/>
      <c r="AN490" s="186"/>
      <c r="AO490" s="186"/>
      <c r="AP490" s="186"/>
    </row>
    <row r="491" spans="1:42">
      <c r="A491" s="184" t="s">
        <v>53</v>
      </c>
      <c r="C491" s="186">
        <f>SUM(C487:C490)</f>
        <v>3750</v>
      </c>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row>
    <row r="492" spans="1:42">
      <c r="A492" s="197" t="str">
        <f>'Inputs &amp; Results'!A54</f>
        <v>Percentage of Pre-Financing Costs</v>
      </c>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row>
    <row r="493" spans="1:42">
      <c r="A493" s="204" t="str">
        <f>'Inputs &amp; Results'!A55</f>
        <v>Federal</v>
      </c>
      <c r="C493" s="198">
        <f>IBIFedPercent</f>
        <v>2011357.5</v>
      </c>
      <c r="D493" s="186"/>
      <c r="E493" s="186"/>
      <c r="F493" s="186"/>
      <c r="G493" s="186"/>
      <c r="H493" s="186"/>
      <c r="I493" s="186"/>
      <c r="J493" s="186"/>
      <c r="K493" s="186"/>
      <c r="L493" s="186"/>
      <c r="M493" s="186"/>
      <c r="N493" s="186"/>
      <c r="O493" s="186"/>
      <c r="P493" s="186"/>
      <c r="Q493" s="186"/>
      <c r="R493" s="186"/>
      <c r="S493" s="186"/>
      <c r="T493" s="186"/>
      <c r="U493" s="186"/>
      <c r="V493" s="186"/>
      <c r="W493" s="186"/>
      <c r="X493" s="186"/>
      <c r="Y493" s="186"/>
      <c r="Z493" s="186"/>
      <c r="AA493" s="186"/>
      <c r="AB493" s="186"/>
      <c r="AC493" s="186"/>
      <c r="AD493" s="186"/>
      <c r="AE493" s="186"/>
      <c r="AF493" s="186"/>
      <c r="AG493" s="186"/>
      <c r="AH493" s="186"/>
      <c r="AI493" s="186"/>
      <c r="AJ493" s="186"/>
      <c r="AK493" s="186"/>
      <c r="AL493" s="186"/>
      <c r="AM493" s="186"/>
      <c r="AN493" s="186"/>
      <c r="AO493" s="186"/>
      <c r="AP493" s="186"/>
    </row>
    <row r="494" spans="1:42">
      <c r="A494" s="204" t="str">
        <f>'Inputs &amp; Results'!A56</f>
        <v>State</v>
      </c>
      <c r="C494" s="198">
        <f>IBIStatePercent</f>
        <v>4022715</v>
      </c>
      <c r="D494" s="186"/>
      <c r="E494" s="186"/>
      <c r="F494" s="186"/>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row>
    <row r="495" spans="1:42">
      <c r="A495" s="204" t="str">
        <f>'Inputs &amp; Results'!A57</f>
        <v>Utility</v>
      </c>
      <c r="C495" s="198">
        <f>IBIUtilityPercent</f>
        <v>402271.5</v>
      </c>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row>
    <row r="496" spans="1:42">
      <c r="A496" s="204" t="str">
        <f>'Inputs &amp; Results'!A58</f>
        <v>Other</v>
      </c>
      <c r="C496" s="203">
        <f>IBIOtherPercent</f>
        <v>201135.75</v>
      </c>
      <c r="D496" s="186"/>
      <c r="E496" s="186"/>
      <c r="F496" s="186"/>
      <c r="G496" s="186"/>
      <c r="H496" s="186"/>
      <c r="I496" s="186"/>
      <c r="J496" s="186"/>
      <c r="K496" s="186"/>
      <c r="L496" s="186"/>
      <c r="M496" s="186"/>
      <c r="N496" s="186"/>
      <c r="O496" s="186"/>
      <c r="P496" s="186"/>
      <c r="Q496" s="186"/>
      <c r="R496" s="186"/>
      <c r="S496" s="186"/>
      <c r="T496" s="186"/>
      <c r="U496" s="186"/>
      <c r="V496" s="186"/>
      <c r="W496" s="186"/>
      <c r="X496" s="186"/>
      <c r="Y496" s="186"/>
      <c r="Z496" s="186"/>
      <c r="AA496" s="186"/>
      <c r="AB496" s="186"/>
      <c r="AC496" s="186"/>
      <c r="AD496" s="186"/>
      <c r="AE496" s="186"/>
      <c r="AF496" s="186"/>
      <c r="AG496" s="186"/>
      <c r="AH496" s="186"/>
      <c r="AI496" s="186"/>
      <c r="AJ496" s="186"/>
      <c r="AK496" s="186"/>
      <c r="AL496" s="186"/>
      <c r="AM496" s="186"/>
      <c r="AN496" s="186"/>
      <c r="AO496" s="186"/>
      <c r="AP496" s="186"/>
    </row>
    <row r="497" spans="1:42">
      <c r="A497" s="204" t="s">
        <v>53</v>
      </c>
      <c r="C497" s="186">
        <f>SUM(C493:C496)</f>
        <v>6637479.75</v>
      </c>
      <c r="D497" s="186"/>
      <c r="E497" s="186"/>
      <c r="F497" s="186"/>
      <c r="G497" s="186"/>
      <c r="H497" s="186"/>
      <c r="I497" s="186"/>
      <c r="J497" s="186"/>
      <c r="K497" s="186"/>
      <c r="L497" s="186"/>
      <c r="M497" s="186"/>
      <c r="N497" s="186"/>
      <c r="O497" s="186"/>
      <c r="P497" s="186"/>
      <c r="Q497" s="186"/>
      <c r="R497" s="186"/>
      <c r="S497" s="186"/>
      <c r="T497" s="186"/>
      <c r="U497" s="186"/>
      <c r="V497" s="186"/>
      <c r="W497" s="186"/>
      <c r="X497" s="186"/>
      <c r="Y497" s="186"/>
      <c r="Z497" s="186"/>
      <c r="AA497" s="186"/>
      <c r="AB497" s="186"/>
      <c r="AC497" s="186"/>
      <c r="AD497" s="186"/>
      <c r="AE497" s="186"/>
      <c r="AF497" s="186"/>
      <c r="AG497" s="186"/>
      <c r="AH497" s="186"/>
      <c r="AI497" s="186"/>
      <c r="AJ497" s="186"/>
      <c r="AK497" s="186"/>
      <c r="AL497" s="186"/>
      <c r="AM497" s="186"/>
      <c r="AN497" s="186"/>
      <c r="AO497" s="186"/>
      <c r="AP497" s="186"/>
    </row>
    <row r="498" spans="1:42">
      <c r="A498" s="179" t="s">
        <v>128</v>
      </c>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197" t="str">
        <f>'Inputs &amp; Results'!A60</f>
        <v>Federal</v>
      </c>
      <c r="B499" s="118"/>
      <c r="C499" s="198">
        <f>CBIFed</f>
        <v>5000000</v>
      </c>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197" t="str">
        <f>'Inputs &amp; Results'!A61</f>
        <v>State</v>
      </c>
      <c r="B500" s="118"/>
      <c r="C500" s="198">
        <f>CBIState</f>
        <v>2000000</v>
      </c>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c r="AM500" s="186"/>
      <c r="AN500" s="186"/>
      <c r="AO500" s="186"/>
      <c r="AP500" s="186"/>
    </row>
    <row r="501" spans="1:42">
      <c r="A501" s="197" t="str">
        <f>'Inputs &amp; Results'!A62</f>
        <v>Utility</v>
      </c>
      <c r="B501" s="118"/>
      <c r="C501" s="198">
        <f>CBIUtility</f>
        <v>100000</v>
      </c>
      <c r="D501" s="186"/>
      <c r="E501" s="186"/>
      <c r="F501" s="186"/>
      <c r="G501" s="186"/>
      <c r="H501" s="186"/>
      <c r="I501" s="186"/>
      <c r="J501" s="186"/>
      <c r="K501" s="186"/>
      <c r="L501" s="186"/>
      <c r="M501" s="186"/>
      <c r="N501" s="186"/>
      <c r="O501" s="186"/>
      <c r="P501" s="186"/>
      <c r="Q501" s="186"/>
      <c r="R501" s="186"/>
      <c r="S501" s="186"/>
      <c r="T501" s="186"/>
      <c r="U501" s="186"/>
      <c r="V501" s="186"/>
      <c r="W501" s="186"/>
      <c r="X501" s="186"/>
      <c r="Y501" s="186"/>
      <c r="Z501" s="186"/>
      <c r="AA501" s="186"/>
      <c r="AB501" s="186"/>
      <c r="AC501" s="186"/>
      <c r="AD501" s="186"/>
      <c r="AE501" s="186"/>
      <c r="AF501" s="186"/>
      <c r="AG501" s="186"/>
      <c r="AH501" s="186"/>
      <c r="AI501" s="186"/>
      <c r="AJ501" s="186"/>
      <c r="AK501" s="186"/>
      <c r="AL501" s="186"/>
      <c r="AM501" s="186"/>
      <c r="AN501" s="186"/>
      <c r="AO501" s="186"/>
      <c r="AP501" s="186"/>
    </row>
    <row r="502" spans="1:42">
      <c r="A502" s="197" t="str">
        <f>'Inputs &amp; Results'!A63</f>
        <v>Other</v>
      </c>
      <c r="C502" s="203">
        <f>CBIOther</f>
        <v>50000</v>
      </c>
      <c r="D502" s="186"/>
      <c r="E502" s="186"/>
      <c r="F502" s="186"/>
      <c r="G502" s="186"/>
      <c r="H502" s="186"/>
      <c r="I502" s="186"/>
      <c r="J502" s="186"/>
      <c r="K502" s="186"/>
      <c r="L502" s="186"/>
      <c r="M502" s="186"/>
      <c r="N502" s="186"/>
      <c r="O502" s="186"/>
      <c r="P502" s="186"/>
      <c r="Q502" s="186"/>
      <c r="R502" s="186"/>
      <c r="S502" s="186"/>
      <c r="T502" s="186"/>
      <c r="U502" s="186"/>
      <c r="V502" s="186"/>
      <c r="W502" s="186"/>
      <c r="X502" s="186"/>
      <c r="Y502" s="186"/>
      <c r="Z502" s="186"/>
      <c r="AA502" s="186"/>
      <c r="AB502" s="186"/>
      <c r="AC502" s="186"/>
      <c r="AD502" s="186"/>
      <c r="AE502" s="186"/>
      <c r="AF502" s="186"/>
      <c r="AG502" s="186"/>
      <c r="AH502" s="186"/>
      <c r="AI502" s="186"/>
      <c r="AJ502" s="186"/>
      <c r="AK502" s="186"/>
      <c r="AL502" s="186"/>
      <c r="AM502" s="186"/>
      <c r="AN502" s="186"/>
      <c r="AO502" s="186"/>
      <c r="AP502" s="186"/>
    </row>
    <row r="503" spans="1:42">
      <c r="A503" s="180" t="s">
        <v>53</v>
      </c>
      <c r="C503" s="186">
        <f>SUM(C499:C502)</f>
        <v>7150000</v>
      </c>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179" t="s">
        <v>125</v>
      </c>
    </row>
    <row r="506" spans="1:42">
      <c r="A506" s="180" t="str">
        <f>'Inputs &amp; Results'!A67</f>
        <v>Federal</v>
      </c>
    </row>
    <row r="507" spans="1:42">
      <c r="A507" s="184" t="s">
        <v>126</v>
      </c>
      <c r="C507" s="232">
        <f t="shared" ref="C507:AP507" si="276">IF(AND(C$2&lt;=PBIFedTerm,C$2&lt;=AnalysisPeriod),PBIFed*(1+PBIFedEsc)^B$2,0)</f>
        <v>0</v>
      </c>
      <c r="D507" s="232">
        <f t="shared" si="276"/>
        <v>0</v>
      </c>
      <c r="E507" s="232">
        <f t="shared" si="276"/>
        <v>0</v>
      </c>
      <c r="F507" s="232">
        <f t="shared" si="276"/>
        <v>0</v>
      </c>
      <c r="G507" s="232">
        <f t="shared" si="276"/>
        <v>0</v>
      </c>
      <c r="H507" s="232">
        <f t="shared" si="276"/>
        <v>0</v>
      </c>
      <c r="I507" s="232">
        <f t="shared" si="276"/>
        <v>0</v>
      </c>
      <c r="J507" s="232">
        <f t="shared" si="276"/>
        <v>0</v>
      </c>
      <c r="K507" s="232">
        <f t="shared" si="276"/>
        <v>0</v>
      </c>
      <c r="L507" s="232">
        <f t="shared" si="276"/>
        <v>0</v>
      </c>
      <c r="M507" s="232">
        <f t="shared" si="276"/>
        <v>0</v>
      </c>
      <c r="N507" s="232">
        <f t="shared" si="276"/>
        <v>0</v>
      </c>
      <c r="O507" s="232">
        <f t="shared" si="276"/>
        <v>0</v>
      </c>
      <c r="P507" s="232">
        <f t="shared" si="276"/>
        <v>0</v>
      </c>
      <c r="Q507" s="232">
        <f t="shared" si="276"/>
        <v>0</v>
      </c>
      <c r="R507" s="232">
        <f t="shared" si="276"/>
        <v>0</v>
      </c>
      <c r="S507" s="232">
        <f t="shared" si="276"/>
        <v>0</v>
      </c>
      <c r="T507" s="232">
        <f t="shared" si="276"/>
        <v>0</v>
      </c>
      <c r="U507" s="232">
        <f t="shared" si="276"/>
        <v>0</v>
      </c>
      <c r="V507" s="232">
        <f t="shared" si="276"/>
        <v>0</v>
      </c>
      <c r="W507" s="232">
        <f t="shared" si="276"/>
        <v>0</v>
      </c>
      <c r="X507" s="232">
        <f t="shared" si="276"/>
        <v>0</v>
      </c>
      <c r="Y507" s="232">
        <f t="shared" si="276"/>
        <v>0</v>
      </c>
      <c r="Z507" s="232">
        <f t="shared" si="276"/>
        <v>0</v>
      </c>
      <c r="AA507" s="232">
        <f t="shared" si="276"/>
        <v>0</v>
      </c>
      <c r="AB507" s="232">
        <f t="shared" si="276"/>
        <v>0</v>
      </c>
      <c r="AC507" s="232">
        <f t="shared" si="276"/>
        <v>0</v>
      </c>
      <c r="AD507" s="232">
        <f t="shared" si="276"/>
        <v>0</v>
      </c>
      <c r="AE507" s="232">
        <f t="shared" si="276"/>
        <v>0</v>
      </c>
      <c r="AF507" s="232">
        <f t="shared" si="276"/>
        <v>0</v>
      </c>
      <c r="AG507" s="232">
        <f t="shared" si="276"/>
        <v>0</v>
      </c>
      <c r="AH507" s="232">
        <f t="shared" si="276"/>
        <v>0</v>
      </c>
      <c r="AI507" s="232">
        <f t="shared" si="276"/>
        <v>0</v>
      </c>
      <c r="AJ507" s="232">
        <f t="shared" si="276"/>
        <v>0</v>
      </c>
      <c r="AK507" s="232">
        <f t="shared" si="276"/>
        <v>0</v>
      </c>
      <c r="AL507" s="232">
        <f t="shared" si="276"/>
        <v>0</v>
      </c>
      <c r="AM507" s="232">
        <f t="shared" si="276"/>
        <v>0</v>
      </c>
      <c r="AN507" s="232">
        <f t="shared" si="276"/>
        <v>0</v>
      </c>
      <c r="AO507" s="232">
        <f t="shared" si="276"/>
        <v>0</v>
      </c>
      <c r="AP507" s="232">
        <f t="shared" si="276"/>
        <v>0</v>
      </c>
    </row>
    <row r="508" spans="1:42">
      <c r="A508" s="184" t="s">
        <v>127</v>
      </c>
      <c r="C508" s="203">
        <f>C$5</f>
        <v>17000000</v>
      </c>
      <c r="D508" s="203">
        <f t="shared" ref="D508:AP508" si="277">D$5</f>
        <v>16915000</v>
      </c>
      <c r="E508" s="203">
        <f t="shared" si="277"/>
        <v>16830425</v>
      </c>
      <c r="F508" s="203">
        <f t="shared" si="277"/>
        <v>16746272.875</v>
      </c>
      <c r="G508" s="203">
        <f t="shared" si="277"/>
        <v>16662541.510624999</v>
      </c>
      <c r="H508" s="203">
        <f t="shared" si="277"/>
        <v>16579228.803071873</v>
      </c>
      <c r="I508" s="203">
        <f t="shared" si="277"/>
        <v>16496332.659056515</v>
      </c>
      <c r="J508" s="203">
        <f t="shared" si="277"/>
        <v>16413850.995761232</v>
      </c>
      <c r="K508" s="203">
        <f t="shared" si="277"/>
        <v>16331781.740782427</v>
      </c>
      <c r="L508" s="203">
        <f t="shared" si="277"/>
        <v>16250122.832078515</v>
      </c>
      <c r="M508" s="203">
        <f t="shared" si="277"/>
        <v>16168872.217918122</v>
      </c>
      <c r="N508" s="203">
        <f t="shared" si="277"/>
        <v>16088027.856828531</v>
      </c>
      <c r="O508" s="203">
        <f t="shared" si="277"/>
        <v>16007587.717544388</v>
      </c>
      <c r="P508" s="203">
        <f t="shared" si="277"/>
        <v>15927549.778956667</v>
      </c>
      <c r="Q508" s="203">
        <f t="shared" si="277"/>
        <v>15847912.030061884</v>
      </c>
      <c r="R508" s="203">
        <f t="shared" si="277"/>
        <v>15768672.469911573</v>
      </c>
      <c r="S508" s="203">
        <f t="shared" si="277"/>
        <v>15689829.107562015</v>
      </c>
      <c r="T508" s="203">
        <f t="shared" si="277"/>
        <v>15611379.962024204</v>
      </c>
      <c r="U508" s="203">
        <f t="shared" si="277"/>
        <v>15533323.062214084</v>
      </c>
      <c r="V508" s="203">
        <f t="shared" si="277"/>
        <v>15455656.446903013</v>
      </c>
      <c r="W508" s="203">
        <f t="shared" si="277"/>
        <v>15378378.164668497</v>
      </c>
      <c r="X508" s="203">
        <f t="shared" si="277"/>
        <v>15301486.273845155</v>
      </c>
      <c r="Y508" s="203">
        <f t="shared" si="277"/>
        <v>15224978.842475928</v>
      </c>
      <c r="Z508" s="203">
        <f t="shared" si="277"/>
        <v>15148853.948263548</v>
      </c>
      <c r="AA508" s="203">
        <f t="shared" si="277"/>
        <v>15073109.678522231</v>
      </c>
      <c r="AB508" s="203">
        <f t="shared" si="277"/>
        <v>14997744.13012962</v>
      </c>
      <c r="AC508" s="203">
        <f t="shared" si="277"/>
        <v>14922755.409478972</v>
      </c>
      <c r="AD508" s="203">
        <f t="shared" si="277"/>
        <v>14848141.632431576</v>
      </c>
      <c r="AE508" s="203">
        <f t="shared" si="277"/>
        <v>14773900.924269417</v>
      </c>
      <c r="AF508" s="203">
        <f t="shared" si="277"/>
        <v>14700031.41964807</v>
      </c>
      <c r="AG508" s="203">
        <f t="shared" si="277"/>
        <v>0</v>
      </c>
      <c r="AH508" s="203">
        <f t="shared" si="277"/>
        <v>0</v>
      </c>
      <c r="AI508" s="203">
        <f t="shared" si="277"/>
        <v>0</v>
      </c>
      <c r="AJ508" s="203">
        <f t="shared" si="277"/>
        <v>0</v>
      </c>
      <c r="AK508" s="203">
        <f t="shared" si="277"/>
        <v>0</v>
      </c>
      <c r="AL508" s="203">
        <f t="shared" si="277"/>
        <v>0</v>
      </c>
      <c r="AM508" s="203">
        <f t="shared" si="277"/>
        <v>0</v>
      </c>
      <c r="AN508" s="203">
        <f t="shared" si="277"/>
        <v>0</v>
      </c>
      <c r="AO508" s="203">
        <f t="shared" si="277"/>
        <v>0</v>
      </c>
      <c r="AP508" s="203">
        <f t="shared" si="277"/>
        <v>0</v>
      </c>
    </row>
    <row r="509" spans="1:42">
      <c r="A509" s="184" t="s">
        <v>53</v>
      </c>
      <c r="C509" s="198">
        <f>C507*C508</f>
        <v>0</v>
      </c>
      <c r="D509" s="198">
        <f t="shared" ref="D509:AP509" si="278">D507*D508</f>
        <v>0</v>
      </c>
      <c r="E509" s="198">
        <f t="shared" si="278"/>
        <v>0</v>
      </c>
      <c r="F509" s="198">
        <f t="shared" si="278"/>
        <v>0</v>
      </c>
      <c r="G509" s="198">
        <f t="shared" si="278"/>
        <v>0</v>
      </c>
      <c r="H509" s="198">
        <f t="shared" si="278"/>
        <v>0</v>
      </c>
      <c r="I509" s="198">
        <f t="shared" si="278"/>
        <v>0</v>
      </c>
      <c r="J509" s="198">
        <f t="shared" si="278"/>
        <v>0</v>
      </c>
      <c r="K509" s="198">
        <f t="shared" si="278"/>
        <v>0</v>
      </c>
      <c r="L509" s="198">
        <f t="shared" si="278"/>
        <v>0</v>
      </c>
      <c r="M509" s="198">
        <f t="shared" si="278"/>
        <v>0</v>
      </c>
      <c r="N509" s="198">
        <f t="shared" si="278"/>
        <v>0</v>
      </c>
      <c r="O509" s="198">
        <f t="shared" si="278"/>
        <v>0</v>
      </c>
      <c r="P509" s="198">
        <f t="shared" si="278"/>
        <v>0</v>
      </c>
      <c r="Q509" s="198">
        <f t="shared" si="278"/>
        <v>0</v>
      </c>
      <c r="R509" s="198">
        <f t="shared" si="278"/>
        <v>0</v>
      </c>
      <c r="S509" s="198">
        <f t="shared" si="278"/>
        <v>0</v>
      </c>
      <c r="T509" s="198">
        <f t="shared" si="278"/>
        <v>0</v>
      </c>
      <c r="U509" s="198">
        <f t="shared" si="278"/>
        <v>0</v>
      </c>
      <c r="V509" s="198">
        <f t="shared" si="278"/>
        <v>0</v>
      </c>
      <c r="W509" s="198">
        <f t="shared" si="278"/>
        <v>0</v>
      </c>
      <c r="X509" s="198">
        <f t="shared" si="278"/>
        <v>0</v>
      </c>
      <c r="Y509" s="198">
        <f t="shared" si="278"/>
        <v>0</v>
      </c>
      <c r="Z509" s="198">
        <f t="shared" si="278"/>
        <v>0</v>
      </c>
      <c r="AA509" s="198">
        <f t="shared" si="278"/>
        <v>0</v>
      </c>
      <c r="AB509" s="198">
        <f t="shared" si="278"/>
        <v>0</v>
      </c>
      <c r="AC509" s="198">
        <f t="shared" si="278"/>
        <v>0</v>
      </c>
      <c r="AD509" s="198">
        <f t="shared" si="278"/>
        <v>0</v>
      </c>
      <c r="AE509" s="198">
        <f t="shared" si="278"/>
        <v>0</v>
      </c>
      <c r="AF509" s="198">
        <f t="shared" si="278"/>
        <v>0</v>
      </c>
      <c r="AG509" s="198">
        <f t="shared" si="278"/>
        <v>0</v>
      </c>
      <c r="AH509" s="198">
        <f t="shared" si="278"/>
        <v>0</v>
      </c>
      <c r="AI509" s="198">
        <f t="shared" si="278"/>
        <v>0</v>
      </c>
      <c r="AJ509" s="198">
        <f t="shared" si="278"/>
        <v>0</v>
      </c>
      <c r="AK509" s="198">
        <f t="shared" si="278"/>
        <v>0</v>
      </c>
      <c r="AL509" s="198">
        <f t="shared" si="278"/>
        <v>0</v>
      </c>
      <c r="AM509" s="198">
        <f t="shared" si="278"/>
        <v>0</v>
      </c>
      <c r="AN509" s="198">
        <f t="shared" si="278"/>
        <v>0</v>
      </c>
      <c r="AO509" s="198">
        <f t="shared" si="278"/>
        <v>0</v>
      </c>
      <c r="AP509" s="198">
        <f t="shared" si="278"/>
        <v>0</v>
      </c>
    </row>
    <row r="510" spans="1:42">
      <c r="A510" s="180" t="str">
        <f>'Inputs &amp; Results'!A68</f>
        <v>State</v>
      </c>
    </row>
    <row r="511" spans="1:42">
      <c r="A511" s="184" t="s">
        <v>126</v>
      </c>
      <c r="C511" s="232">
        <f t="shared" ref="C511:AP511" si="279">IF(AND(C$2&lt;=PBIStateTerm,C$2&lt;=AnalysisPeriod),PBIState*(1+PBIStateEsc)^B$2,0)</f>
        <v>0</v>
      </c>
      <c r="D511" s="232">
        <f t="shared" si="279"/>
        <v>0</v>
      </c>
      <c r="E511" s="232">
        <f t="shared" si="279"/>
        <v>0</v>
      </c>
      <c r="F511" s="232">
        <f t="shared" si="279"/>
        <v>0</v>
      </c>
      <c r="G511" s="232">
        <f t="shared" si="279"/>
        <v>0</v>
      </c>
      <c r="H511" s="232">
        <f t="shared" si="279"/>
        <v>0</v>
      </c>
      <c r="I511" s="232">
        <f t="shared" si="279"/>
        <v>0</v>
      </c>
      <c r="J511" s="232">
        <f t="shared" si="279"/>
        <v>0</v>
      </c>
      <c r="K511" s="232">
        <f t="shared" si="279"/>
        <v>0</v>
      </c>
      <c r="L511" s="232">
        <f t="shared" si="279"/>
        <v>0</v>
      </c>
      <c r="M511" s="232">
        <f t="shared" si="279"/>
        <v>0</v>
      </c>
      <c r="N511" s="232">
        <f t="shared" si="279"/>
        <v>0</v>
      </c>
      <c r="O511" s="232">
        <f t="shared" si="279"/>
        <v>0</v>
      </c>
      <c r="P511" s="232">
        <f t="shared" si="279"/>
        <v>0</v>
      </c>
      <c r="Q511" s="232">
        <f t="shared" si="279"/>
        <v>0</v>
      </c>
      <c r="R511" s="232">
        <f t="shared" si="279"/>
        <v>0</v>
      </c>
      <c r="S511" s="232">
        <f t="shared" si="279"/>
        <v>0</v>
      </c>
      <c r="T511" s="232">
        <f t="shared" si="279"/>
        <v>0</v>
      </c>
      <c r="U511" s="232">
        <f t="shared" si="279"/>
        <v>0</v>
      </c>
      <c r="V511" s="232">
        <f t="shared" si="279"/>
        <v>0</v>
      </c>
      <c r="W511" s="232">
        <f t="shared" si="279"/>
        <v>0</v>
      </c>
      <c r="X511" s="232">
        <f t="shared" si="279"/>
        <v>0</v>
      </c>
      <c r="Y511" s="232">
        <f t="shared" si="279"/>
        <v>0</v>
      </c>
      <c r="Z511" s="232">
        <f t="shared" si="279"/>
        <v>0</v>
      </c>
      <c r="AA511" s="232">
        <f t="shared" si="279"/>
        <v>0</v>
      </c>
      <c r="AB511" s="232">
        <f t="shared" si="279"/>
        <v>0</v>
      </c>
      <c r="AC511" s="232">
        <f t="shared" si="279"/>
        <v>0</v>
      </c>
      <c r="AD511" s="232">
        <f t="shared" si="279"/>
        <v>0</v>
      </c>
      <c r="AE511" s="232">
        <f t="shared" si="279"/>
        <v>0</v>
      </c>
      <c r="AF511" s="232">
        <f t="shared" si="279"/>
        <v>0</v>
      </c>
      <c r="AG511" s="232">
        <f t="shared" si="279"/>
        <v>0</v>
      </c>
      <c r="AH511" s="232">
        <f t="shared" si="279"/>
        <v>0</v>
      </c>
      <c r="AI511" s="232">
        <f t="shared" si="279"/>
        <v>0</v>
      </c>
      <c r="AJ511" s="232">
        <f t="shared" si="279"/>
        <v>0</v>
      </c>
      <c r="AK511" s="232">
        <f t="shared" si="279"/>
        <v>0</v>
      </c>
      <c r="AL511" s="232">
        <f t="shared" si="279"/>
        <v>0</v>
      </c>
      <c r="AM511" s="232">
        <f t="shared" si="279"/>
        <v>0</v>
      </c>
      <c r="AN511" s="232">
        <f t="shared" si="279"/>
        <v>0</v>
      </c>
      <c r="AO511" s="232">
        <f t="shared" si="279"/>
        <v>0</v>
      </c>
      <c r="AP511" s="232">
        <f t="shared" si="279"/>
        <v>0</v>
      </c>
    </row>
    <row r="512" spans="1:42">
      <c r="A512" s="184" t="s">
        <v>127</v>
      </c>
      <c r="C512" s="203">
        <f>C$5</f>
        <v>17000000</v>
      </c>
      <c r="D512" s="203">
        <f t="shared" ref="D512:AP512" si="280">D$5</f>
        <v>16915000</v>
      </c>
      <c r="E512" s="203">
        <f t="shared" si="280"/>
        <v>16830425</v>
      </c>
      <c r="F512" s="203">
        <f t="shared" si="280"/>
        <v>16746272.875</v>
      </c>
      <c r="G512" s="203">
        <f t="shared" si="280"/>
        <v>16662541.510624999</v>
      </c>
      <c r="H512" s="203">
        <f t="shared" si="280"/>
        <v>16579228.803071873</v>
      </c>
      <c r="I512" s="203">
        <f t="shared" si="280"/>
        <v>16496332.659056515</v>
      </c>
      <c r="J512" s="203">
        <f t="shared" si="280"/>
        <v>16413850.995761232</v>
      </c>
      <c r="K512" s="203">
        <f t="shared" si="280"/>
        <v>16331781.740782427</v>
      </c>
      <c r="L512" s="203">
        <f t="shared" si="280"/>
        <v>16250122.832078515</v>
      </c>
      <c r="M512" s="203">
        <f t="shared" si="280"/>
        <v>16168872.217918122</v>
      </c>
      <c r="N512" s="203">
        <f t="shared" si="280"/>
        <v>16088027.856828531</v>
      </c>
      <c r="O512" s="203">
        <f t="shared" si="280"/>
        <v>16007587.717544388</v>
      </c>
      <c r="P512" s="203">
        <f t="shared" si="280"/>
        <v>15927549.778956667</v>
      </c>
      <c r="Q512" s="203">
        <f t="shared" si="280"/>
        <v>15847912.030061884</v>
      </c>
      <c r="R512" s="203">
        <f t="shared" si="280"/>
        <v>15768672.469911573</v>
      </c>
      <c r="S512" s="203">
        <f t="shared" si="280"/>
        <v>15689829.107562015</v>
      </c>
      <c r="T512" s="203">
        <f t="shared" si="280"/>
        <v>15611379.962024204</v>
      </c>
      <c r="U512" s="203">
        <f t="shared" si="280"/>
        <v>15533323.062214084</v>
      </c>
      <c r="V512" s="203">
        <f t="shared" si="280"/>
        <v>15455656.446903013</v>
      </c>
      <c r="W512" s="203">
        <f t="shared" si="280"/>
        <v>15378378.164668497</v>
      </c>
      <c r="X512" s="203">
        <f t="shared" si="280"/>
        <v>15301486.273845155</v>
      </c>
      <c r="Y512" s="203">
        <f t="shared" si="280"/>
        <v>15224978.842475928</v>
      </c>
      <c r="Z512" s="203">
        <f t="shared" si="280"/>
        <v>15148853.948263548</v>
      </c>
      <c r="AA512" s="203">
        <f t="shared" si="280"/>
        <v>15073109.678522231</v>
      </c>
      <c r="AB512" s="203">
        <f t="shared" si="280"/>
        <v>14997744.13012962</v>
      </c>
      <c r="AC512" s="203">
        <f t="shared" si="280"/>
        <v>14922755.409478972</v>
      </c>
      <c r="AD512" s="203">
        <f t="shared" si="280"/>
        <v>14848141.632431576</v>
      </c>
      <c r="AE512" s="203">
        <f t="shared" si="280"/>
        <v>14773900.924269417</v>
      </c>
      <c r="AF512" s="203">
        <f t="shared" si="280"/>
        <v>14700031.41964807</v>
      </c>
      <c r="AG512" s="203">
        <f t="shared" si="280"/>
        <v>0</v>
      </c>
      <c r="AH512" s="203">
        <f t="shared" si="280"/>
        <v>0</v>
      </c>
      <c r="AI512" s="203">
        <f t="shared" si="280"/>
        <v>0</v>
      </c>
      <c r="AJ512" s="203">
        <f t="shared" si="280"/>
        <v>0</v>
      </c>
      <c r="AK512" s="203">
        <f t="shared" si="280"/>
        <v>0</v>
      </c>
      <c r="AL512" s="203">
        <f t="shared" si="280"/>
        <v>0</v>
      </c>
      <c r="AM512" s="203">
        <f t="shared" si="280"/>
        <v>0</v>
      </c>
      <c r="AN512" s="203">
        <f t="shared" si="280"/>
        <v>0</v>
      </c>
      <c r="AO512" s="203">
        <f t="shared" si="280"/>
        <v>0</v>
      </c>
      <c r="AP512" s="203">
        <f t="shared" si="280"/>
        <v>0</v>
      </c>
    </row>
    <row r="513" spans="1:42">
      <c r="A513" s="184" t="s">
        <v>53</v>
      </c>
      <c r="C513" s="198">
        <f>C511*C512</f>
        <v>0</v>
      </c>
      <c r="D513" s="198">
        <f t="shared" ref="D513:AP513" si="281">D511*D512</f>
        <v>0</v>
      </c>
      <c r="E513" s="198">
        <f t="shared" si="281"/>
        <v>0</v>
      </c>
      <c r="F513" s="198">
        <f t="shared" si="281"/>
        <v>0</v>
      </c>
      <c r="G513" s="198">
        <f t="shared" si="281"/>
        <v>0</v>
      </c>
      <c r="H513" s="198">
        <f t="shared" si="281"/>
        <v>0</v>
      </c>
      <c r="I513" s="198">
        <f t="shared" si="281"/>
        <v>0</v>
      </c>
      <c r="J513" s="198">
        <f t="shared" si="281"/>
        <v>0</v>
      </c>
      <c r="K513" s="198">
        <f t="shared" si="281"/>
        <v>0</v>
      </c>
      <c r="L513" s="198">
        <f t="shared" si="281"/>
        <v>0</v>
      </c>
      <c r="M513" s="198">
        <f t="shared" si="281"/>
        <v>0</v>
      </c>
      <c r="N513" s="198">
        <f t="shared" si="281"/>
        <v>0</v>
      </c>
      <c r="O513" s="198">
        <f t="shared" si="281"/>
        <v>0</v>
      </c>
      <c r="P513" s="198">
        <f t="shared" si="281"/>
        <v>0</v>
      </c>
      <c r="Q513" s="198">
        <f t="shared" si="281"/>
        <v>0</v>
      </c>
      <c r="R513" s="198">
        <f t="shared" si="281"/>
        <v>0</v>
      </c>
      <c r="S513" s="198">
        <f t="shared" si="281"/>
        <v>0</v>
      </c>
      <c r="T513" s="198">
        <f t="shared" si="281"/>
        <v>0</v>
      </c>
      <c r="U513" s="198">
        <f t="shared" si="281"/>
        <v>0</v>
      </c>
      <c r="V513" s="198">
        <f t="shared" si="281"/>
        <v>0</v>
      </c>
      <c r="W513" s="198">
        <f t="shared" si="281"/>
        <v>0</v>
      </c>
      <c r="X513" s="198">
        <f t="shared" si="281"/>
        <v>0</v>
      </c>
      <c r="Y513" s="198">
        <f t="shared" si="281"/>
        <v>0</v>
      </c>
      <c r="Z513" s="198">
        <f t="shared" si="281"/>
        <v>0</v>
      </c>
      <c r="AA513" s="198">
        <f t="shared" si="281"/>
        <v>0</v>
      </c>
      <c r="AB513" s="198">
        <f t="shared" si="281"/>
        <v>0</v>
      </c>
      <c r="AC513" s="198">
        <f t="shared" si="281"/>
        <v>0</v>
      </c>
      <c r="AD513" s="198">
        <f t="shared" si="281"/>
        <v>0</v>
      </c>
      <c r="AE513" s="198">
        <f t="shared" si="281"/>
        <v>0</v>
      </c>
      <c r="AF513" s="198">
        <f t="shared" si="281"/>
        <v>0</v>
      </c>
      <c r="AG513" s="198">
        <f t="shared" si="281"/>
        <v>0</v>
      </c>
      <c r="AH513" s="198">
        <f t="shared" si="281"/>
        <v>0</v>
      </c>
      <c r="AI513" s="198">
        <f t="shared" si="281"/>
        <v>0</v>
      </c>
      <c r="AJ513" s="198">
        <f t="shared" si="281"/>
        <v>0</v>
      </c>
      <c r="AK513" s="198">
        <f t="shared" si="281"/>
        <v>0</v>
      </c>
      <c r="AL513" s="198">
        <f t="shared" si="281"/>
        <v>0</v>
      </c>
      <c r="AM513" s="198">
        <f t="shared" si="281"/>
        <v>0</v>
      </c>
      <c r="AN513" s="198">
        <f t="shared" si="281"/>
        <v>0</v>
      </c>
      <c r="AO513" s="198">
        <f t="shared" si="281"/>
        <v>0</v>
      </c>
      <c r="AP513" s="198">
        <f t="shared" si="281"/>
        <v>0</v>
      </c>
    </row>
    <row r="514" spans="1:42">
      <c r="A514" s="180" t="str">
        <f>'Inputs &amp; Results'!A69</f>
        <v>Utility</v>
      </c>
    </row>
    <row r="515" spans="1:42">
      <c r="A515" s="184" t="s">
        <v>126</v>
      </c>
      <c r="C515" s="232">
        <f t="shared" ref="C515:AP515" si="282">IF(AND(C$2&lt;=PBIUtilityTerm,C$2&lt;=AnalysisPeriod),PBIUtility*(1+PBIUtilityEsc)^B$2,0)</f>
        <v>0</v>
      </c>
      <c r="D515" s="232">
        <f t="shared" si="282"/>
        <v>0</v>
      </c>
      <c r="E515" s="232">
        <f t="shared" si="282"/>
        <v>0</v>
      </c>
      <c r="F515" s="232">
        <f t="shared" si="282"/>
        <v>0</v>
      </c>
      <c r="G515" s="232">
        <f t="shared" si="282"/>
        <v>0</v>
      </c>
      <c r="H515" s="232">
        <f t="shared" si="282"/>
        <v>0</v>
      </c>
      <c r="I515" s="232">
        <f t="shared" si="282"/>
        <v>0</v>
      </c>
      <c r="J515" s="232">
        <f t="shared" si="282"/>
        <v>0</v>
      </c>
      <c r="K515" s="232">
        <f t="shared" si="282"/>
        <v>0</v>
      </c>
      <c r="L515" s="232">
        <f t="shared" si="282"/>
        <v>0</v>
      </c>
      <c r="M515" s="232">
        <f t="shared" si="282"/>
        <v>0</v>
      </c>
      <c r="N515" s="232">
        <f t="shared" si="282"/>
        <v>0</v>
      </c>
      <c r="O515" s="232">
        <f t="shared" si="282"/>
        <v>0</v>
      </c>
      <c r="P515" s="232">
        <f t="shared" si="282"/>
        <v>0</v>
      </c>
      <c r="Q515" s="232">
        <f t="shared" si="282"/>
        <v>0</v>
      </c>
      <c r="R515" s="232">
        <f t="shared" si="282"/>
        <v>0</v>
      </c>
      <c r="S515" s="232">
        <f t="shared" si="282"/>
        <v>0</v>
      </c>
      <c r="T515" s="232">
        <f t="shared" si="282"/>
        <v>0</v>
      </c>
      <c r="U515" s="232">
        <f t="shared" si="282"/>
        <v>0</v>
      </c>
      <c r="V515" s="232">
        <f t="shared" si="282"/>
        <v>0</v>
      </c>
      <c r="W515" s="232">
        <f t="shared" si="282"/>
        <v>0</v>
      </c>
      <c r="X515" s="232">
        <f t="shared" si="282"/>
        <v>0</v>
      </c>
      <c r="Y515" s="232">
        <f t="shared" si="282"/>
        <v>0</v>
      </c>
      <c r="Z515" s="232">
        <f t="shared" si="282"/>
        <v>0</v>
      </c>
      <c r="AA515" s="232">
        <f t="shared" si="282"/>
        <v>0</v>
      </c>
      <c r="AB515" s="232">
        <f t="shared" si="282"/>
        <v>0</v>
      </c>
      <c r="AC515" s="232">
        <f t="shared" si="282"/>
        <v>0</v>
      </c>
      <c r="AD515" s="232">
        <f t="shared" si="282"/>
        <v>0</v>
      </c>
      <c r="AE515" s="232">
        <f t="shared" si="282"/>
        <v>0</v>
      </c>
      <c r="AF515" s="232">
        <f t="shared" si="282"/>
        <v>0</v>
      </c>
      <c r="AG515" s="232">
        <f t="shared" si="282"/>
        <v>0</v>
      </c>
      <c r="AH515" s="232">
        <f t="shared" si="282"/>
        <v>0</v>
      </c>
      <c r="AI515" s="232">
        <f t="shared" si="282"/>
        <v>0</v>
      </c>
      <c r="AJ515" s="232">
        <f t="shared" si="282"/>
        <v>0</v>
      </c>
      <c r="AK515" s="232">
        <f t="shared" si="282"/>
        <v>0</v>
      </c>
      <c r="AL515" s="232">
        <f t="shared" si="282"/>
        <v>0</v>
      </c>
      <c r="AM515" s="232">
        <f t="shared" si="282"/>
        <v>0</v>
      </c>
      <c r="AN515" s="232">
        <f t="shared" si="282"/>
        <v>0</v>
      </c>
      <c r="AO515" s="232">
        <f t="shared" si="282"/>
        <v>0</v>
      </c>
      <c r="AP515" s="232">
        <f t="shared" si="282"/>
        <v>0</v>
      </c>
    </row>
    <row r="516" spans="1:42">
      <c r="A516" s="184" t="s">
        <v>127</v>
      </c>
      <c r="C516" s="203">
        <f>C$5</f>
        <v>17000000</v>
      </c>
      <c r="D516" s="203">
        <f t="shared" ref="D516:AP516" si="283">D$5</f>
        <v>16915000</v>
      </c>
      <c r="E516" s="203">
        <f t="shared" si="283"/>
        <v>16830425</v>
      </c>
      <c r="F516" s="203">
        <f t="shared" si="283"/>
        <v>16746272.875</v>
      </c>
      <c r="G516" s="203">
        <f t="shared" si="283"/>
        <v>16662541.510624999</v>
      </c>
      <c r="H516" s="203">
        <f t="shared" si="283"/>
        <v>16579228.803071873</v>
      </c>
      <c r="I516" s="203">
        <f t="shared" si="283"/>
        <v>16496332.659056515</v>
      </c>
      <c r="J516" s="203">
        <f t="shared" si="283"/>
        <v>16413850.995761232</v>
      </c>
      <c r="K516" s="203">
        <f t="shared" si="283"/>
        <v>16331781.740782427</v>
      </c>
      <c r="L516" s="203">
        <f t="shared" si="283"/>
        <v>16250122.832078515</v>
      </c>
      <c r="M516" s="203">
        <f t="shared" si="283"/>
        <v>16168872.217918122</v>
      </c>
      <c r="N516" s="203">
        <f t="shared" si="283"/>
        <v>16088027.856828531</v>
      </c>
      <c r="O516" s="203">
        <f t="shared" si="283"/>
        <v>16007587.717544388</v>
      </c>
      <c r="P516" s="203">
        <f t="shared" si="283"/>
        <v>15927549.778956667</v>
      </c>
      <c r="Q516" s="203">
        <f t="shared" si="283"/>
        <v>15847912.030061884</v>
      </c>
      <c r="R516" s="203">
        <f t="shared" si="283"/>
        <v>15768672.469911573</v>
      </c>
      <c r="S516" s="203">
        <f t="shared" si="283"/>
        <v>15689829.107562015</v>
      </c>
      <c r="T516" s="203">
        <f t="shared" si="283"/>
        <v>15611379.962024204</v>
      </c>
      <c r="U516" s="203">
        <f t="shared" si="283"/>
        <v>15533323.062214084</v>
      </c>
      <c r="V516" s="203">
        <f t="shared" si="283"/>
        <v>15455656.446903013</v>
      </c>
      <c r="W516" s="203">
        <f t="shared" si="283"/>
        <v>15378378.164668497</v>
      </c>
      <c r="X516" s="203">
        <f t="shared" si="283"/>
        <v>15301486.273845155</v>
      </c>
      <c r="Y516" s="203">
        <f t="shared" si="283"/>
        <v>15224978.842475928</v>
      </c>
      <c r="Z516" s="203">
        <f t="shared" si="283"/>
        <v>15148853.948263548</v>
      </c>
      <c r="AA516" s="203">
        <f t="shared" si="283"/>
        <v>15073109.678522231</v>
      </c>
      <c r="AB516" s="203">
        <f t="shared" si="283"/>
        <v>14997744.13012962</v>
      </c>
      <c r="AC516" s="203">
        <f t="shared" si="283"/>
        <v>14922755.409478972</v>
      </c>
      <c r="AD516" s="203">
        <f t="shared" si="283"/>
        <v>14848141.632431576</v>
      </c>
      <c r="AE516" s="203">
        <f t="shared" si="283"/>
        <v>14773900.924269417</v>
      </c>
      <c r="AF516" s="203">
        <f t="shared" si="283"/>
        <v>14700031.41964807</v>
      </c>
      <c r="AG516" s="203">
        <f t="shared" si="283"/>
        <v>0</v>
      </c>
      <c r="AH516" s="203">
        <f t="shared" si="283"/>
        <v>0</v>
      </c>
      <c r="AI516" s="203">
        <f t="shared" si="283"/>
        <v>0</v>
      </c>
      <c r="AJ516" s="203">
        <f t="shared" si="283"/>
        <v>0</v>
      </c>
      <c r="AK516" s="203">
        <f t="shared" si="283"/>
        <v>0</v>
      </c>
      <c r="AL516" s="203">
        <f t="shared" si="283"/>
        <v>0</v>
      </c>
      <c r="AM516" s="203">
        <f t="shared" si="283"/>
        <v>0</v>
      </c>
      <c r="AN516" s="203">
        <f t="shared" si="283"/>
        <v>0</v>
      </c>
      <c r="AO516" s="203">
        <f t="shared" si="283"/>
        <v>0</v>
      </c>
      <c r="AP516" s="203">
        <f t="shared" si="283"/>
        <v>0</v>
      </c>
    </row>
    <row r="517" spans="1:42">
      <c r="A517" s="184" t="s">
        <v>53</v>
      </c>
      <c r="C517" s="198">
        <f>C515*C516</f>
        <v>0</v>
      </c>
      <c r="D517" s="198">
        <f t="shared" ref="D517:AP517" si="284">D515*D516</f>
        <v>0</v>
      </c>
      <c r="E517" s="198">
        <f t="shared" si="284"/>
        <v>0</v>
      </c>
      <c r="F517" s="198">
        <f t="shared" si="284"/>
        <v>0</v>
      </c>
      <c r="G517" s="198">
        <f t="shared" si="284"/>
        <v>0</v>
      </c>
      <c r="H517" s="198">
        <f t="shared" si="284"/>
        <v>0</v>
      </c>
      <c r="I517" s="198">
        <f t="shared" si="284"/>
        <v>0</v>
      </c>
      <c r="J517" s="198">
        <f t="shared" si="284"/>
        <v>0</v>
      </c>
      <c r="K517" s="198">
        <f t="shared" si="284"/>
        <v>0</v>
      </c>
      <c r="L517" s="198">
        <f t="shared" si="284"/>
        <v>0</v>
      </c>
      <c r="M517" s="198">
        <f t="shared" si="284"/>
        <v>0</v>
      </c>
      <c r="N517" s="198">
        <f t="shared" si="284"/>
        <v>0</v>
      </c>
      <c r="O517" s="198">
        <f t="shared" si="284"/>
        <v>0</v>
      </c>
      <c r="P517" s="198">
        <f t="shared" si="284"/>
        <v>0</v>
      </c>
      <c r="Q517" s="198">
        <f t="shared" si="284"/>
        <v>0</v>
      </c>
      <c r="R517" s="198">
        <f t="shared" si="284"/>
        <v>0</v>
      </c>
      <c r="S517" s="198">
        <f t="shared" si="284"/>
        <v>0</v>
      </c>
      <c r="T517" s="198">
        <f t="shared" si="284"/>
        <v>0</v>
      </c>
      <c r="U517" s="198">
        <f t="shared" si="284"/>
        <v>0</v>
      </c>
      <c r="V517" s="198">
        <f t="shared" si="284"/>
        <v>0</v>
      </c>
      <c r="W517" s="198">
        <f t="shared" si="284"/>
        <v>0</v>
      </c>
      <c r="X517" s="198">
        <f t="shared" si="284"/>
        <v>0</v>
      </c>
      <c r="Y517" s="198">
        <f t="shared" si="284"/>
        <v>0</v>
      </c>
      <c r="Z517" s="198">
        <f t="shared" si="284"/>
        <v>0</v>
      </c>
      <c r="AA517" s="198">
        <f t="shared" si="284"/>
        <v>0</v>
      </c>
      <c r="AB517" s="198">
        <f t="shared" si="284"/>
        <v>0</v>
      </c>
      <c r="AC517" s="198">
        <f t="shared" si="284"/>
        <v>0</v>
      </c>
      <c r="AD517" s="198">
        <f t="shared" si="284"/>
        <v>0</v>
      </c>
      <c r="AE517" s="198">
        <f t="shared" si="284"/>
        <v>0</v>
      </c>
      <c r="AF517" s="198">
        <f t="shared" si="284"/>
        <v>0</v>
      </c>
      <c r="AG517" s="198">
        <f t="shared" si="284"/>
        <v>0</v>
      </c>
      <c r="AH517" s="198">
        <f t="shared" si="284"/>
        <v>0</v>
      </c>
      <c r="AI517" s="198">
        <f t="shared" si="284"/>
        <v>0</v>
      </c>
      <c r="AJ517" s="198">
        <f t="shared" si="284"/>
        <v>0</v>
      </c>
      <c r="AK517" s="198">
        <f t="shared" si="284"/>
        <v>0</v>
      </c>
      <c r="AL517" s="198">
        <f t="shared" si="284"/>
        <v>0</v>
      </c>
      <c r="AM517" s="198">
        <f t="shared" si="284"/>
        <v>0</v>
      </c>
      <c r="AN517" s="198">
        <f t="shared" si="284"/>
        <v>0</v>
      </c>
      <c r="AO517" s="198">
        <f t="shared" si="284"/>
        <v>0</v>
      </c>
      <c r="AP517" s="198">
        <f t="shared" si="284"/>
        <v>0</v>
      </c>
    </row>
    <row r="518" spans="1:42">
      <c r="A518" s="180" t="str">
        <f>'Inputs &amp; Results'!A70</f>
        <v>Other</v>
      </c>
    </row>
    <row r="519" spans="1:42">
      <c r="A519" s="184" t="s">
        <v>126</v>
      </c>
      <c r="C519" s="234">
        <f t="shared" ref="C519:AP519" si="285">IF(AND(C$2&lt;=PBIOtherTerm,C$2&lt;=AnalysisPeriod),PBIOther*(1+PBIOtherEsc)^B$2,0)</f>
        <v>0</v>
      </c>
      <c r="D519" s="234">
        <f t="shared" si="285"/>
        <v>0</v>
      </c>
      <c r="E519" s="234">
        <f t="shared" si="285"/>
        <v>0</v>
      </c>
      <c r="F519" s="234">
        <f t="shared" si="285"/>
        <v>0</v>
      </c>
      <c r="G519" s="234">
        <f t="shared" si="285"/>
        <v>0</v>
      </c>
      <c r="H519" s="234">
        <f t="shared" si="285"/>
        <v>0</v>
      </c>
      <c r="I519" s="234">
        <f t="shared" si="285"/>
        <v>0</v>
      </c>
      <c r="J519" s="234">
        <f t="shared" si="285"/>
        <v>0</v>
      </c>
      <c r="K519" s="234">
        <f t="shared" si="285"/>
        <v>0</v>
      </c>
      <c r="L519" s="234">
        <f t="shared" si="285"/>
        <v>0</v>
      </c>
      <c r="M519" s="234">
        <f t="shared" si="285"/>
        <v>0</v>
      </c>
      <c r="N519" s="234">
        <f t="shared" si="285"/>
        <v>0</v>
      </c>
      <c r="O519" s="234">
        <f t="shared" si="285"/>
        <v>0</v>
      </c>
      <c r="P519" s="234">
        <f t="shared" si="285"/>
        <v>0</v>
      </c>
      <c r="Q519" s="234">
        <f t="shared" si="285"/>
        <v>0</v>
      </c>
      <c r="R519" s="234">
        <f t="shared" si="285"/>
        <v>0</v>
      </c>
      <c r="S519" s="234">
        <f t="shared" si="285"/>
        <v>0</v>
      </c>
      <c r="T519" s="234">
        <f t="shared" si="285"/>
        <v>0</v>
      </c>
      <c r="U519" s="234">
        <f t="shared" si="285"/>
        <v>0</v>
      </c>
      <c r="V519" s="234">
        <f t="shared" si="285"/>
        <v>0</v>
      </c>
      <c r="W519" s="234">
        <f t="shared" si="285"/>
        <v>0</v>
      </c>
      <c r="X519" s="234">
        <f t="shared" si="285"/>
        <v>0</v>
      </c>
      <c r="Y519" s="234">
        <f t="shared" si="285"/>
        <v>0</v>
      </c>
      <c r="Z519" s="234">
        <f t="shared" si="285"/>
        <v>0</v>
      </c>
      <c r="AA519" s="234">
        <f t="shared" si="285"/>
        <v>0</v>
      </c>
      <c r="AB519" s="234">
        <f t="shared" si="285"/>
        <v>0</v>
      </c>
      <c r="AC519" s="234">
        <f t="shared" si="285"/>
        <v>0</v>
      </c>
      <c r="AD519" s="234">
        <f t="shared" si="285"/>
        <v>0</v>
      </c>
      <c r="AE519" s="234">
        <f t="shared" si="285"/>
        <v>0</v>
      </c>
      <c r="AF519" s="234">
        <f t="shared" si="285"/>
        <v>0</v>
      </c>
      <c r="AG519" s="234">
        <f t="shared" si="285"/>
        <v>0</v>
      </c>
      <c r="AH519" s="234">
        <f t="shared" si="285"/>
        <v>0</v>
      </c>
      <c r="AI519" s="234">
        <f t="shared" si="285"/>
        <v>0</v>
      </c>
      <c r="AJ519" s="234">
        <f t="shared" si="285"/>
        <v>0</v>
      </c>
      <c r="AK519" s="234">
        <f t="shared" si="285"/>
        <v>0</v>
      </c>
      <c r="AL519" s="234">
        <f t="shared" si="285"/>
        <v>0</v>
      </c>
      <c r="AM519" s="234">
        <f t="shared" si="285"/>
        <v>0</v>
      </c>
      <c r="AN519" s="234">
        <f t="shared" si="285"/>
        <v>0</v>
      </c>
      <c r="AO519" s="234">
        <f t="shared" si="285"/>
        <v>0</v>
      </c>
      <c r="AP519" s="234">
        <f t="shared" si="285"/>
        <v>0</v>
      </c>
    </row>
    <row r="520" spans="1:42">
      <c r="A520" s="184" t="s">
        <v>127</v>
      </c>
      <c r="C520" s="203">
        <f>C$5</f>
        <v>17000000</v>
      </c>
      <c r="D520" s="203">
        <f t="shared" ref="D520:AP520" si="286">D$5</f>
        <v>16915000</v>
      </c>
      <c r="E520" s="203">
        <f t="shared" si="286"/>
        <v>16830425</v>
      </c>
      <c r="F520" s="203">
        <f t="shared" si="286"/>
        <v>16746272.875</v>
      </c>
      <c r="G520" s="203">
        <f t="shared" si="286"/>
        <v>16662541.510624999</v>
      </c>
      <c r="H520" s="203">
        <f t="shared" si="286"/>
        <v>16579228.803071873</v>
      </c>
      <c r="I520" s="203">
        <f t="shared" si="286"/>
        <v>16496332.659056515</v>
      </c>
      <c r="J520" s="203">
        <f t="shared" si="286"/>
        <v>16413850.995761232</v>
      </c>
      <c r="K520" s="203">
        <f t="shared" si="286"/>
        <v>16331781.740782427</v>
      </c>
      <c r="L520" s="203">
        <f t="shared" si="286"/>
        <v>16250122.832078515</v>
      </c>
      <c r="M520" s="203">
        <f t="shared" si="286"/>
        <v>16168872.217918122</v>
      </c>
      <c r="N520" s="203">
        <f t="shared" si="286"/>
        <v>16088027.856828531</v>
      </c>
      <c r="O520" s="203">
        <f t="shared" si="286"/>
        <v>16007587.717544388</v>
      </c>
      <c r="P520" s="203">
        <f t="shared" si="286"/>
        <v>15927549.778956667</v>
      </c>
      <c r="Q520" s="203">
        <f t="shared" si="286"/>
        <v>15847912.030061884</v>
      </c>
      <c r="R520" s="203">
        <f t="shared" si="286"/>
        <v>15768672.469911573</v>
      </c>
      <c r="S520" s="203">
        <f t="shared" si="286"/>
        <v>15689829.107562015</v>
      </c>
      <c r="T520" s="203">
        <f t="shared" si="286"/>
        <v>15611379.962024204</v>
      </c>
      <c r="U520" s="203">
        <f t="shared" si="286"/>
        <v>15533323.062214084</v>
      </c>
      <c r="V520" s="203">
        <f t="shared" si="286"/>
        <v>15455656.446903013</v>
      </c>
      <c r="W520" s="203">
        <f t="shared" si="286"/>
        <v>15378378.164668497</v>
      </c>
      <c r="X520" s="203">
        <f t="shared" si="286"/>
        <v>15301486.273845155</v>
      </c>
      <c r="Y520" s="203">
        <f t="shared" si="286"/>
        <v>15224978.842475928</v>
      </c>
      <c r="Z520" s="203">
        <f t="shared" si="286"/>
        <v>15148853.948263548</v>
      </c>
      <c r="AA520" s="203">
        <f t="shared" si="286"/>
        <v>15073109.678522231</v>
      </c>
      <c r="AB520" s="203">
        <f t="shared" si="286"/>
        <v>14997744.13012962</v>
      </c>
      <c r="AC520" s="203">
        <f t="shared" si="286"/>
        <v>14922755.409478972</v>
      </c>
      <c r="AD520" s="203">
        <f t="shared" si="286"/>
        <v>14848141.632431576</v>
      </c>
      <c r="AE520" s="203">
        <f t="shared" si="286"/>
        <v>14773900.924269417</v>
      </c>
      <c r="AF520" s="203">
        <f t="shared" si="286"/>
        <v>14700031.41964807</v>
      </c>
      <c r="AG520" s="203">
        <f t="shared" si="286"/>
        <v>0</v>
      </c>
      <c r="AH520" s="203">
        <f t="shared" si="286"/>
        <v>0</v>
      </c>
      <c r="AI520" s="203">
        <f t="shared" si="286"/>
        <v>0</v>
      </c>
      <c r="AJ520" s="203">
        <f t="shared" si="286"/>
        <v>0</v>
      </c>
      <c r="AK520" s="203">
        <f t="shared" si="286"/>
        <v>0</v>
      </c>
      <c r="AL520" s="203">
        <f t="shared" si="286"/>
        <v>0</v>
      </c>
      <c r="AM520" s="203">
        <f t="shared" si="286"/>
        <v>0</v>
      </c>
      <c r="AN520" s="203">
        <f t="shared" si="286"/>
        <v>0</v>
      </c>
      <c r="AO520" s="203">
        <f t="shared" si="286"/>
        <v>0</v>
      </c>
      <c r="AP520" s="203">
        <f t="shared" si="286"/>
        <v>0</v>
      </c>
    </row>
    <row r="521" spans="1:42">
      <c r="A521" s="184" t="s">
        <v>53</v>
      </c>
      <c r="C521" s="198">
        <f>C519*C520</f>
        <v>0</v>
      </c>
      <c r="D521" s="198">
        <f t="shared" ref="D521:AP521" si="287">D519*D520</f>
        <v>0</v>
      </c>
      <c r="E521" s="198">
        <f t="shared" si="287"/>
        <v>0</v>
      </c>
      <c r="F521" s="198">
        <f t="shared" si="287"/>
        <v>0</v>
      </c>
      <c r="G521" s="198">
        <f t="shared" si="287"/>
        <v>0</v>
      </c>
      <c r="H521" s="198">
        <f t="shared" si="287"/>
        <v>0</v>
      </c>
      <c r="I521" s="198">
        <f t="shared" si="287"/>
        <v>0</v>
      </c>
      <c r="J521" s="198">
        <f t="shared" si="287"/>
        <v>0</v>
      </c>
      <c r="K521" s="198">
        <f t="shared" si="287"/>
        <v>0</v>
      </c>
      <c r="L521" s="198">
        <f t="shared" si="287"/>
        <v>0</v>
      </c>
      <c r="M521" s="198">
        <f t="shared" si="287"/>
        <v>0</v>
      </c>
      <c r="N521" s="198">
        <f t="shared" si="287"/>
        <v>0</v>
      </c>
      <c r="O521" s="198">
        <f t="shared" si="287"/>
        <v>0</v>
      </c>
      <c r="P521" s="198">
        <f t="shared" si="287"/>
        <v>0</v>
      </c>
      <c r="Q521" s="198">
        <f t="shared" si="287"/>
        <v>0</v>
      </c>
      <c r="R521" s="198">
        <f t="shared" si="287"/>
        <v>0</v>
      </c>
      <c r="S521" s="198">
        <f t="shared" si="287"/>
        <v>0</v>
      </c>
      <c r="T521" s="198">
        <f t="shared" si="287"/>
        <v>0</v>
      </c>
      <c r="U521" s="198">
        <f t="shared" si="287"/>
        <v>0</v>
      </c>
      <c r="V521" s="198">
        <f t="shared" si="287"/>
        <v>0</v>
      </c>
      <c r="W521" s="198">
        <f t="shared" si="287"/>
        <v>0</v>
      </c>
      <c r="X521" s="198">
        <f t="shared" si="287"/>
        <v>0</v>
      </c>
      <c r="Y521" s="198">
        <f t="shared" si="287"/>
        <v>0</v>
      </c>
      <c r="Z521" s="198">
        <f t="shared" si="287"/>
        <v>0</v>
      </c>
      <c r="AA521" s="198">
        <f t="shared" si="287"/>
        <v>0</v>
      </c>
      <c r="AB521" s="198">
        <f t="shared" si="287"/>
        <v>0</v>
      </c>
      <c r="AC521" s="198">
        <f t="shared" si="287"/>
        <v>0</v>
      </c>
      <c r="AD521" s="198">
        <f t="shared" si="287"/>
        <v>0</v>
      </c>
      <c r="AE521" s="198">
        <f t="shared" si="287"/>
        <v>0</v>
      </c>
      <c r="AF521" s="198">
        <f t="shared" si="287"/>
        <v>0</v>
      </c>
      <c r="AG521" s="198">
        <f t="shared" si="287"/>
        <v>0</v>
      </c>
      <c r="AH521" s="198">
        <f t="shared" si="287"/>
        <v>0</v>
      </c>
      <c r="AI521" s="198">
        <f t="shared" si="287"/>
        <v>0</v>
      </c>
      <c r="AJ521" s="198">
        <f t="shared" si="287"/>
        <v>0</v>
      </c>
      <c r="AK521" s="198">
        <f t="shared" si="287"/>
        <v>0</v>
      </c>
      <c r="AL521" s="198">
        <f t="shared" si="287"/>
        <v>0</v>
      </c>
      <c r="AM521" s="198">
        <f t="shared" si="287"/>
        <v>0</v>
      </c>
      <c r="AN521" s="198">
        <f t="shared" si="287"/>
        <v>0</v>
      </c>
      <c r="AO521" s="198">
        <f t="shared" si="287"/>
        <v>0</v>
      </c>
      <c r="AP521" s="198">
        <f t="shared" si="287"/>
        <v>0</v>
      </c>
    </row>
    <row r="522" spans="1:42">
      <c r="C522" s="186"/>
      <c r="D522" s="186"/>
      <c r="E522" s="186"/>
      <c r="F522" s="186"/>
      <c r="G522" s="186"/>
      <c r="H522" s="186"/>
      <c r="I522" s="186"/>
      <c r="J522" s="186"/>
      <c r="K522" s="186"/>
      <c r="L522" s="186"/>
      <c r="M522" s="186"/>
      <c r="N522" s="186"/>
      <c r="O522" s="186"/>
      <c r="P522" s="186"/>
      <c r="Q522" s="186"/>
      <c r="R522" s="186"/>
      <c r="S522" s="186"/>
      <c r="T522" s="186"/>
      <c r="U522" s="186"/>
      <c r="V522" s="186"/>
      <c r="W522" s="186"/>
      <c r="X522" s="186"/>
      <c r="Y522" s="186"/>
      <c r="Z522" s="186"/>
      <c r="AA522" s="186"/>
      <c r="AB522" s="186"/>
      <c r="AC522" s="186"/>
      <c r="AD522" s="186"/>
      <c r="AE522" s="186"/>
      <c r="AF522" s="186"/>
      <c r="AG522" s="186"/>
      <c r="AH522" s="186"/>
      <c r="AI522" s="186"/>
      <c r="AJ522" s="186"/>
      <c r="AK522" s="186"/>
      <c r="AL522" s="186"/>
      <c r="AM522" s="186"/>
      <c r="AN522" s="186"/>
      <c r="AO522" s="186"/>
      <c r="AP522" s="186"/>
    </row>
    <row r="523" spans="1:42">
      <c r="A523" s="37" t="s">
        <v>53</v>
      </c>
      <c r="C523" s="194">
        <f>C509+C513+C517+C521</f>
        <v>0</v>
      </c>
      <c r="D523" s="194">
        <f t="shared" ref="D523:AP523" si="288">D509+D513+D517+D521</f>
        <v>0</v>
      </c>
      <c r="E523" s="194">
        <f t="shared" si="288"/>
        <v>0</v>
      </c>
      <c r="F523" s="194">
        <f t="shared" si="288"/>
        <v>0</v>
      </c>
      <c r="G523" s="194">
        <f t="shared" si="288"/>
        <v>0</v>
      </c>
      <c r="H523" s="194">
        <f t="shared" si="288"/>
        <v>0</v>
      </c>
      <c r="I523" s="194">
        <f t="shared" si="288"/>
        <v>0</v>
      </c>
      <c r="J523" s="194">
        <f t="shared" si="288"/>
        <v>0</v>
      </c>
      <c r="K523" s="194">
        <f t="shared" si="288"/>
        <v>0</v>
      </c>
      <c r="L523" s="194">
        <f t="shared" si="288"/>
        <v>0</v>
      </c>
      <c r="M523" s="194">
        <f t="shared" si="288"/>
        <v>0</v>
      </c>
      <c r="N523" s="194">
        <f t="shared" si="288"/>
        <v>0</v>
      </c>
      <c r="O523" s="194">
        <f t="shared" si="288"/>
        <v>0</v>
      </c>
      <c r="P523" s="194">
        <f t="shared" si="288"/>
        <v>0</v>
      </c>
      <c r="Q523" s="194">
        <f t="shared" si="288"/>
        <v>0</v>
      </c>
      <c r="R523" s="194">
        <f t="shared" si="288"/>
        <v>0</v>
      </c>
      <c r="S523" s="194">
        <f t="shared" si="288"/>
        <v>0</v>
      </c>
      <c r="T523" s="194">
        <f t="shared" si="288"/>
        <v>0</v>
      </c>
      <c r="U523" s="194">
        <f t="shared" si="288"/>
        <v>0</v>
      </c>
      <c r="V523" s="194">
        <f t="shared" si="288"/>
        <v>0</v>
      </c>
      <c r="W523" s="194">
        <f t="shared" si="288"/>
        <v>0</v>
      </c>
      <c r="X523" s="194">
        <f t="shared" si="288"/>
        <v>0</v>
      </c>
      <c r="Y523" s="194">
        <f t="shared" si="288"/>
        <v>0</v>
      </c>
      <c r="Z523" s="194">
        <f t="shared" si="288"/>
        <v>0</v>
      </c>
      <c r="AA523" s="194">
        <f t="shared" si="288"/>
        <v>0</v>
      </c>
      <c r="AB523" s="194">
        <f t="shared" si="288"/>
        <v>0</v>
      </c>
      <c r="AC523" s="194">
        <f t="shared" si="288"/>
        <v>0</v>
      </c>
      <c r="AD523" s="194">
        <f t="shared" si="288"/>
        <v>0</v>
      </c>
      <c r="AE523" s="194">
        <f t="shared" si="288"/>
        <v>0</v>
      </c>
      <c r="AF523" s="194">
        <f t="shared" si="288"/>
        <v>0</v>
      </c>
      <c r="AG523" s="194">
        <f t="shared" si="288"/>
        <v>0</v>
      </c>
      <c r="AH523" s="194">
        <f t="shared" si="288"/>
        <v>0</v>
      </c>
      <c r="AI523" s="194">
        <f t="shared" si="288"/>
        <v>0</v>
      </c>
      <c r="AJ523" s="194">
        <f t="shared" si="288"/>
        <v>0</v>
      </c>
      <c r="AK523" s="194">
        <f t="shared" si="288"/>
        <v>0</v>
      </c>
      <c r="AL523" s="194">
        <f t="shared" si="288"/>
        <v>0</v>
      </c>
      <c r="AM523" s="194">
        <f t="shared" si="288"/>
        <v>0</v>
      </c>
      <c r="AN523" s="194">
        <f t="shared" si="288"/>
        <v>0</v>
      </c>
      <c r="AO523" s="194">
        <f t="shared" si="288"/>
        <v>0</v>
      </c>
      <c r="AP523" s="194">
        <f t="shared" si="288"/>
        <v>0</v>
      </c>
    </row>
    <row r="525" spans="1:42">
      <c r="A525" s="179" t="s">
        <v>98</v>
      </c>
    </row>
    <row r="526" spans="1:42" s="118" customFormat="1">
      <c r="A526" s="182" t="s">
        <v>298</v>
      </c>
    </row>
    <row r="527" spans="1:42" s="118" customFormat="1">
      <c r="A527" s="37" t="s">
        <v>299</v>
      </c>
      <c r="C527" s="235">
        <f t="shared" ref="C527:AP527" si="289">IF(AND(C$2&lt;=SODebtTerm,C$2&lt;=AnalysisPeriod),SODebtRate,0)</f>
        <v>7.4999999999999997E-2</v>
      </c>
      <c r="D527" s="235">
        <f t="shared" si="289"/>
        <v>7.4999999999999997E-2</v>
      </c>
      <c r="E527" s="235">
        <f t="shared" si="289"/>
        <v>7.4999999999999997E-2</v>
      </c>
      <c r="F527" s="235">
        <f t="shared" si="289"/>
        <v>7.4999999999999997E-2</v>
      </c>
      <c r="G527" s="235">
        <f t="shared" si="289"/>
        <v>7.4999999999999997E-2</v>
      </c>
      <c r="H527" s="235">
        <f t="shared" si="289"/>
        <v>7.4999999999999997E-2</v>
      </c>
      <c r="I527" s="235">
        <f t="shared" si="289"/>
        <v>7.4999999999999997E-2</v>
      </c>
      <c r="J527" s="235">
        <f t="shared" si="289"/>
        <v>7.4999999999999997E-2</v>
      </c>
      <c r="K527" s="235">
        <f t="shared" si="289"/>
        <v>7.4999999999999997E-2</v>
      </c>
      <c r="L527" s="235">
        <f t="shared" si="289"/>
        <v>7.4999999999999997E-2</v>
      </c>
      <c r="M527" s="235">
        <f t="shared" si="289"/>
        <v>7.4999999999999997E-2</v>
      </c>
      <c r="N527" s="235">
        <f t="shared" si="289"/>
        <v>7.4999999999999997E-2</v>
      </c>
      <c r="O527" s="235">
        <f t="shared" si="289"/>
        <v>7.4999999999999997E-2</v>
      </c>
      <c r="P527" s="235">
        <f t="shared" si="289"/>
        <v>7.4999999999999997E-2</v>
      </c>
      <c r="Q527" s="235">
        <f t="shared" si="289"/>
        <v>7.4999999999999997E-2</v>
      </c>
      <c r="R527" s="235">
        <f t="shared" si="289"/>
        <v>0</v>
      </c>
      <c r="S527" s="235">
        <f t="shared" si="289"/>
        <v>0</v>
      </c>
      <c r="T527" s="235">
        <f t="shared" si="289"/>
        <v>0</v>
      </c>
      <c r="U527" s="235">
        <f t="shared" si="289"/>
        <v>0</v>
      </c>
      <c r="V527" s="235">
        <f t="shared" si="289"/>
        <v>0</v>
      </c>
      <c r="W527" s="235">
        <f t="shared" si="289"/>
        <v>0</v>
      </c>
      <c r="X527" s="235">
        <f t="shared" si="289"/>
        <v>0</v>
      </c>
      <c r="Y527" s="235">
        <f t="shared" si="289"/>
        <v>0</v>
      </c>
      <c r="Z527" s="235">
        <f t="shared" si="289"/>
        <v>0</v>
      </c>
      <c r="AA527" s="235">
        <f t="shared" si="289"/>
        <v>0</v>
      </c>
      <c r="AB527" s="235">
        <f t="shared" si="289"/>
        <v>0</v>
      </c>
      <c r="AC527" s="235">
        <f t="shared" si="289"/>
        <v>0</v>
      </c>
      <c r="AD527" s="235">
        <f t="shared" si="289"/>
        <v>0</v>
      </c>
      <c r="AE527" s="235">
        <f t="shared" si="289"/>
        <v>0</v>
      </c>
      <c r="AF527" s="235">
        <f t="shared" si="289"/>
        <v>0</v>
      </c>
      <c r="AG527" s="235">
        <f t="shared" si="289"/>
        <v>0</v>
      </c>
      <c r="AH527" s="235">
        <f t="shared" si="289"/>
        <v>0</v>
      </c>
      <c r="AI527" s="235">
        <f t="shared" si="289"/>
        <v>0</v>
      </c>
      <c r="AJ527" s="235">
        <f t="shared" si="289"/>
        <v>0</v>
      </c>
      <c r="AK527" s="235">
        <f t="shared" si="289"/>
        <v>0</v>
      </c>
      <c r="AL527" s="235">
        <f t="shared" si="289"/>
        <v>0</v>
      </c>
      <c r="AM527" s="235">
        <f t="shared" si="289"/>
        <v>0</v>
      </c>
      <c r="AN527" s="235">
        <f t="shared" si="289"/>
        <v>0</v>
      </c>
      <c r="AO527" s="235">
        <f t="shared" si="289"/>
        <v>0</v>
      </c>
      <c r="AP527" s="235">
        <f t="shared" si="289"/>
        <v>0</v>
      </c>
    </row>
    <row r="528" spans="1:42" s="118" customFormat="1">
      <c r="A528" s="37" t="s">
        <v>300</v>
      </c>
      <c r="C528" s="236">
        <f>IF(AND(C$2&lt;=SODebtTerm,C$2&lt;=AnalysisPeriod),1/(1+C527),0)</f>
        <v>0.93023255813953487</v>
      </c>
      <c r="D528" s="237">
        <f t="shared" ref="D528:AP528" si="290">IF(AND(D$2&lt;=SODebtTerm,D$2&lt;=AnalysisPeriod),C528/(1+D527),0)</f>
        <v>0.86533261222282321</v>
      </c>
      <c r="E528" s="237">
        <f t="shared" si="290"/>
        <v>0.80496056950960304</v>
      </c>
      <c r="F528" s="237">
        <f t="shared" si="290"/>
        <v>0.7488005297763749</v>
      </c>
      <c r="G528" s="237">
        <f t="shared" si="290"/>
        <v>0.69655863235011617</v>
      </c>
      <c r="H528" s="237">
        <f t="shared" si="290"/>
        <v>0.64796151846522432</v>
      </c>
      <c r="I528" s="237">
        <f t="shared" si="290"/>
        <v>0.60275490089788308</v>
      </c>
      <c r="J528" s="237">
        <f t="shared" si="290"/>
        <v>0.56070223339337966</v>
      </c>
      <c r="K528" s="237">
        <f t="shared" si="290"/>
        <v>0.52158347292407414</v>
      </c>
      <c r="L528" s="237">
        <f t="shared" si="290"/>
        <v>0.48519392830146435</v>
      </c>
      <c r="M528" s="237">
        <f t="shared" si="290"/>
        <v>0.45134318911764126</v>
      </c>
      <c r="N528" s="237">
        <f t="shared" si="290"/>
        <v>0.41985412941175931</v>
      </c>
      <c r="O528" s="237">
        <f t="shared" si="290"/>
        <v>0.39056198084814819</v>
      </c>
      <c r="P528" s="237">
        <f t="shared" si="290"/>
        <v>0.36331347055641694</v>
      </c>
      <c r="Q528" s="237">
        <f t="shared" si="290"/>
        <v>0.33796601912224833</v>
      </c>
      <c r="R528" s="237">
        <f t="shared" si="290"/>
        <v>0</v>
      </c>
      <c r="S528" s="237">
        <f t="shared" si="290"/>
        <v>0</v>
      </c>
      <c r="T528" s="237">
        <f t="shared" si="290"/>
        <v>0</v>
      </c>
      <c r="U528" s="237">
        <f t="shared" si="290"/>
        <v>0</v>
      </c>
      <c r="V528" s="237">
        <f t="shared" si="290"/>
        <v>0</v>
      </c>
      <c r="W528" s="237">
        <f t="shared" si="290"/>
        <v>0</v>
      </c>
      <c r="X528" s="237">
        <f t="shared" si="290"/>
        <v>0</v>
      </c>
      <c r="Y528" s="237">
        <f t="shared" si="290"/>
        <v>0</v>
      </c>
      <c r="Z528" s="237">
        <f t="shared" si="290"/>
        <v>0</v>
      </c>
      <c r="AA528" s="237">
        <f t="shared" si="290"/>
        <v>0</v>
      </c>
      <c r="AB528" s="237">
        <f t="shared" si="290"/>
        <v>0</v>
      </c>
      <c r="AC528" s="237">
        <f t="shared" si="290"/>
        <v>0</v>
      </c>
      <c r="AD528" s="237">
        <f t="shared" si="290"/>
        <v>0</v>
      </c>
      <c r="AE528" s="237">
        <f t="shared" si="290"/>
        <v>0</v>
      </c>
      <c r="AF528" s="237">
        <f t="shared" si="290"/>
        <v>0</v>
      </c>
      <c r="AG528" s="237">
        <f t="shared" si="290"/>
        <v>0</v>
      </c>
      <c r="AH528" s="237">
        <f t="shared" si="290"/>
        <v>0</v>
      </c>
      <c r="AI528" s="237">
        <f t="shared" si="290"/>
        <v>0</v>
      </c>
      <c r="AJ528" s="237">
        <f t="shared" si="290"/>
        <v>0</v>
      </c>
      <c r="AK528" s="237">
        <f t="shared" si="290"/>
        <v>0</v>
      </c>
      <c r="AL528" s="237">
        <f t="shared" si="290"/>
        <v>0</v>
      </c>
      <c r="AM528" s="237">
        <f t="shared" si="290"/>
        <v>0</v>
      </c>
      <c r="AN528" s="237">
        <f t="shared" si="290"/>
        <v>0</v>
      </c>
      <c r="AO528" s="237">
        <f t="shared" si="290"/>
        <v>0</v>
      </c>
      <c r="AP528" s="237">
        <f t="shared" si="290"/>
        <v>0</v>
      </c>
    </row>
    <row r="529" spans="1:42" s="118" customFormat="1">
      <c r="A529" s="37" t="s">
        <v>109</v>
      </c>
      <c r="C529" s="236"/>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c r="AI529" s="237"/>
      <c r="AJ529" s="237"/>
      <c r="AK529" s="237"/>
      <c r="AL529" s="237"/>
      <c r="AM529" s="237"/>
      <c r="AN529" s="237"/>
      <c r="AO529" s="237"/>
      <c r="AP529" s="237"/>
    </row>
    <row r="530" spans="1:42" s="118" customFormat="1">
      <c r="A530" s="184" t="s">
        <v>116</v>
      </c>
      <c r="B530" s="292">
        <f>SUM(C530:AP530)</f>
        <v>33266279.107512183</v>
      </c>
      <c r="C530" s="186">
        <f t="shared" ref="C530:AP530" si="291">IF(AND(C$2&lt;=LPFDebtTerm,C$2&lt;=AnalysisPeriod),C43,0)</f>
        <v>3213786.798394165</v>
      </c>
      <c r="D530" s="186">
        <f t="shared" si="291"/>
        <v>3239065.7997427788</v>
      </c>
      <c r="E530" s="186">
        <f t="shared" si="291"/>
        <v>3264273.8499448649</v>
      </c>
      <c r="F530" s="186">
        <f t="shared" si="291"/>
        <v>3289408.0338713871</v>
      </c>
      <c r="G530" s="186">
        <f t="shared" si="291"/>
        <v>3314465.3677397296</v>
      </c>
      <c r="H530" s="186">
        <f t="shared" si="291"/>
        <v>3339442.797600802</v>
      </c>
      <c r="I530" s="186">
        <f t="shared" si="291"/>
        <v>3364337.197792876</v>
      </c>
      <c r="J530" s="186">
        <f t="shared" si="291"/>
        <v>3389145.3693613885</v>
      </c>
      <c r="K530" s="186">
        <f t="shared" si="291"/>
        <v>3413864.038444018</v>
      </c>
      <c r="L530" s="186">
        <f t="shared" si="291"/>
        <v>3438489.8546201717</v>
      </c>
      <c r="M530" s="186">
        <f t="shared" si="291"/>
        <v>0</v>
      </c>
      <c r="N530" s="186">
        <f t="shared" si="291"/>
        <v>0</v>
      </c>
      <c r="O530" s="186">
        <f t="shared" si="291"/>
        <v>0</v>
      </c>
      <c r="P530" s="186">
        <f t="shared" si="291"/>
        <v>0</v>
      </c>
      <c r="Q530" s="186">
        <f t="shared" si="291"/>
        <v>0</v>
      </c>
      <c r="R530" s="186">
        <f t="shared" si="291"/>
        <v>0</v>
      </c>
      <c r="S530" s="186">
        <f t="shared" si="291"/>
        <v>0</v>
      </c>
      <c r="T530" s="186">
        <f t="shared" si="291"/>
        <v>0</v>
      </c>
      <c r="U530" s="186">
        <f t="shared" si="291"/>
        <v>0</v>
      </c>
      <c r="V530" s="186">
        <f t="shared" si="291"/>
        <v>0</v>
      </c>
      <c r="W530" s="186">
        <f t="shared" si="291"/>
        <v>0</v>
      </c>
      <c r="X530" s="186">
        <f t="shared" si="291"/>
        <v>0</v>
      </c>
      <c r="Y530" s="186">
        <f t="shared" si="291"/>
        <v>0</v>
      </c>
      <c r="Z530" s="186">
        <f t="shared" si="291"/>
        <v>0</v>
      </c>
      <c r="AA530" s="186">
        <f t="shared" si="291"/>
        <v>0</v>
      </c>
      <c r="AB530" s="186">
        <f t="shared" si="291"/>
        <v>0</v>
      </c>
      <c r="AC530" s="186">
        <f t="shared" si="291"/>
        <v>0</v>
      </c>
      <c r="AD530" s="186">
        <f t="shared" si="291"/>
        <v>0</v>
      </c>
      <c r="AE530" s="186">
        <f t="shared" si="291"/>
        <v>0</v>
      </c>
      <c r="AF530" s="186">
        <f t="shared" si="291"/>
        <v>0</v>
      </c>
      <c r="AG530" s="186">
        <f t="shared" si="291"/>
        <v>0</v>
      </c>
      <c r="AH530" s="186">
        <f t="shared" si="291"/>
        <v>0</v>
      </c>
      <c r="AI530" s="186">
        <f t="shared" si="291"/>
        <v>0</v>
      </c>
      <c r="AJ530" s="186">
        <f t="shared" si="291"/>
        <v>0</v>
      </c>
      <c r="AK530" s="186">
        <f t="shared" si="291"/>
        <v>0</v>
      </c>
      <c r="AL530" s="186">
        <f t="shared" si="291"/>
        <v>0</v>
      </c>
      <c r="AM530" s="186">
        <f t="shared" si="291"/>
        <v>0</v>
      </c>
      <c r="AN530" s="186">
        <f t="shared" si="291"/>
        <v>0</v>
      </c>
      <c r="AO530" s="186">
        <f t="shared" si="291"/>
        <v>0</v>
      </c>
      <c r="AP530" s="186">
        <f t="shared" si="291"/>
        <v>0</v>
      </c>
    </row>
    <row r="531" spans="1:42" s="118" customFormat="1">
      <c r="A531" s="257" t="s">
        <v>486</v>
      </c>
      <c r="B531" s="292">
        <f>SUM(C531:AP531)</f>
        <v>-6922577.8455256056</v>
      </c>
      <c r="C531" s="203">
        <f t="shared" ref="C531:AP531" si="292">IF(AND(C$2&lt;=LPFDebtTerm,C$2&lt;=AnalysisPeriod),-C569-C601-C633,0)</f>
        <v>-690332.10552309547</v>
      </c>
      <c r="D531" s="141">
        <f t="shared" si="292"/>
        <v>-690332.10552309547</v>
      </c>
      <c r="E531" s="141">
        <f t="shared" si="292"/>
        <v>-690332.10552309547</v>
      </c>
      <c r="F531" s="141">
        <f t="shared" si="292"/>
        <v>-691900.73898590787</v>
      </c>
      <c r="G531" s="141">
        <f t="shared" si="292"/>
        <v>-691900.73898590787</v>
      </c>
      <c r="H531" s="141">
        <f t="shared" si="292"/>
        <v>-691900.73898590787</v>
      </c>
      <c r="I531" s="141">
        <f t="shared" si="292"/>
        <v>-693541.02507627232</v>
      </c>
      <c r="J531" s="141">
        <f t="shared" si="292"/>
        <v>-693541.02507627232</v>
      </c>
      <c r="K531" s="141">
        <f t="shared" si="292"/>
        <v>-693541.02507627232</v>
      </c>
      <c r="L531" s="141">
        <f t="shared" si="292"/>
        <v>-695256.23676977959</v>
      </c>
      <c r="M531" s="141">
        <f t="shared" si="292"/>
        <v>0</v>
      </c>
      <c r="N531" s="141">
        <f t="shared" si="292"/>
        <v>0</v>
      </c>
      <c r="O531" s="141">
        <f t="shared" si="292"/>
        <v>0</v>
      </c>
      <c r="P531" s="141">
        <f t="shared" si="292"/>
        <v>0</v>
      </c>
      <c r="Q531" s="141">
        <f t="shared" si="292"/>
        <v>0</v>
      </c>
      <c r="R531" s="141">
        <f t="shared" si="292"/>
        <v>0</v>
      </c>
      <c r="S531" s="141">
        <f t="shared" si="292"/>
        <v>0</v>
      </c>
      <c r="T531" s="141">
        <f t="shared" si="292"/>
        <v>0</v>
      </c>
      <c r="U531" s="141">
        <f t="shared" si="292"/>
        <v>0</v>
      </c>
      <c r="V531" s="141">
        <f t="shared" si="292"/>
        <v>0</v>
      </c>
      <c r="W531" s="141">
        <f t="shared" si="292"/>
        <v>0</v>
      </c>
      <c r="X531" s="141">
        <f t="shared" si="292"/>
        <v>0</v>
      </c>
      <c r="Y531" s="141">
        <f t="shared" si="292"/>
        <v>0</v>
      </c>
      <c r="Z531" s="141">
        <f t="shared" si="292"/>
        <v>0</v>
      </c>
      <c r="AA531" s="141">
        <f t="shared" si="292"/>
        <v>0</v>
      </c>
      <c r="AB531" s="141">
        <f t="shared" si="292"/>
        <v>0</v>
      </c>
      <c r="AC531" s="141">
        <f t="shared" si="292"/>
        <v>0</v>
      </c>
      <c r="AD531" s="141">
        <f t="shared" si="292"/>
        <v>0</v>
      </c>
      <c r="AE531" s="141">
        <f t="shared" si="292"/>
        <v>0</v>
      </c>
      <c r="AF531" s="141">
        <f t="shared" si="292"/>
        <v>0</v>
      </c>
      <c r="AG531" s="141">
        <f t="shared" si="292"/>
        <v>0</v>
      </c>
      <c r="AH531" s="141">
        <f t="shared" si="292"/>
        <v>0</v>
      </c>
      <c r="AI531" s="141">
        <f t="shared" si="292"/>
        <v>0</v>
      </c>
      <c r="AJ531" s="141">
        <f t="shared" si="292"/>
        <v>0</v>
      </c>
      <c r="AK531" s="141">
        <f t="shared" si="292"/>
        <v>0</v>
      </c>
      <c r="AL531" s="141">
        <f t="shared" si="292"/>
        <v>0</v>
      </c>
      <c r="AM531" s="141">
        <f t="shared" si="292"/>
        <v>0</v>
      </c>
      <c r="AN531" s="141">
        <f t="shared" si="292"/>
        <v>0</v>
      </c>
      <c r="AO531" s="141">
        <f t="shared" si="292"/>
        <v>0</v>
      </c>
      <c r="AP531" s="141">
        <f t="shared" si="292"/>
        <v>0</v>
      </c>
    </row>
    <row r="532" spans="1:42" s="118" customFormat="1">
      <c r="A532" s="184" t="s">
        <v>109</v>
      </c>
      <c r="B532" s="238">
        <f>SUM(C532:AP532)</f>
        <v>26343701.261986576</v>
      </c>
      <c r="C532" s="221">
        <f>SUM(C530:C531)</f>
        <v>2523454.6928710695</v>
      </c>
      <c r="D532" s="251">
        <f>SUM(D530:D531)</f>
        <v>2548733.6942196833</v>
      </c>
      <c r="E532" s="251">
        <f>SUM(E530:E531)</f>
        <v>2573941.7444217694</v>
      </c>
      <c r="F532" s="251">
        <f t="shared" ref="F532:AP532" si="293">SUM(F530:F531)</f>
        <v>2597507.2948854794</v>
      </c>
      <c r="G532" s="251">
        <f t="shared" si="293"/>
        <v>2622564.6287538218</v>
      </c>
      <c r="H532" s="251">
        <f t="shared" si="293"/>
        <v>2647542.0586148943</v>
      </c>
      <c r="I532" s="251">
        <f t="shared" si="293"/>
        <v>2670796.1727166036</v>
      </c>
      <c r="J532" s="251">
        <f t="shared" si="293"/>
        <v>2695604.3442851161</v>
      </c>
      <c r="K532" s="251">
        <f t="shared" si="293"/>
        <v>2720323.0133677456</v>
      </c>
      <c r="L532" s="251">
        <f t="shared" si="293"/>
        <v>2743233.6178503921</v>
      </c>
      <c r="M532" s="251">
        <f t="shared" si="293"/>
        <v>0</v>
      </c>
      <c r="N532" s="251">
        <f t="shared" si="293"/>
        <v>0</v>
      </c>
      <c r="O532" s="251">
        <f t="shared" si="293"/>
        <v>0</v>
      </c>
      <c r="P532" s="251">
        <f t="shared" si="293"/>
        <v>0</v>
      </c>
      <c r="Q532" s="251">
        <f t="shared" si="293"/>
        <v>0</v>
      </c>
      <c r="R532" s="251">
        <f t="shared" si="293"/>
        <v>0</v>
      </c>
      <c r="S532" s="251">
        <f t="shared" si="293"/>
        <v>0</v>
      </c>
      <c r="T532" s="251">
        <f t="shared" si="293"/>
        <v>0</v>
      </c>
      <c r="U532" s="251">
        <f t="shared" si="293"/>
        <v>0</v>
      </c>
      <c r="V532" s="251">
        <f t="shared" si="293"/>
        <v>0</v>
      </c>
      <c r="W532" s="251">
        <f t="shared" si="293"/>
        <v>0</v>
      </c>
      <c r="X532" s="251">
        <f t="shared" si="293"/>
        <v>0</v>
      </c>
      <c r="Y532" s="251">
        <f t="shared" si="293"/>
        <v>0</v>
      </c>
      <c r="Z532" s="251">
        <f t="shared" si="293"/>
        <v>0</v>
      </c>
      <c r="AA532" s="251">
        <f t="shared" si="293"/>
        <v>0</v>
      </c>
      <c r="AB532" s="251">
        <f t="shared" si="293"/>
        <v>0</v>
      </c>
      <c r="AC532" s="251">
        <f t="shared" si="293"/>
        <v>0</v>
      </c>
      <c r="AD532" s="251">
        <f t="shared" si="293"/>
        <v>0</v>
      </c>
      <c r="AE532" s="251">
        <f t="shared" si="293"/>
        <v>0</v>
      </c>
      <c r="AF532" s="251">
        <f t="shared" si="293"/>
        <v>0</v>
      </c>
      <c r="AG532" s="251">
        <f t="shared" si="293"/>
        <v>0</v>
      </c>
      <c r="AH532" s="251">
        <f t="shared" si="293"/>
        <v>0</v>
      </c>
      <c r="AI532" s="251">
        <f t="shared" si="293"/>
        <v>0</v>
      </c>
      <c r="AJ532" s="251">
        <f t="shared" si="293"/>
        <v>0</v>
      </c>
      <c r="AK532" s="251">
        <f t="shared" si="293"/>
        <v>0</v>
      </c>
      <c r="AL532" s="251">
        <f t="shared" si="293"/>
        <v>0</v>
      </c>
      <c r="AM532" s="251">
        <f t="shared" si="293"/>
        <v>0</v>
      </c>
      <c r="AN532" s="251">
        <f t="shared" si="293"/>
        <v>0</v>
      </c>
      <c r="AO532" s="251">
        <f t="shared" si="293"/>
        <v>0</v>
      </c>
      <c r="AP532" s="251">
        <f t="shared" si="293"/>
        <v>0</v>
      </c>
    </row>
    <row r="533" spans="1:42" s="118" customFormat="1">
      <c r="A533" s="37" t="s">
        <v>301</v>
      </c>
      <c r="B533" s="238">
        <f>SUM(C533:AP533)</f>
        <v>17983256.632986758</v>
      </c>
      <c r="C533" s="152">
        <f t="shared" ref="C533:AP533" si="294">C528*C532</f>
        <v>2347399.7142986692</v>
      </c>
      <c r="D533" s="152">
        <f t="shared" si="294"/>
        <v>2205502.3854794446</v>
      </c>
      <c r="E533" s="152">
        <f t="shared" si="294"/>
        <v>2071921.6124742886</v>
      </c>
      <c r="F533" s="152">
        <f t="shared" si="294"/>
        <v>1945014.8385082455</v>
      </c>
      <c r="G533" s="152">
        <f t="shared" si="294"/>
        <v>1826770.0310545522</v>
      </c>
      <c r="H533" s="152">
        <f t="shared" si="294"/>
        <v>1715505.3725006529</v>
      </c>
      <c r="I533" s="152">
        <f t="shared" si="294"/>
        <v>1609835.4824042418</v>
      </c>
      <c r="J533" s="152">
        <f t="shared" si="294"/>
        <v>1511431.3761855613</v>
      </c>
      <c r="K533" s="152">
        <f t="shared" si="294"/>
        <v>1418875.5247876314</v>
      </c>
      <c r="L533" s="152">
        <f t="shared" si="294"/>
        <v>1331000.2952934699</v>
      </c>
      <c r="M533" s="152">
        <f t="shared" si="294"/>
        <v>0</v>
      </c>
      <c r="N533" s="152">
        <f t="shared" si="294"/>
        <v>0</v>
      </c>
      <c r="O533" s="152">
        <f t="shared" si="294"/>
        <v>0</v>
      </c>
      <c r="P533" s="152">
        <f t="shared" si="294"/>
        <v>0</v>
      </c>
      <c r="Q533" s="152">
        <f t="shared" si="294"/>
        <v>0</v>
      </c>
      <c r="R533" s="152">
        <f t="shared" si="294"/>
        <v>0</v>
      </c>
      <c r="S533" s="152">
        <f t="shared" si="294"/>
        <v>0</v>
      </c>
      <c r="T533" s="152">
        <f t="shared" si="294"/>
        <v>0</v>
      </c>
      <c r="U533" s="152">
        <f t="shared" si="294"/>
        <v>0</v>
      </c>
      <c r="V533" s="152">
        <f t="shared" si="294"/>
        <v>0</v>
      </c>
      <c r="W533" s="152">
        <f t="shared" si="294"/>
        <v>0</v>
      </c>
      <c r="X533" s="152">
        <f t="shared" si="294"/>
        <v>0</v>
      </c>
      <c r="Y533" s="152">
        <f t="shared" si="294"/>
        <v>0</v>
      </c>
      <c r="Z533" s="152">
        <f t="shared" si="294"/>
        <v>0</v>
      </c>
      <c r="AA533" s="152">
        <f t="shared" si="294"/>
        <v>0</v>
      </c>
      <c r="AB533" s="152">
        <f t="shared" si="294"/>
        <v>0</v>
      </c>
      <c r="AC533" s="152">
        <f t="shared" si="294"/>
        <v>0</v>
      </c>
      <c r="AD533" s="152">
        <f t="shared" si="294"/>
        <v>0</v>
      </c>
      <c r="AE533" s="152">
        <f t="shared" si="294"/>
        <v>0</v>
      </c>
      <c r="AF533" s="152">
        <f t="shared" si="294"/>
        <v>0</v>
      </c>
      <c r="AG533" s="152">
        <f t="shared" si="294"/>
        <v>0</v>
      </c>
      <c r="AH533" s="152">
        <f t="shared" si="294"/>
        <v>0</v>
      </c>
      <c r="AI533" s="152">
        <f t="shared" si="294"/>
        <v>0</v>
      </c>
      <c r="AJ533" s="152">
        <f t="shared" si="294"/>
        <v>0</v>
      </c>
      <c r="AK533" s="152">
        <f t="shared" si="294"/>
        <v>0</v>
      </c>
      <c r="AL533" s="152">
        <f t="shared" si="294"/>
        <v>0</v>
      </c>
      <c r="AM533" s="152">
        <f t="shared" si="294"/>
        <v>0</v>
      </c>
      <c r="AN533" s="152">
        <f t="shared" si="294"/>
        <v>0</v>
      </c>
      <c r="AO533" s="152">
        <f t="shared" si="294"/>
        <v>0</v>
      </c>
      <c r="AP533" s="152">
        <f t="shared" si="294"/>
        <v>0</v>
      </c>
    </row>
    <row r="534" spans="1:42" s="118" customFormat="1">
      <c r="A534" s="37" t="s">
        <v>108</v>
      </c>
      <c r="C534" s="239">
        <f t="shared" ref="C534:AP534" si="295">IF(AND(C$2&lt;=SODebtTerm,C$2&lt;=AnalysisPeriod),SODSCR,0)</f>
        <v>1.35</v>
      </c>
      <c r="D534" s="239">
        <f t="shared" si="295"/>
        <v>1.35</v>
      </c>
      <c r="E534" s="239">
        <f t="shared" si="295"/>
        <v>1.35</v>
      </c>
      <c r="F534" s="239">
        <f t="shared" si="295"/>
        <v>1.35</v>
      </c>
      <c r="G534" s="239">
        <f t="shared" si="295"/>
        <v>1.35</v>
      </c>
      <c r="H534" s="239">
        <f t="shared" si="295"/>
        <v>1.35</v>
      </c>
      <c r="I534" s="239">
        <f t="shared" si="295"/>
        <v>1.35</v>
      </c>
      <c r="J534" s="239">
        <f t="shared" si="295"/>
        <v>1.35</v>
      </c>
      <c r="K534" s="239">
        <f t="shared" si="295"/>
        <v>1.35</v>
      </c>
      <c r="L534" s="239">
        <f t="shared" si="295"/>
        <v>1.35</v>
      </c>
      <c r="M534" s="239">
        <f t="shared" si="295"/>
        <v>1.35</v>
      </c>
      <c r="N534" s="239">
        <f t="shared" si="295"/>
        <v>1.35</v>
      </c>
      <c r="O534" s="239">
        <f t="shared" si="295"/>
        <v>1.35</v>
      </c>
      <c r="P534" s="239">
        <f t="shared" si="295"/>
        <v>1.35</v>
      </c>
      <c r="Q534" s="239">
        <f t="shared" si="295"/>
        <v>1.35</v>
      </c>
      <c r="R534" s="239">
        <f t="shared" si="295"/>
        <v>0</v>
      </c>
      <c r="S534" s="239">
        <f t="shared" si="295"/>
        <v>0</v>
      </c>
      <c r="T534" s="239">
        <f t="shared" si="295"/>
        <v>0</v>
      </c>
      <c r="U534" s="239">
        <f t="shared" si="295"/>
        <v>0</v>
      </c>
      <c r="V534" s="239">
        <f t="shared" si="295"/>
        <v>0</v>
      </c>
      <c r="W534" s="239">
        <f t="shared" si="295"/>
        <v>0</v>
      </c>
      <c r="X534" s="239">
        <f t="shared" si="295"/>
        <v>0</v>
      </c>
      <c r="Y534" s="239">
        <f t="shared" si="295"/>
        <v>0</v>
      </c>
      <c r="Z534" s="239">
        <f t="shared" si="295"/>
        <v>0</v>
      </c>
      <c r="AA534" s="239">
        <f t="shared" si="295"/>
        <v>0</v>
      </c>
      <c r="AB534" s="239">
        <f t="shared" si="295"/>
        <v>0</v>
      </c>
      <c r="AC534" s="239">
        <f t="shared" si="295"/>
        <v>0</v>
      </c>
      <c r="AD534" s="239">
        <f t="shared" si="295"/>
        <v>0</v>
      </c>
      <c r="AE534" s="239">
        <f t="shared" si="295"/>
        <v>0</v>
      </c>
      <c r="AF534" s="239">
        <f t="shared" si="295"/>
        <v>0</v>
      </c>
      <c r="AG534" s="239">
        <f t="shared" si="295"/>
        <v>0</v>
      </c>
      <c r="AH534" s="239">
        <f t="shared" si="295"/>
        <v>0</v>
      </c>
      <c r="AI534" s="239">
        <f t="shared" si="295"/>
        <v>0</v>
      </c>
      <c r="AJ534" s="239">
        <f t="shared" si="295"/>
        <v>0</v>
      </c>
      <c r="AK534" s="239">
        <f t="shared" si="295"/>
        <v>0</v>
      </c>
      <c r="AL534" s="239">
        <f t="shared" si="295"/>
        <v>0</v>
      </c>
      <c r="AM534" s="239">
        <f t="shared" si="295"/>
        <v>0</v>
      </c>
      <c r="AN534" s="239">
        <f t="shared" si="295"/>
        <v>0</v>
      </c>
      <c r="AO534" s="239">
        <f t="shared" si="295"/>
        <v>0</v>
      </c>
      <c r="AP534" s="239">
        <f t="shared" si="295"/>
        <v>0</v>
      </c>
    </row>
    <row r="535" spans="1:42" s="118" customFormat="1">
      <c r="A535" s="37" t="s">
        <v>302</v>
      </c>
      <c r="B535" s="238">
        <f>SUM(C535:AP535)</f>
        <v>13320930.839249449</v>
      </c>
      <c r="C535" s="152">
        <f t="shared" ref="C535:AP535" si="296">IF(AND(C$2&lt;=SODebtTerm,C$2&lt;=AnalysisPeriod),C533/C534,0)</f>
        <v>1738814.6031841994</v>
      </c>
      <c r="D535" s="152">
        <f t="shared" si="296"/>
        <v>1633705.4707255145</v>
      </c>
      <c r="E535" s="152">
        <f t="shared" si="296"/>
        <v>1534756.7499809545</v>
      </c>
      <c r="F535" s="152">
        <f t="shared" si="296"/>
        <v>1440751.7322283299</v>
      </c>
      <c r="G535" s="152">
        <f t="shared" si="296"/>
        <v>1353162.9859663348</v>
      </c>
      <c r="H535" s="152">
        <f t="shared" si="296"/>
        <v>1270744.720370854</v>
      </c>
      <c r="I535" s="152">
        <f t="shared" si="296"/>
        <v>1192470.7277068456</v>
      </c>
      <c r="J535" s="152">
        <f t="shared" si="296"/>
        <v>1119578.7971744898</v>
      </c>
      <c r="K535" s="152">
        <f t="shared" si="296"/>
        <v>1051018.9072500973</v>
      </c>
      <c r="L535" s="152">
        <f t="shared" si="296"/>
        <v>985926.14466182946</v>
      </c>
      <c r="M535" s="152">
        <f t="shared" si="296"/>
        <v>0</v>
      </c>
      <c r="N535" s="152">
        <f t="shared" si="296"/>
        <v>0</v>
      </c>
      <c r="O535" s="152">
        <f t="shared" si="296"/>
        <v>0</v>
      </c>
      <c r="P535" s="152">
        <f t="shared" si="296"/>
        <v>0</v>
      </c>
      <c r="Q535" s="152">
        <f t="shared" si="296"/>
        <v>0</v>
      </c>
      <c r="R535" s="152">
        <f t="shared" si="296"/>
        <v>0</v>
      </c>
      <c r="S535" s="152">
        <f t="shared" si="296"/>
        <v>0</v>
      </c>
      <c r="T535" s="152">
        <f t="shared" si="296"/>
        <v>0</v>
      </c>
      <c r="U535" s="152">
        <f t="shared" si="296"/>
        <v>0</v>
      </c>
      <c r="V535" s="152">
        <f t="shared" si="296"/>
        <v>0</v>
      </c>
      <c r="W535" s="152">
        <f t="shared" si="296"/>
        <v>0</v>
      </c>
      <c r="X535" s="152">
        <f t="shared" si="296"/>
        <v>0</v>
      </c>
      <c r="Y535" s="152">
        <f t="shared" si="296"/>
        <v>0</v>
      </c>
      <c r="Z535" s="152">
        <f t="shared" si="296"/>
        <v>0</v>
      </c>
      <c r="AA535" s="152">
        <f t="shared" si="296"/>
        <v>0</v>
      </c>
      <c r="AB535" s="152">
        <f t="shared" si="296"/>
        <v>0</v>
      </c>
      <c r="AC535" s="152">
        <f t="shared" si="296"/>
        <v>0</v>
      </c>
      <c r="AD535" s="152">
        <f t="shared" si="296"/>
        <v>0</v>
      </c>
      <c r="AE535" s="152">
        <f t="shared" si="296"/>
        <v>0</v>
      </c>
      <c r="AF535" s="152">
        <f t="shared" si="296"/>
        <v>0</v>
      </c>
      <c r="AG535" s="152">
        <f t="shared" si="296"/>
        <v>0</v>
      </c>
      <c r="AH535" s="152">
        <f t="shared" si="296"/>
        <v>0</v>
      </c>
      <c r="AI535" s="152">
        <f t="shared" si="296"/>
        <v>0</v>
      </c>
      <c r="AJ535" s="152">
        <f t="shared" si="296"/>
        <v>0</v>
      </c>
      <c r="AK535" s="152">
        <f t="shared" si="296"/>
        <v>0</v>
      </c>
      <c r="AL535" s="152">
        <f t="shared" si="296"/>
        <v>0</v>
      </c>
      <c r="AM535" s="152">
        <f t="shared" si="296"/>
        <v>0</v>
      </c>
      <c r="AN535" s="152">
        <f t="shared" si="296"/>
        <v>0</v>
      </c>
      <c r="AO535" s="152">
        <f t="shared" si="296"/>
        <v>0</v>
      </c>
      <c r="AP535" s="152">
        <f t="shared" si="296"/>
        <v>0</v>
      </c>
    </row>
    <row r="536" spans="1:42" s="118" customFormat="1">
      <c r="A536" s="240"/>
    </row>
    <row r="537" spans="1:42">
      <c r="A537" s="182" t="s">
        <v>101</v>
      </c>
      <c r="C537" s="152"/>
      <c r="D537" s="152"/>
      <c r="E537" s="152"/>
      <c r="F537" s="152"/>
      <c r="G537" s="152"/>
      <c r="H537" s="152"/>
      <c r="I537" s="152"/>
      <c r="J537" s="152"/>
      <c r="K537" s="152"/>
      <c r="L537" s="152"/>
      <c r="M537" s="152"/>
      <c r="N537" s="152"/>
      <c r="O537" s="152"/>
      <c r="P537" s="152"/>
      <c r="Q537" s="152"/>
      <c r="R537" s="152"/>
      <c r="S537" s="152"/>
      <c r="T537" s="152"/>
      <c r="U537" s="152"/>
      <c r="V537" s="152"/>
      <c r="W537" s="152"/>
      <c r="X537" s="152"/>
      <c r="Y537" s="152"/>
      <c r="Z537" s="152"/>
      <c r="AA537" s="152"/>
      <c r="AB537" s="152"/>
      <c r="AC537" s="152"/>
      <c r="AD537" s="152"/>
      <c r="AE537" s="152"/>
      <c r="AF537" s="152"/>
      <c r="AG537" s="152"/>
      <c r="AH537" s="152"/>
      <c r="AI537" s="152"/>
      <c r="AJ537" s="152"/>
      <c r="AK537" s="152"/>
      <c r="AL537" s="152"/>
      <c r="AM537" s="152"/>
      <c r="AN537" s="152"/>
      <c r="AO537" s="152"/>
      <c r="AP537" s="152"/>
    </row>
    <row r="538" spans="1:42">
      <c r="A538" s="37" t="s">
        <v>99</v>
      </c>
      <c r="B538" s="152">
        <v>0</v>
      </c>
      <c r="C538" s="152">
        <f>B541</f>
        <v>13320930.839249449</v>
      </c>
      <c r="D538" s="152">
        <f t="shared" ref="D538:AP538" si="297">C541</f>
        <v>12450774.953770144</v>
      </c>
      <c r="E538" s="152">
        <f t="shared" si="297"/>
        <v>11496632.190695733</v>
      </c>
      <c r="F538" s="152">
        <f t="shared" si="297"/>
        <v>10452256.090611417</v>
      </c>
      <c r="G538" s="152">
        <f t="shared" si="297"/>
        <v>9312095.8197143264</v>
      </c>
      <c r="H538" s="152">
        <f t="shared" si="297"/>
        <v>8067862.5404493287</v>
      </c>
      <c r="I538" s="152">
        <f t="shared" si="297"/>
        <v>6711809.9653423661</v>
      </c>
      <c r="J538" s="152">
        <f t="shared" si="297"/>
        <v>5236828.1773974113</v>
      </c>
      <c r="K538" s="152">
        <f t="shared" si="297"/>
        <v>3632846.3319725017</v>
      </c>
      <c r="L538" s="152">
        <f t="shared" si="297"/>
        <v>1890255.7228943317</v>
      </c>
      <c r="M538" s="152">
        <f t="shared" si="297"/>
        <v>4.8894435167312622E-9</v>
      </c>
      <c r="N538" s="152">
        <f t="shared" si="297"/>
        <v>5.2561517804861067E-9</v>
      </c>
      <c r="O538" s="152">
        <f t="shared" si="297"/>
        <v>5.6503631640225644E-9</v>
      </c>
      <c r="P538" s="152">
        <f t="shared" si="297"/>
        <v>6.074140401324257E-9</v>
      </c>
      <c r="Q538" s="152">
        <f t="shared" si="297"/>
        <v>6.5297009314235759E-9</v>
      </c>
      <c r="R538" s="152">
        <f t="shared" si="297"/>
        <v>7.019428501280344E-9</v>
      </c>
      <c r="S538" s="152">
        <f t="shared" si="297"/>
        <v>7.019428501280344E-9</v>
      </c>
      <c r="T538" s="152">
        <f t="shared" si="297"/>
        <v>7.019428501280344E-9</v>
      </c>
      <c r="U538" s="152">
        <f t="shared" si="297"/>
        <v>7.019428501280344E-9</v>
      </c>
      <c r="V538" s="152">
        <f t="shared" si="297"/>
        <v>7.019428501280344E-9</v>
      </c>
      <c r="W538" s="152">
        <f t="shared" si="297"/>
        <v>7.019428501280344E-9</v>
      </c>
      <c r="X538" s="152">
        <f t="shared" si="297"/>
        <v>7.019428501280344E-9</v>
      </c>
      <c r="Y538" s="152">
        <f t="shared" si="297"/>
        <v>7.019428501280344E-9</v>
      </c>
      <c r="Z538" s="152">
        <f t="shared" si="297"/>
        <v>7.019428501280344E-9</v>
      </c>
      <c r="AA538" s="152">
        <f t="shared" si="297"/>
        <v>7.019428501280344E-9</v>
      </c>
      <c r="AB538" s="152">
        <f t="shared" si="297"/>
        <v>7.019428501280344E-9</v>
      </c>
      <c r="AC538" s="152">
        <f t="shared" si="297"/>
        <v>7.019428501280344E-9</v>
      </c>
      <c r="AD538" s="152">
        <f t="shared" si="297"/>
        <v>7.019428501280344E-9</v>
      </c>
      <c r="AE538" s="152">
        <f t="shared" si="297"/>
        <v>7.019428501280344E-9</v>
      </c>
      <c r="AF538" s="152">
        <f t="shared" si="297"/>
        <v>7.019428501280344E-9</v>
      </c>
      <c r="AG538" s="152">
        <f t="shared" si="297"/>
        <v>7.019428501280344E-9</v>
      </c>
      <c r="AH538" s="152">
        <f t="shared" si="297"/>
        <v>7.019428501280344E-9</v>
      </c>
      <c r="AI538" s="152">
        <f t="shared" si="297"/>
        <v>7.019428501280344E-9</v>
      </c>
      <c r="AJ538" s="152">
        <f t="shared" si="297"/>
        <v>7.019428501280344E-9</v>
      </c>
      <c r="AK538" s="152">
        <f t="shared" si="297"/>
        <v>7.019428501280344E-9</v>
      </c>
      <c r="AL538" s="152">
        <f t="shared" si="297"/>
        <v>7.019428501280344E-9</v>
      </c>
      <c r="AM538" s="152">
        <f t="shared" si="297"/>
        <v>7.019428501280344E-9</v>
      </c>
      <c r="AN538" s="152">
        <f t="shared" si="297"/>
        <v>7.019428501280344E-9</v>
      </c>
      <c r="AO538" s="152">
        <f t="shared" si="297"/>
        <v>7.019428501280344E-9</v>
      </c>
      <c r="AP538" s="152">
        <f t="shared" si="297"/>
        <v>7.019428501280344E-9</v>
      </c>
    </row>
    <row r="539" spans="1:42">
      <c r="A539" s="37" t="s">
        <v>100</v>
      </c>
      <c r="B539" s="152">
        <f>B535</f>
        <v>13320930.839249449</v>
      </c>
      <c r="C539" s="152">
        <v>0</v>
      </c>
      <c r="D539" s="152">
        <v>0</v>
      </c>
      <c r="E539" s="152">
        <v>0</v>
      </c>
      <c r="F539" s="152">
        <v>0</v>
      </c>
      <c r="G539" s="152">
        <v>0</v>
      </c>
      <c r="H539" s="152">
        <v>0</v>
      </c>
      <c r="I539" s="152">
        <v>0</v>
      </c>
      <c r="J539" s="152">
        <v>0</v>
      </c>
      <c r="K539" s="152">
        <v>0</v>
      </c>
      <c r="L539" s="152">
        <v>0</v>
      </c>
      <c r="M539" s="152">
        <v>0</v>
      </c>
      <c r="N539" s="152">
        <v>0</v>
      </c>
      <c r="O539" s="152">
        <v>0</v>
      </c>
      <c r="P539" s="152">
        <v>0</v>
      </c>
      <c r="Q539" s="152">
        <v>0</v>
      </c>
      <c r="R539" s="152">
        <v>0</v>
      </c>
      <c r="S539" s="152">
        <v>0</v>
      </c>
      <c r="T539" s="152">
        <v>0</v>
      </c>
      <c r="U539" s="152">
        <v>0</v>
      </c>
      <c r="V539" s="152">
        <v>0</v>
      </c>
      <c r="W539" s="152">
        <v>0</v>
      </c>
      <c r="X539" s="152">
        <v>0</v>
      </c>
      <c r="Y539" s="152">
        <v>0</v>
      </c>
      <c r="Z539" s="152">
        <v>0</v>
      </c>
      <c r="AA539" s="152">
        <v>0</v>
      </c>
      <c r="AB539" s="152">
        <v>0</v>
      </c>
      <c r="AC539" s="152">
        <v>0</v>
      </c>
      <c r="AD539" s="152">
        <v>0</v>
      </c>
      <c r="AE539" s="152">
        <v>0</v>
      </c>
      <c r="AF539" s="152">
        <v>0</v>
      </c>
      <c r="AG539" s="152">
        <v>0</v>
      </c>
      <c r="AH539" s="152">
        <v>0</v>
      </c>
      <c r="AI539" s="152">
        <v>0</v>
      </c>
      <c r="AJ539" s="152">
        <v>0</v>
      </c>
      <c r="AK539" s="152">
        <v>0</v>
      </c>
      <c r="AL539" s="152">
        <v>0</v>
      </c>
      <c r="AM539" s="152">
        <v>0</v>
      </c>
      <c r="AN539" s="152">
        <v>0</v>
      </c>
      <c r="AO539" s="152">
        <v>0</v>
      </c>
      <c r="AP539" s="152">
        <v>0</v>
      </c>
    </row>
    <row r="540" spans="1:42">
      <c r="A540" s="37" t="s">
        <v>101</v>
      </c>
      <c r="B540" s="187">
        <v>0</v>
      </c>
      <c r="C540" s="187">
        <f>-C543</f>
        <v>-870155.88547930564</v>
      </c>
      <c r="D540" s="187">
        <f t="shared" ref="D540:AP540" si="298">-D543</f>
        <v>-954142.76307441201</v>
      </c>
      <c r="E540" s="187">
        <f t="shared" si="298"/>
        <v>-1044376.1000843159</v>
      </c>
      <c r="F540" s="187">
        <f t="shared" si="298"/>
        <v>-1140160.2708970914</v>
      </c>
      <c r="G540" s="187">
        <f t="shared" si="298"/>
        <v>-1244233.2792649972</v>
      </c>
      <c r="H540" s="187">
        <f t="shared" si="298"/>
        <v>-1356052.5751069626</v>
      </c>
      <c r="I540" s="187">
        <f t="shared" si="298"/>
        <v>-1474981.7879449548</v>
      </c>
      <c r="J540" s="187">
        <f t="shared" si="298"/>
        <v>-1603981.8454249096</v>
      </c>
      <c r="K540" s="187">
        <f t="shared" si="298"/>
        <v>-1742590.60907817</v>
      </c>
      <c r="L540" s="187">
        <f t="shared" si="298"/>
        <v>-1890255.7228943268</v>
      </c>
      <c r="M540" s="187">
        <f t="shared" si="298"/>
        <v>3.6670826375484466E-10</v>
      </c>
      <c r="N540" s="187">
        <f t="shared" si="298"/>
        <v>3.9421138353645801E-10</v>
      </c>
      <c r="O540" s="187">
        <f t="shared" si="298"/>
        <v>4.237772373016923E-10</v>
      </c>
      <c r="P540" s="187">
        <f t="shared" si="298"/>
        <v>4.5556053009931928E-10</v>
      </c>
      <c r="Q540" s="187">
        <f t="shared" si="298"/>
        <v>4.8972756985676815E-10</v>
      </c>
      <c r="R540" s="187">
        <f t="shared" si="298"/>
        <v>0</v>
      </c>
      <c r="S540" s="187">
        <f t="shared" si="298"/>
        <v>0</v>
      </c>
      <c r="T540" s="187">
        <f t="shared" si="298"/>
        <v>0</v>
      </c>
      <c r="U540" s="187">
        <f t="shared" si="298"/>
        <v>0</v>
      </c>
      <c r="V540" s="187">
        <f t="shared" si="298"/>
        <v>0</v>
      </c>
      <c r="W540" s="187">
        <f t="shared" si="298"/>
        <v>0</v>
      </c>
      <c r="X540" s="187">
        <f t="shared" si="298"/>
        <v>0</v>
      </c>
      <c r="Y540" s="187">
        <f t="shared" si="298"/>
        <v>0</v>
      </c>
      <c r="Z540" s="187">
        <f t="shared" si="298"/>
        <v>0</v>
      </c>
      <c r="AA540" s="187">
        <f t="shared" si="298"/>
        <v>0</v>
      </c>
      <c r="AB540" s="187">
        <f t="shared" si="298"/>
        <v>0</v>
      </c>
      <c r="AC540" s="187">
        <f t="shared" si="298"/>
        <v>0</v>
      </c>
      <c r="AD540" s="187">
        <f t="shared" si="298"/>
        <v>0</v>
      </c>
      <c r="AE540" s="187">
        <f t="shared" si="298"/>
        <v>0</v>
      </c>
      <c r="AF540" s="187">
        <f t="shared" si="298"/>
        <v>0</v>
      </c>
      <c r="AG540" s="187">
        <f t="shared" si="298"/>
        <v>0</v>
      </c>
      <c r="AH540" s="187">
        <f t="shared" si="298"/>
        <v>0</v>
      </c>
      <c r="AI540" s="187">
        <f t="shared" si="298"/>
        <v>0</v>
      </c>
      <c r="AJ540" s="187">
        <f t="shared" si="298"/>
        <v>0</v>
      </c>
      <c r="AK540" s="187">
        <f t="shared" si="298"/>
        <v>0</v>
      </c>
      <c r="AL540" s="187">
        <f t="shared" si="298"/>
        <v>0</v>
      </c>
      <c r="AM540" s="187">
        <f t="shared" si="298"/>
        <v>0</v>
      </c>
      <c r="AN540" s="187">
        <f t="shared" si="298"/>
        <v>0</v>
      </c>
      <c r="AO540" s="187">
        <f t="shared" si="298"/>
        <v>0</v>
      </c>
      <c r="AP540" s="187">
        <f t="shared" si="298"/>
        <v>0</v>
      </c>
    </row>
    <row r="541" spans="1:42">
      <c r="A541" s="37" t="s">
        <v>102</v>
      </c>
      <c r="B541" s="152">
        <f>SUM(B538:B540)</f>
        <v>13320930.839249449</v>
      </c>
      <c r="C541" s="152">
        <f>SUM(C538:C540)</f>
        <v>12450774.953770144</v>
      </c>
      <c r="D541" s="152">
        <f t="shared" ref="D541:AP541" si="299">SUM(D538:D540)</f>
        <v>11496632.190695733</v>
      </c>
      <c r="E541" s="152">
        <f t="shared" si="299"/>
        <v>10452256.090611417</v>
      </c>
      <c r="F541" s="152">
        <f t="shared" si="299"/>
        <v>9312095.8197143264</v>
      </c>
      <c r="G541" s="152">
        <f t="shared" si="299"/>
        <v>8067862.5404493287</v>
      </c>
      <c r="H541" s="152">
        <f t="shared" si="299"/>
        <v>6711809.9653423661</v>
      </c>
      <c r="I541" s="152">
        <f t="shared" si="299"/>
        <v>5236828.1773974113</v>
      </c>
      <c r="J541" s="152">
        <f t="shared" si="299"/>
        <v>3632846.3319725017</v>
      </c>
      <c r="K541" s="152">
        <f t="shared" si="299"/>
        <v>1890255.7228943317</v>
      </c>
      <c r="L541" s="152">
        <f t="shared" si="299"/>
        <v>4.8894435167312622E-9</v>
      </c>
      <c r="M541" s="152">
        <f t="shared" si="299"/>
        <v>5.2561517804861067E-9</v>
      </c>
      <c r="N541" s="152">
        <f t="shared" si="299"/>
        <v>5.6503631640225644E-9</v>
      </c>
      <c r="O541" s="152">
        <f t="shared" si="299"/>
        <v>6.074140401324257E-9</v>
      </c>
      <c r="P541" s="152">
        <f t="shared" si="299"/>
        <v>6.5297009314235759E-9</v>
      </c>
      <c r="Q541" s="152">
        <f t="shared" si="299"/>
        <v>7.019428501280344E-9</v>
      </c>
      <c r="R541" s="152">
        <f t="shared" si="299"/>
        <v>7.019428501280344E-9</v>
      </c>
      <c r="S541" s="152">
        <f t="shared" si="299"/>
        <v>7.019428501280344E-9</v>
      </c>
      <c r="T541" s="152">
        <f t="shared" si="299"/>
        <v>7.019428501280344E-9</v>
      </c>
      <c r="U541" s="152">
        <f t="shared" si="299"/>
        <v>7.019428501280344E-9</v>
      </c>
      <c r="V541" s="152">
        <f t="shared" si="299"/>
        <v>7.019428501280344E-9</v>
      </c>
      <c r="W541" s="152">
        <f t="shared" si="299"/>
        <v>7.019428501280344E-9</v>
      </c>
      <c r="X541" s="152">
        <f t="shared" si="299"/>
        <v>7.019428501280344E-9</v>
      </c>
      <c r="Y541" s="152">
        <f t="shared" si="299"/>
        <v>7.019428501280344E-9</v>
      </c>
      <c r="Z541" s="152">
        <f t="shared" si="299"/>
        <v>7.019428501280344E-9</v>
      </c>
      <c r="AA541" s="152">
        <f t="shared" si="299"/>
        <v>7.019428501280344E-9</v>
      </c>
      <c r="AB541" s="152">
        <f t="shared" si="299"/>
        <v>7.019428501280344E-9</v>
      </c>
      <c r="AC541" s="152">
        <f t="shared" si="299"/>
        <v>7.019428501280344E-9</v>
      </c>
      <c r="AD541" s="152">
        <f t="shared" si="299"/>
        <v>7.019428501280344E-9</v>
      </c>
      <c r="AE541" s="152">
        <f t="shared" si="299"/>
        <v>7.019428501280344E-9</v>
      </c>
      <c r="AF541" s="152">
        <f t="shared" si="299"/>
        <v>7.019428501280344E-9</v>
      </c>
      <c r="AG541" s="152">
        <f t="shared" si="299"/>
        <v>7.019428501280344E-9</v>
      </c>
      <c r="AH541" s="152">
        <f t="shared" si="299"/>
        <v>7.019428501280344E-9</v>
      </c>
      <c r="AI541" s="152">
        <f t="shared" si="299"/>
        <v>7.019428501280344E-9</v>
      </c>
      <c r="AJ541" s="152">
        <f t="shared" si="299"/>
        <v>7.019428501280344E-9</v>
      </c>
      <c r="AK541" s="152">
        <f t="shared" si="299"/>
        <v>7.019428501280344E-9</v>
      </c>
      <c r="AL541" s="152">
        <f t="shared" si="299"/>
        <v>7.019428501280344E-9</v>
      </c>
      <c r="AM541" s="152">
        <f t="shared" si="299"/>
        <v>7.019428501280344E-9</v>
      </c>
      <c r="AN541" s="152">
        <f t="shared" si="299"/>
        <v>7.019428501280344E-9</v>
      </c>
      <c r="AO541" s="152">
        <f t="shared" si="299"/>
        <v>7.019428501280344E-9</v>
      </c>
      <c r="AP541" s="152">
        <f t="shared" si="299"/>
        <v>7.019428501280344E-9</v>
      </c>
    </row>
    <row r="542" spans="1:42">
      <c r="B542" s="152"/>
      <c r="C542" s="152"/>
      <c r="D542" s="152"/>
      <c r="E542" s="152"/>
      <c r="F542" s="152"/>
      <c r="G542" s="152"/>
      <c r="H542" s="152"/>
      <c r="I542" s="152"/>
      <c r="J542" s="152"/>
      <c r="K542" s="152"/>
      <c r="L542" s="152"/>
      <c r="M542" s="152"/>
      <c r="N542" s="152"/>
      <c r="O542" s="152"/>
      <c r="P542" s="152"/>
      <c r="Q542" s="152"/>
      <c r="R542" s="152"/>
      <c r="S542" s="152"/>
      <c r="T542" s="152"/>
      <c r="U542" s="152"/>
      <c r="V542" s="152"/>
      <c r="W542" s="152"/>
      <c r="X542" s="152"/>
      <c r="Y542" s="152"/>
      <c r="Z542" s="152"/>
      <c r="AA542" s="152"/>
      <c r="AB542" s="152"/>
      <c r="AC542" s="152"/>
      <c r="AD542" s="152"/>
      <c r="AE542" s="152"/>
      <c r="AF542" s="152"/>
      <c r="AG542" s="152"/>
      <c r="AH542" s="152"/>
      <c r="AI542" s="152"/>
      <c r="AJ542" s="152"/>
      <c r="AK542" s="152"/>
      <c r="AL542" s="152"/>
      <c r="AM542" s="152"/>
      <c r="AN542" s="152"/>
      <c r="AO542" s="152"/>
      <c r="AP542" s="152"/>
    </row>
    <row r="543" spans="1:42">
      <c r="A543" s="37" t="s">
        <v>103</v>
      </c>
      <c r="B543" s="196">
        <f>SUM(C543:AP543)</f>
        <v>13320930.839249447</v>
      </c>
      <c r="C543" s="152">
        <f>C545-C544</f>
        <v>870155.88547930564</v>
      </c>
      <c r="D543" s="152">
        <f t="shared" ref="D543:AP543" si="300">D545-D544</f>
        <v>954142.76307441201</v>
      </c>
      <c r="E543" s="152">
        <f t="shared" si="300"/>
        <v>1044376.1000843159</v>
      </c>
      <c r="F543" s="152">
        <f t="shared" si="300"/>
        <v>1140160.2708970914</v>
      </c>
      <c r="G543" s="152">
        <f t="shared" si="300"/>
        <v>1244233.2792649972</v>
      </c>
      <c r="H543" s="152">
        <f t="shared" si="300"/>
        <v>1356052.5751069626</v>
      </c>
      <c r="I543" s="152">
        <f t="shared" si="300"/>
        <v>1474981.7879449548</v>
      </c>
      <c r="J543" s="152">
        <f t="shared" si="300"/>
        <v>1603981.8454249096</v>
      </c>
      <c r="K543" s="152">
        <f t="shared" si="300"/>
        <v>1742590.60907817</v>
      </c>
      <c r="L543" s="152">
        <f t="shared" si="300"/>
        <v>1890255.7228943268</v>
      </c>
      <c r="M543" s="152">
        <f t="shared" si="300"/>
        <v>-3.6670826375484466E-10</v>
      </c>
      <c r="N543" s="152">
        <f t="shared" si="300"/>
        <v>-3.9421138353645801E-10</v>
      </c>
      <c r="O543" s="152">
        <f t="shared" si="300"/>
        <v>-4.237772373016923E-10</v>
      </c>
      <c r="P543" s="152">
        <f t="shared" si="300"/>
        <v>-4.5556053009931928E-10</v>
      </c>
      <c r="Q543" s="152">
        <f t="shared" si="300"/>
        <v>-4.8972756985676815E-10</v>
      </c>
      <c r="R543" s="152">
        <f t="shared" si="300"/>
        <v>0</v>
      </c>
      <c r="S543" s="152">
        <f t="shared" si="300"/>
        <v>0</v>
      </c>
      <c r="T543" s="152">
        <f t="shared" si="300"/>
        <v>0</v>
      </c>
      <c r="U543" s="152">
        <f t="shared" si="300"/>
        <v>0</v>
      </c>
      <c r="V543" s="152">
        <f t="shared" si="300"/>
        <v>0</v>
      </c>
      <c r="W543" s="152">
        <f t="shared" si="300"/>
        <v>0</v>
      </c>
      <c r="X543" s="152">
        <f t="shared" si="300"/>
        <v>0</v>
      </c>
      <c r="Y543" s="152">
        <f t="shared" si="300"/>
        <v>0</v>
      </c>
      <c r="Z543" s="152">
        <f t="shared" si="300"/>
        <v>0</v>
      </c>
      <c r="AA543" s="152">
        <f t="shared" si="300"/>
        <v>0</v>
      </c>
      <c r="AB543" s="152">
        <f t="shared" si="300"/>
        <v>0</v>
      </c>
      <c r="AC543" s="152">
        <f t="shared" si="300"/>
        <v>0</v>
      </c>
      <c r="AD543" s="152">
        <f t="shared" si="300"/>
        <v>0</v>
      </c>
      <c r="AE543" s="152">
        <f t="shared" si="300"/>
        <v>0</v>
      </c>
      <c r="AF543" s="152">
        <f t="shared" si="300"/>
        <v>0</v>
      </c>
      <c r="AG543" s="152">
        <f t="shared" si="300"/>
        <v>0</v>
      </c>
      <c r="AH543" s="152">
        <f t="shared" si="300"/>
        <v>0</v>
      </c>
      <c r="AI543" s="152">
        <f t="shared" si="300"/>
        <v>0</v>
      </c>
      <c r="AJ543" s="152">
        <f t="shared" si="300"/>
        <v>0</v>
      </c>
      <c r="AK543" s="152">
        <f t="shared" si="300"/>
        <v>0</v>
      </c>
      <c r="AL543" s="152">
        <f t="shared" si="300"/>
        <v>0</v>
      </c>
      <c r="AM543" s="152">
        <f t="shared" si="300"/>
        <v>0</v>
      </c>
      <c r="AN543" s="152">
        <f t="shared" si="300"/>
        <v>0</v>
      </c>
      <c r="AO543" s="152">
        <f t="shared" si="300"/>
        <v>0</v>
      </c>
      <c r="AP543" s="152">
        <f t="shared" si="300"/>
        <v>0</v>
      </c>
    </row>
    <row r="544" spans="1:42">
      <c r="A544" s="37" t="s">
        <v>104</v>
      </c>
      <c r="B544" s="196">
        <f>SUM(C544:AP544)</f>
        <v>6192921.9474072773</v>
      </c>
      <c r="C544" s="187">
        <f t="shared" ref="C544:AP544" si="301">IF(AND(C$2&lt;=SODebtTerm,C$2&lt;=AnalysisPeriod),B541*C527,0)</f>
        <v>999069.81294370862</v>
      </c>
      <c r="D544" s="187">
        <f t="shared" si="301"/>
        <v>933808.12153276079</v>
      </c>
      <c r="E544" s="187">
        <f t="shared" si="301"/>
        <v>862247.41430217994</v>
      </c>
      <c r="F544" s="187">
        <f t="shared" si="301"/>
        <v>783919.20679585624</v>
      </c>
      <c r="G544" s="187">
        <f t="shared" si="301"/>
        <v>698407.18647857441</v>
      </c>
      <c r="H544" s="187">
        <f t="shared" si="301"/>
        <v>605089.69053369958</v>
      </c>
      <c r="I544" s="187">
        <f t="shared" si="301"/>
        <v>503385.74740067741</v>
      </c>
      <c r="J544" s="187">
        <f t="shared" si="301"/>
        <v>392762.11330480583</v>
      </c>
      <c r="K544" s="187">
        <f t="shared" si="301"/>
        <v>272463.47489793762</v>
      </c>
      <c r="L544" s="187">
        <f t="shared" si="301"/>
        <v>141769.17921707488</v>
      </c>
      <c r="M544" s="187">
        <f t="shared" si="301"/>
        <v>3.6670826375484466E-10</v>
      </c>
      <c r="N544" s="187">
        <f t="shared" si="301"/>
        <v>3.9421138353645801E-10</v>
      </c>
      <c r="O544" s="187">
        <f t="shared" si="301"/>
        <v>4.237772373016923E-10</v>
      </c>
      <c r="P544" s="187">
        <f t="shared" si="301"/>
        <v>4.5556053009931928E-10</v>
      </c>
      <c r="Q544" s="187">
        <f t="shared" si="301"/>
        <v>4.8972756985676815E-10</v>
      </c>
      <c r="R544" s="187">
        <f t="shared" si="301"/>
        <v>0</v>
      </c>
      <c r="S544" s="187">
        <f t="shared" si="301"/>
        <v>0</v>
      </c>
      <c r="T544" s="187">
        <f t="shared" si="301"/>
        <v>0</v>
      </c>
      <c r="U544" s="187">
        <f t="shared" si="301"/>
        <v>0</v>
      </c>
      <c r="V544" s="187">
        <f t="shared" si="301"/>
        <v>0</v>
      </c>
      <c r="W544" s="187">
        <f t="shared" si="301"/>
        <v>0</v>
      </c>
      <c r="X544" s="187">
        <f t="shared" si="301"/>
        <v>0</v>
      </c>
      <c r="Y544" s="187">
        <f t="shared" si="301"/>
        <v>0</v>
      </c>
      <c r="Z544" s="187">
        <f t="shared" si="301"/>
        <v>0</v>
      </c>
      <c r="AA544" s="187">
        <f t="shared" si="301"/>
        <v>0</v>
      </c>
      <c r="AB544" s="187">
        <f t="shared" si="301"/>
        <v>0</v>
      </c>
      <c r="AC544" s="187">
        <f t="shared" si="301"/>
        <v>0</v>
      </c>
      <c r="AD544" s="187">
        <f t="shared" si="301"/>
        <v>0</v>
      </c>
      <c r="AE544" s="187">
        <f t="shared" si="301"/>
        <v>0</v>
      </c>
      <c r="AF544" s="187">
        <f t="shared" si="301"/>
        <v>0</v>
      </c>
      <c r="AG544" s="187">
        <f t="shared" si="301"/>
        <v>0</v>
      </c>
      <c r="AH544" s="187">
        <f t="shared" si="301"/>
        <v>0</v>
      </c>
      <c r="AI544" s="187">
        <f t="shared" si="301"/>
        <v>0</v>
      </c>
      <c r="AJ544" s="187">
        <f t="shared" si="301"/>
        <v>0</v>
      </c>
      <c r="AK544" s="187">
        <f t="shared" si="301"/>
        <v>0</v>
      </c>
      <c r="AL544" s="187">
        <f t="shared" si="301"/>
        <v>0</v>
      </c>
      <c r="AM544" s="187">
        <f t="shared" si="301"/>
        <v>0</v>
      </c>
      <c r="AN544" s="187">
        <f t="shared" si="301"/>
        <v>0</v>
      </c>
      <c r="AO544" s="187">
        <f t="shared" si="301"/>
        <v>0</v>
      </c>
      <c r="AP544" s="187">
        <f t="shared" si="301"/>
        <v>0</v>
      </c>
    </row>
    <row r="545" spans="1:42">
      <c r="A545" s="37" t="s">
        <v>105</v>
      </c>
      <c r="B545" s="196">
        <f>SUM(C545:AP545)</f>
        <v>19513852.786656722</v>
      </c>
      <c r="C545" s="152">
        <f>IF(C534&gt;0,C532/C534,0)</f>
        <v>1869225.6984230143</v>
      </c>
      <c r="D545" s="152">
        <f>IF(D534&gt;0,D532/D534,0)</f>
        <v>1887950.8846071728</v>
      </c>
      <c r="E545" s="152">
        <f t="shared" ref="E545:AP545" si="302">IF(E534&gt;0,E532/E534,0)</f>
        <v>1906623.5143864958</v>
      </c>
      <c r="F545" s="152">
        <f t="shared" si="302"/>
        <v>1924079.4776929475</v>
      </c>
      <c r="G545" s="152">
        <f t="shared" si="302"/>
        <v>1942640.4657435715</v>
      </c>
      <c r="H545" s="152">
        <f t="shared" si="302"/>
        <v>1961142.2656406623</v>
      </c>
      <c r="I545" s="152">
        <f t="shared" si="302"/>
        <v>1978367.5353456321</v>
      </c>
      <c r="J545" s="152">
        <f t="shared" si="302"/>
        <v>1996743.9587297156</v>
      </c>
      <c r="K545" s="152">
        <f t="shared" si="302"/>
        <v>2015054.0839761076</v>
      </c>
      <c r="L545" s="152">
        <f t="shared" si="302"/>
        <v>2032024.9021114015</v>
      </c>
      <c r="M545" s="152">
        <f t="shared" si="302"/>
        <v>0</v>
      </c>
      <c r="N545" s="152">
        <f t="shared" si="302"/>
        <v>0</v>
      </c>
      <c r="O545" s="152">
        <f t="shared" si="302"/>
        <v>0</v>
      </c>
      <c r="P545" s="152">
        <f t="shared" si="302"/>
        <v>0</v>
      </c>
      <c r="Q545" s="152">
        <f t="shared" si="302"/>
        <v>0</v>
      </c>
      <c r="R545" s="152">
        <f t="shared" si="302"/>
        <v>0</v>
      </c>
      <c r="S545" s="152">
        <f t="shared" si="302"/>
        <v>0</v>
      </c>
      <c r="T545" s="152">
        <f t="shared" si="302"/>
        <v>0</v>
      </c>
      <c r="U545" s="152">
        <f t="shared" si="302"/>
        <v>0</v>
      </c>
      <c r="V545" s="152">
        <f t="shared" si="302"/>
        <v>0</v>
      </c>
      <c r="W545" s="152">
        <f t="shared" si="302"/>
        <v>0</v>
      </c>
      <c r="X545" s="152">
        <f t="shared" si="302"/>
        <v>0</v>
      </c>
      <c r="Y545" s="152">
        <f t="shared" si="302"/>
        <v>0</v>
      </c>
      <c r="Z545" s="152">
        <f t="shared" si="302"/>
        <v>0</v>
      </c>
      <c r="AA545" s="152">
        <f t="shared" si="302"/>
        <v>0</v>
      </c>
      <c r="AB545" s="152">
        <f t="shared" si="302"/>
        <v>0</v>
      </c>
      <c r="AC545" s="152">
        <f t="shared" si="302"/>
        <v>0</v>
      </c>
      <c r="AD545" s="152">
        <f t="shared" si="302"/>
        <v>0</v>
      </c>
      <c r="AE545" s="152">
        <f t="shared" si="302"/>
        <v>0</v>
      </c>
      <c r="AF545" s="152">
        <f t="shared" si="302"/>
        <v>0</v>
      </c>
      <c r="AG545" s="152">
        <f t="shared" si="302"/>
        <v>0</v>
      </c>
      <c r="AH545" s="152">
        <f t="shared" si="302"/>
        <v>0</v>
      </c>
      <c r="AI545" s="152">
        <f t="shared" si="302"/>
        <v>0</v>
      </c>
      <c r="AJ545" s="152">
        <f t="shared" si="302"/>
        <v>0</v>
      </c>
      <c r="AK545" s="152">
        <f t="shared" si="302"/>
        <v>0</v>
      </c>
      <c r="AL545" s="152">
        <f t="shared" si="302"/>
        <v>0</v>
      </c>
      <c r="AM545" s="152">
        <f t="shared" si="302"/>
        <v>0</v>
      </c>
      <c r="AN545" s="152">
        <f t="shared" si="302"/>
        <v>0</v>
      </c>
      <c r="AO545" s="152">
        <f t="shared" si="302"/>
        <v>0</v>
      </c>
      <c r="AP545" s="152">
        <f t="shared" si="302"/>
        <v>0</v>
      </c>
    </row>
    <row r="547" spans="1:42">
      <c r="A547" s="182" t="s">
        <v>108</v>
      </c>
    </row>
    <row r="548" spans="1:42">
      <c r="A548" s="37" t="s">
        <v>109</v>
      </c>
      <c r="B548" s="196">
        <f>SUM(C548:AP548)</f>
        <v>50824621.237022489</v>
      </c>
      <c r="C548" s="152">
        <f t="shared" ref="C548:AP548" si="303">IF(C$2&lt;=SODebtTerm,C43,0)</f>
        <v>3213786.798394165</v>
      </c>
      <c r="D548" s="152">
        <f t="shared" si="303"/>
        <v>3239065.7997427788</v>
      </c>
      <c r="E548" s="152">
        <f t="shared" si="303"/>
        <v>3264273.8499448649</v>
      </c>
      <c r="F548" s="152">
        <f t="shared" si="303"/>
        <v>3289408.0338713871</v>
      </c>
      <c r="G548" s="152">
        <f t="shared" si="303"/>
        <v>3314465.3677397296</v>
      </c>
      <c r="H548" s="152">
        <f t="shared" si="303"/>
        <v>3339442.797600802</v>
      </c>
      <c r="I548" s="152">
        <f t="shared" si="303"/>
        <v>3364337.197792876</v>
      </c>
      <c r="J548" s="152">
        <f t="shared" si="303"/>
        <v>3389145.3693613885</v>
      </c>
      <c r="K548" s="152">
        <f t="shared" si="303"/>
        <v>3413864.038444018</v>
      </c>
      <c r="L548" s="152">
        <f t="shared" si="303"/>
        <v>3438489.8546201717</v>
      </c>
      <c r="M548" s="152">
        <f t="shared" si="303"/>
        <v>3463019.3892241856</v>
      </c>
      <c r="N548" s="152">
        <f t="shared" si="303"/>
        <v>3487449.133621376</v>
      </c>
      <c r="O548" s="152">
        <f t="shared" si="303"/>
        <v>3511775.4974461356</v>
      </c>
      <c r="P548" s="152">
        <f t="shared" si="303"/>
        <v>3535994.8068012195</v>
      </c>
      <c r="Q548" s="152">
        <f t="shared" si="303"/>
        <v>3560103.3024173919</v>
      </c>
      <c r="R548" s="152">
        <f t="shared" si="303"/>
        <v>0</v>
      </c>
      <c r="S548" s="152">
        <f t="shared" si="303"/>
        <v>0</v>
      </c>
      <c r="T548" s="152">
        <f t="shared" si="303"/>
        <v>0</v>
      </c>
      <c r="U548" s="152">
        <f t="shared" si="303"/>
        <v>0</v>
      </c>
      <c r="V548" s="152">
        <f t="shared" si="303"/>
        <v>0</v>
      </c>
      <c r="W548" s="152">
        <f t="shared" si="303"/>
        <v>0</v>
      </c>
      <c r="X548" s="152">
        <f t="shared" si="303"/>
        <v>0</v>
      </c>
      <c r="Y548" s="152">
        <f t="shared" si="303"/>
        <v>0</v>
      </c>
      <c r="Z548" s="152">
        <f t="shared" si="303"/>
        <v>0</v>
      </c>
      <c r="AA548" s="152">
        <f t="shared" si="303"/>
        <v>0</v>
      </c>
      <c r="AB548" s="152">
        <f t="shared" si="303"/>
        <v>0</v>
      </c>
      <c r="AC548" s="152">
        <f t="shared" si="303"/>
        <v>0</v>
      </c>
      <c r="AD548" s="152">
        <f t="shared" si="303"/>
        <v>0</v>
      </c>
      <c r="AE548" s="152">
        <f t="shared" si="303"/>
        <v>0</v>
      </c>
      <c r="AF548" s="152">
        <f t="shared" si="303"/>
        <v>0</v>
      </c>
      <c r="AG548" s="152">
        <f t="shared" si="303"/>
        <v>0</v>
      </c>
      <c r="AH548" s="152">
        <f t="shared" si="303"/>
        <v>0</v>
      </c>
      <c r="AI548" s="152">
        <f t="shared" si="303"/>
        <v>0</v>
      </c>
      <c r="AJ548" s="152">
        <f t="shared" si="303"/>
        <v>0</v>
      </c>
      <c r="AK548" s="152">
        <f t="shared" si="303"/>
        <v>0</v>
      </c>
      <c r="AL548" s="152">
        <f t="shared" si="303"/>
        <v>0</v>
      </c>
      <c r="AM548" s="152">
        <f t="shared" si="303"/>
        <v>0</v>
      </c>
      <c r="AN548" s="152">
        <f t="shared" si="303"/>
        <v>0</v>
      </c>
      <c r="AO548" s="152">
        <f t="shared" si="303"/>
        <v>0</v>
      </c>
      <c r="AP548" s="152">
        <f t="shared" si="303"/>
        <v>0</v>
      </c>
    </row>
    <row r="549" spans="1:42">
      <c r="A549" s="37" t="s">
        <v>110</v>
      </c>
      <c r="B549" s="196">
        <f>SUM(C549:AP549)</f>
        <v>19513852.786656722</v>
      </c>
      <c r="C549" s="152">
        <f>C545</f>
        <v>1869225.6984230143</v>
      </c>
      <c r="D549" s="152">
        <f t="shared" ref="D549:AP549" si="304">D545</f>
        <v>1887950.8846071728</v>
      </c>
      <c r="E549" s="152">
        <f t="shared" si="304"/>
        <v>1906623.5143864958</v>
      </c>
      <c r="F549" s="152">
        <f t="shared" si="304"/>
        <v>1924079.4776929475</v>
      </c>
      <c r="G549" s="152">
        <f t="shared" si="304"/>
        <v>1942640.4657435715</v>
      </c>
      <c r="H549" s="152">
        <f t="shared" si="304"/>
        <v>1961142.2656406623</v>
      </c>
      <c r="I549" s="152">
        <f t="shared" si="304"/>
        <v>1978367.5353456321</v>
      </c>
      <c r="J549" s="152">
        <f t="shared" si="304"/>
        <v>1996743.9587297156</v>
      </c>
      <c r="K549" s="152">
        <f t="shared" si="304"/>
        <v>2015054.0839761076</v>
      </c>
      <c r="L549" s="152">
        <f t="shared" si="304"/>
        <v>2032024.9021114015</v>
      </c>
      <c r="M549" s="152">
        <f t="shared" si="304"/>
        <v>0</v>
      </c>
      <c r="N549" s="152">
        <f t="shared" si="304"/>
        <v>0</v>
      </c>
      <c r="O549" s="152">
        <f t="shared" si="304"/>
        <v>0</v>
      </c>
      <c r="P549" s="152">
        <f t="shared" si="304"/>
        <v>0</v>
      </c>
      <c r="Q549" s="152">
        <f t="shared" si="304"/>
        <v>0</v>
      </c>
      <c r="R549" s="152">
        <f t="shared" si="304"/>
        <v>0</v>
      </c>
      <c r="S549" s="152">
        <f t="shared" si="304"/>
        <v>0</v>
      </c>
      <c r="T549" s="152">
        <f t="shared" si="304"/>
        <v>0</v>
      </c>
      <c r="U549" s="152">
        <f t="shared" si="304"/>
        <v>0</v>
      </c>
      <c r="V549" s="152">
        <f t="shared" si="304"/>
        <v>0</v>
      </c>
      <c r="W549" s="152">
        <f t="shared" si="304"/>
        <v>0</v>
      </c>
      <c r="X549" s="152">
        <f t="shared" si="304"/>
        <v>0</v>
      </c>
      <c r="Y549" s="152">
        <f t="shared" si="304"/>
        <v>0</v>
      </c>
      <c r="Z549" s="152">
        <f t="shared" si="304"/>
        <v>0</v>
      </c>
      <c r="AA549" s="152">
        <f t="shared" si="304"/>
        <v>0</v>
      </c>
      <c r="AB549" s="152">
        <f t="shared" si="304"/>
        <v>0</v>
      </c>
      <c r="AC549" s="152">
        <f t="shared" si="304"/>
        <v>0</v>
      </c>
      <c r="AD549" s="152">
        <f t="shared" si="304"/>
        <v>0</v>
      </c>
      <c r="AE549" s="152">
        <f t="shared" si="304"/>
        <v>0</v>
      </c>
      <c r="AF549" s="152">
        <f t="shared" si="304"/>
        <v>0</v>
      </c>
      <c r="AG549" s="152">
        <f t="shared" si="304"/>
        <v>0</v>
      </c>
      <c r="AH549" s="152">
        <f t="shared" si="304"/>
        <v>0</v>
      </c>
      <c r="AI549" s="152">
        <f t="shared" si="304"/>
        <v>0</v>
      </c>
      <c r="AJ549" s="152">
        <f t="shared" si="304"/>
        <v>0</v>
      </c>
      <c r="AK549" s="152">
        <f t="shared" si="304"/>
        <v>0</v>
      </c>
      <c r="AL549" s="152">
        <f t="shared" si="304"/>
        <v>0</v>
      </c>
      <c r="AM549" s="152">
        <f t="shared" si="304"/>
        <v>0</v>
      </c>
      <c r="AN549" s="152">
        <f t="shared" si="304"/>
        <v>0</v>
      </c>
      <c r="AO549" s="152">
        <f t="shared" si="304"/>
        <v>0</v>
      </c>
      <c r="AP549" s="152">
        <f t="shared" si="304"/>
        <v>0</v>
      </c>
    </row>
    <row r="550" spans="1:42">
      <c r="A550" s="37" t="s">
        <v>108</v>
      </c>
      <c r="C550" s="241">
        <f t="shared" ref="C550:AP550" si="305">IF(ISERROR(IF(C$2&lt;=SODebtTerm,C548/C549,"")),0,IF(C$2&lt;=SODebtTerm,C548/C549,""))</f>
        <v>1.7193144739586554</v>
      </c>
      <c r="D550" s="241">
        <f t="shared" si="305"/>
        <v>1.7156515172886679</v>
      </c>
      <c r="E550" s="241">
        <f t="shared" si="305"/>
        <v>1.7120704875997648</v>
      </c>
      <c r="F550" s="241">
        <f t="shared" si="305"/>
        <v>1.7096009141033646</v>
      </c>
      <c r="G550" s="241">
        <f t="shared" si="305"/>
        <v>1.7061651016679886</v>
      </c>
      <c r="H550" s="241">
        <f t="shared" si="305"/>
        <v>1.7028049704032457</v>
      </c>
      <c r="I550" s="241">
        <f t="shared" si="305"/>
        <v>1.7005622755556931</v>
      </c>
      <c r="J550" s="241">
        <f t="shared" si="305"/>
        <v>1.6973359826852752</v>
      </c>
      <c r="K550" s="241">
        <f t="shared" si="305"/>
        <v>1.6941798563082617</v>
      </c>
      <c r="L550" s="241">
        <f t="shared" si="305"/>
        <v>1.6921494667941148</v>
      </c>
      <c r="M550" s="241">
        <f t="shared" si="305"/>
        <v>0</v>
      </c>
      <c r="N550" s="241">
        <f t="shared" si="305"/>
        <v>0</v>
      </c>
      <c r="O550" s="241">
        <f t="shared" si="305"/>
        <v>0</v>
      </c>
      <c r="P550" s="241">
        <f t="shared" si="305"/>
        <v>0</v>
      </c>
      <c r="Q550" s="241">
        <f t="shared" si="305"/>
        <v>0</v>
      </c>
      <c r="R550" s="241" t="str">
        <f t="shared" si="305"/>
        <v/>
      </c>
      <c r="S550" s="241" t="str">
        <f t="shared" si="305"/>
        <v/>
      </c>
      <c r="T550" s="241" t="str">
        <f t="shared" si="305"/>
        <v/>
      </c>
      <c r="U550" s="241" t="str">
        <f t="shared" si="305"/>
        <v/>
      </c>
      <c r="V550" s="241" t="str">
        <f t="shared" si="305"/>
        <v/>
      </c>
      <c r="W550" s="241" t="str">
        <f t="shared" si="305"/>
        <v/>
      </c>
      <c r="X550" s="241" t="str">
        <f t="shared" si="305"/>
        <v/>
      </c>
      <c r="Y550" s="241" t="str">
        <f t="shared" si="305"/>
        <v/>
      </c>
      <c r="Z550" s="241" t="str">
        <f t="shared" si="305"/>
        <v/>
      </c>
      <c r="AA550" s="241" t="str">
        <f t="shared" si="305"/>
        <v/>
      </c>
      <c r="AB550" s="241" t="str">
        <f t="shared" si="305"/>
        <v/>
      </c>
      <c r="AC550" s="241" t="str">
        <f t="shared" si="305"/>
        <v/>
      </c>
      <c r="AD550" s="241" t="str">
        <f t="shared" si="305"/>
        <v/>
      </c>
      <c r="AE550" s="241" t="str">
        <f t="shared" si="305"/>
        <v/>
      </c>
      <c r="AF550" s="241" t="str">
        <f t="shared" si="305"/>
        <v/>
      </c>
      <c r="AG550" s="241" t="str">
        <f t="shared" si="305"/>
        <v/>
      </c>
      <c r="AH550" s="241" t="str">
        <f t="shared" si="305"/>
        <v/>
      </c>
      <c r="AI550" s="241" t="str">
        <f t="shared" si="305"/>
        <v/>
      </c>
      <c r="AJ550" s="241" t="str">
        <f t="shared" si="305"/>
        <v/>
      </c>
      <c r="AK550" s="241" t="str">
        <f t="shared" si="305"/>
        <v/>
      </c>
      <c r="AL550" s="241" t="str">
        <f t="shared" si="305"/>
        <v/>
      </c>
      <c r="AM550" s="241" t="str">
        <f t="shared" si="305"/>
        <v/>
      </c>
      <c r="AN550" s="241" t="str">
        <f t="shared" si="305"/>
        <v/>
      </c>
      <c r="AO550" s="241" t="str">
        <f t="shared" si="305"/>
        <v/>
      </c>
      <c r="AP550" s="241" t="str">
        <f t="shared" si="305"/>
        <v/>
      </c>
    </row>
    <row r="551" spans="1:42">
      <c r="A551" s="37" t="s">
        <v>111</v>
      </c>
      <c r="B551" s="199">
        <f>IF(ISERROR(B548/B549),0,B548/B549)</f>
        <v>2.6045405688299339</v>
      </c>
    </row>
    <row r="552" spans="1:42">
      <c r="A552" s="37" t="s">
        <v>112</v>
      </c>
      <c r="B552" s="199">
        <f>MIN(C550:AP550)</f>
        <v>0</v>
      </c>
    </row>
    <row r="554" spans="1:42">
      <c r="A554" s="179" t="s">
        <v>192</v>
      </c>
      <c r="B554" s="152"/>
      <c r="C554" s="152"/>
      <c r="D554" s="152"/>
      <c r="E554" s="152"/>
      <c r="F554" s="152"/>
      <c r="G554" s="186"/>
      <c r="H554" s="186"/>
      <c r="I554" s="186"/>
      <c r="J554" s="186"/>
      <c r="K554" s="186"/>
      <c r="L554" s="186"/>
      <c r="M554" s="186"/>
      <c r="N554" s="186"/>
      <c r="O554" s="186"/>
      <c r="P554" s="186"/>
      <c r="Q554" s="186"/>
      <c r="R554" s="186"/>
      <c r="S554" s="186"/>
      <c r="T554" s="186"/>
      <c r="U554" s="186"/>
      <c r="V554" s="186"/>
      <c r="W554" s="186"/>
      <c r="X554" s="186"/>
      <c r="Y554" s="186"/>
      <c r="Z554" s="186"/>
      <c r="AA554" s="186"/>
      <c r="AB554" s="186"/>
      <c r="AC554" s="186"/>
      <c r="AD554" s="186"/>
      <c r="AE554" s="186"/>
      <c r="AF554" s="186"/>
      <c r="AG554" s="186"/>
      <c r="AH554" s="186"/>
      <c r="AI554" s="186"/>
      <c r="AJ554" s="186"/>
      <c r="AK554" s="186"/>
      <c r="AL554" s="186"/>
      <c r="AM554" s="186"/>
      <c r="AN554" s="186"/>
      <c r="AO554" s="186"/>
      <c r="AP554" s="186"/>
    </row>
    <row r="555" spans="1:42">
      <c r="A555" s="182" t="s">
        <v>84</v>
      </c>
      <c r="C555" s="152"/>
      <c r="D555" s="152"/>
      <c r="E555" s="152"/>
      <c r="F555" s="152"/>
      <c r="G555" s="152"/>
      <c r="H555" s="152"/>
      <c r="I555" s="152"/>
      <c r="J555" s="152"/>
      <c r="K555" s="152"/>
      <c r="L555" s="152"/>
      <c r="M555" s="152"/>
      <c r="N555" s="152"/>
      <c r="O555" s="152"/>
      <c r="P555" s="152"/>
      <c r="Q555" s="152"/>
      <c r="R555" s="152"/>
      <c r="S555" s="152"/>
      <c r="T555" s="152"/>
      <c r="U555" s="152"/>
      <c r="V555" s="152"/>
      <c r="W555" s="152"/>
      <c r="X555" s="152"/>
      <c r="Y555" s="152"/>
      <c r="Z555" s="152"/>
      <c r="AA555" s="152"/>
      <c r="AB555" s="152"/>
      <c r="AC555" s="152"/>
      <c r="AD555" s="152"/>
      <c r="AE555" s="152"/>
      <c r="AF555" s="152"/>
      <c r="AG555" s="152"/>
      <c r="AH555" s="152"/>
      <c r="AI555" s="152"/>
      <c r="AJ555" s="152"/>
      <c r="AK555" s="152"/>
      <c r="AL555" s="152"/>
      <c r="AM555" s="152"/>
      <c r="AN555" s="152"/>
      <c r="AO555" s="152"/>
      <c r="AP555" s="152"/>
    </row>
    <row r="556" spans="1:42">
      <c r="A556" s="37" t="s">
        <v>99</v>
      </c>
      <c r="B556" s="152">
        <v>0</v>
      </c>
      <c r="C556" s="152">
        <f>B559</f>
        <v>934612.84921150713</v>
      </c>
      <c r="D556" s="152">
        <f t="shared" ref="D556:AP556" si="306">C559</f>
        <v>943975.4423035864</v>
      </c>
      <c r="E556" s="152">
        <f t="shared" si="306"/>
        <v>953311.7571932479</v>
      </c>
      <c r="F556" s="152">
        <f t="shared" si="306"/>
        <v>962039.73884647375</v>
      </c>
      <c r="G556" s="152">
        <f t="shared" si="306"/>
        <v>971320.23287178576</v>
      </c>
      <c r="H556" s="152">
        <f t="shared" si="306"/>
        <v>980571.13282033114</v>
      </c>
      <c r="I556" s="152">
        <f t="shared" si="306"/>
        <v>989183.76767281606</v>
      </c>
      <c r="J556" s="152">
        <f t="shared" si="306"/>
        <v>998371.97936485778</v>
      </c>
      <c r="K556" s="152">
        <f t="shared" si="306"/>
        <v>1007527.0419880538</v>
      </c>
      <c r="L556" s="152">
        <f t="shared" si="306"/>
        <v>1016012.4510557008</v>
      </c>
      <c r="M556" s="152">
        <f t="shared" si="306"/>
        <v>0</v>
      </c>
      <c r="N556" s="152">
        <f t="shared" si="306"/>
        <v>0</v>
      </c>
      <c r="O556" s="152">
        <f t="shared" si="306"/>
        <v>0</v>
      </c>
      <c r="P556" s="152">
        <f t="shared" si="306"/>
        <v>0</v>
      </c>
      <c r="Q556" s="152">
        <f t="shared" si="306"/>
        <v>0</v>
      </c>
      <c r="R556" s="152">
        <f t="shared" si="306"/>
        <v>0</v>
      </c>
      <c r="S556" s="152">
        <f t="shared" si="306"/>
        <v>0</v>
      </c>
      <c r="T556" s="152">
        <f t="shared" si="306"/>
        <v>0</v>
      </c>
      <c r="U556" s="152">
        <f t="shared" si="306"/>
        <v>0</v>
      </c>
      <c r="V556" s="152">
        <f t="shared" si="306"/>
        <v>0</v>
      </c>
      <c r="W556" s="152">
        <f t="shared" si="306"/>
        <v>0</v>
      </c>
      <c r="X556" s="152">
        <f t="shared" si="306"/>
        <v>0</v>
      </c>
      <c r="Y556" s="152">
        <f t="shared" si="306"/>
        <v>0</v>
      </c>
      <c r="Z556" s="152">
        <f t="shared" si="306"/>
        <v>0</v>
      </c>
      <c r="AA556" s="152">
        <f t="shared" si="306"/>
        <v>0</v>
      </c>
      <c r="AB556" s="152">
        <f t="shared" si="306"/>
        <v>0</v>
      </c>
      <c r="AC556" s="152">
        <f t="shared" si="306"/>
        <v>0</v>
      </c>
      <c r="AD556" s="152">
        <f t="shared" si="306"/>
        <v>0</v>
      </c>
      <c r="AE556" s="152">
        <f t="shared" si="306"/>
        <v>0</v>
      </c>
      <c r="AF556" s="152">
        <f t="shared" si="306"/>
        <v>0</v>
      </c>
      <c r="AG556" s="152">
        <f t="shared" si="306"/>
        <v>0</v>
      </c>
      <c r="AH556" s="152">
        <f t="shared" si="306"/>
        <v>0</v>
      </c>
      <c r="AI556" s="152">
        <f t="shared" si="306"/>
        <v>0</v>
      </c>
      <c r="AJ556" s="152">
        <f t="shared" si="306"/>
        <v>0</v>
      </c>
      <c r="AK556" s="152">
        <f t="shared" si="306"/>
        <v>0</v>
      </c>
      <c r="AL556" s="152">
        <f t="shared" si="306"/>
        <v>0</v>
      </c>
      <c r="AM556" s="152">
        <f t="shared" si="306"/>
        <v>0</v>
      </c>
      <c r="AN556" s="152">
        <f t="shared" si="306"/>
        <v>0</v>
      </c>
      <c r="AO556" s="152">
        <f t="shared" si="306"/>
        <v>0</v>
      </c>
      <c r="AP556" s="152">
        <f t="shared" si="306"/>
        <v>0</v>
      </c>
    </row>
    <row r="557" spans="1:42">
      <c r="A557" s="37" t="s">
        <v>100</v>
      </c>
      <c r="B557" s="152">
        <f t="shared" ref="B557:AP557" si="307">IF(B2&lt;MIN(SODebtTerm,AnalysisPeriod),B559-B556,0)</f>
        <v>934612.84921150713</v>
      </c>
      <c r="C557" s="152">
        <f t="shared" si="307"/>
        <v>9362.5930920792744</v>
      </c>
      <c r="D557" s="152">
        <f t="shared" si="307"/>
        <v>9336.3148896615021</v>
      </c>
      <c r="E557" s="152">
        <f t="shared" si="307"/>
        <v>8727.981653225841</v>
      </c>
      <c r="F557" s="152">
        <f t="shared" si="307"/>
        <v>9280.4940253120149</v>
      </c>
      <c r="G557" s="152">
        <f t="shared" si="307"/>
        <v>9250.8999485453824</v>
      </c>
      <c r="H557" s="152">
        <f t="shared" si="307"/>
        <v>8612.6348524849163</v>
      </c>
      <c r="I557" s="152">
        <f t="shared" si="307"/>
        <v>9188.2116920417175</v>
      </c>
      <c r="J557" s="152">
        <f t="shared" si="307"/>
        <v>9155.0626231960487</v>
      </c>
      <c r="K557" s="152">
        <f t="shared" si="307"/>
        <v>8485.4090676469496</v>
      </c>
      <c r="L557" s="152">
        <f t="shared" si="307"/>
        <v>-1016012.4510557008</v>
      </c>
      <c r="M557" s="152">
        <f t="shared" si="307"/>
        <v>0</v>
      </c>
      <c r="N557" s="152">
        <f t="shared" si="307"/>
        <v>0</v>
      </c>
      <c r="O557" s="152">
        <f t="shared" si="307"/>
        <v>0</v>
      </c>
      <c r="P557" s="152">
        <f t="shared" si="307"/>
        <v>0</v>
      </c>
      <c r="Q557" s="152">
        <f t="shared" si="307"/>
        <v>0</v>
      </c>
      <c r="R557" s="152">
        <f t="shared" si="307"/>
        <v>0</v>
      </c>
      <c r="S557" s="152">
        <f t="shared" si="307"/>
        <v>0</v>
      </c>
      <c r="T557" s="152">
        <f t="shared" si="307"/>
        <v>0</v>
      </c>
      <c r="U557" s="152">
        <f t="shared" si="307"/>
        <v>0</v>
      </c>
      <c r="V557" s="152">
        <f t="shared" si="307"/>
        <v>0</v>
      </c>
      <c r="W557" s="152">
        <f t="shared" si="307"/>
        <v>0</v>
      </c>
      <c r="X557" s="152">
        <f t="shared" si="307"/>
        <v>0</v>
      </c>
      <c r="Y557" s="152">
        <f t="shared" si="307"/>
        <v>0</v>
      </c>
      <c r="Z557" s="152">
        <f t="shared" si="307"/>
        <v>0</v>
      </c>
      <c r="AA557" s="152">
        <f t="shared" si="307"/>
        <v>0</v>
      </c>
      <c r="AB557" s="152">
        <f t="shared" si="307"/>
        <v>0</v>
      </c>
      <c r="AC557" s="152">
        <f t="shared" si="307"/>
        <v>0</v>
      </c>
      <c r="AD557" s="152">
        <f t="shared" si="307"/>
        <v>0</v>
      </c>
      <c r="AE557" s="152">
        <f t="shared" si="307"/>
        <v>0</v>
      </c>
      <c r="AF557" s="152">
        <f t="shared" si="307"/>
        <v>0</v>
      </c>
      <c r="AG557" s="152">
        <f t="shared" si="307"/>
        <v>0</v>
      </c>
      <c r="AH557" s="152">
        <f t="shared" si="307"/>
        <v>0</v>
      </c>
      <c r="AI557" s="152">
        <f t="shared" si="307"/>
        <v>0</v>
      </c>
      <c r="AJ557" s="152">
        <f t="shared" si="307"/>
        <v>0</v>
      </c>
      <c r="AK557" s="152">
        <f t="shared" si="307"/>
        <v>0</v>
      </c>
      <c r="AL557" s="152">
        <f t="shared" si="307"/>
        <v>0</v>
      </c>
      <c r="AM557" s="152">
        <f t="shared" si="307"/>
        <v>0</v>
      </c>
      <c r="AN557" s="152">
        <f t="shared" si="307"/>
        <v>0</v>
      </c>
      <c r="AO557" s="152">
        <f t="shared" si="307"/>
        <v>0</v>
      </c>
      <c r="AP557" s="152">
        <f t="shared" si="307"/>
        <v>0</v>
      </c>
    </row>
    <row r="558" spans="1:42">
      <c r="A558" s="37" t="s">
        <v>106</v>
      </c>
      <c r="B558" s="187">
        <v>0</v>
      </c>
      <c r="C558" s="187">
        <f t="shared" ref="C558:AP558" si="308">IF(C$2=SODebtTerm,-C556,0)</f>
        <v>0</v>
      </c>
      <c r="D558" s="187">
        <f t="shared" si="308"/>
        <v>0</v>
      </c>
      <c r="E558" s="187">
        <f t="shared" si="308"/>
        <v>0</v>
      </c>
      <c r="F558" s="187">
        <f t="shared" si="308"/>
        <v>0</v>
      </c>
      <c r="G558" s="187">
        <f t="shared" si="308"/>
        <v>0</v>
      </c>
      <c r="H558" s="187">
        <f t="shared" si="308"/>
        <v>0</v>
      </c>
      <c r="I558" s="187">
        <f t="shared" si="308"/>
        <v>0</v>
      </c>
      <c r="J558" s="187">
        <f t="shared" si="308"/>
        <v>0</v>
      </c>
      <c r="K558" s="187">
        <f t="shared" si="308"/>
        <v>0</v>
      </c>
      <c r="L558" s="187">
        <f t="shared" si="308"/>
        <v>0</v>
      </c>
      <c r="M558" s="187">
        <f t="shared" si="308"/>
        <v>0</v>
      </c>
      <c r="N558" s="187">
        <f t="shared" si="308"/>
        <v>0</v>
      </c>
      <c r="O558" s="187">
        <f t="shared" si="308"/>
        <v>0</v>
      </c>
      <c r="P558" s="187">
        <f t="shared" si="308"/>
        <v>0</v>
      </c>
      <c r="Q558" s="187">
        <f t="shared" si="308"/>
        <v>0</v>
      </c>
      <c r="R558" s="187">
        <f t="shared" si="308"/>
        <v>0</v>
      </c>
      <c r="S558" s="187">
        <f t="shared" si="308"/>
        <v>0</v>
      </c>
      <c r="T558" s="187">
        <f t="shared" si="308"/>
        <v>0</v>
      </c>
      <c r="U558" s="187">
        <f t="shared" si="308"/>
        <v>0</v>
      </c>
      <c r="V558" s="187">
        <f t="shared" si="308"/>
        <v>0</v>
      </c>
      <c r="W558" s="187">
        <f t="shared" si="308"/>
        <v>0</v>
      </c>
      <c r="X558" s="187">
        <f t="shared" si="308"/>
        <v>0</v>
      </c>
      <c r="Y558" s="187">
        <f t="shared" si="308"/>
        <v>0</v>
      </c>
      <c r="Z558" s="187">
        <f t="shared" si="308"/>
        <v>0</v>
      </c>
      <c r="AA558" s="187">
        <f t="shared" si="308"/>
        <v>0</v>
      </c>
      <c r="AB558" s="187">
        <f t="shared" si="308"/>
        <v>0</v>
      </c>
      <c r="AC558" s="187">
        <f t="shared" si="308"/>
        <v>0</v>
      </c>
      <c r="AD558" s="187">
        <f t="shared" si="308"/>
        <v>0</v>
      </c>
      <c r="AE558" s="187">
        <f t="shared" si="308"/>
        <v>0</v>
      </c>
      <c r="AF558" s="187">
        <f t="shared" si="308"/>
        <v>0</v>
      </c>
      <c r="AG558" s="187">
        <f t="shared" si="308"/>
        <v>0</v>
      </c>
      <c r="AH558" s="187">
        <f t="shared" si="308"/>
        <v>0</v>
      </c>
      <c r="AI558" s="187">
        <f t="shared" si="308"/>
        <v>0</v>
      </c>
      <c r="AJ558" s="187">
        <f t="shared" si="308"/>
        <v>0</v>
      </c>
      <c r="AK558" s="187">
        <f t="shared" si="308"/>
        <v>0</v>
      </c>
      <c r="AL558" s="187">
        <f t="shared" si="308"/>
        <v>0</v>
      </c>
      <c r="AM558" s="187">
        <f t="shared" si="308"/>
        <v>0</v>
      </c>
      <c r="AN558" s="187">
        <f t="shared" si="308"/>
        <v>0</v>
      </c>
      <c r="AO558" s="187">
        <f t="shared" si="308"/>
        <v>0</v>
      </c>
      <c r="AP558" s="187">
        <f t="shared" si="308"/>
        <v>0</v>
      </c>
    </row>
    <row r="559" spans="1:42">
      <c r="A559" s="37" t="s">
        <v>102</v>
      </c>
      <c r="B559" s="152">
        <f t="shared" ref="B559:AP559" si="309">IF(B2&lt;=MIN(SODebtTerm,AnalysisPeriod),(SODSRASize/12)*C545,0)</f>
        <v>934612.84921150713</v>
      </c>
      <c r="C559" s="152">
        <f t="shared" si="309"/>
        <v>943975.4423035864</v>
      </c>
      <c r="D559" s="152">
        <f t="shared" si="309"/>
        <v>953311.7571932479</v>
      </c>
      <c r="E559" s="152">
        <f t="shared" si="309"/>
        <v>962039.73884647375</v>
      </c>
      <c r="F559" s="152">
        <f t="shared" si="309"/>
        <v>971320.23287178576</v>
      </c>
      <c r="G559" s="152">
        <f t="shared" si="309"/>
        <v>980571.13282033114</v>
      </c>
      <c r="H559" s="152">
        <f t="shared" si="309"/>
        <v>989183.76767281606</v>
      </c>
      <c r="I559" s="152">
        <f t="shared" si="309"/>
        <v>998371.97936485778</v>
      </c>
      <c r="J559" s="152">
        <f t="shared" si="309"/>
        <v>1007527.0419880538</v>
      </c>
      <c r="K559" s="152">
        <f t="shared" si="309"/>
        <v>1016012.4510557008</v>
      </c>
      <c r="L559" s="152">
        <f t="shared" si="309"/>
        <v>0</v>
      </c>
      <c r="M559" s="152">
        <f t="shared" si="309"/>
        <v>0</v>
      </c>
      <c r="N559" s="152">
        <f t="shared" si="309"/>
        <v>0</v>
      </c>
      <c r="O559" s="152">
        <f t="shared" si="309"/>
        <v>0</v>
      </c>
      <c r="P559" s="152">
        <f t="shared" si="309"/>
        <v>0</v>
      </c>
      <c r="Q559" s="152">
        <f t="shared" si="309"/>
        <v>0</v>
      </c>
      <c r="R559" s="152">
        <f t="shared" si="309"/>
        <v>0</v>
      </c>
      <c r="S559" s="152">
        <f t="shared" si="309"/>
        <v>0</v>
      </c>
      <c r="T559" s="152">
        <f t="shared" si="309"/>
        <v>0</v>
      </c>
      <c r="U559" s="152">
        <f t="shared" si="309"/>
        <v>0</v>
      </c>
      <c r="V559" s="152">
        <f t="shared" si="309"/>
        <v>0</v>
      </c>
      <c r="W559" s="152">
        <f t="shared" si="309"/>
        <v>0</v>
      </c>
      <c r="X559" s="152">
        <f t="shared" si="309"/>
        <v>0</v>
      </c>
      <c r="Y559" s="152">
        <f t="shared" si="309"/>
        <v>0</v>
      </c>
      <c r="Z559" s="152">
        <f t="shared" si="309"/>
        <v>0</v>
      </c>
      <c r="AA559" s="152">
        <f t="shared" si="309"/>
        <v>0</v>
      </c>
      <c r="AB559" s="152">
        <f t="shared" si="309"/>
        <v>0</v>
      </c>
      <c r="AC559" s="152">
        <f t="shared" si="309"/>
        <v>0</v>
      </c>
      <c r="AD559" s="152">
        <f t="shared" si="309"/>
        <v>0</v>
      </c>
      <c r="AE559" s="152">
        <f t="shared" si="309"/>
        <v>0</v>
      </c>
      <c r="AF559" s="152">
        <f t="shared" si="309"/>
        <v>0</v>
      </c>
      <c r="AG559" s="152">
        <f t="shared" si="309"/>
        <v>0</v>
      </c>
      <c r="AH559" s="152">
        <f t="shared" si="309"/>
        <v>0</v>
      </c>
      <c r="AI559" s="152">
        <f t="shared" si="309"/>
        <v>0</v>
      </c>
      <c r="AJ559" s="152">
        <f t="shared" si="309"/>
        <v>0</v>
      </c>
      <c r="AK559" s="152">
        <f t="shared" si="309"/>
        <v>0</v>
      </c>
      <c r="AL559" s="152">
        <f t="shared" si="309"/>
        <v>0</v>
      </c>
      <c r="AM559" s="152">
        <f t="shared" si="309"/>
        <v>0</v>
      </c>
      <c r="AN559" s="152">
        <f t="shared" si="309"/>
        <v>0</v>
      </c>
      <c r="AO559" s="152">
        <f t="shared" si="309"/>
        <v>0</v>
      </c>
      <c r="AP559" s="152">
        <f t="shared" si="309"/>
        <v>0</v>
      </c>
    </row>
    <row r="560" spans="1:42">
      <c r="B560" s="152"/>
      <c r="C560" s="152"/>
      <c r="D560" s="152"/>
      <c r="E560" s="152"/>
      <c r="F560" s="152"/>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182" t="str">
        <f>'Inputs &amp; Results'!A152</f>
        <v>Working Capital Reserve</v>
      </c>
      <c r="C561" s="152"/>
      <c r="D561" s="152"/>
      <c r="E561" s="152"/>
      <c r="F561" s="152"/>
      <c r="G561" s="152"/>
      <c r="H561" s="152"/>
      <c r="I561" s="152"/>
      <c r="J561" s="152"/>
      <c r="K561" s="152"/>
      <c r="L561" s="152"/>
      <c r="M561" s="152"/>
      <c r="N561" s="152"/>
      <c r="O561" s="152"/>
      <c r="P561" s="152"/>
      <c r="Q561" s="152"/>
      <c r="R561" s="152"/>
      <c r="S561" s="152"/>
      <c r="T561" s="152"/>
      <c r="U561" s="152"/>
      <c r="V561" s="152"/>
      <c r="W561" s="152"/>
      <c r="X561" s="152"/>
      <c r="Y561" s="152"/>
      <c r="Z561" s="152"/>
      <c r="AA561" s="152"/>
      <c r="AB561" s="152"/>
      <c r="AC561" s="152"/>
      <c r="AD561" s="152"/>
      <c r="AE561" s="152"/>
      <c r="AF561" s="152"/>
      <c r="AG561" s="152"/>
      <c r="AH561" s="152"/>
      <c r="AI561" s="152"/>
      <c r="AJ561" s="152"/>
      <c r="AK561" s="152"/>
      <c r="AL561" s="152"/>
      <c r="AM561" s="152"/>
      <c r="AN561" s="152"/>
      <c r="AO561" s="152"/>
      <c r="AP561" s="152"/>
    </row>
    <row r="562" spans="1:42">
      <c r="A562" s="37" t="s">
        <v>99</v>
      </c>
      <c r="B562" s="152">
        <v>0</v>
      </c>
      <c r="C562" s="152">
        <f>B565</f>
        <v>350000</v>
      </c>
      <c r="D562" s="152">
        <f t="shared" ref="D562:AP562" si="310">C565</f>
        <v>350000</v>
      </c>
      <c r="E562" s="152">
        <f t="shared" si="310"/>
        <v>350000</v>
      </c>
      <c r="F562" s="152">
        <f t="shared" si="310"/>
        <v>350000</v>
      </c>
      <c r="G562" s="152">
        <f t="shared" si="310"/>
        <v>350000</v>
      </c>
      <c r="H562" s="152">
        <f t="shared" si="310"/>
        <v>350000</v>
      </c>
      <c r="I562" s="152">
        <f t="shared" si="310"/>
        <v>350000</v>
      </c>
      <c r="J562" s="152">
        <f t="shared" si="310"/>
        <v>350000</v>
      </c>
      <c r="K562" s="152">
        <f t="shared" si="310"/>
        <v>350000</v>
      </c>
      <c r="L562" s="152">
        <f t="shared" si="310"/>
        <v>350000</v>
      </c>
      <c r="M562" s="152">
        <f t="shared" si="310"/>
        <v>350000</v>
      </c>
      <c r="N562" s="152">
        <f t="shared" si="310"/>
        <v>350000</v>
      </c>
      <c r="O562" s="152">
        <f t="shared" si="310"/>
        <v>350000</v>
      </c>
      <c r="P562" s="152">
        <f t="shared" si="310"/>
        <v>350000</v>
      </c>
      <c r="Q562" s="152">
        <f t="shared" si="310"/>
        <v>350000</v>
      </c>
      <c r="R562" s="152">
        <f t="shared" si="310"/>
        <v>350000</v>
      </c>
      <c r="S562" s="152">
        <f t="shared" si="310"/>
        <v>350000</v>
      </c>
      <c r="T562" s="152">
        <f t="shared" si="310"/>
        <v>350000</v>
      </c>
      <c r="U562" s="152">
        <f t="shared" si="310"/>
        <v>350000</v>
      </c>
      <c r="V562" s="152">
        <f t="shared" si="310"/>
        <v>350000</v>
      </c>
      <c r="W562" s="152">
        <f t="shared" si="310"/>
        <v>350000</v>
      </c>
      <c r="X562" s="152">
        <f t="shared" si="310"/>
        <v>350000</v>
      </c>
      <c r="Y562" s="152">
        <f t="shared" si="310"/>
        <v>350000</v>
      </c>
      <c r="Z562" s="152">
        <f t="shared" si="310"/>
        <v>350000</v>
      </c>
      <c r="AA562" s="152">
        <f t="shared" si="310"/>
        <v>350000</v>
      </c>
      <c r="AB562" s="152">
        <f t="shared" si="310"/>
        <v>350000</v>
      </c>
      <c r="AC562" s="152">
        <f t="shared" si="310"/>
        <v>350000</v>
      </c>
      <c r="AD562" s="152">
        <f t="shared" si="310"/>
        <v>350000</v>
      </c>
      <c r="AE562" s="152">
        <f t="shared" si="310"/>
        <v>350000</v>
      </c>
      <c r="AF562" s="152">
        <f t="shared" si="310"/>
        <v>350000</v>
      </c>
      <c r="AG562" s="152">
        <f t="shared" si="310"/>
        <v>0</v>
      </c>
      <c r="AH562" s="152">
        <f t="shared" si="310"/>
        <v>0</v>
      </c>
      <c r="AI562" s="152">
        <f t="shared" si="310"/>
        <v>0</v>
      </c>
      <c r="AJ562" s="152">
        <f t="shared" si="310"/>
        <v>0</v>
      </c>
      <c r="AK562" s="152">
        <f t="shared" si="310"/>
        <v>0</v>
      </c>
      <c r="AL562" s="152">
        <f t="shared" si="310"/>
        <v>0</v>
      </c>
      <c r="AM562" s="152">
        <f t="shared" si="310"/>
        <v>0</v>
      </c>
      <c r="AN562" s="152">
        <f t="shared" si="310"/>
        <v>0</v>
      </c>
      <c r="AO562" s="152">
        <f t="shared" si="310"/>
        <v>0</v>
      </c>
      <c r="AP562" s="152">
        <f t="shared" si="310"/>
        <v>0</v>
      </c>
    </row>
    <row r="563" spans="1:42">
      <c r="A563" s="37" t="s">
        <v>100</v>
      </c>
      <c r="B563" s="152">
        <f>'Inputs &amp; Results'!$E$152</f>
        <v>350000</v>
      </c>
      <c r="C563" s="152"/>
      <c r="D563" s="152"/>
      <c r="E563" s="152"/>
      <c r="F563" s="152"/>
      <c r="G563" s="152"/>
      <c r="H563" s="152"/>
      <c r="I563" s="152"/>
      <c r="J563" s="152"/>
      <c r="K563" s="152"/>
      <c r="L563" s="152"/>
      <c r="M563" s="152"/>
      <c r="N563" s="152"/>
      <c r="O563" s="152"/>
      <c r="P563" s="152"/>
      <c r="Q563" s="152"/>
      <c r="R563" s="152"/>
      <c r="S563" s="152"/>
      <c r="T563" s="152"/>
      <c r="U563" s="152"/>
      <c r="V563" s="152"/>
      <c r="W563" s="152"/>
      <c r="X563" s="152"/>
      <c r="Y563" s="152"/>
      <c r="Z563" s="152"/>
      <c r="AA563" s="152"/>
      <c r="AB563" s="152"/>
      <c r="AC563" s="152"/>
      <c r="AD563" s="152"/>
      <c r="AE563" s="152"/>
      <c r="AF563" s="152"/>
      <c r="AG563" s="152"/>
      <c r="AH563" s="152"/>
      <c r="AI563" s="152"/>
      <c r="AJ563" s="152"/>
      <c r="AK563" s="152"/>
      <c r="AL563" s="152"/>
      <c r="AM563" s="152"/>
      <c r="AN563" s="152"/>
      <c r="AO563" s="152"/>
      <c r="AP563" s="152"/>
    </row>
    <row r="564" spans="1:42">
      <c r="A564" s="37" t="s">
        <v>106</v>
      </c>
      <c r="B564" s="187">
        <v>0</v>
      </c>
      <c r="C564" s="187">
        <f t="shared" ref="C564:AP564" si="311">IF(C$2=AnalysisPeriod,-C562,0)</f>
        <v>0</v>
      </c>
      <c r="D564" s="187">
        <f t="shared" si="311"/>
        <v>0</v>
      </c>
      <c r="E564" s="187">
        <f t="shared" si="311"/>
        <v>0</v>
      </c>
      <c r="F564" s="187">
        <f t="shared" si="311"/>
        <v>0</v>
      </c>
      <c r="G564" s="187">
        <f t="shared" si="311"/>
        <v>0</v>
      </c>
      <c r="H564" s="187">
        <f t="shared" si="311"/>
        <v>0</v>
      </c>
      <c r="I564" s="187">
        <f t="shared" si="311"/>
        <v>0</v>
      </c>
      <c r="J564" s="187">
        <f t="shared" si="311"/>
        <v>0</v>
      </c>
      <c r="K564" s="187">
        <f t="shared" si="311"/>
        <v>0</v>
      </c>
      <c r="L564" s="187">
        <f t="shared" si="311"/>
        <v>0</v>
      </c>
      <c r="M564" s="187">
        <f t="shared" si="311"/>
        <v>0</v>
      </c>
      <c r="N564" s="187">
        <f t="shared" si="311"/>
        <v>0</v>
      </c>
      <c r="O564" s="187">
        <f t="shared" si="311"/>
        <v>0</v>
      </c>
      <c r="P564" s="187">
        <f t="shared" si="311"/>
        <v>0</v>
      </c>
      <c r="Q564" s="187">
        <f t="shared" si="311"/>
        <v>0</v>
      </c>
      <c r="R564" s="187">
        <f t="shared" si="311"/>
        <v>0</v>
      </c>
      <c r="S564" s="187">
        <f t="shared" si="311"/>
        <v>0</v>
      </c>
      <c r="T564" s="187">
        <f t="shared" si="311"/>
        <v>0</v>
      </c>
      <c r="U564" s="187">
        <f t="shared" si="311"/>
        <v>0</v>
      </c>
      <c r="V564" s="187">
        <f t="shared" si="311"/>
        <v>0</v>
      </c>
      <c r="W564" s="187">
        <f t="shared" si="311"/>
        <v>0</v>
      </c>
      <c r="X564" s="187">
        <f t="shared" si="311"/>
        <v>0</v>
      </c>
      <c r="Y564" s="187">
        <f t="shared" si="311"/>
        <v>0</v>
      </c>
      <c r="Z564" s="187">
        <f t="shared" si="311"/>
        <v>0</v>
      </c>
      <c r="AA564" s="187">
        <f t="shared" si="311"/>
        <v>0</v>
      </c>
      <c r="AB564" s="187">
        <f t="shared" si="311"/>
        <v>0</v>
      </c>
      <c r="AC564" s="187">
        <f t="shared" si="311"/>
        <v>0</v>
      </c>
      <c r="AD564" s="187">
        <f t="shared" si="311"/>
        <v>0</v>
      </c>
      <c r="AE564" s="187">
        <f t="shared" si="311"/>
        <v>0</v>
      </c>
      <c r="AF564" s="187">
        <f t="shared" si="311"/>
        <v>-350000</v>
      </c>
      <c r="AG564" s="187">
        <f t="shared" si="311"/>
        <v>0</v>
      </c>
      <c r="AH564" s="187">
        <f t="shared" si="311"/>
        <v>0</v>
      </c>
      <c r="AI564" s="187">
        <f t="shared" si="311"/>
        <v>0</v>
      </c>
      <c r="AJ564" s="187">
        <f t="shared" si="311"/>
        <v>0</v>
      </c>
      <c r="AK564" s="187">
        <f t="shared" si="311"/>
        <v>0</v>
      </c>
      <c r="AL564" s="187">
        <f t="shared" si="311"/>
        <v>0</v>
      </c>
      <c r="AM564" s="187">
        <f t="shared" si="311"/>
        <v>0</v>
      </c>
      <c r="AN564" s="187">
        <f t="shared" si="311"/>
        <v>0</v>
      </c>
      <c r="AO564" s="187">
        <f t="shared" si="311"/>
        <v>0</v>
      </c>
      <c r="AP564" s="187">
        <f t="shared" si="311"/>
        <v>0</v>
      </c>
    </row>
    <row r="565" spans="1:42">
      <c r="A565" s="37" t="s">
        <v>102</v>
      </c>
      <c r="B565" s="152">
        <f>SUM(B562:B564)</f>
        <v>350000</v>
      </c>
      <c r="C565" s="152">
        <f>SUM(C562:C564)</f>
        <v>350000</v>
      </c>
      <c r="D565" s="152">
        <f t="shared" ref="D565:AP565" si="312">SUM(D562:D564)</f>
        <v>350000</v>
      </c>
      <c r="E565" s="152">
        <f t="shared" si="312"/>
        <v>350000</v>
      </c>
      <c r="F565" s="152">
        <f t="shared" si="312"/>
        <v>350000</v>
      </c>
      <c r="G565" s="152">
        <f t="shared" si="312"/>
        <v>350000</v>
      </c>
      <c r="H565" s="152">
        <f t="shared" si="312"/>
        <v>350000</v>
      </c>
      <c r="I565" s="152">
        <f t="shared" si="312"/>
        <v>350000</v>
      </c>
      <c r="J565" s="152">
        <f t="shared" si="312"/>
        <v>350000</v>
      </c>
      <c r="K565" s="152">
        <f t="shared" si="312"/>
        <v>350000</v>
      </c>
      <c r="L565" s="152">
        <f t="shared" si="312"/>
        <v>350000</v>
      </c>
      <c r="M565" s="152">
        <f t="shared" si="312"/>
        <v>350000</v>
      </c>
      <c r="N565" s="152">
        <f t="shared" si="312"/>
        <v>350000</v>
      </c>
      <c r="O565" s="152">
        <f t="shared" si="312"/>
        <v>350000</v>
      </c>
      <c r="P565" s="152">
        <f t="shared" si="312"/>
        <v>350000</v>
      </c>
      <c r="Q565" s="152">
        <f t="shared" si="312"/>
        <v>350000</v>
      </c>
      <c r="R565" s="152">
        <f t="shared" si="312"/>
        <v>350000</v>
      </c>
      <c r="S565" s="152">
        <f t="shared" si="312"/>
        <v>350000</v>
      </c>
      <c r="T565" s="152">
        <f t="shared" si="312"/>
        <v>350000</v>
      </c>
      <c r="U565" s="152">
        <f t="shared" si="312"/>
        <v>350000</v>
      </c>
      <c r="V565" s="152">
        <f t="shared" si="312"/>
        <v>350000</v>
      </c>
      <c r="W565" s="152">
        <f t="shared" si="312"/>
        <v>350000</v>
      </c>
      <c r="X565" s="152">
        <f t="shared" si="312"/>
        <v>350000</v>
      </c>
      <c r="Y565" s="152">
        <f t="shared" si="312"/>
        <v>350000</v>
      </c>
      <c r="Z565" s="152">
        <f t="shared" si="312"/>
        <v>350000</v>
      </c>
      <c r="AA565" s="152">
        <f t="shared" si="312"/>
        <v>350000</v>
      </c>
      <c r="AB565" s="152">
        <f t="shared" si="312"/>
        <v>350000</v>
      </c>
      <c r="AC565" s="152">
        <f t="shared" si="312"/>
        <v>350000</v>
      </c>
      <c r="AD565" s="152">
        <f t="shared" si="312"/>
        <v>350000</v>
      </c>
      <c r="AE565" s="152">
        <f t="shared" si="312"/>
        <v>350000</v>
      </c>
      <c r="AF565" s="152">
        <f t="shared" si="312"/>
        <v>0</v>
      </c>
      <c r="AG565" s="152">
        <f t="shared" si="312"/>
        <v>0</v>
      </c>
      <c r="AH565" s="152">
        <f t="shared" si="312"/>
        <v>0</v>
      </c>
      <c r="AI565" s="152">
        <f t="shared" si="312"/>
        <v>0</v>
      </c>
      <c r="AJ565" s="152">
        <f t="shared" si="312"/>
        <v>0</v>
      </c>
      <c r="AK565" s="152">
        <f t="shared" si="312"/>
        <v>0</v>
      </c>
      <c r="AL565" s="152">
        <f t="shared" si="312"/>
        <v>0</v>
      </c>
      <c r="AM565" s="152">
        <f t="shared" si="312"/>
        <v>0</v>
      </c>
      <c r="AN565" s="152">
        <f t="shared" si="312"/>
        <v>0</v>
      </c>
      <c r="AO565" s="152">
        <f t="shared" si="312"/>
        <v>0</v>
      </c>
      <c r="AP565" s="152">
        <f t="shared" si="312"/>
        <v>0</v>
      </c>
    </row>
    <row r="566" spans="1:42">
      <c r="B566" s="152"/>
      <c r="C566" s="152"/>
      <c r="D566" s="152"/>
      <c r="E566" s="152"/>
      <c r="F566" s="152"/>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182" t="s">
        <v>360</v>
      </c>
      <c r="C567" s="152"/>
      <c r="D567" s="152"/>
      <c r="E567" s="152"/>
      <c r="F567" s="152"/>
      <c r="G567" s="152"/>
      <c r="H567" s="152"/>
      <c r="I567" s="152"/>
      <c r="J567" s="152"/>
      <c r="K567" s="152"/>
      <c r="L567" s="152"/>
      <c r="M567" s="152"/>
      <c r="N567" s="152"/>
      <c r="O567" s="152"/>
      <c r="P567" s="152"/>
      <c r="Q567" s="152"/>
      <c r="R567" s="152"/>
      <c r="S567" s="152"/>
      <c r="T567" s="152"/>
      <c r="U567" s="152"/>
      <c r="V567" s="152"/>
      <c r="W567" s="152"/>
      <c r="X567" s="152"/>
      <c r="Y567" s="152"/>
      <c r="Z567" s="152"/>
      <c r="AA567" s="152"/>
      <c r="AB567" s="152"/>
      <c r="AC567" s="152"/>
      <c r="AD567" s="152"/>
      <c r="AE567" s="152"/>
      <c r="AF567" s="152"/>
      <c r="AG567" s="152"/>
      <c r="AH567" s="152"/>
      <c r="AI567" s="152"/>
      <c r="AJ567" s="152"/>
      <c r="AK567" s="152"/>
      <c r="AL567" s="152"/>
      <c r="AM567" s="152"/>
      <c r="AN567" s="152"/>
      <c r="AO567" s="152"/>
      <c r="AP567" s="152"/>
    </row>
    <row r="568" spans="1:42">
      <c r="A568" s="37" t="s">
        <v>99</v>
      </c>
      <c r="B568" s="152">
        <v>0</v>
      </c>
      <c r="C568" s="152">
        <f>B571</f>
        <v>0</v>
      </c>
      <c r="D568" s="152">
        <f t="shared" ref="D568:AP568" si="313">C571</f>
        <v>245406.02862510949</v>
      </c>
      <c r="E568" s="152">
        <f t="shared" si="313"/>
        <v>490812.05725021899</v>
      </c>
      <c r="F568" s="152">
        <f t="shared" si="313"/>
        <v>736218.08587532851</v>
      </c>
      <c r="G568" s="152">
        <f t="shared" si="313"/>
        <v>981624.11450043798</v>
      </c>
      <c r="H568" s="152">
        <f t="shared" si="313"/>
        <v>1227030.1431255476</v>
      </c>
      <c r="I568" s="152">
        <f t="shared" si="313"/>
        <v>1472436.171750657</v>
      </c>
      <c r="J568" s="152">
        <f t="shared" si="313"/>
        <v>1717842.2003757665</v>
      </c>
      <c r="K568" s="152">
        <f t="shared" si="313"/>
        <v>1963248.229000876</v>
      </c>
      <c r="L568" s="152">
        <f t="shared" si="313"/>
        <v>2208654.2576259854</v>
      </c>
      <c r="M568" s="152">
        <f t="shared" si="313"/>
        <v>2454060.2862510951</v>
      </c>
      <c r="N568" s="152">
        <f t="shared" si="313"/>
        <v>2699466.3148762048</v>
      </c>
      <c r="O568" s="152">
        <f t="shared" si="313"/>
        <v>0</v>
      </c>
      <c r="P568" s="152">
        <f t="shared" si="313"/>
        <v>293411.90721039008</v>
      </c>
      <c r="Q568" s="152">
        <f t="shared" si="313"/>
        <v>586823.81442078017</v>
      </c>
      <c r="R568" s="152">
        <f t="shared" si="313"/>
        <v>880235.72163117025</v>
      </c>
      <c r="S568" s="152">
        <f t="shared" si="313"/>
        <v>1173647.6288415603</v>
      </c>
      <c r="T568" s="152">
        <f t="shared" si="313"/>
        <v>1467059.5360519504</v>
      </c>
      <c r="U568" s="152">
        <f t="shared" si="313"/>
        <v>1760471.4432623405</v>
      </c>
      <c r="V568" s="152">
        <f t="shared" si="313"/>
        <v>2053883.3504727306</v>
      </c>
      <c r="W568" s="152">
        <f t="shared" si="313"/>
        <v>2347295.2576831207</v>
      </c>
      <c r="X568" s="152">
        <f t="shared" si="313"/>
        <v>2640707.1648935108</v>
      </c>
      <c r="Y568" s="152">
        <f t="shared" si="313"/>
        <v>2934119.0721039008</v>
      </c>
      <c r="Z568" s="152">
        <f t="shared" si="313"/>
        <v>3227530.9793142909</v>
      </c>
      <c r="AA568" s="152">
        <f t="shared" si="313"/>
        <v>0</v>
      </c>
      <c r="AB568" s="152">
        <f t="shared" si="313"/>
        <v>0</v>
      </c>
      <c r="AC568" s="152">
        <f t="shared" si="313"/>
        <v>0</v>
      </c>
      <c r="AD568" s="152">
        <f t="shared" si="313"/>
        <v>0</v>
      </c>
      <c r="AE568" s="152">
        <f t="shared" si="313"/>
        <v>0</v>
      </c>
      <c r="AF568" s="152">
        <f t="shared" si="313"/>
        <v>0</v>
      </c>
      <c r="AG568" s="152">
        <f t="shared" si="313"/>
        <v>0</v>
      </c>
      <c r="AH568" s="152">
        <f t="shared" si="313"/>
        <v>0</v>
      </c>
      <c r="AI568" s="152">
        <f t="shared" si="313"/>
        <v>0</v>
      </c>
      <c r="AJ568" s="152">
        <f t="shared" si="313"/>
        <v>0</v>
      </c>
      <c r="AK568" s="152">
        <f t="shared" si="313"/>
        <v>0</v>
      </c>
      <c r="AL568" s="152">
        <f t="shared" si="313"/>
        <v>0</v>
      </c>
      <c r="AM568" s="152">
        <f t="shared" si="313"/>
        <v>0</v>
      </c>
      <c r="AN568" s="152">
        <f t="shared" si="313"/>
        <v>0</v>
      </c>
      <c r="AO568" s="152">
        <f t="shared" si="313"/>
        <v>0</v>
      </c>
      <c r="AP568" s="152">
        <f t="shared" si="313"/>
        <v>0</v>
      </c>
    </row>
    <row r="569" spans="1:42">
      <c r="A569" s="37" t="s">
        <v>198</v>
      </c>
      <c r="B569" s="152">
        <v>0</v>
      </c>
      <c r="C569" s="152">
        <f>C597</f>
        <v>245406.02862510949</v>
      </c>
      <c r="D569" s="152">
        <f t="shared" ref="D569:AP569" si="314">D597</f>
        <v>245406.02862510949</v>
      </c>
      <c r="E569" s="152">
        <f t="shared" si="314"/>
        <v>245406.02862510949</v>
      </c>
      <c r="F569" s="152">
        <f t="shared" si="314"/>
        <v>245406.02862510949</v>
      </c>
      <c r="G569" s="152">
        <f t="shared" si="314"/>
        <v>245406.02862510949</v>
      </c>
      <c r="H569" s="152">
        <f t="shared" si="314"/>
        <v>245406.02862510949</v>
      </c>
      <c r="I569" s="152">
        <f t="shared" si="314"/>
        <v>245406.02862510949</v>
      </c>
      <c r="J569" s="152">
        <f t="shared" si="314"/>
        <v>245406.02862510949</v>
      </c>
      <c r="K569" s="152">
        <f t="shared" si="314"/>
        <v>245406.02862510949</v>
      </c>
      <c r="L569" s="152">
        <f t="shared" si="314"/>
        <v>245406.02862510949</v>
      </c>
      <c r="M569" s="152">
        <f t="shared" si="314"/>
        <v>245406.02862510949</v>
      </c>
      <c r="N569" s="152">
        <f t="shared" si="314"/>
        <v>245406.02862510949</v>
      </c>
      <c r="O569" s="152">
        <f t="shared" si="314"/>
        <v>293411.90721039008</v>
      </c>
      <c r="P569" s="152">
        <f t="shared" si="314"/>
        <v>293411.90721039008</v>
      </c>
      <c r="Q569" s="152">
        <f t="shared" si="314"/>
        <v>293411.90721039008</v>
      </c>
      <c r="R569" s="152">
        <f t="shared" si="314"/>
        <v>293411.90721039008</v>
      </c>
      <c r="S569" s="152">
        <f t="shared" si="314"/>
        <v>293411.90721039008</v>
      </c>
      <c r="T569" s="152">
        <f t="shared" si="314"/>
        <v>293411.90721039008</v>
      </c>
      <c r="U569" s="152">
        <f t="shared" si="314"/>
        <v>293411.90721039008</v>
      </c>
      <c r="V569" s="152">
        <f t="shared" si="314"/>
        <v>293411.90721039008</v>
      </c>
      <c r="W569" s="152">
        <f t="shared" si="314"/>
        <v>293411.90721039008</v>
      </c>
      <c r="X569" s="152">
        <f t="shared" si="314"/>
        <v>293411.90721039008</v>
      </c>
      <c r="Y569" s="152">
        <f t="shared" si="314"/>
        <v>293411.90721039008</v>
      </c>
      <c r="Z569" s="152">
        <f t="shared" si="314"/>
        <v>293411.90721039008</v>
      </c>
      <c r="AA569" s="152">
        <f t="shared" si="314"/>
        <v>0</v>
      </c>
      <c r="AB569" s="152">
        <f t="shared" si="314"/>
        <v>0</v>
      </c>
      <c r="AC569" s="152">
        <f t="shared" si="314"/>
        <v>0</v>
      </c>
      <c r="AD569" s="152">
        <f t="shared" si="314"/>
        <v>0</v>
      </c>
      <c r="AE569" s="152">
        <f t="shared" si="314"/>
        <v>0</v>
      </c>
      <c r="AF569" s="152">
        <f t="shared" si="314"/>
        <v>0</v>
      </c>
      <c r="AG569" s="152">
        <f t="shared" si="314"/>
        <v>0</v>
      </c>
      <c r="AH569" s="152">
        <f t="shared" si="314"/>
        <v>0</v>
      </c>
      <c r="AI569" s="152">
        <f t="shared" si="314"/>
        <v>0</v>
      </c>
      <c r="AJ569" s="152">
        <f t="shared" si="314"/>
        <v>0</v>
      </c>
      <c r="AK569" s="152">
        <f t="shared" si="314"/>
        <v>0</v>
      </c>
      <c r="AL569" s="152">
        <f t="shared" si="314"/>
        <v>0</v>
      </c>
      <c r="AM569" s="152">
        <f t="shared" si="314"/>
        <v>0</v>
      </c>
      <c r="AN569" s="152">
        <f t="shared" si="314"/>
        <v>0</v>
      </c>
      <c r="AO569" s="152">
        <f t="shared" si="314"/>
        <v>0</v>
      </c>
      <c r="AP569" s="152">
        <f t="shared" si="314"/>
        <v>0</v>
      </c>
    </row>
    <row r="570" spans="1:42">
      <c r="A570" s="37" t="s">
        <v>106</v>
      </c>
      <c r="B570" s="187">
        <v>0</v>
      </c>
      <c r="C570" s="187">
        <f>-C585</f>
        <v>0</v>
      </c>
      <c r="D570" s="187">
        <f t="shared" ref="D570:AP570" si="315">-D585</f>
        <v>0</v>
      </c>
      <c r="E570" s="187">
        <f t="shared" si="315"/>
        <v>0</v>
      </c>
      <c r="F570" s="187">
        <f t="shared" si="315"/>
        <v>0</v>
      </c>
      <c r="G570" s="187">
        <f t="shared" si="315"/>
        <v>0</v>
      </c>
      <c r="H570" s="187">
        <f t="shared" si="315"/>
        <v>0</v>
      </c>
      <c r="I570" s="187">
        <f t="shared" si="315"/>
        <v>0</v>
      </c>
      <c r="J570" s="187">
        <f t="shared" si="315"/>
        <v>0</v>
      </c>
      <c r="K570" s="187">
        <f t="shared" si="315"/>
        <v>0</v>
      </c>
      <c r="L570" s="187">
        <f t="shared" si="315"/>
        <v>0</v>
      </c>
      <c r="M570" s="187">
        <f t="shared" si="315"/>
        <v>0</v>
      </c>
      <c r="N570" s="187">
        <f t="shared" si="315"/>
        <v>-2944872.3435013141</v>
      </c>
      <c r="O570" s="187">
        <f t="shared" si="315"/>
        <v>0</v>
      </c>
      <c r="P570" s="187">
        <f t="shared" si="315"/>
        <v>0</v>
      </c>
      <c r="Q570" s="187">
        <f t="shared" si="315"/>
        <v>0</v>
      </c>
      <c r="R570" s="187">
        <f t="shared" si="315"/>
        <v>0</v>
      </c>
      <c r="S570" s="187">
        <f t="shared" si="315"/>
        <v>0</v>
      </c>
      <c r="T570" s="187">
        <f t="shared" si="315"/>
        <v>0</v>
      </c>
      <c r="U570" s="187">
        <f t="shared" si="315"/>
        <v>0</v>
      </c>
      <c r="V570" s="187">
        <f t="shared" si="315"/>
        <v>0</v>
      </c>
      <c r="W570" s="187">
        <f t="shared" si="315"/>
        <v>0</v>
      </c>
      <c r="X570" s="187">
        <f t="shared" si="315"/>
        <v>0</v>
      </c>
      <c r="Y570" s="187">
        <f t="shared" si="315"/>
        <v>0</v>
      </c>
      <c r="Z570" s="187">
        <f t="shared" si="315"/>
        <v>-3520942.886524681</v>
      </c>
      <c r="AA570" s="187">
        <f t="shared" si="315"/>
        <v>0</v>
      </c>
      <c r="AB570" s="187">
        <f t="shared" si="315"/>
        <v>0</v>
      </c>
      <c r="AC570" s="187">
        <f t="shared" si="315"/>
        <v>0</v>
      </c>
      <c r="AD570" s="187">
        <f t="shared" si="315"/>
        <v>0</v>
      </c>
      <c r="AE570" s="187">
        <f t="shared" si="315"/>
        <v>0</v>
      </c>
      <c r="AF570" s="187">
        <f t="shared" si="315"/>
        <v>0</v>
      </c>
      <c r="AG570" s="187">
        <f t="shared" si="315"/>
        <v>0</v>
      </c>
      <c r="AH570" s="187">
        <f t="shared" si="315"/>
        <v>0</v>
      </c>
      <c r="AI570" s="187">
        <f t="shared" si="315"/>
        <v>0</v>
      </c>
      <c r="AJ570" s="187">
        <f t="shared" si="315"/>
        <v>0</v>
      </c>
      <c r="AK570" s="187">
        <f t="shared" si="315"/>
        <v>0</v>
      </c>
      <c r="AL570" s="187">
        <f t="shared" si="315"/>
        <v>0</v>
      </c>
      <c r="AM570" s="187">
        <f t="shared" si="315"/>
        <v>0</v>
      </c>
      <c r="AN570" s="187">
        <f t="shared" si="315"/>
        <v>0</v>
      </c>
      <c r="AO570" s="187">
        <f t="shared" si="315"/>
        <v>0</v>
      </c>
      <c r="AP570" s="187">
        <f t="shared" si="315"/>
        <v>0</v>
      </c>
    </row>
    <row r="571" spans="1:42">
      <c r="A571" s="37" t="s">
        <v>102</v>
      </c>
      <c r="B571" s="152">
        <f>SUM(B568:B570)</f>
        <v>0</v>
      </c>
      <c r="C571" s="152">
        <f>SUM(C568:C570)</f>
        <v>245406.02862510949</v>
      </c>
      <c r="D571" s="152">
        <f t="shared" ref="D571:AP571" si="316">SUM(D568:D570)</f>
        <v>490812.05725021899</v>
      </c>
      <c r="E571" s="152">
        <f t="shared" si="316"/>
        <v>736218.08587532851</v>
      </c>
      <c r="F571" s="152">
        <f t="shared" si="316"/>
        <v>981624.11450043798</v>
      </c>
      <c r="G571" s="152">
        <f t="shared" si="316"/>
        <v>1227030.1431255476</v>
      </c>
      <c r="H571" s="152">
        <f t="shared" si="316"/>
        <v>1472436.171750657</v>
      </c>
      <c r="I571" s="152">
        <f t="shared" si="316"/>
        <v>1717842.2003757665</v>
      </c>
      <c r="J571" s="152">
        <f t="shared" si="316"/>
        <v>1963248.229000876</v>
      </c>
      <c r="K571" s="152">
        <f t="shared" si="316"/>
        <v>2208654.2576259854</v>
      </c>
      <c r="L571" s="152">
        <f t="shared" si="316"/>
        <v>2454060.2862510951</v>
      </c>
      <c r="M571" s="152">
        <f t="shared" si="316"/>
        <v>2699466.3148762048</v>
      </c>
      <c r="N571" s="152">
        <f t="shared" si="316"/>
        <v>0</v>
      </c>
      <c r="O571" s="152">
        <f t="shared" si="316"/>
        <v>293411.90721039008</v>
      </c>
      <c r="P571" s="152">
        <f t="shared" si="316"/>
        <v>586823.81442078017</v>
      </c>
      <c r="Q571" s="152">
        <f t="shared" si="316"/>
        <v>880235.72163117025</v>
      </c>
      <c r="R571" s="152">
        <f t="shared" si="316"/>
        <v>1173647.6288415603</v>
      </c>
      <c r="S571" s="152">
        <f t="shared" si="316"/>
        <v>1467059.5360519504</v>
      </c>
      <c r="T571" s="152">
        <f t="shared" si="316"/>
        <v>1760471.4432623405</v>
      </c>
      <c r="U571" s="152">
        <f t="shared" si="316"/>
        <v>2053883.3504727306</v>
      </c>
      <c r="V571" s="152">
        <f t="shared" si="316"/>
        <v>2347295.2576831207</v>
      </c>
      <c r="W571" s="152">
        <f t="shared" si="316"/>
        <v>2640707.1648935108</v>
      </c>
      <c r="X571" s="152">
        <f t="shared" si="316"/>
        <v>2934119.0721039008</v>
      </c>
      <c r="Y571" s="152">
        <f t="shared" si="316"/>
        <v>3227530.9793142909</v>
      </c>
      <c r="Z571" s="152">
        <f t="shared" si="316"/>
        <v>0</v>
      </c>
      <c r="AA571" s="152">
        <f t="shared" si="316"/>
        <v>0</v>
      </c>
      <c r="AB571" s="152">
        <f t="shared" si="316"/>
        <v>0</v>
      </c>
      <c r="AC571" s="152">
        <f t="shared" si="316"/>
        <v>0</v>
      </c>
      <c r="AD571" s="152">
        <f t="shared" si="316"/>
        <v>0</v>
      </c>
      <c r="AE571" s="152">
        <f t="shared" si="316"/>
        <v>0</v>
      </c>
      <c r="AF571" s="152">
        <f t="shared" si="316"/>
        <v>0</v>
      </c>
      <c r="AG571" s="152">
        <f t="shared" si="316"/>
        <v>0</v>
      </c>
      <c r="AH571" s="152">
        <f t="shared" si="316"/>
        <v>0</v>
      </c>
      <c r="AI571" s="152">
        <f t="shared" si="316"/>
        <v>0</v>
      </c>
      <c r="AJ571" s="152">
        <f t="shared" si="316"/>
        <v>0</v>
      </c>
      <c r="AK571" s="152">
        <f t="shared" si="316"/>
        <v>0</v>
      </c>
      <c r="AL571" s="152">
        <f t="shared" si="316"/>
        <v>0</v>
      </c>
      <c r="AM571" s="152">
        <f t="shared" si="316"/>
        <v>0</v>
      </c>
      <c r="AN571" s="152">
        <f t="shared" si="316"/>
        <v>0</v>
      </c>
      <c r="AO571" s="152">
        <f t="shared" si="316"/>
        <v>0</v>
      </c>
      <c r="AP571" s="152">
        <f t="shared" si="316"/>
        <v>0</v>
      </c>
    </row>
    <row r="572" spans="1:42">
      <c r="B572" s="152"/>
      <c r="C572" s="152"/>
      <c r="D572" s="152"/>
      <c r="E572" s="152"/>
      <c r="F572" s="152"/>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37" t="s">
        <v>196</v>
      </c>
      <c r="B573" s="152"/>
      <c r="C573" s="152"/>
      <c r="D573" s="152"/>
      <c r="E573" s="152"/>
      <c r="F573" s="152"/>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37" t="s">
        <v>197</v>
      </c>
      <c r="B574" s="152"/>
      <c r="C574" s="152"/>
      <c r="D574" s="152"/>
      <c r="E574" s="152"/>
      <c r="F574" s="152"/>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A575" s="37">
        <v>1</v>
      </c>
      <c r="B575" s="196">
        <f t="shared" ref="B575:B584" si="317">SUM(C575:AP575)</f>
        <v>2944872.3435013141</v>
      </c>
      <c r="C575" s="186">
        <f t="shared" ref="C575:AP581" si="318">IF(C$2&gt;AnalysisPeriod,0,IF(C$2=MMFrequency*$A575,MMCost*CapacityDC*1000*(1+Inflation)^B$2,0))</f>
        <v>0</v>
      </c>
      <c r="D575" s="186">
        <f t="shared" si="318"/>
        <v>0</v>
      </c>
      <c r="E575" s="186">
        <f t="shared" si="318"/>
        <v>0</v>
      </c>
      <c r="F575" s="186">
        <f t="shared" si="318"/>
        <v>0</v>
      </c>
      <c r="G575" s="186">
        <f t="shared" si="318"/>
        <v>0</v>
      </c>
      <c r="H575" s="186">
        <f t="shared" si="318"/>
        <v>0</v>
      </c>
      <c r="I575" s="186">
        <f t="shared" si="318"/>
        <v>0</v>
      </c>
      <c r="J575" s="186">
        <f t="shared" si="318"/>
        <v>0</v>
      </c>
      <c r="K575" s="186">
        <f t="shared" si="318"/>
        <v>0</v>
      </c>
      <c r="L575" s="186">
        <f t="shared" si="318"/>
        <v>0</v>
      </c>
      <c r="M575" s="186">
        <f t="shared" si="318"/>
        <v>0</v>
      </c>
      <c r="N575" s="186">
        <f t="shared" si="318"/>
        <v>2944872.3435013141</v>
      </c>
      <c r="O575" s="186">
        <f t="shared" si="318"/>
        <v>0</v>
      </c>
      <c r="P575" s="186">
        <f t="shared" si="318"/>
        <v>0</v>
      </c>
      <c r="Q575" s="186">
        <f t="shared" si="318"/>
        <v>0</v>
      </c>
      <c r="R575" s="186">
        <f t="shared" si="318"/>
        <v>0</v>
      </c>
      <c r="S575" s="186">
        <f t="shared" si="318"/>
        <v>0</v>
      </c>
      <c r="T575" s="186">
        <f t="shared" si="318"/>
        <v>0</v>
      </c>
      <c r="U575" s="186">
        <f t="shared" si="318"/>
        <v>0</v>
      </c>
      <c r="V575" s="186">
        <f t="shared" si="318"/>
        <v>0</v>
      </c>
      <c r="W575" s="186">
        <f t="shared" si="318"/>
        <v>0</v>
      </c>
      <c r="X575" s="186">
        <f t="shared" si="318"/>
        <v>0</v>
      </c>
      <c r="Y575" s="186">
        <f t="shared" si="318"/>
        <v>0</v>
      </c>
      <c r="Z575" s="186">
        <f t="shared" si="318"/>
        <v>0</v>
      </c>
      <c r="AA575" s="186">
        <f t="shared" si="318"/>
        <v>0</v>
      </c>
      <c r="AB575" s="186">
        <f t="shared" si="318"/>
        <v>0</v>
      </c>
      <c r="AC575" s="186">
        <f t="shared" si="318"/>
        <v>0</v>
      </c>
      <c r="AD575" s="186">
        <f t="shared" si="318"/>
        <v>0</v>
      </c>
      <c r="AE575" s="186">
        <f t="shared" si="318"/>
        <v>0</v>
      </c>
      <c r="AF575" s="186">
        <f t="shared" si="318"/>
        <v>0</v>
      </c>
      <c r="AG575" s="186">
        <f t="shared" si="318"/>
        <v>0</v>
      </c>
      <c r="AH575" s="186">
        <f t="shared" si="318"/>
        <v>0</v>
      </c>
      <c r="AI575" s="186">
        <f t="shared" si="318"/>
        <v>0</v>
      </c>
      <c r="AJ575" s="186">
        <f t="shared" si="318"/>
        <v>0</v>
      </c>
      <c r="AK575" s="186">
        <f t="shared" si="318"/>
        <v>0</v>
      </c>
      <c r="AL575" s="186">
        <f t="shared" si="318"/>
        <v>0</v>
      </c>
      <c r="AM575" s="186">
        <f t="shared" si="318"/>
        <v>0</v>
      </c>
      <c r="AN575" s="186">
        <f t="shared" si="318"/>
        <v>0</v>
      </c>
      <c r="AO575" s="186">
        <f t="shared" si="318"/>
        <v>0</v>
      </c>
      <c r="AP575" s="186">
        <f t="shared" si="318"/>
        <v>0</v>
      </c>
    </row>
    <row r="576" spans="1:42">
      <c r="A576" s="37">
        <f>A575+1</f>
        <v>2</v>
      </c>
      <c r="B576" s="196">
        <f t="shared" si="317"/>
        <v>3520942.886524681</v>
      </c>
      <c r="C576" s="186">
        <f t="shared" si="318"/>
        <v>0</v>
      </c>
      <c r="D576" s="186">
        <f t="shared" si="318"/>
        <v>0</v>
      </c>
      <c r="E576" s="186">
        <f t="shared" si="318"/>
        <v>0</v>
      </c>
      <c r="F576" s="186">
        <f t="shared" si="318"/>
        <v>0</v>
      </c>
      <c r="G576" s="186">
        <f t="shared" si="318"/>
        <v>0</v>
      </c>
      <c r="H576" s="186">
        <f t="shared" si="318"/>
        <v>0</v>
      </c>
      <c r="I576" s="186">
        <f t="shared" si="318"/>
        <v>0</v>
      </c>
      <c r="J576" s="186">
        <f t="shared" si="318"/>
        <v>0</v>
      </c>
      <c r="K576" s="186">
        <f t="shared" si="318"/>
        <v>0</v>
      </c>
      <c r="L576" s="186">
        <f t="shared" si="318"/>
        <v>0</v>
      </c>
      <c r="M576" s="186">
        <f t="shared" si="318"/>
        <v>0</v>
      </c>
      <c r="N576" s="186">
        <f t="shared" si="318"/>
        <v>0</v>
      </c>
      <c r="O576" s="186">
        <f t="shared" si="318"/>
        <v>0</v>
      </c>
      <c r="P576" s="186">
        <f t="shared" si="318"/>
        <v>0</v>
      </c>
      <c r="Q576" s="186">
        <f t="shared" si="318"/>
        <v>0</v>
      </c>
      <c r="R576" s="186">
        <f t="shared" si="318"/>
        <v>0</v>
      </c>
      <c r="S576" s="186">
        <f t="shared" si="318"/>
        <v>0</v>
      </c>
      <c r="T576" s="186">
        <f t="shared" si="318"/>
        <v>0</v>
      </c>
      <c r="U576" s="186">
        <f t="shared" si="318"/>
        <v>0</v>
      </c>
      <c r="V576" s="186">
        <f t="shared" si="318"/>
        <v>0</v>
      </c>
      <c r="W576" s="186">
        <f t="shared" si="318"/>
        <v>0</v>
      </c>
      <c r="X576" s="186">
        <f t="shared" si="318"/>
        <v>0</v>
      </c>
      <c r="Y576" s="186">
        <f t="shared" si="318"/>
        <v>0</v>
      </c>
      <c r="Z576" s="186">
        <f t="shared" si="318"/>
        <v>3520942.886524681</v>
      </c>
      <c r="AA576" s="186">
        <f t="shared" si="318"/>
        <v>0</v>
      </c>
      <c r="AB576" s="186">
        <f t="shared" si="318"/>
        <v>0</v>
      </c>
      <c r="AC576" s="186">
        <f t="shared" si="318"/>
        <v>0</v>
      </c>
      <c r="AD576" s="186">
        <f t="shared" si="318"/>
        <v>0</v>
      </c>
      <c r="AE576" s="186">
        <f t="shared" si="318"/>
        <v>0</v>
      </c>
      <c r="AF576" s="186">
        <f t="shared" si="318"/>
        <v>0</v>
      </c>
      <c r="AG576" s="186">
        <f t="shared" si="318"/>
        <v>0</v>
      </c>
      <c r="AH576" s="186">
        <f t="shared" si="318"/>
        <v>0</v>
      </c>
      <c r="AI576" s="186">
        <f t="shared" si="318"/>
        <v>0</v>
      </c>
      <c r="AJ576" s="186">
        <f t="shared" si="318"/>
        <v>0</v>
      </c>
      <c r="AK576" s="186">
        <f t="shared" si="318"/>
        <v>0</v>
      </c>
      <c r="AL576" s="186">
        <f t="shared" si="318"/>
        <v>0</v>
      </c>
      <c r="AM576" s="186">
        <f t="shared" si="318"/>
        <v>0</v>
      </c>
      <c r="AN576" s="186">
        <f t="shared" si="318"/>
        <v>0</v>
      </c>
      <c r="AO576" s="186">
        <f t="shared" si="318"/>
        <v>0</v>
      </c>
      <c r="AP576" s="186">
        <f t="shared" si="318"/>
        <v>0</v>
      </c>
    </row>
    <row r="577" spans="1:42">
      <c r="A577" s="37">
        <f t="shared" ref="A577:A584" si="319">A576+1</f>
        <v>3</v>
      </c>
      <c r="B577" s="196">
        <f t="shared" si="317"/>
        <v>0</v>
      </c>
      <c r="C577" s="186">
        <f t="shared" si="318"/>
        <v>0</v>
      </c>
      <c r="D577" s="186">
        <f t="shared" si="318"/>
        <v>0</v>
      </c>
      <c r="E577" s="186">
        <f t="shared" si="318"/>
        <v>0</v>
      </c>
      <c r="F577" s="186">
        <f t="shared" si="318"/>
        <v>0</v>
      </c>
      <c r="G577" s="186">
        <f t="shared" si="318"/>
        <v>0</v>
      </c>
      <c r="H577" s="186">
        <f t="shared" si="318"/>
        <v>0</v>
      </c>
      <c r="I577" s="186">
        <f t="shared" si="318"/>
        <v>0</v>
      </c>
      <c r="J577" s="186">
        <f t="shared" si="318"/>
        <v>0</v>
      </c>
      <c r="K577" s="186">
        <f t="shared" si="318"/>
        <v>0</v>
      </c>
      <c r="L577" s="186">
        <f t="shared" si="318"/>
        <v>0</v>
      </c>
      <c r="M577" s="186">
        <f t="shared" si="318"/>
        <v>0</v>
      </c>
      <c r="N577" s="186">
        <f t="shared" si="318"/>
        <v>0</v>
      </c>
      <c r="O577" s="186">
        <f t="shared" si="318"/>
        <v>0</v>
      </c>
      <c r="P577" s="186">
        <f t="shared" si="318"/>
        <v>0</v>
      </c>
      <c r="Q577" s="186">
        <f t="shared" si="318"/>
        <v>0</v>
      </c>
      <c r="R577" s="186">
        <f t="shared" si="318"/>
        <v>0</v>
      </c>
      <c r="S577" s="186">
        <f t="shared" si="318"/>
        <v>0</v>
      </c>
      <c r="T577" s="186">
        <f t="shared" si="318"/>
        <v>0</v>
      </c>
      <c r="U577" s="186">
        <f t="shared" si="318"/>
        <v>0</v>
      </c>
      <c r="V577" s="186">
        <f t="shared" si="318"/>
        <v>0</v>
      </c>
      <c r="W577" s="186">
        <f t="shared" si="318"/>
        <v>0</v>
      </c>
      <c r="X577" s="186">
        <f t="shared" si="318"/>
        <v>0</v>
      </c>
      <c r="Y577" s="186">
        <f t="shared" si="318"/>
        <v>0</v>
      </c>
      <c r="Z577" s="186">
        <f t="shared" si="318"/>
        <v>0</v>
      </c>
      <c r="AA577" s="186">
        <f t="shared" si="318"/>
        <v>0</v>
      </c>
      <c r="AB577" s="186">
        <f t="shared" si="318"/>
        <v>0</v>
      </c>
      <c r="AC577" s="186">
        <f t="shared" si="318"/>
        <v>0</v>
      </c>
      <c r="AD577" s="186">
        <f t="shared" si="318"/>
        <v>0</v>
      </c>
      <c r="AE577" s="186">
        <f t="shared" si="318"/>
        <v>0</v>
      </c>
      <c r="AF577" s="186">
        <f t="shared" si="318"/>
        <v>0</v>
      </c>
      <c r="AG577" s="186">
        <f t="shared" si="318"/>
        <v>0</v>
      </c>
      <c r="AH577" s="186">
        <f t="shared" si="318"/>
        <v>0</v>
      </c>
      <c r="AI577" s="186">
        <f t="shared" si="318"/>
        <v>0</v>
      </c>
      <c r="AJ577" s="186">
        <f t="shared" si="318"/>
        <v>0</v>
      </c>
      <c r="AK577" s="186">
        <f t="shared" si="318"/>
        <v>0</v>
      </c>
      <c r="AL577" s="186">
        <f t="shared" si="318"/>
        <v>0</v>
      </c>
      <c r="AM577" s="186">
        <f t="shared" si="318"/>
        <v>0</v>
      </c>
      <c r="AN577" s="186">
        <f t="shared" si="318"/>
        <v>0</v>
      </c>
      <c r="AO577" s="186">
        <f t="shared" si="318"/>
        <v>0</v>
      </c>
      <c r="AP577" s="186">
        <f t="shared" si="318"/>
        <v>0</v>
      </c>
    </row>
    <row r="578" spans="1:42">
      <c r="A578" s="37">
        <f t="shared" si="319"/>
        <v>4</v>
      </c>
      <c r="B578" s="196">
        <f t="shared" si="317"/>
        <v>0</v>
      </c>
      <c r="C578" s="186">
        <f t="shared" si="318"/>
        <v>0</v>
      </c>
      <c r="D578" s="186">
        <f t="shared" si="318"/>
        <v>0</v>
      </c>
      <c r="E578" s="186">
        <f t="shared" si="318"/>
        <v>0</v>
      </c>
      <c r="F578" s="186">
        <f t="shared" si="318"/>
        <v>0</v>
      </c>
      <c r="G578" s="186">
        <f t="shared" si="318"/>
        <v>0</v>
      </c>
      <c r="H578" s="186">
        <f t="shared" si="318"/>
        <v>0</v>
      </c>
      <c r="I578" s="186">
        <f t="shared" si="318"/>
        <v>0</v>
      </c>
      <c r="J578" s="186">
        <f t="shared" si="318"/>
        <v>0</v>
      </c>
      <c r="K578" s="186">
        <f t="shared" si="318"/>
        <v>0</v>
      </c>
      <c r="L578" s="186">
        <f t="shared" si="318"/>
        <v>0</v>
      </c>
      <c r="M578" s="186">
        <f t="shared" si="318"/>
        <v>0</v>
      </c>
      <c r="N578" s="186">
        <f t="shared" si="318"/>
        <v>0</v>
      </c>
      <c r="O578" s="186">
        <f t="shared" si="318"/>
        <v>0</v>
      </c>
      <c r="P578" s="186">
        <f t="shared" si="318"/>
        <v>0</v>
      </c>
      <c r="Q578" s="186">
        <f t="shared" si="318"/>
        <v>0</v>
      </c>
      <c r="R578" s="186">
        <f t="shared" si="318"/>
        <v>0</v>
      </c>
      <c r="S578" s="186">
        <f t="shared" si="318"/>
        <v>0</v>
      </c>
      <c r="T578" s="186">
        <f t="shared" si="318"/>
        <v>0</v>
      </c>
      <c r="U578" s="186">
        <f t="shared" si="318"/>
        <v>0</v>
      </c>
      <c r="V578" s="186">
        <f t="shared" si="318"/>
        <v>0</v>
      </c>
      <c r="W578" s="186">
        <f t="shared" si="318"/>
        <v>0</v>
      </c>
      <c r="X578" s="186">
        <f t="shared" si="318"/>
        <v>0</v>
      </c>
      <c r="Y578" s="186">
        <f t="shared" si="318"/>
        <v>0</v>
      </c>
      <c r="Z578" s="186">
        <f t="shared" si="318"/>
        <v>0</v>
      </c>
      <c r="AA578" s="186">
        <f t="shared" si="318"/>
        <v>0</v>
      </c>
      <c r="AB578" s="186">
        <f t="shared" si="318"/>
        <v>0</v>
      </c>
      <c r="AC578" s="186">
        <f t="shared" si="318"/>
        <v>0</v>
      </c>
      <c r="AD578" s="186">
        <f t="shared" si="318"/>
        <v>0</v>
      </c>
      <c r="AE578" s="186">
        <f t="shared" si="318"/>
        <v>0</v>
      </c>
      <c r="AF578" s="186">
        <f t="shared" si="318"/>
        <v>0</v>
      </c>
      <c r="AG578" s="186">
        <f t="shared" si="318"/>
        <v>0</v>
      </c>
      <c r="AH578" s="186">
        <f t="shared" si="318"/>
        <v>0</v>
      </c>
      <c r="AI578" s="186">
        <f t="shared" si="318"/>
        <v>0</v>
      </c>
      <c r="AJ578" s="186">
        <f t="shared" si="318"/>
        <v>0</v>
      </c>
      <c r="AK578" s="186">
        <f t="shared" si="318"/>
        <v>0</v>
      </c>
      <c r="AL578" s="186">
        <f t="shared" si="318"/>
        <v>0</v>
      </c>
      <c r="AM578" s="186">
        <f t="shared" si="318"/>
        <v>0</v>
      </c>
      <c r="AN578" s="186">
        <f t="shared" si="318"/>
        <v>0</v>
      </c>
      <c r="AO578" s="186">
        <f t="shared" si="318"/>
        <v>0</v>
      </c>
      <c r="AP578" s="186">
        <f t="shared" si="318"/>
        <v>0</v>
      </c>
    </row>
    <row r="579" spans="1:42">
      <c r="A579" s="37">
        <f t="shared" si="319"/>
        <v>5</v>
      </c>
      <c r="B579" s="196">
        <f t="shared" si="317"/>
        <v>0</v>
      </c>
      <c r="C579" s="186">
        <f t="shared" si="318"/>
        <v>0</v>
      </c>
      <c r="D579" s="186">
        <f t="shared" si="318"/>
        <v>0</v>
      </c>
      <c r="E579" s="186">
        <f t="shared" si="318"/>
        <v>0</v>
      </c>
      <c r="F579" s="186">
        <f t="shared" si="318"/>
        <v>0</v>
      </c>
      <c r="G579" s="186">
        <f t="shared" si="318"/>
        <v>0</v>
      </c>
      <c r="H579" s="186">
        <f t="shared" si="318"/>
        <v>0</v>
      </c>
      <c r="I579" s="186">
        <f t="shared" si="318"/>
        <v>0</v>
      </c>
      <c r="J579" s="186">
        <f t="shared" si="318"/>
        <v>0</v>
      </c>
      <c r="K579" s="186">
        <f t="shared" si="318"/>
        <v>0</v>
      </c>
      <c r="L579" s="186">
        <f t="shared" si="318"/>
        <v>0</v>
      </c>
      <c r="M579" s="186">
        <f t="shared" si="318"/>
        <v>0</v>
      </c>
      <c r="N579" s="186">
        <f t="shared" si="318"/>
        <v>0</v>
      </c>
      <c r="O579" s="186">
        <f t="shared" si="318"/>
        <v>0</v>
      </c>
      <c r="P579" s="186">
        <f t="shared" si="318"/>
        <v>0</v>
      </c>
      <c r="Q579" s="186">
        <f t="shared" si="318"/>
        <v>0</v>
      </c>
      <c r="R579" s="186">
        <f t="shared" si="318"/>
        <v>0</v>
      </c>
      <c r="S579" s="186">
        <f t="shared" si="318"/>
        <v>0</v>
      </c>
      <c r="T579" s="186">
        <f t="shared" si="318"/>
        <v>0</v>
      </c>
      <c r="U579" s="186">
        <f t="shared" si="318"/>
        <v>0</v>
      </c>
      <c r="V579" s="186">
        <f t="shared" si="318"/>
        <v>0</v>
      </c>
      <c r="W579" s="186">
        <f t="shared" si="318"/>
        <v>0</v>
      </c>
      <c r="X579" s="186">
        <f t="shared" si="318"/>
        <v>0</v>
      </c>
      <c r="Y579" s="186">
        <f t="shared" si="318"/>
        <v>0</v>
      </c>
      <c r="Z579" s="186">
        <f t="shared" si="318"/>
        <v>0</v>
      </c>
      <c r="AA579" s="186">
        <f t="shared" si="318"/>
        <v>0</v>
      </c>
      <c r="AB579" s="186">
        <f t="shared" si="318"/>
        <v>0</v>
      </c>
      <c r="AC579" s="186">
        <f t="shared" si="318"/>
        <v>0</v>
      </c>
      <c r="AD579" s="186">
        <f t="shared" si="318"/>
        <v>0</v>
      </c>
      <c r="AE579" s="186">
        <f t="shared" si="318"/>
        <v>0</v>
      </c>
      <c r="AF579" s="186">
        <f t="shared" si="318"/>
        <v>0</v>
      </c>
      <c r="AG579" s="186">
        <f t="shared" si="318"/>
        <v>0</v>
      </c>
      <c r="AH579" s="186">
        <f t="shared" si="318"/>
        <v>0</v>
      </c>
      <c r="AI579" s="186">
        <f t="shared" si="318"/>
        <v>0</v>
      </c>
      <c r="AJ579" s="186">
        <f t="shared" si="318"/>
        <v>0</v>
      </c>
      <c r="AK579" s="186">
        <f t="shared" si="318"/>
        <v>0</v>
      </c>
      <c r="AL579" s="186">
        <f t="shared" si="318"/>
        <v>0</v>
      </c>
      <c r="AM579" s="186">
        <f t="shared" si="318"/>
        <v>0</v>
      </c>
      <c r="AN579" s="186">
        <f t="shared" si="318"/>
        <v>0</v>
      </c>
      <c r="AO579" s="186">
        <f t="shared" si="318"/>
        <v>0</v>
      </c>
      <c r="AP579" s="186">
        <f t="shared" si="318"/>
        <v>0</v>
      </c>
    </row>
    <row r="580" spans="1:42">
      <c r="A580" s="37">
        <f t="shared" si="319"/>
        <v>6</v>
      </c>
      <c r="B580" s="196">
        <f t="shared" si="317"/>
        <v>0</v>
      </c>
      <c r="C580" s="186">
        <f t="shared" si="318"/>
        <v>0</v>
      </c>
      <c r="D580" s="186">
        <f t="shared" si="318"/>
        <v>0</v>
      </c>
      <c r="E580" s="186">
        <f t="shared" si="318"/>
        <v>0</v>
      </c>
      <c r="F580" s="186">
        <f t="shared" si="318"/>
        <v>0</v>
      </c>
      <c r="G580" s="186">
        <f t="shared" si="318"/>
        <v>0</v>
      </c>
      <c r="H580" s="186">
        <f t="shared" si="318"/>
        <v>0</v>
      </c>
      <c r="I580" s="186">
        <f t="shared" si="318"/>
        <v>0</v>
      </c>
      <c r="J580" s="186">
        <f t="shared" si="318"/>
        <v>0</v>
      </c>
      <c r="K580" s="186">
        <f t="shared" si="318"/>
        <v>0</v>
      </c>
      <c r="L580" s="186">
        <f t="shared" si="318"/>
        <v>0</v>
      </c>
      <c r="M580" s="186">
        <f t="shared" si="318"/>
        <v>0</v>
      </c>
      <c r="N580" s="186">
        <f t="shared" si="318"/>
        <v>0</v>
      </c>
      <c r="O580" s="186">
        <f t="shared" si="318"/>
        <v>0</v>
      </c>
      <c r="P580" s="186">
        <f t="shared" si="318"/>
        <v>0</v>
      </c>
      <c r="Q580" s="186">
        <f t="shared" si="318"/>
        <v>0</v>
      </c>
      <c r="R580" s="186">
        <f t="shared" si="318"/>
        <v>0</v>
      </c>
      <c r="S580" s="186">
        <f t="shared" si="318"/>
        <v>0</v>
      </c>
      <c r="T580" s="186">
        <f t="shared" si="318"/>
        <v>0</v>
      </c>
      <c r="U580" s="186">
        <f t="shared" si="318"/>
        <v>0</v>
      </c>
      <c r="V580" s="186">
        <f t="shared" si="318"/>
        <v>0</v>
      </c>
      <c r="W580" s="186">
        <f t="shared" si="318"/>
        <v>0</v>
      </c>
      <c r="X580" s="186">
        <f t="shared" si="318"/>
        <v>0</v>
      </c>
      <c r="Y580" s="186">
        <f t="shared" si="318"/>
        <v>0</v>
      </c>
      <c r="Z580" s="186">
        <f t="shared" si="318"/>
        <v>0</v>
      </c>
      <c r="AA580" s="186">
        <f t="shared" si="318"/>
        <v>0</v>
      </c>
      <c r="AB580" s="186">
        <f t="shared" si="318"/>
        <v>0</v>
      </c>
      <c r="AC580" s="186">
        <f t="shared" si="318"/>
        <v>0</v>
      </c>
      <c r="AD580" s="186">
        <f t="shared" si="318"/>
        <v>0</v>
      </c>
      <c r="AE580" s="186">
        <f t="shared" si="318"/>
        <v>0</v>
      </c>
      <c r="AF580" s="186">
        <f t="shared" si="318"/>
        <v>0</v>
      </c>
      <c r="AG580" s="186">
        <f t="shared" si="318"/>
        <v>0</v>
      </c>
      <c r="AH580" s="186">
        <f t="shared" si="318"/>
        <v>0</v>
      </c>
      <c r="AI580" s="186">
        <f t="shared" si="318"/>
        <v>0</v>
      </c>
      <c r="AJ580" s="186">
        <f t="shared" si="318"/>
        <v>0</v>
      </c>
      <c r="AK580" s="186">
        <f t="shared" si="318"/>
        <v>0</v>
      </c>
      <c r="AL580" s="186">
        <f t="shared" si="318"/>
        <v>0</v>
      </c>
      <c r="AM580" s="186">
        <f t="shared" si="318"/>
        <v>0</v>
      </c>
      <c r="AN580" s="186">
        <f t="shared" si="318"/>
        <v>0</v>
      </c>
      <c r="AO580" s="186">
        <f t="shared" si="318"/>
        <v>0</v>
      </c>
      <c r="AP580" s="186">
        <f t="shared" si="318"/>
        <v>0</v>
      </c>
    </row>
    <row r="581" spans="1:42">
      <c r="A581" s="37">
        <f t="shared" si="319"/>
        <v>7</v>
      </c>
      <c r="B581" s="196">
        <f t="shared" si="317"/>
        <v>0</v>
      </c>
      <c r="C581" s="186">
        <f t="shared" si="318"/>
        <v>0</v>
      </c>
      <c r="D581" s="186">
        <f t="shared" si="318"/>
        <v>0</v>
      </c>
      <c r="E581" s="186">
        <f t="shared" si="318"/>
        <v>0</v>
      </c>
      <c r="F581" s="186">
        <f t="shared" si="318"/>
        <v>0</v>
      </c>
      <c r="G581" s="186">
        <f t="shared" si="318"/>
        <v>0</v>
      </c>
      <c r="H581" s="186">
        <f t="shared" si="318"/>
        <v>0</v>
      </c>
      <c r="I581" s="186">
        <f t="shared" si="318"/>
        <v>0</v>
      </c>
      <c r="J581" s="186">
        <f t="shared" si="318"/>
        <v>0</v>
      </c>
      <c r="K581" s="186">
        <f t="shared" si="318"/>
        <v>0</v>
      </c>
      <c r="L581" s="186">
        <f t="shared" si="318"/>
        <v>0</v>
      </c>
      <c r="M581" s="186">
        <f t="shared" si="318"/>
        <v>0</v>
      </c>
      <c r="N581" s="186">
        <f t="shared" si="318"/>
        <v>0</v>
      </c>
      <c r="O581" s="186">
        <f t="shared" si="318"/>
        <v>0</v>
      </c>
      <c r="P581" s="186">
        <f t="shared" si="318"/>
        <v>0</v>
      </c>
      <c r="Q581" s="186">
        <f t="shared" si="318"/>
        <v>0</v>
      </c>
      <c r="R581" s="186">
        <f t="shared" ref="R581:AP581" si="320">IF(R$2&gt;AnalysisPeriod,0,IF(R$2=MMFrequency*$A581,MMCost*CapacityDC*1000*(1+Inflation)^Q$2,0))</f>
        <v>0</v>
      </c>
      <c r="S581" s="186">
        <f t="shared" si="320"/>
        <v>0</v>
      </c>
      <c r="T581" s="186">
        <f t="shared" si="320"/>
        <v>0</v>
      </c>
      <c r="U581" s="186">
        <f t="shared" si="320"/>
        <v>0</v>
      </c>
      <c r="V581" s="186">
        <f t="shared" si="320"/>
        <v>0</v>
      </c>
      <c r="W581" s="186">
        <f t="shared" si="320"/>
        <v>0</v>
      </c>
      <c r="X581" s="186">
        <f t="shared" si="320"/>
        <v>0</v>
      </c>
      <c r="Y581" s="186">
        <f t="shared" si="320"/>
        <v>0</v>
      </c>
      <c r="Z581" s="186">
        <f t="shared" si="320"/>
        <v>0</v>
      </c>
      <c r="AA581" s="186">
        <f t="shared" si="320"/>
        <v>0</v>
      </c>
      <c r="AB581" s="186">
        <f t="shared" si="320"/>
        <v>0</v>
      </c>
      <c r="AC581" s="186">
        <f t="shared" si="320"/>
        <v>0</v>
      </c>
      <c r="AD581" s="186">
        <f t="shared" si="320"/>
        <v>0</v>
      </c>
      <c r="AE581" s="186">
        <f t="shared" si="320"/>
        <v>0</v>
      </c>
      <c r="AF581" s="186">
        <f t="shared" si="320"/>
        <v>0</v>
      </c>
      <c r="AG581" s="186">
        <f t="shared" si="320"/>
        <v>0</v>
      </c>
      <c r="AH581" s="186">
        <f t="shared" si="320"/>
        <v>0</v>
      </c>
      <c r="AI581" s="186">
        <f t="shared" si="320"/>
        <v>0</v>
      </c>
      <c r="AJ581" s="186">
        <f t="shared" si="320"/>
        <v>0</v>
      </c>
      <c r="AK581" s="186">
        <f t="shared" si="320"/>
        <v>0</v>
      </c>
      <c r="AL581" s="186">
        <f t="shared" si="320"/>
        <v>0</v>
      </c>
      <c r="AM581" s="186">
        <f t="shared" si="320"/>
        <v>0</v>
      </c>
      <c r="AN581" s="186">
        <f t="shared" si="320"/>
        <v>0</v>
      </c>
      <c r="AO581" s="186">
        <f t="shared" si="320"/>
        <v>0</v>
      </c>
      <c r="AP581" s="186">
        <f t="shared" si="320"/>
        <v>0</v>
      </c>
    </row>
    <row r="582" spans="1:42">
      <c r="A582" s="37">
        <f t="shared" si="319"/>
        <v>8</v>
      </c>
      <c r="B582" s="196">
        <f t="shared" si="317"/>
        <v>0</v>
      </c>
      <c r="C582" s="186">
        <f t="shared" ref="C582:AP584" si="321">IF(C$2&gt;AnalysisPeriod,0,IF(C$2=MMFrequency*$A582,MMCost*CapacityDC*1000*(1+Inflation)^B$2,0))</f>
        <v>0</v>
      </c>
      <c r="D582" s="186">
        <f t="shared" si="321"/>
        <v>0</v>
      </c>
      <c r="E582" s="186">
        <f t="shared" si="321"/>
        <v>0</v>
      </c>
      <c r="F582" s="186">
        <f t="shared" si="321"/>
        <v>0</v>
      </c>
      <c r="G582" s="186">
        <f t="shared" si="321"/>
        <v>0</v>
      </c>
      <c r="H582" s="186">
        <f t="shared" si="321"/>
        <v>0</v>
      </c>
      <c r="I582" s="186">
        <f t="shared" si="321"/>
        <v>0</v>
      </c>
      <c r="J582" s="186">
        <f t="shared" si="321"/>
        <v>0</v>
      </c>
      <c r="K582" s="186">
        <f t="shared" si="321"/>
        <v>0</v>
      </c>
      <c r="L582" s="186">
        <f t="shared" si="321"/>
        <v>0</v>
      </c>
      <c r="M582" s="186">
        <f t="shared" si="321"/>
        <v>0</v>
      </c>
      <c r="N582" s="186">
        <f t="shared" si="321"/>
        <v>0</v>
      </c>
      <c r="O582" s="186">
        <f t="shared" si="321"/>
        <v>0</v>
      </c>
      <c r="P582" s="186">
        <f t="shared" si="321"/>
        <v>0</v>
      </c>
      <c r="Q582" s="186">
        <f t="shared" si="321"/>
        <v>0</v>
      </c>
      <c r="R582" s="186">
        <f t="shared" si="321"/>
        <v>0</v>
      </c>
      <c r="S582" s="186">
        <f t="shared" si="321"/>
        <v>0</v>
      </c>
      <c r="T582" s="186">
        <f t="shared" si="321"/>
        <v>0</v>
      </c>
      <c r="U582" s="186">
        <f t="shared" si="321"/>
        <v>0</v>
      </c>
      <c r="V582" s="186">
        <f t="shared" si="321"/>
        <v>0</v>
      </c>
      <c r="W582" s="186">
        <f t="shared" si="321"/>
        <v>0</v>
      </c>
      <c r="X582" s="186">
        <f t="shared" si="321"/>
        <v>0</v>
      </c>
      <c r="Y582" s="186">
        <f t="shared" si="321"/>
        <v>0</v>
      </c>
      <c r="Z582" s="186">
        <f t="shared" si="321"/>
        <v>0</v>
      </c>
      <c r="AA582" s="186">
        <f t="shared" si="321"/>
        <v>0</v>
      </c>
      <c r="AB582" s="186">
        <f t="shared" si="321"/>
        <v>0</v>
      </c>
      <c r="AC582" s="186">
        <f t="shared" si="321"/>
        <v>0</v>
      </c>
      <c r="AD582" s="186">
        <f t="shared" si="321"/>
        <v>0</v>
      </c>
      <c r="AE582" s="186">
        <f t="shared" si="321"/>
        <v>0</v>
      </c>
      <c r="AF582" s="186">
        <f t="shared" si="321"/>
        <v>0</v>
      </c>
      <c r="AG582" s="186">
        <f t="shared" si="321"/>
        <v>0</v>
      </c>
      <c r="AH582" s="186">
        <f t="shared" si="321"/>
        <v>0</v>
      </c>
      <c r="AI582" s="186">
        <f t="shared" si="321"/>
        <v>0</v>
      </c>
      <c r="AJ582" s="186">
        <f t="shared" si="321"/>
        <v>0</v>
      </c>
      <c r="AK582" s="186">
        <f t="shared" si="321"/>
        <v>0</v>
      </c>
      <c r="AL582" s="186">
        <f t="shared" si="321"/>
        <v>0</v>
      </c>
      <c r="AM582" s="186">
        <f t="shared" si="321"/>
        <v>0</v>
      </c>
      <c r="AN582" s="186">
        <f t="shared" si="321"/>
        <v>0</v>
      </c>
      <c r="AO582" s="186">
        <f t="shared" si="321"/>
        <v>0</v>
      </c>
      <c r="AP582" s="186">
        <f t="shared" si="321"/>
        <v>0</v>
      </c>
    </row>
    <row r="583" spans="1:42">
      <c r="A583" s="37">
        <f>A582+1</f>
        <v>9</v>
      </c>
      <c r="B583" s="196">
        <f t="shared" si="317"/>
        <v>0</v>
      </c>
      <c r="C583" s="186">
        <f t="shared" si="321"/>
        <v>0</v>
      </c>
      <c r="D583" s="186">
        <f t="shared" si="321"/>
        <v>0</v>
      </c>
      <c r="E583" s="186">
        <f t="shared" si="321"/>
        <v>0</v>
      </c>
      <c r="F583" s="186">
        <f t="shared" si="321"/>
        <v>0</v>
      </c>
      <c r="G583" s="186">
        <f t="shared" si="321"/>
        <v>0</v>
      </c>
      <c r="H583" s="186">
        <f t="shared" si="321"/>
        <v>0</v>
      </c>
      <c r="I583" s="186">
        <f t="shared" si="321"/>
        <v>0</v>
      </c>
      <c r="J583" s="186">
        <f t="shared" si="321"/>
        <v>0</v>
      </c>
      <c r="K583" s="186">
        <f t="shared" si="321"/>
        <v>0</v>
      </c>
      <c r="L583" s="186">
        <f t="shared" si="321"/>
        <v>0</v>
      </c>
      <c r="M583" s="186">
        <f t="shared" si="321"/>
        <v>0</v>
      </c>
      <c r="N583" s="186">
        <f t="shared" si="321"/>
        <v>0</v>
      </c>
      <c r="O583" s="186">
        <f t="shared" si="321"/>
        <v>0</v>
      </c>
      <c r="P583" s="186">
        <f t="shared" si="321"/>
        <v>0</v>
      </c>
      <c r="Q583" s="186">
        <f t="shared" si="321"/>
        <v>0</v>
      </c>
      <c r="R583" s="186">
        <f t="shared" si="321"/>
        <v>0</v>
      </c>
      <c r="S583" s="186">
        <f t="shared" si="321"/>
        <v>0</v>
      </c>
      <c r="T583" s="186">
        <f t="shared" si="321"/>
        <v>0</v>
      </c>
      <c r="U583" s="186">
        <f t="shared" si="321"/>
        <v>0</v>
      </c>
      <c r="V583" s="186">
        <f t="shared" si="321"/>
        <v>0</v>
      </c>
      <c r="W583" s="186">
        <f t="shared" si="321"/>
        <v>0</v>
      </c>
      <c r="X583" s="186">
        <f t="shared" si="321"/>
        <v>0</v>
      </c>
      <c r="Y583" s="186">
        <f t="shared" si="321"/>
        <v>0</v>
      </c>
      <c r="Z583" s="186">
        <f t="shared" si="321"/>
        <v>0</v>
      </c>
      <c r="AA583" s="186">
        <f t="shared" si="321"/>
        <v>0</v>
      </c>
      <c r="AB583" s="186">
        <f t="shared" si="321"/>
        <v>0</v>
      </c>
      <c r="AC583" s="186">
        <f t="shared" si="321"/>
        <v>0</v>
      </c>
      <c r="AD583" s="186">
        <f t="shared" si="321"/>
        <v>0</v>
      </c>
      <c r="AE583" s="186">
        <f t="shared" si="321"/>
        <v>0</v>
      </c>
      <c r="AF583" s="186">
        <f t="shared" si="321"/>
        <v>0</v>
      </c>
      <c r="AG583" s="186">
        <f t="shared" si="321"/>
        <v>0</v>
      </c>
      <c r="AH583" s="186">
        <f t="shared" si="321"/>
        <v>0</v>
      </c>
      <c r="AI583" s="186">
        <f t="shared" si="321"/>
        <v>0</v>
      </c>
      <c r="AJ583" s="186">
        <f t="shared" si="321"/>
        <v>0</v>
      </c>
      <c r="AK583" s="186">
        <f t="shared" si="321"/>
        <v>0</v>
      </c>
      <c r="AL583" s="186">
        <f t="shared" si="321"/>
        <v>0</v>
      </c>
      <c r="AM583" s="186">
        <f t="shared" si="321"/>
        <v>0</v>
      </c>
      <c r="AN583" s="186">
        <f t="shared" si="321"/>
        <v>0</v>
      </c>
      <c r="AO583" s="186">
        <f t="shared" si="321"/>
        <v>0</v>
      </c>
      <c r="AP583" s="186">
        <f t="shared" si="321"/>
        <v>0</v>
      </c>
    </row>
    <row r="584" spans="1:42">
      <c r="A584" s="37">
        <f t="shared" si="319"/>
        <v>10</v>
      </c>
      <c r="B584" s="196">
        <f t="shared" si="317"/>
        <v>0</v>
      </c>
      <c r="C584" s="187">
        <f t="shared" si="321"/>
        <v>0</v>
      </c>
      <c r="D584" s="187">
        <f t="shared" si="321"/>
        <v>0</v>
      </c>
      <c r="E584" s="187">
        <f t="shared" si="321"/>
        <v>0</v>
      </c>
      <c r="F584" s="187">
        <f t="shared" si="321"/>
        <v>0</v>
      </c>
      <c r="G584" s="187">
        <f t="shared" si="321"/>
        <v>0</v>
      </c>
      <c r="H584" s="187">
        <f t="shared" si="321"/>
        <v>0</v>
      </c>
      <c r="I584" s="187">
        <f t="shared" si="321"/>
        <v>0</v>
      </c>
      <c r="J584" s="187">
        <f t="shared" si="321"/>
        <v>0</v>
      </c>
      <c r="K584" s="187">
        <f t="shared" si="321"/>
        <v>0</v>
      </c>
      <c r="L584" s="187">
        <f t="shared" si="321"/>
        <v>0</v>
      </c>
      <c r="M584" s="187">
        <f t="shared" si="321"/>
        <v>0</v>
      </c>
      <c r="N584" s="187">
        <f t="shared" si="321"/>
        <v>0</v>
      </c>
      <c r="O584" s="187">
        <f t="shared" si="321"/>
        <v>0</v>
      </c>
      <c r="P584" s="187">
        <f t="shared" si="321"/>
        <v>0</v>
      </c>
      <c r="Q584" s="187">
        <f t="shared" si="321"/>
        <v>0</v>
      </c>
      <c r="R584" s="187">
        <f t="shared" si="321"/>
        <v>0</v>
      </c>
      <c r="S584" s="187">
        <f t="shared" si="321"/>
        <v>0</v>
      </c>
      <c r="T584" s="187">
        <f t="shared" si="321"/>
        <v>0</v>
      </c>
      <c r="U584" s="187">
        <f t="shared" si="321"/>
        <v>0</v>
      </c>
      <c r="V584" s="187">
        <f t="shared" si="321"/>
        <v>0</v>
      </c>
      <c r="W584" s="187">
        <f t="shared" si="321"/>
        <v>0</v>
      </c>
      <c r="X584" s="187">
        <f t="shared" si="321"/>
        <v>0</v>
      </c>
      <c r="Y584" s="187">
        <f t="shared" si="321"/>
        <v>0</v>
      </c>
      <c r="Z584" s="187">
        <f t="shared" si="321"/>
        <v>0</v>
      </c>
      <c r="AA584" s="187">
        <f t="shared" si="321"/>
        <v>0</v>
      </c>
      <c r="AB584" s="187">
        <f t="shared" si="321"/>
        <v>0</v>
      </c>
      <c r="AC584" s="187">
        <f t="shared" si="321"/>
        <v>0</v>
      </c>
      <c r="AD584" s="187">
        <f t="shared" si="321"/>
        <v>0</v>
      </c>
      <c r="AE584" s="187">
        <f t="shared" si="321"/>
        <v>0</v>
      </c>
      <c r="AF584" s="187">
        <f t="shared" si="321"/>
        <v>0</v>
      </c>
      <c r="AG584" s="187">
        <f t="shared" si="321"/>
        <v>0</v>
      </c>
      <c r="AH584" s="187">
        <f t="shared" si="321"/>
        <v>0</v>
      </c>
      <c r="AI584" s="187">
        <f t="shared" si="321"/>
        <v>0</v>
      </c>
      <c r="AJ584" s="187">
        <f t="shared" si="321"/>
        <v>0</v>
      </c>
      <c r="AK584" s="187">
        <f t="shared" si="321"/>
        <v>0</v>
      </c>
      <c r="AL584" s="187">
        <f t="shared" si="321"/>
        <v>0</v>
      </c>
      <c r="AM584" s="187">
        <f t="shared" si="321"/>
        <v>0</v>
      </c>
      <c r="AN584" s="187">
        <f t="shared" si="321"/>
        <v>0</v>
      </c>
      <c r="AO584" s="187">
        <f t="shared" si="321"/>
        <v>0</v>
      </c>
      <c r="AP584" s="187">
        <f t="shared" si="321"/>
        <v>0</v>
      </c>
    </row>
    <row r="585" spans="1:42">
      <c r="A585" s="219" t="s">
        <v>53</v>
      </c>
      <c r="B585" s="186"/>
      <c r="C585" s="152">
        <f>SUM(C575:C584)</f>
        <v>0</v>
      </c>
      <c r="D585" s="152">
        <f t="shared" ref="D585:AD585" si="322">SUM(D575:D584)</f>
        <v>0</v>
      </c>
      <c r="E585" s="152">
        <f t="shared" si="322"/>
        <v>0</v>
      </c>
      <c r="F585" s="152">
        <f t="shared" si="322"/>
        <v>0</v>
      </c>
      <c r="G585" s="152">
        <f t="shared" si="322"/>
        <v>0</v>
      </c>
      <c r="H585" s="152">
        <f t="shared" si="322"/>
        <v>0</v>
      </c>
      <c r="I585" s="152">
        <f t="shared" si="322"/>
        <v>0</v>
      </c>
      <c r="J585" s="152">
        <f t="shared" si="322"/>
        <v>0</v>
      </c>
      <c r="K585" s="152">
        <f t="shared" si="322"/>
        <v>0</v>
      </c>
      <c r="L585" s="152">
        <f t="shared" si="322"/>
        <v>0</v>
      </c>
      <c r="M585" s="152">
        <f t="shared" si="322"/>
        <v>0</v>
      </c>
      <c r="N585" s="152">
        <f t="shared" si="322"/>
        <v>2944872.3435013141</v>
      </c>
      <c r="O585" s="152">
        <f t="shared" si="322"/>
        <v>0</v>
      </c>
      <c r="P585" s="152">
        <f t="shared" si="322"/>
        <v>0</v>
      </c>
      <c r="Q585" s="152">
        <f t="shared" si="322"/>
        <v>0</v>
      </c>
      <c r="R585" s="152">
        <f t="shared" si="322"/>
        <v>0</v>
      </c>
      <c r="S585" s="152">
        <f t="shared" si="322"/>
        <v>0</v>
      </c>
      <c r="T585" s="152">
        <f t="shared" si="322"/>
        <v>0</v>
      </c>
      <c r="U585" s="152">
        <f t="shared" si="322"/>
        <v>0</v>
      </c>
      <c r="V585" s="152">
        <f t="shared" si="322"/>
        <v>0</v>
      </c>
      <c r="W585" s="152">
        <f t="shared" si="322"/>
        <v>0</v>
      </c>
      <c r="X585" s="152">
        <f t="shared" si="322"/>
        <v>0</v>
      </c>
      <c r="Y585" s="152">
        <f t="shared" si="322"/>
        <v>0</v>
      </c>
      <c r="Z585" s="152">
        <f t="shared" si="322"/>
        <v>3520942.886524681</v>
      </c>
      <c r="AA585" s="152">
        <f t="shared" si="322"/>
        <v>0</v>
      </c>
      <c r="AB585" s="152">
        <f t="shared" si="322"/>
        <v>0</v>
      </c>
      <c r="AC585" s="152">
        <f t="shared" si="322"/>
        <v>0</v>
      </c>
      <c r="AD585" s="152">
        <f t="shared" si="322"/>
        <v>0</v>
      </c>
      <c r="AE585" s="152">
        <f t="shared" ref="AE585" si="323">SUM(AE575:AE584)</f>
        <v>0</v>
      </c>
      <c r="AF585" s="152">
        <f t="shared" ref="AF585:AP585" si="324">SUM(AF575:AF584)</f>
        <v>0</v>
      </c>
      <c r="AG585" s="152">
        <f t="shared" si="324"/>
        <v>0</v>
      </c>
      <c r="AH585" s="152">
        <f t="shared" si="324"/>
        <v>0</v>
      </c>
      <c r="AI585" s="152">
        <f t="shared" si="324"/>
        <v>0</v>
      </c>
      <c r="AJ585" s="152">
        <f t="shared" si="324"/>
        <v>0</v>
      </c>
      <c r="AK585" s="152">
        <f t="shared" si="324"/>
        <v>0</v>
      </c>
      <c r="AL585" s="152">
        <f t="shared" si="324"/>
        <v>0</v>
      </c>
      <c r="AM585" s="152">
        <f t="shared" si="324"/>
        <v>0</v>
      </c>
      <c r="AN585" s="152">
        <f t="shared" si="324"/>
        <v>0</v>
      </c>
      <c r="AO585" s="152">
        <f t="shared" si="324"/>
        <v>0</v>
      </c>
      <c r="AP585" s="152">
        <f t="shared" si="324"/>
        <v>0</v>
      </c>
    </row>
    <row r="586" spans="1:42">
      <c r="A586" s="37" t="s">
        <v>199</v>
      </c>
      <c r="B586" s="152"/>
      <c r="C586" s="152"/>
      <c r="D586" s="152"/>
      <c r="E586" s="152"/>
      <c r="F586" s="152"/>
      <c r="G586" s="186"/>
      <c r="H586" s="186"/>
      <c r="I586" s="186"/>
      <c r="J586" s="186"/>
      <c r="K586" s="186"/>
      <c r="L586" s="186"/>
      <c r="M586" s="186"/>
      <c r="N586" s="186"/>
      <c r="O586" s="186"/>
      <c r="P586" s="186"/>
      <c r="Q586" s="186"/>
      <c r="R586" s="186"/>
      <c r="S586" s="186"/>
      <c r="T586" s="186"/>
      <c r="U586" s="186"/>
      <c r="V586" s="186"/>
      <c r="W586" s="186"/>
      <c r="X586" s="186"/>
      <c r="Y586" s="186"/>
      <c r="Z586" s="186"/>
      <c r="AA586" s="186"/>
      <c r="AB586" s="186"/>
      <c r="AC586" s="186"/>
      <c r="AD586" s="186"/>
      <c r="AE586" s="186"/>
      <c r="AF586" s="186"/>
      <c r="AG586" s="186"/>
      <c r="AH586" s="186"/>
      <c r="AI586" s="186"/>
      <c r="AJ586" s="186"/>
      <c r="AK586" s="186"/>
      <c r="AL586" s="186"/>
      <c r="AM586" s="186"/>
      <c r="AN586" s="186"/>
      <c r="AO586" s="186"/>
      <c r="AP586" s="186"/>
    </row>
    <row r="587" spans="1:42">
      <c r="A587" s="37">
        <v>1</v>
      </c>
      <c r="B587" s="196">
        <f t="shared" ref="B587:B596" si="325">SUM(C587:AP587)</f>
        <v>2944872.3435013145</v>
      </c>
      <c r="C587" s="152">
        <f t="shared" ref="C587:AP587" si="326">IF(C$2&lt;=MMFrequency*$A$575,$B$575/(MMFrequency),0)</f>
        <v>245406.02862510949</v>
      </c>
      <c r="D587" s="152">
        <f t="shared" si="326"/>
        <v>245406.02862510949</v>
      </c>
      <c r="E587" s="152">
        <f t="shared" si="326"/>
        <v>245406.02862510949</v>
      </c>
      <c r="F587" s="152">
        <f t="shared" si="326"/>
        <v>245406.02862510949</v>
      </c>
      <c r="G587" s="152">
        <f t="shared" si="326"/>
        <v>245406.02862510949</v>
      </c>
      <c r="H587" s="152">
        <f t="shared" si="326"/>
        <v>245406.02862510949</v>
      </c>
      <c r="I587" s="152">
        <f t="shared" si="326"/>
        <v>245406.02862510949</v>
      </c>
      <c r="J587" s="152">
        <f t="shared" si="326"/>
        <v>245406.02862510949</v>
      </c>
      <c r="K587" s="152">
        <f t="shared" si="326"/>
        <v>245406.02862510949</v>
      </c>
      <c r="L587" s="152">
        <f t="shared" si="326"/>
        <v>245406.02862510949</v>
      </c>
      <c r="M587" s="152">
        <f t="shared" si="326"/>
        <v>245406.02862510949</v>
      </c>
      <c r="N587" s="152">
        <f t="shared" si="326"/>
        <v>245406.02862510949</v>
      </c>
      <c r="O587" s="152">
        <f t="shared" si="326"/>
        <v>0</v>
      </c>
      <c r="P587" s="152">
        <f t="shared" si="326"/>
        <v>0</v>
      </c>
      <c r="Q587" s="152">
        <f t="shared" si="326"/>
        <v>0</v>
      </c>
      <c r="R587" s="152">
        <f t="shared" si="326"/>
        <v>0</v>
      </c>
      <c r="S587" s="152">
        <f t="shared" si="326"/>
        <v>0</v>
      </c>
      <c r="T587" s="152">
        <f t="shared" si="326"/>
        <v>0</v>
      </c>
      <c r="U587" s="152">
        <f t="shared" si="326"/>
        <v>0</v>
      </c>
      <c r="V587" s="152">
        <f t="shared" si="326"/>
        <v>0</v>
      </c>
      <c r="W587" s="152">
        <f t="shared" si="326"/>
        <v>0</v>
      </c>
      <c r="X587" s="152">
        <f t="shared" si="326"/>
        <v>0</v>
      </c>
      <c r="Y587" s="152">
        <f t="shared" si="326"/>
        <v>0</v>
      </c>
      <c r="Z587" s="152">
        <f t="shared" si="326"/>
        <v>0</v>
      </c>
      <c r="AA587" s="152">
        <f t="shared" si="326"/>
        <v>0</v>
      </c>
      <c r="AB587" s="152">
        <f t="shared" si="326"/>
        <v>0</v>
      </c>
      <c r="AC587" s="152">
        <f t="shared" si="326"/>
        <v>0</v>
      </c>
      <c r="AD587" s="152">
        <f t="shared" si="326"/>
        <v>0</v>
      </c>
      <c r="AE587" s="152">
        <f t="shared" si="326"/>
        <v>0</v>
      </c>
      <c r="AF587" s="152">
        <f t="shared" si="326"/>
        <v>0</v>
      </c>
      <c r="AG587" s="152">
        <f t="shared" si="326"/>
        <v>0</v>
      </c>
      <c r="AH587" s="152">
        <f t="shared" si="326"/>
        <v>0</v>
      </c>
      <c r="AI587" s="152">
        <f t="shared" si="326"/>
        <v>0</v>
      </c>
      <c r="AJ587" s="152">
        <f t="shared" si="326"/>
        <v>0</v>
      </c>
      <c r="AK587" s="152">
        <f t="shared" si="326"/>
        <v>0</v>
      </c>
      <c r="AL587" s="152">
        <f t="shared" si="326"/>
        <v>0</v>
      </c>
      <c r="AM587" s="152">
        <f t="shared" si="326"/>
        <v>0</v>
      </c>
      <c r="AN587" s="152">
        <f t="shared" si="326"/>
        <v>0</v>
      </c>
      <c r="AO587" s="152">
        <f t="shared" si="326"/>
        <v>0</v>
      </c>
      <c r="AP587" s="152">
        <f t="shared" si="326"/>
        <v>0</v>
      </c>
    </row>
    <row r="588" spans="1:42">
      <c r="A588" s="37">
        <f>A587+1</f>
        <v>2</v>
      </c>
      <c r="B588" s="196">
        <f t="shared" si="325"/>
        <v>3520942.886524681</v>
      </c>
      <c r="C588" s="225">
        <f t="shared" ref="C588:AP594" si="327">IF(AND(C$2&gt;MMFrequency*$A575,C$2&lt;=MMFrequency*$A576),$B576/(MMFrequency),0)</f>
        <v>0</v>
      </c>
      <c r="D588" s="186">
        <f t="shared" si="327"/>
        <v>0</v>
      </c>
      <c r="E588" s="186">
        <f t="shared" si="327"/>
        <v>0</v>
      </c>
      <c r="F588" s="186">
        <f t="shared" si="327"/>
        <v>0</v>
      </c>
      <c r="G588" s="186">
        <f t="shared" si="327"/>
        <v>0</v>
      </c>
      <c r="H588" s="186">
        <f t="shared" si="327"/>
        <v>0</v>
      </c>
      <c r="I588" s="186">
        <f t="shared" si="327"/>
        <v>0</v>
      </c>
      <c r="J588" s="186">
        <f t="shared" si="327"/>
        <v>0</v>
      </c>
      <c r="K588" s="186">
        <f t="shared" si="327"/>
        <v>0</v>
      </c>
      <c r="L588" s="186">
        <f t="shared" si="327"/>
        <v>0</v>
      </c>
      <c r="M588" s="186">
        <f t="shared" si="327"/>
        <v>0</v>
      </c>
      <c r="N588" s="186">
        <f t="shared" si="327"/>
        <v>0</v>
      </c>
      <c r="O588" s="186">
        <f t="shared" si="327"/>
        <v>293411.90721039008</v>
      </c>
      <c r="P588" s="186">
        <f t="shared" si="327"/>
        <v>293411.90721039008</v>
      </c>
      <c r="Q588" s="186">
        <f t="shared" si="327"/>
        <v>293411.90721039008</v>
      </c>
      <c r="R588" s="186">
        <f t="shared" si="327"/>
        <v>293411.90721039008</v>
      </c>
      <c r="S588" s="186">
        <f t="shared" si="327"/>
        <v>293411.90721039008</v>
      </c>
      <c r="T588" s="186">
        <f t="shared" si="327"/>
        <v>293411.90721039008</v>
      </c>
      <c r="U588" s="186">
        <f t="shared" si="327"/>
        <v>293411.90721039008</v>
      </c>
      <c r="V588" s="186">
        <f t="shared" si="327"/>
        <v>293411.90721039008</v>
      </c>
      <c r="W588" s="186">
        <f t="shared" si="327"/>
        <v>293411.90721039008</v>
      </c>
      <c r="X588" s="186">
        <f t="shared" si="327"/>
        <v>293411.90721039008</v>
      </c>
      <c r="Y588" s="186">
        <f t="shared" si="327"/>
        <v>293411.90721039008</v>
      </c>
      <c r="Z588" s="186">
        <f t="shared" si="327"/>
        <v>293411.90721039008</v>
      </c>
      <c r="AA588" s="186">
        <f t="shared" si="327"/>
        <v>0</v>
      </c>
      <c r="AB588" s="186">
        <f t="shared" si="327"/>
        <v>0</v>
      </c>
      <c r="AC588" s="186">
        <f t="shared" si="327"/>
        <v>0</v>
      </c>
      <c r="AD588" s="186">
        <f t="shared" si="327"/>
        <v>0</v>
      </c>
      <c r="AE588" s="186">
        <f t="shared" si="327"/>
        <v>0</v>
      </c>
      <c r="AF588" s="186">
        <f t="shared" si="327"/>
        <v>0</v>
      </c>
      <c r="AG588" s="186">
        <f t="shared" si="327"/>
        <v>0</v>
      </c>
      <c r="AH588" s="186">
        <f t="shared" si="327"/>
        <v>0</v>
      </c>
      <c r="AI588" s="186">
        <f t="shared" si="327"/>
        <v>0</v>
      </c>
      <c r="AJ588" s="186">
        <f t="shared" si="327"/>
        <v>0</v>
      </c>
      <c r="AK588" s="186">
        <f t="shared" si="327"/>
        <v>0</v>
      </c>
      <c r="AL588" s="186">
        <f t="shared" si="327"/>
        <v>0</v>
      </c>
      <c r="AM588" s="186">
        <f t="shared" si="327"/>
        <v>0</v>
      </c>
      <c r="AN588" s="186">
        <f t="shared" si="327"/>
        <v>0</v>
      </c>
      <c r="AO588" s="186">
        <f t="shared" si="327"/>
        <v>0</v>
      </c>
      <c r="AP588" s="186">
        <f t="shared" si="327"/>
        <v>0</v>
      </c>
    </row>
    <row r="589" spans="1:42">
      <c r="A589" s="37">
        <f t="shared" ref="A589:A594" si="328">A588+1</f>
        <v>3</v>
      </c>
      <c r="B589" s="196">
        <f t="shared" si="325"/>
        <v>0</v>
      </c>
      <c r="C589" s="225">
        <f t="shared" si="327"/>
        <v>0</v>
      </c>
      <c r="D589" s="186">
        <f t="shared" si="327"/>
        <v>0</v>
      </c>
      <c r="E589" s="186">
        <f t="shared" si="327"/>
        <v>0</v>
      </c>
      <c r="F589" s="186">
        <f t="shared" si="327"/>
        <v>0</v>
      </c>
      <c r="G589" s="186">
        <f t="shared" si="327"/>
        <v>0</v>
      </c>
      <c r="H589" s="186">
        <f t="shared" si="327"/>
        <v>0</v>
      </c>
      <c r="I589" s="186">
        <f t="shared" si="327"/>
        <v>0</v>
      </c>
      <c r="J589" s="186">
        <f t="shared" si="327"/>
        <v>0</v>
      </c>
      <c r="K589" s="186">
        <f t="shared" si="327"/>
        <v>0</v>
      </c>
      <c r="L589" s="186">
        <f t="shared" si="327"/>
        <v>0</v>
      </c>
      <c r="M589" s="186">
        <f t="shared" si="327"/>
        <v>0</v>
      </c>
      <c r="N589" s="186">
        <f t="shared" si="327"/>
        <v>0</v>
      </c>
      <c r="O589" s="186">
        <f t="shared" si="327"/>
        <v>0</v>
      </c>
      <c r="P589" s="186">
        <f t="shared" si="327"/>
        <v>0</v>
      </c>
      <c r="Q589" s="186">
        <f t="shared" si="327"/>
        <v>0</v>
      </c>
      <c r="R589" s="186">
        <f t="shared" si="327"/>
        <v>0</v>
      </c>
      <c r="S589" s="186">
        <f t="shared" si="327"/>
        <v>0</v>
      </c>
      <c r="T589" s="186">
        <f t="shared" si="327"/>
        <v>0</v>
      </c>
      <c r="U589" s="186">
        <f t="shared" si="327"/>
        <v>0</v>
      </c>
      <c r="V589" s="186">
        <f t="shared" si="327"/>
        <v>0</v>
      </c>
      <c r="W589" s="186">
        <f t="shared" si="327"/>
        <v>0</v>
      </c>
      <c r="X589" s="186">
        <f t="shared" si="327"/>
        <v>0</v>
      </c>
      <c r="Y589" s="186">
        <f t="shared" si="327"/>
        <v>0</v>
      </c>
      <c r="Z589" s="186">
        <f t="shared" si="327"/>
        <v>0</v>
      </c>
      <c r="AA589" s="186">
        <f t="shared" si="327"/>
        <v>0</v>
      </c>
      <c r="AB589" s="186">
        <f t="shared" si="327"/>
        <v>0</v>
      </c>
      <c r="AC589" s="186">
        <f t="shared" si="327"/>
        <v>0</v>
      </c>
      <c r="AD589" s="186">
        <f t="shared" si="327"/>
        <v>0</v>
      </c>
      <c r="AE589" s="186">
        <f t="shared" si="327"/>
        <v>0</v>
      </c>
      <c r="AF589" s="186">
        <f t="shared" si="327"/>
        <v>0</v>
      </c>
      <c r="AG589" s="186">
        <f t="shared" si="327"/>
        <v>0</v>
      </c>
      <c r="AH589" s="186">
        <f t="shared" si="327"/>
        <v>0</v>
      </c>
      <c r="AI589" s="186">
        <f t="shared" si="327"/>
        <v>0</v>
      </c>
      <c r="AJ589" s="186">
        <f t="shared" si="327"/>
        <v>0</v>
      </c>
      <c r="AK589" s="186">
        <f t="shared" si="327"/>
        <v>0</v>
      </c>
      <c r="AL589" s="186">
        <f t="shared" si="327"/>
        <v>0</v>
      </c>
      <c r="AM589" s="186">
        <f t="shared" si="327"/>
        <v>0</v>
      </c>
      <c r="AN589" s="186">
        <f t="shared" si="327"/>
        <v>0</v>
      </c>
      <c r="AO589" s="186">
        <f t="shared" si="327"/>
        <v>0</v>
      </c>
      <c r="AP589" s="186">
        <f t="shared" si="327"/>
        <v>0</v>
      </c>
    </row>
    <row r="590" spans="1:42">
      <c r="A590" s="37">
        <f t="shared" si="328"/>
        <v>4</v>
      </c>
      <c r="B590" s="196">
        <f t="shared" si="325"/>
        <v>0</v>
      </c>
      <c r="C590" s="225">
        <f t="shared" si="327"/>
        <v>0</v>
      </c>
      <c r="D590" s="186">
        <f t="shared" si="327"/>
        <v>0</v>
      </c>
      <c r="E590" s="186">
        <f t="shared" si="327"/>
        <v>0</v>
      </c>
      <c r="F590" s="186">
        <f t="shared" si="327"/>
        <v>0</v>
      </c>
      <c r="G590" s="186">
        <f t="shared" si="327"/>
        <v>0</v>
      </c>
      <c r="H590" s="186">
        <f t="shared" si="327"/>
        <v>0</v>
      </c>
      <c r="I590" s="186">
        <f t="shared" si="327"/>
        <v>0</v>
      </c>
      <c r="J590" s="186">
        <f t="shared" si="327"/>
        <v>0</v>
      </c>
      <c r="K590" s="186">
        <f t="shared" si="327"/>
        <v>0</v>
      </c>
      <c r="L590" s="186">
        <f t="shared" si="327"/>
        <v>0</v>
      </c>
      <c r="M590" s="186">
        <f t="shared" si="327"/>
        <v>0</v>
      </c>
      <c r="N590" s="186">
        <f t="shared" si="327"/>
        <v>0</v>
      </c>
      <c r="O590" s="186">
        <f t="shared" si="327"/>
        <v>0</v>
      </c>
      <c r="P590" s="186">
        <f t="shared" si="327"/>
        <v>0</v>
      </c>
      <c r="Q590" s="186">
        <f t="shared" si="327"/>
        <v>0</v>
      </c>
      <c r="R590" s="186">
        <f t="shared" si="327"/>
        <v>0</v>
      </c>
      <c r="S590" s="186">
        <f t="shared" si="327"/>
        <v>0</v>
      </c>
      <c r="T590" s="186">
        <f t="shared" si="327"/>
        <v>0</v>
      </c>
      <c r="U590" s="186">
        <f t="shared" si="327"/>
        <v>0</v>
      </c>
      <c r="V590" s="186">
        <f t="shared" si="327"/>
        <v>0</v>
      </c>
      <c r="W590" s="186">
        <f t="shared" si="327"/>
        <v>0</v>
      </c>
      <c r="X590" s="186">
        <f t="shared" si="327"/>
        <v>0</v>
      </c>
      <c r="Y590" s="186">
        <f t="shared" si="327"/>
        <v>0</v>
      </c>
      <c r="Z590" s="186">
        <f t="shared" si="327"/>
        <v>0</v>
      </c>
      <c r="AA590" s="186">
        <f t="shared" si="327"/>
        <v>0</v>
      </c>
      <c r="AB590" s="186">
        <f t="shared" si="327"/>
        <v>0</v>
      </c>
      <c r="AC590" s="186">
        <f t="shared" si="327"/>
        <v>0</v>
      </c>
      <c r="AD590" s="186">
        <f t="shared" si="327"/>
        <v>0</v>
      </c>
      <c r="AE590" s="186">
        <f t="shared" si="327"/>
        <v>0</v>
      </c>
      <c r="AF590" s="186">
        <f t="shared" si="327"/>
        <v>0</v>
      </c>
      <c r="AG590" s="186">
        <f t="shared" si="327"/>
        <v>0</v>
      </c>
      <c r="AH590" s="186">
        <f t="shared" si="327"/>
        <v>0</v>
      </c>
      <c r="AI590" s="186">
        <f t="shared" si="327"/>
        <v>0</v>
      </c>
      <c r="AJ590" s="186">
        <f t="shared" si="327"/>
        <v>0</v>
      </c>
      <c r="AK590" s="186">
        <f t="shared" si="327"/>
        <v>0</v>
      </c>
      <c r="AL590" s="186">
        <f t="shared" si="327"/>
        <v>0</v>
      </c>
      <c r="AM590" s="186">
        <f t="shared" si="327"/>
        <v>0</v>
      </c>
      <c r="AN590" s="186">
        <f t="shared" si="327"/>
        <v>0</v>
      </c>
      <c r="AO590" s="186">
        <f t="shared" si="327"/>
        <v>0</v>
      </c>
      <c r="AP590" s="186">
        <f t="shared" si="327"/>
        <v>0</v>
      </c>
    </row>
    <row r="591" spans="1:42">
      <c r="A591" s="37">
        <f t="shared" si="328"/>
        <v>5</v>
      </c>
      <c r="B591" s="196">
        <f t="shared" si="325"/>
        <v>0</v>
      </c>
      <c r="C591" s="225">
        <f t="shared" si="327"/>
        <v>0</v>
      </c>
      <c r="D591" s="186">
        <f t="shared" si="327"/>
        <v>0</v>
      </c>
      <c r="E591" s="186">
        <f t="shared" si="327"/>
        <v>0</v>
      </c>
      <c r="F591" s="186">
        <f t="shared" si="327"/>
        <v>0</v>
      </c>
      <c r="G591" s="186">
        <f t="shared" si="327"/>
        <v>0</v>
      </c>
      <c r="H591" s="186">
        <f t="shared" si="327"/>
        <v>0</v>
      </c>
      <c r="I591" s="186">
        <f t="shared" si="327"/>
        <v>0</v>
      </c>
      <c r="J591" s="186">
        <f t="shared" si="327"/>
        <v>0</v>
      </c>
      <c r="K591" s="186">
        <f t="shared" si="327"/>
        <v>0</v>
      </c>
      <c r="L591" s="186">
        <f t="shared" si="327"/>
        <v>0</v>
      </c>
      <c r="M591" s="186">
        <f t="shared" si="327"/>
        <v>0</v>
      </c>
      <c r="N591" s="186">
        <f t="shared" si="327"/>
        <v>0</v>
      </c>
      <c r="O591" s="186">
        <f t="shared" si="327"/>
        <v>0</v>
      </c>
      <c r="P591" s="186">
        <f t="shared" si="327"/>
        <v>0</v>
      </c>
      <c r="Q591" s="186">
        <f t="shared" si="327"/>
        <v>0</v>
      </c>
      <c r="R591" s="186">
        <f t="shared" si="327"/>
        <v>0</v>
      </c>
      <c r="S591" s="186">
        <f t="shared" si="327"/>
        <v>0</v>
      </c>
      <c r="T591" s="186">
        <f t="shared" si="327"/>
        <v>0</v>
      </c>
      <c r="U591" s="186">
        <f t="shared" si="327"/>
        <v>0</v>
      </c>
      <c r="V591" s="186">
        <f t="shared" si="327"/>
        <v>0</v>
      </c>
      <c r="W591" s="186">
        <f t="shared" si="327"/>
        <v>0</v>
      </c>
      <c r="X591" s="186">
        <f t="shared" si="327"/>
        <v>0</v>
      </c>
      <c r="Y591" s="186">
        <f t="shared" si="327"/>
        <v>0</v>
      </c>
      <c r="Z591" s="186">
        <f t="shared" si="327"/>
        <v>0</v>
      </c>
      <c r="AA591" s="186">
        <f t="shared" si="327"/>
        <v>0</v>
      </c>
      <c r="AB591" s="186">
        <f t="shared" si="327"/>
        <v>0</v>
      </c>
      <c r="AC591" s="186">
        <f t="shared" si="327"/>
        <v>0</v>
      </c>
      <c r="AD591" s="186">
        <f t="shared" si="327"/>
        <v>0</v>
      </c>
      <c r="AE591" s="186">
        <f t="shared" si="327"/>
        <v>0</v>
      </c>
      <c r="AF591" s="186">
        <f t="shared" si="327"/>
        <v>0</v>
      </c>
      <c r="AG591" s="186">
        <f t="shared" si="327"/>
        <v>0</v>
      </c>
      <c r="AH591" s="186">
        <f t="shared" si="327"/>
        <v>0</v>
      </c>
      <c r="AI591" s="186">
        <f t="shared" si="327"/>
        <v>0</v>
      </c>
      <c r="AJ591" s="186">
        <f t="shared" si="327"/>
        <v>0</v>
      </c>
      <c r="AK591" s="186">
        <f t="shared" si="327"/>
        <v>0</v>
      </c>
      <c r="AL591" s="186">
        <f t="shared" si="327"/>
        <v>0</v>
      </c>
      <c r="AM591" s="186">
        <f t="shared" si="327"/>
        <v>0</v>
      </c>
      <c r="AN591" s="186">
        <f t="shared" si="327"/>
        <v>0</v>
      </c>
      <c r="AO591" s="186">
        <f t="shared" si="327"/>
        <v>0</v>
      </c>
      <c r="AP591" s="186">
        <f t="shared" si="327"/>
        <v>0</v>
      </c>
    </row>
    <row r="592" spans="1:42">
      <c r="A592" s="37">
        <f t="shared" si="328"/>
        <v>6</v>
      </c>
      <c r="B592" s="196">
        <f t="shared" si="325"/>
        <v>0</v>
      </c>
      <c r="C592" s="225">
        <f t="shared" si="327"/>
        <v>0</v>
      </c>
      <c r="D592" s="186">
        <f t="shared" si="327"/>
        <v>0</v>
      </c>
      <c r="E592" s="186">
        <f t="shared" si="327"/>
        <v>0</v>
      </c>
      <c r="F592" s="186">
        <f t="shared" si="327"/>
        <v>0</v>
      </c>
      <c r="G592" s="186">
        <f t="shared" si="327"/>
        <v>0</v>
      </c>
      <c r="H592" s="186">
        <f t="shared" si="327"/>
        <v>0</v>
      </c>
      <c r="I592" s="186">
        <f t="shared" si="327"/>
        <v>0</v>
      </c>
      <c r="J592" s="186">
        <f t="shared" si="327"/>
        <v>0</v>
      </c>
      <c r="K592" s="186">
        <f t="shared" si="327"/>
        <v>0</v>
      </c>
      <c r="L592" s="186">
        <f t="shared" si="327"/>
        <v>0</v>
      </c>
      <c r="M592" s="186">
        <f t="shared" si="327"/>
        <v>0</v>
      </c>
      <c r="N592" s="186">
        <f t="shared" si="327"/>
        <v>0</v>
      </c>
      <c r="O592" s="186">
        <f t="shared" si="327"/>
        <v>0</v>
      </c>
      <c r="P592" s="186">
        <f t="shared" si="327"/>
        <v>0</v>
      </c>
      <c r="Q592" s="186">
        <f t="shared" si="327"/>
        <v>0</v>
      </c>
      <c r="R592" s="186">
        <f t="shared" si="327"/>
        <v>0</v>
      </c>
      <c r="S592" s="186">
        <f t="shared" si="327"/>
        <v>0</v>
      </c>
      <c r="T592" s="186">
        <f t="shared" si="327"/>
        <v>0</v>
      </c>
      <c r="U592" s="186">
        <f t="shared" si="327"/>
        <v>0</v>
      </c>
      <c r="V592" s="186">
        <f t="shared" si="327"/>
        <v>0</v>
      </c>
      <c r="W592" s="186">
        <f t="shared" si="327"/>
        <v>0</v>
      </c>
      <c r="X592" s="186">
        <f t="shared" si="327"/>
        <v>0</v>
      </c>
      <c r="Y592" s="186">
        <f t="shared" si="327"/>
        <v>0</v>
      </c>
      <c r="Z592" s="186">
        <f t="shared" si="327"/>
        <v>0</v>
      </c>
      <c r="AA592" s="186">
        <f t="shared" si="327"/>
        <v>0</v>
      </c>
      <c r="AB592" s="186">
        <f t="shared" si="327"/>
        <v>0</v>
      </c>
      <c r="AC592" s="186">
        <f t="shared" si="327"/>
        <v>0</v>
      </c>
      <c r="AD592" s="186">
        <f t="shared" si="327"/>
        <v>0</v>
      </c>
      <c r="AE592" s="186">
        <f t="shared" si="327"/>
        <v>0</v>
      </c>
      <c r="AF592" s="186">
        <f t="shared" si="327"/>
        <v>0</v>
      </c>
      <c r="AG592" s="186">
        <f t="shared" si="327"/>
        <v>0</v>
      </c>
      <c r="AH592" s="186">
        <f t="shared" si="327"/>
        <v>0</v>
      </c>
      <c r="AI592" s="186">
        <f t="shared" si="327"/>
        <v>0</v>
      </c>
      <c r="AJ592" s="186">
        <f t="shared" si="327"/>
        <v>0</v>
      </c>
      <c r="AK592" s="186">
        <f t="shared" si="327"/>
        <v>0</v>
      </c>
      <c r="AL592" s="186">
        <f t="shared" si="327"/>
        <v>0</v>
      </c>
      <c r="AM592" s="186">
        <f t="shared" si="327"/>
        <v>0</v>
      </c>
      <c r="AN592" s="186">
        <f t="shared" si="327"/>
        <v>0</v>
      </c>
      <c r="AO592" s="186">
        <f t="shared" si="327"/>
        <v>0</v>
      </c>
      <c r="AP592" s="186">
        <f t="shared" si="327"/>
        <v>0</v>
      </c>
    </row>
    <row r="593" spans="1:42">
      <c r="A593" s="37">
        <f t="shared" si="328"/>
        <v>7</v>
      </c>
      <c r="B593" s="196">
        <f t="shared" si="325"/>
        <v>0</v>
      </c>
      <c r="C593" s="225">
        <f t="shared" si="327"/>
        <v>0</v>
      </c>
      <c r="D593" s="186">
        <f t="shared" si="327"/>
        <v>0</v>
      </c>
      <c r="E593" s="186">
        <f t="shared" si="327"/>
        <v>0</v>
      </c>
      <c r="F593" s="186">
        <f t="shared" si="327"/>
        <v>0</v>
      </c>
      <c r="G593" s="186">
        <f t="shared" si="327"/>
        <v>0</v>
      </c>
      <c r="H593" s="186">
        <f t="shared" si="327"/>
        <v>0</v>
      </c>
      <c r="I593" s="186">
        <f t="shared" si="327"/>
        <v>0</v>
      </c>
      <c r="J593" s="186">
        <f t="shared" si="327"/>
        <v>0</v>
      </c>
      <c r="K593" s="186">
        <f t="shared" si="327"/>
        <v>0</v>
      </c>
      <c r="L593" s="186">
        <f t="shared" si="327"/>
        <v>0</v>
      </c>
      <c r="M593" s="186">
        <f t="shared" si="327"/>
        <v>0</v>
      </c>
      <c r="N593" s="186">
        <f t="shared" si="327"/>
        <v>0</v>
      </c>
      <c r="O593" s="186">
        <f t="shared" si="327"/>
        <v>0</v>
      </c>
      <c r="P593" s="186">
        <f t="shared" si="327"/>
        <v>0</v>
      </c>
      <c r="Q593" s="186">
        <f t="shared" si="327"/>
        <v>0</v>
      </c>
      <c r="R593" s="186">
        <f t="shared" si="327"/>
        <v>0</v>
      </c>
      <c r="S593" s="186">
        <f t="shared" si="327"/>
        <v>0</v>
      </c>
      <c r="T593" s="186">
        <f t="shared" si="327"/>
        <v>0</v>
      </c>
      <c r="U593" s="186">
        <f t="shared" si="327"/>
        <v>0</v>
      </c>
      <c r="V593" s="186">
        <f t="shared" si="327"/>
        <v>0</v>
      </c>
      <c r="W593" s="186">
        <f t="shared" si="327"/>
        <v>0</v>
      </c>
      <c r="X593" s="186">
        <f t="shared" si="327"/>
        <v>0</v>
      </c>
      <c r="Y593" s="186">
        <f t="shared" si="327"/>
        <v>0</v>
      </c>
      <c r="Z593" s="186">
        <f t="shared" si="327"/>
        <v>0</v>
      </c>
      <c r="AA593" s="186">
        <f t="shared" si="327"/>
        <v>0</v>
      </c>
      <c r="AB593" s="186">
        <f t="shared" si="327"/>
        <v>0</v>
      </c>
      <c r="AC593" s="186">
        <f t="shared" si="327"/>
        <v>0</v>
      </c>
      <c r="AD593" s="186">
        <f t="shared" si="327"/>
        <v>0</v>
      </c>
      <c r="AE593" s="186">
        <f t="shared" si="327"/>
        <v>0</v>
      </c>
      <c r="AF593" s="186">
        <f t="shared" si="327"/>
        <v>0</v>
      </c>
      <c r="AG593" s="186">
        <f t="shared" si="327"/>
        <v>0</v>
      </c>
      <c r="AH593" s="186">
        <f t="shared" si="327"/>
        <v>0</v>
      </c>
      <c r="AI593" s="186">
        <f t="shared" si="327"/>
        <v>0</v>
      </c>
      <c r="AJ593" s="186">
        <f t="shared" si="327"/>
        <v>0</v>
      </c>
      <c r="AK593" s="186">
        <f t="shared" si="327"/>
        <v>0</v>
      </c>
      <c r="AL593" s="186">
        <f t="shared" si="327"/>
        <v>0</v>
      </c>
      <c r="AM593" s="186">
        <f t="shared" si="327"/>
        <v>0</v>
      </c>
      <c r="AN593" s="186">
        <f t="shared" si="327"/>
        <v>0</v>
      </c>
      <c r="AO593" s="186">
        <f t="shared" si="327"/>
        <v>0</v>
      </c>
      <c r="AP593" s="186">
        <f t="shared" si="327"/>
        <v>0</v>
      </c>
    </row>
    <row r="594" spans="1:42">
      <c r="A594" s="37">
        <f t="shared" si="328"/>
        <v>8</v>
      </c>
      <c r="B594" s="196">
        <f t="shared" si="325"/>
        <v>0</v>
      </c>
      <c r="C594" s="225">
        <f t="shared" si="327"/>
        <v>0</v>
      </c>
      <c r="D594" s="186">
        <f t="shared" si="327"/>
        <v>0</v>
      </c>
      <c r="E594" s="186">
        <f t="shared" si="327"/>
        <v>0</v>
      </c>
      <c r="F594" s="186">
        <f t="shared" si="327"/>
        <v>0</v>
      </c>
      <c r="G594" s="186">
        <f t="shared" si="327"/>
        <v>0</v>
      </c>
      <c r="H594" s="186">
        <f t="shared" si="327"/>
        <v>0</v>
      </c>
      <c r="I594" s="186">
        <f t="shared" si="327"/>
        <v>0</v>
      </c>
      <c r="J594" s="186">
        <f t="shared" si="327"/>
        <v>0</v>
      </c>
      <c r="K594" s="186">
        <f t="shared" si="327"/>
        <v>0</v>
      </c>
      <c r="L594" s="186">
        <f t="shared" si="327"/>
        <v>0</v>
      </c>
      <c r="M594" s="186">
        <f t="shared" si="327"/>
        <v>0</v>
      </c>
      <c r="N594" s="186">
        <f t="shared" si="327"/>
        <v>0</v>
      </c>
      <c r="O594" s="186">
        <f t="shared" si="327"/>
        <v>0</v>
      </c>
      <c r="P594" s="186">
        <f t="shared" si="327"/>
        <v>0</v>
      </c>
      <c r="Q594" s="186">
        <f t="shared" si="327"/>
        <v>0</v>
      </c>
      <c r="R594" s="186">
        <f t="shared" ref="R594:AP594" si="329">IF(AND(R$2&gt;MMFrequency*$A581,R$2&lt;=MMFrequency*$A582),$B582/(MMFrequency),0)</f>
        <v>0</v>
      </c>
      <c r="S594" s="186">
        <f t="shared" si="329"/>
        <v>0</v>
      </c>
      <c r="T594" s="186">
        <f t="shared" si="329"/>
        <v>0</v>
      </c>
      <c r="U594" s="186">
        <f t="shared" si="329"/>
        <v>0</v>
      </c>
      <c r="V594" s="186">
        <f t="shared" si="329"/>
        <v>0</v>
      </c>
      <c r="W594" s="186">
        <f t="shared" si="329"/>
        <v>0</v>
      </c>
      <c r="X594" s="186">
        <f t="shared" si="329"/>
        <v>0</v>
      </c>
      <c r="Y594" s="186">
        <f t="shared" si="329"/>
        <v>0</v>
      </c>
      <c r="Z594" s="186">
        <f t="shared" si="329"/>
        <v>0</v>
      </c>
      <c r="AA594" s="186">
        <f t="shared" si="329"/>
        <v>0</v>
      </c>
      <c r="AB594" s="186">
        <f t="shared" si="329"/>
        <v>0</v>
      </c>
      <c r="AC594" s="186">
        <f t="shared" si="329"/>
        <v>0</v>
      </c>
      <c r="AD594" s="186">
        <f t="shared" si="329"/>
        <v>0</v>
      </c>
      <c r="AE594" s="186">
        <f t="shared" si="329"/>
        <v>0</v>
      </c>
      <c r="AF594" s="186">
        <f t="shared" si="329"/>
        <v>0</v>
      </c>
      <c r="AG594" s="186">
        <f t="shared" si="329"/>
        <v>0</v>
      </c>
      <c r="AH594" s="186">
        <f t="shared" si="329"/>
        <v>0</v>
      </c>
      <c r="AI594" s="186">
        <f t="shared" si="329"/>
        <v>0</v>
      </c>
      <c r="AJ594" s="186">
        <f t="shared" si="329"/>
        <v>0</v>
      </c>
      <c r="AK594" s="186">
        <f t="shared" si="329"/>
        <v>0</v>
      </c>
      <c r="AL594" s="186">
        <f t="shared" si="329"/>
        <v>0</v>
      </c>
      <c r="AM594" s="186">
        <f t="shared" si="329"/>
        <v>0</v>
      </c>
      <c r="AN594" s="186">
        <f t="shared" si="329"/>
        <v>0</v>
      </c>
      <c r="AO594" s="186">
        <f t="shared" si="329"/>
        <v>0</v>
      </c>
      <c r="AP594" s="186">
        <f t="shared" si="329"/>
        <v>0</v>
      </c>
    </row>
    <row r="595" spans="1:42">
      <c r="A595" s="37">
        <f>A594+1</f>
        <v>9</v>
      </c>
      <c r="B595" s="196">
        <f t="shared" si="325"/>
        <v>0</v>
      </c>
      <c r="C595" s="225">
        <f t="shared" ref="C595:AP596" si="330">IF(AND(C$2&gt;MMFrequency*$A582,C$2&lt;=MMFrequency*$A583),$B583/(MMFrequency),0)</f>
        <v>0</v>
      </c>
      <c r="D595" s="186">
        <f t="shared" si="330"/>
        <v>0</v>
      </c>
      <c r="E595" s="186">
        <f t="shared" si="330"/>
        <v>0</v>
      </c>
      <c r="F595" s="186">
        <f t="shared" si="330"/>
        <v>0</v>
      </c>
      <c r="G595" s="186">
        <f t="shared" si="330"/>
        <v>0</v>
      </c>
      <c r="H595" s="186">
        <f t="shared" si="330"/>
        <v>0</v>
      </c>
      <c r="I595" s="186">
        <f t="shared" si="330"/>
        <v>0</v>
      </c>
      <c r="J595" s="186">
        <f t="shared" si="330"/>
        <v>0</v>
      </c>
      <c r="K595" s="186">
        <f t="shared" si="330"/>
        <v>0</v>
      </c>
      <c r="L595" s="186">
        <f t="shared" si="330"/>
        <v>0</v>
      </c>
      <c r="M595" s="186">
        <f t="shared" si="330"/>
        <v>0</v>
      </c>
      <c r="N595" s="186">
        <f t="shared" si="330"/>
        <v>0</v>
      </c>
      <c r="O595" s="186">
        <f t="shared" si="330"/>
        <v>0</v>
      </c>
      <c r="P595" s="186">
        <f t="shared" si="330"/>
        <v>0</v>
      </c>
      <c r="Q595" s="186">
        <f t="shared" si="330"/>
        <v>0</v>
      </c>
      <c r="R595" s="186">
        <f t="shared" si="330"/>
        <v>0</v>
      </c>
      <c r="S595" s="186">
        <f t="shared" si="330"/>
        <v>0</v>
      </c>
      <c r="T595" s="186">
        <f t="shared" si="330"/>
        <v>0</v>
      </c>
      <c r="U595" s="186">
        <f t="shared" si="330"/>
        <v>0</v>
      </c>
      <c r="V595" s="186">
        <f t="shared" si="330"/>
        <v>0</v>
      </c>
      <c r="W595" s="186">
        <f t="shared" si="330"/>
        <v>0</v>
      </c>
      <c r="X595" s="186">
        <f t="shared" si="330"/>
        <v>0</v>
      </c>
      <c r="Y595" s="186">
        <f t="shared" si="330"/>
        <v>0</v>
      </c>
      <c r="Z595" s="186">
        <f t="shared" si="330"/>
        <v>0</v>
      </c>
      <c r="AA595" s="186">
        <f t="shared" si="330"/>
        <v>0</v>
      </c>
      <c r="AB595" s="186">
        <f t="shared" si="330"/>
        <v>0</v>
      </c>
      <c r="AC595" s="186">
        <f t="shared" si="330"/>
        <v>0</v>
      </c>
      <c r="AD595" s="186">
        <f t="shared" si="330"/>
        <v>0</v>
      </c>
      <c r="AE595" s="186">
        <f t="shared" si="330"/>
        <v>0</v>
      </c>
      <c r="AF595" s="186">
        <f t="shared" si="330"/>
        <v>0</v>
      </c>
      <c r="AG595" s="186">
        <f t="shared" si="330"/>
        <v>0</v>
      </c>
      <c r="AH595" s="186">
        <f t="shared" si="330"/>
        <v>0</v>
      </c>
      <c r="AI595" s="186">
        <f t="shared" si="330"/>
        <v>0</v>
      </c>
      <c r="AJ595" s="186">
        <f t="shared" si="330"/>
        <v>0</v>
      </c>
      <c r="AK595" s="186">
        <f t="shared" si="330"/>
        <v>0</v>
      </c>
      <c r="AL595" s="186">
        <f t="shared" si="330"/>
        <v>0</v>
      </c>
      <c r="AM595" s="186">
        <f t="shared" si="330"/>
        <v>0</v>
      </c>
      <c r="AN595" s="186">
        <f t="shared" si="330"/>
        <v>0</v>
      </c>
      <c r="AO595" s="186">
        <f t="shared" si="330"/>
        <v>0</v>
      </c>
      <c r="AP595" s="186">
        <f t="shared" si="330"/>
        <v>0</v>
      </c>
    </row>
    <row r="596" spans="1:42">
      <c r="A596" s="37">
        <f t="shared" ref="A596" si="331">A595+1</f>
        <v>10</v>
      </c>
      <c r="B596" s="196">
        <f t="shared" si="325"/>
        <v>0</v>
      </c>
      <c r="C596" s="221">
        <f t="shared" si="330"/>
        <v>0</v>
      </c>
      <c r="D596" s="187">
        <f t="shared" si="330"/>
        <v>0</v>
      </c>
      <c r="E596" s="187">
        <f t="shared" si="330"/>
        <v>0</v>
      </c>
      <c r="F596" s="187">
        <f t="shared" si="330"/>
        <v>0</v>
      </c>
      <c r="G596" s="187">
        <f t="shared" si="330"/>
        <v>0</v>
      </c>
      <c r="H596" s="187">
        <f t="shared" si="330"/>
        <v>0</v>
      </c>
      <c r="I596" s="187">
        <f t="shared" si="330"/>
        <v>0</v>
      </c>
      <c r="J596" s="187">
        <f t="shared" si="330"/>
        <v>0</v>
      </c>
      <c r="K596" s="187">
        <f t="shared" si="330"/>
        <v>0</v>
      </c>
      <c r="L596" s="187">
        <f t="shared" si="330"/>
        <v>0</v>
      </c>
      <c r="M596" s="187">
        <f t="shared" si="330"/>
        <v>0</v>
      </c>
      <c r="N596" s="187">
        <f t="shared" si="330"/>
        <v>0</v>
      </c>
      <c r="O596" s="187">
        <f t="shared" si="330"/>
        <v>0</v>
      </c>
      <c r="P596" s="187">
        <f t="shared" si="330"/>
        <v>0</v>
      </c>
      <c r="Q596" s="187">
        <f t="shared" si="330"/>
        <v>0</v>
      </c>
      <c r="R596" s="187">
        <f t="shared" si="330"/>
        <v>0</v>
      </c>
      <c r="S596" s="187">
        <f t="shared" si="330"/>
        <v>0</v>
      </c>
      <c r="T596" s="187">
        <f t="shared" si="330"/>
        <v>0</v>
      </c>
      <c r="U596" s="187">
        <f t="shared" si="330"/>
        <v>0</v>
      </c>
      <c r="V596" s="187">
        <f t="shared" si="330"/>
        <v>0</v>
      </c>
      <c r="W596" s="187">
        <f t="shared" si="330"/>
        <v>0</v>
      </c>
      <c r="X596" s="187">
        <f t="shared" si="330"/>
        <v>0</v>
      </c>
      <c r="Y596" s="187">
        <f t="shared" si="330"/>
        <v>0</v>
      </c>
      <c r="Z596" s="187">
        <f t="shared" si="330"/>
        <v>0</v>
      </c>
      <c r="AA596" s="187">
        <f t="shared" si="330"/>
        <v>0</v>
      </c>
      <c r="AB596" s="187">
        <f t="shared" si="330"/>
        <v>0</v>
      </c>
      <c r="AC596" s="187">
        <f t="shared" si="330"/>
        <v>0</v>
      </c>
      <c r="AD596" s="187">
        <f t="shared" si="330"/>
        <v>0</v>
      </c>
      <c r="AE596" s="187">
        <f t="shared" si="330"/>
        <v>0</v>
      </c>
      <c r="AF596" s="187">
        <f t="shared" si="330"/>
        <v>0</v>
      </c>
      <c r="AG596" s="187">
        <f t="shared" si="330"/>
        <v>0</v>
      </c>
      <c r="AH596" s="187">
        <f t="shared" si="330"/>
        <v>0</v>
      </c>
      <c r="AI596" s="187">
        <f t="shared" si="330"/>
        <v>0</v>
      </c>
      <c r="AJ596" s="187">
        <f t="shared" si="330"/>
        <v>0</v>
      </c>
      <c r="AK596" s="187">
        <f t="shared" si="330"/>
        <v>0</v>
      </c>
      <c r="AL596" s="187">
        <f t="shared" si="330"/>
        <v>0</v>
      </c>
      <c r="AM596" s="187">
        <f t="shared" si="330"/>
        <v>0</v>
      </c>
      <c r="AN596" s="187">
        <f t="shared" si="330"/>
        <v>0</v>
      </c>
      <c r="AO596" s="187">
        <f t="shared" si="330"/>
        <v>0</v>
      </c>
      <c r="AP596" s="187">
        <f t="shared" si="330"/>
        <v>0</v>
      </c>
    </row>
    <row r="597" spans="1:42">
      <c r="A597" s="219" t="s">
        <v>53</v>
      </c>
      <c r="B597" s="186"/>
      <c r="C597" s="152">
        <f>SUM(C587:C596)</f>
        <v>245406.02862510949</v>
      </c>
      <c r="D597" s="152">
        <f t="shared" ref="D597:AP597" si="332">SUM(D587:D596)</f>
        <v>245406.02862510949</v>
      </c>
      <c r="E597" s="152">
        <f t="shared" si="332"/>
        <v>245406.02862510949</v>
      </c>
      <c r="F597" s="152">
        <f t="shared" si="332"/>
        <v>245406.02862510949</v>
      </c>
      <c r="G597" s="152">
        <f t="shared" si="332"/>
        <v>245406.02862510949</v>
      </c>
      <c r="H597" s="152">
        <f t="shared" si="332"/>
        <v>245406.02862510949</v>
      </c>
      <c r="I597" s="152">
        <f t="shared" si="332"/>
        <v>245406.02862510949</v>
      </c>
      <c r="J597" s="152">
        <f t="shared" si="332"/>
        <v>245406.02862510949</v>
      </c>
      <c r="K597" s="152">
        <f t="shared" si="332"/>
        <v>245406.02862510949</v>
      </c>
      <c r="L597" s="152">
        <f t="shared" si="332"/>
        <v>245406.02862510949</v>
      </c>
      <c r="M597" s="152">
        <f t="shared" si="332"/>
        <v>245406.02862510949</v>
      </c>
      <c r="N597" s="152">
        <f t="shared" si="332"/>
        <v>245406.02862510949</v>
      </c>
      <c r="O597" s="152">
        <f t="shared" si="332"/>
        <v>293411.90721039008</v>
      </c>
      <c r="P597" s="152">
        <f t="shared" si="332"/>
        <v>293411.90721039008</v>
      </c>
      <c r="Q597" s="152">
        <f t="shared" si="332"/>
        <v>293411.90721039008</v>
      </c>
      <c r="R597" s="152">
        <f t="shared" si="332"/>
        <v>293411.90721039008</v>
      </c>
      <c r="S597" s="152">
        <f t="shared" si="332"/>
        <v>293411.90721039008</v>
      </c>
      <c r="T597" s="152">
        <f t="shared" si="332"/>
        <v>293411.90721039008</v>
      </c>
      <c r="U597" s="152">
        <f t="shared" si="332"/>
        <v>293411.90721039008</v>
      </c>
      <c r="V597" s="152">
        <f t="shared" si="332"/>
        <v>293411.90721039008</v>
      </c>
      <c r="W597" s="152">
        <f t="shared" si="332"/>
        <v>293411.90721039008</v>
      </c>
      <c r="X597" s="152">
        <f t="shared" si="332"/>
        <v>293411.90721039008</v>
      </c>
      <c r="Y597" s="152">
        <f t="shared" si="332"/>
        <v>293411.90721039008</v>
      </c>
      <c r="Z597" s="152">
        <f t="shared" si="332"/>
        <v>293411.90721039008</v>
      </c>
      <c r="AA597" s="152">
        <f t="shared" si="332"/>
        <v>0</v>
      </c>
      <c r="AB597" s="152">
        <f t="shared" si="332"/>
        <v>0</v>
      </c>
      <c r="AC597" s="152">
        <f t="shared" si="332"/>
        <v>0</v>
      </c>
      <c r="AD597" s="152">
        <f t="shared" si="332"/>
        <v>0</v>
      </c>
      <c r="AE597" s="152">
        <f t="shared" si="332"/>
        <v>0</v>
      </c>
      <c r="AF597" s="152">
        <f t="shared" si="332"/>
        <v>0</v>
      </c>
      <c r="AG597" s="152">
        <f t="shared" si="332"/>
        <v>0</v>
      </c>
      <c r="AH597" s="152">
        <f t="shared" si="332"/>
        <v>0</v>
      </c>
      <c r="AI597" s="152">
        <f t="shared" si="332"/>
        <v>0</v>
      </c>
      <c r="AJ597" s="152">
        <f t="shared" si="332"/>
        <v>0</v>
      </c>
      <c r="AK597" s="152">
        <f t="shared" si="332"/>
        <v>0</v>
      </c>
      <c r="AL597" s="152">
        <f t="shared" si="332"/>
        <v>0</v>
      </c>
      <c r="AM597" s="152">
        <f t="shared" si="332"/>
        <v>0</v>
      </c>
      <c r="AN597" s="152">
        <f t="shared" si="332"/>
        <v>0</v>
      </c>
      <c r="AO597" s="152">
        <f t="shared" si="332"/>
        <v>0</v>
      </c>
      <c r="AP597" s="152">
        <f t="shared" si="332"/>
        <v>0</v>
      </c>
    </row>
    <row r="598" spans="1:42">
      <c r="B598" s="186"/>
      <c r="C598" s="152"/>
      <c r="D598" s="152"/>
      <c r="E598" s="152"/>
      <c r="F598" s="152"/>
      <c r="G598" s="152"/>
      <c r="H598" s="152"/>
      <c r="I598" s="152"/>
      <c r="J598" s="152"/>
      <c r="K598" s="152"/>
      <c r="L598" s="152"/>
      <c r="M598" s="152"/>
      <c r="N598" s="152"/>
      <c r="O598" s="152"/>
      <c r="P598" s="152"/>
      <c r="Q598" s="152"/>
      <c r="R598" s="152"/>
      <c r="S598" s="152"/>
      <c r="T598" s="152"/>
      <c r="U598" s="152"/>
      <c r="V598" s="152"/>
      <c r="W598" s="152"/>
      <c r="X598" s="152"/>
      <c r="Y598" s="152"/>
      <c r="Z598" s="152"/>
      <c r="AA598" s="152"/>
      <c r="AB598" s="152"/>
      <c r="AC598" s="152"/>
      <c r="AD598" s="152"/>
      <c r="AE598" s="152"/>
      <c r="AF598" s="152"/>
      <c r="AG598" s="152"/>
      <c r="AH598" s="152"/>
      <c r="AI598" s="152"/>
      <c r="AJ598" s="152"/>
      <c r="AK598" s="152"/>
      <c r="AL598" s="152"/>
      <c r="AM598" s="152"/>
      <c r="AN598" s="152"/>
      <c r="AO598" s="152"/>
      <c r="AP598" s="152"/>
    </row>
    <row r="599" spans="1:42">
      <c r="A599" s="182" t="s">
        <v>361</v>
      </c>
      <c r="C599" s="152"/>
      <c r="D599" s="152"/>
      <c r="E599" s="152"/>
      <c r="F599" s="152"/>
      <c r="G599" s="152"/>
      <c r="H599" s="152"/>
      <c r="I599" s="152"/>
      <c r="J599" s="152"/>
      <c r="K599" s="152"/>
      <c r="L599" s="152"/>
      <c r="M599" s="152"/>
      <c r="N599" s="152"/>
      <c r="O599" s="152"/>
      <c r="P599" s="152"/>
      <c r="Q599" s="152"/>
      <c r="R599" s="152"/>
      <c r="S599" s="152"/>
      <c r="T599" s="152"/>
      <c r="U599" s="152"/>
      <c r="V599" s="152"/>
      <c r="W599" s="152"/>
      <c r="X599" s="152"/>
      <c r="Y599" s="152"/>
      <c r="Z599" s="152"/>
      <c r="AA599" s="152"/>
      <c r="AB599" s="152"/>
      <c r="AC599" s="152"/>
      <c r="AD599" s="152"/>
      <c r="AE599" s="152"/>
      <c r="AF599" s="152"/>
      <c r="AG599" s="152"/>
      <c r="AH599" s="152"/>
      <c r="AI599" s="152"/>
      <c r="AJ599" s="152"/>
      <c r="AK599" s="152"/>
      <c r="AL599" s="152"/>
      <c r="AM599" s="152"/>
      <c r="AN599" s="152"/>
      <c r="AO599" s="152"/>
      <c r="AP599" s="152"/>
    </row>
    <row r="600" spans="1:42">
      <c r="A600" s="37" t="s">
        <v>99</v>
      </c>
      <c r="B600" s="152">
        <v>0</v>
      </c>
      <c r="C600" s="152">
        <f>B603</f>
        <v>0</v>
      </c>
      <c r="D600" s="152">
        <f t="shared" ref="D600:AP600" si="333">C603</f>
        <v>410585.24356465257</v>
      </c>
      <c r="E600" s="152">
        <f t="shared" si="333"/>
        <v>821170.48712930514</v>
      </c>
      <c r="F600" s="152">
        <f t="shared" si="333"/>
        <v>1231755.7306939578</v>
      </c>
      <c r="G600" s="152">
        <f t="shared" si="333"/>
        <v>1642340.9742586103</v>
      </c>
      <c r="H600" s="152">
        <f t="shared" si="333"/>
        <v>2052926.2178232628</v>
      </c>
      <c r="I600" s="152">
        <f t="shared" si="333"/>
        <v>2463511.4613879155</v>
      </c>
      <c r="J600" s="152">
        <f t="shared" si="333"/>
        <v>2874096.7049525683</v>
      </c>
      <c r="K600" s="152">
        <f t="shared" si="333"/>
        <v>3284681.948517221</v>
      </c>
      <c r="L600" s="152">
        <f t="shared" si="333"/>
        <v>3695267.1920818738</v>
      </c>
      <c r="M600" s="152">
        <f t="shared" si="333"/>
        <v>4105852.4356465265</v>
      </c>
      <c r="N600" s="152">
        <f t="shared" si="333"/>
        <v>4516437.6792111788</v>
      </c>
      <c r="O600" s="152">
        <f t="shared" si="333"/>
        <v>4927022.9227758311</v>
      </c>
      <c r="P600" s="152">
        <f t="shared" si="333"/>
        <v>5337608.1663404834</v>
      </c>
      <c r="Q600" s="152">
        <f t="shared" si="333"/>
        <v>5748193.4099051356</v>
      </c>
      <c r="R600" s="152">
        <f t="shared" si="333"/>
        <v>0</v>
      </c>
      <c r="S600" s="152">
        <f t="shared" si="333"/>
        <v>513326.83759962226</v>
      </c>
      <c r="T600" s="152">
        <f t="shared" si="333"/>
        <v>1026653.6751992445</v>
      </c>
      <c r="U600" s="152">
        <f t="shared" si="333"/>
        <v>1539980.5127988667</v>
      </c>
      <c r="V600" s="152">
        <f t="shared" si="333"/>
        <v>2053307.350398489</v>
      </c>
      <c r="W600" s="152">
        <f t="shared" si="333"/>
        <v>2566634.1879981114</v>
      </c>
      <c r="X600" s="152">
        <f t="shared" si="333"/>
        <v>3079961.0255977334</v>
      </c>
      <c r="Y600" s="152">
        <f t="shared" si="333"/>
        <v>3593287.8631973555</v>
      </c>
      <c r="Z600" s="152">
        <f t="shared" si="333"/>
        <v>4106614.7007969776</v>
      </c>
      <c r="AA600" s="152">
        <f t="shared" si="333"/>
        <v>4619941.5383965997</v>
      </c>
      <c r="AB600" s="152">
        <f t="shared" si="333"/>
        <v>5133268.3759962218</v>
      </c>
      <c r="AC600" s="152">
        <f t="shared" si="333"/>
        <v>5646595.2135958439</v>
      </c>
      <c r="AD600" s="152">
        <f t="shared" si="333"/>
        <v>6159922.051195466</v>
      </c>
      <c r="AE600" s="152">
        <f t="shared" si="333"/>
        <v>6673248.888795088</v>
      </c>
      <c r="AF600" s="152">
        <f t="shared" si="333"/>
        <v>7186575.7263947101</v>
      </c>
      <c r="AG600" s="152">
        <f t="shared" si="333"/>
        <v>0</v>
      </c>
      <c r="AH600" s="152">
        <f t="shared" si="333"/>
        <v>0</v>
      </c>
      <c r="AI600" s="152">
        <f t="shared" si="333"/>
        <v>0</v>
      </c>
      <c r="AJ600" s="152">
        <f t="shared" si="333"/>
        <v>0</v>
      </c>
      <c r="AK600" s="152">
        <f t="shared" si="333"/>
        <v>0</v>
      </c>
      <c r="AL600" s="152">
        <f t="shared" si="333"/>
        <v>0</v>
      </c>
      <c r="AM600" s="152">
        <f t="shared" si="333"/>
        <v>0</v>
      </c>
      <c r="AN600" s="152">
        <f t="shared" si="333"/>
        <v>0</v>
      </c>
      <c r="AO600" s="152">
        <f t="shared" si="333"/>
        <v>0</v>
      </c>
      <c r="AP600" s="152">
        <f t="shared" si="333"/>
        <v>0</v>
      </c>
    </row>
    <row r="601" spans="1:42">
      <c r="A601" s="37" t="s">
        <v>198</v>
      </c>
      <c r="B601" s="152">
        <v>0</v>
      </c>
      <c r="C601" s="152">
        <f>C629</f>
        <v>410585.24356465257</v>
      </c>
      <c r="D601" s="152">
        <f t="shared" ref="D601:AP601" si="334">D629</f>
        <v>410585.24356465257</v>
      </c>
      <c r="E601" s="152">
        <f t="shared" si="334"/>
        <v>410585.24356465257</v>
      </c>
      <c r="F601" s="152">
        <f t="shared" si="334"/>
        <v>410585.24356465257</v>
      </c>
      <c r="G601" s="152">
        <f t="shared" si="334"/>
        <v>410585.24356465257</v>
      </c>
      <c r="H601" s="152">
        <f t="shared" si="334"/>
        <v>410585.24356465257</v>
      </c>
      <c r="I601" s="152">
        <f t="shared" si="334"/>
        <v>410585.24356465257</v>
      </c>
      <c r="J601" s="152">
        <f t="shared" si="334"/>
        <v>410585.24356465257</v>
      </c>
      <c r="K601" s="152">
        <f t="shared" si="334"/>
        <v>410585.24356465257</v>
      </c>
      <c r="L601" s="152">
        <f t="shared" si="334"/>
        <v>410585.24356465257</v>
      </c>
      <c r="M601" s="152">
        <f t="shared" si="334"/>
        <v>410585.24356465257</v>
      </c>
      <c r="N601" s="152">
        <f t="shared" si="334"/>
        <v>410585.24356465257</v>
      </c>
      <c r="O601" s="152">
        <f t="shared" si="334"/>
        <v>410585.24356465257</v>
      </c>
      <c r="P601" s="152">
        <f t="shared" si="334"/>
        <v>410585.24356465257</v>
      </c>
      <c r="Q601" s="152">
        <f t="shared" si="334"/>
        <v>410585.24356465257</v>
      </c>
      <c r="R601" s="152">
        <f t="shared" si="334"/>
        <v>513326.83759962226</v>
      </c>
      <c r="S601" s="152">
        <f t="shared" si="334"/>
        <v>513326.83759962226</v>
      </c>
      <c r="T601" s="152">
        <f t="shared" si="334"/>
        <v>513326.83759962226</v>
      </c>
      <c r="U601" s="152">
        <f t="shared" si="334"/>
        <v>513326.83759962226</v>
      </c>
      <c r="V601" s="152">
        <f t="shared" si="334"/>
        <v>513326.83759962226</v>
      </c>
      <c r="W601" s="152">
        <f t="shared" si="334"/>
        <v>513326.83759962226</v>
      </c>
      <c r="X601" s="152">
        <f t="shared" si="334"/>
        <v>513326.83759962226</v>
      </c>
      <c r="Y601" s="152">
        <f t="shared" si="334"/>
        <v>513326.83759962226</v>
      </c>
      <c r="Z601" s="152">
        <f t="shared" si="334"/>
        <v>513326.83759962226</v>
      </c>
      <c r="AA601" s="152">
        <f t="shared" si="334"/>
        <v>513326.83759962226</v>
      </c>
      <c r="AB601" s="152">
        <f t="shared" si="334"/>
        <v>513326.83759962226</v>
      </c>
      <c r="AC601" s="152">
        <f t="shared" si="334"/>
        <v>513326.83759962226</v>
      </c>
      <c r="AD601" s="152">
        <f t="shared" si="334"/>
        <v>513326.83759962226</v>
      </c>
      <c r="AE601" s="152">
        <f t="shared" si="334"/>
        <v>513326.83759962226</v>
      </c>
      <c r="AF601" s="152">
        <f t="shared" si="334"/>
        <v>513326.83759962226</v>
      </c>
      <c r="AG601" s="152">
        <f t="shared" si="334"/>
        <v>0</v>
      </c>
      <c r="AH601" s="152">
        <f t="shared" si="334"/>
        <v>0</v>
      </c>
      <c r="AI601" s="152">
        <f t="shared" si="334"/>
        <v>0</v>
      </c>
      <c r="AJ601" s="152">
        <f t="shared" si="334"/>
        <v>0</v>
      </c>
      <c r="AK601" s="152">
        <f t="shared" si="334"/>
        <v>0</v>
      </c>
      <c r="AL601" s="152">
        <f t="shared" si="334"/>
        <v>0</v>
      </c>
      <c r="AM601" s="152">
        <f t="shared" si="334"/>
        <v>0</v>
      </c>
      <c r="AN601" s="152">
        <f t="shared" si="334"/>
        <v>0</v>
      </c>
      <c r="AO601" s="152">
        <f t="shared" si="334"/>
        <v>0</v>
      </c>
      <c r="AP601" s="152">
        <f t="shared" si="334"/>
        <v>0</v>
      </c>
    </row>
    <row r="602" spans="1:42">
      <c r="A602" s="37" t="s">
        <v>106</v>
      </c>
      <c r="B602" s="187">
        <v>0</v>
      </c>
      <c r="C602" s="187">
        <f>-C617</f>
        <v>0</v>
      </c>
      <c r="D602" s="187">
        <f t="shared" ref="D602:AP602" si="335">-D617</f>
        <v>0</v>
      </c>
      <c r="E602" s="187">
        <f t="shared" si="335"/>
        <v>0</v>
      </c>
      <c r="F602" s="187">
        <f t="shared" si="335"/>
        <v>0</v>
      </c>
      <c r="G602" s="187">
        <f t="shared" si="335"/>
        <v>0</v>
      </c>
      <c r="H602" s="187">
        <f t="shared" si="335"/>
        <v>0</v>
      </c>
      <c r="I602" s="187">
        <f t="shared" si="335"/>
        <v>0</v>
      </c>
      <c r="J602" s="187">
        <f t="shared" si="335"/>
        <v>0</v>
      </c>
      <c r="K602" s="187">
        <f t="shared" si="335"/>
        <v>0</v>
      </c>
      <c r="L602" s="187">
        <f t="shared" si="335"/>
        <v>0</v>
      </c>
      <c r="M602" s="187">
        <f t="shared" si="335"/>
        <v>0</v>
      </c>
      <c r="N602" s="187">
        <f t="shared" si="335"/>
        <v>0</v>
      </c>
      <c r="O602" s="187">
        <f t="shared" si="335"/>
        <v>0</v>
      </c>
      <c r="P602" s="187">
        <f t="shared" si="335"/>
        <v>0</v>
      </c>
      <c r="Q602" s="187">
        <f t="shared" si="335"/>
        <v>-6158778.6534697888</v>
      </c>
      <c r="R602" s="187">
        <f t="shared" si="335"/>
        <v>0</v>
      </c>
      <c r="S602" s="187">
        <f t="shared" si="335"/>
        <v>0</v>
      </c>
      <c r="T602" s="187">
        <f t="shared" si="335"/>
        <v>0</v>
      </c>
      <c r="U602" s="187">
        <f t="shared" si="335"/>
        <v>0</v>
      </c>
      <c r="V602" s="187">
        <f t="shared" si="335"/>
        <v>0</v>
      </c>
      <c r="W602" s="187">
        <f t="shared" si="335"/>
        <v>0</v>
      </c>
      <c r="X602" s="187">
        <f t="shared" si="335"/>
        <v>0</v>
      </c>
      <c r="Y602" s="187">
        <f t="shared" si="335"/>
        <v>0</v>
      </c>
      <c r="Z602" s="187">
        <f t="shared" si="335"/>
        <v>0</v>
      </c>
      <c r="AA602" s="187">
        <f t="shared" si="335"/>
        <v>0</v>
      </c>
      <c r="AB602" s="187">
        <f t="shared" si="335"/>
        <v>0</v>
      </c>
      <c r="AC602" s="187">
        <f t="shared" si="335"/>
        <v>0</v>
      </c>
      <c r="AD602" s="187">
        <f t="shared" si="335"/>
        <v>0</v>
      </c>
      <c r="AE602" s="187">
        <f t="shared" si="335"/>
        <v>0</v>
      </c>
      <c r="AF602" s="187">
        <f t="shared" si="335"/>
        <v>-7699902.5639943341</v>
      </c>
      <c r="AG602" s="187">
        <f t="shared" si="335"/>
        <v>0</v>
      </c>
      <c r="AH602" s="187">
        <f t="shared" si="335"/>
        <v>0</v>
      </c>
      <c r="AI602" s="187">
        <f t="shared" si="335"/>
        <v>0</v>
      </c>
      <c r="AJ602" s="187">
        <f t="shared" si="335"/>
        <v>0</v>
      </c>
      <c r="AK602" s="187">
        <f t="shared" si="335"/>
        <v>0</v>
      </c>
      <c r="AL602" s="187">
        <f t="shared" si="335"/>
        <v>0</v>
      </c>
      <c r="AM602" s="187">
        <f t="shared" si="335"/>
        <v>0</v>
      </c>
      <c r="AN602" s="187">
        <f t="shared" si="335"/>
        <v>0</v>
      </c>
      <c r="AO602" s="187">
        <f t="shared" si="335"/>
        <v>0</v>
      </c>
      <c r="AP602" s="187">
        <f t="shared" si="335"/>
        <v>0</v>
      </c>
    </row>
    <row r="603" spans="1:42">
      <c r="A603" s="37" t="s">
        <v>102</v>
      </c>
      <c r="B603" s="152">
        <f>SUM(B600:B602)</f>
        <v>0</v>
      </c>
      <c r="C603" s="152">
        <f>SUM(C600:C602)</f>
        <v>410585.24356465257</v>
      </c>
      <c r="D603" s="152">
        <f t="shared" ref="D603:AP603" si="336">SUM(D600:D602)</f>
        <v>821170.48712930514</v>
      </c>
      <c r="E603" s="152">
        <f t="shared" si="336"/>
        <v>1231755.7306939578</v>
      </c>
      <c r="F603" s="152">
        <f t="shared" si="336"/>
        <v>1642340.9742586103</v>
      </c>
      <c r="G603" s="152">
        <f t="shared" si="336"/>
        <v>2052926.2178232628</v>
      </c>
      <c r="H603" s="152">
        <f t="shared" si="336"/>
        <v>2463511.4613879155</v>
      </c>
      <c r="I603" s="152">
        <f t="shared" si="336"/>
        <v>2874096.7049525683</v>
      </c>
      <c r="J603" s="152">
        <f t="shared" si="336"/>
        <v>3284681.948517221</v>
      </c>
      <c r="K603" s="152">
        <f t="shared" si="336"/>
        <v>3695267.1920818738</v>
      </c>
      <c r="L603" s="152">
        <f t="shared" si="336"/>
        <v>4105852.4356465265</v>
      </c>
      <c r="M603" s="152">
        <f t="shared" si="336"/>
        <v>4516437.6792111788</v>
      </c>
      <c r="N603" s="152">
        <f t="shared" si="336"/>
        <v>4927022.9227758311</v>
      </c>
      <c r="O603" s="152">
        <f t="shared" si="336"/>
        <v>5337608.1663404834</v>
      </c>
      <c r="P603" s="152">
        <f t="shared" si="336"/>
        <v>5748193.4099051356</v>
      </c>
      <c r="Q603" s="152">
        <f t="shared" si="336"/>
        <v>0</v>
      </c>
      <c r="R603" s="152">
        <f t="shared" si="336"/>
        <v>513326.83759962226</v>
      </c>
      <c r="S603" s="152">
        <f t="shared" si="336"/>
        <v>1026653.6751992445</v>
      </c>
      <c r="T603" s="152">
        <f t="shared" si="336"/>
        <v>1539980.5127988667</v>
      </c>
      <c r="U603" s="152">
        <f t="shared" si="336"/>
        <v>2053307.350398489</v>
      </c>
      <c r="V603" s="152">
        <f t="shared" si="336"/>
        <v>2566634.1879981114</v>
      </c>
      <c r="W603" s="152">
        <f t="shared" si="336"/>
        <v>3079961.0255977334</v>
      </c>
      <c r="X603" s="152">
        <f t="shared" si="336"/>
        <v>3593287.8631973555</v>
      </c>
      <c r="Y603" s="152">
        <f t="shared" si="336"/>
        <v>4106614.7007969776</v>
      </c>
      <c r="Z603" s="152">
        <f t="shared" si="336"/>
        <v>4619941.5383965997</v>
      </c>
      <c r="AA603" s="152">
        <f t="shared" si="336"/>
        <v>5133268.3759962218</v>
      </c>
      <c r="AB603" s="152">
        <f t="shared" si="336"/>
        <v>5646595.2135958439</v>
      </c>
      <c r="AC603" s="152">
        <f t="shared" si="336"/>
        <v>6159922.051195466</v>
      </c>
      <c r="AD603" s="152">
        <f t="shared" si="336"/>
        <v>6673248.888795088</v>
      </c>
      <c r="AE603" s="152">
        <f t="shared" si="336"/>
        <v>7186575.7263947101</v>
      </c>
      <c r="AF603" s="152">
        <f t="shared" si="336"/>
        <v>0</v>
      </c>
      <c r="AG603" s="152">
        <f t="shared" si="336"/>
        <v>0</v>
      </c>
      <c r="AH603" s="152">
        <f t="shared" si="336"/>
        <v>0</v>
      </c>
      <c r="AI603" s="152">
        <f t="shared" si="336"/>
        <v>0</v>
      </c>
      <c r="AJ603" s="152">
        <f t="shared" si="336"/>
        <v>0</v>
      </c>
      <c r="AK603" s="152">
        <f t="shared" si="336"/>
        <v>0</v>
      </c>
      <c r="AL603" s="152">
        <f t="shared" si="336"/>
        <v>0</v>
      </c>
      <c r="AM603" s="152">
        <f t="shared" si="336"/>
        <v>0</v>
      </c>
      <c r="AN603" s="152">
        <f t="shared" si="336"/>
        <v>0</v>
      </c>
      <c r="AO603" s="152">
        <f t="shared" si="336"/>
        <v>0</v>
      </c>
      <c r="AP603" s="152">
        <f t="shared" si="336"/>
        <v>0</v>
      </c>
    </row>
    <row r="604" spans="1:42">
      <c r="B604" s="152"/>
      <c r="C604" s="152"/>
      <c r="D604" s="152"/>
      <c r="E604" s="152"/>
      <c r="F604" s="152"/>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row>
    <row r="605" spans="1:42">
      <c r="A605" s="37" t="s">
        <v>196</v>
      </c>
      <c r="B605" s="152"/>
      <c r="C605" s="152"/>
      <c r="D605" s="152"/>
      <c r="E605" s="152"/>
      <c r="F605" s="152"/>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row>
    <row r="606" spans="1:42">
      <c r="A606" s="37" t="s">
        <v>197</v>
      </c>
      <c r="B606" s="152"/>
      <c r="C606" s="152"/>
      <c r="D606" s="152"/>
      <c r="E606" s="152"/>
      <c r="F606" s="152"/>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c r="AM606" s="186"/>
      <c r="AN606" s="186"/>
      <c r="AO606" s="186"/>
      <c r="AP606" s="186"/>
    </row>
    <row r="607" spans="1:42">
      <c r="A607" s="37">
        <v>1</v>
      </c>
      <c r="B607" s="196">
        <f t="shared" ref="B607:B616" si="337">SUM(C607:AP607)</f>
        <v>6158778.6534697888</v>
      </c>
      <c r="C607" s="186">
        <f t="shared" ref="C607:AP613" si="338">IF(C$2&gt;AnalysisPeriod,0,IF(C$2=MMFrequency2*$A607,MMCost2*CapacityDC*1000*(1+Inflation)^B$2,0))</f>
        <v>0</v>
      </c>
      <c r="D607" s="186">
        <f t="shared" si="338"/>
        <v>0</v>
      </c>
      <c r="E607" s="186">
        <f t="shared" si="338"/>
        <v>0</v>
      </c>
      <c r="F607" s="186">
        <f t="shared" si="338"/>
        <v>0</v>
      </c>
      <c r="G607" s="186">
        <f t="shared" si="338"/>
        <v>0</v>
      </c>
      <c r="H607" s="186">
        <f t="shared" si="338"/>
        <v>0</v>
      </c>
      <c r="I607" s="186">
        <f t="shared" si="338"/>
        <v>0</v>
      </c>
      <c r="J607" s="186">
        <f t="shared" si="338"/>
        <v>0</v>
      </c>
      <c r="K607" s="186">
        <f t="shared" si="338"/>
        <v>0</v>
      </c>
      <c r="L607" s="186">
        <f t="shared" si="338"/>
        <v>0</v>
      </c>
      <c r="M607" s="186">
        <f t="shared" si="338"/>
        <v>0</v>
      </c>
      <c r="N607" s="186">
        <f t="shared" si="338"/>
        <v>0</v>
      </c>
      <c r="O607" s="186">
        <f t="shared" si="338"/>
        <v>0</v>
      </c>
      <c r="P607" s="186">
        <f t="shared" si="338"/>
        <v>0</v>
      </c>
      <c r="Q607" s="186">
        <f t="shared" si="338"/>
        <v>6158778.6534697888</v>
      </c>
      <c r="R607" s="186">
        <f t="shared" si="338"/>
        <v>0</v>
      </c>
      <c r="S607" s="186">
        <f t="shared" si="338"/>
        <v>0</v>
      </c>
      <c r="T607" s="186">
        <f t="shared" si="338"/>
        <v>0</v>
      </c>
      <c r="U607" s="186">
        <f t="shared" si="338"/>
        <v>0</v>
      </c>
      <c r="V607" s="186">
        <f t="shared" si="338"/>
        <v>0</v>
      </c>
      <c r="W607" s="186">
        <f t="shared" si="338"/>
        <v>0</v>
      </c>
      <c r="X607" s="186">
        <f t="shared" si="338"/>
        <v>0</v>
      </c>
      <c r="Y607" s="186">
        <f t="shared" si="338"/>
        <v>0</v>
      </c>
      <c r="Z607" s="186">
        <f t="shared" si="338"/>
        <v>0</v>
      </c>
      <c r="AA607" s="186">
        <f t="shared" si="338"/>
        <v>0</v>
      </c>
      <c r="AB607" s="186">
        <f t="shared" si="338"/>
        <v>0</v>
      </c>
      <c r="AC607" s="186">
        <f t="shared" si="338"/>
        <v>0</v>
      </c>
      <c r="AD607" s="186">
        <f t="shared" si="338"/>
        <v>0</v>
      </c>
      <c r="AE607" s="186">
        <f t="shared" si="338"/>
        <v>0</v>
      </c>
      <c r="AF607" s="186">
        <f t="shared" si="338"/>
        <v>0</v>
      </c>
      <c r="AG607" s="186">
        <f t="shared" si="338"/>
        <v>0</v>
      </c>
      <c r="AH607" s="186">
        <f t="shared" si="338"/>
        <v>0</v>
      </c>
      <c r="AI607" s="186">
        <f t="shared" si="338"/>
        <v>0</v>
      </c>
      <c r="AJ607" s="186">
        <f t="shared" si="338"/>
        <v>0</v>
      </c>
      <c r="AK607" s="186">
        <f t="shared" si="338"/>
        <v>0</v>
      </c>
      <c r="AL607" s="186">
        <f t="shared" si="338"/>
        <v>0</v>
      </c>
      <c r="AM607" s="186">
        <f t="shared" si="338"/>
        <v>0</v>
      </c>
      <c r="AN607" s="186">
        <f t="shared" si="338"/>
        <v>0</v>
      </c>
      <c r="AO607" s="186">
        <f t="shared" si="338"/>
        <v>0</v>
      </c>
      <c r="AP607" s="186">
        <f t="shared" si="338"/>
        <v>0</v>
      </c>
    </row>
    <row r="608" spans="1:42">
      <c r="A608" s="37">
        <f>A607+1</f>
        <v>2</v>
      </c>
      <c r="B608" s="196">
        <f t="shared" si="337"/>
        <v>7699902.5639943341</v>
      </c>
      <c r="C608" s="186">
        <f t="shared" si="338"/>
        <v>0</v>
      </c>
      <c r="D608" s="186">
        <f t="shared" si="338"/>
        <v>0</v>
      </c>
      <c r="E608" s="186">
        <f t="shared" si="338"/>
        <v>0</v>
      </c>
      <c r="F608" s="186">
        <f t="shared" si="338"/>
        <v>0</v>
      </c>
      <c r="G608" s="186">
        <f t="shared" si="338"/>
        <v>0</v>
      </c>
      <c r="H608" s="186">
        <f t="shared" si="338"/>
        <v>0</v>
      </c>
      <c r="I608" s="186">
        <f t="shared" si="338"/>
        <v>0</v>
      </c>
      <c r="J608" s="186">
        <f t="shared" si="338"/>
        <v>0</v>
      </c>
      <c r="K608" s="186">
        <f t="shared" si="338"/>
        <v>0</v>
      </c>
      <c r="L608" s="186">
        <f t="shared" si="338"/>
        <v>0</v>
      </c>
      <c r="M608" s="186">
        <f t="shared" si="338"/>
        <v>0</v>
      </c>
      <c r="N608" s="186">
        <f t="shared" si="338"/>
        <v>0</v>
      </c>
      <c r="O608" s="186">
        <f t="shared" si="338"/>
        <v>0</v>
      </c>
      <c r="P608" s="186">
        <f t="shared" si="338"/>
        <v>0</v>
      </c>
      <c r="Q608" s="186">
        <f t="shared" si="338"/>
        <v>0</v>
      </c>
      <c r="R608" s="186">
        <f t="shared" si="338"/>
        <v>0</v>
      </c>
      <c r="S608" s="186">
        <f t="shared" si="338"/>
        <v>0</v>
      </c>
      <c r="T608" s="186">
        <f t="shared" si="338"/>
        <v>0</v>
      </c>
      <c r="U608" s="186">
        <f t="shared" si="338"/>
        <v>0</v>
      </c>
      <c r="V608" s="186">
        <f t="shared" si="338"/>
        <v>0</v>
      </c>
      <c r="W608" s="186">
        <f t="shared" si="338"/>
        <v>0</v>
      </c>
      <c r="X608" s="186">
        <f t="shared" si="338"/>
        <v>0</v>
      </c>
      <c r="Y608" s="186">
        <f t="shared" si="338"/>
        <v>0</v>
      </c>
      <c r="Z608" s="186">
        <f t="shared" si="338"/>
        <v>0</v>
      </c>
      <c r="AA608" s="186">
        <f t="shared" si="338"/>
        <v>0</v>
      </c>
      <c r="AB608" s="186">
        <f t="shared" si="338"/>
        <v>0</v>
      </c>
      <c r="AC608" s="186">
        <f t="shared" si="338"/>
        <v>0</v>
      </c>
      <c r="AD608" s="186">
        <f t="shared" si="338"/>
        <v>0</v>
      </c>
      <c r="AE608" s="186">
        <f t="shared" si="338"/>
        <v>0</v>
      </c>
      <c r="AF608" s="186">
        <f t="shared" si="338"/>
        <v>7699902.5639943341</v>
      </c>
      <c r="AG608" s="186">
        <f t="shared" si="338"/>
        <v>0</v>
      </c>
      <c r="AH608" s="186">
        <f t="shared" si="338"/>
        <v>0</v>
      </c>
      <c r="AI608" s="186">
        <f t="shared" si="338"/>
        <v>0</v>
      </c>
      <c r="AJ608" s="186">
        <f t="shared" si="338"/>
        <v>0</v>
      </c>
      <c r="AK608" s="186">
        <f t="shared" si="338"/>
        <v>0</v>
      </c>
      <c r="AL608" s="186">
        <f t="shared" si="338"/>
        <v>0</v>
      </c>
      <c r="AM608" s="186">
        <f t="shared" si="338"/>
        <v>0</v>
      </c>
      <c r="AN608" s="186">
        <f t="shared" si="338"/>
        <v>0</v>
      </c>
      <c r="AO608" s="186">
        <f t="shared" si="338"/>
        <v>0</v>
      </c>
      <c r="AP608" s="186">
        <f t="shared" si="338"/>
        <v>0</v>
      </c>
    </row>
    <row r="609" spans="1:42">
      <c r="A609" s="37">
        <f t="shared" ref="A609:A616" si="339">A608+1</f>
        <v>3</v>
      </c>
      <c r="B609" s="196">
        <f t="shared" si="337"/>
        <v>0</v>
      </c>
      <c r="C609" s="186">
        <f t="shared" si="338"/>
        <v>0</v>
      </c>
      <c r="D609" s="186">
        <f t="shared" si="338"/>
        <v>0</v>
      </c>
      <c r="E609" s="186">
        <f t="shared" si="338"/>
        <v>0</v>
      </c>
      <c r="F609" s="186">
        <f t="shared" si="338"/>
        <v>0</v>
      </c>
      <c r="G609" s="186">
        <f t="shared" si="338"/>
        <v>0</v>
      </c>
      <c r="H609" s="186">
        <f t="shared" si="338"/>
        <v>0</v>
      </c>
      <c r="I609" s="186">
        <f t="shared" si="338"/>
        <v>0</v>
      </c>
      <c r="J609" s="186">
        <f t="shared" si="338"/>
        <v>0</v>
      </c>
      <c r="K609" s="186">
        <f t="shared" si="338"/>
        <v>0</v>
      </c>
      <c r="L609" s="186">
        <f t="shared" si="338"/>
        <v>0</v>
      </c>
      <c r="M609" s="186">
        <f t="shared" si="338"/>
        <v>0</v>
      </c>
      <c r="N609" s="186">
        <f t="shared" si="338"/>
        <v>0</v>
      </c>
      <c r="O609" s="186">
        <f t="shared" si="338"/>
        <v>0</v>
      </c>
      <c r="P609" s="186">
        <f t="shared" si="338"/>
        <v>0</v>
      </c>
      <c r="Q609" s="186">
        <f t="shared" si="338"/>
        <v>0</v>
      </c>
      <c r="R609" s="186">
        <f t="shared" si="338"/>
        <v>0</v>
      </c>
      <c r="S609" s="186">
        <f t="shared" si="338"/>
        <v>0</v>
      </c>
      <c r="T609" s="186">
        <f t="shared" si="338"/>
        <v>0</v>
      </c>
      <c r="U609" s="186">
        <f t="shared" si="338"/>
        <v>0</v>
      </c>
      <c r="V609" s="186">
        <f t="shared" si="338"/>
        <v>0</v>
      </c>
      <c r="W609" s="186">
        <f t="shared" si="338"/>
        <v>0</v>
      </c>
      <c r="X609" s="186">
        <f t="shared" si="338"/>
        <v>0</v>
      </c>
      <c r="Y609" s="186">
        <f t="shared" si="338"/>
        <v>0</v>
      </c>
      <c r="Z609" s="186">
        <f t="shared" si="338"/>
        <v>0</v>
      </c>
      <c r="AA609" s="186">
        <f t="shared" si="338"/>
        <v>0</v>
      </c>
      <c r="AB609" s="186">
        <f t="shared" si="338"/>
        <v>0</v>
      </c>
      <c r="AC609" s="186">
        <f t="shared" si="338"/>
        <v>0</v>
      </c>
      <c r="AD609" s="186">
        <f t="shared" si="338"/>
        <v>0</v>
      </c>
      <c r="AE609" s="186">
        <f t="shared" si="338"/>
        <v>0</v>
      </c>
      <c r="AF609" s="186">
        <f t="shared" si="338"/>
        <v>0</v>
      </c>
      <c r="AG609" s="186">
        <f t="shared" si="338"/>
        <v>0</v>
      </c>
      <c r="AH609" s="186">
        <f t="shared" si="338"/>
        <v>0</v>
      </c>
      <c r="AI609" s="186">
        <f t="shared" si="338"/>
        <v>0</v>
      </c>
      <c r="AJ609" s="186">
        <f t="shared" si="338"/>
        <v>0</v>
      </c>
      <c r="AK609" s="186">
        <f t="shared" si="338"/>
        <v>0</v>
      </c>
      <c r="AL609" s="186">
        <f t="shared" si="338"/>
        <v>0</v>
      </c>
      <c r="AM609" s="186">
        <f t="shared" si="338"/>
        <v>0</v>
      </c>
      <c r="AN609" s="186">
        <f t="shared" si="338"/>
        <v>0</v>
      </c>
      <c r="AO609" s="186">
        <f t="shared" si="338"/>
        <v>0</v>
      </c>
      <c r="AP609" s="186">
        <f t="shared" si="338"/>
        <v>0</v>
      </c>
    </row>
    <row r="610" spans="1:42">
      <c r="A610" s="37">
        <f t="shared" si="339"/>
        <v>4</v>
      </c>
      <c r="B610" s="196">
        <f t="shared" si="337"/>
        <v>0</v>
      </c>
      <c r="C610" s="186">
        <f t="shared" si="338"/>
        <v>0</v>
      </c>
      <c r="D610" s="186">
        <f t="shared" si="338"/>
        <v>0</v>
      </c>
      <c r="E610" s="186">
        <f t="shared" si="338"/>
        <v>0</v>
      </c>
      <c r="F610" s="186">
        <f t="shared" si="338"/>
        <v>0</v>
      </c>
      <c r="G610" s="186">
        <f t="shared" si="338"/>
        <v>0</v>
      </c>
      <c r="H610" s="186">
        <f t="shared" si="338"/>
        <v>0</v>
      </c>
      <c r="I610" s="186">
        <f t="shared" si="338"/>
        <v>0</v>
      </c>
      <c r="J610" s="186">
        <f t="shared" si="338"/>
        <v>0</v>
      </c>
      <c r="K610" s="186">
        <f t="shared" si="338"/>
        <v>0</v>
      </c>
      <c r="L610" s="186">
        <f t="shared" si="338"/>
        <v>0</v>
      </c>
      <c r="M610" s="186">
        <f t="shared" si="338"/>
        <v>0</v>
      </c>
      <c r="N610" s="186">
        <f t="shared" si="338"/>
        <v>0</v>
      </c>
      <c r="O610" s="186">
        <f t="shared" si="338"/>
        <v>0</v>
      </c>
      <c r="P610" s="186">
        <f t="shared" si="338"/>
        <v>0</v>
      </c>
      <c r="Q610" s="186">
        <f t="shared" si="338"/>
        <v>0</v>
      </c>
      <c r="R610" s="186">
        <f t="shared" si="338"/>
        <v>0</v>
      </c>
      <c r="S610" s="186">
        <f t="shared" si="338"/>
        <v>0</v>
      </c>
      <c r="T610" s="186">
        <f t="shared" si="338"/>
        <v>0</v>
      </c>
      <c r="U610" s="186">
        <f t="shared" si="338"/>
        <v>0</v>
      </c>
      <c r="V610" s="186">
        <f t="shared" si="338"/>
        <v>0</v>
      </c>
      <c r="W610" s="186">
        <f t="shared" si="338"/>
        <v>0</v>
      </c>
      <c r="X610" s="186">
        <f t="shared" si="338"/>
        <v>0</v>
      </c>
      <c r="Y610" s="186">
        <f t="shared" si="338"/>
        <v>0</v>
      </c>
      <c r="Z610" s="186">
        <f t="shared" si="338"/>
        <v>0</v>
      </c>
      <c r="AA610" s="186">
        <f t="shared" si="338"/>
        <v>0</v>
      </c>
      <c r="AB610" s="186">
        <f t="shared" si="338"/>
        <v>0</v>
      </c>
      <c r="AC610" s="186">
        <f t="shared" si="338"/>
        <v>0</v>
      </c>
      <c r="AD610" s="186">
        <f t="shared" si="338"/>
        <v>0</v>
      </c>
      <c r="AE610" s="186">
        <f t="shared" si="338"/>
        <v>0</v>
      </c>
      <c r="AF610" s="186">
        <f t="shared" si="338"/>
        <v>0</v>
      </c>
      <c r="AG610" s="186">
        <f t="shared" si="338"/>
        <v>0</v>
      </c>
      <c r="AH610" s="186">
        <f t="shared" si="338"/>
        <v>0</v>
      </c>
      <c r="AI610" s="186">
        <f t="shared" si="338"/>
        <v>0</v>
      </c>
      <c r="AJ610" s="186">
        <f t="shared" si="338"/>
        <v>0</v>
      </c>
      <c r="AK610" s="186">
        <f t="shared" si="338"/>
        <v>0</v>
      </c>
      <c r="AL610" s="186">
        <f t="shared" si="338"/>
        <v>0</v>
      </c>
      <c r="AM610" s="186">
        <f t="shared" si="338"/>
        <v>0</v>
      </c>
      <c r="AN610" s="186">
        <f t="shared" si="338"/>
        <v>0</v>
      </c>
      <c r="AO610" s="186">
        <f t="shared" si="338"/>
        <v>0</v>
      </c>
      <c r="AP610" s="186">
        <f t="shared" si="338"/>
        <v>0</v>
      </c>
    </row>
    <row r="611" spans="1:42">
      <c r="A611" s="37">
        <f t="shared" si="339"/>
        <v>5</v>
      </c>
      <c r="B611" s="196">
        <f t="shared" si="337"/>
        <v>0</v>
      </c>
      <c r="C611" s="186">
        <f t="shared" si="338"/>
        <v>0</v>
      </c>
      <c r="D611" s="186">
        <f t="shared" si="338"/>
        <v>0</v>
      </c>
      <c r="E611" s="186">
        <f t="shared" si="338"/>
        <v>0</v>
      </c>
      <c r="F611" s="186">
        <f t="shared" si="338"/>
        <v>0</v>
      </c>
      <c r="G611" s="186">
        <f t="shared" si="338"/>
        <v>0</v>
      </c>
      <c r="H611" s="186">
        <f t="shared" si="338"/>
        <v>0</v>
      </c>
      <c r="I611" s="186">
        <f t="shared" si="338"/>
        <v>0</v>
      </c>
      <c r="J611" s="186">
        <f t="shared" si="338"/>
        <v>0</v>
      </c>
      <c r="K611" s="186">
        <f t="shared" si="338"/>
        <v>0</v>
      </c>
      <c r="L611" s="186">
        <f t="shared" si="338"/>
        <v>0</v>
      </c>
      <c r="M611" s="186">
        <f t="shared" si="338"/>
        <v>0</v>
      </c>
      <c r="N611" s="186">
        <f t="shared" si="338"/>
        <v>0</v>
      </c>
      <c r="O611" s="186">
        <f t="shared" si="338"/>
        <v>0</v>
      </c>
      <c r="P611" s="186">
        <f t="shared" si="338"/>
        <v>0</v>
      </c>
      <c r="Q611" s="186">
        <f t="shared" si="338"/>
        <v>0</v>
      </c>
      <c r="R611" s="186">
        <f t="shared" si="338"/>
        <v>0</v>
      </c>
      <c r="S611" s="186">
        <f t="shared" si="338"/>
        <v>0</v>
      </c>
      <c r="T611" s="186">
        <f t="shared" si="338"/>
        <v>0</v>
      </c>
      <c r="U611" s="186">
        <f t="shared" si="338"/>
        <v>0</v>
      </c>
      <c r="V611" s="186">
        <f t="shared" si="338"/>
        <v>0</v>
      </c>
      <c r="W611" s="186">
        <f t="shared" si="338"/>
        <v>0</v>
      </c>
      <c r="X611" s="186">
        <f t="shared" si="338"/>
        <v>0</v>
      </c>
      <c r="Y611" s="186">
        <f t="shared" si="338"/>
        <v>0</v>
      </c>
      <c r="Z611" s="186">
        <f t="shared" si="338"/>
        <v>0</v>
      </c>
      <c r="AA611" s="186">
        <f t="shared" si="338"/>
        <v>0</v>
      </c>
      <c r="AB611" s="186">
        <f t="shared" si="338"/>
        <v>0</v>
      </c>
      <c r="AC611" s="186">
        <f t="shared" si="338"/>
        <v>0</v>
      </c>
      <c r="AD611" s="186">
        <f t="shared" si="338"/>
        <v>0</v>
      </c>
      <c r="AE611" s="186">
        <f t="shared" si="338"/>
        <v>0</v>
      </c>
      <c r="AF611" s="186">
        <f t="shared" si="338"/>
        <v>0</v>
      </c>
      <c r="AG611" s="186">
        <f t="shared" si="338"/>
        <v>0</v>
      </c>
      <c r="AH611" s="186">
        <f t="shared" si="338"/>
        <v>0</v>
      </c>
      <c r="AI611" s="186">
        <f t="shared" si="338"/>
        <v>0</v>
      </c>
      <c r="AJ611" s="186">
        <f t="shared" si="338"/>
        <v>0</v>
      </c>
      <c r="AK611" s="186">
        <f t="shared" si="338"/>
        <v>0</v>
      </c>
      <c r="AL611" s="186">
        <f t="shared" si="338"/>
        <v>0</v>
      </c>
      <c r="AM611" s="186">
        <f t="shared" si="338"/>
        <v>0</v>
      </c>
      <c r="AN611" s="186">
        <f t="shared" si="338"/>
        <v>0</v>
      </c>
      <c r="AO611" s="186">
        <f t="shared" si="338"/>
        <v>0</v>
      </c>
      <c r="AP611" s="186">
        <f t="shared" si="338"/>
        <v>0</v>
      </c>
    </row>
    <row r="612" spans="1:42">
      <c r="A612" s="37">
        <f t="shared" si="339"/>
        <v>6</v>
      </c>
      <c r="B612" s="196">
        <f t="shared" si="337"/>
        <v>0</v>
      </c>
      <c r="C612" s="186">
        <f t="shared" si="338"/>
        <v>0</v>
      </c>
      <c r="D612" s="186">
        <f t="shared" si="338"/>
        <v>0</v>
      </c>
      <c r="E612" s="186">
        <f t="shared" si="338"/>
        <v>0</v>
      </c>
      <c r="F612" s="186">
        <f t="shared" si="338"/>
        <v>0</v>
      </c>
      <c r="G612" s="186">
        <f t="shared" si="338"/>
        <v>0</v>
      </c>
      <c r="H612" s="186">
        <f t="shared" si="338"/>
        <v>0</v>
      </c>
      <c r="I612" s="186">
        <f t="shared" si="338"/>
        <v>0</v>
      </c>
      <c r="J612" s="186">
        <f t="shared" si="338"/>
        <v>0</v>
      </c>
      <c r="K612" s="186">
        <f t="shared" si="338"/>
        <v>0</v>
      </c>
      <c r="L612" s="186">
        <f t="shared" si="338"/>
        <v>0</v>
      </c>
      <c r="M612" s="186">
        <f t="shared" si="338"/>
        <v>0</v>
      </c>
      <c r="N612" s="186">
        <f t="shared" si="338"/>
        <v>0</v>
      </c>
      <c r="O612" s="186">
        <f t="shared" si="338"/>
        <v>0</v>
      </c>
      <c r="P612" s="186">
        <f t="shared" si="338"/>
        <v>0</v>
      </c>
      <c r="Q612" s="186">
        <f t="shared" si="338"/>
        <v>0</v>
      </c>
      <c r="R612" s="186">
        <f t="shared" si="338"/>
        <v>0</v>
      </c>
      <c r="S612" s="186">
        <f t="shared" si="338"/>
        <v>0</v>
      </c>
      <c r="T612" s="186">
        <f t="shared" si="338"/>
        <v>0</v>
      </c>
      <c r="U612" s="186">
        <f t="shared" si="338"/>
        <v>0</v>
      </c>
      <c r="V612" s="186">
        <f t="shared" si="338"/>
        <v>0</v>
      </c>
      <c r="W612" s="186">
        <f t="shared" si="338"/>
        <v>0</v>
      </c>
      <c r="X612" s="186">
        <f t="shared" si="338"/>
        <v>0</v>
      </c>
      <c r="Y612" s="186">
        <f t="shared" si="338"/>
        <v>0</v>
      </c>
      <c r="Z612" s="186">
        <f t="shared" si="338"/>
        <v>0</v>
      </c>
      <c r="AA612" s="186">
        <f t="shared" si="338"/>
        <v>0</v>
      </c>
      <c r="AB612" s="186">
        <f t="shared" si="338"/>
        <v>0</v>
      </c>
      <c r="AC612" s="186">
        <f t="shared" si="338"/>
        <v>0</v>
      </c>
      <c r="AD612" s="186">
        <f t="shared" si="338"/>
        <v>0</v>
      </c>
      <c r="AE612" s="186">
        <f t="shared" si="338"/>
        <v>0</v>
      </c>
      <c r="AF612" s="186">
        <f t="shared" si="338"/>
        <v>0</v>
      </c>
      <c r="AG612" s="186">
        <f t="shared" si="338"/>
        <v>0</v>
      </c>
      <c r="AH612" s="186">
        <f t="shared" si="338"/>
        <v>0</v>
      </c>
      <c r="AI612" s="186">
        <f t="shared" si="338"/>
        <v>0</v>
      </c>
      <c r="AJ612" s="186">
        <f t="shared" si="338"/>
        <v>0</v>
      </c>
      <c r="AK612" s="186">
        <f t="shared" si="338"/>
        <v>0</v>
      </c>
      <c r="AL612" s="186">
        <f t="shared" si="338"/>
        <v>0</v>
      </c>
      <c r="AM612" s="186">
        <f t="shared" si="338"/>
        <v>0</v>
      </c>
      <c r="AN612" s="186">
        <f t="shared" si="338"/>
        <v>0</v>
      </c>
      <c r="AO612" s="186">
        <f t="shared" si="338"/>
        <v>0</v>
      </c>
      <c r="AP612" s="186">
        <f t="shared" si="338"/>
        <v>0</v>
      </c>
    </row>
    <row r="613" spans="1:42">
      <c r="A613" s="37">
        <f t="shared" si="339"/>
        <v>7</v>
      </c>
      <c r="B613" s="196">
        <f t="shared" si="337"/>
        <v>0</v>
      </c>
      <c r="C613" s="186">
        <f t="shared" si="338"/>
        <v>0</v>
      </c>
      <c r="D613" s="186">
        <f t="shared" si="338"/>
        <v>0</v>
      </c>
      <c r="E613" s="186">
        <f t="shared" si="338"/>
        <v>0</v>
      </c>
      <c r="F613" s="186">
        <f t="shared" si="338"/>
        <v>0</v>
      </c>
      <c r="G613" s="186">
        <f t="shared" si="338"/>
        <v>0</v>
      </c>
      <c r="H613" s="186">
        <f t="shared" si="338"/>
        <v>0</v>
      </c>
      <c r="I613" s="186">
        <f t="shared" si="338"/>
        <v>0</v>
      </c>
      <c r="J613" s="186">
        <f t="shared" si="338"/>
        <v>0</v>
      </c>
      <c r="K613" s="186">
        <f t="shared" si="338"/>
        <v>0</v>
      </c>
      <c r="L613" s="186">
        <f t="shared" si="338"/>
        <v>0</v>
      </c>
      <c r="M613" s="186">
        <f t="shared" si="338"/>
        <v>0</v>
      </c>
      <c r="N613" s="186">
        <f t="shared" si="338"/>
        <v>0</v>
      </c>
      <c r="O613" s="186">
        <f t="shared" si="338"/>
        <v>0</v>
      </c>
      <c r="P613" s="186">
        <f t="shared" si="338"/>
        <v>0</v>
      </c>
      <c r="Q613" s="186">
        <f t="shared" si="338"/>
        <v>0</v>
      </c>
      <c r="R613" s="186">
        <f t="shared" ref="R613:AP613" si="340">IF(R$2&gt;AnalysisPeriod,0,IF(R$2=MMFrequency2*$A613,MMCost2*CapacityDC*1000*(1+Inflation)^Q$2,0))</f>
        <v>0</v>
      </c>
      <c r="S613" s="186">
        <f t="shared" si="340"/>
        <v>0</v>
      </c>
      <c r="T613" s="186">
        <f t="shared" si="340"/>
        <v>0</v>
      </c>
      <c r="U613" s="186">
        <f t="shared" si="340"/>
        <v>0</v>
      </c>
      <c r="V613" s="186">
        <f t="shared" si="340"/>
        <v>0</v>
      </c>
      <c r="W613" s="186">
        <f t="shared" si="340"/>
        <v>0</v>
      </c>
      <c r="X613" s="186">
        <f t="shared" si="340"/>
        <v>0</v>
      </c>
      <c r="Y613" s="186">
        <f t="shared" si="340"/>
        <v>0</v>
      </c>
      <c r="Z613" s="186">
        <f t="shared" si="340"/>
        <v>0</v>
      </c>
      <c r="AA613" s="186">
        <f t="shared" si="340"/>
        <v>0</v>
      </c>
      <c r="AB613" s="186">
        <f t="shared" si="340"/>
        <v>0</v>
      </c>
      <c r="AC613" s="186">
        <f t="shared" si="340"/>
        <v>0</v>
      </c>
      <c r="AD613" s="186">
        <f t="shared" si="340"/>
        <v>0</v>
      </c>
      <c r="AE613" s="186">
        <f t="shared" si="340"/>
        <v>0</v>
      </c>
      <c r="AF613" s="186">
        <f t="shared" si="340"/>
        <v>0</v>
      </c>
      <c r="AG613" s="186">
        <f t="shared" si="340"/>
        <v>0</v>
      </c>
      <c r="AH613" s="186">
        <f t="shared" si="340"/>
        <v>0</v>
      </c>
      <c r="AI613" s="186">
        <f t="shared" si="340"/>
        <v>0</v>
      </c>
      <c r="AJ613" s="186">
        <f t="shared" si="340"/>
        <v>0</v>
      </c>
      <c r="AK613" s="186">
        <f t="shared" si="340"/>
        <v>0</v>
      </c>
      <c r="AL613" s="186">
        <f t="shared" si="340"/>
        <v>0</v>
      </c>
      <c r="AM613" s="186">
        <f t="shared" si="340"/>
        <v>0</v>
      </c>
      <c r="AN613" s="186">
        <f t="shared" si="340"/>
        <v>0</v>
      </c>
      <c r="AO613" s="186">
        <f t="shared" si="340"/>
        <v>0</v>
      </c>
      <c r="AP613" s="186">
        <f t="shared" si="340"/>
        <v>0</v>
      </c>
    </row>
    <row r="614" spans="1:42">
      <c r="A614" s="37">
        <f t="shared" si="339"/>
        <v>8</v>
      </c>
      <c r="B614" s="196">
        <f t="shared" si="337"/>
        <v>0</v>
      </c>
      <c r="C614" s="186">
        <f t="shared" ref="C614:AP616" si="341">IF(C$2&gt;AnalysisPeriod,0,IF(C$2=MMFrequency2*$A614,MMCost2*CapacityDC*1000*(1+Inflation)^B$2,0))</f>
        <v>0</v>
      </c>
      <c r="D614" s="186">
        <f t="shared" si="341"/>
        <v>0</v>
      </c>
      <c r="E614" s="186">
        <f t="shared" si="341"/>
        <v>0</v>
      </c>
      <c r="F614" s="186">
        <f t="shared" si="341"/>
        <v>0</v>
      </c>
      <c r="G614" s="186">
        <f t="shared" si="341"/>
        <v>0</v>
      </c>
      <c r="H614" s="186">
        <f t="shared" si="341"/>
        <v>0</v>
      </c>
      <c r="I614" s="186">
        <f t="shared" si="341"/>
        <v>0</v>
      </c>
      <c r="J614" s="186">
        <f t="shared" si="341"/>
        <v>0</v>
      </c>
      <c r="K614" s="186">
        <f t="shared" si="341"/>
        <v>0</v>
      </c>
      <c r="L614" s="186">
        <f t="shared" si="341"/>
        <v>0</v>
      </c>
      <c r="M614" s="186">
        <f t="shared" si="341"/>
        <v>0</v>
      </c>
      <c r="N614" s="186">
        <f t="shared" si="341"/>
        <v>0</v>
      </c>
      <c r="O614" s="186">
        <f t="shared" si="341"/>
        <v>0</v>
      </c>
      <c r="P614" s="186">
        <f t="shared" si="341"/>
        <v>0</v>
      </c>
      <c r="Q614" s="186">
        <f t="shared" si="341"/>
        <v>0</v>
      </c>
      <c r="R614" s="186">
        <f t="shared" si="341"/>
        <v>0</v>
      </c>
      <c r="S614" s="186">
        <f t="shared" si="341"/>
        <v>0</v>
      </c>
      <c r="T614" s="186">
        <f t="shared" si="341"/>
        <v>0</v>
      </c>
      <c r="U614" s="186">
        <f t="shared" si="341"/>
        <v>0</v>
      </c>
      <c r="V614" s="186">
        <f t="shared" si="341"/>
        <v>0</v>
      </c>
      <c r="W614" s="186">
        <f t="shared" si="341"/>
        <v>0</v>
      </c>
      <c r="X614" s="186">
        <f t="shared" si="341"/>
        <v>0</v>
      </c>
      <c r="Y614" s="186">
        <f t="shared" si="341"/>
        <v>0</v>
      </c>
      <c r="Z614" s="186">
        <f t="shared" si="341"/>
        <v>0</v>
      </c>
      <c r="AA614" s="186">
        <f t="shared" si="341"/>
        <v>0</v>
      </c>
      <c r="AB614" s="186">
        <f t="shared" si="341"/>
        <v>0</v>
      </c>
      <c r="AC614" s="186">
        <f t="shared" si="341"/>
        <v>0</v>
      </c>
      <c r="AD614" s="186">
        <f t="shared" si="341"/>
        <v>0</v>
      </c>
      <c r="AE614" s="186">
        <f t="shared" si="341"/>
        <v>0</v>
      </c>
      <c r="AF614" s="186">
        <f t="shared" si="341"/>
        <v>0</v>
      </c>
      <c r="AG614" s="186">
        <f t="shared" si="341"/>
        <v>0</v>
      </c>
      <c r="AH614" s="186">
        <f t="shared" si="341"/>
        <v>0</v>
      </c>
      <c r="AI614" s="186">
        <f t="shared" si="341"/>
        <v>0</v>
      </c>
      <c r="AJ614" s="186">
        <f t="shared" si="341"/>
        <v>0</v>
      </c>
      <c r="AK614" s="186">
        <f t="shared" si="341"/>
        <v>0</v>
      </c>
      <c r="AL614" s="186">
        <f t="shared" si="341"/>
        <v>0</v>
      </c>
      <c r="AM614" s="186">
        <f t="shared" si="341"/>
        <v>0</v>
      </c>
      <c r="AN614" s="186">
        <f t="shared" si="341"/>
        <v>0</v>
      </c>
      <c r="AO614" s="186">
        <f t="shared" si="341"/>
        <v>0</v>
      </c>
      <c r="AP614" s="186">
        <f t="shared" si="341"/>
        <v>0</v>
      </c>
    </row>
    <row r="615" spans="1:42">
      <c r="A615" s="37">
        <f>A614+1</f>
        <v>9</v>
      </c>
      <c r="B615" s="196">
        <f t="shared" si="337"/>
        <v>0</v>
      </c>
      <c r="C615" s="186">
        <f t="shared" si="341"/>
        <v>0</v>
      </c>
      <c r="D615" s="186">
        <f t="shared" si="341"/>
        <v>0</v>
      </c>
      <c r="E615" s="186">
        <f t="shared" si="341"/>
        <v>0</v>
      </c>
      <c r="F615" s="186">
        <f t="shared" si="341"/>
        <v>0</v>
      </c>
      <c r="G615" s="186">
        <f t="shared" si="341"/>
        <v>0</v>
      </c>
      <c r="H615" s="186">
        <f t="shared" si="341"/>
        <v>0</v>
      </c>
      <c r="I615" s="186">
        <f t="shared" si="341"/>
        <v>0</v>
      </c>
      <c r="J615" s="186">
        <f t="shared" si="341"/>
        <v>0</v>
      </c>
      <c r="K615" s="186">
        <f t="shared" si="341"/>
        <v>0</v>
      </c>
      <c r="L615" s="186">
        <f t="shared" si="341"/>
        <v>0</v>
      </c>
      <c r="M615" s="186">
        <f t="shared" si="341"/>
        <v>0</v>
      </c>
      <c r="N615" s="186">
        <f t="shared" si="341"/>
        <v>0</v>
      </c>
      <c r="O615" s="186">
        <f t="shared" si="341"/>
        <v>0</v>
      </c>
      <c r="P615" s="186">
        <f t="shared" si="341"/>
        <v>0</v>
      </c>
      <c r="Q615" s="186">
        <f t="shared" si="341"/>
        <v>0</v>
      </c>
      <c r="R615" s="186">
        <f t="shared" si="341"/>
        <v>0</v>
      </c>
      <c r="S615" s="186">
        <f t="shared" si="341"/>
        <v>0</v>
      </c>
      <c r="T615" s="186">
        <f t="shared" si="341"/>
        <v>0</v>
      </c>
      <c r="U615" s="186">
        <f t="shared" si="341"/>
        <v>0</v>
      </c>
      <c r="V615" s="186">
        <f t="shared" si="341"/>
        <v>0</v>
      </c>
      <c r="W615" s="186">
        <f t="shared" si="341"/>
        <v>0</v>
      </c>
      <c r="X615" s="186">
        <f t="shared" si="341"/>
        <v>0</v>
      </c>
      <c r="Y615" s="186">
        <f t="shared" si="341"/>
        <v>0</v>
      </c>
      <c r="Z615" s="186">
        <f t="shared" si="341"/>
        <v>0</v>
      </c>
      <c r="AA615" s="186">
        <f t="shared" si="341"/>
        <v>0</v>
      </c>
      <c r="AB615" s="186">
        <f t="shared" si="341"/>
        <v>0</v>
      </c>
      <c r="AC615" s="186">
        <f t="shared" si="341"/>
        <v>0</v>
      </c>
      <c r="AD615" s="186">
        <f t="shared" si="341"/>
        <v>0</v>
      </c>
      <c r="AE615" s="186">
        <f t="shared" si="341"/>
        <v>0</v>
      </c>
      <c r="AF615" s="186">
        <f t="shared" si="341"/>
        <v>0</v>
      </c>
      <c r="AG615" s="186">
        <f t="shared" si="341"/>
        <v>0</v>
      </c>
      <c r="AH615" s="186">
        <f t="shared" si="341"/>
        <v>0</v>
      </c>
      <c r="AI615" s="186">
        <f t="shared" si="341"/>
        <v>0</v>
      </c>
      <c r="AJ615" s="186">
        <f t="shared" si="341"/>
        <v>0</v>
      </c>
      <c r="AK615" s="186">
        <f t="shared" si="341"/>
        <v>0</v>
      </c>
      <c r="AL615" s="186">
        <f t="shared" si="341"/>
        <v>0</v>
      </c>
      <c r="AM615" s="186">
        <f t="shared" si="341"/>
        <v>0</v>
      </c>
      <c r="AN615" s="186">
        <f t="shared" si="341"/>
        <v>0</v>
      </c>
      <c r="AO615" s="186">
        <f t="shared" si="341"/>
        <v>0</v>
      </c>
      <c r="AP615" s="186">
        <f t="shared" si="341"/>
        <v>0</v>
      </c>
    </row>
    <row r="616" spans="1:42">
      <c r="A616" s="37">
        <f t="shared" si="339"/>
        <v>10</v>
      </c>
      <c r="B616" s="196">
        <f t="shared" si="337"/>
        <v>0</v>
      </c>
      <c r="C616" s="187">
        <f t="shared" si="341"/>
        <v>0</v>
      </c>
      <c r="D616" s="187">
        <f t="shared" si="341"/>
        <v>0</v>
      </c>
      <c r="E616" s="187">
        <f t="shared" si="341"/>
        <v>0</v>
      </c>
      <c r="F616" s="187">
        <f t="shared" si="341"/>
        <v>0</v>
      </c>
      <c r="G616" s="187">
        <f t="shared" si="341"/>
        <v>0</v>
      </c>
      <c r="H616" s="187">
        <f t="shared" si="341"/>
        <v>0</v>
      </c>
      <c r="I616" s="187">
        <f t="shared" si="341"/>
        <v>0</v>
      </c>
      <c r="J616" s="187">
        <f t="shared" si="341"/>
        <v>0</v>
      </c>
      <c r="K616" s="187">
        <f t="shared" si="341"/>
        <v>0</v>
      </c>
      <c r="L616" s="187">
        <f t="shared" si="341"/>
        <v>0</v>
      </c>
      <c r="M616" s="187">
        <f t="shared" si="341"/>
        <v>0</v>
      </c>
      <c r="N616" s="187">
        <f t="shared" si="341"/>
        <v>0</v>
      </c>
      <c r="O616" s="187">
        <f t="shared" si="341"/>
        <v>0</v>
      </c>
      <c r="P616" s="187">
        <f t="shared" si="341"/>
        <v>0</v>
      </c>
      <c r="Q616" s="187">
        <f t="shared" si="341"/>
        <v>0</v>
      </c>
      <c r="R616" s="187">
        <f t="shared" si="341"/>
        <v>0</v>
      </c>
      <c r="S616" s="187">
        <f t="shared" si="341"/>
        <v>0</v>
      </c>
      <c r="T616" s="187">
        <f t="shared" si="341"/>
        <v>0</v>
      </c>
      <c r="U616" s="187">
        <f t="shared" si="341"/>
        <v>0</v>
      </c>
      <c r="V616" s="187">
        <f t="shared" si="341"/>
        <v>0</v>
      </c>
      <c r="W616" s="187">
        <f t="shared" si="341"/>
        <v>0</v>
      </c>
      <c r="X616" s="187">
        <f t="shared" si="341"/>
        <v>0</v>
      </c>
      <c r="Y616" s="187">
        <f t="shared" si="341"/>
        <v>0</v>
      </c>
      <c r="Z616" s="187">
        <f t="shared" si="341"/>
        <v>0</v>
      </c>
      <c r="AA616" s="187">
        <f t="shared" si="341"/>
        <v>0</v>
      </c>
      <c r="AB616" s="187">
        <f t="shared" si="341"/>
        <v>0</v>
      </c>
      <c r="AC616" s="187">
        <f t="shared" si="341"/>
        <v>0</v>
      </c>
      <c r="AD616" s="187">
        <f t="shared" si="341"/>
        <v>0</v>
      </c>
      <c r="AE616" s="187">
        <f t="shared" si="341"/>
        <v>0</v>
      </c>
      <c r="AF616" s="187">
        <f t="shared" si="341"/>
        <v>0</v>
      </c>
      <c r="AG616" s="187">
        <f t="shared" si="341"/>
        <v>0</v>
      </c>
      <c r="AH616" s="187">
        <f t="shared" si="341"/>
        <v>0</v>
      </c>
      <c r="AI616" s="187">
        <f t="shared" si="341"/>
        <v>0</v>
      </c>
      <c r="AJ616" s="187">
        <f t="shared" si="341"/>
        <v>0</v>
      </c>
      <c r="AK616" s="187">
        <f t="shared" si="341"/>
        <v>0</v>
      </c>
      <c r="AL616" s="187">
        <f t="shared" si="341"/>
        <v>0</v>
      </c>
      <c r="AM616" s="187">
        <f t="shared" si="341"/>
        <v>0</v>
      </c>
      <c r="AN616" s="187">
        <f t="shared" si="341"/>
        <v>0</v>
      </c>
      <c r="AO616" s="187">
        <f t="shared" si="341"/>
        <v>0</v>
      </c>
      <c r="AP616" s="187">
        <f t="shared" si="341"/>
        <v>0</v>
      </c>
    </row>
    <row r="617" spans="1:42">
      <c r="A617" s="219" t="s">
        <v>53</v>
      </c>
      <c r="B617" s="186"/>
      <c r="C617" s="152">
        <f>SUM(C607:C616)</f>
        <v>0</v>
      </c>
      <c r="D617" s="152">
        <f t="shared" ref="D617:AP617" si="342">SUM(D607:D616)</f>
        <v>0</v>
      </c>
      <c r="E617" s="152">
        <f t="shared" si="342"/>
        <v>0</v>
      </c>
      <c r="F617" s="152">
        <f t="shared" si="342"/>
        <v>0</v>
      </c>
      <c r="G617" s="152">
        <f t="shared" si="342"/>
        <v>0</v>
      </c>
      <c r="H617" s="152">
        <f t="shared" si="342"/>
        <v>0</v>
      </c>
      <c r="I617" s="152">
        <f t="shared" si="342"/>
        <v>0</v>
      </c>
      <c r="J617" s="152">
        <f t="shared" si="342"/>
        <v>0</v>
      </c>
      <c r="K617" s="152">
        <f t="shared" si="342"/>
        <v>0</v>
      </c>
      <c r="L617" s="152">
        <f t="shared" si="342"/>
        <v>0</v>
      </c>
      <c r="M617" s="152">
        <f t="shared" si="342"/>
        <v>0</v>
      </c>
      <c r="N617" s="152">
        <f t="shared" si="342"/>
        <v>0</v>
      </c>
      <c r="O617" s="152">
        <f t="shared" si="342"/>
        <v>0</v>
      </c>
      <c r="P617" s="152">
        <f t="shared" si="342"/>
        <v>0</v>
      </c>
      <c r="Q617" s="152">
        <f t="shared" si="342"/>
        <v>6158778.6534697888</v>
      </c>
      <c r="R617" s="152">
        <f t="shared" si="342"/>
        <v>0</v>
      </c>
      <c r="S617" s="152">
        <f t="shared" si="342"/>
        <v>0</v>
      </c>
      <c r="T617" s="152">
        <f t="shared" si="342"/>
        <v>0</v>
      </c>
      <c r="U617" s="152">
        <f t="shared" si="342"/>
        <v>0</v>
      </c>
      <c r="V617" s="152">
        <f t="shared" si="342"/>
        <v>0</v>
      </c>
      <c r="W617" s="152">
        <f t="shared" si="342"/>
        <v>0</v>
      </c>
      <c r="X617" s="152">
        <f t="shared" si="342"/>
        <v>0</v>
      </c>
      <c r="Y617" s="152">
        <f t="shared" si="342"/>
        <v>0</v>
      </c>
      <c r="Z617" s="152">
        <f t="shared" si="342"/>
        <v>0</v>
      </c>
      <c r="AA617" s="152">
        <f t="shared" si="342"/>
        <v>0</v>
      </c>
      <c r="AB617" s="152">
        <f t="shared" si="342"/>
        <v>0</v>
      </c>
      <c r="AC617" s="152">
        <f t="shared" si="342"/>
        <v>0</v>
      </c>
      <c r="AD617" s="152">
        <f t="shared" si="342"/>
        <v>0</v>
      </c>
      <c r="AE617" s="152">
        <f t="shared" si="342"/>
        <v>0</v>
      </c>
      <c r="AF617" s="152">
        <f t="shared" si="342"/>
        <v>7699902.5639943341</v>
      </c>
      <c r="AG617" s="152">
        <f t="shared" si="342"/>
        <v>0</v>
      </c>
      <c r="AH617" s="152">
        <f t="shared" si="342"/>
        <v>0</v>
      </c>
      <c r="AI617" s="152">
        <f t="shared" si="342"/>
        <v>0</v>
      </c>
      <c r="AJ617" s="152">
        <f t="shared" si="342"/>
        <v>0</v>
      </c>
      <c r="AK617" s="152">
        <f t="shared" si="342"/>
        <v>0</v>
      </c>
      <c r="AL617" s="152">
        <f t="shared" si="342"/>
        <v>0</v>
      </c>
      <c r="AM617" s="152">
        <f t="shared" si="342"/>
        <v>0</v>
      </c>
      <c r="AN617" s="152">
        <f t="shared" si="342"/>
        <v>0</v>
      </c>
      <c r="AO617" s="152">
        <f t="shared" si="342"/>
        <v>0</v>
      </c>
      <c r="AP617" s="152">
        <f t="shared" si="342"/>
        <v>0</v>
      </c>
    </row>
    <row r="618" spans="1:42">
      <c r="A618" s="37" t="s">
        <v>199</v>
      </c>
      <c r="B618" s="152"/>
      <c r="C618" s="152"/>
      <c r="D618" s="152"/>
      <c r="E618" s="152"/>
      <c r="F618" s="152"/>
      <c r="G618" s="186"/>
      <c r="H618" s="186"/>
      <c r="I618" s="186"/>
      <c r="J618" s="186"/>
      <c r="K618" s="186"/>
      <c r="L618" s="186"/>
      <c r="M618" s="186"/>
      <c r="N618" s="186"/>
      <c r="O618" s="186"/>
      <c r="P618" s="186"/>
      <c r="Q618" s="186"/>
      <c r="R618" s="186"/>
      <c r="S618" s="186"/>
      <c r="T618" s="186"/>
      <c r="U618" s="186"/>
      <c r="V618" s="186"/>
      <c r="W618" s="186"/>
      <c r="X618" s="186"/>
      <c r="Y618" s="186"/>
      <c r="Z618" s="186"/>
      <c r="AA618" s="186"/>
      <c r="AB618" s="186"/>
      <c r="AC618" s="186"/>
      <c r="AD618" s="186"/>
      <c r="AE618" s="186"/>
      <c r="AF618" s="186"/>
      <c r="AG618" s="186"/>
      <c r="AH618" s="186"/>
      <c r="AI618" s="186"/>
      <c r="AJ618" s="186"/>
      <c r="AK618" s="186"/>
      <c r="AL618" s="186"/>
      <c r="AM618" s="186"/>
      <c r="AN618" s="186"/>
      <c r="AO618" s="186"/>
      <c r="AP618" s="186"/>
    </row>
    <row r="619" spans="1:42">
      <c r="A619" s="37">
        <v>1</v>
      </c>
      <c r="B619" s="255">
        <f t="shared" ref="B619:B628" si="343">SUM(C619:AP619)</f>
        <v>6158778.6534697879</v>
      </c>
      <c r="C619" s="186">
        <f t="shared" ref="C619:AP619" si="344">IF(C$2&lt;=MMFrequency2*$A$607,$B$607/(MMFrequency2),0)</f>
        <v>410585.24356465257</v>
      </c>
      <c r="D619" s="186">
        <f t="shared" si="344"/>
        <v>410585.24356465257</v>
      </c>
      <c r="E619" s="186">
        <f t="shared" si="344"/>
        <v>410585.24356465257</v>
      </c>
      <c r="F619" s="186">
        <f t="shared" si="344"/>
        <v>410585.24356465257</v>
      </c>
      <c r="G619" s="186">
        <f t="shared" si="344"/>
        <v>410585.24356465257</v>
      </c>
      <c r="H619" s="186">
        <f t="shared" si="344"/>
        <v>410585.24356465257</v>
      </c>
      <c r="I619" s="186">
        <f t="shared" si="344"/>
        <v>410585.24356465257</v>
      </c>
      <c r="J619" s="186">
        <f t="shared" si="344"/>
        <v>410585.24356465257</v>
      </c>
      <c r="K619" s="186">
        <f t="shared" si="344"/>
        <v>410585.24356465257</v>
      </c>
      <c r="L619" s="186">
        <f t="shared" si="344"/>
        <v>410585.24356465257</v>
      </c>
      <c r="M619" s="186">
        <f t="shared" si="344"/>
        <v>410585.24356465257</v>
      </c>
      <c r="N619" s="186">
        <f t="shared" si="344"/>
        <v>410585.24356465257</v>
      </c>
      <c r="O619" s="186">
        <f t="shared" si="344"/>
        <v>410585.24356465257</v>
      </c>
      <c r="P619" s="186">
        <f t="shared" si="344"/>
        <v>410585.24356465257</v>
      </c>
      <c r="Q619" s="186">
        <f t="shared" si="344"/>
        <v>410585.24356465257</v>
      </c>
      <c r="R619" s="186">
        <f t="shared" si="344"/>
        <v>0</v>
      </c>
      <c r="S619" s="186">
        <f t="shared" si="344"/>
        <v>0</v>
      </c>
      <c r="T619" s="186">
        <f t="shared" si="344"/>
        <v>0</v>
      </c>
      <c r="U619" s="186">
        <f t="shared" si="344"/>
        <v>0</v>
      </c>
      <c r="V619" s="186">
        <f t="shared" si="344"/>
        <v>0</v>
      </c>
      <c r="W619" s="186">
        <f t="shared" si="344"/>
        <v>0</v>
      </c>
      <c r="X619" s="186">
        <f t="shared" si="344"/>
        <v>0</v>
      </c>
      <c r="Y619" s="186">
        <f t="shared" si="344"/>
        <v>0</v>
      </c>
      <c r="Z619" s="186">
        <f t="shared" si="344"/>
        <v>0</v>
      </c>
      <c r="AA619" s="186">
        <f t="shared" si="344"/>
        <v>0</v>
      </c>
      <c r="AB619" s="186">
        <f t="shared" si="344"/>
        <v>0</v>
      </c>
      <c r="AC619" s="186">
        <f t="shared" si="344"/>
        <v>0</v>
      </c>
      <c r="AD619" s="186">
        <f t="shared" si="344"/>
        <v>0</v>
      </c>
      <c r="AE619" s="186">
        <f t="shared" si="344"/>
        <v>0</v>
      </c>
      <c r="AF619" s="186">
        <f t="shared" si="344"/>
        <v>0</v>
      </c>
      <c r="AG619" s="186">
        <f t="shared" si="344"/>
        <v>0</v>
      </c>
      <c r="AH619" s="186">
        <f t="shared" si="344"/>
        <v>0</v>
      </c>
      <c r="AI619" s="186">
        <f t="shared" si="344"/>
        <v>0</v>
      </c>
      <c r="AJ619" s="186">
        <f t="shared" si="344"/>
        <v>0</v>
      </c>
      <c r="AK619" s="186">
        <f t="shared" si="344"/>
        <v>0</v>
      </c>
      <c r="AL619" s="186">
        <f t="shared" si="344"/>
        <v>0</v>
      </c>
      <c r="AM619" s="186">
        <f t="shared" si="344"/>
        <v>0</v>
      </c>
      <c r="AN619" s="186">
        <f t="shared" si="344"/>
        <v>0</v>
      </c>
      <c r="AO619" s="186">
        <f t="shared" si="344"/>
        <v>0</v>
      </c>
      <c r="AP619" s="186">
        <f t="shared" si="344"/>
        <v>0</v>
      </c>
    </row>
    <row r="620" spans="1:42">
      <c r="A620" s="37">
        <f>A619+1</f>
        <v>2</v>
      </c>
      <c r="B620" s="255">
        <f t="shared" si="343"/>
        <v>7699902.5639943322</v>
      </c>
      <c r="C620" s="186">
        <f t="shared" ref="C620:AP626" si="345">IF(AND(C$2&gt;MMFrequency2*$A607,C$2&lt;=MMFrequency2*$A608),$B608/(MMFrequency2),0)</f>
        <v>0</v>
      </c>
      <c r="D620" s="186">
        <f t="shared" si="345"/>
        <v>0</v>
      </c>
      <c r="E620" s="186">
        <f t="shared" si="345"/>
        <v>0</v>
      </c>
      <c r="F620" s="186">
        <f t="shared" si="345"/>
        <v>0</v>
      </c>
      <c r="G620" s="186">
        <f t="shared" si="345"/>
        <v>0</v>
      </c>
      <c r="H620" s="186">
        <f t="shared" si="345"/>
        <v>0</v>
      </c>
      <c r="I620" s="186">
        <f t="shared" si="345"/>
        <v>0</v>
      </c>
      <c r="J620" s="186">
        <f t="shared" si="345"/>
        <v>0</v>
      </c>
      <c r="K620" s="186">
        <f t="shared" si="345"/>
        <v>0</v>
      </c>
      <c r="L620" s="186">
        <f t="shared" si="345"/>
        <v>0</v>
      </c>
      <c r="M620" s="186">
        <f t="shared" si="345"/>
        <v>0</v>
      </c>
      <c r="N620" s="186">
        <f t="shared" si="345"/>
        <v>0</v>
      </c>
      <c r="O620" s="186">
        <f t="shared" si="345"/>
        <v>0</v>
      </c>
      <c r="P620" s="186">
        <f t="shared" si="345"/>
        <v>0</v>
      </c>
      <c r="Q620" s="186">
        <f t="shared" si="345"/>
        <v>0</v>
      </c>
      <c r="R620" s="186">
        <f t="shared" si="345"/>
        <v>513326.83759962226</v>
      </c>
      <c r="S620" s="186">
        <f t="shared" si="345"/>
        <v>513326.83759962226</v>
      </c>
      <c r="T620" s="186">
        <f t="shared" si="345"/>
        <v>513326.83759962226</v>
      </c>
      <c r="U620" s="186">
        <f t="shared" si="345"/>
        <v>513326.83759962226</v>
      </c>
      <c r="V620" s="186">
        <f t="shared" si="345"/>
        <v>513326.83759962226</v>
      </c>
      <c r="W620" s="186">
        <f t="shared" si="345"/>
        <v>513326.83759962226</v>
      </c>
      <c r="X620" s="186">
        <f t="shared" si="345"/>
        <v>513326.83759962226</v>
      </c>
      <c r="Y620" s="186">
        <f t="shared" si="345"/>
        <v>513326.83759962226</v>
      </c>
      <c r="Z620" s="186">
        <f t="shared" si="345"/>
        <v>513326.83759962226</v>
      </c>
      <c r="AA620" s="186">
        <f t="shared" si="345"/>
        <v>513326.83759962226</v>
      </c>
      <c r="AB620" s="186">
        <f t="shared" si="345"/>
        <v>513326.83759962226</v>
      </c>
      <c r="AC620" s="186">
        <f t="shared" si="345"/>
        <v>513326.83759962226</v>
      </c>
      <c r="AD620" s="186">
        <f t="shared" si="345"/>
        <v>513326.83759962226</v>
      </c>
      <c r="AE620" s="186">
        <f t="shared" si="345"/>
        <v>513326.83759962226</v>
      </c>
      <c r="AF620" s="186">
        <f t="shared" si="345"/>
        <v>513326.83759962226</v>
      </c>
      <c r="AG620" s="186">
        <f t="shared" si="345"/>
        <v>0</v>
      </c>
      <c r="AH620" s="186">
        <f t="shared" si="345"/>
        <v>0</v>
      </c>
      <c r="AI620" s="186">
        <f t="shared" si="345"/>
        <v>0</v>
      </c>
      <c r="AJ620" s="186">
        <f t="shared" si="345"/>
        <v>0</v>
      </c>
      <c r="AK620" s="186">
        <f t="shared" si="345"/>
        <v>0</v>
      </c>
      <c r="AL620" s="186">
        <f t="shared" si="345"/>
        <v>0</v>
      </c>
      <c r="AM620" s="186">
        <f t="shared" si="345"/>
        <v>0</v>
      </c>
      <c r="AN620" s="186">
        <f t="shared" si="345"/>
        <v>0</v>
      </c>
      <c r="AO620" s="186">
        <f t="shared" si="345"/>
        <v>0</v>
      </c>
      <c r="AP620" s="186">
        <f t="shared" si="345"/>
        <v>0</v>
      </c>
    </row>
    <row r="621" spans="1:42">
      <c r="A621" s="37">
        <f t="shared" ref="A621:A626" si="346">A620+1</f>
        <v>3</v>
      </c>
      <c r="B621" s="255">
        <f t="shared" si="343"/>
        <v>0</v>
      </c>
      <c r="C621" s="186">
        <f t="shared" si="345"/>
        <v>0</v>
      </c>
      <c r="D621" s="186">
        <f t="shared" si="345"/>
        <v>0</v>
      </c>
      <c r="E621" s="186">
        <f t="shared" si="345"/>
        <v>0</v>
      </c>
      <c r="F621" s="186">
        <f t="shared" si="345"/>
        <v>0</v>
      </c>
      <c r="G621" s="186">
        <f t="shared" si="345"/>
        <v>0</v>
      </c>
      <c r="H621" s="186">
        <f t="shared" si="345"/>
        <v>0</v>
      </c>
      <c r="I621" s="186">
        <f t="shared" si="345"/>
        <v>0</v>
      </c>
      <c r="J621" s="186">
        <f t="shared" si="345"/>
        <v>0</v>
      </c>
      <c r="K621" s="186">
        <f t="shared" si="345"/>
        <v>0</v>
      </c>
      <c r="L621" s="186">
        <f t="shared" si="345"/>
        <v>0</v>
      </c>
      <c r="M621" s="186">
        <f t="shared" si="345"/>
        <v>0</v>
      </c>
      <c r="N621" s="186">
        <f t="shared" si="345"/>
        <v>0</v>
      </c>
      <c r="O621" s="186">
        <f t="shared" si="345"/>
        <v>0</v>
      </c>
      <c r="P621" s="186">
        <f t="shared" si="345"/>
        <v>0</v>
      </c>
      <c r="Q621" s="186">
        <f t="shared" si="345"/>
        <v>0</v>
      </c>
      <c r="R621" s="186">
        <f t="shared" si="345"/>
        <v>0</v>
      </c>
      <c r="S621" s="186">
        <f t="shared" si="345"/>
        <v>0</v>
      </c>
      <c r="T621" s="186">
        <f t="shared" si="345"/>
        <v>0</v>
      </c>
      <c r="U621" s="186">
        <f t="shared" si="345"/>
        <v>0</v>
      </c>
      <c r="V621" s="186">
        <f t="shared" si="345"/>
        <v>0</v>
      </c>
      <c r="W621" s="186">
        <f t="shared" si="345"/>
        <v>0</v>
      </c>
      <c r="X621" s="186">
        <f t="shared" si="345"/>
        <v>0</v>
      </c>
      <c r="Y621" s="186">
        <f t="shared" si="345"/>
        <v>0</v>
      </c>
      <c r="Z621" s="186">
        <f t="shared" si="345"/>
        <v>0</v>
      </c>
      <c r="AA621" s="186">
        <f t="shared" si="345"/>
        <v>0</v>
      </c>
      <c r="AB621" s="186">
        <f t="shared" si="345"/>
        <v>0</v>
      </c>
      <c r="AC621" s="186">
        <f t="shared" si="345"/>
        <v>0</v>
      </c>
      <c r="AD621" s="186">
        <f t="shared" si="345"/>
        <v>0</v>
      </c>
      <c r="AE621" s="186">
        <f t="shared" si="345"/>
        <v>0</v>
      </c>
      <c r="AF621" s="186">
        <f t="shared" si="345"/>
        <v>0</v>
      </c>
      <c r="AG621" s="186">
        <f t="shared" si="345"/>
        <v>0</v>
      </c>
      <c r="AH621" s="186">
        <f t="shared" si="345"/>
        <v>0</v>
      </c>
      <c r="AI621" s="186">
        <f t="shared" si="345"/>
        <v>0</v>
      </c>
      <c r="AJ621" s="186">
        <f t="shared" si="345"/>
        <v>0</v>
      </c>
      <c r="AK621" s="186">
        <f t="shared" si="345"/>
        <v>0</v>
      </c>
      <c r="AL621" s="186">
        <f t="shared" si="345"/>
        <v>0</v>
      </c>
      <c r="AM621" s="186">
        <f t="shared" si="345"/>
        <v>0</v>
      </c>
      <c r="AN621" s="186">
        <f t="shared" si="345"/>
        <v>0</v>
      </c>
      <c r="AO621" s="186">
        <f t="shared" si="345"/>
        <v>0</v>
      </c>
      <c r="AP621" s="186">
        <f t="shared" si="345"/>
        <v>0</v>
      </c>
    </row>
    <row r="622" spans="1:42">
      <c r="A622" s="37">
        <f t="shared" si="346"/>
        <v>4</v>
      </c>
      <c r="B622" s="255">
        <f t="shared" si="343"/>
        <v>0</v>
      </c>
      <c r="C622" s="186">
        <f t="shared" si="345"/>
        <v>0</v>
      </c>
      <c r="D622" s="186">
        <f t="shared" si="345"/>
        <v>0</v>
      </c>
      <c r="E622" s="186">
        <f t="shared" si="345"/>
        <v>0</v>
      </c>
      <c r="F622" s="186">
        <f t="shared" si="345"/>
        <v>0</v>
      </c>
      <c r="G622" s="186">
        <f t="shared" si="345"/>
        <v>0</v>
      </c>
      <c r="H622" s="186">
        <f t="shared" si="345"/>
        <v>0</v>
      </c>
      <c r="I622" s="186">
        <f t="shared" si="345"/>
        <v>0</v>
      </c>
      <c r="J622" s="186">
        <f t="shared" si="345"/>
        <v>0</v>
      </c>
      <c r="K622" s="186">
        <f t="shared" si="345"/>
        <v>0</v>
      </c>
      <c r="L622" s="186">
        <f t="shared" si="345"/>
        <v>0</v>
      </c>
      <c r="M622" s="186">
        <f t="shared" si="345"/>
        <v>0</v>
      </c>
      <c r="N622" s="186">
        <f t="shared" si="345"/>
        <v>0</v>
      </c>
      <c r="O622" s="186">
        <f t="shared" si="345"/>
        <v>0</v>
      </c>
      <c r="P622" s="186">
        <f t="shared" si="345"/>
        <v>0</v>
      </c>
      <c r="Q622" s="186">
        <f t="shared" si="345"/>
        <v>0</v>
      </c>
      <c r="R622" s="186">
        <f t="shared" si="345"/>
        <v>0</v>
      </c>
      <c r="S622" s="186">
        <f t="shared" si="345"/>
        <v>0</v>
      </c>
      <c r="T622" s="186">
        <f t="shared" si="345"/>
        <v>0</v>
      </c>
      <c r="U622" s="186">
        <f t="shared" si="345"/>
        <v>0</v>
      </c>
      <c r="V622" s="186">
        <f t="shared" si="345"/>
        <v>0</v>
      </c>
      <c r="W622" s="186">
        <f t="shared" si="345"/>
        <v>0</v>
      </c>
      <c r="X622" s="186">
        <f t="shared" si="345"/>
        <v>0</v>
      </c>
      <c r="Y622" s="186">
        <f t="shared" si="345"/>
        <v>0</v>
      </c>
      <c r="Z622" s="186">
        <f t="shared" si="345"/>
        <v>0</v>
      </c>
      <c r="AA622" s="186">
        <f t="shared" si="345"/>
        <v>0</v>
      </c>
      <c r="AB622" s="186">
        <f t="shared" si="345"/>
        <v>0</v>
      </c>
      <c r="AC622" s="186">
        <f t="shared" si="345"/>
        <v>0</v>
      </c>
      <c r="AD622" s="186">
        <f t="shared" si="345"/>
        <v>0</v>
      </c>
      <c r="AE622" s="186">
        <f t="shared" si="345"/>
        <v>0</v>
      </c>
      <c r="AF622" s="186">
        <f t="shared" si="345"/>
        <v>0</v>
      </c>
      <c r="AG622" s="186">
        <f t="shared" si="345"/>
        <v>0</v>
      </c>
      <c r="AH622" s="186">
        <f t="shared" si="345"/>
        <v>0</v>
      </c>
      <c r="AI622" s="186">
        <f t="shared" si="345"/>
        <v>0</v>
      </c>
      <c r="AJ622" s="186">
        <f t="shared" si="345"/>
        <v>0</v>
      </c>
      <c r="AK622" s="186">
        <f t="shared" si="345"/>
        <v>0</v>
      </c>
      <c r="AL622" s="186">
        <f t="shared" si="345"/>
        <v>0</v>
      </c>
      <c r="AM622" s="186">
        <f t="shared" si="345"/>
        <v>0</v>
      </c>
      <c r="AN622" s="186">
        <f t="shared" si="345"/>
        <v>0</v>
      </c>
      <c r="AO622" s="186">
        <f t="shared" si="345"/>
        <v>0</v>
      </c>
      <c r="AP622" s="186">
        <f t="shared" si="345"/>
        <v>0</v>
      </c>
    </row>
    <row r="623" spans="1:42">
      <c r="A623" s="37">
        <f t="shared" si="346"/>
        <v>5</v>
      </c>
      <c r="B623" s="255">
        <f t="shared" si="343"/>
        <v>0</v>
      </c>
      <c r="C623" s="186">
        <f t="shared" si="345"/>
        <v>0</v>
      </c>
      <c r="D623" s="186">
        <f t="shared" si="345"/>
        <v>0</v>
      </c>
      <c r="E623" s="186">
        <f t="shared" si="345"/>
        <v>0</v>
      </c>
      <c r="F623" s="186">
        <f t="shared" si="345"/>
        <v>0</v>
      </c>
      <c r="G623" s="186">
        <f t="shared" si="345"/>
        <v>0</v>
      </c>
      <c r="H623" s="186">
        <f t="shared" si="345"/>
        <v>0</v>
      </c>
      <c r="I623" s="186">
        <f t="shared" si="345"/>
        <v>0</v>
      </c>
      <c r="J623" s="186">
        <f t="shared" si="345"/>
        <v>0</v>
      </c>
      <c r="K623" s="186">
        <f t="shared" si="345"/>
        <v>0</v>
      </c>
      <c r="L623" s="186">
        <f t="shared" si="345"/>
        <v>0</v>
      </c>
      <c r="M623" s="186">
        <f t="shared" si="345"/>
        <v>0</v>
      </c>
      <c r="N623" s="186">
        <f t="shared" si="345"/>
        <v>0</v>
      </c>
      <c r="O623" s="186">
        <f t="shared" si="345"/>
        <v>0</v>
      </c>
      <c r="P623" s="186">
        <f t="shared" si="345"/>
        <v>0</v>
      </c>
      <c r="Q623" s="186">
        <f t="shared" si="345"/>
        <v>0</v>
      </c>
      <c r="R623" s="186">
        <f t="shared" si="345"/>
        <v>0</v>
      </c>
      <c r="S623" s="186">
        <f t="shared" si="345"/>
        <v>0</v>
      </c>
      <c r="T623" s="186">
        <f t="shared" si="345"/>
        <v>0</v>
      </c>
      <c r="U623" s="186">
        <f t="shared" si="345"/>
        <v>0</v>
      </c>
      <c r="V623" s="186">
        <f t="shared" si="345"/>
        <v>0</v>
      </c>
      <c r="W623" s="186">
        <f t="shared" si="345"/>
        <v>0</v>
      </c>
      <c r="X623" s="186">
        <f t="shared" si="345"/>
        <v>0</v>
      </c>
      <c r="Y623" s="186">
        <f t="shared" si="345"/>
        <v>0</v>
      </c>
      <c r="Z623" s="186">
        <f t="shared" si="345"/>
        <v>0</v>
      </c>
      <c r="AA623" s="186">
        <f t="shared" si="345"/>
        <v>0</v>
      </c>
      <c r="AB623" s="186">
        <f t="shared" si="345"/>
        <v>0</v>
      </c>
      <c r="AC623" s="186">
        <f t="shared" si="345"/>
        <v>0</v>
      </c>
      <c r="AD623" s="186">
        <f t="shared" si="345"/>
        <v>0</v>
      </c>
      <c r="AE623" s="186">
        <f t="shared" si="345"/>
        <v>0</v>
      </c>
      <c r="AF623" s="186">
        <f t="shared" si="345"/>
        <v>0</v>
      </c>
      <c r="AG623" s="186">
        <f t="shared" si="345"/>
        <v>0</v>
      </c>
      <c r="AH623" s="186">
        <f t="shared" si="345"/>
        <v>0</v>
      </c>
      <c r="AI623" s="186">
        <f t="shared" si="345"/>
        <v>0</v>
      </c>
      <c r="AJ623" s="186">
        <f t="shared" si="345"/>
        <v>0</v>
      </c>
      <c r="AK623" s="186">
        <f t="shared" si="345"/>
        <v>0</v>
      </c>
      <c r="AL623" s="186">
        <f t="shared" si="345"/>
        <v>0</v>
      </c>
      <c r="AM623" s="186">
        <f t="shared" si="345"/>
        <v>0</v>
      </c>
      <c r="AN623" s="186">
        <f t="shared" si="345"/>
        <v>0</v>
      </c>
      <c r="AO623" s="186">
        <f t="shared" si="345"/>
        <v>0</v>
      </c>
      <c r="AP623" s="186">
        <f t="shared" si="345"/>
        <v>0</v>
      </c>
    </row>
    <row r="624" spans="1:42">
      <c r="A624" s="37">
        <f t="shared" si="346"/>
        <v>6</v>
      </c>
      <c r="B624" s="255">
        <f t="shared" si="343"/>
        <v>0</v>
      </c>
      <c r="C624" s="186">
        <f t="shared" si="345"/>
        <v>0</v>
      </c>
      <c r="D624" s="186">
        <f t="shared" si="345"/>
        <v>0</v>
      </c>
      <c r="E624" s="186">
        <f t="shared" si="345"/>
        <v>0</v>
      </c>
      <c r="F624" s="186">
        <f t="shared" si="345"/>
        <v>0</v>
      </c>
      <c r="G624" s="186">
        <f t="shared" si="345"/>
        <v>0</v>
      </c>
      <c r="H624" s="186">
        <f t="shared" si="345"/>
        <v>0</v>
      </c>
      <c r="I624" s="186">
        <f t="shared" si="345"/>
        <v>0</v>
      </c>
      <c r="J624" s="186">
        <f t="shared" si="345"/>
        <v>0</v>
      </c>
      <c r="K624" s="186">
        <f t="shared" si="345"/>
        <v>0</v>
      </c>
      <c r="L624" s="186">
        <f t="shared" si="345"/>
        <v>0</v>
      </c>
      <c r="M624" s="186">
        <f t="shared" si="345"/>
        <v>0</v>
      </c>
      <c r="N624" s="186">
        <f t="shared" si="345"/>
        <v>0</v>
      </c>
      <c r="O624" s="186">
        <f t="shared" si="345"/>
        <v>0</v>
      </c>
      <c r="P624" s="186">
        <f t="shared" si="345"/>
        <v>0</v>
      </c>
      <c r="Q624" s="186">
        <f t="shared" si="345"/>
        <v>0</v>
      </c>
      <c r="R624" s="186">
        <f t="shared" si="345"/>
        <v>0</v>
      </c>
      <c r="S624" s="186">
        <f t="shared" si="345"/>
        <v>0</v>
      </c>
      <c r="T624" s="186">
        <f t="shared" si="345"/>
        <v>0</v>
      </c>
      <c r="U624" s="186">
        <f t="shared" si="345"/>
        <v>0</v>
      </c>
      <c r="V624" s="186">
        <f t="shared" si="345"/>
        <v>0</v>
      </c>
      <c r="W624" s="186">
        <f t="shared" si="345"/>
        <v>0</v>
      </c>
      <c r="X624" s="186">
        <f t="shared" si="345"/>
        <v>0</v>
      </c>
      <c r="Y624" s="186">
        <f t="shared" si="345"/>
        <v>0</v>
      </c>
      <c r="Z624" s="186">
        <f t="shared" si="345"/>
        <v>0</v>
      </c>
      <c r="AA624" s="186">
        <f t="shared" si="345"/>
        <v>0</v>
      </c>
      <c r="AB624" s="186">
        <f t="shared" si="345"/>
        <v>0</v>
      </c>
      <c r="AC624" s="186">
        <f t="shared" si="345"/>
        <v>0</v>
      </c>
      <c r="AD624" s="186">
        <f t="shared" si="345"/>
        <v>0</v>
      </c>
      <c r="AE624" s="186">
        <f t="shared" si="345"/>
        <v>0</v>
      </c>
      <c r="AF624" s="186">
        <f t="shared" si="345"/>
        <v>0</v>
      </c>
      <c r="AG624" s="186">
        <f t="shared" si="345"/>
        <v>0</v>
      </c>
      <c r="AH624" s="186">
        <f t="shared" si="345"/>
        <v>0</v>
      </c>
      <c r="AI624" s="186">
        <f t="shared" si="345"/>
        <v>0</v>
      </c>
      <c r="AJ624" s="186">
        <f t="shared" si="345"/>
        <v>0</v>
      </c>
      <c r="AK624" s="186">
        <f t="shared" si="345"/>
        <v>0</v>
      </c>
      <c r="AL624" s="186">
        <f t="shared" si="345"/>
        <v>0</v>
      </c>
      <c r="AM624" s="186">
        <f t="shared" si="345"/>
        <v>0</v>
      </c>
      <c r="AN624" s="186">
        <f t="shared" si="345"/>
        <v>0</v>
      </c>
      <c r="AO624" s="186">
        <f t="shared" si="345"/>
        <v>0</v>
      </c>
      <c r="AP624" s="186">
        <f t="shared" si="345"/>
        <v>0</v>
      </c>
    </row>
    <row r="625" spans="1:42">
      <c r="A625" s="37">
        <f t="shared" si="346"/>
        <v>7</v>
      </c>
      <c r="B625" s="255">
        <f t="shared" si="343"/>
        <v>0</v>
      </c>
      <c r="C625" s="186">
        <f t="shared" si="345"/>
        <v>0</v>
      </c>
      <c r="D625" s="186">
        <f t="shared" si="345"/>
        <v>0</v>
      </c>
      <c r="E625" s="186">
        <f t="shared" si="345"/>
        <v>0</v>
      </c>
      <c r="F625" s="186">
        <f t="shared" si="345"/>
        <v>0</v>
      </c>
      <c r="G625" s="186">
        <f t="shared" si="345"/>
        <v>0</v>
      </c>
      <c r="H625" s="186">
        <f t="shared" si="345"/>
        <v>0</v>
      </c>
      <c r="I625" s="186">
        <f t="shared" si="345"/>
        <v>0</v>
      </c>
      <c r="J625" s="186">
        <f t="shared" si="345"/>
        <v>0</v>
      </c>
      <c r="K625" s="186">
        <f t="shared" si="345"/>
        <v>0</v>
      </c>
      <c r="L625" s="186">
        <f t="shared" si="345"/>
        <v>0</v>
      </c>
      <c r="M625" s="186">
        <f t="shared" si="345"/>
        <v>0</v>
      </c>
      <c r="N625" s="186">
        <f t="shared" si="345"/>
        <v>0</v>
      </c>
      <c r="O625" s="186">
        <f t="shared" si="345"/>
        <v>0</v>
      </c>
      <c r="P625" s="186">
        <f t="shared" si="345"/>
        <v>0</v>
      </c>
      <c r="Q625" s="186">
        <f t="shared" si="345"/>
        <v>0</v>
      </c>
      <c r="R625" s="186">
        <f t="shared" si="345"/>
        <v>0</v>
      </c>
      <c r="S625" s="186">
        <f t="shared" si="345"/>
        <v>0</v>
      </c>
      <c r="T625" s="186">
        <f t="shared" si="345"/>
        <v>0</v>
      </c>
      <c r="U625" s="186">
        <f t="shared" si="345"/>
        <v>0</v>
      </c>
      <c r="V625" s="186">
        <f t="shared" si="345"/>
        <v>0</v>
      </c>
      <c r="W625" s="186">
        <f t="shared" si="345"/>
        <v>0</v>
      </c>
      <c r="X625" s="186">
        <f t="shared" si="345"/>
        <v>0</v>
      </c>
      <c r="Y625" s="186">
        <f t="shared" si="345"/>
        <v>0</v>
      </c>
      <c r="Z625" s="186">
        <f t="shared" si="345"/>
        <v>0</v>
      </c>
      <c r="AA625" s="186">
        <f t="shared" si="345"/>
        <v>0</v>
      </c>
      <c r="AB625" s="186">
        <f t="shared" si="345"/>
        <v>0</v>
      </c>
      <c r="AC625" s="186">
        <f t="shared" si="345"/>
        <v>0</v>
      </c>
      <c r="AD625" s="186">
        <f t="shared" si="345"/>
        <v>0</v>
      </c>
      <c r="AE625" s="186">
        <f t="shared" si="345"/>
        <v>0</v>
      </c>
      <c r="AF625" s="186">
        <f t="shared" si="345"/>
        <v>0</v>
      </c>
      <c r="AG625" s="186">
        <f t="shared" si="345"/>
        <v>0</v>
      </c>
      <c r="AH625" s="186">
        <f t="shared" si="345"/>
        <v>0</v>
      </c>
      <c r="AI625" s="186">
        <f t="shared" si="345"/>
        <v>0</v>
      </c>
      <c r="AJ625" s="186">
        <f t="shared" si="345"/>
        <v>0</v>
      </c>
      <c r="AK625" s="186">
        <f t="shared" si="345"/>
        <v>0</v>
      </c>
      <c r="AL625" s="186">
        <f t="shared" si="345"/>
        <v>0</v>
      </c>
      <c r="AM625" s="186">
        <f t="shared" si="345"/>
        <v>0</v>
      </c>
      <c r="AN625" s="186">
        <f t="shared" si="345"/>
        <v>0</v>
      </c>
      <c r="AO625" s="186">
        <f t="shared" si="345"/>
        <v>0</v>
      </c>
      <c r="AP625" s="186">
        <f t="shared" si="345"/>
        <v>0</v>
      </c>
    </row>
    <row r="626" spans="1:42">
      <c r="A626" s="37">
        <f t="shared" si="346"/>
        <v>8</v>
      </c>
      <c r="B626" s="255">
        <f t="shared" si="343"/>
        <v>0</v>
      </c>
      <c r="C626" s="186">
        <f t="shared" si="345"/>
        <v>0</v>
      </c>
      <c r="D626" s="186">
        <f t="shared" si="345"/>
        <v>0</v>
      </c>
      <c r="E626" s="186">
        <f t="shared" si="345"/>
        <v>0</v>
      </c>
      <c r="F626" s="186">
        <f t="shared" si="345"/>
        <v>0</v>
      </c>
      <c r="G626" s="186">
        <f t="shared" si="345"/>
        <v>0</v>
      </c>
      <c r="H626" s="186">
        <f t="shared" si="345"/>
        <v>0</v>
      </c>
      <c r="I626" s="186">
        <f t="shared" si="345"/>
        <v>0</v>
      </c>
      <c r="J626" s="186">
        <f t="shared" si="345"/>
        <v>0</v>
      </c>
      <c r="K626" s="186">
        <f t="shared" si="345"/>
        <v>0</v>
      </c>
      <c r="L626" s="186">
        <f t="shared" si="345"/>
        <v>0</v>
      </c>
      <c r="M626" s="186">
        <f t="shared" si="345"/>
        <v>0</v>
      </c>
      <c r="N626" s="186">
        <f t="shared" si="345"/>
        <v>0</v>
      </c>
      <c r="O626" s="186">
        <f t="shared" si="345"/>
        <v>0</v>
      </c>
      <c r="P626" s="186">
        <f t="shared" si="345"/>
        <v>0</v>
      </c>
      <c r="Q626" s="186">
        <f t="shared" si="345"/>
        <v>0</v>
      </c>
      <c r="R626" s="186">
        <f t="shared" ref="R626:AP626" si="347">IF(AND(R$2&gt;MMFrequency2*$A613,R$2&lt;=MMFrequency2*$A614),$B614/(MMFrequency2),0)</f>
        <v>0</v>
      </c>
      <c r="S626" s="186">
        <f t="shared" si="347"/>
        <v>0</v>
      </c>
      <c r="T626" s="186">
        <f t="shared" si="347"/>
        <v>0</v>
      </c>
      <c r="U626" s="186">
        <f t="shared" si="347"/>
        <v>0</v>
      </c>
      <c r="V626" s="186">
        <f t="shared" si="347"/>
        <v>0</v>
      </c>
      <c r="W626" s="186">
        <f t="shared" si="347"/>
        <v>0</v>
      </c>
      <c r="X626" s="186">
        <f t="shared" si="347"/>
        <v>0</v>
      </c>
      <c r="Y626" s="186">
        <f t="shared" si="347"/>
        <v>0</v>
      </c>
      <c r="Z626" s="186">
        <f t="shared" si="347"/>
        <v>0</v>
      </c>
      <c r="AA626" s="186">
        <f t="shared" si="347"/>
        <v>0</v>
      </c>
      <c r="AB626" s="186">
        <f t="shared" si="347"/>
        <v>0</v>
      </c>
      <c r="AC626" s="186">
        <f t="shared" si="347"/>
        <v>0</v>
      </c>
      <c r="AD626" s="186">
        <f t="shared" si="347"/>
        <v>0</v>
      </c>
      <c r="AE626" s="186">
        <f t="shared" si="347"/>
        <v>0</v>
      </c>
      <c r="AF626" s="186">
        <f t="shared" si="347"/>
        <v>0</v>
      </c>
      <c r="AG626" s="186">
        <f t="shared" si="347"/>
        <v>0</v>
      </c>
      <c r="AH626" s="186">
        <f t="shared" si="347"/>
        <v>0</v>
      </c>
      <c r="AI626" s="186">
        <f t="shared" si="347"/>
        <v>0</v>
      </c>
      <c r="AJ626" s="186">
        <f t="shared" si="347"/>
        <v>0</v>
      </c>
      <c r="AK626" s="186">
        <f t="shared" si="347"/>
        <v>0</v>
      </c>
      <c r="AL626" s="186">
        <f t="shared" si="347"/>
        <v>0</v>
      </c>
      <c r="AM626" s="186">
        <f t="shared" si="347"/>
        <v>0</v>
      </c>
      <c r="AN626" s="186">
        <f t="shared" si="347"/>
        <v>0</v>
      </c>
      <c r="AO626" s="186">
        <f t="shared" si="347"/>
        <v>0</v>
      </c>
      <c r="AP626" s="186">
        <f t="shared" si="347"/>
        <v>0</v>
      </c>
    </row>
    <row r="627" spans="1:42">
      <c r="A627" s="37">
        <f>A626+1</f>
        <v>9</v>
      </c>
      <c r="B627" s="255">
        <f t="shared" si="343"/>
        <v>0</v>
      </c>
      <c r="C627" s="186">
        <f t="shared" ref="C627:AP628" si="348">IF(AND(C$2&gt;MMFrequency2*$A614,C$2&lt;=MMFrequency2*$A615),$B615/(MMFrequency2),0)</f>
        <v>0</v>
      </c>
      <c r="D627" s="186">
        <f t="shared" si="348"/>
        <v>0</v>
      </c>
      <c r="E627" s="186">
        <f t="shared" si="348"/>
        <v>0</v>
      </c>
      <c r="F627" s="186">
        <f t="shared" si="348"/>
        <v>0</v>
      </c>
      <c r="G627" s="186">
        <f t="shared" si="348"/>
        <v>0</v>
      </c>
      <c r="H627" s="186">
        <f t="shared" si="348"/>
        <v>0</v>
      </c>
      <c r="I627" s="186">
        <f t="shared" si="348"/>
        <v>0</v>
      </c>
      <c r="J627" s="186">
        <f t="shared" si="348"/>
        <v>0</v>
      </c>
      <c r="K627" s="186">
        <f t="shared" si="348"/>
        <v>0</v>
      </c>
      <c r="L627" s="186">
        <f t="shared" si="348"/>
        <v>0</v>
      </c>
      <c r="M627" s="186">
        <f t="shared" si="348"/>
        <v>0</v>
      </c>
      <c r="N627" s="186">
        <f t="shared" si="348"/>
        <v>0</v>
      </c>
      <c r="O627" s="186">
        <f t="shared" si="348"/>
        <v>0</v>
      </c>
      <c r="P627" s="186">
        <f t="shared" si="348"/>
        <v>0</v>
      </c>
      <c r="Q627" s="186">
        <f t="shared" si="348"/>
        <v>0</v>
      </c>
      <c r="R627" s="186">
        <f t="shared" si="348"/>
        <v>0</v>
      </c>
      <c r="S627" s="186">
        <f t="shared" si="348"/>
        <v>0</v>
      </c>
      <c r="T627" s="186">
        <f t="shared" si="348"/>
        <v>0</v>
      </c>
      <c r="U627" s="186">
        <f t="shared" si="348"/>
        <v>0</v>
      </c>
      <c r="V627" s="186">
        <f t="shared" si="348"/>
        <v>0</v>
      </c>
      <c r="W627" s="186">
        <f t="shared" si="348"/>
        <v>0</v>
      </c>
      <c r="X627" s="186">
        <f t="shared" si="348"/>
        <v>0</v>
      </c>
      <c r="Y627" s="186">
        <f t="shared" si="348"/>
        <v>0</v>
      </c>
      <c r="Z627" s="186">
        <f t="shared" si="348"/>
        <v>0</v>
      </c>
      <c r="AA627" s="186">
        <f t="shared" si="348"/>
        <v>0</v>
      </c>
      <c r="AB627" s="186">
        <f t="shared" si="348"/>
        <v>0</v>
      </c>
      <c r="AC627" s="186">
        <f t="shared" si="348"/>
        <v>0</v>
      </c>
      <c r="AD627" s="186">
        <f t="shared" si="348"/>
        <v>0</v>
      </c>
      <c r="AE627" s="186">
        <f t="shared" si="348"/>
        <v>0</v>
      </c>
      <c r="AF627" s="186">
        <f t="shared" si="348"/>
        <v>0</v>
      </c>
      <c r="AG627" s="186">
        <f t="shared" si="348"/>
        <v>0</v>
      </c>
      <c r="AH627" s="186">
        <f t="shared" si="348"/>
        <v>0</v>
      </c>
      <c r="AI627" s="186">
        <f t="shared" si="348"/>
        <v>0</v>
      </c>
      <c r="AJ627" s="186">
        <f t="shared" si="348"/>
        <v>0</v>
      </c>
      <c r="AK627" s="186">
        <f t="shared" si="348"/>
        <v>0</v>
      </c>
      <c r="AL627" s="186">
        <f t="shared" si="348"/>
        <v>0</v>
      </c>
      <c r="AM627" s="186">
        <f t="shared" si="348"/>
        <v>0</v>
      </c>
      <c r="AN627" s="186">
        <f t="shared" si="348"/>
        <v>0</v>
      </c>
      <c r="AO627" s="186">
        <f t="shared" si="348"/>
        <v>0</v>
      </c>
      <c r="AP627" s="186">
        <f t="shared" si="348"/>
        <v>0</v>
      </c>
    </row>
    <row r="628" spans="1:42">
      <c r="A628" s="37">
        <f t="shared" ref="A628" si="349">A627+1</f>
        <v>10</v>
      </c>
      <c r="B628" s="255">
        <f t="shared" si="343"/>
        <v>0</v>
      </c>
      <c r="C628" s="187">
        <f t="shared" si="348"/>
        <v>0</v>
      </c>
      <c r="D628" s="187">
        <f t="shared" si="348"/>
        <v>0</v>
      </c>
      <c r="E628" s="187">
        <f t="shared" si="348"/>
        <v>0</v>
      </c>
      <c r="F628" s="187">
        <f t="shared" si="348"/>
        <v>0</v>
      </c>
      <c r="G628" s="187">
        <f t="shared" si="348"/>
        <v>0</v>
      </c>
      <c r="H628" s="187">
        <f t="shared" si="348"/>
        <v>0</v>
      </c>
      <c r="I628" s="187">
        <f t="shared" si="348"/>
        <v>0</v>
      </c>
      <c r="J628" s="187">
        <f t="shared" si="348"/>
        <v>0</v>
      </c>
      <c r="K628" s="187">
        <f t="shared" si="348"/>
        <v>0</v>
      </c>
      <c r="L628" s="187">
        <f t="shared" si="348"/>
        <v>0</v>
      </c>
      <c r="M628" s="187">
        <f t="shared" si="348"/>
        <v>0</v>
      </c>
      <c r="N628" s="187">
        <f t="shared" si="348"/>
        <v>0</v>
      </c>
      <c r="O628" s="187">
        <f t="shared" si="348"/>
        <v>0</v>
      </c>
      <c r="P628" s="187">
        <f t="shared" si="348"/>
        <v>0</v>
      </c>
      <c r="Q628" s="187">
        <f t="shared" si="348"/>
        <v>0</v>
      </c>
      <c r="R628" s="187">
        <f t="shared" si="348"/>
        <v>0</v>
      </c>
      <c r="S628" s="187">
        <f t="shared" si="348"/>
        <v>0</v>
      </c>
      <c r="T628" s="187">
        <f t="shared" si="348"/>
        <v>0</v>
      </c>
      <c r="U628" s="187">
        <f t="shared" si="348"/>
        <v>0</v>
      </c>
      <c r="V628" s="187">
        <f t="shared" si="348"/>
        <v>0</v>
      </c>
      <c r="W628" s="187">
        <f t="shared" si="348"/>
        <v>0</v>
      </c>
      <c r="X628" s="187">
        <f t="shared" si="348"/>
        <v>0</v>
      </c>
      <c r="Y628" s="187">
        <f t="shared" si="348"/>
        <v>0</v>
      </c>
      <c r="Z628" s="187">
        <f t="shared" si="348"/>
        <v>0</v>
      </c>
      <c r="AA628" s="187">
        <f t="shared" si="348"/>
        <v>0</v>
      </c>
      <c r="AB628" s="187">
        <f t="shared" si="348"/>
        <v>0</v>
      </c>
      <c r="AC628" s="187">
        <f t="shared" si="348"/>
        <v>0</v>
      </c>
      <c r="AD628" s="187">
        <f t="shared" si="348"/>
        <v>0</v>
      </c>
      <c r="AE628" s="187">
        <f t="shared" si="348"/>
        <v>0</v>
      </c>
      <c r="AF628" s="187">
        <f t="shared" si="348"/>
        <v>0</v>
      </c>
      <c r="AG628" s="187">
        <f t="shared" si="348"/>
        <v>0</v>
      </c>
      <c r="AH628" s="187">
        <f t="shared" si="348"/>
        <v>0</v>
      </c>
      <c r="AI628" s="187">
        <f t="shared" si="348"/>
        <v>0</v>
      </c>
      <c r="AJ628" s="187">
        <f t="shared" si="348"/>
        <v>0</v>
      </c>
      <c r="AK628" s="187">
        <f t="shared" si="348"/>
        <v>0</v>
      </c>
      <c r="AL628" s="187">
        <f t="shared" si="348"/>
        <v>0</v>
      </c>
      <c r="AM628" s="187">
        <f t="shared" si="348"/>
        <v>0</v>
      </c>
      <c r="AN628" s="187">
        <f t="shared" si="348"/>
        <v>0</v>
      </c>
      <c r="AO628" s="187">
        <f t="shared" si="348"/>
        <v>0</v>
      </c>
      <c r="AP628" s="187">
        <f t="shared" si="348"/>
        <v>0</v>
      </c>
    </row>
    <row r="629" spans="1:42">
      <c r="A629" s="219" t="s">
        <v>53</v>
      </c>
      <c r="B629" s="186"/>
      <c r="C629" s="152">
        <f>SUM(C619:C628)</f>
        <v>410585.24356465257</v>
      </c>
      <c r="D629" s="152">
        <f t="shared" ref="D629:AP629" si="350">SUM(D619:D628)</f>
        <v>410585.24356465257</v>
      </c>
      <c r="E629" s="152">
        <f t="shared" si="350"/>
        <v>410585.24356465257</v>
      </c>
      <c r="F629" s="152">
        <f t="shared" si="350"/>
        <v>410585.24356465257</v>
      </c>
      <c r="G629" s="152">
        <f t="shared" si="350"/>
        <v>410585.24356465257</v>
      </c>
      <c r="H629" s="152">
        <f t="shared" si="350"/>
        <v>410585.24356465257</v>
      </c>
      <c r="I629" s="152">
        <f t="shared" si="350"/>
        <v>410585.24356465257</v>
      </c>
      <c r="J629" s="152">
        <f t="shared" si="350"/>
        <v>410585.24356465257</v>
      </c>
      <c r="K629" s="152">
        <f t="shared" si="350"/>
        <v>410585.24356465257</v>
      </c>
      <c r="L629" s="152">
        <f t="shared" si="350"/>
        <v>410585.24356465257</v>
      </c>
      <c r="M629" s="152">
        <f t="shared" si="350"/>
        <v>410585.24356465257</v>
      </c>
      <c r="N629" s="152">
        <f t="shared" si="350"/>
        <v>410585.24356465257</v>
      </c>
      <c r="O629" s="152">
        <f t="shared" si="350"/>
        <v>410585.24356465257</v>
      </c>
      <c r="P629" s="152">
        <f t="shared" si="350"/>
        <v>410585.24356465257</v>
      </c>
      <c r="Q629" s="152">
        <f t="shared" si="350"/>
        <v>410585.24356465257</v>
      </c>
      <c r="R629" s="152">
        <f t="shared" si="350"/>
        <v>513326.83759962226</v>
      </c>
      <c r="S629" s="152">
        <f t="shared" si="350"/>
        <v>513326.83759962226</v>
      </c>
      <c r="T629" s="152">
        <f t="shared" si="350"/>
        <v>513326.83759962226</v>
      </c>
      <c r="U629" s="152">
        <f t="shared" si="350"/>
        <v>513326.83759962226</v>
      </c>
      <c r="V629" s="152">
        <f t="shared" si="350"/>
        <v>513326.83759962226</v>
      </c>
      <c r="W629" s="152">
        <f t="shared" si="350"/>
        <v>513326.83759962226</v>
      </c>
      <c r="X629" s="152">
        <f t="shared" si="350"/>
        <v>513326.83759962226</v>
      </c>
      <c r="Y629" s="152">
        <f t="shared" si="350"/>
        <v>513326.83759962226</v>
      </c>
      <c r="Z629" s="152">
        <f t="shared" si="350"/>
        <v>513326.83759962226</v>
      </c>
      <c r="AA629" s="152">
        <f t="shared" si="350"/>
        <v>513326.83759962226</v>
      </c>
      <c r="AB629" s="152">
        <f t="shared" si="350"/>
        <v>513326.83759962226</v>
      </c>
      <c r="AC629" s="152">
        <f t="shared" si="350"/>
        <v>513326.83759962226</v>
      </c>
      <c r="AD629" s="152">
        <f t="shared" si="350"/>
        <v>513326.83759962226</v>
      </c>
      <c r="AE629" s="152">
        <f t="shared" si="350"/>
        <v>513326.83759962226</v>
      </c>
      <c r="AF629" s="152">
        <f t="shared" si="350"/>
        <v>513326.83759962226</v>
      </c>
      <c r="AG629" s="152">
        <f t="shared" si="350"/>
        <v>0</v>
      </c>
      <c r="AH629" s="152">
        <f t="shared" si="350"/>
        <v>0</v>
      </c>
      <c r="AI629" s="152">
        <f t="shared" si="350"/>
        <v>0</v>
      </c>
      <c r="AJ629" s="152">
        <f t="shared" si="350"/>
        <v>0</v>
      </c>
      <c r="AK629" s="152">
        <f t="shared" si="350"/>
        <v>0</v>
      </c>
      <c r="AL629" s="152">
        <f t="shared" si="350"/>
        <v>0</v>
      </c>
      <c r="AM629" s="152">
        <f t="shared" si="350"/>
        <v>0</v>
      </c>
      <c r="AN629" s="152">
        <f t="shared" si="350"/>
        <v>0</v>
      </c>
      <c r="AO629" s="152">
        <f t="shared" si="350"/>
        <v>0</v>
      </c>
      <c r="AP629" s="152">
        <f t="shared" si="350"/>
        <v>0</v>
      </c>
    </row>
    <row r="630" spans="1:42">
      <c r="B630" s="186"/>
      <c r="C630" s="152"/>
      <c r="D630" s="152"/>
      <c r="E630" s="152"/>
      <c r="F630" s="152"/>
      <c r="G630" s="152"/>
      <c r="H630" s="152"/>
      <c r="I630" s="152"/>
      <c r="J630" s="152"/>
      <c r="K630" s="152"/>
      <c r="L630" s="152"/>
      <c r="M630" s="152"/>
      <c r="N630" s="152"/>
      <c r="O630" s="152"/>
      <c r="P630" s="152"/>
      <c r="Q630" s="152"/>
      <c r="R630" s="152"/>
      <c r="S630" s="152"/>
      <c r="T630" s="152"/>
      <c r="U630" s="152"/>
      <c r="V630" s="152"/>
      <c r="W630" s="152"/>
      <c r="X630" s="152"/>
      <c r="Y630" s="152"/>
      <c r="Z630" s="152"/>
      <c r="AA630" s="152"/>
      <c r="AB630" s="152"/>
      <c r="AC630" s="152"/>
      <c r="AD630" s="152"/>
      <c r="AE630" s="152"/>
      <c r="AF630" s="152"/>
      <c r="AG630" s="152"/>
      <c r="AH630" s="152"/>
      <c r="AI630" s="152"/>
      <c r="AJ630" s="152"/>
      <c r="AK630" s="152"/>
      <c r="AL630" s="152"/>
      <c r="AM630" s="152"/>
      <c r="AN630" s="152"/>
      <c r="AO630" s="152"/>
      <c r="AP630" s="152"/>
    </row>
    <row r="631" spans="1:42">
      <c r="A631" s="182" t="s">
        <v>364</v>
      </c>
      <c r="C631" s="152"/>
      <c r="D631" s="152"/>
      <c r="E631" s="152"/>
      <c r="F631" s="152"/>
      <c r="G631" s="152"/>
      <c r="H631" s="152"/>
      <c r="I631" s="152"/>
      <c r="J631" s="152"/>
      <c r="K631" s="152"/>
      <c r="L631" s="152"/>
      <c r="M631" s="152"/>
      <c r="N631" s="152"/>
      <c r="O631" s="152"/>
      <c r="P631" s="152"/>
      <c r="Q631" s="152"/>
      <c r="R631" s="152"/>
      <c r="S631" s="152"/>
      <c r="T631" s="152"/>
      <c r="U631" s="152"/>
      <c r="V631" s="152"/>
      <c r="W631" s="152"/>
      <c r="X631" s="152"/>
      <c r="Y631" s="152"/>
      <c r="Z631" s="152"/>
      <c r="AA631" s="152"/>
      <c r="AB631" s="152"/>
      <c r="AC631" s="152"/>
      <c r="AD631" s="152"/>
      <c r="AE631" s="152"/>
      <c r="AF631" s="152"/>
      <c r="AG631" s="152"/>
      <c r="AH631" s="152"/>
      <c r="AI631" s="152"/>
      <c r="AJ631" s="152"/>
      <c r="AK631" s="152"/>
      <c r="AL631" s="152"/>
      <c r="AM631" s="152"/>
      <c r="AN631" s="152"/>
      <c r="AO631" s="152"/>
      <c r="AP631" s="152"/>
    </row>
    <row r="632" spans="1:42">
      <c r="A632" s="37" t="s">
        <v>99</v>
      </c>
      <c r="B632" s="152">
        <v>0</v>
      </c>
      <c r="C632" s="152">
        <f>B635</f>
        <v>0</v>
      </c>
      <c r="D632" s="152">
        <f t="shared" ref="D632:AP632" si="351">C635</f>
        <v>34340.833333333321</v>
      </c>
      <c r="E632" s="152">
        <f t="shared" si="351"/>
        <v>68681.666666666642</v>
      </c>
      <c r="F632" s="152">
        <f t="shared" si="351"/>
        <v>0</v>
      </c>
      <c r="G632" s="152">
        <f t="shared" si="351"/>
        <v>35909.466796145811</v>
      </c>
      <c r="H632" s="152">
        <f t="shared" si="351"/>
        <v>71818.933592291622</v>
      </c>
      <c r="I632" s="152">
        <f t="shared" si="351"/>
        <v>0</v>
      </c>
      <c r="J632" s="152">
        <f t="shared" si="351"/>
        <v>37549.752886510192</v>
      </c>
      <c r="K632" s="152">
        <f t="shared" si="351"/>
        <v>75099.505773020384</v>
      </c>
      <c r="L632" s="152">
        <f t="shared" si="351"/>
        <v>0</v>
      </c>
      <c r="M632" s="152">
        <f t="shared" si="351"/>
        <v>39264.96458001752</v>
      </c>
      <c r="N632" s="152">
        <f t="shared" si="351"/>
        <v>78529.929160035041</v>
      </c>
      <c r="O632" s="152">
        <f t="shared" si="351"/>
        <v>0</v>
      </c>
      <c r="P632" s="152">
        <f t="shared" si="351"/>
        <v>41058.524356465256</v>
      </c>
      <c r="Q632" s="152">
        <f t="shared" si="351"/>
        <v>82117.048712930511</v>
      </c>
      <c r="R632" s="152">
        <f t="shared" si="351"/>
        <v>0</v>
      </c>
      <c r="S632" s="152">
        <f t="shared" si="351"/>
        <v>42934.011028966495</v>
      </c>
      <c r="T632" s="152">
        <f t="shared" si="351"/>
        <v>85868.022057932991</v>
      </c>
      <c r="U632" s="152">
        <f t="shared" si="351"/>
        <v>0</v>
      </c>
      <c r="V632" s="152">
        <f t="shared" si="351"/>
        <v>44895.166885001738</v>
      </c>
      <c r="W632" s="152">
        <f t="shared" si="351"/>
        <v>89790.333770003475</v>
      </c>
      <c r="X632" s="152">
        <f t="shared" si="351"/>
        <v>0</v>
      </c>
      <c r="Y632" s="152">
        <f t="shared" si="351"/>
        <v>46945.90515366241</v>
      </c>
      <c r="Z632" s="152">
        <f t="shared" si="351"/>
        <v>93891.81030732482</v>
      </c>
      <c r="AA632" s="152">
        <f t="shared" si="351"/>
        <v>0</v>
      </c>
      <c r="AB632" s="152">
        <f t="shared" si="351"/>
        <v>49090.317813985828</v>
      </c>
      <c r="AC632" s="152">
        <f t="shared" si="351"/>
        <v>98180.635627971657</v>
      </c>
      <c r="AD632" s="152">
        <f t="shared" si="351"/>
        <v>0</v>
      </c>
      <c r="AE632" s="152">
        <f t="shared" si="351"/>
        <v>51332.68375996223</v>
      </c>
      <c r="AF632" s="152">
        <f t="shared" si="351"/>
        <v>102665.36751992446</v>
      </c>
      <c r="AG632" s="152">
        <f t="shared" si="351"/>
        <v>0</v>
      </c>
      <c r="AH632" s="152">
        <f t="shared" si="351"/>
        <v>0</v>
      </c>
      <c r="AI632" s="152">
        <f t="shared" si="351"/>
        <v>0</v>
      </c>
      <c r="AJ632" s="152">
        <f t="shared" si="351"/>
        <v>0</v>
      </c>
      <c r="AK632" s="152">
        <f t="shared" si="351"/>
        <v>0</v>
      </c>
      <c r="AL632" s="152">
        <f t="shared" si="351"/>
        <v>0</v>
      </c>
      <c r="AM632" s="152">
        <f t="shared" si="351"/>
        <v>0</v>
      </c>
      <c r="AN632" s="152">
        <f t="shared" si="351"/>
        <v>0</v>
      </c>
      <c r="AO632" s="152">
        <f t="shared" si="351"/>
        <v>0</v>
      </c>
      <c r="AP632" s="152">
        <f t="shared" si="351"/>
        <v>0</v>
      </c>
    </row>
    <row r="633" spans="1:42">
      <c r="A633" s="37" t="s">
        <v>198</v>
      </c>
      <c r="B633" s="152">
        <v>0</v>
      </c>
      <c r="C633" s="152">
        <f>C661</f>
        <v>34340.833333333321</v>
      </c>
      <c r="D633" s="152">
        <f t="shared" ref="D633:AP633" si="352">D661</f>
        <v>34340.833333333321</v>
      </c>
      <c r="E633" s="152">
        <f t="shared" si="352"/>
        <v>34340.833333333321</v>
      </c>
      <c r="F633" s="152">
        <f t="shared" si="352"/>
        <v>35909.466796145811</v>
      </c>
      <c r="G633" s="152">
        <f t="shared" si="352"/>
        <v>35909.466796145811</v>
      </c>
      <c r="H633" s="152">
        <f t="shared" si="352"/>
        <v>35909.466796145811</v>
      </c>
      <c r="I633" s="152">
        <f t="shared" si="352"/>
        <v>37549.752886510192</v>
      </c>
      <c r="J633" s="152">
        <f t="shared" si="352"/>
        <v>37549.752886510192</v>
      </c>
      <c r="K633" s="152">
        <f t="shared" si="352"/>
        <v>37549.752886510192</v>
      </c>
      <c r="L633" s="152">
        <f t="shared" si="352"/>
        <v>39264.96458001752</v>
      </c>
      <c r="M633" s="152">
        <f t="shared" si="352"/>
        <v>39264.96458001752</v>
      </c>
      <c r="N633" s="152">
        <f t="shared" si="352"/>
        <v>39264.96458001752</v>
      </c>
      <c r="O633" s="152">
        <f t="shared" si="352"/>
        <v>41058.524356465256</v>
      </c>
      <c r="P633" s="152">
        <f t="shared" si="352"/>
        <v>41058.524356465256</v>
      </c>
      <c r="Q633" s="152">
        <f t="shared" si="352"/>
        <v>41058.524356465256</v>
      </c>
      <c r="R633" s="152">
        <f t="shared" si="352"/>
        <v>42934.011028966495</v>
      </c>
      <c r="S633" s="152">
        <f t="shared" si="352"/>
        <v>42934.011028966495</v>
      </c>
      <c r="T633" s="152">
        <f t="shared" si="352"/>
        <v>42934.011028966495</v>
      </c>
      <c r="U633" s="152">
        <f t="shared" si="352"/>
        <v>44895.166885001738</v>
      </c>
      <c r="V633" s="152">
        <f t="shared" si="352"/>
        <v>44895.166885001738</v>
      </c>
      <c r="W633" s="152">
        <f t="shared" si="352"/>
        <v>44895.166885001738</v>
      </c>
      <c r="X633" s="152">
        <f t="shared" si="352"/>
        <v>46945.90515366241</v>
      </c>
      <c r="Y633" s="152">
        <f t="shared" si="352"/>
        <v>46945.90515366241</v>
      </c>
      <c r="Z633" s="152">
        <f t="shared" si="352"/>
        <v>46945.90515366241</v>
      </c>
      <c r="AA633" s="152">
        <f t="shared" si="352"/>
        <v>49090.317813985828</v>
      </c>
      <c r="AB633" s="152">
        <f t="shared" si="352"/>
        <v>49090.317813985828</v>
      </c>
      <c r="AC633" s="152">
        <f t="shared" si="352"/>
        <v>49090.317813985828</v>
      </c>
      <c r="AD633" s="152">
        <f t="shared" si="352"/>
        <v>51332.68375996223</v>
      </c>
      <c r="AE633" s="152">
        <f t="shared" si="352"/>
        <v>51332.68375996223</v>
      </c>
      <c r="AF633" s="152">
        <f t="shared" si="352"/>
        <v>51332.68375996223</v>
      </c>
      <c r="AG633" s="152">
        <f t="shared" si="352"/>
        <v>0</v>
      </c>
      <c r="AH633" s="152">
        <f t="shared" si="352"/>
        <v>0</v>
      </c>
      <c r="AI633" s="152">
        <f t="shared" si="352"/>
        <v>0</v>
      </c>
      <c r="AJ633" s="152">
        <f t="shared" si="352"/>
        <v>0</v>
      </c>
      <c r="AK633" s="152">
        <f t="shared" si="352"/>
        <v>0</v>
      </c>
      <c r="AL633" s="152">
        <f t="shared" si="352"/>
        <v>0</v>
      </c>
      <c r="AM633" s="152">
        <f t="shared" si="352"/>
        <v>0</v>
      </c>
      <c r="AN633" s="152">
        <f t="shared" si="352"/>
        <v>0</v>
      </c>
      <c r="AO633" s="152">
        <f t="shared" si="352"/>
        <v>0</v>
      </c>
      <c r="AP633" s="152">
        <f t="shared" si="352"/>
        <v>0</v>
      </c>
    </row>
    <row r="634" spans="1:42">
      <c r="A634" s="37" t="s">
        <v>106</v>
      </c>
      <c r="B634" s="187">
        <v>0</v>
      </c>
      <c r="C634" s="187">
        <f>-C649</f>
        <v>0</v>
      </c>
      <c r="D634" s="187">
        <f t="shared" ref="D634:AP634" si="353">-D649</f>
        <v>0</v>
      </c>
      <c r="E634" s="187">
        <f t="shared" si="353"/>
        <v>-103022.49999999997</v>
      </c>
      <c r="F634" s="187">
        <f t="shared" si="353"/>
        <v>0</v>
      </c>
      <c r="G634" s="187">
        <f t="shared" si="353"/>
        <v>0</v>
      </c>
      <c r="H634" s="187">
        <f t="shared" si="353"/>
        <v>-107728.40038843743</v>
      </c>
      <c r="I634" s="187">
        <f t="shared" si="353"/>
        <v>0</v>
      </c>
      <c r="J634" s="187">
        <f t="shared" si="353"/>
        <v>0</v>
      </c>
      <c r="K634" s="187">
        <f t="shared" si="353"/>
        <v>-112649.25865953058</v>
      </c>
      <c r="L634" s="187">
        <f t="shared" si="353"/>
        <v>0</v>
      </c>
      <c r="M634" s="187">
        <f t="shared" si="353"/>
        <v>0</v>
      </c>
      <c r="N634" s="187">
        <f t="shared" si="353"/>
        <v>-117794.89374005256</v>
      </c>
      <c r="O634" s="187">
        <f t="shared" si="353"/>
        <v>0</v>
      </c>
      <c r="P634" s="187">
        <f t="shared" si="353"/>
        <v>0</v>
      </c>
      <c r="Q634" s="187">
        <f t="shared" si="353"/>
        <v>-123175.57306939577</v>
      </c>
      <c r="R634" s="187">
        <f t="shared" si="353"/>
        <v>0</v>
      </c>
      <c r="S634" s="187">
        <f t="shared" si="353"/>
        <v>0</v>
      </c>
      <c r="T634" s="187">
        <f t="shared" si="353"/>
        <v>-128802.03308689948</v>
      </c>
      <c r="U634" s="187">
        <f t="shared" si="353"/>
        <v>0</v>
      </c>
      <c r="V634" s="187">
        <f t="shared" si="353"/>
        <v>0</v>
      </c>
      <c r="W634" s="187">
        <f t="shared" si="353"/>
        <v>-134685.50065500522</v>
      </c>
      <c r="X634" s="187">
        <f t="shared" si="353"/>
        <v>0</v>
      </c>
      <c r="Y634" s="187">
        <f t="shared" si="353"/>
        <v>0</v>
      </c>
      <c r="Z634" s="187">
        <f t="shared" si="353"/>
        <v>-140837.71546098724</v>
      </c>
      <c r="AA634" s="187">
        <f t="shared" si="353"/>
        <v>0</v>
      </c>
      <c r="AB634" s="187">
        <f t="shared" si="353"/>
        <v>0</v>
      </c>
      <c r="AC634" s="187">
        <f t="shared" si="353"/>
        <v>-147270.95344195748</v>
      </c>
      <c r="AD634" s="187">
        <f t="shared" si="353"/>
        <v>0</v>
      </c>
      <c r="AE634" s="187">
        <f t="shared" si="353"/>
        <v>0</v>
      </c>
      <c r="AF634" s="187">
        <f t="shared" si="353"/>
        <v>-153998.05127988668</v>
      </c>
      <c r="AG634" s="187">
        <f t="shared" si="353"/>
        <v>0</v>
      </c>
      <c r="AH634" s="187">
        <f t="shared" si="353"/>
        <v>0</v>
      </c>
      <c r="AI634" s="187">
        <f t="shared" si="353"/>
        <v>0</v>
      </c>
      <c r="AJ634" s="187">
        <f t="shared" si="353"/>
        <v>0</v>
      </c>
      <c r="AK634" s="187">
        <f t="shared" si="353"/>
        <v>0</v>
      </c>
      <c r="AL634" s="187">
        <f t="shared" si="353"/>
        <v>0</v>
      </c>
      <c r="AM634" s="187">
        <f t="shared" si="353"/>
        <v>0</v>
      </c>
      <c r="AN634" s="187">
        <f t="shared" si="353"/>
        <v>0</v>
      </c>
      <c r="AO634" s="187">
        <f t="shared" si="353"/>
        <v>0</v>
      </c>
      <c r="AP634" s="187">
        <f t="shared" si="353"/>
        <v>0</v>
      </c>
    </row>
    <row r="635" spans="1:42">
      <c r="A635" s="37" t="s">
        <v>102</v>
      </c>
      <c r="B635" s="152">
        <f>SUM(B632:B634)</f>
        <v>0</v>
      </c>
      <c r="C635" s="152">
        <f>SUM(C632:C634)</f>
        <v>34340.833333333321</v>
      </c>
      <c r="D635" s="152">
        <f t="shared" ref="D635:AP635" si="354">SUM(D632:D634)</f>
        <v>68681.666666666642</v>
      </c>
      <c r="E635" s="152">
        <f t="shared" si="354"/>
        <v>0</v>
      </c>
      <c r="F635" s="152">
        <f t="shared" si="354"/>
        <v>35909.466796145811</v>
      </c>
      <c r="G635" s="152">
        <f t="shared" si="354"/>
        <v>71818.933592291622</v>
      </c>
      <c r="H635" s="152">
        <f t="shared" si="354"/>
        <v>0</v>
      </c>
      <c r="I635" s="152">
        <f t="shared" si="354"/>
        <v>37549.752886510192</v>
      </c>
      <c r="J635" s="152">
        <f t="shared" si="354"/>
        <v>75099.505773020384</v>
      </c>
      <c r="K635" s="152">
        <f t="shared" si="354"/>
        <v>0</v>
      </c>
      <c r="L635" s="152">
        <f t="shared" si="354"/>
        <v>39264.96458001752</v>
      </c>
      <c r="M635" s="152">
        <f t="shared" si="354"/>
        <v>78529.929160035041</v>
      </c>
      <c r="N635" s="152">
        <f t="shared" si="354"/>
        <v>0</v>
      </c>
      <c r="O635" s="152">
        <f t="shared" si="354"/>
        <v>41058.524356465256</v>
      </c>
      <c r="P635" s="152">
        <f t="shared" si="354"/>
        <v>82117.048712930511</v>
      </c>
      <c r="Q635" s="152">
        <f t="shared" si="354"/>
        <v>0</v>
      </c>
      <c r="R635" s="152">
        <f t="shared" si="354"/>
        <v>42934.011028966495</v>
      </c>
      <c r="S635" s="152">
        <f t="shared" si="354"/>
        <v>85868.022057932991</v>
      </c>
      <c r="T635" s="152">
        <f t="shared" si="354"/>
        <v>0</v>
      </c>
      <c r="U635" s="152">
        <f t="shared" si="354"/>
        <v>44895.166885001738</v>
      </c>
      <c r="V635" s="152">
        <f t="shared" si="354"/>
        <v>89790.333770003475</v>
      </c>
      <c r="W635" s="152">
        <f t="shared" si="354"/>
        <v>0</v>
      </c>
      <c r="X635" s="152">
        <f t="shared" si="354"/>
        <v>46945.90515366241</v>
      </c>
      <c r="Y635" s="152">
        <f t="shared" si="354"/>
        <v>93891.81030732482</v>
      </c>
      <c r="Z635" s="152">
        <f t="shared" si="354"/>
        <v>0</v>
      </c>
      <c r="AA635" s="152">
        <f t="shared" si="354"/>
        <v>49090.317813985828</v>
      </c>
      <c r="AB635" s="152">
        <f t="shared" si="354"/>
        <v>98180.635627971657</v>
      </c>
      <c r="AC635" s="152">
        <f t="shared" si="354"/>
        <v>0</v>
      </c>
      <c r="AD635" s="152">
        <f t="shared" si="354"/>
        <v>51332.68375996223</v>
      </c>
      <c r="AE635" s="152">
        <f t="shared" si="354"/>
        <v>102665.36751992446</v>
      </c>
      <c r="AF635" s="152">
        <f t="shared" si="354"/>
        <v>0</v>
      </c>
      <c r="AG635" s="152">
        <f t="shared" si="354"/>
        <v>0</v>
      </c>
      <c r="AH635" s="152">
        <f t="shared" si="354"/>
        <v>0</v>
      </c>
      <c r="AI635" s="152">
        <f t="shared" si="354"/>
        <v>0</v>
      </c>
      <c r="AJ635" s="152">
        <f t="shared" si="354"/>
        <v>0</v>
      </c>
      <c r="AK635" s="152">
        <f t="shared" si="354"/>
        <v>0</v>
      </c>
      <c r="AL635" s="152">
        <f t="shared" si="354"/>
        <v>0</v>
      </c>
      <c r="AM635" s="152">
        <f t="shared" si="354"/>
        <v>0</v>
      </c>
      <c r="AN635" s="152">
        <f t="shared" si="354"/>
        <v>0</v>
      </c>
      <c r="AO635" s="152">
        <f t="shared" si="354"/>
        <v>0</v>
      </c>
      <c r="AP635" s="152">
        <f t="shared" si="354"/>
        <v>0</v>
      </c>
    </row>
    <row r="636" spans="1:42">
      <c r="B636" s="152"/>
      <c r="C636" s="152"/>
      <c r="D636" s="152"/>
      <c r="E636" s="152"/>
      <c r="F636" s="152"/>
      <c r="G636" s="186"/>
      <c r="H636" s="186"/>
      <c r="I636" s="186"/>
      <c r="J636" s="186"/>
      <c r="K636" s="186"/>
      <c r="L636" s="186"/>
      <c r="M636" s="186"/>
      <c r="N636" s="186"/>
      <c r="O636" s="186"/>
      <c r="P636" s="186"/>
      <c r="Q636" s="186"/>
      <c r="R636" s="186"/>
      <c r="S636" s="186"/>
      <c r="T636" s="186"/>
      <c r="U636" s="186"/>
      <c r="V636" s="186"/>
      <c r="W636" s="186"/>
      <c r="X636" s="186"/>
      <c r="Y636" s="186"/>
      <c r="Z636" s="186"/>
      <c r="AA636" s="186"/>
      <c r="AB636" s="186"/>
      <c r="AC636" s="186"/>
      <c r="AD636" s="186"/>
      <c r="AE636" s="186"/>
      <c r="AF636" s="186"/>
      <c r="AG636" s="186"/>
      <c r="AH636" s="186"/>
      <c r="AI636" s="186"/>
      <c r="AJ636" s="186"/>
      <c r="AK636" s="186"/>
      <c r="AL636" s="186"/>
      <c r="AM636" s="186"/>
      <c r="AN636" s="186"/>
      <c r="AO636" s="186"/>
      <c r="AP636" s="186"/>
    </row>
    <row r="637" spans="1:42">
      <c r="A637" s="37" t="s">
        <v>196</v>
      </c>
      <c r="B637" s="152"/>
      <c r="C637" s="152"/>
      <c r="D637" s="152"/>
      <c r="E637" s="152"/>
      <c r="F637" s="152"/>
      <c r="G637" s="186"/>
      <c r="H637" s="186"/>
      <c r="I637" s="186"/>
      <c r="J637" s="186"/>
      <c r="K637" s="186"/>
      <c r="L637" s="186"/>
      <c r="M637" s="186"/>
      <c r="N637" s="186"/>
      <c r="O637" s="186"/>
      <c r="P637" s="186"/>
      <c r="Q637" s="186"/>
      <c r="R637" s="186"/>
      <c r="S637" s="186"/>
      <c r="T637" s="186"/>
      <c r="U637" s="186"/>
      <c r="V637" s="186"/>
      <c r="W637" s="186"/>
      <c r="X637" s="186"/>
      <c r="Y637" s="186"/>
      <c r="Z637" s="186"/>
      <c r="AA637" s="186"/>
      <c r="AB637" s="186"/>
      <c r="AC637" s="186"/>
      <c r="AD637" s="186"/>
      <c r="AE637" s="186"/>
      <c r="AF637" s="186"/>
      <c r="AG637" s="186"/>
      <c r="AH637" s="186"/>
      <c r="AI637" s="186"/>
      <c r="AJ637" s="186"/>
      <c r="AK637" s="186"/>
      <c r="AL637" s="186"/>
      <c r="AM637" s="186"/>
      <c r="AN637" s="186"/>
      <c r="AO637" s="186"/>
      <c r="AP637" s="186"/>
    </row>
    <row r="638" spans="1:42">
      <c r="A638" s="37" t="s">
        <v>197</v>
      </c>
      <c r="B638" s="152"/>
      <c r="C638" s="152"/>
      <c r="D638" s="152"/>
      <c r="E638" s="152"/>
      <c r="F638" s="152"/>
      <c r="G638" s="186"/>
      <c r="H638" s="186"/>
      <c r="I638" s="186"/>
      <c r="J638" s="186"/>
      <c r="K638" s="186"/>
      <c r="L638" s="186"/>
      <c r="M638" s="186"/>
      <c r="N638" s="186"/>
      <c r="O638" s="186"/>
      <c r="P638" s="186"/>
      <c r="Q638" s="186"/>
      <c r="R638" s="186"/>
      <c r="S638" s="186"/>
      <c r="T638" s="186"/>
      <c r="U638" s="186"/>
      <c r="V638" s="186"/>
      <c r="W638" s="186"/>
      <c r="X638" s="186"/>
      <c r="Y638" s="186"/>
      <c r="Z638" s="186"/>
      <c r="AA638" s="186"/>
      <c r="AB638" s="186"/>
      <c r="AC638" s="186"/>
      <c r="AD638" s="186"/>
      <c r="AE638" s="186"/>
      <c r="AF638" s="186"/>
      <c r="AG638" s="186"/>
      <c r="AH638" s="186"/>
      <c r="AI638" s="186"/>
      <c r="AJ638" s="186"/>
      <c r="AK638" s="186"/>
      <c r="AL638" s="186"/>
      <c r="AM638" s="186"/>
      <c r="AN638" s="186"/>
      <c r="AO638" s="186"/>
      <c r="AP638" s="186"/>
    </row>
    <row r="639" spans="1:42">
      <c r="A639" s="37">
        <v>1</v>
      </c>
      <c r="B639" s="255">
        <f t="shared" ref="B639:B648" si="355">SUM(C639:AP639)</f>
        <v>103022.49999999997</v>
      </c>
      <c r="C639" s="186">
        <f t="shared" ref="C639:AP645" si="356">IF(C$2&gt;AnalysisPeriod,0,IF(C$2=MMFrequency3*$A639,MMCost3*CapacityDC*1000*(1+Inflation)^B$2,0))</f>
        <v>0</v>
      </c>
      <c r="D639" s="186">
        <f t="shared" si="356"/>
        <v>0</v>
      </c>
      <c r="E639" s="186">
        <f t="shared" si="356"/>
        <v>103022.49999999997</v>
      </c>
      <c r="F639" s="186">
        <f t="shared" si="356"/>
        <v>0</v>
      </c>
      <c r="G639" s="186">
        <f t="shared" si="356"/>
        <v>0</v>
      </c>
      <c r="H639" s="186">
        <f t="shared" si="356"/>
        <v>0</v>
      </c>
      <c r="I639" s="186">
        <f t="shared" si="356"/>
        <v>0</v>
      </c>
      <c r="J639" s="186">
        <f t="shared" si="356"/>
        <v>0</v>
      </c>
      <c r="K639" s="186">
        <f t="shared" si="356"/>
        <v>0</v>
      </c>
      <c r="L639" s="186">
        <f t="shared" si="356"/>
        <v>0</v>
      </c>
      <c r="M639" s="186">
        <f t="shared" si="356"/>
        <v>0</v>
      </c>
      <c r="N639" s="186">
        <f t="shared" si="356"/>
        <v>0</v>
      </c>
      <c r="O639" s="186">
        <f t="shared" si="356"/>
        <v>0</v>
      </c>
      <c r="P639" s="186">
        <f t="shared" si="356"/>
        <v>0</v>
      </c>
      <c r="Q639" s="186">
        <f t="shared" si="356"/>
        <v>0</v>
      </c>
      <c r="R639" s="186">
        <f t="shared" si="356"/>
        <v>0</v>
      </c>
      <c r="S639" s="186">
        <f t="shared" si="356"/>
        <v>0</v>
      </c>
      <c r="T639" s="186">
        <f t="shared" si="356"/>
        <v>0</v>
      </c>
      <c r="U639" s="186">
        <f t="shared" si="356"/>
        <v>0</v>
      </c>
      <c r="V639" s="186">
        <f t="shared" si="356"/>
        <v>0</v>
      </c>
      <c r="W639" s="186">
        <f t="shared" si="356"/>
        <v>0</v>
      </c>
      <c r="X639" s="186">
        <f t="shared" si="356"/>
        <v>0</v>
      </c>
      <c r="Y639" s="186">
        <f t="shared" si="356"/>
        <v>0</v>
      </c>
      <c r="Z639" s="186">
        <f t="shared" si="356"/>
        <v>0</v>
      </c>
      <c r="AA639" s="186">
        <f t="shared" si="356"/>
        <v>0</v>
      </c>
      <c r="AB639" s="186">
        <f t="shared" si="356"/>
        <v>0</v>
      </c>
      <c r="AC639" s="186">
        <f t="shared" si="356"/>
        <v>0</v>
      </c>
      <c r="AD639" s="186">
        <f t="shared" si="356"/>
        <v>0</v>
      </c>
      <c r="AE639" s="186">
        <f t="shared" si="356"/>
        <v>0</v>
      </c>
      <c r="AF639" s="186">
        <f t="shared" si="356"/>
        <v>0</v>
      </c>
      <c r="AG639" s="186">
        <f t="shared" si="356"/>
        <v>0</v>
      </c>
      <c r="AH639" s="186">
        <f t="shared" si="356"/>
        <v>0</v>
      </c>
      <c r="AI639" s="186">
        <f t="shared" si="356"/>
        <v>0</v>
      </c>
      <c r="AJ639" s="186">
        <f t="shared" si="356"/>
        <v>0</v>
      </c>
      <c r="AK639" s="186">
        <f t="shared" si="356"/>
        <v>0</v>
      </c>
      <c r="AL639" s="186">
        <f t="shared" si="356"/>
        <v>0</v>
      </c>
      <c r="AM639" s="186">
        <f t="shared" si="356"/>
        <v>0</v>
      </c>
      <c r="AN639" s="186">
        <f t="shared" si="356"/>
        <v>0</v>
      </c>
      <c r="AO639" s="186">
        <f t="shared" si="356"/>
        <v>0</v>
      </c>
      <c r="AP639" s="186">
        <f t="shared" si="356"/>
        <v>0</v>
      </c>
    </row>
    <row r="640" spans="1:42">
      <c r="A640" s="37">
        <f>A639+1</f>
        <v>2</v>
      </c>
      <c r="B640" s="255">
        <f t="shared" si="355"/>
        <v>107728.40038843743</v>
      </c>
      <c r="C640" s="186">
        <f t="shared" si="356"/>
        <v>0</v>
      </c>
      <c r="D640" s="186">
        <f t="shared" si="356"/>
        <v>0</v>
      </c>
      <c r="E640" s="186">
        <f t="shared" si="356"/>
        <v>0</v>
      </c>
      <c r="F640" s="186">
        <f t="shared" si="356"/>
        <v>0</v>
      </c>
      <c r="G640" s="186">
        <f t="shared" si="356"/>
        <v>0</v>
      </c>
      <c r="H640" s="186">
        <f t="shared" si="356"/>
        <v>107728.40038843743</v>
      </c>
      <c r="I640" s="186">
        <f t="shared" si="356"/>
        <v>0</v>
      </c>
      <c r="J640" s="186">
        <f t="shared" si="356"/>
        <v>0</v>
      </c>
      <c r="K640" s="186">
        <f t="shared" si="356"/>
        <v>0</v>
      </c>
      <c r="L640" s="186">
        <f t="shared" si="356"/>
        <v>0</v>
      </c>
      <c r="M640" s="186">
        <f t="shared" si="356"/>
        <v>0</v>
      </c>
      <c r="N640" s="186">
        <f t="shared" si="356"/>
        <v>0</v>
      </c>
      <c r="O640" s="186">
        <f t="shared" si="356"/>
        <v>0</v>
      </c>
      <c r="P640" s="186">
        <f t="shared" si="356"/>
        <v>0</v>
      </c>
      <c r="Q640" s="186">
        <f t="shared" si="356"/>
        <v>0</v>
      </c>
      <c r="R640" s="186">
        <f t="shared" si="356"/>
        <v>0</v>
      </c>
      <c r="S640" s="186">
        <f t="shared" si="356"/>
        <v>0</v>
      </c>
      <c r="T640" s="186">
        <f t="shared" si="356"/>
        <v>0</v>
      </c>
      <c r="U640" s="186">
        <f t="shared" si="356"/>
        <v>0</v>
      </c>
      <c r="V640" s="186">
        <f t="shared" si="356"/>
        <v>0</v>
      </c>
      <c r="W640" s="186">
        <f t="shared" si="356"/>
        <v>0</v>
      </c>
      <c r="X640" s="186">
        <f t="shared" si="356"/>
        <v>0</v>
      </c>
      <c r="Y640" s="186">
        <f t="shared" si="356"/>
        <v>0</v>
      </c>
      <c r="Z640" s="186">
        <f t="shared" si="356"/>
        <v>0</v>
      </c>
      <c r="AA640" s="186">
        <f t="shared" si="356"/>
        <v>0</v>
      </c>
      <c r="AB640" s="186">
        <f t="shared" si="356"/>
        <v>0</v>
      </c>
      <c r="AC640" s="186">
        <f t="shared" si="356"/>
        <v>0</v>
      </c>
      <c r="AD640" s="186">
        <f t="shared" si="356"/>
        <v>0</v>
      </c>
      <c r="AE640" s="186">
        <f t="shared" si="356"/>
        <v>0</v>
      </c>
      <c r="AF640" s="186">
        <f t="shared" si="356"/>
        <v>0</v>
      </c>
      <c r="AG640" s="186">
        <f t="shared" si="356"/>
        <v>0</v>
      </c>
      <c r="AH640" s="186">
        <f t="shared" si="356"/>
        <v>0</v>
      </c>
      <c r="AI640" s="186">
        <f t="shared" si="356"/>
        <v>0</v>
      </c>
      <c r="AJ640" s="186">
        <f t="shared" si="356"/>
        <v>0</v>
      </c>
      <c r="AK640" s="186">
        <f t="shared" si="356"/>
        <v>0</v>
      </c>
      <c r="AL640" s="186">
        <f t="shared" si="356"/>
        <v>0</v>
      </c>
      <c r="AM640" s="186">
        <f t="shared" si="356"/>
        <v>0</v>
      </c>
      <c r="AN640" s="186">
        <f t="shared" si="356"/>
        <v>0</v>
      </c>
      <c r="AO640" s="186">
        <f t="shared" si="356"/>
        <v>0</v>
      </c>
      <c r="AP640" s="186">
        <f t="shared" si="356"/>
        <v>0</v>
      </c>
    </row>
    <row r="641" spans="1:42">
      <c r="A641" s="37">
        <f t="shared" ref="A641:A648" si="357">A640+1</f>
        <v>3</v>
      </c>
      <c r="B641" s="255">
        <f t="shared" si="355"/>
        <v>112649.25865953058</v>
      </c>
      <c r="C641" s="186">
        <f t="shared" si="356"/>
        <v>0</v>
      </c>
      <c r="D641" s="186">
        <f t="shared" si="356"/>
        <v>0</v>
      </c>
      <c r="E641" s="186">
        <f t="shared" si="356"/>
        <v>0</v>
      </c>
      <c r="F641" s="186">
        <f t="shared" si="356"/>
        <v>0</v>
      </c>
      <c r="G641" s="186">
        <f t="shared" si="356"/>
        <v>0</v>
      </c>
      <c r="H641" s="186">
        <f t="shared" si="356"/>
        <v>0</v>
      </c>
      <c r="I641" s="186">
        <f t="shared" si="356"/>
        <v>0</v>
      </c>
      <c r="J641" s="186">
        <f t="shared" si="356"/>
        <v>0</v>
      </c>
      <c r="K641" s="186">
        <f t="shared" si="356"/>
        <v>112649.25865953058</v>
      </c>
      <c r="L641" s="186">
        <f t="shared" si="356"/>
        <v>0</v>
      </c>
      <c r="M641" s="186">
        <f t="shared" si="356"/>
        <v>0</v>
      </c>
      <c r="N641" s="186">
        <f t="shared" si="356"/>
        <v>0</v>
      </c>
      <c r="O641" s="186">
        <f t="shared" si="356"/>
        <v>0</v>
      </c>
      <c r="P641" s="186">
        <f t="shared" si="356"/>
        <v>0</v>
      </c>
      <c r="Q641" s="186">
        <f t="shared" si="356"/>
        <v>0</v>
      </c>
      <c r="R641" s="186">
        <f t="shared" si="356"/>
        <v>0</v>
      </c>
      <c r="S641" s="186">
        <f t="shared" si="356"/>
        <v>0</v>
      </c>
      <c r="T641" s="186">
        <f t="shared" si="356"/>
        <v>0</v>
      </c>
      <c r="U641" s="186">
        <f t="shared" si="356"/>
        <v>0</v>
      </c>
      <c r="V641" s="186">
        <f t="shared" si="356"/>
        <v>0</v>
      </c>
      <c r="W641" s="186">
        <f t="shared" si="356"/>
        <v>0</v>
      </c>
      <c r="X641" s="186">
        <f t="shared" si="356"/>
        <v>0</v>
      </c>
      <c r="Y641" s="186">
        <f t="shared" si="356"/>
        <v>0</v>
      </c>
      <c r="Z641" s="186">
        <f t="shared" si="356"/>
        <v>0</v>
      </c>
      <c r="AA641" s="186">
        <f t="shared" si="356"/>
        <v>0</v>
      </c>
      <c r="AB641" s="186">
        <f t="shared" si="356"/>
        <v>0</v>
      </c>
      <c r="AC641" s="186">
        <f t="shared" si="356"/>
        <v>0</v>
      </c>
      <c r="AD641" s="186">
        <f t="shared" si="356"/>
        <v>0</v>
      </c>
      <c r="AE641" s="186">
        <f t="shared" si="356"/>
        <v>0</v>
      </c>
      <c r="AF641" s="186">
        <f t="shared" si="356"/>
        <v>0</v>
      </c>
      <c r="AG641" s="186">
        <f t="shared" si="356"/>
        <v>0</v>
      </c>
      <c r="AH641" s="186">
        <f t="shared" si="356"/>
        <v>0</v>
      </c>
      <c r="AI641" s="186">
        <f t="shared" si="356"/>
        <v>0</v>
      </c>
      <c r="AJ641" s="186">
        <f t="shared" si="356"/>
        <v>0</v>
      </c>
      <c r="AK641" s="186">
        <f t="shared" si="356"/>
        <v>0</v>
      </c>
      <c r="AL641" s="186">
        <f t="shared" si="356"/>
        <v>0</v>
      </c>
      <c r="AM641" s="186">
        <f t="shared" si="356"/>
        <v>0</v>
      </c>
      <c r="AN641" s="186">
        <f t="shared" si="356"/>
        <v>0</v>
      </c>
      <c r="AO641" s="186">
        <f t="shared" si="356"/>
        <v>0</v>
      </c>
      <c r="AP641" s="186">
        <f t="shared" si="356"/>
        <v>0</v>
      </c>
    </row>
    <row r="642" spans="1:42">
      <c r="A642" s="37">
        <f t="shared" si="357"/>
        <v>4</v>
      </c>
      <c r="B642" s="255">
        <f t="shared" si="355"/>
        <v>117794.89374005256</v>
      </c>
      <c r="C642" s="186">
        <f t="shared" si="356"/>
        <v>0</v>
      </c>
      <c r="D642" s="186">
        <f t="shared" si="356"/>
        <v>0</v>
      </c>
      <c r="E642" s="186">
        <f t="shared" si="356"/>
        <v>0</v>
      </c>
      <c r="F642" s="186">
        <f t="shared" si="356"/>
        <v>0</v>
      </c>
      <c r="G642" s="186">
        <f t="shared" si="356"/>
        <v>0</v>
      </c>
      <c r="H642" s="186">
        <f t="shared" si="356"/>
        <v>0</v>
      </c>
      <c r="I642" s="186">
        <f t="shared" si="356"/>
        <v>0</v>
      </c>
      <c r="J642" s="186">
        <f t="shared" si="356"/>
        <v>0</v>
      </c>
      <c r="K642" s="186">
        <f t="shared" si="356"/>
        <v>0</v>
      </c>
      <c r="L642" s="186">
        <f t="shared" si="356"/>
        <v>0</v>
      </c>
      <c r="M642" s="186">
        <f t="shared" si="356"/>
        <v>0</v>
      </c>
      <c r="N642" s="186">
        <f t="shared" si="356"/>
        <v>117794.89374005256</v>
      </c>
      <c r="O642" s="186">
        <f t="shared" si="356"/>
        <v>0</v>
      </c>
      <c r="P642" s="186">
        <f t="shared" si="356"/>
        <v>0</v>
      </c>
      <c r="Q642" s="186">
        <f t="shared" si="356"/>
        <v>0</v>
      </c>
      <c r="R642" s="186">
        <f t="shared" si="356"/>
        <v>0</v>
      </c>
      <c r="S642" s="186">
        <f t="shared" si="356"/>
        <v>0</v>
      </c>
      <c r="T642" s="186">
        <f t="shared" si="356"/>
        <v>0</v>
      </c>
      <c r="U642" s="186">
        <f t="shared" si="356"/>
        <v>0</v>
      </c>
      <c r="V642" s="186">
        <f t="shared" si="356"/>
        <v>0</v>
      </c>
      <c r="W642" s="186">
        <f t="shared" si="356"/>
        <v>0</v>
      </c>
      <c r="X642" s="186">
        <f t="shared" si="356"/>
        <v>0</v>
      </c>
      <c r="Y642" s="186">
        <f t="shared" si="356"/>
        <v>0</v>
      </c>
      <c r="Z642" s="186">
        <f t="shared" si="356"/>
        <v>0</v>
      </c>
      <c r="AA642" s="186">
        <f t="shared" si="356"/>
        <v>0</v>
      </c>
      <c r="AB642" s="186">
        <f t="shared" si="356"/>
        <v>0</v>
      </c>
      <c r="AC642" s="186">
        <f t="shared" si="356"/>
        <v>0</v>
      </c>
      <c r="AD642" s="186">
        <f t="shared" si="356"/>
        <v>0</v>
      </c>
      <c r="AE642" s="186">
        <f t="shared" si="356"/>
        <v>0</v>
      </c>
      <c r="AF642" s="186">
        <f t="shared" si="356"/>
        <v>0</v>
      </c>
      <c r="AG642" s="186">
        <f t="shared" si="356"/>
        <v>0</v>
      </c>
      <c r="AH642" s="186">
        <f t="shared" si="356"/>
        <v>0</v>
      </c>
      <c r="AI642" s="186">
        <f t="shared" si="356"/>
        <v>0</v>
      </c>
      <c r="AJ642" s="186">
        <f t="shared" si="356"/>
        <v>0</v>
      </c>
      <c r="AK642" s="186">
        <f t="shared" si="356"/>
        <v>0</v>
      </c>
      <c r="AL642" s="186">
        <f t="shared" si="356"/>
        <v>0</v>
      </c>
      <c r="AM642" s="186">
        <f t="shared" si="356"/>
        <v>0</v>
      </c>
      <c r="AN642" s="186">
        <f t="shared" si="356"/>
        <v>0</v>
      </c>
      <c r="AO642" s="186">
        <f t="shared" si="356"/>
        <v>0</v>
      </c>
      <c r="AP642" s="186">
        <f t="shared" si="356"/>
        <v>0</v>
      </c>
    </row>
    <row r="643" spans="1:42">
      <c r="A643" s="37">
        <f t="shared" si="357"/>
        <v>5</v>
      </c>
      <c r="B643" s="255">
        <f t="shared" si="355"/>
        <v>123175.57306939577</v>
      </c>
      <c r="C643" s="186">
        <f t="shared" si="356"/>
        <v>0</v>
      </c>
      <c r="D643" s="186">
        <f t="shared" si="356"/>
        <v>0</v>
      </c>
      <c r="E643" s="186">
        <f t="shared" si="356"/>
        <v>0</v>
      </c>
      <c r="F643" s="186">
        <f t="shared" si="356"/>
        <v>0</v>
      </c>
      <c r="G643" s="186">
        <f t="shared" si="356"/>
        <v>0</v>
      </c>
      <c r="H643" s="186">
        <f t="shared" si="356"/>
        <v>0</v>
      </c>
      <c r="I643" s="186">
        <f t="shared" si="356"/>
        <v>0</v>
      </c>
      <c r="J643" s="186">
        <f t="shared" si="356"/>
        <v>0</v>
      </c>
      <c r="K643" s="186">
        <f t="shared" si="356"/>
        <v>0</v>
      </c>
      <c r="L643" s="186">
        <f t="shared" si="356"/>
        <v>0</v>
      </c>
      <c r="M643" s="186">
        <f t="shared" si="356"/>
        <v>0</v>
      </c>
      <c r="N643" s="186">
        <f t="shared" si="356"/>
        <v>0</v>
      </c>
      <c r="O643" s="186">
        <f t="shared" si="356"/>
        <v>0</v>
      </c>
      <c r="P643" s="186">
        <f t="shared" si="356"/>
        <v>0</v>
      </c>
      <c r="Q643" s="186">
        <f t="shared" si="356"/>
        <v>123175.57306939577</v>
      </c>
      <c r="R643" s="186">
        <f t="shared" si="356"/>
        <v>0</v>
      </c>
      <c r="S643" s="186">
        <f t="shared" si="356"/>
        <v>0</v>
      </c>
      <c r="T643" s="186">
        <f t="shared" si="356"/>
        <v>0</v>
      </c>
      <c r="U643" s="186">
        <f t="shared" si="356"/>
        <v>0</v>
      </c>
      <c r="V643" s="186">
        <f t="shared" si="356"/>
        <v>0</v>
      </c>
      <c r="W643" s="186">
        <f t="shared" si="356"/>
        <v>0</v>
      </c>
      <c r="X643" s="186">
        <f t="shared" si="356"/>
        <v>0</v>
      </c>
      <c r="Y643" s="186">
        <f t="shared" si="356"/>
        <v>0</v>
      </c>
      <c r="Z643" s="186">
        <f t="shared" si="356"/>
        <v>0</v>
      </c>
      <c r="AA643" s="186">
        <f t="shared" si="356"/>
        <v>0</v>
      </c>
      <c r="AB643" s="186">
        <f t="shared" si="356"/>
        <v>0</v>
      </c>
      <c r="AC643" s="186">
        <f t="shared" si="356"/>
        <v>0</v>
      </c>
      <c r="AD643" s="186">
        <f t="shared" si="356"/>
        <v>0</v>
      </c>
      <c r="AE643" s="186">
        <f t="shared" si="356"/>
        <v>0</v>
      </c>
      <c r="AF643" s="186">
        <f t="shared" si="356"/>
        <v>0</v>
      </c>
      <c r="AG643" s="186">
        <f t="shared" si="356"/>
        <v>0</v>
      </c>
      <c r="AH643" s="186">
        <f t="shared" si="356"/>
        <v>0</v>
      </c>
      <c r="AI643" s="186">
        <f t="shared" si="356"/>
        <v>0</v>
      </c>
      <c r="AJ643" s="186">
        <f t="shared" si="356"/>
        <v>0</v>
      </c>
      <c r="AK643" s="186">
        <f t="shared" si="356"/>
        <v>0</v>
      </c>
      <c r="AL643" s="186">
        <f t="shared" si="356"/>
        <v>0</v>
      </c>
      <c r="AM643" s="186">
        <f t="shared" si="356"/>
        <v>0</v>
      </c>
      <c r="AN643" s="186">
        <f t="shared" si="356"/>
        <v>0</v>
      </c>
      <c r="AO643" s="186">
        <f t="shared" si="356"/>
        <v>0</v>
      </c>
      <c r="AP643" s="186">
        <f t="shared" si="356"/>
        <v>0</v>
      </c>
    </row>
    <row r="644" spans="1:42">
      <c r="A644" s="37">
        <f t="shared" si="357"/>
        <v>6</v>
      </c>
      <c r="B644" s="255">
        <f t="shared" si="355"/>
        <v>128802.03308689948</v>
      </c>
      <c r="C644" s="186">
        <f t="shared" si="356"/>
        <v>0</v>
      </c>
      <c r="D644" s="186">
        <f t="shared" si="356"/>
        <v>0</v>
      </c>
      <c r="E644" s="186">
        <f t="shared" si="356"/>
        <v>0</v>
      </c>
      <c r="F644" s="186">
        <f t="shared" si="356"/>
        <v>0</v>
      </c>
      <c r="G644" s="186">
        <f t="shared" si="356"/>
        <v>0</v>
      </c>
      <c r="H644" s="186">
        <f t="shared" si="356"/>
        <v>0</v>
      </c>
      <c r="I644" s="186">
        <f t="shared" si="356"/>
        <v>0</v>
      </c>
      <c r="J644" s="186">
        <f t="shared" si="356"/>
        <v>0</v>
      </c>
      <c r="K644" s="186">
        <f t="shared" si="356"/>
        <v>0</v>
      </c>
      <c r="L644" s="186">
        <f t="shared" si="356"/>
        <v>0</v>
      </c>
      <c r="M644" s="186">
        <f t="shared" si="356"/>
        <v>0</v>
      </c>
      <c r="N644" s="186">
        <f t="shared" si="356"/>
        <v>0</v>
      </c>
      <c r="O644" s="186">
        <f t="shared" si="356"/>
        <v>0</v>
      </c>
      <c r="P644" s="186">
        <f t="shared" si="356"/>
        <v>0</v>
      </c>
      <c r="Q644" s="186">
        <f t="shared" si="356"/>
        <v>0</v>
      </c>
      <c r="R644" s="186">
        <f t="shared" si="356"/>
        <v>0</v>
      </c>
      <c r="S644" s="186">
        <f t="shared" si="356"/>
        <v>0</v>
      </c>
      <c r="T644" s="186">
        <f t="shared" si="356"/>
        <v>128802.03308689948</v>
      </c>
      <c r="U644" s="186">
        <f t="shared" si="356"/>
        <v>0</v>
      </c>
      <c r="V644" s="186">
        <f t="shared" si="356"/>
        <v>0</v>
      </c>
      <c r="W644" s="186">
        <f t="shared" si="356"/>
        <v>0</v>
      </c>
      <c r="X644" s="186">
        <f t="shared" si="356"/>
        <v>0</v>
      </c>
      <c r="Y644" s="186">
        <f t="shared" si="356"/>
        <v>0</v>
      </c>
      <c r="Z644" s="186">
        <f t="shared" si="356"/>
        <v>0</v>
      </c>
      <c r="AA644" s="186">
        <f t="shared" si="356"/>
        <v>0</v>
      </c>
      <c r="AB644" s="186">
        <f t="shared" si="356"/>
        <v>0</v>
      </c>
      <c r="AC644" s="186">
        <f t="shared" si="356"/>
        <v>0</v>
      </c>
      <c r="AD644" s="186">
        <f t="shared" si="356"/>
        <v>0</v>
      </c>
      <c r="AE644" s="186">
        <f t="shared" si="356"/>
        <v>0</v>
      </c>
      <c r="AF644" s="186">
        <f t="shared" si="356"/>
        <v>0</v>
      </c>
      <c r="AG644" s="186">
        <f t="shared" si="356"/>
        <v>0</v>
      </c>
      <c r="AH644" s="186">
        <f t="shared" si="356"/>
        <v>0</v>
      </c>
      <c r="AI644" s="186">
        <f t="shared" si="356"/>
        <v>0</v>
      </c>
      <c r="AJ644" s="186">
        <f t="shared" si="356"/>
        <v>0</v>
      </c>
      <c r="AK644" s="186">
        <f t="shared" si="356"/>
        <v>0</v>
      </c>
      <c r="AL644" s="186">
        <f t="shared" si="356"/>
        <v>0</v>
      </c>
      <c r="AM644" s="186">
        <f t="shared" si="356"/>
        <v>0</v>
      </c>
      <c r="AN644" s="186">
        <f t="shared" si="356"/>
        <v>0</v>
      </c>
      <c r="AO644" s="186">
        <f t="shared" si="356"/>
        <v>0</v>
      </c>
      <c r="AP644" s="186">
        <f t="shared" si="356"/>
        <v>0</v>
      </c>
    </row>
    <row r="645" spans="1:42">
      <c r="A645" s="37">
        <f t="shared" si="357"/>
        <v>7</v>
      </c>
      <c r="B645" s="255">
        <f t="shared" si="355"/>
        <v>134685.50065500522</v>
      </c>
      <c r="C645" s="186">
        <f t="shared" si="356"/>
        <v>0</v>
      </c>
      <c r="D645" s="186">
        <f t="shared" si="356"/>
        <v>0</v>
      </c>
      <c r="E645" s="186">
        <f t="shared" si="356"/>
        <v>0</v>
      </c>
      <c r="F645" s="186">
        <f t="shared" si="356"/>
        <v>0</v>
      </c>
      <c r="G645" s="186">
        <f t="shared" si="356"/>
        <v>0</v>
      </c>
      <c r="H645" s="186">
        <f t="shared" si="356"/>
        <v>0</v>
      </c>
      <c r="I645" s="186">
        <f t="shared" si="356"/>
        <v>0</v>
      </c>
      <c r="J645" s="186">
        <f t="shared" si="356"/>
        <v>0</v>
      </c>
      <c r="K645" s="186">
        <f t="shared" si="356"/>
        <v>0</v>
      </c>
      <c r="L645" s="186">
        <f t="shared" si="356"/>
        <v>0</v>
      </c>
      <c r="M645" s="186">
        <f t="shared" si="356"/>
        <v>0</v>
      </c>
      <c r="N645" s="186">
        <f t="shared" si="356"/>
        <v>0</v>
      </c>
      <c r="O645" s="186">
        <f t="shared" si="356"/>
        <v>0</v>
      </c>
      <c r="P645" s="186">
        <f t="shared" si="356"/>
        <v>0</v>
      </c>
      <c r="Q645" s="186">
        <f t="shared" si="356"/>
        <v>0</v>
      </c>
      <c r="R645" s="186">
        <f t="shared" ref="R645:AP645" si="358">IF(R$2&gt;AnalysisPeriod,0,IF(R$2=MMFrequency3*$A645,MMCost3*CapacityDC*1000*(1+Inflation)^Q$2,0))</f>
        <v>0</v>
      </c>
      <c r="S645" s="186">
        <f t="shared" si="358"/>
        <v>0</v>
      </c>
      <c r="T645" s="186">
        <f t="shared" si="358"/>
        <v>0</v>
      </c>
      <c r="U645" s="186">
        <f t="shared" si="358"/>
        <v>0</v>
      </c>
      <c r="V645" s="186">
        <f t="shared" si="358"/>
        <v>0</v>
      </c>
      <c r="W645" s="186">
        <f t="shared" si="358"/>
        <v>134685.50065500522</v>
      </c>
      <c r="X645" s="186">
        <f t="shared" si="358"/>
        <v>0</v>
      </c>
      <c r="Y645" s="186">
        <f t="shared" si="358"/>
        <v>0</v>
      </c>
      <c r="Z645" s="186">
        <f t="shared" si="358"/>
        <v>0</v>
      </c>
      <c r="AA645" s="186">
        <f t="shared" si="358"/>
        <v>0</v>
      </c>
      <c r="AB645" s="186">
        <f t="shared" si="358"/>
        <v>0</v>
      </c>
      <c r="AC645" s="186">
        <f t="shared" si="358"/>
        <v>0</v>
      </c>
      <c r="AD645" s="186">
        <f t="shared" si="358"/>
        <v>0</v>
      </c>
      <c r="AE645" s="186">
        <f t="shared" si="358"/>
        <v>0</v>
      </c>
      <c r="AF645" s="186">
        <f t="shared" si="358"/>
        <v>0</v>
      </c>
      <c r="AG645" s="186">
        <f t="shared" si="358"/>
        <v>0</v>
      </c>
      <c r="AH645" s="186">
        <f t="shared" si="358"/>
        <v>0</v>
      </c>
      <c r="AI645" s="186">
        <f t="shared" si="358"/>
        <v>0</v>
      </c>
      <c r="AJ645" s="186">
        <f t="shared" si="358"/>
        <v>0</v>
      </c>
      <c r="AK645" s="186">
        <f t="shared" si="358"/>
        <v>0</v>
      </c>
      <c r="AL645" s="186">
        <f t="shared" si="358"/>
        <v>0</v>
      </c>
      <c r="AM645" s="186">
        <f t="shared" si="358"/>
        <v>0</v>
      </c>
      <c r="AN645" s="186">
        <f t="shared" si="358"/>
        <v>0</v>
      </c>
      <c r="AO645" s="186">
        <f t="shared" si="358"/>
        <v>0</v>
      </c>
      <c r="AP645" s="186">
        <f t="shared" si="358"/>
        <v>0</v>
      </c>
    </row>
    <row r="646" spans="1:42">
      <c r="A646" s="37">
        <f t="shared" si="357"/>
        <v>8</v>
      </c>
      <c r="B646" s="255">
        <f t="shared" si="355"/>
        <v>140837.71546098724</v>
      </c>
      <c r="C646" s="186">
        <f t="shared" ref="C646:AP648" si="359">IF(C$2&gt;AnalysisPeriod,0,IF(C$2=MMFrequency3*$A646,MMCost3*CapacityDC*1000*(1+Inflation)^B$2,0))</f>
        <v>0</v>
      </c>
      <c r="D646" s="186">
        <f t="shared" si="359"/>
        <v>0</v>
      </c>
      <c r="E646" s="186">
        <f t="shared" si="359"/>
        <v>0</v>
      </c>
      <c r="F646" s="186">
        <f t="shared" si="359"/>
        <v>0</v>
      </c>
      <c r="G646" s="186">
        <f t="shared" si="359"/>
        <v>0</v>
      </c>
      <c r="H646" s="186">
        <f t="shared" si="359"/>
        <v>0</v>
      </c>
      <c r="I646" s="186">
        <f t="shared" si="359"/>
        <v>0</v>
      </c>
      <c r="J646" s="186">
        <f t="shared" si="359"/>
        <v>0</v>
      </c>
      <c r="K646" s="186">
        <f t="shared" si="359"/>
        <v>0</v>
      </c>
      <c r="L646" s="186">
        <f t="shared" si="359"/>
        <v>0</v>
      </c>
      <c r="M646" s="186">
        <f t="shared" si="359"/>
        <v>0</v>
      </c>
      <c r="N646" s="186">
        <f t="shared" si="359"/>
        <v>0</v>
      </c>
      <c r="O646" s="186">
        <f t="shared" si="359"/>
        <v>0</v>
      </c>
      <c r="P646" s="186">
        <f t="shared" si="359"/>
        <v>0</v>
      </c>
      <c r="Q646" s="186">
        <f t="shared" si="359"/>
        <v>0</v>
      </c>
      <c r="R646" s="186">
        <f t="shared" si="359"/>
        <v>0</v>
      </c>
      <c r="S646" s="186">
        <f t="shared" si="359"/>
        <v>0</v>
      </c>
      <c r="T646" s="186">
        <f t="shared" si="359"/>
        <v>0</v>
      </c>
      <c r="U646" s="186">
        <f t="shared" si="359"/>
        <v>0</v>
      </c>
      <c r="V646" s="186">
        <f t="shared" si="359"/>
        <v>0</v>
      </c>
      <c r="W646" s="186">
        <f t="shared" si="359"/>
        <v>0</v>
      </c>
      <c r="X646" s="186">
        <f t="shared" si="359"/>
        <v>0</v>
      </c>
      <c r="Y646" s="186">
        <f t="shared" si="359"/>
        <v>0</v>
      </c>
      <c r="Z646" s="186">
        <f t="shared" si="359"/>
        <v>140837.71546098724</v>
      </c>
      <c r="AA646" s="186">
        <f t="shared" si="359"/>
        <v>0</v>
      </c>
      <c r="AB646" s="186">
        <f t="shared" si="359"/>
        <v>0</v>
      </c>
      <c r="AC646" s="186">
        <f t="shared" si="359"/>
        <v>0</v>
      </c>
      <c r="AD646" s="186">
        <f t="shared" si="359"/>
        <v>0</v>
      </c>
      <c r="AE646" s="186">
        <f t="shared" si="359"/>
        <v>0</v>
      </c>
      <c r="AF646" s="186">
        <f t="shared" si="359"/>
        <v>0</v>
      </c>
      <c r="AG646" s="186">
        <f t="shared" si="359"/>
        <v>0</v>
      </c>
      <c r="AH646" s="186">
        <f t="shared" si="359"/>
        <v>0</v>
      </c>
      <c r="AI646" s="186">
        <f t="shared" si="359"/>
        <v>0</v>
      </c>
      <c r="AJ646" s="186">
        <f t="shared" si="359"/>
        <v>0</v>
      </c>
      <c r="AK646" s="186">
        <f t="shared" si="359"/>
        <v>0</v>
      </c>
      <c r="AL646" s="186">
        <f t="shared" si="359"/>
        <v>0</v>
      </c>
      <c r="AM646" s="186">
        <f t="shared" si="359"/>
        <v>0</v>
      </c>
      <c r="AN646" s="186">
        <f t="shared" si="359"/>
        <v>0</v>
      </c>
      <c r="AO646" s="186">
        <f t="shared" si="359"/>
        <v>0</v>
      </c>
      <c r="AP646" s="186">
        <f t="shared" si="359"/>
        <v>0</v>
      </c>
    </row>
    <row r="647" spans="1:42">
      <c r="A647" s="37">
        <f>A646+1</f>
        <v>9</v>
      </c>
      <c r="B647" s="255">
        <f t="shared" si="355"/>
        <v>147270.95344195748</v>
      </c>
      <c r="C647" s="186">
        <f t="shared" si="359"/>
        <v>0</v>
      </c>
      <c r="D647" s="186">
        <f t="shared" si="359"/>
        <v>0</v>
      </c>
      <c r="E647" s="186">
        <f t="shared" si="359"/>
        <v>0</v>
      </c>
      <c r="F647" s="186">
        <f t="shared" si="359"/>
        <v>0</v>
      </c>
      <c r="G647" s="186">
        <f t="shared" si="359"/>
        <v>0</v>
      </c>
      <c r="H647" s="186">
        <f t="shared" si="359"/>
        <v>0</v>
      </c>
      <c r="I647" s="186">
        <f t="shared" si="359"/>
        <v>0</v>
      </c>
      <c r="J647" s="186">
        <f t="shared" si="359"/>
        <v>0</v>
      </c>
      <c r="K647" s="186">
        <f t="shared" si="359"/>
        <v>0</v>
      </c>
      <c r="L647" s="186">
        <f t="shared" si="359"/>
        <v>0</v>
      </c>
      <c r="M647" s="186">
        <f t="shared" si="359"/>
        <v>0</v>
      </c>
      <c r="N647" s="186">
        <f t="shared" si="359"/>
        <v>0</v>
      </c>
      <c r="O647" s="186">
        <f t="shared" si="359"/>
        <v>0</v>
      </c>
      <c r="P647" s="186">
        <f t="shared" si="359"/>
        <v>0</v>
      </c>
      <c r="Q647" s="186">
        <f t="shared" si="359"/>
        <v>0</v>
      </c>
      <c r="R647" s="186">
        <f t="shared" si="359"/>
        <v>0</v>
      </c>
      <c r="S647" s="186">
        <f t="shared" si="359"/>
        <v>0</v>
      </c>
      <c r="T647" s="186">
        <f t="shared" si="359"/>
        <v>0</v>
      </c>
      <c r="U647" s="186">
        <f t="shared" si="359"/>
        <v>0</v>
      </c>
      <c r="V647" s="186">
        <f t="shared" si="359"/>
        <v>0</v>
      </c>
      <c r="W647" s="186">
        <f t="shared" si="359"/>
        <v>0</v>
      </c>
      <c r="X647" s="186">
        <f t="shared" si="359"/>
        <v>0</v>
      </c>
      <c r="Y647" s="186">
        <f t="shared" si="359"/>
        <v>0</v>
      </c>
      <c r="Z647" s="186">
        <f t="shared" si="359"/>
        <v>0</v>
      </c>
      <c r="AA647" s="186">
        <f t="shared" si="359"/>
        <v>0</v>
      </c>
      <c r="AB647" s="186">
        <f t="shared" si="359"/>
        <v>0</v>
      </c>
      <c r="AC647" s="186">
        <f t="shared" si="359"/>
        <v>147270.95344195748</v>
      </c>
      <c r="AD647" s="186">
        <f t="shared" si="359"/>
        <v>0</v>
      </c>
      <c r="AE647" s="186">
        <f t="shared" si="359"/>
        <v>0</v>
      </c>
      <c r="AF647" s="186">
        <f t="shared" si="359"/>
        <v>0</v>
      </c>
      <c r="AG647" s="186">
        <f t="shared" si="359"/>
        <v>0</v>
      </c>
      <c r="AH647" s="186">
        <f t="shared" si="359"/>
        <v>0</v>
      </c>
      <c r="AI647" s="186">
        <f t="shared" si="359"/>
        <v>0</v>
      </c>
      <c r="AJ647" s="186">
        <f t="shared" si="359"/>
        <v>0</v>
      </c>
      <c r="AK647" s="186">
        <f t="shared" si="359"/>
        <v>0</v>
      </c>
      <c r="AL647" s="186">
        <f t="shared" si="359"/>
        <v>0</v>
      </c>
      <c r="AM647" s="186">
        <f t="shared" si="359"/>
        <v>0</v>
      </c>
      <c r="AN647" s="186">
        <f t="shared" si="359"/>
        <v>0</v>
      </c>
      <c r="AO647" s="186">
        <f t="shared" si="359"/>
        <v>0</v>
      </c>
      <c r="AP647" s="186">
        <f t="shared" si="359"/>
        <v>0</v>
      </c>
    </row>
    <row r="648" spans="1:42">
      <c r="A648" s="37">
        <f t="shared" si="357"/>
        <v>10</v>
      </c>
      <c r="B648" s="255">
        <f t="shared" si="355"/>
        <v>153998.05127988668</v>
      </c>
      <c r="C648" s="187">
        <f t="shared" si="359"/>
        <v>0</v>
      </c>
      <c r="D648" s="187">
        <f t="shared" si="359"/>
        <v>0</v>
      </c>
      <c r="E648" s="187">
        <f t="shared" si="359"/>
        <v>0</v>
      </c>
      <c r="F648" s="187">
        <f t="shared" si="359"/>
        <v>0</v>
      </c>
      <c r="G648" s="187">
        <f t="shared" si="359"/>
        <v>0</v>
      </c>
      <c r="H648" s="187">
        <f t="shared" si="359"/>
        <v>0</v>
      </c>
      <c r="I648" s="187">
        <f t="shared" si="359"/>
        <v>0</v>
      </c>
      <c r="J648" s="187">
        <f t="shared" si="359"/>
        <v>0</v>
      </c>
      <c r="K648" s="187">
        <f t="shared" si="359"/>
        <v>0</v>
      </c>
      <c r="L648" s="187">
        <f t="shared" si="359"/>
        <v>0</v>
      </c>
      <c r="M648" s="187">
        <f t="shared" si="359"/>
        <v>0</v>
      </c>
      <c r="N648" s="187">
        <f t="shared" si="359"/>
        <v>0</v>
      </c>
      <c r="O648" s="187">
        <f t="shared" si="359"/>
        <v>0</v>
      </c>
      <c r="P648" s="187">
        <f t="shared" si="359"/>
        <v>0</v>
      </c>
      <c r="Q648" s="187">
        <f t="shared" si="359"/>
        <v>0</v>
      </c>
      <c r="R648" s="187">
        <f t="shared" si="359"/>
        <v>0</v>
      </c>
      <c r="S648" s="187">
        <f t="shared" si="359"/>
        <v>0</v>
      </c>
      <c r="T648" s="187">
        <f t="shared" si="359"/>
        <v>0</v>
      </c>
      <c r="U648" s="187">
        <f t="shared" si="359"/>
        <v>0</v>
      </c>
      <c r="V648" s="187">
        <f t="shared" si="359"/>
        <v>0</v>
      </c>
      <c r="W648" s="187">
        <f t="shared" si="359"/>
        <v>0</v>
      </c>
      <c r="X648" s="187">
        <f t="shared" si="359"/>
        <v>0</v>
      </c>
      <c r="Y648" s="187">
        <f t="shared" si="359"/>
        <v>0</v>
      </c>
      <c r="Z648" s="187">
        <f t="shared" si="359"/>
        <v>0</v>
      </c>
      <c r="AA648" s="187">
        <f t="shared" si="359"/>
        <v>0</v>
      </c>
      <c r="AB648" s="187">
        <f t="shared" si="359"/>
        <v>0</v>
      </c>
      <c r="AC648" s="187">
        <f t="shared" si="359"/>
        <v>0</v>
      </c>
      <c r="AD648" s="187">
        <f t="shared" si="359"/>
        <v>0</v>
      </c>
      <c r="AE648" s="187">
        <f t="shared" si="359"/>
        <v>0</v>
      </c>
      <c r="AF648" s="187">
        <f t="shared" si="359"/>
        <v>153998.05127988668</v>
      </c>
      <c r="AG648" s="187">
        <f t="shared" si="359"/>
        <v>0</v>
      </c>
      <c r="AH648" s="187">
        <f t="shared" si="359"/>
        <v>0</v>
      </c>
      <c r="AI648" s="187">
        <f t="shared" si="359"/>
        <v>0</v>
      </c>
      <c r="AJ648" s="187">
        <f t="shared" si="359"/>
        <v>0</v>
      </c>
      <c r="AK648" s="187">
        <f t="shared" si="359"/>
        <v>0</v>
      </c>
      <c r="AL648" s="187">
        <f t="shared" si="359"/>
        <v>0</v>
      </c>
      <c r="AM648" s="187">
        <f t="shared" si="359"/>
        <v>0</v>
      </c>
      <c r="AN648" s="187">
        <f t="shared" si="359"/>
        <v>0</v>
      </c>
      <c r="AO648" s="187">
        <f t="shared" si="359"/>
        <v>0</v>
      </c>
      <c r="AP648" s="187">
        <f t="shared" si="359"/>
        <v>0</v>
      </c>
    </row>
    <row r="649" spans="1:42">
      <c r="A649" s="219" t="s">
        <v>53</v>
      </c>
      <c r="B649" s="186"/>
      <c r="C649" s="152">
        <f>SUM(C639:C648)</f>
        <v>0</v>
      </c>
      <c r="D649" s="152">
        <f t="shared" ref="D649:AP649" si="360">SUM(D639:D648)</f>
        <v>0</v>
      </c>
      <c r="E649" s="152">
        <f t="shared" si="360"/>
        <v>103022.49999999997</v>
      </c>
      <c r="F649" s="152">
        <f t="shared" si="360"/>
        <v>0</v>
      </c>
      <c r="G649" s="152">
        <f t="shared" si="360"/>
        <v>0</v>
      </c>
      <c r="H649" s="152">
        <f t="shared" si="360"/>
        <v>107728.40038843743</v>
      </c>
      <c r="I649" s="152">
        <f t="shared" si="360"/>
        <v>0</v>
      </c>
      <c r="J649" s="152">
        <f t="shared" si="360"/>
        <v>0</v>
      </c>
      <c r="K649" s="152">
        <f t="shared" si="360"/>
        <v>112649.25865953058</v>
      </c>
      <c r="L649" s="152">
        <f t="shared" si="360"/>
        <v>0</v>
      </c>
      <c r="M649" s="152">
        <f t="shared" si="360"/>
        <v>0</v>
      </c>
      <c r="N649" s="152">
        <f t="shared" si="360"/>
        <v>117794.89374005256</v>
      </c>
      <c r="O649" s="152">
        <f t="shared" si="360"/>
        <v>0</v>
      </c>
      <c r="P649" s="152">
        <f t="shared" si="360"/>
        <v>0</v>
      </c>
      <c r="Q649" s="152">
        <f t="shared" si="360"/>
        <v>123175.57306939577</v>
      </c>
      <c r="R649" s="152">
        <f t="shared" si="360"/>
        <v>0</v>
      </c>
      <c r="S649" s="152">
        <f t="shared" si="360"/>
        <v>0</v>
      </c>
      <c r="T649" s="152">
        <f t="shared" si="360"/>
        <v>128802.03308689948</v>
      </c>
      <c r="U649" s="152">
        <f t="shared" si="360"/>
        <v>0</v>
      </c>
      <c r="V649" s="152">
        <f t="shared" si="360"/>
        <v>0</v>
      </c>
      <c r="W649" s="152">
        <f t="shared" si="360"/>
        <v>134685.50065500522</v>
      </c>
      <c r="X649" s="152">
        <f t="shared" si="360"/>
        <v>0</v>
      </c>
      <c r="Y649" s="152">
        <f t="shared" si="360"/>
        <v>0</v>
      </c>
      <c r="Z649" s="152">
        <f t="shared" si="360"/>
        <v>140837.71546098724</v>
      </c>
      <c r="AA649" s="152">
        <f t="shared" si="360"/>
        <v>0</v>
      </c>
      <c r="AB649" s="152">
        <f t="shared" si="360"/>
        <v>0</v>
      </c>
      <c r="AC649" s="152">
        <f t="shared" si="360"/>
        <v>147270.95344195748</v>
      </c>
      <c r="AD649" s="152">
        <f t="shared" si="360"/>
        <v>0</v>
      </c>
      <c r="AE649" s="152">
        <f t="shared" si="360"/>
        <v>0</v>
      </c>
      <c r="AF649" s="152">
        <f t="shared" si="360"/>
        <v>153998.05127988668</v>
      </c>
      <c r="AG649" s="152">
        <f t="shared" si="360"/>
        <v>0</v>
      </c>
      <c r="AH649" s="152">
        <f t="shared" si="360"/>
        <v>0</v>
      </c>
      <c r="AI649" s="152">
        <f t="shared" si="360"/>
        <v>0</v>
      </c>
      <c r="AJ649" s="152">
        <f t="shared" si="360"/>
        <v>0</v>
      </c>
      <c r="AK649" s="152">
        <f t="shared" si="360"/>
        <v>0</v>
      </c>
      <c r="AL649" s="152">
        <f t="shared" si="360"/>
        <v>0</v>
      </c>
      <c r="AM649" s="152">
        <f t="shared" si="360"/>
        <v>0</v>
      </c>
      <c r="AN649" s="152">
        <f t="shared" si="360"/>
        <v>0</v>
      </c>
      <c r="AO649" s="152">
        <f t="shared" si="360"/>
        <v>0</v>
      </c>
      <c r="AP649" s="152">
        <f t="shared" si="360"/>
        <v>0</v>
      </c>
    </row>
    <row r="650" spans="1:42">
      <c r="A650" s="37" t="s">
        <v>199</v>
      </c>
      <c r="B650" s="152"/>
      <c r="C650" s="152"/>
      <c r="D650" s="152"/>
      <c r="E650" s="152"/>
      <c r="F650" s="152"/>
      <c r="G650" s="186"/>
      <c r="H650" s="186"/>
      <c r="I650" s="186"/>
      <c r="J650" s="186"/>
      <c r="K650" s="186"/>
      <c r="L650" s="186"/>
      <c r="M650" s="186"/>
      <c r="N650" s="186"/>
      <c r="O650" s="186"/>
      <c r="P650" s="186"/>
      <c r="Q650" s="186"/>
      <c r="R650" s="186"/>
      <c r="S650" s="186"/>
      <c r="T650" s="186"/>
      <c r="U650" s="186"/>
      <c r="V650" s="186"/>
      <c r="W650" s="186"/>
      <c r="X650" s="186"/>
      <c r="Y650" s="186"/>
      <c r="Z650" s="186"/>
      <c r="AA650" s="186"/>
      <c r="AB650" s="186"/>
      <c r="AC650" s="186"/>
      <c r="AD650" s="186"/>
      <c r="AE650" s="186"/>
      <c r="AF650" s="186"/>
      <c r="AG650" s="186"/>
      <c r="AH650" s="186"/>
      <c r="AI650" s="186"/>
      <c r="AJ650" s="186"/>
      <c r="AK650" s="186"/>
      <c r="AL650" s="186"/>
      <c r="AM650" s="186"/>
      <c r="AN650" s="186"/>
      <c r="AO650" s="186"/>
      <c r="AP650" s="186"/>
    </row>
    <row r="651" spans="1:42">
      <c r="A651" s="37">
        <v>1</v>
      </c>
      <c r="B651" s="255">
        <f t="shared" ref="B651:B660" si="361">SUM(C651:AP651)</f>
        <v>103022.49999999997</v>
      </c>
      <c r="C651" s="186">
        <f t="shared" ref="C651:AP651" si="362">IF(C$2&lt;=MMFrequency3*$A$639,$B$639/(MMFrequency3),0)</f>
        <v>34340.833333333321</v>
      </c>
      <c r="D651" s="186">
        <f t="shared" si="362"/>
        <v>34340.833333333321</v>
      </c>
      <c r="E651" s="186">
        <f t="shared" si="362"/>
        <v>34340.833333333321</v>
      </c>
      <c r="F651" s="186">
        <f t="shared" si="362"/>
        <v>0</v>
      </c>
      <c r="G651" s="186">
        <f t="shared" si="362"/>
        <v>0</v>
      </c>
      <c r="H651" s="186">
        <f t="shared" si="362"/>
        <v>0</v>
      </c>
      <c r="I651" s="186">
        <f t="shared" si="362"/>
        <v>0</v>
      </c>
      <c r="J651" s="186">
        <f t="shared" si="362"/>
        <v>0</v>
      </c>
      <c r="K651" s="186">
        <f t="shared" si="362"/>
        <v>0</v>
      </c>
      <c r="L651" s="186">
        <f t="shared" si="362"/>
        <v>0</v>
      </c>
      <c r="M651" s="186">
        <f t="shared" si="362"/>
        <v>0</v>
      </c>
      <c r="N651" s="186">
        <f t="shared" si="362"/>
        <v>0</v>
      </c>
      <c r="O651" s="186">
        <f t="shared" si="362"/>
        <v>0</v>
      </c>
      <c r="P651" s="186">
        <f t="shared" si="362"/>
        <v>0</v>
      </c>
      <c r="Q651" s="186">
        <f t="shared" si="362"/>
        <v>0</v>
      </c>
      <c r="R651" s="186">
        <f t="shared" si="362"/>
        <v>0</v>
      </c>
      <c r="S651" s="186">
        <f t="shared" si="362"/>
        <v>0</v>
      </c>
      <c r="T651" s="186">
        <f t="shared" si="362"/>
        <v>0</v>
      </c>
      <c r="U651" s="186">
        <f t="shared" si="362"/>
        <v>0</v>
      </c>
      <c r="V651" s="186">
        <f t="shared" si="362"/>
        <v>0</v>
      </c>
      <c r="W651" s="186">
        <f t="shared" si="362"/>
        <v>0</v>
      </c>
      <c r="X651" s="186">
        <f t="shared" si="362"/>
        <v>0</v>
      </c>
      <c r="Y651" s="186">
        <f t="shared" si="362"/>
        <v>0</v>
      </c>
      <c r="Z651" s="186">
        <f t="shared" si="362"/>
        <v>0</v>
      </c>
      <c r="AA651" s="186">
        <f t="shared" si="362"/>
        <v>0</v>
      </c>
      <c r="AB651" s="186">
        <f t="shared" si="362"/>
        <v>0</v>
      </c>
      <c r="AC651" s="186">
        <f t="shared" si="362"/>
        <v>0</v>
      </c>
      <c r="AD651" s="186">
        <f t="shared" si="362"/>
        <v>0</v>
      </c>
      <c r="AE651" s="186">
        <f t="shared" si="362"/>
        <v>0</v>
      </c>
      <c r="AF651" s="186">
        <f t="shared" si="362"/>
        <v>0</v>
      </c>
      <c r="AG651" s="186">
        <f t="shared" si="362"/>
        <v>0</v>
      </c>
      <c r="AH651" s="186">
        <f t="shared" si="362"/>
        <v>0</v>
      </c>
      <c r="AI651" s="186">
        <f t="shared" si="362"/>
        <v>0</v>
      </c>
      <c r="AJ651" s="186">
        <f t="shared" si="362"/>
        <v>0</v>
      </c>
      <c r="AK651" s="186">
        <f t="shared" si="362"/>
        <v>0</v>
      </c>
      <c r="AL651" s="186">
        <f t="shared" si="362"/>
        <v>0</v>
      </c>
      <c r="AM651" s="186">
        <f t="shared" si="362"/>
        <v>0</v>
      </c>
      <c r="AN651" s="186">
        <f t="shared" si="362"/>
        <v>0</v>
      </c>
      <c r="AO651" s="186">
        <f t="shared" si="362"/>
        <v>0</v>
      </c>
      <c r="AP651" s="186">
        <f t="shared" si="362"/>
        <v>0</v>
      </c>
    </row>
    <row r="652" spans="1:42">
      <c r="A652" s="37">
        <f>A651+1</f>
        <v>2</v>
      </c>
      <c r="B652" s="255">
        <f t="shared" si="361"/>
        <v>107728.40038843744</v>
      </c>
      <c r="C652" s="186">
        <f t="shared" ref="C652:AP658" si="363">IF(AND(C$2&gt;MMFrequency3*$A639,C$2&lt;=MMFrequency3*$A640),$B640/(MMFrequency3),0)</f>
        <v>0</v>
      </c>
      <c r="D652" s="186">
        <f t="shared" si="363"/>
        <v>0</v>
      </c>
      <c r="E652" s="186">
        <f t="shared" si="363"/>
        <v>0</v>
      </c>
      <c r="F652" s="186">
        <f t="shared" si="363"/>
        <v>35909.466796145811</v>
      </c>
      <c r="G652" s="186">
        <f t="shared" si="363"/>
        <v>35909.466796145811</v>
      </c>
      <c r="H652" s="186">
        <f t="shared" si="363"/>
        <v>35909.466796145811</v>
      </c>
      <c r="I652" s="186">
        <f t="shared" si="363"/>
        <v>0</v>
      </c>
      <c r="J652" s="186">
        <f t="shared" si="363"/>
        <v>0</v>
      </c>
      <c r="K652" s="186">
        <f t="shared" si="363"/>
        <v>0</v>
      </c>
      <c r="L652" s="186">
        <f t="shared" si="363"/>
        <v>0</v>
      </c>
      <c r="M652" s="186">
        <f t="shared" si="363"/>
        <v>0</v>
      </c>
      <c r="N652" s="186">
        <f t="shared" si="363"/>
        <v>0</v>
      </c>
      <c r="O652" s="186">
        <f t="shared" si="363"/>
        <v>0</v>
      </c>
      <c r="P652" s="186">
        <f t="shared" si="363"/>
        <v>0</v>
      </c>
      <c r="Q652" s="186">
        <f t="shared" si="363"/>
        <v>0</v>
      </c>
      <c r="R652" s="186">
        <f t="shared" si="363"/>
        <v>0</v>
      </c>
      <c r="S652" s="186">
        <f t="shared" si="363"/>
        <v>0</v>
      </c>
      <c r="T652" s="186">
        <f t="shared" si="363"/>
        <v>0</v>
      </c>
      <c r="U652" s="186">
        <f t="shared" si="363"/>
        <v>0</v>
      </c>
      <c r="V652" s="186">
        <f t="shared" si="363"/>
        <v>0</v>
      </c>
      <c r="W652" s="186">
        <f t="shared" si="363"/>
        <v>0</v>
      </c>
      <c r="X652" s="186">
        <f t="shared" si="363"/>
        <v>0</v>
      </c>
      <c r="Y652" s="186">
        <f t="shared" si="363"/>
        <v>0</v>
      </c>
      <c r="Z652" s="186">
        <f t="shared" si="363"/>
        <v>0</v>
      </c>
      <c r="AA652" s="186">
        <f t="shared" si="363"/>
        <v>0</v>
      </c>
      <c r="AB652" s="186">
        <f t="shared" si="363"/>
        <v>0</v>
      </c>
      <c r="AC652" s="186">
        <f t="shared" si="363"/>
        <v>0</v>
      </c>
      <c r="AD652" s="186">
        <f t="shared" si="363"/>
        <v>0</v>
      </c>
      <c r="AE652" s="186">
        <f t="shared" si="363"/>
        <v>0</v>
      </c>
      <c r="AF652" s="186">
        <f t="shared" si="363"/>
        <v>0</v>
      </c>
      <c r="AG652" s="186">
        <f t="shared" si="363"/>
        <v>0</v>
      </c>
      <c r="AH652" s="186">
        <f t="shared" si="363"/>
        <v>0</v>
      </c>
      <c r="AI652" s="186">
        <f t="shared" si="363"/>
        <v>0</v>
      </c>
      <c r="AJ652" s="186">
        <f t="shared" si="363"/>
        <v>0</v>
      </c>
      <c r="AK652" s="186">
        <f t="shared" si="363"/>
        <v>0</v>
      </c>
      <c r="AL652" s="186">
        <f t="shared" si="363"/>
        <v>0</v>
      </c>
      <c r="AM652" s="186">
        <f t="shared" si="363"/>
        <v>0</v>
      </c>
      <c r="AN652" s="186">
        <f t="shared" si="363"/>
        <v>0</v>
      </c>
      <c r="AO652" s="186">
        <f t="shared" si="363"/>
        <v>0</v>
      </c>
      <c r="AP652" s="186">
        <f t="shared" si="363"/>
        <v>0</v>
      </c>
    </row>
    <row r="653" spans="1:42">
      <c r="A653" s="37">
        <f t="shared" ref="A653:A658" si="364">A652+1</f>
        <v>3</v>
      </c>
      <c r="B653" s="255">
        <f t="shared" si="361"/>
        <v>112649.25865953058</v>
      </c>
      <c r="C653" s="186">
        <f t="shared" si="363"/>
        <v>0</v>
      </c>
      <c r="D653" s="186">
        <f t="shared" si="363"/>
        <v>0</v>
      </c>
      <c r="E653" s="186">
        <f t="shared" si="363"/>
        <v>0</v>
      </c>
      <c r="F653" s="186">
        <f t="shared" si="363"/>
        <v>0</v>
      </c>
      <c r="G653" s="186">
        <f t="shared" si="363"/>
        <v>0</v>
      </c>
      <c r="H653" s="186">
        <f t="shared" si="363"/>
        <v>0</v>
      </c>
      <c r="I653" s="186">
        <f t="shared" si="363"/>
        <v>37549.752886510192</v>
      </c>
      <c r="J653" s="186">
        <f t="shared" si="363"/>
        <v>37549.752886510192</v>
      </c>
      <c r="K653" s="186">
        <f t="shared" si="363"/>
        <v>37549.752886510192</v>
      </c>
      <c r="L653" s="186">
        <f t="shared" si="363"/>
        <v>0</v>
      </c>
      <c r="M653" s="186">
        <f t="shared" si="363"/>
        <v>0</v>
      </c>
      <c r="N653" s="186">
        <f t="shared" si="363"/>
        <v>0</v>
      </c>
      <c r="O653" s="186">
        <f t="shared" si="363"/>
        <v>0</v>
      </c>
      <c r="P653" s="186">
        <f t="shared" si="363"/>
        <v>0</v>
      </c>
      <c r="Q653" s="186">
        <f t="shared" si="363"/>
        <v>0</v>
      </c>
      <c r="R653" s="186">
        <f t="shared" si="363"/>
        <v>0</v>
      </c>
      <c r="S653" s="186">
        <f t="shared" si="363"/>
        <v>0</v>
      </c>
      <c r="T653" s="186">
        <f t="shared" si="363"/>
        <v>0</v>
      </c>
      <c r="U653" s="186">
        <f t="shared" si="363"/>
        <v>0</v>
      </c>
      <c r="V653" s="186">
        <f t="shared" si="363"/>
        <v>0</v>
      </c>
      <c r="W653" s="186">
        <f t="shared" si="363"/>
        <v>0</v>
      </c>
      <c r="X653" s="186">
        <f t="shared" si="363"/>
        <v>0</v>
      </c>
      <c r="Y653" s="186">
        <f t="shared" si="363"/>
        <v>0</v>
      </c>
      <c r="Z653" s="186">
        <f t="shared" si="363"/>
        <v>0</v>
      </c>
      <c r="AA653" s="186">
        <f t="shared" si="363"/>
        <v>0</v>
      </c>
      <c r="AB653" s="186">
        <f t="shared" si="363"/>
        <v>0</v>
      </c>
      <c r="AC653" s="186">
        <f t="shared" si="363"/>
        <v>0</v>
      </c>
      <c r="AD653" s="186">
        <f t="shared" si="363"/>
        <v>0</v>
      </c>
      <c r="AE653" s="186">
        <f t="shared" si="363"/>
        <v>0</v>
      </c>
      <c r="AF653" s="186">
        <f t="shared" si="363"/>
        <v>0</v>
      </c>
      <c r="AG653" s="186">
        <f t="shared" si="363"/>
        <v>0</v>
      </c>
      <c r="AH653" s="186">
        <f t="shared" si="363"/>
        <v>0</v>
      </c>
      <c r="AI653" s="186">
        <f t="shared" si="363"/>
        <v>0</v>
      </c>
      <c r="AJ653" s="186">
        <f t="shared" si="363"/>
        <v>0</v>
      </c>
      <c r="AK653" s="186">
        <f t="shared" si="363"/>
        <v>0</v>
      </c>
      <c r="AL653" s="186">
        <f t="shared" si="363"/>
        <v>0</v>
      </c>
      <c r="AM653" s="186">
        <f t="shared" si="363"/>
        <v>0</v>
      </c>
      <c r="AN653" s="186">
        <f t="shared" si="363"/>
        <v>0</v>
      </c>
      <c r="AO653" s="186">
        <f t="shared" si="363"/>
        <v>0</v>
      </c>
      <c r="AP653" s="186">
        <f t="shared" si="363"/>
        <v>0</v>
      </c>
    </row>
    <row r="654" spans="1:42">
      <c r="A654" s="37">
        <f t="shared" si="364"/>
        <v>4</v>
      </c>
      <c r="B654" s="255">
        <f t="shared" si="361"/>
        <v>117794.89374005256</v>
      </c>
      <c r="C654" s="186">
        <f t="shared" si="363"/>
        <v>0</v>
      </c>
      <c r="D654" s="186">
        <f t="shared" si="363"/>
        <v>0</v>
      </c>
      <c r="E654" s="186">
        <f t="shared" si="363"/>
        <v>0</v>
      </c>
      <c r="F654" s="186">
        <f t="shared" si="363"/>
        <v>0</v>
      </c>
      <c r="G654" s="186">
        <f t="shared" si="363"/>
        <v>0</v>
      </c>
      <c r="H654" s="186">
        <f t="shared" si="363"/>
        <v>0</v>
      </c>
      <c r="I654" s="186">
        <f t="shared" si="363"/>
        <v>0</v>
      </c>
      <c r="J654" s="186">
        <f t="shared" si="363"/>
        <v>0</v>
      </c>
      <c r="K654" s="186">
        <f t="shared" si="363"/>
        <v>0</v>
      </c>
      <c r="L654" s="186">
        <f t="shared" si="363"/>
        <v>39264.96458001752</v>
      </c>
      <c r="M654" s="186">
        <f t="shared" si="363"/>
        <v>39264.96458001752</v>
      </c>
      <c r="N654" s="186">
        <f t="shared" si="363"/>
        <v>39264.96458001752</v>
      </c>
      <c r="O654" s="186">
        <f t="shared" si="363"/>
        <v>0</v>
      </c>
      <c r="P654" s="186">
        <f t="shared" si="363"/>
        <v>0</v>
      </c>
      <c r="Q654" s="186">
        <f t="shared" si="363"/>
        <v>0</v>
      </c>
      <c r="R654" s="186">
        <f t="shared" si="363"/>
        <v>0</v>
      </c>
      <c r="S654" s="186">
        <f t="shared" si="363"/>
        <v>0</v>
      </c>
      <c r="T654" s="186">
        <f t="shared" si="363"/>
        <v>0</v>
      </c>
      <c r="U654" s="186">
        <f t="shared" si="363"/>
        <v>0</v>
      </c>
      <c r="V654" s="186">
        <f t="shared" si="363"/>
        <v>0</v>
      </c>
      <c r="W654" s="186">
        <f t="shared" si="363"/>
        <v>0</v>
      </c>
      <c r="X654" s="186">
        <f t="shared" si="363"/>
        <v>0</v>
      </c>
      <c r="Y654" s="186">
        <f t="shared" si="363"/>
        <v>0</v>
      </c>
      <c r="Z654" s="186">
        <f t="shared" si="363"/>
        <v>0</v>
      </c>
      <c r="AA654" s="186">
        <f t="shared" si="363"/>
        <v>0</v>
      </c>
      <c r="AB654" s="186">
        <f t="shared" si="363"/>
        <v>0</v>
      </c>
      <c r="AC654" s="186">
        <f t="shared" si="363"/>
        <v>0</v>
      </c>
      <c r="AD654" s="186">
        <f t="shared" si="363"/>
        <v>0</v>
      </c>
      <c r="AE654" s="186">
        <f t="shared" si="363"/>
        <v>0</v>
      </c>
      <c r="AF654" s="186">
        <f t="shared" si="363"/>
        <v>0</v>
      </c>
      <c r="AG654" s="186">
        <f t="shared" si="363"/>
        <v>0</v>
      </c>
      <c r="AH654" s="186">
        <f t="shared" si="363"/>
        <v>0</v>
      </c>
      <c r="AI654" s="186">
        <f t="shared" si="363"/>
        <v>0</v>
      </c>
      <c r="AJ654" s="186">
        <f t="shared" si="363"/>
        <v>0</v>
      </c>
      <c r="AK654" s="186">
        <f t="shared" si="363"/>
        <v>0</v>
      </c>
      <c r="AL654" s="186">
        <f t="shared" si="363"/>
        <v>0</v>
      </c>
      <c r="AM654" s="186">
        <f t="shared" si="363"/>
        <v>0</v>
      </c>
      <c r="AN654" s="186">
        <f t="shared" si="363"/>
        <v>0</v>
      </c>
      <c r="AO654" s="186">
        <f t="shared" si="363"/>
        <v>0</v>
      </c>
      <c r="AP654" s="186">
        <f t="shared" si="363"/>
        <v>0</v>
      </c>
    </row>
    <row r="655" spans="1:42">
      <c r="A655" s="37">
        <f t="shared" si="364"/>
        <v>5</v>
      </c>
      <c r="B655" s="255">
        <f t="shared" si="361"/>
        <v>123175.57306939576</v>
      </c>
      <c r="C655" s="186">
        <f t="shared" si="363"/>
        <v>0</v>
      </c>
      <c r="D655" s="186">
        <f t="shared" si="363"/>
        <v>0</v>
      </c>
      <c r="E655" s="186">
        <f t="shared" si="363"/>
        <v>0</v>
      </c>
      <c r="F655" s="186">
        <f t="shared" si="363"/>
        <v>0</v>
      </c>
      <c r="G655" s="186">
        <f t="shared" si="363"/>
        <v>0</v>
      </c>
      <c r="H655" s="186">
        <f t="shared" si="363"/>
        <v>0</v>
      </c>
      <c r="I655" s="186">
        <f t="shared" si="363"/>
        <v>0</v>
      </c>
      <c r="J655" s="186">
        <f t="shared" si="363"/>
        <v>0</v>
      </c>
      <c r="K655" s="186">
        <f t="shared" si="363"/>
        <v>0</v>
      </c>
      <c r="L655" s="186">
        <f t="shared" si="363"/>
        <v>0</v>
      </c>
      <c r="M655" s="186">
        <f t="shared" si="363"/>
        <v>0</v>
      </c>
      <c r="N655" s="186">
        <f t="shared" si="363"/>
        <v>0</v>
      </c>
      <c r="O655" s="186">
        <f t="shared" si="363"/>
        <v>41058.524356465256</v>
      </c>
      <c r="P655" s="186">
        <f t="shared" si="363"/>
        <v>41058.524356465256</v>
      </c>
      <c r="Q655" s="186">
        <f t="shared" si="363"/>
        <v>41058.524356465256</v>
      </c>
      <c r="R655" s="186">
        <f t="shared" si="363"/>
        <v>0</v>
      </c>
      <c r="S655" s="186">
        <f t="shared" si="363"/>
        <v>0</v>
      </c>
      <c r="T655" s="186">
        <f t="shared" si="363"/>
        <v>0</v>
      </c>
      <c r="U655" s="186">
        <f t="shared" si="363"/>
        <v>0</v>
      </c>
      <c r="V655" s="186">
        <f t="shared" si="363"/>
        <v>0</v>
      </c>
      <c r="W655" s="186">
        <f t="shared" si="363"/>
        <v>0</v>
      </c>
      <c r="X655" s="186">
        <f t="shared" si="363"/>
        <v>0</v>
      </c>
      <c r="Y655" s="186">
        <f t="shared" si="363"/>
        <v>0</v>
      </c>
      <c r="Z655" s="186">
        <f t="shared" si="363"/>
        <v>0</v>
      </c>
      <c r="AA655" s="186">
        <f t="shared" si="363"/>
        <v>0</v>
      </c>
      <c r="AB655" s="186">
        <f t="shared" si="363"/>
        <v>0</v>
      </c>
      <c r="AC655" s="186">
        <f t="shared" si="363"/>
        <v>0</v>
      </c>
      <c r="AD655" s="186">
        <f t="shared" si="363"/>
        <v>0</v>
      </c>
      <c r="AE655" s="186">
        <f t="shared" si="363"/>
        <v>0</v>
      </c>
      <c r="AF655" s="186">
        <f t="shared" si="363"/>
        <v>0</v>
      </c>
      <c r="AG655" s="186">
        <f t="shared" si="363"/>
        <v>0</v>
      </c>
      <c r="AH655" s="186">
        <f t="shared" si="363"/>
        <v>0</v>
      </c>
      <c r="AI655" s="186">
        <f t="shared" si="363"/>
        <v>0</v>
      </c>
      <c r="AJ655" s="186">
        <f t="shared" si="363"/>
        <v>0</v>
      </c>
      <c r="AK655" s="186">
        <f t="shared" si="363"/>
        <v>0</v>
      </c>
      <c r="AL655" s="186">
        <f t="shared" si="363"/>
        <v>0</v>
      </c>
      <c r="AM655" s="186">
        <f t="shared" si="363"/>
        <v>0</v>
      </c>
      <c r="AN655" s="186">
        <f t="shared" si="363"/>
        <v>0</v>
      </c>
      <c r="AO655" s="186">
        <f t="shared" si="363"/>
        <v>0</v>
      </c>
      <c r="AP655" s="186">
        <f t="shared" si="363"/>
        <v>0</v>
      </c>
    </row>
    <row r="656" spans="1:42">
      <c r="A656" s="37">
        <f t="shared" si="364"/>
        <v>6</v>
      </c>
      <c r="B656" s="255">
        <f t="shared" si="361"/>
        <v>128802.03308689949</v>
      </c>
      <c r="C656" s="186">
        <f t="shared" si="363"/>
        <v>0</v>
      </c>
      <c r="D656" s="186">
        <f t="shared" si="363"/>
        <v>0</v>
      </c>
      <c r="E656" s="186">
        <f t="shared" si="363"/>
        <v>0</v>
      </c>
      <c r="F656" s="186">
        <f t="shared" si="363"/>
        <v>0</v>
      </c>
      <c r="G656" s="186">
        <f t="shared" si="363"/>
        <v>0</v>
      </c>
      <c r="H656" s="186">
        <f t="shared" si="363"/>
        <v>0</v>
      </c>
      <c r="I656" s="186">
        <f t="shared" si="363"/>
        <v>0</v>
      </c>
      <c r="J656" s="186">
        <f t="shared" si="363"/>
        <v>0</v>
      </c>
      <c r="K656" s="186">
        <f t="shared" si="363"/>
        <v>0</v>
      </c>
      <c r="L656" s="186">
        <f t="shared" si="363"/>
        <v>0</v>
      </c>
      <c r="M656" s="186">
        <f t="shared" si="363"/>
        <v>0</v>
      </c>
      <c r="N656" s="186">
        <f t="shared" si="363"/>
        <v>0</v>
      </c>
      <c r="O656" s="186">
        <f t="shared" si="363"/>
        <v>0</v>
      </c>
      <c r="P656" s="186">
        <f t="shared" si="363"/>
        <v>0</v>
      </c>
      <c r="Q656" s="186">
        <f t="shared" si="363"/>
        <v>0</v>
      </c>
      <c r="R656" s="186">
        <f t="shared" si="363"/>
        <v>42934.011028966495</v>
      </c>
      <c r="S656" s="186">
        <f t="shared" si="363"/>
        <v>42934.011028966495</v>
      </c>
      <c r="T656" s="186">
        <f t="shared" si="363"/>
        <v>42934.011028966495</v>
      </c>
      <c r="U656" s="186">
        <f t="shared" si="363"/>
        <v>0</v>
      </c>
      <c r="V656" s="186">
        <f t="shared" si="363"/>
        <v>0</v>
      </c>
      <c r="W656" s="186">
        <f t="shared" si="363"/>
        <v>0</v>
      </c>
      <c r="X656" s="186">
        <f t="shared" si="363"/>
        <v>0</v>
      </c>
      <c r="Y656" s="186">
        <f t="shared" si="363"/>
        <v>0</v>
      </c>
      <c r="Z656" s="186">
        <f t="shared" si="363"/>
        <v>0</v>
      </c>
      <c r="AA656" s="186">
        <f t="shared" si="363"/>
        <v>0</v>
      </c>
      <c r="AB656" s="186">
        <f t="shared" si="363"/>
        <v>0</v>
      </c>
      <c r="AC656" s="186">
        <f t="shared" si="363"/>
        <v>0</v>
      </c>
      <c r="AD656" s="186">
        <f t="shared" si="363"/>
        <v>0</v>
      </c>
      <c r="AE656" s="186">
        <f t="shared" si="363"/>
        <v>0</v>
      </c>
      <c r="AF656" s="186">
        <f t="shared" si="363"/>
        <v>0</v>
      </c>
      <c r="AG656" s="186">
        <f t="shared" si="363"/>
        <v>0</v>
      </c>
      <c r="AH656" s="186">
        <f t="shared" si="363"/>
        <v>0</v>
      </c>
      <c r="AI656" s="186">
        <f t="shared" si="363"/>
        <v>0</v>
      </c>
      <c r="AJ656" s="186">
        <f t="shared" si="363"/>
        <v>0</v>
      </c>
      <c r="AK656" s="186">
        <f t="shared" si="363"/>
        <v>0</v>
      </c>
      <c r="AL656" s="186">
        <f t="shared" si="363"/>
        <v>0</v>
      </c>
      <c r="AM656" s="186">
        <f t="shared" si="363"/>
        <v>0</v>
      </c>
      <c r="AN656" s="186">
        <f t="shared" si="363"/>
        <v>0</v>
      </c>
      <c r="AO656" s="186">
        <f t="shared" si="363"/>
        <v>0</v>
      </c>
      <c r="AP656" s="186">
        <f t="shared" si="363"/>
        <v>0</v>
      </c>
    </row>
    <row r="657" spans="1:42">
      <c r="A657" s="37">
        <f t="shared" si="364"/>
        <v>7</v>
      </c>
      <c r="B657" s="255">
        <f t="shared" si="361"/>
        <v>134685.50065500522</v>
      </c>
      <c r="C657" s="186">
        <f t="shared" si="363"/>
        <v>0</v>
      </c>
      <c r="D657" s="186">
        <f t="shared" si="363"/>
        <v>0</v>
      </c>
      <c r="E657" s="186">
        <f t="shared" si="363"/>
        <v>0</v>
      </c>
      <c r="F657" s="186">
        <f t="shared" si="363"/>
        <v>0</v>
      </c>
      <c r="G657" s="186">
        <f t="shared" si="363"/>
        <v>0</v>
      </c>
      <c r="H657" s="186">
        <f t="shared" si="363"/>
        <v>0</v>
      </c>
      <c r="I657" s="186">
        <f t="shared" si="363"/>
        <v>0</v>
      </c>
      <c r="J657" s="186">
        <f t="shared" si="363"/>
        <v>0</v>
      </c>
      <c r="K657" s="186">
        <f t="shared" si="363"/>
        <v>0</v>
      </c>
      <c r="L657" s="186">
        <f t="shared" si="363"/>
        <v>0</v>
      </c>
      <c r="M657" s="186">
        <f t="shared" si="363"/>
        <v>0</v>
      </c>
      <c r="N657" s="186">
        <f t="shared" si="363"/>
        <v>0</v>
      </c>
      <c r="O657" s="186">
        <f t="shared" si="363"/>
        <v>0</v>
      </c>
      <c r="P657" s="186">
        <f t="shared" si="363"/>
        <v>0</v>
      </c>
      <c r="Q657" s="186">
        <f t="shared" si="363"/>
        <v>0</v>
      </c>
      <c r="R657" s="186">
        <f t="shared" si="363"/>
        <v>0</v>
      </c>
      <c r="S657" s="186">
        <f t="shared" si="363"/>
        <v>0</v>
      </c>
      <c r="T657" s="186">
        <f t="shared" si="363"/>
        <v>0</v>
      </c>
      <c r="U657" s="186">
        <f t="shared" si="363"/>
        <v>44895.166885001738</v>
      </c>
      <c r="V657" s="186">
        <f t="shared" si="363"/>
        <v>44895.166885001738</v>
      </c>
      <c r="W657" s="186">
        <f t="shared" si="363"/>
        <v>44895.166885001738</v>
      </c>
      <c r="X657" s="186">
        <f t="shared" si="363"/>
        <v>0</v>
      </c>
      <c r="Y657" s="186">
        <f t="shared" si="363"/>
        <v>0</v>
      </c>
      <c r="Z657" s="186">
        <f t="shared" si="363"/>
        <v>0</v>
      </c>
      <c r="AA657" s="186">
        <f t="shared" si="363"/>
        <v>0</v>
      </c>
      <c r="AB657" s="186">
        <f t="shared" si="363"/>
        <v>0</v>
      </c>
      <c r="AC657" s="186">
        <f t="shared" si="363"/>
        <v>0</v>
      </c>
      <c r="AD657" s="186">
        <f t="shared" si="363"/>
        <v>0</v>
      </c>
      <c r="AE657" s="186">
        <f t="shared" si="363"/>
        <v>0</v>
      </c>
      <c r="AF657" s="186">
        <f t="shared" si="363"/>
        <v>0</v>
      </c>
      <c r="AG657" s="186">
        <f t="shared" si="363"/>
        <v>0</v>
      </c>
      <c r="AH657" s="186">
        <f t="shared" si="363"/>
        <v>0</v>
      </c>
      <c r="AI657" s="186">
        <f t="shared" si="363"/>
        <v>0</v>
      </c>
      <c r="AJ657" s="186">
        <f t="shared" si="363"/>
        <v>0</v>
      </c>
      <c r="AK657" s="186">
        <f t="shared" si="363"/>
        <v>0</v>
      </c>
      <c r="AL657" s="186">
        <f t="shared" si="363"/>
        <v>0</v>
      </c>
      <c r="AM657" s="186">
        <f t="shared" si="363"/>
        <v>0</v>
      </c>
      <c r="AN657" s="186">
        <f t="shared" si="363"/>
        <v>0</v>
      </c>
      <c r="AO657" s="186">
        <f t="shared" si="363"/>
        <v>0</v>
      </c>
      <c r="AP657" s="186">
        <f t="shared" si="363"/>
        <v>0</v>
      </c>
    </row>
    <row r="658" spans="1:42">
      <c r="A658" s="37">
        <f t="shared" si="364"/>
        <v>8</v>
      </c>
      <c r="B658" s="255">
        <f t="shared" si="361"/>
        <v>140837.71546098724</v>
      </c>
      <c r="C658" s="186">
        <f t="shared" si="363"/>
        <v>0</v>
      </c>
      <c r="D658" s="186">
        <f t="shared" si="363"/>
        <v>0</v>
      </c>
      <c r="E658" s="186">
        <f t="shared" si="363"/>
        <v>0</v>
      </c>
      <c r="F658" s="186">
        <f t="shared" si="363"/>
        <v>0</v>
      </c>
      <c r="G658" s="186">
        <f t="shared" si="363"/>
        <v>0</v>
      </c>
      <c r="H658" s="186">
        <f t="shared" si="363"/>
        <v>0</v>
      </c>
      <c r="I658" s="186">
        <f t="shared" si="363"/>
        <v>0</v>
      </c>
      <c r="J658" s="186">
        <f t="shared" si="363"/>
        <v>0</v>
      </c>
      <c r="K658" s="186">
        <f t="shared" si="363"/>
        <v>0</v>
      </c>
      <c r="L658" s="186">
        <f t="shared" si="363"/>
        <v>0</v>
      </c>
      <c r="M658" s="186">
        <f t="shared" si="363"/>
        <v>0</v>
      </c>
      <c r="N658" s="186">
        <f t="shared" si="363"/>
        <v>0</v>
      </c>
      <c r="O658" s="186">
        <f t="shared" si="363"/>
        <v>0</v>
      </c>
      <c r="P658" s="186">
        <f t="shared" si="363"/>
        <v>0</v>
      </c>
      <c r="Q658" s="186">
        <f t="shared" si="363"/>
        <v>0</v>
      </c>
      <c r="R658" s="186">
        <f t="shared" ref="R658:AP658" si="365">IF(AND(R$2&gt;MMFrequency3*$A645,R$2&lt;=MMFrequency3*$A646),$B646/(MMFrequency3),0)</f>
        <v>0</v>
      </c>
      <c r="S658" s="186">
        <f t="shared" si="365"/>
        <v>0</v>
      </c>
      <c r="T658" s="186">
        <f t="shared" si="365"/>
        <v>0</v>
      </c>
      <c r="U658" s="186">
        <f t="shared" si="365"/>
        <v>0</v>
      </c>
      <c r="V658" s="186">
        <f t="shared" si="365"/>
        <v>0</v>
      </c>
      <c r="W658" s="186">
        <f t="shared" si="365"/>
        <v>0</v>
      </c>
      <c r="X658" s="186">
        <f t="shared" si="365"/>
        <v>46945.90515366241</v>
      </c>
      <c r="Y658" s="186">
        <f t="shared" si="365"/>
        <v>46945.90515366241</v>
      </c>
      <c r="Z658" s="186">
        <f t="shared" si="365"/>
        <v>46945.90515366241</v>
      </c>
      <c r="AA658" s="186">
        <f t="shared" si="365"/>
        <v>0</v>
      </c>
      <c r="AB658" s="186">
        <f t="shared" si="365"/>
        <v>0</v>
      </c>
      <c r="AC658" s="186">
        <f t="shared" si="365"/>
        <v>0</v>
      </c>
      <c r="AD658" s="186">
        <f t="shared" si="365"/>
        <v>0</v>
      </c>
      <c r="AE658" s="186">
        <f t="shared" si="365"/>
        <v>0</v>
      </c>
      <c r="AF658" s="186">
        <f t="shared" si="365"/>
        <v>0</v>
      </c>
      <c r="AG658" s="186">
        <f t="shared" si="365"/>
        <v>0</v>
      </c>
      <c r="AH658" s="186">
        <f t="shared" si="365"/>
        <v>0</v>
      </c>
      <c r="AI658" s="186">
        <f t="shared" si="365"/>
        <v>0</v>
      </c>
      <c r="AJ658" s="186">
        <f t="shared" si="365"/>
        <v>0</v>
      </c>
      <c r="AK658" s="186">
        <f t="shared" si="365"/>
        <v>0</v>
      </c>
      <c r="AL658" s="186">
        <f t="shared" si="365"/>
        <v>0</v>
      </c>
      <c r="AM658" s="186">
        <f t="shared" si="365"/>
        <v>0</v>
      </c>
      <c r="AN658" s="186">
        <f t="shared" si="365"/>
        <v>0</v>
      </c>
      <c r="AO658" s="186">
        <f t="shared" si="365"/>
        <v>0</v>
      </c>
      <c r="AP658" s="186">
        <f t="shared" si="365"/>
        <v>0</v>
      </c>
    </row>
    <row r="659" spans="1:42">
      <c r="A659" s="37">
        <f>A658+1</f>
        <v>9</v>
      </c>
      <c r="B659" s="255">
        <f t="shared" si="361"/>
        <v>147270.95344195748</v>
      </c>
      <c r="C659" s="186">
        <f t="shared" ref="C659:AP660" si="366">IF(AND(C$2&gt;MMFrequency3*$A646,C$2&lt;=MMFrequency3*$A647),$B647/(MMFrequency3),0)</f>
        <v>0</v>
      </c>
      <c r="D659" s="186">
        <f t="shared" si="366"/>
        <v>0</v>
      </c>
      <c r="E659" s="186">
        <f t="shared" si="366"/>
        <v>0</v>
      </c>
      <c r="F659" s="186">
        <f t="shared" si="366"/>
        <v>0</v>
      </c>
      <c r="G659" s="186">
        <f t="shared" si="366"/>
        <v>0</v>
      </c>
      <c r="H659" s="186">
        <f t="shared" si="366"/>
        <v>0</v>
      </c>
      <c r="I659" s="186">
        <f t="shared" si="366"/>
        <v>0</v>
      </c>
      <c r="J659" s="186">
        <f t="shared" si="366"/>
        <v>0</v>
      </c>
      <c r="K659" s="186">
        <f t="shared" si="366"/>
        <v>0</v>
      </c>
      <c r="L659" s="186">
        <f t="shared" si="366"/>
        <v>0</v>
      </c>
      <c r="M659" s="186">
        <f t="shared" si="366"/>
        <v>0</v>
      </c>
      <c r="N659" s="186">
        <f t="shared" si="366"/>
        <v>0</v>
      </c>
      <c r="O659" s="186">
        <f t="shared" si="366"/>
        <v>0</v>
      </c>
      <c r="P659" s="186">
        <f t="shared" si="366"/>
        <v>0</v>
      </c>
      <c r="Q659" s="186">
        <f t="shared" si="366"/>
        <v>0</v>
      </c>
      <c r="R659" s="186">
        <f t="shared" si="366"/>
        <v>0</v>
      </c>
      <c r="S659" s="186">
        <f t="shared" si="366"/>
        <v>0</v>
      </c>
      <c r="T659" s="186">
        <f t="shared" si="366"/>
        <v>0</v>
      </c>
      <c r="U659" s="186">
        <f t="shared" si="366"/>
        <v>0</v>
      </c>
      <c r="V659" s="186">
        <f t="shared" si="366"/>
        <v>0</v>
      </c>
      <c r="W659" s="186">
        <f t="shared" si="366"/>
        <v>0</v>
      </c>
      <c r="X659" s="186">
        <f t="shared" si="366"/>
        <v>0</v>
      </c>
      <c r="Y659" s="186">
        <f t="shared" si="366"/>
        <v>0</v>
      </c>
      <c r="Z659" s="186">
        <f t="shared" si="366"/>
        <v>0</v>
      </c>
      <c r="AA659" s="186">
        <f t="shared" si="366"/>
        <v>49090.317813985828</v>
      </c>
      <c r="AB659" s="186">
        <f t="shared" si="366"/>
        <v>49090.317813985828</v>
      </c>
      <c r="AC659" s="186">
        <f t="shared" si="366"/>
        <v>49090.317813985828</v>
      </c>
      <c r="AD659" s="186">
        <f t="shared" si="366"/>
        <v>0</v>
      </c>
      <c r="AE659" s="186">
        <f t="shared" si="366"/>
        <v>0</v>
      </c>
      <c r="AF659" s="186">
        <f t="shared" si="366"/>
        <v>0</v>
      </c>
      <c r="AG659" s="186">
        <f t="shared" si="366"/>
        <v>0</v>
      </c>
      <c r="AH659" s="186">
        <f t="shared" si="366"/>
        <v>0</v>
      </c>
      <c r="AI659" s="186">
        <f t="shared" si="366"/>
        <v>0</v>
      </c>
      <c r="AJ659" s="186">
        <f t="shared" si="366"/>
        <v>0</v>
      </c>
      <c r="AK659" s="186">
        <f t="shared" si="366"/>
        <v>0</v>
      </c>
      <c r="AL659" s="186">
        <f t="shared" si="366"/>
        <v>0</v>
      </c>
      <c r="AM659" s="186">
        <f t="shared" si="366"/>
        <v>0</v>
      </c>
      <c r="AN659" s="186">
        <f t="shared" si="366"/>
        <v>0</v>
      </c>
      <c r="AO659" s="186">
        <f t="shared" si="366"/>
        <v>0</v>
      </c>
      <c r="AP659" s="186">
        <f t="shared" si="366"/>
        <v>0</v>
      </c>
    </row>
    <row r="660" spans="1:42">
      <c r="A660" s="37">
        <f t="shared" ref="A660" si="367">A659+1</f>
        <v>10</v>
      </c>
      <c r="B660" s="255">
        <f t="shared" si="361"/>
        <v>153998.05127988668</v>
      </c>
      <c r="C660" s="187">
        <f t="shared" si="366"/>
        <v>0</v>
      </c>
      <c r="D660" s="187">
        <f t="shared" si="366"/>
        <v>0</v>
      </c>
      <c r="E660" s="187">
        <f t="shared" si="366"/>
        <v>0</v>
      </c>
      <c r="F660" s="187">
        <f t="shared" si="366"/>
        <v>0</v>
      </c>
      <c r="G660" s="187">
        <f t="shared" si="366"/>
        <v>0</v>
      </c>
      <c r="H660" s="187">
        <f t="shared" si="366"/>
        <v>0</v>
      </c>
      <c r="I660" s="187">
        <f t="shared" si="366"/>
        <v>0</v>
      </c>
      <c r="J660" s="187">
        <f t="shared" si="366"/>
        <v>0</v>
      </c>
      <c r="K660" s="187">
        <f t="shared" si="366"/>
        <v>0</v>
      </c>
      <c r="L660" s="187">
        <f t="shared" si="366"/>
        <v>0</v>
      </c>
      <c r="M660" s="187">
        <f t="shared" si="366"/>
        <v>0</v>
      </c>
      <c r="N660" s="187">
        <f t="shared" si="366"/>
        <v>0</v>
      </c>
      <c r="O660" s="187">
        <f t="shared" si="366"/>
        <v>0</v>
      </c>
      <c r="P660" s="187">
        <f t="shared" si="366"/>
        <v>0</v>
      </c>
      <c r="Q660" s="187">
        <f t="shared" si="366"/>
        <v>0</v>
      </c>
      <c r="R660" s="187">
        <f t="shared" si="366"/>
        <v>0</v>
      </c>
      <c r="S660" s="187">
        <f t="shared" si="366"/>
        <v>0</v>
      </c>
      <c r="T660" s="187">
        <f t="shared" si="366"/>
        <v>0</v>
      </c>
      <c r="U660" s="187">
        <f t="shared" si="366"/>
        <v>0</v>
      </c>
      <c r="V660" s="187">
        <f t="shared" si="366"/>
        <v>0</v>
      </c>
      <c r="W660" s="187">
        <f t="shared" si="366"/>
        <v>0</v>
      </c>
      <c r="X660" s="187">
        <f t="shared" si="366"/>
        <v>0</v>
      </c>
      <c r="Y660" s="187">
        <f t="shared" si="366"/>
        <v>0</v>
      </c>
      <c r="Z660" s="187">
        <f t="shared" si="366"/>
        <v>0</v>
      </c>
      <c r="AA660" s="187">
        <f t="shared" si="366"/>
        <v>0</v>
      </c>
      <c r="AB660" s="187">
        <f t="shared" si="366"/>
        <v>0</v>
      </c>
      <c r="AC660" s="187">
        <f t="shared" si="366"/>
        <v>0</v>
      </c>
      <c r="AD660" s="187">
        <f t="shared" si="366"/>
        <v>51332.68375996223</v>
      </c>
      <c r="AE660" s="187">
        <f t="shared" si="366"/>
        <v>51332.68375996223</v>
      </c>
      <c r="AF660" s="187">
        <f t="shared" si="366"/>
        <v>51332.68375996223</v>
      </c>
      <c r="AG660" s="187">
        <f t="shared" si="366"/>
        <v>0</v>
      </c>
      <c r="AH660" s="187">
        <f t="shared" si="366"/>
        <v>0</v>
      </c>
      <c r="AI660" s="187">
        <f t="shared" si="366"/>
        <v>0</v>
      </c>
      <c r="AJ660" s="187">
        <f t="shared" si="366"/>
        <v>0</v>
      </c>
      <c r="AK660" s="187">
        <f t="shared" si="366"/>
        <v>0</v>
      </c>
      <c r="AL660" s="187">
        <f t="shared" si="366"/>
        <v>0</v>
      </c>
      <c r="AM660" s="187">
        <f t="shared" si="366"/>
        <v>0</v>
      </c>
      <c r="AN660" s="187">
        <f t="shared" si="366"/>
        <v>0</v>
      </c>
      <c r="AO660" s="187">
        <f t="shared" si="366"/>
        <v>0</v>
      </c>
      <c r="AP660" s="187">
        <f t="shared" si="366"/>
        <v>0</v>
      </c>
    </row>
    <row r="661" spans="1:42">
      <c r="A661" s="219" t="s">
        <v>53</v>
      </c>
      <c r="B661" s="186"/>
      <c r="C661" s="152">
        <f>SUM(C651:C660)</f>
        <v>34340.833333333321</v>
      </c>
      <c r="D661" s="152">
        <f t="shared" ref="D661:AP661" si="368">SUM(D651:D660)</f>
        <v>34340.833333333321</v>
      </c>
      <c r="E661" s="152">
        <f t="shared" si="368"/>
        <v>34340.833333333321</v>
      </c>
      <c r="F661" s="152">
        <f t="shared" si="368"/>
        <v>35909.466796145811</v>
      </c>
      <c r="G661" s="152">
        <f t="shared" si="368"/>
        <v>35909.466796145811</v>
      </c>
      <c r="H661" s="152">
        <f t="shared" si="368"/>
        <v>35909.466796145811</v>
      </c>
      <c r="I661" s="152">
        <f t="shared" si="368"/>
        <v>37549.752886510192</v>
      </c>
      <c r="J661" s="152">
        <f t="shared" si="368"/>
        <v>37549.752886510192</v>
      </c>
      <c r="K661" s="152">
        <f t="shared" si="368"/>
        <v>37549.752886510192</v>
      </c>
      <c r="L661" s="152">
        <f t="shared" si="368"/>
        <v>39264.96458001752</v>
      </c>
      <c r="M661" s="152">
        <f t="shared" si="368"/>
        <v>39264.96458001752</v>
      </c>
      <c r="N661" s="152">
        <f t="shared" si="368"/>
        <v>39264.96458001752</v>
      </c>
      <c r="O661" s="152">
        <f t="shared" si="368"/>
        <v>41058.524356465256</v>
      </c>
      <c r="P661" s="152">
        <f t="shared" si="368"/>
        <v>41058.524356465256</v>
      </c>
      <c r="Q661" s="152">
        <f t="shared" si="368"/>
        <v>41058.524356465256</v>
      </c>
      <c r="R661" s="152">
        <f t="shared" si="368"/>
        <v>42934.011028966495</v>
      </c>
      <c r="S661" s="152">
        <f t="shared" si="368"/>
        <v>42934.011028966495</v>
      </c>
      <c r="T661" s="152">
        <f t="shared" si="368"/>
        <v>42934.011028966495</v>
      </c>
      <c r="U661" s="152">
        <f t="shared" si="368"/>
        <v>44895.166885001738</v>
      </c>
      <c r="V661" s="152">
        <f t="shared" si="368"/>
        <v>44895.166885001738</v>
      </c>
      <c r="W661" s="152">
        <f t="shared" si="368"/>
        <v>44895.166885001738</v>
      </c>
      <c r="X661" s="152">
        <f t="shared" si="368"/>
        <v>46945.90515366241</v>
      </c>
      <c r="Y661" s="152">
        <f t="shared" si="368"/>
        <v>46945.90515366241</v>
      </c>
      <c r="Z661" s="152">
        <f t="shared" si="368"/>
        <v>46945.90515366241</v>
      </c>
      <c r="AA661" s="152">
        <f t="shared" si="368"/>
        <v>49090.317813985828</v>
      </c>
      <c r="AB661" s="152">
        <f t="shared" si="368"/>
        <v>49090.317813985828</v>
      </c>
      <c r="AC661" s="152">
        <f t="shared" si="368"/>
        <v>49090.317813985828</v>
      </c>
      <c r="AD661" s="152">
        <f t="shared" si="368"/>
        <v>51332.68375996223</v>
      </c>
      <c r="AE661" s="152">
        <f t="shared" si="368"/>
        <v>51332.68375996223</v>
      </c>
      <c r="AF661" s="152">
        <f t="shared" si="368"/>
        <v>51332.68375996223</v>
      </c>
      <c r="AG661" s="152">
        <f t="shared" si="368"/>
        <v>0</v>
      </c>
      <c r="AH661" s="152">
        <f t="shared" si="368"/>
        <v>0</v>
      </c>
      <c r="AI661" s="152">
        <f t="shared" si="368"/>
        <v>0</v>
      </c>
      <c r="AJ661" s="152">
        <f t="shared" si="368"/>
        <v>0</v>
      </c>
      <c r="AK661" s="152">
        <f t="shared" si="368"/>
        <v>0</v>
      </c>
      <c r="AL661" s="152">
        <f t="shared" si="368"/>
        <v>0</v>
      </c>
      <c r="AM661" s="152">
        <f t="shared" si="368"/>
        <v>0</v>
      </c>
      <c r="AN661" s="152">
        <f t="shared" si="368"/>
        <v>0</v>
      </c>
      <c r="AO661" s="152">
        <f t="shared" si="368"/>
        <v>0</v>
      </c>
      <c r="AP661" s="152">
        <f t="shared" si="368"/>
        <v>0</v>
      </c>
    </row>
    <row r="662" spans="1:42">
      <c r="B662" s="186"/>
      <c r="C662" s="152"/>
      <c r="D662" s="152"/>
      <c r="E662" s="152"/>
      <c r="F662" s="152"/>
      <c r="G662" s="152"/>
      <c r="H662" s="152"/>
      <c r="I662" s="152"/>
      <c r="J662" s="152"/>
      <c r="K662" s="152"/>
      <c r="L662" s="152"/>
      <c r="M662" s="152"/>
      <c r="N662" s="152"/>
      <c r="O662" s="152"/>
      <c r="P662" s="152"/>
      <c r="Q662" s="152"/>
      <c r="R662" s="152"/>
      <c r="S662" s="152"/>
      <c r="T662" s="152"/>
      <c r="U662" s="152"/>
      <c r="V662" s="152"/>
      <c r="W662" s="152"/>
      <c r="X662" s="152"/>
      <c r="Y662" s="152"/>
      <c r="Z662" s="152"/>
      <c r="AA662" s="152"/>
      <c r="AB662" s="152"/>
      <c r="AC662" s="152"/>
      <c r="AD662" s="152"/>
      <c r="AE662" s="152"/>
      <c r="AF662" s="152"/>
      <c r="AG662" s="152"/>
      <c r="AH662" s="152"/>
      <c r="AI662" s="152"/>
      <c r="AJ662" s="152"/>
      <c r="AK662" s="152"/>
      <c r="AL662" s="152"/>
      <c r="AM662" s="152"/>
      <c r="AN662" s="152"/>
      <c r="AO662" s="152"/>
      <c r="AP662" s="152"/>
    </row>
    <row r="663" spans="1:42">
      <c r="A663" s="37" t="s">
        <v>200</v>
      </c>
      <c r="B663" s="186"/>
      <c r="C663" s="152"/>
      <c r="D663" s="152"/>
      <c r="E663" s="152"/>
      <c r="F663" s="152"/>
      <c r="G663" s="152"/>
      <c r="H663" s="152"/>
      <c r="I663" s="152"/>
      <c r="J663" s="152"/>
      <c r="K663" s="152"/>
      <c r="L663" s="152"/>
      <c r="M663" s="152"/>
      <c r="N663" s="152"/>
      <c r="O663" s="152"/>
      <c r="P663" s="152"/>
      <c r="Q663" s="152"/>
      <c r="R663" s="152"/>
      <c r="S663" s="152"/>
      <c r="T663" s="152"/>
      <c r="U663" s="152"/>
      <c r="V663" s="152"/>
      <c r="W663" s="152"/>
      <c r="X663" s="152"/>
      <c r="Y663" s="152"/>
      <c r="Z663" s="152"/>
      <c r="AA663" s="152"/>
      <c r="AB663" s="152"/>
      <c r="AC663" s="152"/>
      <c r="AD663" s="152"/>
      <c r="AE663" s="152"/>
      <c r="AF663" s="152"/>
      <c r="AG663" s="152"/>
      <c r="AH663" s="152"/>
      <c r="AI663" s="152"/>
      <c r="AJ663" s="152"/>
      <c r="AK663" s="152"/>
      <c r="AL663" s="152"/>
      <c r="AM663" s="152"/>
      <c r="AN663" s="152"/>
      <c r="AO663" s="152"/>
      <c r="AP663" s="152"/>
    </row>
    <row r="664" spans="1:42">
      <c r="A664" s="184" t="s">
        <v>201</v>
      </c>
      <c r="B664" s="152">
        <f>B559+B565+B571+B603+B635</f>
        <v>1284612.849211507</v>
      </c>
      <c r="C664" s="152">
        <f t="shared" ref="C664:AP664" si="369">C559+C565+C571+C603+C635</f>
        <v>1984307.5478266815</v>
      </c>
      <c r="D664" s="152">
        <f t="shared" si="369"/>
        <v>2683975.9682394383</v>
      </c>
      <c r="E664" s="152">
        <f t="shared" si="369"/>
        <v>3280013.5554157603</v>
      </c>
      <c r="F664" s="152">
        <f t="shared" si="369"/>
        <v>3981194.7884269794</v>
      </c>
      <c r="G664" s="152">
        <f t="shared" si="369"/>
        <v>4682346.4273614325</v>
      </c>
      <c r="H664" s="152">
        <f t="shared" si="369"/>
        <v>5275131.4008113891</v>
      </c>
      <c r="I664" s="152">
        <f t="shared" si="369"/>
        <v>5977860.6375797028</v>
      </c>
      <c r="J664" s="152">
        <f t="shared" si="369"/>
        <v>6680556.725279171</v>
      </c>
      <c r="K664" s="152">
        <f t="shared" si="369"/>
        <v>7269933.9007635601</v>
      </c>
      <c r="L664" s="152">
        <f t="shared" si="369"/>
        <v>6949177.6864776388</v>
      </c>
      <c r="M664" s="152">
        <f t="shared" si="369"/>
        <v>7644433.9232474184</v>
      </c>
      <c r="N664" s="152">
        <f t="shared" si="369"/>
        <v>5277022.9227758311</v>
      </c>
      <c r="O664" s="152">
        <f t="shared" si="369"/>
        <v>6022078.5979073383</v>
      </c>
      <c r="P664" s="152">
        <f t="shared" si="369"/>
        <v>6767134.2730388464</v>
      </c>
      <c r="Q664" s="152">
        <f t="shared" si="369"/>
        <v>1230235.7216311703</v>
      </c>
      <c r="R664" s="152">
        <f t="shared" si="369"/>
        <v>2079908.4774701491</v>
      </c>
      <c r="S664" s="152">
        <f t="shared" si="369"/>
        <v>2929581.2333091279</v>
      </c>
      <c r="T664" s="152">
        <f t="shared" si="369"/>
        <v>3650451.9560612072</v>
      </c>
      <c r="U664" s="152">
        <f t="shared" si="369"/>
        <v>4502085.8677562214</v>
      </c>
      <c r="V664" s="152">
        <f t="shared" si="369"/>
        <v>5353719.7794512352</v>
      </c>
      <c r="W664" s="152">
        <f t="shared" si="369"/>
        <v>6070668.1904912442</v>
      </c>
      <c r="X664" s="152">
        <f t="shared" si="369"/>
        <v>6924352.8404549183</v>
      </c>
      <c r="Y664" s="152">
        <f t="shared" si="369"/>
        <v>7778037.4904185934</v>
      </c>
      <c r="Z664" s="152">
        <f t="shared" si="369"/>
        <v>4969941.5383965997</v>
      </c>
      <c r="AA664" s="152">
        <f t="shared" si="369"/>
        <v>5532358.6938102078</v>
      </c>
      <c r="AB664" s="152">
        <f t="shared" si="369"/>
        <v>6094775.8492238158</v>
      </c>
      <c r="AC664" s="152">
        <f t="shared" si="369"/>
        <v>6509922.051195466</v>
      </c>
      <c r="AD664" s="152">
        <f t="shared" si="369"/>
        <v>7074581.5725550503</v>
      </c>
      <c r="AE664" s="152">
        <f t="shared" si="369"/>
        <v>7639241.0939146345</v>
      </c>
      <c r="AF664" s="152">
        <f t="shared" si="369"/>
        <v>0</v>
      </c>
      <c r="AG664" s="152">
        <f t="shared" si="369"/>
        <v>0</v>
      </c>
      <c r="AH664" s="152">
        <f t="shared" si="369"/>
        <v>0</v>
      </c>
      <c r="AI664" s="152">
        <f t="shared" si="369"/>
        <v>0</v>
      </c>
      <c r="AJ664" s="152">
        <f t="shared" si="369"/>
        <v>0</v>
      </c>
      <c r="AK664" s="152">
        <f t="shared" si="369"/>
        <v>0</v>
      </c>
      <c r="AL664" s="152">
        <f t="shared" si="369"/>
        <v>0</v>
      </c>
      <c r="AM664" s="152">
        <f t="shared" si="369"/>
        <v>0</v>
      </c>
      <c r="AN664" s="152">
        <f t="shared" si="369"/>
        <v>0</v>
      </c>
      <c r="AO664" s="152">
        <f t="shared" si="369"/>
        <v>0</v>
      </c>
      <c r="AP664" s="152">
        <f t="shared" si="369"/>
        <v>0</v>
      </c>
    </row>
    <row r="665" spans="1:42">
      <c r="A665" s="184" t="s">
        <v>200</v>
      </c>
      <c r="B665" s="186"/>
      <c r="C665" s="152">
        <f t="shared" ref="C665:AP665" si="370">IF(C$2&lt;=AnalysisPeriod,B664*InterestOnReserves,0)</f>
        <v>22480.724861201375</v>
      </c>
      <c r="D665" s="152">
        <f t="shared" si="370"/>
        <v>34725.382086966929</v>
      </c>
      <c r="E665" s="152">
        <f t="shared" si="370"/>
        <v>46969.579444190174</v>
      </c>
      <c r="F665" s="152">
        <f t="shared" si="370"/>
        <v>57400.237219775809</v>
      </c>
      <c r="G665" s="152">
        <f t="shared" si="370"/>
        <v>69670.908797472148</v>
      </c>
      <c r="H665" s="152">
        <f t="shared" si="370"/>
        <v>81941.062478825072</v>
      </c>
      <c r="I665" s="152">
        <f t="shared" si="370"/>
        <v>92314.799514199316</v>
      </c>
      <c r="J665" s="152">
        <f t="shared" si="370"/>
        <v>104612.56115764481</v>
      </c>
      <c r="K665" s="152">
        <f t="shared" si="370"/>
        <v>116909.74269238551</v>
      </c>
      <c r="L665" s="152">
        <f t="shared" si="370"/>
        <v>127223.84326336232</v>
      </c>
      <c r="M665" s="152">
        <f t="shared" si="370"/>
        <v>121610.60951335869</v>
      </c>
      <c r="N665" s="152">
        <f t="shared" si="370"/>
        <v>133777.59365682982</v>
      </c>
      <c r="O665" s="152">
        <f t="shared" si="370"/>
        <v>92347.901148577046</v>
      </c>
      <c r="P665" s="152">
        <f t="shared" si="370"/>
        <v>105386.37546337843</v>
      </c>
      <c r="Q665" s="152">
        <f t="shared" si="370"/>
        <v>118424.84977817982</v>
      </c>
      <c r="R665" s="152">
        <f t="shared" si="370"/>
        <v>21529.125128545482</v>
      </c>
      <c r="S665" s="152">
        <f t="shared" si="370"/>
        <v>36398.398355727615</v>
      </c>
      <c r="T665" s="152">
        <f t="shared" si="370"/>
        <v>51267.671582909745</v>
      </c>
      <c r="U665" s="152">
        <f t="shared" si="370"/>
        <v>63882.909231071135</v>
      </c>
      <c r="V665" s="152">
        <f t="shared" si="370"/>
        <v>78786.502685733882</v>
      </c>
      <c r="W665" s="152">
        <f t="shared" si="370"/>
        <v>93690.096140396621</v>
      </c>
      <c r="X665" s="152">
        <f t="shared" si="370"/>
        <v>106236.69333359678</v>
      </c>
      <c r="Y665" s="152">
        <f t="shared" si="370"/>
        <v>121176.17470796108</v>
      </c>
      <c r="Z665" s="152">
        <f t="shared" si="370"/>
        <v>136115.65608232541</v>
      </c>
      <c r="AA665" s="152">
        <f t="shared" si="370"/>
        <v>86973.976921940499</v>
      </c>
      <c r="AB665" s="152">
        <f t="shared" si="370"/>
        <v>96816.277141678642</v>
      </c>
      <c r="AC665" s="152">
        <f t="shared" si="370"/>
        <v>106658.57736141678</v>
      </c>
      <c r="AD665" s="152">
        <f t="shared" si="370"/>
        <v>113923.63589592067</v>
      </c>
      <c r="AE665" s="152">
        <f t="shared" si="370"/>
        <v>123805.1775197134</v>
      </c>
      <c r="AF665" s="152">
        <f t="shared" si="370"/>
        <v>133686.71914350611</v>
      </c>
      <c r="AG665" s="152">
        <f t="shared" si="370"/>
        <v>0</v>
      </c>
      <c r="AH665" s="152">
        <f t="shared" si="370"/>
        <v>0</v>
      </c>
      <c r="AI665" s="152">
        <f t="shared" si="370"/>
        <v>0</v>
      </c>
      <c r="AJ665" s="152">
        <f t="shared" si="370"/>
        <v>0</v>
      </c>
      <c r="AK665" s="152">
        <f t="shared" si="370"/>
        <v>0</v>
      </c>
      <c r="AL665" s="152">
        <f t="shared" si="370"/>
        <v>0</v>
      </c>
      <c r="AM665" s="152">
        <f t="shared" si="370"/>
        <v>0</v>
      </c>
      <c r="AN665" s="152">
        <f t="shared" si="370"/>
        <v>0</v>
      </c>
      <c r="AO665" s="152">
        <f t="shared" si="370"/>
        <v>0</v>
      </c>
      <c r="AP665" s="152">
        <f t="shared" si="370"/>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6.xml><?xml version="1.0" encoding="utf-8"?>
<worksheet xmlns="http://schemas.openxmlformats.org/spreadsheetml/2006/main" xmlns:r="http://schemas.openxmlformats.org/officeDocument/2006/relationships">
  <sheetPr codeName="Sheet4"/>
  <dimension ref="A1:G44"/>
  <sheetViews>
    <sheetView zoomScaleNormal="100" workbookViewId="0">
      <selection activeCell="E29" sqref="E29"/>
    </sheetView>
  </sheetViews>
  <sheetFormatPr defaultRowHeight="15"/>
  <cols>
    <col min="2" max="7" width="15.42578125" customWidth="1"/>
  </cols>
  <sheetData>
    <row r="1" spans="1:7" s="5" customFormat="1" ht="12.75">
      <c r="A1" s="1" t="s">
        <v>148</v>
      </c>
      <c r="B1" s="2"/>
      <c r="C1" s="3"/>
      <c r="D1" s="2"/>
      <c r="E1" s="2"/>
      <c r="F1" s="2"/>
      <c r="G1" s="4"/>
    </row>
    <row r="2" spans="1:7" s="5" customFormat="1" ht="12.75">
      <c r="A2" s="6"/>
      <c r="B2" s="7" t="s">
        <v>140</v>
      </c>
      <c r="C2" s="7" t="s">
        <v>141</v>
      </c>
      <c r="D2" s="7" t="s">
        <v>142</v>
      </c>
      <c r="E2" s="7" t="s">
        <v>143</v>
      </c>
      <c r="F2" s="7" t="s">
        <v>144</v>
      </c>
      <c r="G2" s="7" t="s">
        <v>145</v>
      </c>
    </row>
    <row r="3" spans="1:7" s="5" customFormat="1" ht="12.75">
      <c r="A3" s="8">
        <v>1</v>
      </c>
      <c r="B3" s="9">
        <v>0.2</v>
      </c>
      <c r="C3" s="10">
        <v>0.05</v>
      </c>
      <c r="D3" s="9">
        <v>0.1</v>
      </c>
      <c r="E3" s="9">
        <v>3.3300000000000003E-2</v>
      </c>
      <c r="F3" s="9">
        <v>2.5000000000000001E-2</v>
      </c>
      <c r="G3" s="9">
        <f>2.56410256410256%*0.5</f>
        <v>1.2820512820512799E-2</v>
      </c>
    </row>
    <row r="4" spans="1:7" s="5" customFormat="1" ht="12.75">
      <c r="A4" s="11">
        <v>2</v>
      </c>
      <c r="B4" s="12">
        <v>0.32</v>
      </c>
      <c r="C4" s="13">
        <v>9.5000000000000001E-2</v>
      </c>
      <c r="D4" s="12">
        <v>0.2</v>
      </c>
      <c r="E4" s="12">
        <v>6.6699999999999995E-2</v>
      </c>
      <c r="F4" s="12">
        <v>0.05</v>
      </c>
      <c r="G4" s="12">
        <v>2.564102564102564E-2</v>
      </c>
    </row>
    <row r="5" spans="1:7" s="5" customFormat="1" ht="12.75">
      <c r="A5" s="11">
        <v>3</v>
      </c>
      <c r="B5" s="12">
        <v>0.192</v>
      </c>
      <c r="C5" s="12">
        <v>8.5500000000000007E-2</v>
      </c>
      <c r="D5" s="12">
        <v>0.2</v>
      </c>
      <c r="E5" s="12">
        <v>6.6699999999999995E-2</v>
      </c>
      <c r="F5" s="12">
        <v>0.05</v>
      </c>
      <c r="G5" s="12">
        <v>2.564102564102564E-2</v>
      </c>
    </row>
    <row r="6" spans="1:7" s="5" customFormat="1" ht="12.75">
      <c r="A6" s="11">
        <v>4</v>
      </c>
      <c r="B6" s="12">
        <v>0.1152</v>
      </c>
      <c r="C6" s="12">
        <v>7.6999999999999999E-2</v>
      </c>
      <c r="D6" s="12">
        <v>0.2</v>
      </c>
      <c r="E6" s="12">
        <v>6.6699999999999995E-2</v>
      </c>
      <c r="F6" s="12">
        <v>0.05</v>
      </c>
      <c r="G6" s="12">
        <v>2.564102564102564E-2</v>
      </c>
    </row>
    <row r="7" spans="1:7" s="5" customFormat="1" ht="12.75">
      <c r="A7" s="11">
        <v>5</v>
      </c>
      <c r="B7" s="12">
        <v>0.1152</v>
      </c>
      <c r="C7" s="12">
        <v>6.93E-2</v>
      </c>
      <c r="D7" s="12">
        <v>0.2</v>
      </c>
      <c r="E7" s="12">
        <v>6.6699999999999995E-2</v>
      </c>
      <c r="F7" s="12">
        <v>0.05</v>
      </c>
      <c r="G7" s="12">
        <v>2.564102564102564E-2</v>
      </c>
    </row>
    <row r="8" spans="1:7" s="5" customFormat="1" ht="12.75">
      <c r="A8" s="11">
        <v>6</v>
      </c>
      <c r="B8" s="12">
        <v>5.7599999999999998E-2</v>
      </c>
      <c r="C8" s="12">
        <v>6.2300000000000001E-2</v>
      </c>
      <c r="D8" s="12">
        <v>0.1</v>
      </c>
      <c r="E8" s="12">
        <v>6.6699999999999995E-2</v>
      </c>
      <c r="F8" s="12">
        <v>0.05</v>
      </c>
      <c r="G8" s="12">
        <v>2.564102564102564E-2</v>
      </c>
    </row>
    <row r="9" spans="1:7" s="5" customFormat="1" ht="12.75">
      <c r="A9" s="11">
        <v>7</v>
      </c>
      <c r="B9" s="14">
        <v>0</v>
      </c>
      <c r="C9" s="12">
        <v>5.8999999999999997E-2</v>
      </c>
      <c r="D9" s="12">
        <v>0</v>
      </c>
      <c r="E9" s="12">
        <v>6.6699999999999995E-2</v>
      </c>
      <c r="F9" s="12">
        <v>0.05</v>
      </c>
      <c r="G9" s="12">
        <v>2.564102564102564E-2</v>
      </c>
    </row>
    <row r="10" spans="1:7" s="5" customFormat="1" ht="12.75">
      <c r="A10" s="11">
        <v>8</v>
      </c>
      <c r="B10" s="12">
        <v>0</v>
      </c>
      <c r="C10" s="12">
        <v>5.8999999999999997E-2</v>
      </c>
      <c r="D10" s="12">
        <v>0</v>
      </c>
      <c r="E10" s="12">
        <v>6.6600000000000006E-2</v>
      </c>
      <c r="F10" s="12">
        <v>0.05</v>
      </c>
      <c r="G10" s="12">
        <v>2.564102564102564E-2</v>
      </c>
    </row>
    <row r="11" spans="1:7" s="5" customFormat="1" ht="12.75">
      <c r="A11" s="11">
        <v>9</v>
      </c>
      <c r="B11" s="12">
        <v>0</v>
      </c>
      <c r="C11" s="12">
        <v>5.91E-2</v>
      </c>
      <c r="D11" s="12">
        <v>0</v>
      </c>
      <c r="E11" s="12">
        <v>6.6699999999999995E-2</v>
      </c>
      <c r="F11" s="12">
        <v>0.05</v>
      </c>
      <c r="G11" s="12">
        <v>2.564102564102564E-2</v>
      </c>
    </row>
    <row r="12" spans="1:7" s="5" customFormat="1" ht="12.75">
      <c r="A12" s="11">
        <v>10</v>
      </c>
      <c r="B12" s="12">
        <v>0</v>
      </c>
      <c r="C12" s="12">
        <v>5.8999999999999997E-2</v>
      </c>
      <c r="D12" s="12">
        <v>0</v>
      </c>
      <c r="E12" s="12">
        <v>6.6600000000000006E-2</v>
      </c>
      <c r="F12" s="12">
        <v>0.05</v>
      </c>
      <c r="G12" s="12">
        <v>2.564102564102564E-2</v>
      </c>
    </row>
    <row r="13" spans="1:7" s="5" customFormat="1" ht="12.75">
      <c r="A13" s="11">
        <v>11</v>
      </c>
      <c r="B13" s="12">
        <v>0</v>
      </c>
      <c r="C13" s="12">
        <v>5.91E-2</v>
      </c>
      <c r="D13" s="12">
        <v>0</v>
      </c>
      <c r="E13" s="12">
        <v>6.6699999999999995E-2</v>
      </c>
      <c r="F13" s="12">
        <v>0.05</v>
      </c>
      <c r="G13" s="12">
        <v>2.564102564102564E-2</v>
      </c>
    </row>
    <row r="14" spans="1:7" s="5" customFormat="1" ht="12.75">
      <c r="A14" s="11">
        <v>12</v>
      </c>
      <c r="B14" s="12">
        <v>0</v>
      </c>
      <c r="C14" s="12">
        <v>5.8999999999999997E-2</v>
      </c>
      <c r="D14" s="12">
        <v>0</v>
      </c>
      <c r="E14" s="12">
        <v>6.6600000000000006E-2</v>
      </c>
      <c r="F14" s="12">
        <v>0.05</v>
      </c>
      <c r="G14" s="12">
        <v>2.564102564102564E-2</v>
      </c>
    </row>
    <row r="15" spans="1:7" s="5" customFormat="1" ht="12.75">
      <c r="A15" s="11">
        <v>13</v>
      </c>
      <c r="B15" s="12">
        <v>0</v>
      </c>
      <c r="C15" s="12">
        <v>5.91E-2</v>
      </c>
      <c r="D15" s="12">
        <v>0</v>
      </c>
      <c r="E15" s="12">
        <v>6.6699999999999995E-2</v>
      </c>
      <c r="F15" s="12">
        <v>0.05</v>
      </c>
      <c r="G15" s="12">
        <v>2.564102564102564E-2</v>
      </c>
    </row>
    <row r="16" spans="1:7" s="5" customFormat="1" ht="12.75">
      <c r="A16" s="11">
        <v>14</v>
      </c>
      <c r="B16" s="12">
        <v>0</v>
      </c>
      <c r="C16" s="12">
        <v>5.8999999999999997E-2</v>
      </c>
      <c r="D16" s="12">
        <v>0</v>
      </c>
      <c r="E16" s="12">
        <v>6.6600000000000006E-2</v>
      </c>
      <c r="F16" s="12">
        <v>0.05</v>
      </c>
      <c r="G16" s="12">
        <v>2.564102564102564E-2</v>
      </c>
    </row>
    <row r="17" spans="1:7" s="5" customFormat="1" ht="12.75">
      <c r="A17" s="11">
        <v>15</v>
      </c>
      <c r="B17" s="12">
        <v>0</v>
      </c>
      <c r="C17" s="12">
        <v>5.91E-2</v>
      </c>
      <c r="D17" s="12">
        <v>0</v>
      </c>
      <c r="E17" s="12">
        <v>6.6699999999999995E-2</v>
      </c>
      <c r="F17" s="12">
        <v>0.05</v>
      </c>
      <c r="G17" s="12">
        <v>2.564102564102564E-2</v>
      </c>
    </row>
    <row r="18" spans="1:7" s="5" customFormat="1" ht="12.75">
      <c r="A18" s="11">
        <v>16</v>
      </c>
      <c r="B18" s="12">
        <v>0</v>
      </c>
      <c r="C18" s="12">
        <v>2.9499999999999998E-2</v>
      </c>
      <c r="D18" s="12">
        <v>0</v>
      </c>
      <c r="E18" s="12">
        <v>3.3300000000000003E-2</v>
      </c>
      <c r="F18" s="12">
        <v>0.05</v>
      </c>
      <c r="G18" s="12">
        <v>2.564102564102564E-2</v>
      </c>
    </row>
    <row r="19" spans="1:7" s="5" customFormat="1" ht="12.75">
      <c r="A19" s="11">
        <v>17</v>
      </c>
      <c r="B19" s="12">
        <v>0</v>
      </c>
      <c r="C19" s="12">
        <v>0</v>
      </c>
      <c r="D19" s="12">
        <v>0</v>
      </c>
      <c r="E19" s="12">
        <v>0</v>
      </c>
      <c r="F19" s="12">
        <v>0.05</v>
      </c>
      <c r="G19" s="12">
        <v>2.564102564102564E-2</v>
      </c>
    </row>
    <row r="20" spans="1:7" s="5" customFormat="1" ht="12.75">
      <c r="A20" s="11">
        <v>18</v>
      </c>
      <c r="B20" s="12">
        <v>0</v>
      </c>
      <c r="C20" s="12">
        <v>0</v>
      </c>
      <c r="D20" s="12">
        <v>0</v>
      </c>
      <c r="E20" s="12">
        <v>0</v>
      </c>
      <c r="F20" s="12">
        <v>0.05</v>
      </c>
      <c r="G20" s="12">
        <v>2.564102564102564E-2</v>
      </c>
    </row>
    <row r="21" spans="1:7" s="5" customFormat="1" ht="12.75">
      <c r="A21" s="11">
        <v>19</v>
      </c>
      <c r="B21" s="12">
        <v>0</v>
      </c>
      <c r="C21" s="12">
        <v>0</v>
      </c>
      <c r="D21" s="12">
        <v>0</v>
      </c>
      <c r="E21" s="12">
        <v>0</v>
      </c>
      <c r="F21" s="12">
        <v>0.05</v>
      </c>
      <c r="G21" s="12">
        <v>2.564102564102564E-2</v>
      </c>
    </row>
    <row r="22" spans="1:7" s="5" customFormat="1" ht="12.75">
      <c r="A22" s="11">
        <v>20</v>
      </c>
      <c r="B22" s="12">
        <v>0</v>
      </c>
      <c r="C22" s="12">
        <v>0</v>
      </c>
      <c r="D22" s="12">
        <v>0</v>
      </c>
      <c r="E22" s="12">
        <v>0</v>
      </c>
      <c r="F22" s="12">
        <v>0.05</v>
      </c>
      <c r="G22" s="12">
        <v>2.564102564102564E-2</v>
      </c>
    </row>
    <row r="23" spans="1:7" s="5" customFormat="1" ht="12.75">
      <c r="A23" s="11">
        <v>21</v>
      </c>
      <c r="B23" s="12">
        <v>0</v>
      </c>
      <c r="C23" s="12">
        <v>0</v>
      </c>
      <c r="D23" s="12">
        <v>0</v>
      </c>
      <c r="E23" s="12">
        <v>0</v>
      </c>
      <c r="F23" s="12">
        <v>2.5000000000000001E-2</v>
      </c>
      <c r="G23" s="12">
        <v>2.564102564102564E-2</v>
      </c>
    </row>
    <row r="24" spans="1:7" s="5" customFormat="1" ht="12.75" customHeight="1">
      <c r="A24" s="11">
        <v>22</v>
      </c>
      <c r="B24" s="12">
        <v>0</v>
      </c>
      <c r="C24" s="12">
        <v>0</v>
      </c>
      <c r="D24" s="12">
        <v>0</v>
      </c>
      <c r="E24" s="12">
        <v>0</v>
      </c>
      <c r="F24" s="12">
        <v>0</v>
      </c>
      <c r="G24" s="12">
        <v>2.564102564102564E-2</v>
      </c>
    </row>
    <row r="25" spans="1:7" s="5" customFormat="1" ht="12.75" customHeight="1">
      <c r="A25" s="11">
        <v>23</v>
      </c>
      <c r="B25" s="12">
        <v>0</v>
      </c>
      <c r="C25" s="12">
        <v>0</v>
      </c>
      <c r="D25" s="12">
        <v>0</v>
      </c>
      <c r="E25" s="12">
        <v>0</v>
      </c>
      <c r="F25" s="12">
        <v>0</v>
      </c>
      <c r="G25" s="12">
        <v>2.564102564102564E-2</v>
      </c>
    </row>
    <row r="26" spans="1:7" s="5" customFormat="1" ht="12.75" customHeight="1">
      <c r="A26" s="11">
        <v>24</v>
      </c>
      <c r="B26" s="12">
        <v>0</v>
      </c>
      <c r="C26" s="12">
        <v>0</v>
      </c>
      <c r="D26" s="12">
        <v>0</v>
      </c>
      <c r="E26" s="12">
        <v>0</v>
      </c>
      <c r="F26" s="12">
        <v>0</v>
      </c>
      <c r="G26" s="12">
        <v>2.564102564102564E-2</v>
      </c>
    </row>
    <row r="27" spans="1:7" s="5" customFormat="1" ht="12.75" customHeight="1">
      <c r="A27" s="11">
        <v>25</v>
      </c>
      <c r="B27" s="12">
        <v>0</v>
      </c>
      <c r="C27" s="12">
        <v>0</v>
      </c>
      <c r="D27" s="12">
        <v>0</v>
      </c>
      <c r="E27" s="12">
        <v>0</v>
      </c>
      <c r="F27" s="12">
        <v>0</v>
      </c>
      <c r="G27" s="12">
        <v>2.564102564102564E-2</v>
      </c>
    </row>
    <row r="28" spans="1:7" s="5" customFormat="1" ht="12.75" customHeight="1">
      <c r="A28" s="11">
        <v>26</v>
      </c>
      <c r="B28" s="12">
        <v>0</v>
      </c>
      <c r="C28" s="12">
        <v>0</v>
      </c>
      <c r="D28" s="12">
        <v>0</v>
      </c>
      <c r="E28" s="12">
        <v>0</v>
      </c>
      <c r="F28" s="12">
        <v>0</v>
      </c>
      <c r="G28" s="12">
        <v>2.564102564102564E-2</v>
      </c>
    </row>
    <row r="29" spans="1:7" s="5" customFormat="1" ht="12.75" customHeight="1">
      <c r="A29" s="11">
        <v>27</v>
      </c>
      <c r="B29" s="12">
        <v>0</v>
      </c>
      <c r="C29" s="12">
        <v>0</v>
      </c>
      <c r="D29" s="12">
        <v>0</v>
      </c>
      <c r="E29" s="12">
        <v>0</v>
      </c>
      <c r="F29" s="12">
        <v>0</v>
      </c>
      <c r="G29" s="12">
        <v>2.564102564102564E-2</v>
      </c>
    </row>
    <row r="30" spans="1:7" ht="12.75" customHeight="1">
      <c r="A30" s="11">
        <v>28</v>
      </c>
      <c r="B30" s="12">
        <v>0</v>
      </c>
      <c r="C30" s="12">
        <v>0</v>
      </c>
      <c r="D30" s="12">
        <v>0</v>
      </c>
      <c r="E30" s="12">
        <v>0</v>
      </c>
      <c r="F30" s="12">
        <v>0</v>
      </c>
      <c r="G30" s="12">
        <v>2.564102564102564E-2</v>
      </c>
    </row>
    <row r="31" spans="1:7" ht="12.75" customHeight="1">
      <c r="A31" s="11">
        <v>29</v>
      </c>
      <c r="B31" s="12">
        <v>0</v>
      </c>
      <c r="C31" s="12">
        <v>0</v>
      </c>
      <c r="D31" s="12">
        <v>0</v>
      </c>
      <c r="E31" s="12">
        <v>0</v>
      </c>
      <c r="F31" s="12">
        <v>0</v>
      </c>
      <c r="G31" s="12">
        <v>2.564102564102564E-2</v>
      </c>
    </row>
    <row r="32" spans="1:7" ht="12.75" customHeight="1">
      <c r="A32" s="11">
        <v>30</v>
      </c>
      <c r="B32" s="12">
        <v>0</v>
      </c>
      <c r="C32" s="12">
        <v>0</v>
      </c>
      <c r="D32" s="12">
        <v>0</v>
      </c>
      <c r="E32" s="12">
        <v>0</v>
      </c>
      <c r="F32" s="12">
        <v>0</v>
      </c>
      <c r="G32" s="12">
        <v>2.564102564102564E-2</v>
      </c>
    </row>
    <row r="33" spans="1:7" ht="12.75" customHeight="1">
      <c r="A33" s="11">
        <v>31</v>
      </c>
      <c r="B33" s="12">
        <v>0</v>
      </c>
      <c r="C33" s="12">
        <v>0</v>
      </c>
      <c r="D33" s="12">
        <v>0</v>
      </c>
      <c r="E33" s="12">
        <v>0</v>
      </c>
      <c r="F33" s="12">
        <v>0</v>
      </c>
      <c r="G33" s="12">
        <v>2.564102564102564E-2</v>
      </c>
    </row>
    <row r="34" spans="1:7" ht="12.75" customHeight="1">
      <c r="A34" s="11">
        <v>32</v>
      </c>
      <c r="B34" s="12">
        <v>0</v>
      </c>
      <c r="C34" s="12">
        <v>0</v>
      </c>
      <c r="D34" s="12">
        <v>0</v>
      </c>
      <c r="E34" s="12">
        <v>0</v>
      </c>
      <c r="F34" s="12">
        <v>0</v>
      </c>
      <c r="G34" s="12">
        <v>2.564102564102564E-2</v>
      </c>
    </row>
    <row r="35" spans="1:7" ht="12.75" customHeight="1">
      <c r="A35" s="11">
        <v>33</v>
      </c>
      <c r="B35" s="12">
        <v>0</v>
      </c>
      <c r="C35" s="12">
        <v>0</v>
      </c>
      <c r="D35" s="12">
        <v>0</v>
      </c>
      <c r="E35" s="12">
        <v>0</v>
      </c>
      <c r="F35" s="12">
        <v>0</v>
      </c>
      <c r="G35" s="12">
        <v>2.564102564102564E-2</v>
      </c>
    </row>
    <row r="36" spans="1:7" ht="12.75" customHeight="1">
      <c r="A36" s="11">
        <v>34</v>
      </c>
      <c r="B36" s="12">
        <v>0</v>
      </c>
      <c r="C36" s="12">
        <v>0</v>
      </c>
      <c r="D36" s="12">
        <v>0</v>
      </c>
      <c r="E36" s="12">
        <v>0</v>
      </c>
      <c r="F36" s="12">
        <v>0</v>
      </c>
      <c r="G36" s="12">
        <v>2.564102564102564E-2</v>
      </c>
    </row>
    <row r="37" spans="1:7" ht="12.75" customHeight="1">
      <c r="A37" s="11">
        <v>35</v>
      </c>
      <c r="B37" s="12">
        <v>0</v>
      </c>
      <c r="C37" s="12">
        <v>0</v>
      </c>
      <c r="D37" s="12">
        <v>0</v>
      </c>
      <c r="E37" s="12">
        <v>0</v>
      </c>
      <c r="F37" s="12">
        <v>0</v>
      </c>
      <c r="G37" s="12">
        <v>2.564102564102564E-2</v>
      </c>
    </row>
    <row r="38" spans="1:7" ht="12.75" customHeight="1">
      <c r="A38" s="11">
        <v>36</v>
      </c>
      <c r="B38" s="12">
        <v>0</v>
      </c>
      <c r="C38" s="12">
        <v>0</v>
      </c>
      <c r="D38" s="12">
        <v>0</v>
      </c>
      <c r="E38" s="12">
        <v>0</v>
      </c>
      <c r="F38" s="12">
        <v>0</v>
      </c>
      <c r="G38" s="12">
        <v>2.564102564102564E-2</v>
      </c>
    </row>
    <row r="39" spans="1:7" ht="12.75" customHeight="1">
      <c r="A39" s="11">
        <v>37</v>
      </c>
      <c r="B39" s="12">
        <v>0</v>
      </c>
      <c r="C39" s="12">
        <v>0</v>
      </c>
      <c r="D39" s="12">
        <v>0</v>
      </c>
      <c r="E39" s="12">
        <v>0</v>
      </c>
      <c r="F39" s="12">
        <v>0</v>
      </c>
      <c r="G39" s="12">
        <v>2.564102564102564E-2</v>
      </c>
    </row>
    <row r="40" spans="1:7" ht="12.75" customHeight="1">
      <c r="A40" s="11">
        <v>38</v>
      </c>
      <c r="B40" s="12">
        <v>0</v>
      </c>
      <c r="C40" s="12">
        <v>0</v>
      </c>
      <c r="D40" s="12">
        <v>0</v>
      </c>
      <c r="E40" s="12">
        <v>0</v>
      </c>
      <c r="F40" s="12">
        <v>0</v>
      </c>
      <c r="G40" s="12">
        <v>2.564102564102564E-2</v>
      </c>
    </row>
    <row r="41" spans="1:7" ht="12.75" customHeight="1">
      <c r="A41" s="11">
        <v>39</v>
      </c>
      <c r="B41" s="12">
        <v>0</v>
      </c>
      <c r="C41" s="12">
        <v>0</v>
      </c>
      <c r="D41" s="12">
        <v>0</v>
      </c>
      <c r="E41" s="12">
        <v>0</v>
      </c>
      <c r="F41" s="12">
        <v>0</v>
      </c>
      <c r="G41" s="12">
        <v>2.564102564102564E-2</v>
      </c>
    </row>
    <row r="42" spans="1:7" ht="12.75" customHeight="1">
      <c r="A42" s="15">
        <v>40</v>
      </c>
      <c r="B42" s="16">
        <v>0</v>
      </c>
      <c r="C42" s="16">
        <v>0</v>
      </c>
      <c r="D42" s="16">
        <v>0</v>
      </c>
      <c r="E42" s="16">
        <v>0</v>
      </c>
      <c r="F42" s="16">
        <v>0</v>
      </c>
      <c r="G42" s="16">
        <f t="shared" ref="G42" si="0">2.56410256410256%*0.5</f>
        <v>1.2820512820512799E-2</v>
      </c>
    </row>
    <row r="43" spans="1:7">
      <c r="A43" t="s">
        <v>430</v>
      </c>
    </row>
    <row r="44" spans="1:7">
      <c r="A44" t="s">
        <v>431</v>
      </c>
    </row>
  </sheetData>
  <pageMargins left="0.5" right="0.5" top="0.5" bottom="0.75" header="0.3" footer="0.3"/>
  <pageSetup scale="93" orientation="portrait" horizontalDpi="0" verticalDpi="0" r:id="rId1"/>
  <headerFooter>
    <oddFooter>&amp;L&amp;F&amp;RPage &amp;P of &amp;N</oddFooter>
  </headerFooter>
  <legacyDrawing r:id="rId2"/>
</worksheet>
</file>

<file path=xl/worksheets/sheet7.xml><?xml version="1.0" encoding="utf-8"?>
<worksheet xmlns="http://schemas.openxmlformats.org/spreadsheetml/2006/main" xmlns:r="http://schemas.openxmlformats.org/officeDocument/2006/relationships">
  <sheetPr codeName="Sheet10">
    <pageSetUpPr fitToPage="1"/>
  </sheetPr>
  <dimension ref="A1:C25"/>
  <sheetViews>
    <sheetView topLeftCell="A7" zoomScaleNormal="100" workbookViewId="0">
      <selection activeCell="C18" sqref="C18"/>
    </sheetView>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484</v>
      </c>
    </row>
    <row r="2" spans="1:3" ht="30">
      <c r="A2" s="32">
        <v>1</v>
      </c>
      <c r="B2" s="262" t="s">
        <v>109</v>
      </c>
      <c r="C2" s="262" t="s">
        <v>485</v>
      </c>
    </row>
    <row r="3" spans="1:3" ht="45">
      <c r="A3" s="32"/>
      <c r="B3" s="262"/>
      <c r="C3" s="262" t="s">
        <v>573</v>
      </c>
    </row>
    <row r="4" spans="1:3" ht="30">
      <c r="A4" s="32">
        <v>2</v>
      </c>
      <c r="B4" s="262" t="s">
        <v>488</v>
      </c>
      <c r="C4" s="262" t="s">
        <v>487</v>
      </c>
    </row>
    <row r="5" spans="1:3" ht="30">
      <c r="A5" s="32"/>
      <c r="B5" s="262"/>
      <c r="C5" s="262" t="s">
        <v>497</v>
      </c>
    </row>
    <row r="6" spans="1:3" ht="30">
      <c r="A6" s="32"/>
      <c r="B6" s="262"/>
      <c r="C6" s="262" t="s">
        <v>498</v>
      </c>
    </row>
    <row r="7" spans="1:3">
      <c r="A7" s="32"/>
      <c r="B7" s="262"/>
      <c r="C7" s="262" t="s">
        <v>502</v>
      </c>
    </row>
    <row r="8" spans="1:3" ht="30">
      <c r="A8" s="32">
        <v>3</v>
      </c>
      <c r="B8" s="262" t="s">
        <v>489</v>
      </c>
      <c r="C8" s="262" t="s">
        <v>490</v>
      </c>
    </row>
    <row r="9" spans="1:3">
      <c r="A9" s="32">
        <v>4</v>
      </c>
      <c r="B9" s="262" t="s">
        <v>27</v>
      </c>
      <c r="C9" s="262" t="s">
        <v>530</v>
      </c>
    </row>
    <row r="10" spans="1:3">
      <c r="A10" s="32"/>
      <c r="B10" s="262"/>
      <c r="C10" s="262" t="s">
        <v>491</v>
      </c>
    </row>
    <row r="11" spans="1:3">
      <c r="A11" s="32"/>
      <c r="B11" s="262"/>
      <c r="C11" s="262" t="s">
        <v>531</v>
      </c>
    </row>
    <row r="12" spans="1:3" ht="30">
      <c r="A12" s="32"/>
      <c r="B12" s="262"/>
      <c r="C12" s="262" t="s">
        <v>492</v>
      </c>
    </row>
    <row r="13" spans="1:3">
      <c r="A13" s="32"/>
      <c r="B13" s="262"/>
      <c r="C13" s="262" t="s">
        <v>570</v>
      </c>
    </row>
    <row r="14" spans="1:3">
      <c r="A14" s="32">
        <v>5</v>
      </c>
      <c r="B14" s="262" t="s">
        <v>513</v>
      </c>
      <c r="C14" s="262" t="s">
        <v>574</v>
      </c>
    </row>
    <row r="15" spans="1:3">
      <c r="A15" s="32">
        <v>6</v>
      </c>
      <c r="B15" s="262" t="s">
        <v>526</v>
      </c>
      <c r="C15" s="262" t="s">
        <v>527</v>
      </c>
    </row>
    <row r="16" spans="1:3">
      <c r="A16" s="32">
        <v>7</v>
      </c>
      <c r="B16" s="262" t="s">
        <v>528</v>
      </c>
      <c r="C16" s="262" t="s">
        <v>529</v>
      </c>
    </row>
    <row r="17" spans="1:3" ht="30">
      <c r="A17" s="32">
        <v>8</v>
      </c>
      <c r="B17" s="262" t="s">
        <v>547</v>
      </c>
      <c r="C17" s="262" t="s">
        <v>575</v>
      </c>
    </row>
    <row r="18" spans="1:3" ht="30">
      <c r="A18" s="32">
        <v>9</v>
      </c>
      <c r="B18" s="262" t="s">
        <v>549</v>
      </c>
      <c r="C18" s="262" t="s">
        <v>550</v>
      </c>
    </row>
    <row r="19" spans="1:3" ht="30">
      <c r="A19" s="32">
        <v>10</v>
      </c>
      <c r="B19" s="262" t="s">
        <v>388</v>
      </c>
      <c r="C19" s="262" t="s">
        <v>565</v>
      </c>
    </row>
    <row r="20" spans="1:3" ht="60">
      <c r="A20" s="32">
        <v>11</v>
      </c>
      <c r="B20" s="262" t="s">
        <v>566</v>
      </c>
      <c r="C20" s="262" t="s">
        <v>568</v>
      </c>
    </row>
    <row r="21" spans="1:3" ht="24" customHeight="1">
      <c r="A21" s="32"/>
      <c r="B21" s="262"/>
      <c r="C21" s="262" t="s">
        <v>569</v>
      </c>
    </row>
    <row r="22" spans="1:3">
      <c r="A22" s="32">
        <v>12</v>
      </c>
      <c r="B22" s="262" t="s">
        <v>571</v>
      </c>
      <c r="C22" s="262" t="s">
        <v>572</v>
      </c>
    </row>
    <row r="23" spans="1:3">
      <c r="C23"/>
    </row>
    <row r="24" spans="1:3">
      <c r="C24"/>
    </row>
    <row r="25" spans="1:3">
      <c r="C25"/>
    </row>
  </sheetData>
  <pageMargins left="0.45" right="0.45" top="0.5" bottom="0.75" header="0.3" footer="0.3"/>
  <pageSetup scale="91" orientation="landscape" horizontalDpi="0" verticalDpi="0" r:id="rId1"/>
  <headerFooter>
    <oddFooter>&amp;L&amp;F&amp;RPage &amp;P of &amp;N</oddFooter>
  </headerFooter>
</worksheet>
</file>

<file path=xl/worksheets/sheet8.xml><?xml version="1.0" encoding="utf-8"?>
<worksheet xmlns="http://schemas.openxmlformats.org/spreadsheetml/2006/main" xmlns:r="http://schemas.openxmlformats.org/officeDocument/2006/relationships">
  <sheetPr codeName="Sheet5">
    <pageSetUpPr fitToPage="1"/>
  </sheetPr>
  <dimension ref="A1:C18"/>
  <sheetViews>
    <sheetView zoomScaleNormal="100" workbookViewId="0"/>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384</v>
      </c>
    </row>
    <row r="2" spans="1:3">
      <c r="A2" s="32">
        <v>1</v>
      </c>
      <c r="B2" s="33" t="s">
        <v>138</v>
      </c>
      <c r="C2" s="33" t="s">
        <v>291</v>
      </c>
    </row>
    <row r="3" spans="1:3">
      <c r="A3" s="32">
        <f>A2+1</f>
        <v>2</v>
      </c>
      <c r="B3" s="33" t="s">
        <v>296</v>
      </c>
      <c r="C3" s="33" t="s">
        <v>293</v>
      </c>
    </row>
    <row r="4" spans="1:3" ht="30">
      <c r="A4" s="32">
        <f t="shared" ref="A4:A18" si="0">A3+1</f>
        <v>3</v>
      </c>
      <c r="B4" s="33" t="s">
        <v>297</v>
      </c>
      <c r="C4" s="33" t="s">
        <v>342</v>
      </c>
    </row>
    <row r="5" spans="1:3" ht="45">
      <c r="A5" s="32">
        <f t="shared" si="0"/>
        <v>4</v>
      </c>
      <c r="B5" s="33" t="s">
        <v>304</v>
      </c>
      <c r="C5" s="262" t="s">
        <v>381</v>
      </c>
    </row>
    <row r="6" spans="1:3">
      <c r="A6" s="32">
        <f t="shared" si="0"/>
        <v>5</v>
      </c>
      <c r="B6" s="33" t="s">
        <v>305</v>
      </c>
      <c r="C6" s="262" t="s">
        <v>382</v>
      </c>
    </row>
    <row r="7" spans="1:3" ht="45">
      <c r="A7" s="32">
        <f t="shared" si="0"/>
        <v>6</v>
      </c>
      <c r="B7" s="33" t="s">
        <v>22</v>
      </c>
      <c r="C7" s="33" t="s">
        <v>343</v>
      </c>
    </row>
    <row r="8" spans="1:3" ht="60">
      <c r="A8" s="32">
        <f t="shared" si="0"/>
        <v>7</v>
      </c>
      <c r="B8" s="252" t="s">
        <v>363</v>
      </c>
      <c r="C8" s="262" t="s">
        <v>378</v>
      </c>
    </row>
    <row r="9" spans="1:3" ht="30">
      <c r="A9" s="32">
        <f t="shared" si="0"/>
        <v>8</v>
      </c>
      <c r="B9" s="33" t="s">
        <v>315</v>
      </c>
      <c r="C9" s="33" t="s">
        <v>346</v>
      </c>
    </row>
    <row r="10" spans="1:3">
      <c r="A10" s="32">
        <f t="shared" si="0"/>
        <v>9</v>
      </c>
      <c r="B10" s="33" t="s">
        <v>344</v>
      </c>
      <c r="C10" s="33" t="s">
        <v>316</v>
      </c>
    </row>
    <row r="11" spans="1:3" ht="30">
      <c r="A11" s="32">
        <f t="shared" si="0"/>
        <v>10</v>
      </c>
      <c r="B11" s="33" t="s">
        <v>319</v>
      </c>
      <c r="C11" s="33" t="s">
        <v>345</v>
      </c>
    </row>
    <row r="12" spans="1:3" ht="30">
      <c r="A12" s="32">
        <f t="shared" si="0"/>
        <v>11</v>
      </c>
      <c r="B12" s="33" t="s">
        <v>326</v>
      </c>
      <c r="C12" s="33" t="s">
        <v>327</v>
      </c>
    </row>
    <row r="13" spans="1:3">
      <c r="A13" s="32">
        <f t="shared" si="0"/>
        <v>12</v>
      </c>
      <c r="B13" s="33" t="s">
        <v>340</v>
      </c>
      <c r="C13" s="33" t="s">
        <v>341</v>
      </c>
    </row>
    <row r="14" spans="1:3">
      <c r="A14" s="32">
        <f t="shared" si="0"/>
        <v>13</v>
      </c>
      <c r="B14" s="250" t="s">
        <v>351</v>
      </c>
      <c r="C14" s="252" t="s">
        <v>379</v>
      </c>
    </row>
    <row r="15" spans="1:3">
      <c r="A15" s="32">
        <f t="shared" si="0"/>
        <v>14</v>
      </c>
      <c r="B15" s="252" t="s">
        <v>85</v>
      </c>
      <c r="C15" s="252" t="s">
        <v>380</v>
      </c>
    </row>
    <row r="16" spans="1:3" ht="30">
      <c r="A16" s="32">
        <f t="shared" si="0"/>
        <v>15</v>
      </c>
      <c r="B16" s="252" t="s">
        <v>352</v>
      </c>
      <c r="C16" s="252" t="s">
        <v>353</v>
      </c>
    </row>
    <row r="17" spans="1:3" ht="45">
      <c r="A17" s="32">
        <f t="shared" si="0"/>
        <v>16</v>
      </c>
      <c r="B17" s="252" t="s">
        <v>320</v>
      </c>
      <c r="C17" s="252" t="s">
        <v>355</v>
      </c>
    </row>
    <row r="18" spans="1:3" ht="45">
      <c r="A18" s="32">
        <f t="shared" si="0"/>
        <v>17</v>
      </c>
      <c r="B18" s="252" t="s">
        <v>363</v>
      </c>
      <c r="C18" s="252" t="s">
        <v>377</v>
      </c>
    </row>
  </sheetData>
  <pageMargins left="0.45" right="0.45" top="0.5" bottom="0.75" header="0.3" footer="0.3"/>
  <pageSetup scale="91" orientation="landscape" horizontalDpi="0" verticalDpi="0" r:id="rId1"/>
  <headerFooter>
    <oddFooter>&amp;L&amp;F&amp;RPage &amp;P of &amp;N</oddFooter>
  </headerFooter>
</worksheet>
</file>

<file path=xl/worksheets/sheet9.xml><?xml version="1.0" encoding="utf-8"?>
<worksheet xmlns="http://schemas.openxmlformats.org/spreadsheetml/2006/main" xmlns:r="http://schemas.openxmlformats.org/officeDocument/2006/relationships">
  <sheetPr codeName="Sheet6">
    <pageSetUpPr fitToPage="1"/>
  </sheetPr>
  <dimension ref="A1:C29"/>
  <sheetViews>
    <sheetView zoomScaleNormal="100" workbookViewId="0">
      <selection activeCell="C10" sqref="C10"/>
    </sheetView>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383</v>
      </c>
    </row>
    <row r="2" spans="1:3" ht="75">
      <c r="A2" s="32">
        <v>1</v>
      </c>
      <c r="B2" s="262" t="s">
        <v>385</v>
      </c>
      <c r="C2" s="262" t="s">
        <v>389</v>
      </c>
    </row>
    <row r="3" spans="1:3" ht="30">
      <c r="A3" s="32">
        <f>A2+1</f>
        <v>2</v>
      </c>
      <c r="B3" s="262" t="s">
        <v>135</v>
      </c>
      <c r="C3" s="262" t="s">
        <v>393</v>
      </c>
    </row>
    <row r="4" spans="1:3">
      <c r="A4" s="32">
        <f t="shared" ref="A4:A5" si="0">A3+1</f>
        <v>3</v>
      </c>
      <c r="B4" s="262" t="s">
        <v>390</v>
      </c>
      <c r="C4" s="262" t="s">
        <v>391</v>
      </c>
    </row>
    <row r="5" spans="1:3" ht="30">
      <c r="A5" s="32">
        <f t="shared" si="0"/>
        <v>4</v>
      </c>
      <c r="B5" s="262" t="s">
        <v>403</v>
      </c>
      <c r="C5" s="262" t="s">
        <v>446</v>
      </c>
    </row>
    <row r="6" spans="1:3" ht="45">
      <c r="A6" s="32">
        <v>5</v>
      </c>
      <c r="B6" s="262" t="s">
        <v>474</v>
      </c>
      <c r="C6" s="262" t="s">
        <v>406</v>
      </c>
    </row>
    <row r="7" spans="1:3" ht="30">
      <c r="A7" s="32">
        <v>6</v>
      </c>
      <c r="B7" s="262" t="s">
        <v>407</v>
      </c>
      <c r="C7" s="262" t="s">
        <v>478</v>
      </c>
    </row>
    <row r="8" spans="1:3" ht="45">
      <c r="A8" s="32"/>
      <c r="B8" s="262"/>
      <c r="C8" s="262" t="s">
        <v>447</v>
      </c>
    </row>
    <row r="9" spans="1:3">
      <c r="A9" s="32"/>
      <c r="B9" s="262"/>
      <c r="C9" s="262" t="s">
        <v>465</v>
      </c>
    </row>
    <row r="10" spans="1:3">
      <c r="A10" s="32"/>
      <c r="B10" s="262"/>
      <c r="C10" s="262" t="s">
        <v>466</v>
      </c>
    </row>
    <row r="11" spans="1:3">
      <c r="A11" s="32"/>
      <c r="B11" s="262"/>
      <c r="C11" s="262" t="s">
        <v>467</v>
      </c>
    </row>
    <row r="12" spans="1:3">
      <c r="A12" s="32"/>
      <c r="B12" s="262"/>
      <c r="C12" s="262" t="s">
        <v>468</v>
      </c>
    </row>
    <row r="13" spans="1:3">
      <c r="A13" s="32"/>
      <c r="B13" s="33"/>
      <c r="C13" s="262" t="s">
        <v>408</v>
      </c>
    </row>
    <row r="14" spans="1:3" ht="30">
      <c r="A14" s="32"/>
      <c r="B14" s="252"/>
      <c r="C14" s="252" t="s">
        <v>411</v>
      </c>
    </row>
    <row r="15" spans="1:3">
      <c r="A15" s="32"/>
      <c r="B15" s="33"/>
      <c r="C15" s="252" t="s">
        <v>479</v>
      </c>
    </row>
    <row r="16" spans="1:3" s="291" customFormat="1" ht="45">
      <c r="A16" s="290"/>
      <c r="B16" s="250"/>
      <c r="C16" s="252" t="s">
        <v>480</v>
      </c>
    </row>
    <row r="17" spans="1:3" s="291" customFormat="1" ht="30">
      <c r="A17" s="290"/>
      <c r="B17" s="250"/>
      <c r="C17" s="252" t="s">
        <v>475</v>
      </c>
    </row>
    <row r="18" spans="1:3" s="291" customFormat="1">
      <c r="A18" s="290"/>
      <c r="B18" s="250"/>
      <c r="C18" s="252" t="s">
        <v>476</v>
      </c>
    </row>
    <row r="19" spans="1:3" s="291" customFormat="1" ht="30">
      <c r="A19" s="290">
        <v>7</v>
      </c>
      <c r="B19" s="252" t="s">
        <v>26</v>
      </c>
      <c r="C19" s="252" t="s">
        <v>477</v>
      </c>
    </row>
    <row r="20" spans="1:3">
      <c r="A20" s="32">
        <v>8</v>
      </c>
      <c r="B20" s="262" t="s">
        <v>453</v>
      </c>
      <c r="C20" s="262" t="s">
        <v>454</v>
      </c>
    </row>
    <row r="22" spans="1:3">
      <c r="C22" s="291"/>
    </row>
    <row r="23" spans="1:3">
      <c r="C23" s="291"/>
    </row>
    <row r="24" spans="1:3">
      <c r="C24" s="19"/>
    </row>
    <row r="25" spans="1:3">
      <c r="C25" s="291"/>
    </row>
    <row r="26" spans="1:3">
      <c r="C26" s="19"/>
    </row>
    <row r="27" spans="1:3">
      <c r="C27"/>
    </row>
    <row r="28" spans="1:3">
      <c r="C28"/>
    </row>
    <row r="29" spans="1:3">
      <c r="C29"/>
    </row>
  </sheetData>
  <pageMargins left="0.45" right="0.45" top="0.5" bottom="0.75" header="0.3" footer="0.3"/>
  <pageSetup scale="91" orientation="landscape" horizontalDpi="0" verticalDpi="0" r:id="rId1"/>
  <headerFooter>
    <oddFooter>&amp;L&amp;F&amp;RPage &amp;P of &amp;N</oddFooter>
  </headerFooter>
</worksheet>
</file>

<file path=xl/worksheets/sheet10.xml><?xml version="1.0" encoding="utf-8"?>
<worksheet xmlns="http://schemas.openxmlformats.org/spreadsheetml/2006/main" xmlns:r="http://schemas.openxmlformats.org/officeDocument/2006/relationships">
  <sheetPr codeName="Sheet3">
    <pageSetUpPr fitToPage="1"/>
  </sheetPr>
  <dimension ref="A1:B39"/>
  <sheetViews>
    <sheetView topLeftCell="A7" zoomScaleNormal="100" workbookViewId="0"/>
  </sheetViews>
  <sheetFormatPr defaultRowHeight="15"/>
  <cols>
    <col min="1" max="1" width="3.7109375" customWidth="1"/>
    <col min="2" max="2" width="141.28515625" customWidth="1"/>
  </cols>
  <sheetData>
    <row r="1" spans="1:2" ht="18.75">
      <c r="A1" s="18" t="s">
        <v>290</v>
      </c>
    </row>
    <row r="2" spans="1:2" ht="18.75">
      <c r="A2" s="18" t="s">
        <v>121</v>
      </c>
    </row>
    <row r="3" spans="1:2" s="17" customFormat="1">
      <c r="A3" s="20">
        <v>1</v>
      </c>
      <c r="B3" s="21" t="s">
        <v>80</v>
      </c>
    </row>
    <row r="4" spans="1:2">
      <c r="A4" s="22" t="s">
        <v>271</v>
      </c>
      <c r="B4" s="23" t="s">
        <v>255</v>
      </c>
    </row>
    <row r="5" spans="1:2">
      <c r="A5" s="24" t="s">
        <v>272</v>
      </c>
      <c r="B5" s="25" t="s">
        <v>137</v>
      </c>
    </row>
    <row r="6" spans="1:2">
      <c r="A6" s="20">
        <v>2</v>
      </c>
      <c r="B6" s="21" t="s">
        <v>85</v>
      </c>
    </row>
    <row r="7" spans="1:2">
      <c r="A7" s="24" t="s">
        <v>271</v>
      </c>
      <c r="B7" s="26" t="s">
        <v>266</v>
      </c>
    </row>
    <row r="8" spans="1:2" s="17" customFormat="1">
      <c r="A8" s="20">
        <v>3</v>
      </c>
      <c r="B8" s="21" t="s">
        <v>254</v>
      </c>
    </row>
    <row r="9" spans="1:2">
      <c r="A9" s="22" t="s">
        <v>271</v>
      </c>
      <c r="B9" s="27" t="s">
        <v>158</v>
      </c>
    </row>
    <row r="10" spans="1:2">
      <c r="A10" s="22" t="s">
        <v>272</v>
      </c>
      <c r="B10" s="27" t="s">
        <v>122</v>
      </c>
    </row>
    <row r="11" spans="1:2">
      <c r="A11" s="22" t="s">
        <v>273</v>
      </c>
      <c r="B11" s="27" t="s">
        <v>123</v>
      </c>
    </row>
    <row r="12" spans="1:2" ht="30">
      <c r="A12" s="24" t="s">
        <v>274</v>
      </c>
      <c r="B12" s="25" t="s">
        <v>286</v>
      </c>
    </row>
    <row r="13" spans="1:2" s="17" customFormat="1">
      <c r="A13" s="20">
        <v>4</v>
      </c>
      <c r="B13" s="28" t="s">
        <v>257</v>
      </c>
    </row>
    <row r="14" spans="1:2">
      <c r="A14" s="22" t="s">
        <v>271</v>
      </c>
      <c r="B14" s="27" t="s">
        <v>124</v>
      </c>
    </row>
    <row r="15" spans="1:2">
      <c r="A15" s="24" t="s">
        <v>272</v>
      </c>
      <c r="B15" s="25" t="s">
        <v>259</v>
      </c>
    </row>
    <row r="16" spans="1:2" s="17" customFormat="1">
      <c r="A16" s="20">
        <v>5</v>
      </c>
      <c r="B16" s="21" t="s">
        <v>256</v>
      </c>
    </row>
    <row r="17" spans="1:2">
      <c r="A17" s="24" t="s">
        <v>271</v>
      </c>
      <c r="B17" s="25" t="s">
        <v>134</v>
      </c>
    </row>
    <row r="18" spans="1:2" s="17" customFormat="1">
      <c r="A18" s="20">
        <v>6</v>
      </c>
      <c r="B18" s="21" t="s">
        <v>2</v>
      </c>
    </row>
    <row r="19" spans="1:2">
      <c r="A19" s="22" t="s">
        <v>271</v>
      </c>
      <c r="B19" s="27" t="s">
        <v>258</v>
      </c>
    </row>
    <row r="20" spans="1:2" ht="30">
      <c r="A20" s="24" t="s">
        <v>272</v>
      </c>
      <c r="B20" s="25" t="s">
        <v>287</v>
      </c>
    </row>
    <row r="21" spans="1:2" s="17" customFormat="1">
      <c r="A21" s="20">
        <v>7</v>
      </c>
      <c r="B21" s="28" t="s">
        <v>138</v>
      </c>
    </row>
    <row r="22" spans="1:2" ht="30">
      <c r="A22" s="22" t="s">
        <v>271</v>
      </c>
      <c r="B22" s="27" t="s">
        <v>267</v>
      </c>
    </row>
    <row r="23" spans="1:2" s="19" customFormat="1" ht="30">
      <c r="A23" s="22" t="s">
        <v>272</v>
      </c>
      <c r="B23" s="29" t="s">
        <v>261</v>
      </c>
    </row>
    <row r="24" spans="1:2">
      <c r="A24" s="24" t="s">
        <v>273</v>
      </c>
      <c r="B24" s="25" t="s">
        <v>164</v>
      </c>
    </row>
    <row r="25" spans="1:2" s="17" customFormat="1">
      <c r="A25" s="20">
        <v>8</v>
      </c>
      <c r="B25" s="28" t="s">
        <v>260</v>
      </c>
    </row>
    <row r="26" spans="1:2">
      <c r="A26" s="24" t="s">
        <v>271</v>
      </c>
      <c r="B26" s="25" t="s">
        <v>268</v>
      </c>
    </row>
    <row r="27" spans="1:2" s="17" customFormat="1">
      <c r="A27" s="20">
        <v>9</v>
      </c>
      <c r="B27" s="28" t="s">
        <v>222</v>
      </c>
    </row>
    <row r="28" spans="1:2">
      <c r="A28" s="24" t="s">
        <v>271</v>
      </c>
      <c r="B28" s="25" t="s">
        <v>172</v>
      </c>
    </row>
    <row r="29" spans="1:2" s="17" customFormat="1">
      <c r="A29" s="20">
        <v>10</v>
      </c>
      <c r="B29" s="28" t="s">
        <v>221</v>
      </c>
    </row>
    <row r="30" spans="1:2">
      <c r="A30" s="22" t="s">
        <v>271</v>
      </c>
      <c r="B30" s="23" t="s">
        <v>263</v>
      </c>
    </row>
    <row r="31" spans="1:2">
      <c r="A31" s="24" t="s">
        <v>272</v>
      </c>
      <c r="B31" s="25" t="s">
        <v>262</v>
      </c>
    </row>
    <row r="32" spans="1:2" s="17" customFormat="1">
      <c r="A32" s="20">
        <v>11</v>
      </c>
      <c r="B32" s="21" t="s">
        <v>264</v>
      </c>
    </row>
    <row r="33" spans="1:2">
      <c r="A33" s="22" t="s">
        <v>271</v>
      </c>
      <c r="B33" s="27" t="s">
        <v>269</v>
      </c>
    </row>
    <row r="34" spans="1:2">
      <c r="A34" s="22" t="s">
        <v>272</v>
      </c>
      <c r="B34" s="27" t="s">
        <v>265</v>
      </c>
    </row>
    <row r="35" spans="1:2">
      <c r="A35" s="24" t="s">
        <v>273</v>
      </c>
      <c r="B35" s="25" t="s">
        <v>195</v>
      </c>
    </row>
    <row r="36" spans="1:2">
      <c r="A36" s="20">
        <v>12</v>
      </c>
      <c r="B36" s="21" t="s">
        <v>149</v>
      </c>
    </row>
    <row r="37" spans="1:2">
      <c r="A37" s="24" t="s">
        <v>271</v>
      </c>
      <c r="B37" s="25" t="s">
        <v>279</v>
      </c>
    </row>
    <row r="38" spans="1:2">
      <c r="A38" s="20">
        <v>13</v>
      </c>
      <c r="B38" s="21" t="s">
        <v>284</v>
      </c>
    </row>
    <row r="39" spans="1:2" ht="30">
      <c r="A39" s="24" t="s">
        <v>271</v>
      </c>
      <c r="B39" s="25" t="s">
        <v>285</v>
      </c>
    </row>
  </sheetData>
  <pageMargins left="0.5" right="0.5" top="0.5" bottom="0.75" header="0.3" footer="0.3"/>
  <pageSetup scale="80" orientation="landscape" horizontalDpi="0" verticalDpi="0" r:id="rId1"/>
  <headerFooter>
    <oddFooter>&amp;L&amp;F&amp;RPage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201</vt:i4>
      </vt:variant>
    </vt:vector>
  </HeadingPairs>
  <TitlesOfParts>
    <vt:vector size="211" baseType="lpstr">
      <vt:lpstr>Inputs &amp; Results</vt:lpstr>
      <vt:lpstr>All Equity Partnership Flip</vt:lpstr>
      <vt:lpstr>Leveraged Partnership Flip</vt:lpstr>
      <vt:lpstr>Sale Leaseback</vt:lpstr>
      <vt:lpstr>Single Owner</vt:lpstr>
      <vt:lpstr>Depreciation Schedules</vt:lpstr>
      <vt:lpstr>Changes to v3</vt:lpstr>
      <vt:lpstr>Changes to v1</vt:lpstr>
      <vt:lpstr>Changes to v2</vt:lpstr>
      <vt:lpstr>Notes</vt:lpstr>
      <vt:lpstr>AEPFFlipTarget</vt:lpstr>
      <vt:lpstr>AEPFFlipTargetYear</vt:lpstr>
      <vt:lpstr>AEPFInstalledCostTotal</vt:lpstr>
      <vt:lpstr>AEPFPPAPrice</vt:lpstr>
      <vt:lpstr>AEPFPPAPriceEsc</vt:lpstr>
      <vt:lpstr>AEPFTEInvestment</vt:lpstr>
      <vt:lpstr>AEPFTEPostFlipCash</vt:lpstr>
      <vt:lpstr>AEPFTEPostFlipTax</vt:lpstr>
      <vt:lpstr>AEPFTEPreFlipCash</vt:lpstr>
      <vt:lpstr>AEPFTEPreFlipTax</vt:lpstr>
      <vt:lpstr>AnalysisPeriod</vt:lpstr>
      <vt:lpstr>BOP</vt:lpstr>
      <vt:lpstr>CapacityAC</vt:lpstr>
      <vt:lpstr>CapacityConversion</vt:lpstr>
      <vt:lpstr>CapacityDC</vt:lpstr>
      <vt:lpstr>CapitalRecoveryDuration</vt:lpstr>
      <vt:lpstr>CapitalRecoveryMethod</vt:lpstr>
      <vt:lpstr>CBIFed</vt:lpstr>
      <vt:lpstr>CBIFedFedDeprec</vt:lpstr>
      <vt:lpstr>CBIFedFedTax</vt:lpstr>
      <vt:lpstr>CBIFedStateDeprec</vt:lpstr>
      <vt:lpstr>CBIFedStateTax</vt:lpstr>
      <vt:lpstr>CBIOther</vt:lpstr>
      <vt:lpstr>CBIOtherFedDeprec</vt:lpstr>
      <vt:lpstr>CBIOtherFedTax</vt:lpstr>
      <vt:lpstr>CBIOtherStateDeprec</vt:lpstr>
      <vt:lpstr>CBIOtherStateTax</vt:lpstr>
      <vt:lpstr>CBIState</vt:lpstr>
      <vt:lpstr>CBIStateFedDeprec</vt:lpstr>
      <vt:lpstr>CBIStateFedTax</vt:lpstr>
      <vt:lpstr>CBIStateStateDeprec</vt:lpstr>
      <vt:lpstr>CBIStateStateTax</vt:lpstr>
      <vt:lpstr>CBIUtility</vt:lpstr>
      <vt:lpstr>CBIUtilityFedDeprec</vt:lpstr>
      <vt:lpstr>CBIUtilityFedTax</vt:lpstr>
      <vt:lpstr>CBIUtilityStateDeprec</vt:lpstr>
      <vt:lpstr>CBIUtilityStateTax</vt:lpstr>
      <vt:lpstr>ContingencyCost</vt:lpstr>
      <vt:lpstr>DevCost</vt:lpstr>
      <vt:lpstr>DiscountRate</vt:lpstr>
      <vt:lpstr>FedBasisReduction</vt:lpstr>
      <vt:lpstr>FedBonusDeprec</vt:lpstr>
      <vt:lpstr>FedPTCAmount</vt:lpstr>
      <vt:lpstr>FedPTCTerm</vt:lpstr>
      <vt:lpstr>FedTax</vt:lpstr>
      <vt:lpstr>GenerationEquipment</vt:lpstr>
      <vt:lpstr>IBIFedFixed</vt:lpstr>
      <vt:lpstr>IBIFedFixedFedDeprec</vt:lpstr>
      <vt:lpstr>IBIFedFixedFedTax</vt:lpstr>
      <vt:lpstr>IBIFedFixedStateDeprec</vt:lpstr>
      <vt:lpstr>IBIFedFixedStateTax</vt:lpstr>
      <vt:lpstr>IBIFedPercent</vt:lpstr>
      <vt:lpstr>IBIFedPercentFedDeprec</vt:lpstr>
      <vt:lpstr>IBIFedPercentFedTax</vt:lpstr>
      <vt:lpstr>IBIFedPercentStateDeprec</vt:lpstr>
      <vt:lpstr>IBIFedPercentStateTax</vt:lpstr>
      <vt:lpstr>IBIOtherFixed</vt:lpstr>
      <vt:lpstr>IBIOtherFixedFedDeprec</vt:lpstr>
      <vt:lpstr>IBIOtherFixedFedTax</vt:lpstr>
      <vt:lpstr>IBIOtherFixedStateDeprec</vt:lpstr>
      <vt:lpstr>IBIOtherFixedStateTax</vt:lpstr>
      <vt:lpstr>IBIOtherPercent</vt:lpstr>
      <vt:lpstr>IBIOtherPercentFedDeprec</vt:lpstr>
      <vt:lpstr>IBIOtherPercentFedTax</vt:lpstr>
      <vt:lpstr>IBIOtherPercentStateDeprec</vt:lpstr>
      <vt:lpstr>IBIOtherPercentStateTax</vt:lpstr>
      <vt:lpstr>IBIStateFixed</vt:lpstr>
      <vt:lpstr>IBIStateFixedFedDeprec</vt:lpstr>
      <vt:lpstr>IBIStateFixedFedTax</vt:lpstr>
      <vt:lpstr>IBIStateFixedStateDeprec</vt:lpstr>
      <vt:lpstr>IBIStateFixedStateTax</vt:lpstr>
      <vt:lpstr>IBIStatePercent</vt:lpstr>
      <vt:lpstr>IBIStatePercentFedDeprec</vt:lpstr>
      <vt:lpstr>IBIStatePercentFedTax</vt:lpstr>
      <vt:lpstr>IBIStatePercentStateDeprec</vt:lpstr>
      <vt:lpstr>IBIStatePercentStateTax</vt:lpstr>
      <vt:lpstr>IBIUtilityFixed</vt:lpstr>
      <vt:lpstr>IBIUtilityFixedFedDeprec</vt:lpstr>
      <vt:lpstr>IBIUtilityFixedFedTax</vt:lpstr>
      <vt:lpstr>IBIUtilityFixedStateDeprec</vt:lpstr>
      <vt:lpstr>IBIUtilityFixedStateTax</vt:lpstr>
      <vt:lpstr>IBIUtilityPercent</vt:lpstr>
      <vt:lpstr>IBIUtilityPercentFedDeprec</vt:lpstr>
      <vt:lpstr>IBIUtilityPercentFedTax</vt:lpstr>
      <vt:lpstr>IBIUtilityPercentStateDeprec</vt:lpstr>
      <vt:lpstr>IBIUtilityPercentStateTax</vt:lpstr>
      <vt:lpstr>Inflation</vt:lpstr>
      <vt:lpstr>InterestOnReserves</vt:lpstr>
      <vt:lpstr>ITCFedFixed</vt:lpstr>
      <vt:lpstr>ITCFedFixedFedDeprec</vt:lpstr>
      <vt:lpstr>ITCFedFixedStateDeprec</vt:lpstr>
      <vt:lpstr>ITCFedMax</vt:lpstr>
      <vt:lpstr>ITCFedPercent</vt:lpstr>
      <vt:lpstr>ITCFedPercentFedDeprec</vt:lpstr>
      <vt:lpstr>ITCFedPercentStateDeprec</vt:lpstr>
      <vt:lpstr>ITCStateFixed</vt:lpstr>
      <vt:lpstr>ITCStateFixedFedDeprec</vt:lpstr>
      <vt:lpstr>ITCStateFixedStateDeprec</vt:lpstr>
      <vt:lpstr>ITCStateMax</vt:lpstr>
      <vt:lpstr>ITCStatePercent</vt:lpstr>
      <vt:lpstr>ITCStatePercentFedDeprec</vt:lpstr>
      <vt:lpstr>ITCStatePercentStateDeprec</vt:lpstr>
      <vt:lpstr>LandImprovements</vt:lpstr>
      <vt:lpstr>LeaseReserveMonths</vt:lpstr>
      <vt:lpstr>LeveragedFlipPPAPrice</vt:lpstr>
      <vt:lpstr>LeveragedFlipPPAPriceEsc</vt:lpstr>
      <vt:lpstr>LPFDebtAmount</vt:lpstr>
      <vt:lpstr>LPFDebtRate</vt:lpstr>
      <vt:lpstr>LPFDebtTerm</vt:lpstr>
      <vt:lpstr>LPFDSCR</vt:lpstr>
      <vt:lpstr>LPFDSRASize</vt:lpstr>
      <vt:lpstr>LPFFlipTarget</vt:lpstr>
      <vt:lpstr>LPFFlipTargetYear</vt:lpstr>
      <vt:lpstr>LPFInstalledCostTotal</vt:lpstr>
      <vt:lpstr>LPFTEInvestment</vt:lpstr>
      <vt:lpstr>LPFTEPostFlipCash</vt:lpstr>
      <vt:lpstr>LPFTEPostFlipTax</vt:lpstr>
      <vt:lpstr>LPFTEPreFlipCash</vt:lpstr>
      <vt:lpstr>LPFTEPreFlipTax</vt:lpstr>
      <vt:lpstr>MMCost</vt:lpstr>
      <vt:lpstr>MMCost2</vt:lpstr>
      <vt:lpstr>MMCost3</vt:lpstr>
      <vt:lpstr>MMFedTaxTreatment</vt:lpstr>
      <vt:lpstr>MMFrequency</vt:lpstr>
      <vt:lpstr>MMFrequency2</vt:lpstr>
      <vt:lpstr>MMFrequency3</vt:lpstr>
      <vt:lpstr>MMStateTaxTreatment</vt:lpstr>
      <vt:lpstr>NetworkUpgrades</vt:lpstr>
      <vt:lpstr>OMCapacity</vt:lpstr>
      <vt:lpstr>OMCapacityRealEsc</vt:lpstr>
      <vt:lpstr>OMFixedAnnual</vt:lpstr>
      <vt:lpstr>OMFixedAnnualRealEsc</vt:lpstr>
      <vt:lpstr>OMVariable</vt:lpstr>
      <vt:lpstr>OMVariableRealEsc</vt:lpstr>
      <vt:lpstr>Other</vt:lpstr>
      <vt:lpstr>PBIFed</vt:lpstr>
      <vt:lpstr>PBIFedDebtSwitch</vt:lpstr>
      <vt:lpstr>PBIFedEsc</vt:lpstr>
      <vt:lpstr>PBIFedFedTax</vt:lpstr>
      <vt:lpstr>PBIFedStateTax</vt:lpstr>
      <vt:lpstr>PBIFedTerm</vt:lpstr>
      <vt:lpstr>PBIOther</vt:lpstr>
      <vt:lpstr>PBIOtherDebtSwitch</vt:lpstr>
      <vt:lpstr>PBIOtherEsc</vt:lpstr>
      <vt:lpstr>PBIOtherFedTax</vt:lpstr>
      <vt:lpstr>PBIOtherStateTax</vt:lpstr>
      <vt:lpstr>PBIOtherTerm</vt:lpstr>
      <vt:lpstr>PBIState</vt:lpstr>
      <vt:lpstr>PBIStateDebtSwitch</vt:lpstr>
      <vt:lpstr>PBIStateEsc</vt:lpstr>
      <vt:lpstr>PBIStateFedTax</vt:lpstr>
      <vt:lpstr>PBIStateStateTax</vt:lpstr>
      <vt:lpstr>PBIStateTerm</vt:lpstr>
      <vt:lpstr>PBIUtility</vt:lpstr>
      <vt:lpstr>PBIUtilityDebtSwitch</vt:lpstr>
      <vt:lpstr>PBIUtilityEsc</vt:lpstr>
      <vt:lpstr>PBIUtilityFedTax</vt:lpstr>
      <vt:lpstr>PBIUtilityStateTax</vt:lpstr>
      <vt:lpstr>PBIUtilityTerm</vt:lpstr>
      <vt:lpstr>PreFinancingInstalledCostTotal</vt:lpstr>
      <vt:lpstr>'Changes to v1'!Print_Area</vt:lpstr>
      <vt:lpstr>'Changes to v2'!Print_Area</vt:lpstr>
      <vt:lpstr>'Changes to v3'!Print_Area</vt:lpstr>
      <vt:lpstr>'Inputs &amp; Results'!Print_Area</vt:lpstr>
      <vt:lpstr>Notes!Print_Area</vt:lpstr>
      <vt:lpstr>'All Equity Partnership Flip'!Print_Titles</vt:lpstr>
      <vt:lpstr>'Leveraged Partnership Flip'!Print_Titles</vt:lpstr>
      <vt:lpstr>'Sale Leaseback'!Print_Titles</vt:lpstr>
      <vt:lpstr>'Single Owner'!Print_Titles</vt:lpstr>
      <vt:lpstr>PropertyTaxRate</vt:lpstr>
      <vt:lpstr>ReturnTime1</vt:lpstr>
      <vt:lpstr>ReturnTime2</vt:lpstr>
      <vt:lpstr>SalesTaxQualification</vt:lpstr>
      <vt:lpstr>SalesTaxRate</vt:lpstr>
      <vt:lpstr>SalesTaxTotal</vt:lpstr>
      <vt:lpstr>SalvageValue</vt:lpstr>
      <vt:lpstr>SLDevMargin</vt:lpstr>
      <vt:lpstr>SLDevMarginEsc</vt:lpstr>
      <vt:lpstr>SLInstalledCostTotal</vt:lpstr>
      <vt:lpstr>SLPPAPrice</vt:lpstr>
      <vt:lpstr>SLPPAPriceEsc</vt:lpstr>
      <vt:lpstr>SLReturnTarget</vt:lpstr>
      <vt:lpstr>SLReturnTargetYear</vt:lpstr>
      <vt:lpstr>SLTEInvestment</vt:lpstr>
      <vt:lpstr>SODebtAmount</vt:lpstr>
      <vt:lpstr>SODebtRate</vt:lpstr>
      <vt:lpstr>SODebtTerm</vt:lpstr>
      <vt:lpstr>SODSCR</vt:lpstr>
      <vt:lpstr>SODSRASize</vt:lpstr>
      <vt:lpstr>SOInstalledCostTotal</vt:lpstr>
      <vt:lpstr>SOPPAPrice</vt:lpstr>
      <vt:lpstr>SOPPAPriceEsc</vt:lpstr>
      <vt:lpstr>SOReturnTarget</vt:lpstr>
      <vt:lpstr>SOReturnTargetYear</vt:lpstr>
      <vt:lpstr>StateBasisReduction</vt:lpstr>
      <vt:lpstr>StateBonusDeprec</vt:lpstr>
      <vt:lpstr>StatePTCAmount</vt:lpstr>
      <vt:lpstr>StatePTCTerm</vt:lpstr>
      <vt:lpstr>StateTax</vt:lpstr>
      <vt:lpstr>TotalHardCosts</vt:lpstr>
      <vt:lpstr>TotalSoftCosts</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Karcher</dc:creator>
  <cp:lastModifiedBy>Steve</cp:lastModifiedBy>
  <cp:lastPrinted>2010-11-29T02:37:31Z</cp:lastPrinted>
  <dcterms:created xsi:type="dcterms:W3CDTF">2010-08-30T18:22:05Z</dcterms:created>
  <dcterms:modified xsi:type="dcterms:W3CDTF">2011-01-13T12:44:38Z</dcterms:modified>
</cp:coreProperties>
</file>